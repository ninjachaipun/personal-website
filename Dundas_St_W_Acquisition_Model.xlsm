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omments3.xml" ContentType="application/vnd.openxmlformats-officedocument.spreadsheetml.comments+xml"/>
  <Override PartName="/xl/comments4.xml" ContentType="application/vnd.openxmlformats-officedocument.spreadsheetml.comments+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21" codeName="{F3310B89-0DAA-6C43-5919-0D5897632BE8}"/>
  <workbookPr codeName="ThisWorkbook" defaultThemeVersion="202300"/>
  <mc:AlternateContent xmlns:mc="http://schemas.openxmlformats.org/markup-compatibility/2006">
    <mc:Choice Requires="x15">
      <x15ac:absPath xmlns:x15ac="http://schemas.microsoft.com/office/spreadsheetml/2010/11/ac" url="/Users/ninjac/Desktop/Real Estate Things/Project/2480 Dundas St W/"/>
    </mc:Choice>
  </mc:AlternateContent>
  <xr:revisionPtr revIDLastSave="0" documentId="13_ncr:1_{83E57324-6298-3943-BB6F-A3A322CFCADE}" xr6:coauthVersionLast="47" xr6:coauthVersionMax="47" xr10:uidLastSave="{00000000-0000-0000-0000-000000000000}"/>
  <bookViews>
    <workbookView xWindow="0" yWindow="720" windowWidth="29400" windowHeight="18400" activeTab="4" xr2:uid="{0F772E15-CB68-654E-9858-14B2D05F601E}"/>
  </bookViews>
  <sheets>
    <sheet name="Rent Roll" sheetId="11" r:id="rId1"/>
    <sheet name="Financials" sheetId="13" r:id="rId2"/>
    <sheet name="Main Assumptions" sheetId="1" r:id="rId3"/>
    <sheet name="Investors Breakdown" sheetId="2" r:id="rId4"/>
    <sheet name="Deal Summary" sheetId="9" r:id="rId5"/>
    <sheet name="Graphs" sheetId="10" r:id="rId6"/>
    <sheet name="Annual P&amp;L" sheetId="6" r:id="rId7"/>
    <sheet name="Monthly P&amp;L" sheetId="5" r:id="rId8"/>
    <sheet name="Model Assumptions" sheetId="12" r:id="rId9"/>
    <sheet name="Investor Annual" sheetId="8" r:id="rId10"/>
    <sheet name="Investor Monthly" sheetId="7" r:id="rId11"/>
    <sheet name="Debt Amort" sheetId="4" r:id="rId12"/>
  </sheets>
  <definedNames>
    <definedName name="_xleta.IF" hidden="1" xlm="1">#NAME?</definedName>
    <definedName name="_xleta.SUM" hidden="1" xlm="1">#NAME?</definedName>
    <definedName name="annual_rate">'Debt Amort'!$D$5</definedName>
    <definedName name="capex">'Main Assumptions'!$E$39</definedName>
    <definedName name="closing_costs">'Main Assumptions'!$E$15</definedName>
    <definedName name="cost_sale">'Main Assumptions'!$E$58</definedName>
    <definedName name="Deal_levered">'Deal Summary'!$C$5:INDEX('Deal Summary'!$C$5:$AG$5,1,'Main Assumptions'!$E$54+1)</definedName>
    <definedName name="Deal_time">'Deal Summary'!$C$3:INDEX('Deal Summary'!$C$3:$AG$3,1,'Main Assumptions'!$E$54+1)</definedName>
    <definedName name="Deal_unlevered">'Deal Summary'!$C$4:INDEX('Deal Summary'!$C$4:$AG$4,Graphs!$XFD$661,'Main Assumptions'!$E$54+1)</definedName>
    <definedName name="debt">'Main Assumptions'!$M$45</definedName>
    <definedName name="discount_rate">'Main Assumptions'!$E$41</definedName>
    <definedName name="effective_rate">'Debt Amort'!$H$5</definedName>
    <definedName name="equity_invested">'Main Assumptions'!$M$44</definedName>
    <definedName name="exit_cap_rate">'Main Assumptions'!$E$55</definedName>
    <definedName name="exit_renovation">'Main Assumptions'!$E$22</definedName>
    <definedName name="first_payment">'Debt Amort'!$D$8</definedName>
    <definedName name="hold_length">'Main Assumptions'!$E$54</definedName>
    <definedName name="inflation">'Main Assumptions'!$E$33</definedName>
    <definedName name="initial_renovations">'Main Assumptions'!$E$21</definedName>
    <definedName name="insurance">'Main Assumptions'!$E$35</definedName>
    <definedName name="interest_rate">'Main Assumptions'!$E$49</definedName>
    <definedName name="Investor_1_time">'Investor Annual'!$C$5:INDEX('Investor Annual'!$C$5:$AH$5,1,'Investor Annual'!$C$2+1)</definedName>
    <definedName name="Investor_1_values">'Investor Annual'!$C$10:INDEX('Investor Annual'!$C$10:$AH$10,1,'Investor Annual'!$C$2+1)</definedName>
    <definedName name="Investor_2_values">'Investor Annual'!$C$21:INDEX('Investor Annual'!$C$21:$AH$21,1,'Investor Annual'!$C$2+1)</definedName>
    <definedName name="Investor_3_values">'Investor Annual'!$C$32:INDEX('Investor Annual'!$C$32:$AH$32,1,'Investor Annual'!$C$2+1)</definedName>
    <definedName name="Investor_4_values">'Investor Annual'!$C$43:INDEX('Investor Annual'!$C$43:$AH$43,1,'Investor Annual'!$C$2+1)</definedName>
    <definedName name="Investor_5_values">'Investor Annual'!$C$54:INDEX('Investor Annual'!$C$54:$AH$54,1,'Investor Annual'!$C$2+1)</definedName>
    <definedName name="management_fee">'Main Assumptions'!$E$31</definedName>
    <definedName name="pay_schedule">'Debt Amort'!$D$7</definedName>
    <definedName name="period_payment">'Debt Amort'!$E$11</definedName>
    <definedName name="Pref">'Investor Monthly'!$K$4</definedName>
    <definedName name="principal">'Debt Amort'!$D$4</definedName>
    <definedName name="purchase_date">'Main Assumptions'!$E$14</definedName>
    <definedName name="purchase_price">'Main Assumptions'!$E$12</definedName>
    <definedName name="renovation_time">'Main Assumptions'!$E$22</definedName>
    <definedName name="rental_growth_rate">'Main Assumptions'!$E$29</definedName>
    <definedName name="repair_allowance">'Main Assumptions'!$E$34</definedName>
    <definedName name="sale_price">'Main Assumptions'!$E$56</definedName>
    <definedName name="tax_growth_rate">'Main Assumptions'!$E$38</definedName>
    <definedName name="taxes">'Main Assumptions'!$E$37</definedName>
    <definedName name="Total_Investment">'Investor Monthly'!$D$10</definedName>
    <definedName name="vacancy_allowance">'Main Assumptions'!$E$32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E12" i="1" l="1"/>
  <c r="L27" i="9"/>
  <c r="GE20" i="5"/>
  <c r="GF20" i="5"/>
  <c r="GG20" i="5"/>
  <c r="GH20" i="5"/>
  <c r="GI20" i="5"/>
  <c r="GJ20" i="5"/>
  <c r="GK20" i="5"/>
  <c r="GL20" i="5"/>
  <c r="GM20" i="5"/>
  <c r="GN20" i="5"/>
  <c r="GO20" i="5"/>
  <c r="GP20" i="5"/>
  <c r="GQ20" i="5"/>
  <c r="GR20" i="5"/>
  <c r="GS20" i="5"/>
  <c r="GT20" i="5"/>
  <c r="GU20" i="5"/>
  <c r="GV20" i="5"/>
  <c r="GW20" i="5"/>
  <c r="GX20" i="5"/>
  <c r="GY20" i="5"/>
  <c r="GZ20" i="5"/>
  <c r="HA20" i="5"/>
  <c r="HB20" i="5"/>
  <c r="HC20" i="5"/>
  <c r="HD20" i="5"/>
  <c r="HE20" i="5"/>
  <c r="HF20" i="5"/>
  <c r="HG20" i="5"/>
  <c r="HH20" i="5"/>
  <c r="HI20" i="5"/>
  <c r="HJ20" i="5"/>
  <c r="HK20" i="5"/>
  <c r="HL20" i="5"/>
  <c r="HM20" i="5"/>
  <c r="HN20" i="5"/>
  <c r="HO20" i="5"/>
  <c r="HP20" i="5"/>
  <c r="HQ20" i="5"/>
  <c r="HR20" i="5"/>
  <c r="HS20" i="5"/>
  <c r="HT20" i="5"/>
  <c r="HU20" i="5"/>
  <c r="HV20" i="5"/>
  <c r="HW20" i="5"/>
  <c r="HX20" i="5"/>
  <c r="HY20" i="5"/>
  <c r="HZ20" i="5"/>
  <c r="IA20" i="5"/>
  <c r="IB20" i="5"/>
  <c r="IC20" i="5"/>
  <c r="ID20" i="5"/>
  <c r="IE20" i="5"/>
  <c r="IF20" i="5"/>
  <c r="IG20" i="5"/>
  <c r="IH20" i="5"/>
  <c r="II20" i="5"/>
  <c r="IJ20" i="5"/>
  <c r="IK20" i="5"/>
  <c r="IL20" i="5"/>
  <c r="IM20" i="5"/>
  <c r="IN20" i="5"/>
  <c r="IO20" i="5"/>
  <c r="IP20" i="5"/>
  <c r="IQ20" i="5"/>
  <c r="IR20" i="5"/>
  <c r="IS20" i="5"/>
  <c r="IT20" i="5"/>
  <c r="IU20" i="5"/>
  <c r="IV20" i="5"/>
  <c r="IW20" i="5"/>
  <c r="IX20" i="5"/>
  <c r="IY20" i="5"/>
  <c r="IZ20" i="5"/>
  <c r="JA20" i="5"/>
  <c r="JB20" i="5"/>
  <c r="JC20" i="5"/>
  <c r="JD20" i="5"/>
  <c r="JE20" i="5"/>
  <c r="JF20" i="5"/>
  <c r="JG20" i="5"/>
  <c r="JH20" i="5"/>
  <c r="JI20" i="5"/>
  <c r="JJ20" i="5"/>
  <c r="JK20" i="5"/>
  <c r="JL20" i="5"/>
  <c r="JM20" i="5"/>
  <c r="JN20" i="5"/>
  <c r="JO20" i="5"/>
  <c r="JP20" i="5"/>
  <c r="JQ20" i="5"/>
  <c r="JR20" i="5"/>
  <c r="JS20" i="5"/>
  <c r="JT20" i="5"/>
  <c r="JU20" i="5"/>
  <c r="JV20" i="5"/>
  <c r="JW20" i="5"/>
  <c r="JX20" i="5"/>
  <c r="JY20" i="5"/>
  <c r="JZ20" i="5"/>
  <c r="KA20" i="5"/>
  <c r="KB20" i="5"/>
  <c r="KC20" i="5"/>
  <c r="KD20" i="5"/>
  <c r="KE20" i="5"/>
  <c r="KF20" i="5"/>
  <c r="KG20" i="5"/>
  <c r="KH20" i="5"/>
  <c r="KI20" i="5"/>
  <c r="KJ20" i="5"/>
  <c r="KK20" i="5"/>
  <c r="KL20" i="5"/>
  <c r="KM20" i="5"/>
  <c r="KN20" i="5"/>
  <c r="KO20" i="5"/>
  <c r="KP20" i="5"/>
  <c r="KQ20" i="5"/>
  <c r="KR20" i="5"/>
  <c r="KS20" i="5"/>
  <c r="KT20" i="5"/>
  <c r="KU20" i="5"/>
  <c r="KV20" i="5"/>
  <c r="KW20" i="5"/>
  <c r="KX20" i="5"/>
  <c r="KY20" i="5"/>
  <c r="KZ20" i="5"/>
  <c r="LA20" i="5"/>
  <c r="LB20" i="5"/>
  <c r="LC20" i="5"/>
  <c r="LD20" i="5"/>
  <c r="LE20" i="5"/>
  <c r="LF20" i="5"/>
  <c r="LG20" i="5"/>
  <c r="LH20" i="5"/>
  <c r="LI20" i="5"/>
  <c r="LJ20" i="5"/>
  <c r="LK20" i="5"/>
  <c r="LL20" i="5"/>
  <c r="LM20" i="5"/>
  <c r="LN20" i="5"/>
  <c r="LO20" i="5"/>
  <c r="LP20" i="5"/>
  <c r="LQ20" i="5"/>
  <c r="LR20" i="5"/>
  <c r="LS20" i="5"/>
  <c r="LT20" i="5"/>
  <c r="LU20" i="5"/>
  <c r="LV20" i="5"/>
  <c r="LW20" i="5"/>
  <c r="LX20" i="5"/>
  <c r="LY20" i="5"/>
  <c r="LZ20" i="5"/>
  <c r="MA20" i="5"/>
  <c r="MB20" i="5"/>
  <c r="MC20" i="5"/>
  <c r="MD20" i="5"/>
  <c r="ME20" i="5"/>
  <c r="MF20" i="5"/>
  <c r="MG20" i="5"/>
  <c r="MH20" i="5"/>
  <c r="MI20" i="5"/>
  <c r="MJ20" i="5"/>
  <c r="MK20" i="5"/>
  <c r="ML20" i="5"/>
  <c r="MM20" i="5"/>
  <c r="MN20" i="5"/>
  <c r="MO20" i="5"/>
  <c r="MP20" i="5"/>
  <c r="MQ20" i="5"/>
  <c r="MR20" i="5"/>
  <c r="MS20" i="5"/>
  <c r="MT20" i="5"/>
  <c r="MU20" i="5"/>
  <c r="MV20" i="5"/>
  <c r="MW20" i="5"/>
  <c r="MX20" i="5"/>
  <c r="MY20" i="5"/>
  <c r="MZ20" i="5"/>
  <c r="NA20" i="5"/>
  <c r="NB20" i="5"/>
  <c r="L16" i="13"/>
  <c r="L17" i="13"/>
  <c r="L15" i="13"/>
  <c r="K16" i="13"/>
  <c r="K17" i="13"/>
  <c r="K15" i="13"/>
  <c r="L7" i="13"/>
  <c r="K7" i="13"/>
  <c r="J28" i="9"/>
  <c r="J29" i="9" s="1"/>
  <c r="K29" i="9"/>
  <c r="K35" i="9"/>
  <c r="E21" i="13"/>
  <c r="F21" i="13"/>
  <c r="G21" i="13"/>
  <c r="H21" i="13"/>
  <c r="G18" i="13"/>
  <c r="G16" i="13"/>
  <c r="G17" i="13"/>
  <c r="G15" i="13"/>
  <c r="H18" i="13"/>
  <c r="H17" i="13"/>
  <c r="H16" i="13"/>
  <c r="H15" i="13"/>
  <c r="G19" i="13"/>
  <c r="F16" i="13"/>
  <c r="F17" i="13"/>
  <c r="F18" i="13"/>
  <c r="E16" i="13"/>
  <c r="E17" i="13"/>
  <c r="E18" i="13"/>
  <c r="F15" i="13"/>
  <c r="F19" i="13" s="1"/>
  <c r="E15" i="13"/>
  <c r="E19" i="13" s="1"/>
  <c r="F12" i="13"/>
  <c r="G12" i="13"/>
  <c r="H12" i="13"/>
  <c r="E12" i="13"/>
  <c r="F11" i="13"/>
  <c r="G11" i="13"/>
  <c r="H11" i="13"/>
  <c r="E11" i="13"/>
  <c r="F10" i="13"/>
  <c r="G10" i="13"/>
  <c r="H10" i="13"/>
  <c r="F8" i="13"/>
  <c r="G8" i="13"/>
  <c r="H8" i="13"/>
  <c r="E8" i="13"/>
  <c r="E10" i="13" s="1"/>
  <c r="H7" i="13"/>
  <c r="G7" i="13"/>
  <c r="F7" i="13"/>
  <c r="E7" i="13"/>
  <c r="H6" i="13"/>
  <c r="G6" i="13"/>
  <c r="F6" i="13"/>
  <c r="E6" i="13"/>
  <c r="D18" i="13"/>
  <c r="D15" i="13"/>
  <c r="F37" i="1"/>
  <c r="K34" i="9"/>
  <c r="F46" i="1"/>
  <c r="F32" i="1"/>
  <c r="D18" i="11"/>
  <c r="D17" i="11"/>
  <c r="D16" i="11"/>
  <c r="K31" i="9" l="1"/>
  <c r="K30" i="9"/>
  <c r="H19" i="13"/>
  <c r="BB19" i="10"/>
  <c r="BB15" i="10"/>
  <c r="BA8" i="10"/>
  <c r="BA9" i="10"/>
  <c r="BA10" i="10"/>
  <c r="BA11" i="10"/>
  <c r="BA12" i="10"/>
  <c r="BA4" i="10"/>
  <c r="BA5" i="10"/>
  <c r="D35" i="9"/>
  <c r="J22" i="9"/>
  <c r="J20" i="9"/>
  <c r="J29" i="11"/>
  <c r="J30" i="11"/>
  <c r="J31" i="11"/>
  <c r="J32" i="11"/>
  <c r="J33" i="11"/>
  <c r="J34" i="11"/>
  <c r="J35" i="11"/>
  <c r="J36" i="11"/>
  <c r="J37" i="11"/>
  <c r="J38" i="11"/>
  <c r="J39" i="11"/>
  <c r="J40" i="11"/>
  <c r="J41" i="11"/>
  <c r="J28" i="11"/>
  <c r="F18" i="11"/>
  <c r="G18" i="11" s="1"/>
  <c r="F34" i="1"/>
  <c r="C11" i="11"/>
  <c r="K4" i="11" s="1"/>
  <c r="C31" i="9"/>
  <c r="C30" i="9"/>
  <c r="C26" i="9"/>
  <c r="C23" i="9"/>
  <c r="C24" i="9"/>
  <c r="D24" i="9" s="1"/>
  <c r="C25" i="9"/>
  <c r="C20" i="9"/>
  <c r="C19" i="9"/>
  <c r="C21" i="12"/>
  <c r="F43" i="9"/>
  <c r="F42" i="9"/>
  <c r="CL16" i="5"/>
  <c r="CM16" i="5"/>
  <c r="CN16" i="5"/>
  <c r="CO16" i="5"/>
  <c r="CP16" i="5"/>
  <c r="CQ16" i="5"/>
  <c r="CR16" i="5"/>
  <c r="CS16" i="5"/>
  <c r="CT16" i="5"/>
  <c r="CU16" i="5"/>
  <c r="CV16" i="5"/>
  <c r="CW16" i="5"/>
  <c r="CX16" i="5"/>
  <c r="CY16" i="5"/>
  <c r="CZ16" i="5"/>
  <c r="DA16" i="5"/>
  <c r="DB16" i="5"/>
  <c r="DC16" i="5"/>
  <c r="DD16" i="5"/>
  <c r="DE16" i="5"/>
  <c r="DF16" i="5"/>
  <c r="DG16" i="5"/>
  <c r="DH16" i="5"/>
  <c r="DI16" i="5"/>
  <c r="DJ16" i="5"/>
  <c r="DK16" i="5"/>
  <c r="DL16" i="5"/>
  <c r="DM16" i="5"/>
  <c r="DN16" i="5"/>
  <c r="DO16" i="5"/>
  <c r="DP16" i="5"/>
  <c r="DQ16" i="5"/>
  <c r="DR16" i="5"/>
  <c r="DS16" i="5"/>
  <c r="DT16" i="5"/>
  <c r="DU16" i="5"/>
  <c r="DV16" i="5"/>
  <c r="DW16" i="5"/>
  <c r="DX16" i="5"/>
  <c r="DY16" i="5"/>
  <c r="DZ16" i="5"/>
  <c r="EA16" i="5"/>
  <c r="EB16" i="5"/>
  <c r="EC16" i="5"/>
  <c r="ED16" i="5"/>
  <c r="EE16" i="5"/>
  <c r="EF16" i="5"/>
  <c r="EG16" i="5"/>
  <c r="EH16" i="5"/>
  <c r="EI16" i="5"/>
  <c r="EJ16" i="5"/>
  <c r="EK16" i="5"/>
  <c r="EL16" i="5"/>
  <c r="EM16" i="5"/>
  <c r="EN16" i="5"/>
  <c r="EO16" i="5"/>
  <c r="EP16" i="5"/>
  <c r="EQ16" i="5"/>
  <c r="ER16" i="5"/>
  <c r="ES16" i="5"/>
  <c r="ET16" i="5"/>
  <c r="EU16" i="5"/>
  <c r="EV16" i="5"/>
  <c r="EW16" i="5"/>
  <c r="EX16" i="5"/>
  <c r="EY16" i="5"/>
  <c r="EZ16" i="5"/>
  <c r="FA16" i="5"/>
  <c r="FB16" i="5"/>
  <c r="FC16" i="5"/>
  <c r="FD16" i="5"/>
  <c r="FE16" i="5"/>
  <c r="FF16" i="5"/>
  <c r="FG16" i="5"/>
  <c r="FH16" i="5"/>
  <c r="FI16" i="5"/>
  <c r="FJ16" i="5"/>
  <c r="FK16" i="5"/>
  <c r="FL16" i="5"/>
  <c r="FM16" i="5"/>
  <c r="FN16" i="5"/>
  <c r="FO16" i="5"/>
  <c r="FP16" i="5"/>
  <c r="FQ16" i="5"/>
  <c r="FR16" i="5"/>
  <c r="FS16" i="5"/>
  <c r="FT16" i="5"/>
  <c r="FU16" i="5"/>
  <c r="FV16" i="5"/>
  <c r="FW16" i="5"/>
  <c r="FX16" i="5"/>
  <c r="FY16" i="5"/>
  <c r="FZ16" i="5"/>
  <c r="GA16" i="5"/>
  <c r="GB16" i="5"/>
  <c r="GC16" i="5"/>
  <c r="GD16" i="5"/>
  <c r="GE16" i="5"/>
  <c r="GF16" i="5"/>
  <c r="GG16" i="5"/>
  <c r="GH16" i="5"/>
  <c r="GI16" i="5"/>
  <c r="GJ16" i="5"/>
  <c r="GK16" i="5"/>
  <c r="GL16" i="5"/>
  <c r="GM16" i="5"/>
  <c r="GN16" i="5"/>
  <c r="GO16" i="5"/>
  <c r="GP16" i="5"/>
  <c r="GQ16" i="5"/>
  <c r="GR16" i="5"/>
  <c r="GS16" i="5"/>
  <c r="GT16" i="5"/>
  <c r="GU16" i="5"/>
  <c r="GV16" i="5"/>
  <c r="GW16" i="5"/>
  <c r="GX16" i="5"/>
  <c r="GY16" i="5"/>
  <c r="GZ16" i="5"/>
  <c r="HA16" i="5"/>
  <c r="HB16" i="5"/>
  <c r="HC16" i="5"/>
  <c r="HD16" i="5"/>
  <c r="HE16" i="5"/>
  <c r="HF16" i="5"/>
  <c r="HG16" i="5"/>
  <c r="HH16" i="5"/>
  <c r="HI16" i="5"/>
  <c r="HJ16" i="5"/>
  <c r="HK16" i="5"/>
  <c r="HL16" i="5"/>
  <c r="HM16" i="5"/>
  <c r="HN16" i="5"/>
  <c r="HO16" i="5"/>
  <c r="HP16" i="5"/>
  <c r="HQ16" i="5"/>
  <c r="HR16" i="5"/>
  <c r="HS16" i="5"/>
  <c r="HT16" i="5"/>
  <c r="HU16" i="5"/>
  <c r="HV16" i="5"/>
  <c r="HW16" i="5"/>
  <c r="HX16" i="5"/>
  <c r="HY16" i="5"/>
  <c r="HZ16" i="5"/>
  <c r="IA16" i="5"/>
  <c r="IB16" i="5"/>
  <c r="IC16" i="5"/>
  <c r="ID16" i="5"/>
  <c r="IE16" i="5"/>
  <c r="IF16" i="5"/>
  <c r="IG16" i="5"/>
  <c r="IH16" i="5"/>
  <c r="II16" i="5"/>
  <c r="IJ16" i="5"/>
  <c r="IK16" i="5"/>
  <c r="IL16" i="5"/>
  <c r="IM16" i="5"/>
  <c r="IN16" i="5"/>
  <c r="IO16" i="5"/>
  <c r="IP16" i="5"/>
  <c r="IQ16" i="5"/>
  <c r="IR16" i="5"/>
  <c r="IS16" i="5"/>
  <c r="IT16" i="5"/>
  <c r="IU16" i="5"/>
  <c r="IV16" i="5"/>
  <c r="IW16" i="5"/>
  <c r="IX16" i="5"/>
  <c r="IY16" i="5"/>
  <c r="IZ16" i="5"/>
  <c r="JA16" i="5"/>
  <c r="JB16" i="5"/>
  <c r="JC16" i="5"/>
  <c r="JD16" i="5"/>
  <c r="JE16" i="5"/>
  <c r="JF16" i="5"/>
  <c r="JG16" i="5"/>
  <c r="JH16" i="5"/>
  <c r="JI16" i="5"/>
  <c r="JJ16" i="5"/>
  <c r="JK16" i="5"/>
  <c r="JL16" i="5"/>
  <c r="JM16" i="5"/>
  <c r="JN16" i="5"/>
  <c r="JO16" i="5"/>
  <c r="JP16" i="5"/>
  <c r="JQ16" i="5"/>
  <c r="JR16" i="5"/>
  <c r="JS16" i="5"/>
  <c r="JT16" i="5"/>
  <c r="JU16" i="5"/>
  <c r="JV16" i="5"/>
  <c r="JW16" i="5"/>
  <c r="JX16" i="5"/>
  <c r="JY16" i="5"/>
  <c r="JZ16" i="5"/>
  <c r="KA16" i="5"/>
  <c r="KB16" i="5"/>
  <c r="KC16" i="5"/>
  <c r="KD16" i="5"/>
  <c r="KE16" i="5"/>
  <c r="KF16" i="5"/>
  <c r="KG16" i="5"/>
  <c r="KH16" i="5"/>
  <c r="KI16" i="5"/>
  <c r="KJ16" i="5"/>
  <c r="KK16" i="5"/>
  <c r="KL16" i="5"/>
  <c r="KM16" i="5"/>
  <c r="KN16" i="5"/>
  <c r="KO16" i="5"/>
  <c r="KP16" i="5"/>
  <c r="KQ16" i="5"/>
  <c r="KR16" i="5"/>
  <c r="KS16" i="5"/>
  <c r="KT16" i="5"/>
  <c r="KU16" i="5"/>
  <c r="KV16" i="5"/>
  <c r="KW16" i="5"/>
  <c r="KX16" i="5"/>
  <c r="KY16" i="5"/>
  <c r="KZ16" i="5"/>
  <c r="LA16" i="5"/>
  <c r="LB16" i="5"/>
  <c r="LC16" i="5"/>
  <c r="LD16" i="5"/>
  <c r="LE16" i="5"/>
  <c r="LF16" i="5"/>
  <c r="LG16" i="5"/>
  <c r="LH16" i="5"/>
  <c r="LI16" i="5"/>
  <c r="LJ16" i="5"/>
  <c r="LK16" i="5"/>
  <c r="LL16" i="5"/>
  <c r="LM16" i="5"/>
  <c r="LN16" i="5"/>
  <c r="LO16" i="5"/>
  <c r="LP16" i="5"/>
  <c r="LQ16" i="5"/>
  <c r="LR16" i="5"/>
  <c r="LS16" i="5"/>
  <c r="LT16" i="5"/>
  <c r="LU16" i="5"/>
  <c r="LV16" i="5"/>
  <c r="LW16" i="5"/>
  <c r="LX16" i="5"/>
  <c r="LY16" i="5"/>
  <c r="LZ16" i="5"/>
  <c r="MA16" i="5"/>
  <c r="MB16" i="5"/>
  <c r="MC16" i="5"/>
  <c r="MD16" i="5"/>
  <c r="ME16" i="5"/>
  <c r="MF16" i="5"/>
  <c r="MG16" i="5"/>
  <c r="MH16" i="5"/>
  <c r="MI16" i="5"/>
  <c r="MJ16" i="5"/>
  <c r="MK16" i="5"/>
  <c r="ML16" i="5"/>
  <c r="MM16" i="5"/>
  <c r="MN16" i="5"/>
  <c r="MO16" i="5"/>
  <c r="MP16" i="5"/>
  <c r="MQ16" i="5"/>
  <c r="MR16" i="5"/>
  <c r="MS16" i="5"/>
  <c r="MT16" i="5"/>
  <c r="MU16" i="5"/>
  <c r="MV16" i="5"/>
  <c r="MW16" i="5"/>
  <c r="MX16" i="5"/>
  <c r="MY16" i="5"/>
  <c r="MZ16" i="5"/>
  <c r="NA16" i="5"/>
  <c r="NB16" i="5"/>
  <c r="C16" i="6"/>
  <c r="C24" i="12"/>
  <c r="C31" i="5"/>
  <c r="D31" i="5" s="1"/>
  <c r="C16" i="13"/>
  <c r="J16" i="13" s="1"/>
  <c r="C13" i="6"/>
  <c r="C25" i="5"/>
  <c r="F25" i="5" s="1"/>
  <c r="C24" i="5"/>
  <c r="F22" i="5"/>
  <c r="F10" i="5"/>
  <c r="C25" i="12"/>
  <c r="C23" i="12"/>
  <c r="C20" i="12"/>
  <c r="E13" i="1"/>
  <c r="I7" i="13"/>
  <c r="J7" i="13"/>
  <c r="C17" i="13"/>
  <c r="J17" i="13" s="1"/>
  <c r="C11" i="13"/>
  <c r="C10" i="13"/>
  <c r="K7" i="11"/>
  <c r="K25" i="11"/>
  <c r="J25" i="11"/>
  <c r="F40" i="9" l="1"/>
  <c r="C27" i="9"/>
  <c r="F24" i="11"/>
  <c r="I16" i="13"/>
  <c r="C32" i="5"/>
  <c r="D32" i="5" s="1"/>
  <c r="F24" i="5"/>
  <c r="I17" i="13"/>
  <c r="K6" i="13" l="1"/>
  <c r="J22" i="11"/>
  <c r="L6" i="13" s="1"/>
  <c r="F26" i="5"/>
  <c r="L11" i="13" l="1"/>
  <c r="L8" i="13"/>
  <c r="K8" i="13"/>
  <c r="M20" i="5" s="1"/>
  <c r="K11" i="13"/>
  <c r="I40" i="11"/>
  <c r="F16" i="11"/>
  <c r="G16" i="11" s="1"/>
  <c r="F17" i="11"/>
  <c r="G17" i="11" s="1"/>
  <c r="I38" i="11"/>
  <c r="I28" i="11"/>
  <c r="C6" i="11"/>
  <c r="K34" i="1"/>
  <c r="E36" i="1" s="1"/>
  <c r="C17" i="6" l="1"/>
  <c r="C28" i="9"/>
  <c r="K10" i="13"/>
  <c r="K12" i="13" s="1"/>
  <c r="L10" i="13"/>
  <c r="L12" i="13" s="1"/>
  <c r="C15" i="13"/>
  <c r="I32" i="11"/>
  <c r="I33" i="11"/>
  <c r="I39" i="11"/>
  <c r="I31" i="11"/>
  <c r="I30" i="11"/>
  <c r="I34" i="11"/>
  <c r="I41" i="11"/>
  <c r="I36" i="11"/>
  <c r="I35" i="11"/>
  <c r="I37" i="11"/>
  <c r="I29" i="11"/>
  <c r="H25" i="11"/>
  <c r="C30" i="5"/>
  <c r="D30" i="5" s="1"/>
  <c r="D37" i="1"/>
  <c r="E37" i="1" s="1"/>
  <c r="C29" i="9" s="1"/>
  <c r="C2" i="8"/>
  <c r="X41" i="8"/>
  <c r="X43" i="8" s="1"/>
  <c r="Y41" i="8"/>
  <c r="Y43" i="8" s="1"/>
  <c r="Z41" i="8"/>
  <c r="Z43" i="8" s="1"/>
  <c r="AA41" i="8"/>
  <c r="AA43" i="8" s="1"/>
  <c r="AB41" i="8"/>
  <c r="AB43" i="8" s="1"/>
  <c r="AC41" i="8"/>
  <c r="AC43" i="8" s="1"/>
  <c r="AD41" i="8"/>
  <c r="AD43" i="8" s="1"/>
  <c r="AE41" i="8"/>
  <c r="AE43" i="8" s="1"/>
  <c r="AF41" i="8"/>
  <c r="AF43" i="8" s="1"/>
  <c r="AG41" i="8"/>
  <c r="AG43" i="8" s="1"/>
  <c r="AH41" i="8"/>
  <c r="AH43" i="8" s="1"/>
  <c r="X52" i="8"/>
  <c r="X54" i="8" s="1"/>
  <c r="Y52" i="8"/>
  <c r="Y54" i="8" s="1"/>
  <c r="Z52" i="8"/>
  <c r="Z54" i="8" s="1"/>
  <c r="AA52" i="8"/>
  <c r="AA54" i="8" s="1"/>
  <c r="AB52" i="8"/>
  <c r="AB54" i="8" s="1"/>
  <c r="AC52" i="8"/>
  <c r="AC54" i="8" s="1"/>
  <c r="AD52" i="8"/>
  <c r="AD54" i="8" s="1"/>
  <c r="AE52" i="8"/>
  <c r="AE54" i="8" s="1"/>
  <c r="AF52" i="8"/>
  <c r="AF54" i="8" s="1"/>
  <c r="AG52" i="8"/>
  <c r="AG54" i="8" s="1"/>
  <c r="AH52" i="8"/>
  <c r="AH54" i="8" s="1"/>
  <c r="X30" i="8"/>
  <c r="X32" i="8" s="1"/>
  <c r="Y30" i="8"/>
  <c r="Y32" i="8" s="1"/>
  <c r="Z30" i="8"/>
  <c r="Z32" i="8" s="1"/>
  <c r="AA30" i="8"/>
  <c r="AA32" i="8" s="1"/>
  <c r="AB30" i="8"/>
  <c r="AB32" i="8" s="1"/>
  <c r="AC30" i="8"/>
  <c r="AC32" i="8" s="1"/>
  <c r="AD30" i="8"/>
  <c r="AD32" i="8" s="1"/>
  <c r="AE30" i="8"/>
  <c r="AE32" i="8" s="1"/>
  <c r="AF30" i="8"/>
  <c r="AF32" i="8" s="1"/>
  <c r="AG30" i="8"/>
  <c r="AG32" i="8" s="1"/>
  <c r="AH30" i="8"/>
  <c r="AH32" i="8" s="1"/>
  <c r="X19" i="8"/>
  <c r="X21" i="8" s="1"/>
  <c r="Y19" i="8"/>
  <c r="Y21" i="8" s="1"/>
  <c r="Z19" i="8"/>
  <c r="Z21" i="8" s="1"/>
  <c r="AA19" i="8"/>
  <c r="AA21" i="8" s="1"/>
  <c r="AB19" i="8"/>
  <c r="AB21" i="8" s="1"/>
  <c r="AC19" i="8"/>
  <c r="AC21" i="8" s="1"/>
  <c r="AD19" i="8"/>
  <c r="AD21" i="8" s="1"/>
  <c r="AE19" i="8"/>
  <c r="AE21" i="8" s="1"/>
  <c r="AF19" i="8"/>
  <c r="AF21" i="8" s="1"/>
  <c r="AG19" i="8"/>
  <c r="AG21" i="8" s="1"/>
  <c r="AH19" i="8"/>
  <c r="AH21" i="8" s="1"/>
  <c r="X8" i="8"/>
  <c r="X10" i="8" s="1"/>
  <c r="Y8" i="8"/>
  <c r="Y10" i="8" s="1"/>
  <c r="Z8" i="8"/>
  <c r="Z10" i="8" s="1"/>
  <c r="AA8" i="8"/>
  <c r="AA10" i="8" s="1"/>
  <c r="AB8" i="8"/>
  <c r="AB10" i="8" s="1"/>
  <c r="AC8" i="8"/>
  <c r="AC10" i="8" s="1"/>
  <c r="AD8" i="8"/>
  <c r="AD10" i="8" s="1"/>
  <c r="AE8" i="8"/>
  <c r="AE10" i="8" s="1"/>
  <c r="AF8" i="8"/>
  <c r="AF10" i="8" s="1"/>
  <c r="AG8" i="8"/>
  <c r="AG10" i="8" s="1"/>
  <c r="AH8" i="8"/>
  <c r="AH10" i="8" s="1"/>
  <c r="F25" i="11" l="1"/>
  <c r="J21" i="11"/>
  <c r="I6" i="13"/>
  <c r="J6" i="13"/>
  <c r="J11" i="13" s="1"/>
  <c r="C18" i="13"/>
  <c r="C33" i="5"/>
  <c r="D33" i="5" s="1"/>
  <c r="J15" i="13"/>
  <c r="I15" i="13"/>
  <c r="P52" i="9"/>
  <c r="E63" i="9" s="1"/>
  <c r="P51" i="9"/>
  <c r="H63" i="9" s="1"/>
  <c r="P50" i="9"/>
  <c r="C71" i="9"/>
  <c r="C72" i="9" s="1"/>
  <c r="C73" i="9" s="1"/>
  <c r="C74" i="9" s="1"/>
  <c r="C69" i="9"/>
  <c r="C68" i="9" s="1"/>
  <c r="C67" i="9" s="1"/>
  <c r="C66" i="9" s="1"/>
  <c r="B67" i="9"/>
  <c r="I65" i="9"/>
  <c r="J65" i="9" s="1"/>
  <c r="K65" i="9" s="1"/>
  <c r="L65" i="9" s="1"/>
  <c r="G65" i="9"/>
  <c r="F65" i="9" s="1"/>
  <c r="E65" i="9" s="1"/>
  <c r="D65" i="9" s="1"/>
  <c r="H64" i="9"/>
  <c r="B53" i="9"/>
  <c r="H50" i="9"/>
  <c r="C55" i="9"/>
  <c r="C54" i="9" s="1"/>
  <c r="C53" i="9" s="1"/>
  <c r="C52" i="9" s="1"/>
  <c r="G51" i="9"/>
  <c r="F51" i="9" s="1"/>
  <c r="E51" i="9" s="1"/>
  <c r="D51" i="9" s="1"/>
  <c r="D4" i="6"/>
  <c r="H21" i="7"/>
  <c r="J18" i="13" l="1"/>
  <c r="L18" i="13" s="1"/>
  <c r="J34" i="9"/>
  <c r="E16" i="6"/>
  <c r="E25" i="6"/>
  <c r="E49" i="9"/>
  <c r="L19" i="13"/>
  <c r="L21" i="13" s="1"/>
  <c r="I18" i="13"/>
  <c r="K18" i="13" s="1"/>
  <c r="I8" i="13"/>
  <c r="I10" i="13" s="1"/>
  <c r="I11" i="13"/>
  <c r="J8" i="13"/>
  <c r="J10" i="13" s="1"/>
  <c r="E17" i="6"/>
  <c r="J19" i="13"/>
  <c r="H49" i="9"/>
  <c r="C57" i="9"/>
  <c r="C58" i="9" s="1"/>
  <c r="C59" i="9" s="1"/>
  <c r="C60" i="9" s="1"/>
  <c r="I51" i="9"/>
  <c r="J51" i="9" s="1"/>
  <c r="K51" i="9" s="1"/>
  <c r="L51" i="9" s="1"/>
  <c r="F4" i="6"/>
  <c r="J35" i="9" l="1"/>
  <c r="L33" i="9" s="1"/>
  <c r="I19" i="13"/>
  <c r="K19" i="13"/>
  <c r="K21" i="13" s="1"/>
  <c r="I12" i="13"/>
  <c r="J12" i="13"/>
  <c r="J21" i="13" s="1"/>
  <c r="K36" i="9" l="1"/>
  <c r="K37" i="9"/>
  <c r="I21" i="13"/>
  <c r="F16" i="12"/>
  <c r="F10" i="12"/>
  <c r="F8" i="12"/>
  <c r="F4" i="12"/>
  <c r="F5" i="12" s="1"/>
  <c r="F11" i="12" s="1"/>
  <c r="K4" i="12"/>
  <c r="D9" i="4"/>
  <c r="C5" i="7"/>
  <c r="C113" i="7" s="1"/>
  <c r="C6" i="7"/>
  <c r="C114" i="7" s="1"/>
  <c r="C7" i="7"/>
  <c r="C115" i="7" s="1"/>
  <c r="C4" i="7"/>
  <c r="C112" i="7" s="1"/>
  <c r="D12" i="9"/>
  <c r="E3" i="9"/>
  <c r="D48" i="8"/>
  <c r="E49" i="8"/>
  <c r="F49" i="8" s="1"/>
  <c r="G49" i="8" s="1"/>
  <c r="H49" i="8" s="1"/>
  <c r="I49" i="8" s="1"/>
  <c r="J49" i="8" s="1"/>
  <c r="K49" i="8" s="1"/>
  <c r="L49" i="8" s="1"/>
  <c r="M49" i="8" s="1"/>
  <c r="N49" i="8" s="1"/>
  <c r="O49" i="8" s="1"/>
  <c r="P49" i="8" s="1"/>
  <c r="Q49" i="8" s="1"/>
  <c r="R49" i="8" s="1"/>
  <c r="S49" i="8" s="1"/>
  <c r="T49" i="8" s="1"/>
  <c r="U49" i="8" s="1"/>
  <c r="V49" i="8" s="1"/>
  <c r="W49" i="8" s="1"/>
  <c r="X49" i="8" s="1"/>
  <c r="Y49" i="8" s="1"/>
  <c r="Z49" i="8" s="1"/>
  <c r="AA49" i="8" s="1"/>
  <c r="AB49" i="8" s="1"/>
  <c r="AC49" i="8" s="1"/>
  <c r="AD49" i="8" s="1"/>
  <c r="AE49" i="8" s="1"/>
  <c r="AF49" i="8" s="1"/>
  <c r="AG49" i="8" s="1"/>
  <c r="AH49" i="8" s="1"/>
  <c r="D37" i="8"/>
  <c r="E38" i="8"/>
  <c r="F38" i="8" s="1"/>
  <c r="G38" i="8" s="1"/>
  <c r="H38" i="8" s="1"/>
  <c r="I38" i="8" s="1"/>
  <c r="J38" i="8" s="1"/>
  <c r="K38" i="8" s="1"/>
  <c r="L38" i="8" s="1"/>
  <c r="M38" i="8" s="1"/>
  <c r="N38" i="8" s="1"/>
  <c r="O38" i="8" s="1"/>
  <c r="P38" i="8" s="1"/>
  <c r="Q38" i="8" s="1"/>
  <c r="R38" i="8" s="1"/>
  <c r="S38" i="8" s="1"/>
  <c r="T38" i="8" s="1"/>
  <c r="U38" i="8" s="1"/>
  <c r="V38" i="8" s="1"/>
  <c r="W38" i="8" s="1"/>
  <c r="X38" i="8" s="1"/>
  <c r="Y38" i="8" s="1"/>
  <c r="Z38" i="8" s="1"/>
  <c r="AA38" i="8" s="1"/>
  <c r="AB38" i="8" s="1"/>
  <c r="AC38" i="8" s="1"/>
  <c r="AD38" i="8" s="1"/>
  <c r="AE38" i="8" s="1"/>
  <c r="AF38" i="8" s="1"/>
  <c r="AG38" i="8" s="1"/>
  <c r="AH38" i="8" s="1"/>
  <c r="D26" i="8"/>
  <c r="D15" i="8"/>
  <c r="E27" i="8"/>
  <c r="F27" i="8" s="1"/>
  <c r="G27" i="8" s="1"/>
  <c r="H27" i="8" s="1"/>
  <c r="I27" i="8" s="1"/>
  <c r="J27" i="8" s="1"/>
  <c r="K27" i="8" s="1"/>
  <c r="L27" i="8" s="1"/>
  <c r="M27" i="8" s="1"/>
  <c r="N27" i="8" s="1"/>
  <c r="O27" i="8" s="1"/>
  <c r="P27" i="8" s="1"/>
  <c r="Q27" i="8" s="1"/>
  <c r="R27" i="8" s="1"/>
  <c r="S27" i="8" s="1"/>
  <c r="T27" i="8" s="1"/>
  <c r="U27" i="8" s="1"/>
  <c r="V27" i="8" s="1"/>
  <c r="W27" i="8" s="1"/>
  <c r="X27" i="8" s="1"/>
  <c r="Y27" i="8" s="1"/>
  <c r="Z27" i="8" s="1"/>
  <c r="AA27" i="8" s="1"/>
  <c r="AB27" i="8" s="1"/>
  <c r="AC27" i="8" s="1"/>
  <c r="AD27" i="8" s="1"/>
  <c r="AE27" i="8" s="1"/>
  <c r="AF27" i="8" s="1"/>
  <c r="AG27" i="8" s="1"/>
  <c r="AH27" i="8" s="1"/>
  <c r="E16" i="8"/>
  <c r="F16" i="8" s="1"/>
  <c r="G16" i="8" s="1"/>
  <c r="H16" i="8" s="1"/>
  <c r="I16" i="8" s="1"/>
  <c r="J16" i="8" s="1"/>
  <c r="K16" i="8" s="1"/>
  <c r="L16" i="8" s="1"/>
  <c r="M16" i="8" s="1"/>
  <c r="N16" i="8" s="1"/>
  <c r="O16" i="8" s="1"/>
  <c r="P16" i="8" s="1"/>
  <c r="Q16" i="8" s="1"/>
  <c r="R16" i="8" s="1"/>
  <c r="S16" i="8" s="1"/>
  <c r="T16" i="8" s="1"/>
  <c r="U16" i="8" s="1"/>
  <c r="V16" i="8" s="1"/>
  <c r="W16" i="8" s="1"/>
  <c r="X16" i="8" s="1"/>
  <c r="Y16" i="8" s="1"/>
  <c r="Z16" i="8" s="1"/>
  <c r="AA16" i="8" s="1"/>
  <c r="AB16" i="8" s="1"/>
  <c r="AC16" i="8" s="1"/>
  <c r="AD16" i="8" s="1"/>
  <c r="AE16" i="8" s="1"/>
  <c r="AF16" i="8" s="1"/>
  <c r="AG16" i="8" s="1"/>
  <c r="AH16" i="8" s="1"/>
  <c r="E5" i="8"/>
  <c r="D4" i="7"/>
  <c r="D5" i="7"/>
  <c r="D80" i="7" s="1"/>
  <c r="D6" i="7"/>
  <c r="D81" i="7" s="1"/>
  <c r="D7" i="7"/>
  <c r="D57" i="7" s="1"/>
  <c r="D18" i="2"/>
  <c r="D4" i="8" s="1"/>
  <c r="C3" i="7"/>
  <c r="C28" i="7" s="1"/>
  <c r="D13" i="7"/>
  <c r="J20" i="7" s="1"/>
  <c r="K20" i="7" s="1"/>
  <c r="L20" i="7" s="1"/>
  <c r="M20" i="7" s="1"/>
  <c r="N20" i="7" s="1"/>
  <c r="O20" i="7" s="1"/>
  <c r="P20" i="7" s="1"/>
  <c r="Q20" i="7" s="1"/>
  <c r="R20" i="7" s="1"/>
  <c r="S20" i="7" s="1"/>
  <c r="T20" i="7" s="1"/>
  <c r="U20" i="7" s="1"/>
  <c r="V20" i="7" s="1"/>
  <c r="W20" i="7" s="1"/>
  <c r="X20" i="7" s="1"/>
  <c r="Y20" i="7" s="1"/>
  <c r="Z20" i="7" s="1"/>
  <c r="AA20" i="7" s="1"/>
  <c r="AB20" i="7" s="1"/>
  <c r="AC20" i="7" s="1"/>
  <c r="AD20" i="7" s="1"/>
  <c r="AE20" i="7" s="1"/>
  <c r="AF20" i="7" s="1"/>
  <c r="AG20" i="7" s="1"/>
  <c r="AH20" i="7" s="1"/>
  <c r="AI20" i="7" s="1"/>
  <c r="AJ20" i="7" s="1"/>
  <c r="AK20" i="7" s="1"/>
  <c r="AL20" i="7" s="1"/>
  <c r="AM20" i="7" s="1"/>
  <c r="AN20" i="7" s="1"/>
  <c r="AO20" i="7" s="1"/>
  <c r="AP20" i="7" s="1"/>
  <c r="AQ20" i="7" s="1"/>
  <c r="AR20" i="7" s="1"/>
  <c r="AS20" i="7" s="1"/>
  <c r="AT20" i="7" s="1"/>
  <c r="AU20" i="7" s="1"/>
  <c r="AV20" i="7" s="1"/>
  <c r="AW20" i="7" s="1"/>
  <c r="AX20" i="7" s="1"/>
  <c r="AY20" i="7" s="1"/>
  <c r="AZ20" i="7" s="1"/>
  <c r="BA20" i="7" s="1"/>
  <c r="BB20" i="7" s="1"/>
  <c r="BC20" i="7" s="1"/>
  <c r="BD20" i="7" s="1"/>
  <c r="BE20" i="7" s="1"/>
  <c r="BF20" i="7" s="1"/>
  <c r="BG20" i="7" s="1"/>
  <c r="BH20" i="7" s="1"/>
  <c r="BI20" i="7" s="1"/>
  <c r="BJ20" i="7" s="1"/>
  <c r="BK20" i="7" s="1"/>
  <c r="BL20" i="7" s="1"/>
  <c r="BM20" i="7" s="1"/>
  <c r="BN20" i="7" s="1"/>
  <c r="BO20" i="7" s="1"/>
  <c r="BP20" i="7" s="1"/>
  <c r="BQ20" i="7" s="1"/>
  <c r="BR20" i="7" s="1"/>
  <c r="BS20" i="7" s="1"/>
  <c r="BT20" i="7" s="1"/>
  <c r="BU20" i="7" s="1"/>
  <c r="BV20" i="7" s="1"/>
  <c r="BW20" i="7" s="1"/>
  <c r="BX20" i="7" s="1"/>
  <c r="BY20" i="7" s="1"/>
  <c r="BZ20" i="7" s="1"/>
  <c r="CA20" i="7" s="1"/>
  <c r="CB20" i="7" s="1"/>
  <c r="CC20" i="7" s="1"/>
  <c r="CD20" i="7" s="1"/>
  <c r="CE20" i="7" s="1"/>
  <c r="CF20" i="7" s="1"/>
  <c r="CG20" i="7" s="1"/>
  <c r="CH20" i="7" s="1"/>
  <c r="CI20" i="7" s="1"/>
  <c r="CJ20" i="7" s="1"/>
  <c r="CK20" i="7" s="1"/>
  <c r="CL20" i="7" s="1"/>
  <c r="CM20" i="7" s="1"/>
  <c r="CN20" i="7" s="1"/>
  <c r="CO20" i="7" s="1"/>
  <c r="CP20" i="7" s="1"/>
  <c r="CQ20" i="7" s="1"/>
  <c r="CR20" i="7" s="1"/>
  <c r="CS20" i="7" s="1"/>
  <c r="CT20" i="7" s="1"/>
  <c r="CU20" i="7" s="1"/>
  <c r="CV20" i="7" s="1"/>
  <c r="CW20" i="7" s="1"/>
  <c r="CX20" i="7" s="1"/>
  <c r="CY20" i="7" s="1"/>
  <c r="CZ20" i="7" s="1"/>
  <c r="DA20" i="7" s="1"/>
  <c r="DB20" i="7" s="1"/>
  <c r="DC20" i="7" s="1"/>
  <c r="DD20" i="7" s="1"/>
  <c r="DE20" i="7" s="1"/>
  <c r="DF20" i="7" s="1"/>
  <c r="DG20" i="7" s="1"/>
  <c r="DH20" i="7" s="1"/>
  <c r="DI20" i="7" s="1"/>
  <c r="DJ20" i="7" s="1"/>
  <c r="DK20" i="7" s="1"/>
  <c r="DL20" i="7" s="1"/>
  <c r="DM20" i="7" s="1"/>
  <c r="DN20" i="7" s="1"/>
  <c r="DO20" i="7" s="1"/>
  <c r="DP20" i="7" s="1"/>
  <c r="DQ20" i="7" s="1"/>
  <c r="DR20" i="7" s="1"/>
  <c r="DS20" i="7" s="1"/>
  <c r="DT20" i="7" s="1"/>
  <c r="DU20" i="7" s="1"/>
  <c r="DV20" i="7" s="1"/>
  <c r="DW20" i="7" s="1"/>
  <c r="DX20" i="7" s="1"/>
  <c r="DY20" i="7" s="1"/>
  <c r="DZ20" i="7" s="1"/>
  <c r="EA20" i="7" s="1"/>
  <c r="EB20" i="7" s="1"/>
  <c r="EC20" i="7" s="1"/>
  <c r="ED20" i="7" s="1"/>
  <c r="EE20" i="7" s="1"/>
  <c r="EF20" i="7" s="1"/>
  <c r="EG20" i="7" s="1"/>
  <c r="EH20" i="7" s="1"/>
  <c r="EI20" i="7" s="1"/>
  <c r="EJ20" i="7" s="1"/>
  <c r="EK20" i="7" s="1"/>
  <c r="EL20" i="7" s="1"/>
  <c r="EM20" i="7" s="1"/>
  <c r="EN20" i="7" s="1"/>
  <c r="EO20" i="7" s="1"/>
  <c r="EP20" i="7" s="1"/>
  <c r="EQ20" i="7" s="1"/>
  <c r="ER20" i="7" s="1"/>
  <c r="ES20" i="7" s="1"/>
  <c r="ET20" i="7" s="1"/>
  <c r="EU20" i="7" s="1"/>
  <c r="EV20" i="7" s="1"/>
  <c r="EW20" i="7" s="1"/>
  <c r="EX20" i="7" s="1"/>
  <c r="EY20" i="7" s="1"/>
  <c r="EZ20" i="7" s="1"/>
  <c r="FA20" i="7" s="1"/>
  <c r="FB20" i="7" s="1"/>
  <c r="FC20" i="7" s="1"/>
  <c r="FD20" i="7" s="1"/>
  <c r="FE20" i="7" s="1"/>
  <c r="FF20" i="7" s="1"/>
  <c r="FG20" i="7" s="1"/>
  <c r="FH20" i="7" s="1"/>
  <c r="FI20" i="7" s="1"/>
  <c r="FJ20" i="7" s="1"/>
  <c r="FK20" i="7" s="1"/>
  <c r="FL20" i="7" s="1"/>
  <c r="FM20" i="7" s="1"/>
  <c r="FN20" i="7" s="1"/>
  <c r="FO20" i="7" s="1"/>
  <c r="FP20" i="7" s="1"/>
  <c r="FQ20" i="7" s="1"/>
  <c r="FR20" i="7" s="1"/>
  <c r="FS20" i="7" s="1"/>
  <c r="FT20" i="7" s="1"/>
  <c r="FU20" i="7" s="1"/>
  <c r="FV20" i="7" s="1"/>
  <c r="FW20" i="7" s="1"/>
  <c r="FX20" i="7" s="1"/>
  <c r="FY20" i="7" s="1"/>
  <c r="FZ20" i="7" s="1"/>
  <c r="GA20" i="7" s="1"/>
  <c r="GB20" i="7" s="1"/>
  <c r="GC20" i="7" s="1"/>
  <c r="GD20" i="7" s="1"/>
  <c r="GE20" i="7" s="1"/>
  <c r="GF20" i="7" s="1"/>
  <c r="GG20" i="7" s="1"/>
  <c r="GH20" i="7" s="1"/>
  <c r="GI20" i="7" s="1"/>
  <c r="GJ20" i="7" s="1"/>
  <c r="GK20" i="7" s="1"/>
  <c r="GL20" i="7" s="1"/>
  <c r="GM20" i="7" s="1"/>
  <c r="GN20" i="7" s="1"/>
  <c r="GO20" i="7" s="1"/>
  <c r="GP20" i="7" s="1"/>
  <c r="GQ20" i="7" s="1"/>
  <c r="GR20" i="7" s="1"/>
  <c r="GS20" i="7" s="1"/>
  <c r="GT20" i="7" s="1"/>
  <c r="GU20" i="7" s="1"/>
  <c r="GV20" i="7" s="1"/>
  <c r="GW20" i="7" s="1"/>
  <c r="GX20" i="7" s="1"/>
  <c r="GY20" i="7" s="1"/>
  <c r="GZ20" i="7" s="1"/>
  <c r="HA20" i="7" s="1"/>
  <c r="HB20" i="7" s="1"/>
  <c r="HC20" i="7" s="1"/>
  <c r="HD20" i="7" s="1"/>
  <c r="HE20" i="7" s="1"/>
  <c r="HF20" i="7" s="1"/>
  <c r="HG20" i="7" s="1"/>
  <c r="HH20" i="7" s="1"/>
  <c r="HI20" i="7" s="1"/>
  <c r="HJ20" i="7" s="1"/>
  <c r="HK20" i="7" s="1"/>
  <c r="HL20" i="7" s="1"/>
  <c r="HM20" i="7" s="1"/>
  <c r="HN20" i="7" s="1"/>
  <c r="HO20" i="7" s="1"/>
  <c r="HP20" i="7" s="1"/>
  <c r="HQ20" i="7" s="1"/>
  <c r="HR20" i="7" s="1"/>
  <c r="HS20" i="7" s="1"/>
  <c r="HT20" i="7" s="1"/>
  <c r="HU20" i="7" s="1"/>
  <c r="HV20" i="7" s="1"/>
  <c r="HW20" i="7" s="1"/>
  <c r="HX20" i="7" s="1"/>
  <c r="HY20" i="7" s="1"/>
  <c r="HZ20" i="7" s="1"/>
  <c r="IA20" i="7" s="1"/>
  <c r="IB20" i="7" s="1"/>
  <c r="IC20" i="7" s="1"/>
  <c r="ID20" i="7" s="1"/>
  <c r="IE20" i="7" s="1"/>
  <c r="IF20" i="7" s="1"/>
  <c r="IG20" i="7" s="1"/>
  <c r="IH20" i="7" s="1"/>
  <c r="II20" i="7" s="1"/>
  <c r="IJ20" i="7" s="1"/>
  <c r="IK20" i="7" s="1"/>
  <c r="IL20" i="7" s="1"/>
  <c r="IM20" i="7" s="1"/>
  <c r="IN20" i="7" s="1"/>
  <c r="IO20" i="7" s="1"/>
  <c r="IP20" i="7" s="1"/>
  <c r="IQ20" i="7" s="1"/>
  <c r="IR20" i="7" s="1"/>
  <c r="IS20" i="7" s="1"/>
  <c r="IT20" i="7" s="1"/>
  <c r="IU20" i="7" s="1"/>
  <c r="IV20" i="7" s="1"/>
  <c r="IW20" i="7" s="1"/>
  <c r="IX20" i="7" s="1"/>
  <c r="IY20" i="7" s="1"/>
  <c r="IZ20" i="7" s="1"/>
  <c r="JA20" i="7" s="1"/>
  <c r="JB20" i="7" s="1"/>
  <c r="JC20" i="7" s="1"/>
  <c r="JD20" i="7" s="1"/>
  <c r="JE20" i="7" s="1"/>
  <c r="JF20" i="7" s="1"/>
  <c r="JG20" i="7" s="1"/>
  <c r="JH20" i="7" s="1"/>
  <c r="JI20" i="7" s="1"/>
  <c r="JJ20" i="7" s="1"/>
  <c r="JK20" i="7" s="1"/>
  <c r="JL20" i="7" s="1"/>
  <c r="JM20" i="7" s="1"/>
  <c r="JN20" i="7" s="1"/>
  <c r="JO20" i="7" s="1"/>
  <c r="JP20" i="7" s="1"/>
  <c r="JQ20" i="7" s="1"/>
  <c r="JR20" i="7" s="1"/>
  <c r="JS20" i="7" s="1"/>
  <c r="JT20" i="7" s="1"/>
  <c r="JU20" i="7" s="1"/>
  <c r="JV20" i="7" s="1"/>
  <c r="JW20" i="7" s="1"/>
  <c r="JX20" i="7" s="1"/>
  <c r="JY20" i="7" s="1"/>
  <c r="JZ20" i="7" s="1"/>
  <c r="KA20" i="7" s="1"/>
  <c r="KB20" i="7" s="1"/>
  <c r="KC20" i="7" s="1"/>
  <c r="KD20" i="7" s="1"/>
  <c r="KE20" i="7" s="1"/>
  <c r="KF20" i="7" s="1"/>
  <c r="KG20" i="7" s="1"/>
  <c r="KH20" i="7" s="1"/>
  <c r="KI20" i="7" s="1"/>
  <c r="KJ20" i="7" s="1"/>
  <c r="KK20" i="7" s="1"/>
  <c r="KL20" i="7" s="1"/>
  <c r="KM20" i="7" s="1"/>
  <c r="KN20" i="7" s="1"/>
  <c r="KO20" i="7" s="1"/>
  <c r="KP20" i="7" s="1"/>
  <c r="KQ20" i="7" s="1"/>
  <c r="KR20" i="7" s="1"/>
  <c r="KS20" i="7" s="1"/>
  <c r="KT20" i="7" s="1"/>
  <c r="KU20" i="7" s="1"/>
  <c r="KV20" i="7" s="1"/>
  <c r="KW20" i="7" s="1"/>
  <c r="KX20" i="7" s="1"/>
  <c r="KY20" i="7" s="1"/>
  <c r="KZ20" i="7" s="1"/>
  <c r="LA20" i="7" s="1"/>
  <c r="LB20" i="7" s="1"/>
  <c r="LC20" i="7" s="1"/>
  <c r="LD20" i="7" s="1"/>
  <c r="LE20" i="7" s="1"/>
  <c r="LF20" i="7" s="1"/>
  <c r="LG20" i="7" s="1"/>
  <c r="LH20" i="7" s="1"/>
  <c r="LI20" i="7" s="1"/>
  <c r="LJ20" i="7" s="1"/>
  <c r="LK20" i="7" s="1"/>
  <c r="LL20" i="7" s="1"/>
  <c r="LM20" i="7" s="1"/>
  <c r="LN20" i="7" s="1"/>
  <c r="LO20" i="7" s="1"/>
  <c r="LP20" i="7" s="1"/>
  <c r="LQ20" i="7" s="1"/>
  <c r="LR20" i="7" s="1"/>
  <c r="LS20" i="7" s="1"/>
  <c r="LT20" i="7" s="1"/>
  <c r="LU20" i="7" s="1"/>
  <c r="LV20" i="7" s="1"/>
  <c r="LW20" i="7" s="1"/>
  <c r="LX20" i="7" s="1"/>
  <c r="LY20" i="7" s="1"/>
  <c r="LZ20" i="7" s="1"/>
  <c r="MA20" i="7" s="1"/>
  <c r="MB20" i="7" s="1"/>
  <c r="MC20" i="7" s="1"/>
  <c r="MD20" i="7" s="1"/>
  <c r="ME20" i="7" s="1"/>
  <c r="MF20" i="7" s="1"/>
  <c r="MG20" i="7" s="1"/>
  <c r="MH20" i="7" s="1"/>
  <c r="MI20" i="7" s="1"/>
  <c r="MJ20" i="7" s="1"/>
  <c r="MK20" i="7" s="1"/>
  <c r="ML20" i="7" s="1"/>
  <c r="MM20" i="7" s="1"/>
  <c r="MN20" i="7" s="1"/>
  <c r="MO20" i="7" s="1"/>
  <c r="MP20" i="7" s="1"/>
  <c r="MQ20" i="7" s="1"/>
  <c r="MR20" i="7" s="1"/>
  <c r="MS20" i="7" s="1"/>
  <c r="MT20" i="7" s="1"/>
  <c r="MU20" i="7" s="1"/>
  <c r="MV20" i="7" s="1"/>
  <c r="MW20" i="7" s="1"/>
  <c r="MX20" i="7" s="1"/>
  <c r="MY20" i="7" s="1"/>
  <c r="MZ20" i="7" s="1"/>
  <c r="NA20" i="7" s="1"/>
  <c r="NB20" i="7" s="1"/>
  <c r="NC20" i="7" s="1"/>
  <c r="ND20" i="7" s="1"/>
  <c r="D11" i="7"/>
  <c r="K14" i="7"/>
  <c r="E102" i="7" s="1"/>
  <c r="K11" i="7"/>
  <c r="K12" i="7" s="1"/>
  <c r="E92" i="7" s="1"/>
  <c r="K9" i="7"/>
  <c r="D67" i="7" s="1"/>
  <c r="K8" i="7"/>
  <c r="D72" i="7" s="1"/>
  <c r="K5" i="7"/>
  <c r="K6" i="7" s="1"/>
  <c r="D70" i="7" s="1"/>
  <c r="D75" i="7" s="1"/>
  <c r="K4" i="7"/>
  <c r="D42" i="7" s="1"/>
  <c r="F3" i="9" l="1"/>
  <c r="BC15" i="10"/>
  <c r="BC19" i="10"/>
  <c r="D23" i="2"/>
  <c r="C61" i="7"/>
  <c r="F5" i="8"/>
  <c r="G5" i="8" s="1"/>
  <c r="H5" i="8" s="1"/>
  <c r="I5" i="8" s="1"/>
  <c r="J5" i="8" s="1"/>
  <c r="K5" i="8" s="1"/>
  <c r="L5" i="8" s="1"/>
  <c r="M5" i="8" s="1"/>
  <c r="N5" i="8" s="1"/>
  <c r="O5" i="8" s="1"/>
  <c r="P5" i="8" s="1"/>
  <c r="Q5" i="8" s="1"/>
  <c r="R5" i="8" s="1"/>
  <c r="S5" i="8" s="1"/>
  <c r="T5" i="8" s="1"/>
  <c r="U5" i="8" s="1"/>
  <c r="V5" i="8" s="1"/>
  <c r="W5" i="8" s="1"/>
  <c r="X5" i="8" s="1"/>
  <c r="Y5" i="8" s="1"/>
  <c r="Z5" i="8" s="1"/>
  <c r="AA5" i="8" s="1"/>
  <c r="AB5" i="8" s="1"/>
  <c r="AC5" i="8" s="1"/>
  <c r="AD5" i="8" s="1"/>
  <c r="AE5" i="8" s="1"/>
  <c r="AF5" i="8" s="1"/>
  <c r="AG5" i="8" s="1"/>
  <c r="AH5" i="8" s="1"/>
  <c r="E15" i="1"/>
  <c r="F41" i="9" s="1"/>
  <c r="F14" i="12"/>
  <c r="G7" i="12"/>
  <c r="D95" i="7"/>
  <c r="D96" i="7"/>
  <c r="D106" i="7" s="1"/>
  <c r="C94" i="7"/>
  <c r="C95" i="7"/>
  <c r="C107" i="7"/>
  <c r="C58" i="7"/>
  <c r="C79" i="7"/>
  <c r="C96" i="7"/>
  <c r="C97" i="7"/>
  <c r="C93" i="7"/>
  <c r="C80" i="7"/>
  <c r="D82" i="7"/>
  <c r="C78" i="7"/>
  <c r="C81" i="7"/>
  <c r="C123" i="7"/>
  <c r="B48" i="8" s="1"/>
  <c r="C82" i="7"/>
  <c r="D58" i="7"/>
  <c r="C57" i="7"/>
  <c r="C59" i="7"/>
  <c r="C60" i="7"/>
  <c r="C119" i="7"/>
  <c r="B4" i="8" s="1"/>
  <c r="C122" i="7"/>
  <c r="B37" i="8" s="1"/>
  <c r="C121" i="7"/>
  <c r="B26" i="8" s="1"/>
  <c r="C120" i="7"/>
  <c r="B15" i="8" s="1"/>
  <c r="C53" i="7"/>
  <c r="C106" i="7"/>
  <c r="C42" i="7"/>
  <c r="C37" i="7"/>
  <c r="C105" i="7"/>
  <c r="C104" i="7"/>
  <c r="C111" i="7"/>
  <c r="C103" i="7"/>
  <c r="D69" i="7"/>
  <c r="D74" i="7" s="1"/>
  <c r="K15" i="7"/>
  <c r="C33" i="7"/>
  <c r="C34" i="7"/>
  <c r="C45" i="7"/>
  <c r="C43" i="7"/>
  <c r="C44" i="7"/>
  <c r="C50" i="7"/>
  <c r="C49" i="7"/>
  <c r="D34" i="7"/>
  <c r="C35" i="7"/>
  <c r="C26" i="7"/>
  <c r="C51" i="7"/>
  <c r="C29" i="7"/>
  <c r="D50" i="7"/>
  <c r="C36" i="7"/>
  <c r="C27" i="7"/>
  <c r="C41" i="7"/>
  <c r="C52" i="7"/>
  <c r="D33" i="7"/>
  <c r="C25" i="7"/>
  <c r="D26" i="7"/>
  <c r="E98" i="7"/>
  <c r="D79" i="7"/>
  <c r="D41" i="7"/>
  <c r="D49" i="7"/>
  <c r="G3" i="9" l="1"/>
  <c r="BD19" i="10"/>
  <c r="BD15" i="10"/>
  <c r="G16" i="12"/>
  <c r="G17" i="12" s="1"/>
  <c r="E17" i="1"/>
  <c r="E18" i="1" s="1"/>
  <c r="F15" i="5"/>
  <c r="F15" i="12"/>
  <c r="F17" i="12" s="1"/>
  <c r="D26" i="6"/>
  <c r="G10" i="12"/>
  <c r="G8" i="12"/>
  <c r="H7" i="12"/>
  <c r="G11" i="12"/>
  <c r="D97" i="7"/>
  <c r="D107" i="7" s="1"/>
  <c r="D115" i="7" s="1"/>
  <c r="D94" i="7"/>
  <c r="D105" i="7"/>
  <c r="D113" i="7" s="1"/>
  <c r="E108" i="7"/>
  <c r="D87" i="7"/>
  <c r="H3" i="9" l="1"/>
  <c r="BE15" i="10"/>
  <c r="BE19" i="10"/>
  <c r="H24" i="12"/>
  <c r="H26" i="12"/>
  <c r="H20" i="12"/>
  <c r="H21" i="12"/>
  <c r="H25" i="12"/>
  <c r="H23" i="12"/>
  <c r="H16" i="12"/>
  <c r="H17" i="12" s="1"/>
  <c r="H11" i="12"/>
  <c r="H8" i="12"/>
  <c r="I7" i="12"/>
  <c r="H10" i="12"/>
  <c r="D104" i="7"/>
  <c r="D112" i="7" s="1"/>
  <c r="D114" i="7"/>
  <c r="I3" i="9" l="1"/>
  <c r="BF15" i="10"/>
  <c r="BF19" i="10"/>
  <c r="I24" i="12"/>
  <c r="I26" i="12"/>
  <c r="I20" i="12"/>
  <c r="I21" i="12"/>
  <c r="I23" i="12"/>
  <c r="I25" i="12"/>
  <c r="F34" i="5"/>
  <c r="F36" i="5" s="1"/>
  <c r="I11" i="12"/>
  <c r="J7" i="12"/>
  <c r="I8" i="12"/>
  <c r="I16" i="12"/>
  <c r="I17" i="12" s="1"/>
  <c r="I10" i="12"/>
  <c r="J3" i="9" l="1"/>
  <c r="BG15" i="10"/>
  <c r="BG19" i="10"/>
  <c r="J24" i="12"/>
  <c r="J26" i="12"/>
  <c r="J20" i="12"/>
  <c r="J21" i="12"/>
  <c r="J23" i="12"/>
  <c r="J25" i="12"/>
  <c r="J11" i="12"/>
  <c r="J16" i="12"/>
  <c r="J17" i="12" s="1"/>
  <c r="J8" i="12"/>
  <c r="J10" i="12"/>
  <c r="K7" i="12"/>
  <c r="K3" i="9" l="1"/>
  <c r="BH15" i="10"/>
  <c r="BH19" i="10"/>
  <c r="K24" i="12"/>
  <c r="K26" i="12"/>
  <c r="K20" i="12"/>
  <c r="K21" i="12"/>
  <c r="K23" i="12"/>
  <c r="K25" i="12"/>
  <c r="K11" i="12"/>
  <c r="K10" i="12"/>
  <c r="K16" i="12"/>
  <c r="K17" i="12" s="1"/>
  <c r="L7" i="12"/>
  <c r="K8" i="12"/>
  <c r="L3" i="9" l="1"/>
  <c r="BI19" i="10"/>
  <c r="BI15" i="10"/>
  <c r="L24" i="12"/>
  <c r="L26" i="12"/>
  <c r="L20" i="12"/>
  <c r="L21" i="12"/>
  <c r="L25" i="12"/>
  <c r="L23" i="12"/>
  <c r="L10" i="12"/>
  <c r="L16" i="12"/>
  <c r="L17" i="12" s="1"/>
  <c r="L11" i="12"/>
  <c r="L8" i="12"/>
  <c r="M7" i="12"/>
  <c r="M3" i="9" l="1"/>
  <c r="BJ15" i="10"/>
  <c r="BJ19" i="10"/>
  <c r="M24" i="12"/>
  <c r="M26" i="12"/>
  <c r="M21" i="12"/>
  <c r="M20" i="12"/>
  <c r="M23" i="12"/>
  <c r="M25" i="12"/>
  <c r="N7" i="12"/>
  <c r="M16" i="12"/>
  <c r="M17" i="12" s="1"/>
  <c r="M8" i="12"/>
  <c r="M11" i="12"/>
  <c r="M10" i="12"/>
  <c r="N3" i="9" l="1"/>
  <c r="BK15" i="10"/>
  <c r="BK19" i="10"/>
  <c r="N24" i="12"/>
  <c r="N26" i="12"/>
  <c r="N21" i="12"/>
  <c r="N20" i="12"/>
  <c r="N20" i="5" s="1"/>
  <c r="N23" i="12"/>
  <c r="N25" i="12"/>
  <c r="O7" i="12"/>
  <c r="N16" i="12"/>
  <c r="N17" i="12" s="1"/>
  <c r="N8" i="12"/>
  <c r="N11" i="12"/>
  <c r="N10" i="12"/>
  <c r="O3" i="9" l="1"/>
  <c r="BL15" i="10"/>
  <c r="BL19" i="10"/>
  <c r="O24" i="12"/>
  <c r="O26" i="12"/>
  <c r="O21" i="12"/>
  <c r="O20" i="12"/>
  <c r="O20" i="5" s="1"/>
  <c r="O23" i="12"/>
  <c r="O25" i="12"/>
  <c r="O11" i="12"/>
  <c r="O16" i="12"/>
  <c r="O17" i="12" s="1"/>
  <c r="P7" i="12"/>
  <c r="O10" i="12"/>
  <c r="O8" i="12"/>
  <c r="P3" i="9" l="1"/>
  <c r="BM15" i="10"/>
  <c r="BM19" i="10"/>
  <c r="P24" i="12"/>
  <c r="P20" i="12"/>
  <c r="P20" i="5" s="1"/>
  <c r="P26" i="12"/>
  <c r="P21" i="12"/>
  <c r="P23" i="12"/>
  <c r="P25" i="12"/>
  <c r="P16" i="12"/>
  <c r="P17" i="12" s="1"/>
  <c r="Q7" i="12"/>
  <c r="P10" i="12"/>
  <c r="P8" i="12"/>
  <c r="P11" i="12"/>
  <c r="Q3" i="9" l="1"/>
  <c r="BN19" i="10"/>
  <c r="BN15" i="10"/>
  <c r="Q24" i="12"/>
  <c r="Q26" i="12"/>
  <c r="Q20" i="12"/>
  <c r="Q20" i="5" s="1"/>
  <c r="Q21" i="12"/>
  <c r="Q23" i="12"/>
  <c r="Q25" i="12"/>
  <c r="R7" i="12"/>
  <c r="Q10" i="12"/>
  <c r="Q8" i="12"/>
  <c r="Q16" i="12"/>
  <c r="Q17" i="12" s="1"/>
  <c r="Q11" i="12"/>
  <c r="R3" i="9" l="1"/>
  <c r="BO15" i="10"/>
  <c r="BO19" i="10"/>
  <c r="R24" i="12"/>
  <c r="R20" i="12"/>
  <c r="R20" i="5" s="1"/>
  <c r="R26" i="12"/>
  <c r="R21" i="12"/>
  <c r="R16" i="12"/>
  <c r="R17" i="12" s="1"/>
  <c r="R23" i="12"/>
  <c r="R25" i="12"/>
  <c r="S7" i="12"/>
  <c r="R8" i="12"/>
  <c r="R10" i="12"/>
  <c r="R11" i="12"/>
  <c r="S3" i="9" l="1"/>
  <c r="T3" i="9" s="1"/>
  <c r="U3" i="9" s="1"/>
  <c r="V3" i="9" s="1"/>
  <c r="W3" i="9" s="1"/>
  <c r="X3" i="9" s="1"/>
  <c r="Y3" i="9" s="1"/>
  <c r="Z3" i="9" s="1"/>
  <c r="AA3" i="9" s="1"/>
  <c r="AB3" i="9" s="1"/>
  <c r="AC3" i="9" s="1"/>
  <c r="AD3" i="9" s="1"/>
  <c r="AE3" i="9" s="1"/>
  <c r="AF3" i="9" s="1"/>
  <c r="AG3" i="9" s="1"/>
  <c r="BP15" i="10"/>
  <c r="BP19" i="10"/>
  <c r="S26" i="12"/>
  <c r="S21" i="12"/>
  <c r="S20" i="12"/>
  <c r="S20" i="5" s="1"/>
  <c r="T7" i="12"/>
  <c r="S24" i="12"/>
  <c r="S8" i="12"/>
  <c r="T8" i="12" s="1"/>
  <c r="T25" i="12"/>
  <c r="T23" i="12"/>
  <c r="S16" i="12"/>
  <c r="S17" i="12" s="1"/>
  <c r="S10" i="12"/>
  <c r="S25" i="12"/>
  <c r="S23" i="12"/>
  <c r="S11" i="12"/>
  <c r="U7" i="12"/>
  <c r="T11" i="12"/>
  <c r="T10" i="12"/>
  <c r="U24" i="12" l="1"/>
  <c r="U20" i="12"/>
  <c r="U21" i="12"/>
  <c r="U26" i="12"/>
  <c r="T24" i="12"/>
  <c r="T20" i="12"/>
  <c r="T20" i="5" s="1"/>
  <c r="U20" i="5" s="1"/>
  <c r="T26" i="12"/>
  <c r="T21" i="12"/>
  <c r="T16" i="12"/>
  <c r="T17" i="12" s="1"/>
  <c r="U25" i="12"/>
  <c r="U23" i="12"/>
  <c r="U8" i="12"/>
  <c r="V7" i="12"/>
  <c r="U16" i="12"/>
  <c r="U17" i="12" s="1"/>
  <c r="U10" i="12"/>
  <c r="U11" i="12"/>
  <c r="V24" i="12" l="1"/>
  <c r="V26" i="12"/>
  <c r="V21" i="12"/>
  <c r="V20" i="12"/>
  <c r="V20" i="5" s="1"/>
  <c r="V23" i="12"/>
  <c r="V25" i="12"/>
  <c r="V8" i="12"/>
  <c r="W7" i="12"/>
  <c r="V11" i="12"/>
  <c r="V16" i="12"/>
  <c r="V17" i="12" s="1"/>
  <c r="V10" i="12"/>
  <c r="W24" i="12" l="1"/>
  <c r="W26" i="12"/>
  <c r="W21" i="12"/>
  <c r="W20" i="12"/>
  <c r="W20" i="5" s="1"/>
  <c r="W23" i="12"/>
  <c r="W25" i="12"/>
  <c r="X7" i="12"/>
  <c r="W11" i="12"/>
  <c r="W16" i="12"/>
  <c r="W17" i="12" s="1"/>
  <c r="W10" i="12"/>
  <c r="W8" i="12"/>
  <c r="X24" i="12" l="1"/>
  <c r="X26" i="12"/>
  <c r="X20" i="12"/>
  <c r="X20" i="5" s="1"/>
  <c r="X21" i="12"/>
  <c r="X23" i="12"/>
  <c r="X25" i="12"/>
  <c r="X8" i="12"/>
  <c r="Y7" i="12"/>
  <c r="X16" i="12"/>
  <c r="X17" i="12" s="1"/>
  <c r="X11" i="12"/>
  <c r="X10" i="12"/>
  <c r="Y24" i="12" l="1"/>
  <c r="Y20" i="12"/>
  <c r="Y20" i="5" s="1"/>
  <c r="Y26" i="12"/>
  <c r="Y21" i="12"/>
  <c r="Y23" i="12"/>
  <c r="Y25" i="12"/>
  <c r="Y8" i="12"/>
  <c r="Z7" i="12"/>
  <c r="Y11" i="12"/>
  <c r="Y16" i="12"/>
  <c r="Y17" i="12" s="1"/>
  <c r="Y10" i="12"/>
  <c r="Z24" i="12" l="1"/>
  <c r="Z26" i="12"/>
  <c r="Z20" i="12"/>
  <c r="Z20" i="5" s="1"/>
  <c r="Z21" i="12"/>
  <c r="Z23" i="12"/>
  <c r="Z25" i="12"/>
  <c r="AA7" i="12"/>
  <c r="Z16" i="12"/>
  <c r="Z17" i="12" s="1"/>
  <c r="Z11" i="12"/>
  <c r="Z10" i="12"/>
  <c r="Z8" i="12"/>
  <c r="AA24" i="12" l="1"/>
  <c r="AA26" i="12"/>
  <c r="AA20" i="12"/>
  <c r="AA20" i="5" s="1"/>
  <c r="AA21" i="12"/>
  <c r="AA23" i="12"/>
  <c r="AA25" i="12"/>
  <c r="AA8" i="12"/>
  <c r="AB7" i="12"/>
  <c r="AA16" i="12"/>
  <c r="AA17" i="12" s="1"/>
  <c r="AA10" i="12"/>
  <c r="AA11" i="12"/>
  <c r="AB24" i="12" l="1"/>
  <c r="AB26" i="12"/>
  <c r="AB20" i="12"/>
  <c r="AB20" i="5" s="1"/>
  <c r="AB21" i="12"/>
  <c r="AB25" i="12"/>
  <c r="AB23" i="12"/>
  <c r="AB8" i="12"/>
  <c r="AC7" i="12"/>
  <c r="AB16" i="12"/>
  <c r="AB17" i="12" s="1"/>
  <c r="AB10" i="12"/>
  <c r="AB11" i="12"/>
  <c r="AC24" i="12" l="1"/>
  <c r="AC26" i="12"/>
  <c r="AC20" i="12"/>
  <c r="AC20" i="5" s="1"/>
  <c r="AC21" i="12"/>
  <c r="AC25" i="12"/>
  <c r="AC23" i="12"/>
  <c r="AD7" i="12"/>
  <c r="AC10" i="12"/>
  <c r="AC16" i="12"/>
  <c r="AC17" i="12" s="1"/>
  <c r="AC11" i="12"/>
  <c r="AC8" i="12"/>
  <c r="AD24" i="12" l="1"/>
  <c r="AD26" i="12"/>
  <c r="AD20" i="12"/>
  <c r="AD20" i="5" s="1"/>
  <c r="AD21" i="12"/>
  <c r="AD25" i="12"/>
  <c r="AD23" i="12"/>
  <c r="AD8" i="12"/>
  <c r="AE7" i="12"/>
  <c r="AD10" i="12"/>
  <c r="AD16" i="12"/>
  <c r="AD17" i="12" s="1"/>
  <c r="AD11" i="12"/>
  <c r="AE24" i="12" l="1"/>
  <c r="AE26" i="12"/>
  <c r="AE21" i="12"/>
  <c r="AE20" i="12"/>
  <c r="AE20" i="5" s="1"/>
  <c r="AE25" i="12"/>
  <c r="AE23" i="12"/>
  <c r="AE8" i="12"/>
  <c r="AF7" i="12"/>
  <c r="AE10" i="12"/>
  <c r="AE16" i="12"/>
  <c r="AE17" i="12" s="1"/>
  <c r="AE11" i="12"/>
  <c r="AF24" i="12" l="1"/>
  <c r="AF26" i="12"/>
  <c r="AF20" i="12"/>
  <c r="AF20" i="5" s="1"/>
  <c r="AF21" i="12"/>
  <c r="AF23" i="12"/>
  <c r="AF25" i="12"/>
  <c r="AG7" i="12"/>
  <c r="AF16" i="12"/>
  <c r="AF17" i="12" s="1"/>
  <c r="AF11" i="12"/>
  <c r="AF10" i="12"/>
  <c r="AF8" i="12"/>
  <c r="AG24" i="12" l="1"/>
  <c r="AG26" i="12"/>
  <c r="AG20" i="12"/>
  <c r="AG20" i="5" s="1"/>
  <c r="AG21" i="12"/>
  <c r="AG23" i="12"/>
  <c r="AG25" i="12"/>
  <c r="AG8" i="12"/>
  <c r="AH7" i="12"/>
  <c r="AG11" i="12"/>
  <c r="AG16" i="12"/>
  <c r="AG17" i="12" s="1"/>
  <c r="AG10" i="12"/>
  <c r="AH24" i="12" l="1"/>
  <c r="AH20" i="12"/>
  <c r="AH20" i="5" s="1"/>
  <c r="AH26" i="12"/>
  <c r="AH21" i="12"/>
  <c r="AH23" i="12"/>
  <c r="AH25" i="12"/>
  <c r="AI7" i="12"/>
  <c r="AH16" i="12"/>
  <c r="AH17" i="12" s="1"/>
  <c r="AH11" i="12"/>
  <c r="AH10" i="12"/>
  <c r="AH8" i="12"/>
  <c r="AI24" i="12" l="1"/>
  <c r="AI26" i="12"/>
  <c r="AI20" i="12"/>
  <c r="AI20" i="5" s="1"/>
  <c r="AI21" i="12"/>
  <c r="AI23" i="12"/>
  <c r="AI25" i="12"/>
  <c r="AI8" i="12"/>
  <c r="AJ7" i="12"/>
  <c r="AI16" i="12"/>
  <c r="AI17" i="12" s="1"/>
  <c r="AI11" i="12"/>
  <c r="AI10" i="12"/>
  <c r="AJ24" i="12" l="1"/>
  <c r="AJ20" i="12"/>
  <c r="AJ20" i="5" s="1"/>
  <c r="AJ26" i="12"/>
  <c r="AJ21" i="12"/>
  <c r="AJ25" i="12"/>
  <c r="AJ23" i="12"/>
  <c r="AJ8" i="12"/>
  <c r="AK7" i="12"/>
  <c r="AJ16" i="12"/>
  <c r="AJ17" i="12" s="1"/>
  <c r="AJ11" i="12"/>
  <c r="AJ10" i="12"/>
  <c r="AK24" i="12" l="1"/>
  <c r="AK20" i="12"/>
  <c r="AK20" i="5" s="1"/>
  <c r="AK21" i="12"/>
  <c r="AK26" i="12"/>
  <c r="AK25" i="12"/>
  <c r="AK23" i="12"/>
  <c r="AK8" i="12"/>
  <c r="AL7" i="12"/>
  <c r="AK10" i="12"/>
  <c r="AK16" i="12"/>
  <c r="AK17" i="12" s="1"/>
  <c r="AK11" i="12"/>
  <c r="AL24" i="12" l="1"/>
  <c r="AL20" i="12"/>
  <c r="AL20" i="5" s="1"/>
  <c r="AL21" i="12"/>
  <c r="AL26" i="12"/>
  <c r="AL23" i="12"/>
  <c r="AL25" i="12"/>
  <c r="AL8" i="12"/>
  <c r="AM7" i="12"/>
  <c r="AL10" i="12"/>
  <c r="AL11" i="12"/>
  <c r="AL16" i="12"/>
  <c r="AL17" i="12" s="1"/>
  <c r="AM24" i="12" l="1"/>
  <c r="AM26" i="12"/>
  <c r="AM20" i="12"/>
  <c r="AM20" i="5" s="1"/>
  <c r="AM21" i="12"/>
  <c r="AM23" i="12"/>
  <c r="AM25" i="12"/>
  <c r="AN7" i="12"/>
  <c r="AM10" i="12"/>
  <c r="AM11" i="12"/>
  <c r="AM16" i="12"/>
  <c r="AM17" i="12" s="1"/>
  <c r="AM8" i="12"/>
  <c r="AN24" i="12" l="1"/>
  <c r="AN26" i="12"/>
  <c r="AN20" i="12"/>
  <c r="AN20" i="5" s="1"/>
  <c r="AN21" i="12"/>
  <c r="AN23" i="12"/>
  <c r="AN25" i="12"/>
  <c r="AN8" i="12"/>
  <c r="AO7" i="12"/>
  <c r="AN16" i="12"/>
  <c r="AN17" i="12" s="1"/>
  <c r="AN11" i="12"/>
  <c r="AN10" i="12"/>
  <c r="AO24" i="12" l="1"/>
  <c r="AO26" i="12"/>
  <c r="AO20" i="12"/>
  <c r="AO20" i="5" s="1"/>
  <c r="AO21" i="12"/>
  <c r="AO23" i="12"/>
  <c r="AO25" i="12"/>
  <c r="AO8" i="12"/>
  <c r="AP7" i="12"/>
  <c r="AO11" i="12"/>
  <c r="AO10" i="12"/>
  <c r="AO16" i="12"/>
  <c r="AO17" i="12" s="1"/>
  <c r="AP24" i="12" l="1"/>
  <c r="AP20" i="12"/>
  <c r="AP20" i="5" s="1"/>
  <c r="AP26" i="12"/>
  <c r="AP21" i="12"/>
  <c r="AP23" i="12"/>
  <c r="AP25" i="12"/>
  <c r="AP8" i="12"/>
  <c r="AQ7" i="12"/>
  <c r="AP16" i="12"/>
  <c r="AP17" i="12" s="1"/>
  <c r="AP11" i="12"/>
  <c r="AP10" i="12"/>
  <c r="AQ24" i="12" l="1"/>
  <c r="AQ26" i="12"/>
  <c r="AQ21" i="12"/>
  <c r="AQ20" i="12"/>
  <c r="AQ20" i="5" s="1"/>
  <c r="AQ23" i="12"/>
  <c r="AQ25" i="12"/>
  <c r="AQ8" i="12"/>
  <c r="AR7" i="12"/>
  <c r="AQ16" i="12"/>
  <c r="AQ17" i="12" s="1"/>
  <c r="AQ10" i="12"/>
  <c r="AQ11" i="12"/>
  <c r="AR24" i="12" l="1"/>
  <c r="AR26" i="12"/>
  <c r="AR20" i="12"/>
  <c r="AR20" i="5" s="1"/>
  <c r="AR21" i="12"/>
  <c r="AR25" i="12"/>
  <c r="AR23" i="12"/>
  <c r="AR8" i="12"/>
  <c r="AS7" i="12"/>
  <c r="AR11" i="12"/>
  <c r="AR16" i="12"/>
  <c r="AR17" i="12" s="1"/>
  <c r="AR10" i="12"/>
  <c r="AS24" i="12" l="1"/>
  <c r="AS26" i="12"/>
  <c r="AS21" i="12"/>
  <c r="AS20" i="12"/>
  <c r="AS20" i="5" s="1"/>
  <c r="AS25" i="12"/>
  <c r="AS23" i="12"/>
  <c r="AS8" i="12"/>
  <c r="AT7" i="12"/>
  <c r="AS10" i="12"/>
  <c r="AS11" i="12"/>
  <c r="AS16" i="12"/>
  <c r="AS17" i="12" s="1"/>
  <c r="AT24" i="12" l="1"/>
  <c r="AT26" i="12"/>
  <c r="AT20" i="12"/>
  <c r="AT20" i="5" s="1"/>
  <c r="AT21" i="12"/>
  <c r="AT23" i="12"/>
  <c r="AT25" i="12"/>
  <c r="AU7" i="12"/>
  <c r="AT16" i="12"/>
  <c r="AT17" i="12" s="1"/>
  <c r="AT10" i="12"/>
  <c r="AT11" i="12"/>
  <c r="AT8" i="12"/>
  <c r="AU24" i="12" l="1"/>
  <c r="AU26" i="12"/>
  <c r="AU20" i="12"/>
  <c r="AU20" i="5" s="1"/>
  <c r="AU21" i="12"/>
  <c r="AU23" i="12"/>
  <c r="AU25" i="12"/>
  <c r="AU8" i="12"/>
  <c r="AV7" i="12"/>
  <c r="AU16" i="12"/>
  <c r="AU17" i="12" s="1"/>
  <c r="AU10" i="12"/>
  <c r="AU11" i="12"/>
  <c r="AV24" i="12" l="1"/>
  <c r="AV26" i="12"/>
  <c r="AV20" i="12"/>
  <c r="AV20" i="5" s="1"/>
  <c r="AV21" i="12"/>
  <c r="AV23" i="12"/>
  <c r="AV25" i="12"/>
  <c r="AV8" i="12"/>
  <c r="AW7" i="12"/>
  <c r="AV16" i="12"/>
  <c r="AV17" i="12" s="1"/>
  <c r="AV11" i="12"/>
  <c r="AV10" i="12"/>
  <c r="AW24" i="12" l="1"/>
  <c r="AW26" i="12"/>
  <c r="AW20" i="12"/>
  <c r="AW20" i="5" s="1"/>
  <c r="AW21" i="12"/>
  <c r="AW23" i="12"/>
  <c r="AW25" i="12"/>
  <c r="AX7" i="12"/>
  <c r="AW11" i="12"/>
  <c r="AW16" i="12"/>
  <c r="AW17" i="12" s="1"/>
  <c r="AW10" i="12"/>
  <c r="AW8" i="12"/>
  <c r="AX24" i="12" l="1"/>
  <c r="AX20" i="12"/>
  <c r="AX20" i="5" s="1"/>
  <c r="AX26" i="12"/>
  <c r="AX21" i="12"/>
  <c r="AX23" i="12"/>
  <c r="AX25" i="12"/>
  <c r="AY7" i="12"/>
  <c r="AX16" i="12"/>
  <c r="AX17" i="12" s="1"/>
  <c r="AX11" i="12"/>
  <c r="AX10" i="12"/>
  <c r="AX8" i="12"/>
  <c r="AY24" i="12" l="1"/>
  <c r="AY20" i="12"/>
  <c r="AY20" i="5" s="1"/>
  <c r="AY26" i="12"/>
  <c r="AY21" i="12"/>
  <c r="AY25" i="12"/>
  <c r="AY23" i="12"/>
  <c r="AZ7" i="12"/>
  <c r="AY16" i="12"/>
  <c r="AY17" i="12" s="1"/>
  <c r="AY11" i="12"/>
  <c r="AY10" i="12"/>
  <c r="AY8" i="12"/>
  <c r="AZ24" i="12" l="1"/>
  <c r="AZ26" i="12"/>
  <c r="AZ20" i="12"/>
  <c r="AZ20" i="5" s="1"/>
  <c r="AZ21" i="12"/>
  <c r="AZ23" i="12"/>
  <c r="AZ25" i="12"/>
  <c r="AZ8" i="12"/>
  <c r="BA7" i="12"/>
  <c r="AZ16" i="12"/>
  <c r="AZ17" i="12" s="1"/>
  <c r="AZ11" i="12"/>
  <c r="AZ10" i="12"/>
  <c r="BA24" i="12" l="1"/>
  <c r="BA21" i="12"/>
  <c r="BA26" i="12"/>
  <c r="BA20" i="12"/>
  <c r="BA20" i="5" s="1"/>
  <c r="BA23" i="12"/>
  <c r="BA25" i="12"/>
  <c r="BB7" i="12"/>
  <c r="BA10" i="12"/>
  <c r="BA16" i="12"/>
  <c r="BA17" i="12" s="1"/>
  <c r="BA11" i="12"/>
  <c r="BA8" i="12"/>
  <c r="BB24" i="12" l="1"/>
  <c r="BB21" i="12"/>
  <c r="BB26" i="12"/>
  <c r="BB20" i="12"/>
  <c r="BB20" i="5" s="1"/>
  <c r="BB23" i="12"/>
  <c r="BB25" i="12"/>
  <c r="BC7" i="12"/>
  <c r="BB11" i="12"/>
  <c r="BB10" i="12"/>
  <c r="BB16" i="12"/>
  <c r="BB17" i="12" s="1"/>
  <c r="BB8" i="12"/>
  <c r="BC24" i="12" l="1"/>
  <c r="BC26" i="12"/>
  <c r="BC21" i="12"/>
  <c r="BC20" i="12"/>
  <c r="BC20" i="5" s="1"/>
  <c r="BC25" i="12"/>
  <c r="BC23" i="12"/>
  <c r="BD7" i="12"/>
  <c r="BC11" i="12"/>
  <c r="BC10" i="12"/>
  <c r="BC16" i="12"/>
  <c r="BC17" i="12" s="1"/>
  <c r="BC8" i="12"/>
  <c r="BD24" i="12" l="1"/>
  <c r="BD26" i="12"/>
  <c r="BD21" i="12"/>
  <c r="BD20" i="12"/>
  <c r="BD20" i="5" s="1"/>
  <c r="BD23" i="12"/>
  <c r="BD25" i="12"/>
  <c r="BE7" i="12"/>
  <c r="BD16" i="12"/>
  <c r="BD17" i="12" s="1"/>
  <c r="BD11" i="12"/>
  <c r="BD10" i="12"/>
  <c r="BD8" i="12"/>
  <c r="BE24" i="12" l="1"/>
  <c r="BE26" i="12"/>
  <c r="BE20" i="12"/>
  <c r="BE20" i="5" s="1"/>
  <c r="BE21" i="12"/>
  <c r="BE23" i="12"/>
  <c r="BE25" i="12"/>
  <c r="BE8" i="12"/>
  <c r="BF7" i="12"/>
  <c r="BE11" i="12"/>
  <c r="BE10" i="12"/>
  <c r="BE16" i="12"/>
  <c r="BE17" i="12" s="1"/>
  <c r="BF24" i="12" l="1"/>
  <c r="BF20" i="12"/>
  <c r="BF20" i="5" s="1"/>
  <c r="BF26" i="12"/>
  <c r="BF21" i="12"/>
  <c r="BF23" i="12"/>
  <c r="BF25" i="12"/>
  <c r="BF8" i="12"/>
  <c r="BG7" i="12"/>
  <c r="BF16" i="12"/>
  <c r="BF17" i="12" s="1"/>
  <c r="BF11" i="12"/>
  <c r="BF10" i="12"/>
  <c r="BG24" i="12" l="1"/>
  <c r="BG26" i="12"/>
  <c r="BG20" i="12"/>
  <c r="BG20" i="5" s="1"/>
  <c r="BG21" i="12"/>
  <c r="BG25" i="12"/>
  <c r="BG23" i="12"/>
  <c r="BH7" i="12"/>
  <c r="BG16" i="12"/>
  <c r="BG17" i="12" s="1"/>
  <c r="BG11" i="12"/>
  <c r="BG10" i="12"/>
  <c r="BG8" i="12"/>
  <c r="BH24" i="12" l="1"/>
  <c r="BH20" i="12"/>
  <c r="BH20" i="5" s="1"/>
  <c r="BH26" i="12"/>
  <c r="BH21" i="12"/>
  <c r="BH25" i="12"/>
  <c r="BH23" i="12"/>
  <c r="BI7" i="12"/>
  <c r="BH16" i="12"/>
  <c r="BH17" i="12" s="1"/>
  <c r="BH11" i="12"/>
  <c r="BH10" i="12"/>
  <c r="BH8" i="12"/>
  <c r="BI24" i="12" l="1"/>
  <c r="BI26" i="12"/>
  <c r="BI20" i="12"/>
  <c r="BI20" i="5" s="1"/>
  <c r="BI21" i="12"/>
  <c r="BI25" i="12"/>
  <c r="BI23" i="12"/>
  <c r="BI8" i="12"/>
  <c r="BJ7" i="12"/>
  <c r="BI10" i="12"/>
  <c r="BI16" i="12"/>
  <c r="BI17" i="12" s="1"/>
  <c r="BI11" i="12"/>
  <c r="BJ24" i="12" l="1"/>
  <c r="BJ26" i="12"/>
  <c r="BJ21" i="12"/>
  <c r="BJ20" i="12"/>
  <c r="BJ20" i="5" s="1"/>
  <c r="BJ23" i="12"/>
  <c r="BJ25" i="12"/>
  <c r="BK7" i="12"/>
  <c r="BJ10" i="12"/>
  <c r="BJ16" i="12"/>
  <c r="BJ17" i="12" s="1"/>
  <c r="BJ11" i="12"/>
  <c r="BJ8" i="12"/>
  <c r="BK24" i="12" l="1"/>
  <c r="BK26" i="12"/>
  <c r="BK21" i="12"/>
  <c r="BK20" i="12"/>
  <c r="BK20" i="5" s="1"/>
  <c r="BK23" i="12"/>
  <c r="BK25" i="12"/>
  <c r="BK8" i="12"/>
  <c r="BL7" i="12"/>
  <c r="BK10" i="12"/>
  <c r="BK11" i="12"/>
  <c r="BK16" i="12"/>
  <c r="BK17" i="12" s="1"/>
  <c r="BL24" i="12" l="1"/>
  <c r="BL26" i="12"/>
  <c r="BL20" i="12"/>
  <c r="BL20" i="5" s="1"/>
  <c r="BL21" i="12"/>
  <c r="BL23" i="12"/>
  <c r="BL25" i="12"/>
  <c r="BM7" i="12"/>
  <c r="BL16" i="12"/>
  <c r="BL17" i="12" s="1"/>
  <c r="BL11" i="12"/>
  <c r="BL10" i="12"/>
  <c r="BL8" i="12"/>
  <c r="BM24" i="12" l="1"/>
  <c r="BM26" i="12"/>
  <c r="BM20" i="12"/>
  <c r="BM20" i="5" s="1"/>
  <c r="BM21" i="12"/>
  <c r="BM23" i="12"/>
  <c r="BM25" i="12"/>
  <c r="BN7" i="12"/>
  <c r="BM11" i="12"/>
  <c r="BM16" i="12"/>
  <c r="BM17" i="12" s="1"/>
  <c r="BM10" i="12"/>
  <c r="BM8" i="12"/>
  <c r="BN24" i="12" l="1"/>
  <c r="BN20" i="12"/>
  <c r="BN20" i="5" s="1"/>
  <c r="BN26" i="12"/>
  <c r="BN21" i="12"/>
  <c r="BN23" i="12"/>
  <c r="BN25" i="12"/>
  <c r="BN8" i="12"/>
  <c r="BO7" i="12"/>
  <c r="BN16" i="12"/>
  <c r="BN17" i="12" s="1"/>
  <c r="BN11" i="12"/>
  <c r="BN10" i="12"/>
  <c r="BO24" i="12" l="1"/>
  <c r="BO26" i="12"/>
  <c r="BO21" i="12"/>
  <c r="BO20" i="12"/>
  <c r="BO20" i="5" s="1"/>
  <c r="BO23" i="12"/>
  <c r="BO25" i="12"/>
  <c r="BP7" i="12"/>
  <c r="BO16" i="12"/>
  <c r="BO17" i="12" s="1"/>
  <c r="BO11" i="12"/>
  <c r="BO10" i="12"/>
  <c r="BO8" i="12"/>
  <c r="BP24" i="12" l="1"/>
  <c r="BP20" i="12"/>
  <c r="BP20" i="5" s="1"/>
  <c r="BP21" i="12"/>
  <c r="BP26" i="12"/>
  <c r="BP25" i="12"/>
  <c r="BP23" i="12"/>
  <c r="BP8" i="12"/>
  <c r="BQ7" i="12"/>
  <c r="BP11" i="12"/>
  <c r="BP10" i="12"/>
  <c r="BP16" i="12"/>
  <c r="BP17" i="12" s="1"/>
  <c r="BQ24" i="12" l="1"/>
  <c r="BQ20" i="12"/>
  <c r="BQ20" i="5" s="1"/>
  <c r="BQ21" i="12"/>
  <c r="BQ26" i="12"/>
  <c r="BQ25" i="12"/>
  <c r="BQ23" i="12"/>
  <c r="BQ8" i="12"/>
  <c r="BR7" i="12"/>
  <c r="BQ10" i="12"/>
  <c r="BQ16" i="12"/>
  <c r="BQ17" i="12" s="1"/>
  <c r="BQ11" i="12"/>
  <c r="BR24" i="12" l="1"/>
  <c r="BR20" i="12"/>
  <c r="BR20" i="5" s="1"/>
  <c r="BR21" i="12"/>
  <c r="BR26" i="12"/>
  <c r="BR23" i="12"/>
  <c r="BR25" i="12"/>
  <c r="BR8" i="12"/>
  <c r="BS7" i="12"/>
  <c r="BR10" i="12"/>
  <c r="BR16" i="12"/>
  <c r="BR17" i="12" s="1"/>
  <c r="BR11" i="12"/>
  <c r="BS24" i="12" l="1"/>
  <c r="BS26" i="12"/>
  <c r="BS20" i="12"/>
  <c r="BS20" i="5" s="1"/>
  <c r="BS21" i="12"/>
  <c r="BS25" i="12"/>
  <c r="BS23" i="12"/>
  <c r="BT7" i="12"/>
  <c r="BS16" i="12"/>
  <c r="BS17" i="12" s="1"/>
  <c r="BS10" i="12"/>
  <c r="BS11" i="12"/>
  <c r="BS8" i="12"/>
  <c r="BT24" i="12" l="1"/>
  <c r="BT26" i="12"/>
  <c r="BT20" i="12"/>
  <c r="BT20" i="5" s="1"/>
  <c r="BT21" i="12"/>
  <c r="BT25" i="12"/>
  <c r="BT23" i="12"/>
  <c r="BT8" i="12"/>
  <c r="BU7" i="12"/>
  <c r="BT16" i="12"/>
  <c r="BT17" i="12" s="1"/>
  <c r="BT10" i="12"/>
  <c r="BT11" i="12"/>
  <c r="BU24" i="12" l="1"/>
  <c r="BU26" i="12"/>
  <c r="BU20" i="12"/>
  <c r="BU20" i="5" s="1"/>
  <c r="BU21" i="12"/>
  <c r="BU23" i="12"/>
  <c r="BU25" i="12"/>
  <c r="BV7" i="12"/>
  <c r="BU11" i="12"/>
  <c r="BU16" i="12"/>
  <c r="BU17" i="12" s="1"/>
  <c r="BU10" i="12"/>
  <c r="BU8" i="12"/>
  <c r="BV24" i="12" l="1"/>
  <c r="BV26" i="12"/>
  <c r="BV20" i="12"/>
  <c r="BV20" i="5" s="1"/>
  <c r="BV21" i="12"/>
  <c r="BV23" i="12"/>
  <c r="BV25" i="12"/>
  <c r="BV8" i="12"/>
  <c r="BW7" i="12"/>
  <c r="BV16" i="12"/>
  <c r="BV17" i="12" s="1"/>
  <c r="BV11" i="12"/>
  <c r="BV10" i="12"/>
  <c r="BW24" i="12" l="1"/>
  <c r="BW26" i="12"/>
  <c r="BW20" i="12"/>
  <c r="BW20" i="5" s="1"/>
  <c r="BW21" i="12"/>
  <c r="BW23" i="12"/>
  <c r="BW25" i="12"/>
  <c r="BX7" i="12"/>
  <c r="BW16" i="12"/>
  <c r="BW17" i="12" s="1"/>
  <c r="BW11" i="12"/>
  <c r="BW10" i="12"/>
  <c r="BW8" i="12"/>
  <c r="BX24" i="12" l="1"/>
  <c r="BX26" i="12"/>
  <c r="BX21" i="12"/>
  <c r="BX20" i="12"/>
  <c r="BX20" i="5" s="1"/>
  <c r="BX25" i="12"/>
  <c r="BX23" i="12"/>
  <c r="BX8" i="12"/>
  <c r="BY7" i="12"/>
  <c r="BX11" i="12"/>
  <c r="BX16" i="12"/>
  <c r="BX17" i="12" s="1"/>
  <c r="BX10" i="12"/>
  <c r="BY24" i="12" l="1"/>
  <c r="BY20" i="12"/>
  <c r="BY20" i="5" s="1"/>
  <c r="BY26" i="12"/>
  <c r="BY21" i="12"/>
  <c r="BY25" i="12"/>
  <c r="BY23" i="12"/>
  <c r="BY8" i="12"/>
  <c r="BZ7" i="12"/>
  <c r="BY10" i="12"/>
  <c r="BY11" i="12"/>
  <c r="BY16" i="12"/>
  <c r="BY17" i="12" s="1"/>
  <c r="BZ24" i="12" l="1"/>
  <c r="BZ20" i="12"/>
  <c r="BZ20" i="5" s="1"/>
  <c r="BZ26" i="12"/>
  <c r="BZ21" i="12"/>
  <c r="BZ23" i="12"/>
  <c r="BZ25" i="12"/>
  <c r="CA7" i="12"/>
  <c r="BZ10" i="12"/>
  <c r="BZ11" i="12"/>
  <c r="BZ16" i="12"/>
  <c r="BZ17" i="12" s="1"/>
  <c r="BZ8" i="12"/>
  <c r="CA24" i="12" l="1"/>
  <c r="CA26" i="12"/>
  <c r="CA21" i="12"/>
  <c r="CA20" i="12"/>
  <c r="CA20" i="5" s="1"/>
  <c r="CA23" i="12"/>
  <c r="CA25" i="12"/>
  <c r="CB7" i="12"/>
  <c r="CA10" i="12"/>
  <c r="CA11" i="12"/>
  <c r="CA16" i="12"/>
  <c r="CA17" i="12" s="1"/>
  <c r="CA8" i="12"/>
  <c r="CB24" i="12" l="1"/>
  <c r="CB26" i="12"/>
  <c r="CB20" i="12"/>
  <c r="CB20" i="5" s="1"/>
  <c r="CB21" i="12"/>
  <c r="CB23" i="12"/>
  <c r="CB25" i="12"/>
  <c r="CB8" i="12"/>
  <c r="CC7" i="12"/>
  <c r="CB10" i="12"/>
  <c r="CB16" i="12"/>
  <c r="CB17" i="12" s="1"/>
  <c r="CB11" i="12"/>
  <c r="CC24" i="12" l="1"/>
  <c r="CC26" i="12"/>
  <c r="CC20" i="12"/>
  <c r="CC20" i="5" s="1"/>
  <c r="CC21" i="12"/>
  <c r="CC23" i="12"/>
  <c r="CC25" i="12"/>
  <c r="CD7" i="12"/>
  <c r="CC11" i="12"/>
  <c r="CC16" i="12"/>
  <c r="CC17" i="12" s="1"/>
  <c r="CC10" i="12"/>
  <c r="CC8" i="12"/>
  <c r="CD24" i="12" l="1"/>
  <c r="CD26" i="12"/>
  <c r="CD20" i="12"/>
  <c r="CD20" i="5" s="1"/>
  <c r="CD21" i="12"/>
  <c r="CD23" i="12"/>
  <c r="CD25" i="12"/>
  <c r="CD8" i="12"/>
  <c r="CE7" i="12"/>
  <c r="CD16" i="12"/>
  <c r="CD17" i="12" s="1"/>
  <c r="CD11" i="12"/>
  <c r="CD10" i="12"/>
  <c r="CE24" i="12" l="1"/>
  <c r="CE26" i="12"/>
  <c r="CE20" i="12"/>
  <c r="CE20" i="5" s="1"/>
  <c r="CE21" i="12"/>
  <c r="CE23" i="12"/>
  <c r="CE25" i="12"/>
  <c r="CE8" i="12"/>
  <c r="CF7" i="12"/>
  <c r="CE16" i="12"/>
  <c r="CE17" i="12" s="1"/>
  <c r="CE10" i="12"/>
  <c r="CE11" i="12"/>
  <c r="CF24" i="12" l="1"/>
  <c r="CF26" i="12"/>
  <c r="CF20" i="12"/>
  <c r="CF20" i="5" s="1"/>
  <c r="CF21" i="12"/>
  <c r="CF25" i="12"/>
  <c r="CF23" i="12"/>
  <c r="CF8" i="12"/>
  <c r="CG7" i="12"/>
  <c r="CF16" i="12"/>
  <c r="CF17" i="12" s="1"/>
  <c r="CF10" i="12"/>
  <c r="CF11" i="12"/>
  <c r="CG24" i="12" l="1"/>
  <c r="CG21" i="12"/>
  <c r="CG26" i="12"/>
  <c r="CG20" i="12"/>
  <c r="CG20" i="5" s="1"/>
  <c r="CG25" i="12"/>
  <c r="CG23" i="12"/>
  <c r="CG8" i="12"/>
  <c r="CH7" i="12"/>
  <c r="CG10" i="12"/>
  <c r="CG16" i="12"/>
  <c r="CG17" i="12" s="1"/>
  <c r="CG11" i="12"/>
  <c r="CH24" i="12" l="1"/>
  <c r="CH20" i="12"/>
  <c r="CH20" i="5" s="1"/>
  <c r="CH21" i="12"/>
  <c r="CH26" i="12"/>
  <c r="CH25" i="12"/>
  <c r="CH23" i="12"/>
  <c r="CH8" i="12"/>
  <c r="CI7" i="12"/>
  <c r="CH11" i="12"/>
  <c r="CH10" i="12"/>
  <c r="CH16" i="12"/>
  <c r="CH17" i="12" s="1"/>
  <c r="CI24" i="12" l="1"/>
  <c r="CI26" i="12"/>
  <c r="CI21" i="12"/>
  <c r="CI20" i="12"/>
  <c r="CI20" i="5" s="1"/>
  <c r="CI25" i="12"/>
  <c r="CI23" i="12"/>
  <c r="CJ7" i="12"/>
  <c r="CI11" i="12"/>
  <c r="CI10" i="12"/>
  <c r="CI16" i="12"/>
  <c r="CI17" i="12" s="1"/>
  <c r="CI8" i="12"/>
  <c r="CJ24" i="12" l="1"/>
  <c r="CJ26" i="12"/>
  <c r="CJ20" i="12"/>
  <c r="CJ20" i="5" s="1"/>
  <c r="CJ21" i="12"/>
  <c r="CJ23" i="12"/>
  <c r="CJ25" i="12"/>
  <c r="CJ8" i="12"/>
  <c r="CK7" i="12"/>
  <c r="CJ11" i="12"/>
  <c r="CJ16" i="12"/>
  <c r="CJ17" i="12" s="1"/>
  <c r="CJ10" i="12"/>
  <c r="CK24" i="12" l="1"/>
  <c r="CK26" i="12"/>
  <c r="CK20" i="12"/>
  <c r="CK20" i="5" s="1"/>
  <c r="CK21" i="12"/>
  <c r="CK23" i="12"/>
  <c r="CK25" i="12"/>
  <c r="CL7" i="12"/>
  <c r="CK11" i="12"/>
  <c r="CK16" i="12"/>
  <c r="CK17" i="12" s="1"/>
  <c r="CK10" i="12"/>
  <c r="CK8" i="12"/>
  <c r="D7" i="6"/>
  <c r="E7" i="6" s="1"/>
  <c r="F7" i="6" s="1"/>
  <c r="G7" i="6" s="1"/>
  <c r="H7" i="6" s="1"/>
  <c r="I7" i="6" s="1"/>
  <c r="J7" i="6" s="1"/>
  <c r="K7" i="6" s="1"/>
  <c r="L7" i="6" s="1"/>
  <c r="M7" i="6" s="1"/>
  <c r="N7" i="6" s="1"/>
  <c r="O7" i="6" s="1"/>
  <c r="P7" i="6" s="1"/>
  <c r="Q7" i="6" s="1"/>
  <c r="R7" i="6" s="1"/>
  <c r="S7" i="6" s="1"/>
  <c r="T7" i="6" s="1"/>
  <c r="U7" i="6" s="1"/>
  <c r="V7" i="6" s="1"/>
  <c r="W7" i="6" s="1"/>
  <c r="X7" i="6" s="1"/>
  <c r="Y7" i="6" s="1"/>
  <c r="Z7" i="6" s="1"/>
  <c r="AA7" i="6" s="1"/>
  <c r="AB7" i="6" s="1"/>
  <c r="AC7" i="6" s="1"/>
  <c r="AD7" i="6" s="1"/>
  <c r="AE7" i="6" s="1"/>
  <c r="AF7" i="6" s="1"/>
  <c r="AG7" i="6" s="1"/>
  <c r="AH7" i="6" s="1"/>
  <c r="F6" i="6"/>
  <c r="C19" i="6"/>
  <c r="E19" i="6" s="1"/>
  <c r="C18" i="6"/>
  <c r="E18" i="6" s="1"/>
  <c r="C12" i="6"/>
  <c r="D62" i="5"/>
  <c r="D44" i="5"/>
  <c r="F14" i="5"/>
  <c r="CL24" i="12" l="1"/>
  <c r="CL26" i="12"/>
  <c r="CL21" i="12"/>
  <c r="CL20" i="12"/>
  <c r="CL20" i="5" s="1"/>
  <c r="F16" i="6"/>
  <c r="F25" i="6"/>
  <c r="F18" i="6"/>
  <c r="CL23" i="12"/>
  <c r="CL25" i="12"/>
  <c r="F17" i="6"/>
  <c r="F19" i="6"/>
  <c r="E20" i="6"/>
  <c r="CL8" i="12"/>
  <c r="CM7" i="12"/>
  <c r="CL16" i="12"/>
  <c r="CL11" i="12"/>
  <c r="CL10" i="12"/>
  <c r="G6" i="6"/>
  <c r="F8" i="5"/>
  <c r="G8" i="5" s="1"/>
  <c r="H8" i="5" s="1"/>
  <c r="I8" i="5" s="1"/>
  <c r="J8" i="5" s="1"/>
  <c r="K8" i="5" s="1"/>
  <c r="L8" i="5" s="1"/>
  <c r="M8" i="5" s="1"/>
  <c r="N8" i="5" s="1"/>
  <c r="O8" i="5" s="1"/>
  <c r="P8" i="5" s="1"/>
  <c r="Q8" i="5" s="1"/>
  <c r="R8" i="5" s="1"/>
  <c r="S8" i="5" s="1"/>
  <c r="T8" i="5" s="1"/>
  <c r="U8" i="5" s="1"/>
  <c r="V8" i="5" s="1"/>
  <c r="W8" i="5" s="1"/>
  <c r="X8" i="5" s="1"/>
  <c r="Y8" i="5" s="1"/>
  <c r="Z8" i="5" s="1"/>
  <c r="AA8" i="5" s="1"/>
  <c r="AB8" i="5" s="1"/>
  <c r="AC8" i="5" s="1"/>
  <c r="AD8" i="5" s="1"/>
  <c r="AE8" i="5" s="1"/>
  <c r="AF8" i="5" s="1"/>
  <c r="AG8" i="5" s="1"/>
  <c r="AH8" i="5" s="1"/>
  <c r="AI8" i="5" s="1"/>
  <c r="AJ8" i="5" s="1"/>
  <c r="AK8" i="5" s="1"/>
  <c r="AL8" i="5" s="1"/>
  <c r="AM8" i="5" s="1"/>
  <c r="AN8" i="5" s="1"/>
  <c r="AO8" i="5" s="1"/>
  <c r="AP8" i="5" s="1"/>
  <c r="AQ8" i="5" s="1"/>
  <c r="AR8" i="5" s="1"/>
  <c r="AS8" i="5" s="1"/>
  <c r="AT8" i="5" s="1"/>
  <c r="AU8" i="5" s="1"/>
  <c r="AV8" i="5" s="1"/>
  <c r="AW8" i="5" s="1"/>
  <c r="AX8" i="5" s="1"/>
  <c r="AY8" i="5" s="1"/>
  <c r="AZ8" i="5" s="1"/>
  <c r="BA8" i="5" s="1"/>
  <c r="BB8" i="5" s="1"/>
  <c r="BC8" i="5" s="1"/>
  <c r="BD8" i="5" s="1"/>
  <c r="BE8" i="5" s="1"/>
  <c r="BF8" i="5" s="1"/>
  <c r="BG8" i="5" s="1"/>
  <c r="BH8" i="5" s="1"/>
  <c r="BI8" i="5" s="1"/>
  <c r="BJ8" i="5" s="1"/>
  <c r="BK8" i="5" s="1"/>
  <c r="BL8" i="5" s="1"/>
  <c r="BM8" i="5" s="1"/>
  <c r="BN8" i="5" s="1"/>
  <c r="BO8" i="5" s="1"/>
  <c r="BP8" i="5" s="1"/>
  <c r="BQ8" i="5" s="1"/>
  <c r="BR8" i="5" s="1"/>
  <c r="BS8" i="5" s="1"/>
  <c r="BT8" i="5" s="1"/>
  <c r="BU8" i="5" s="1"/>
  <c r="BV8" i="5" s="1"/>
  <c r="BW8" i="5" s="1"/>
  <c r="BX8" i="5" s="1"/>
  <c r="BY8" i="5" s="1"/>
  <c r="BZ8" i="5" s="1"/>
  <c r="CA8" i="5" s="1"/>
  <c r="CB8" i="5" s="1"/>
  <c r="CC8" i="5" s="1"/>
  <c r="CD8" i="5" s="1"/>
  <c r="CE8" i="5" s="1"/>
  <c r="CF8" i="5" s="1"/>
  <c r="CG8" i="5" s="1"/>
  <c r="CH8" i="5" s="1"/>
  <c r="CI8" i="5" s="1"/>
  <c r="CJ8" i="5" s="1"/>
  <c r="CK8" i="5" s="1"/>
  <c r="CL8" i="5" s="1"/>
  <c r="CM8" i="5" s="1"/>
  <c r="CN8" i="5" s="1"/>
  <c r="CO8" i="5" s="1"/>
  <c r="CP8" i="5" s="1"/>
  <c r="CQ8" i="5" s="1"/>
  <c r="CR8" i="5" s="1"/>
  <c r="CS8" i="5" s="1"/>
  <c r="CT8" i="5" s="1"/>
  <c r="CU8" i="5" s="1"/>
  <c r="CV8" i="5" s="1"/>
  <c r="CW8" i="5" s="1"/>
  <c r="CX8" i="5" s="1"/>
  <c r="CY8" i="5" s="1"/>
  <c r="CZ8" i="5" s="1"/>
  <c r="DA8" i="5" s="1"/>
  <c r="DB8" i="5" s="1"/>
  <c r="DC8" i="5" s="1"/>
  <c r="DD8" i="5" s="1"/>
  <c r="DE8" i="5" s="1"/>
  <c r="DF8" i="5" s="1"/>
  <c r="DG8" i="5" s="1"/>
  <c r="DH8" i="5" s="1"/>
  <c r="DI8" i="5" s="1"/>
  <c r="DJ8" i="5" s="1"/>
  <c r="DK8" i="5" s="1"/>
  <c r="DL8" i="5" s="1"/>
  <c r="DM8" i="5" s="1"/>
  <c r="DN8" i="5" s="1"/>
  <c r="DO8" i="5" s="1"/>
  <c r="DP8" i="5" s="1"/>
  <c r="DQ8" i="5" s="1"/>
  <c r="DR8" i="5" s="1"/>
  <c r="DS8" i="5" s="1"/>
  <c r="DT8" i="5" s="1"/>
  <c r="DU8" i="5" s="1"/>
  <c r="DV8" i="5" s="1"/>
  <c r="DW8" i="5" s="1"/>
  <c r="DX8" i="5" s="1"/>
  <c r="DY8" i="5" s="1"/>
  <c r="DZ8" i="5" s="1"/>
  <c r="EA8" i="5" s="1"/>
  <c r="EB8" i="5" s="1"/>
  <c r="EC8" i="5" s="1"/>
  <c r="ED8" i="5" s="1"/>
  <c r="EE8" i="5" s="1"/>
  <c r="EF8" i="5" s="1"/>
  <c r="EG8" i="5" s="1"/>
  <c r="EH8" i="5" s="1"/>
  <c r="EI8" i="5" s="1"/>
  <c r="EJ8" i="5" s="1"/>
  <c r="EK8" i="5" s="1"/>
  <c r="EL8" i="5" s="1"/>
  <c r="EM8" i="5" s="1"/>
  <c r="EN8" i="5" s="1"/>
  <c r="EO8" i="5" s="1"/>
  <c r="EP8" i="5" s="1"/>
  <c r="EQ8" i="5" s="1"/>
  <c r="ER8" i="5" s="1"/>
  <c r="ES8" i="5" s="1"/>
  <c r="ET8" i="5" s="1"/>
  <c r="EU8" i="5" s="1"/>
  <c r="EV8" i="5" s="1"/>
  <c r="EW8" i="5" s="1"/>
  <c r="EX8" i="5" s="1"/>
  <c r="EY8" i="5" s="1"/>
  <c r="EZ8" i="5" s="1"/>
  <c r="FA8" i="5" s="1"/>
  <c r="FB8" i="5" s="1"/>
  <c r="FC8" i="5" s="1"/>
  <c r="FD8" i="5" s="1"/>
  <c r="FE8" i="5" s="1"/>
  <c r="FF8" i="5" s="1"/>
  <c r="FG8" i="5" s="1"/>
  <c r="FH8" i="5" s="1"/>
  <c r="FI8" i="5" s="1"/>
  <c r="FJ8" i="5" s="1"/>
  <c r="FK8" i="5" s="1"/>
  <c r="FL8" i="5" s="1"/>
  <c r="FM8" i="5" s="1"/>
  <c r="FN8" i="5" s="1"/>
  <c r="FO8" i="5" s="1"/>
  <c r="FP8" i="5" s="1"/>
  <c r="FQ8" i="5" s="1"/>
  <c r="FR8" i="5" s="1"/>
  <c r="FS8" i="5" s="1"/>
  <c r="FT8" i="5" s="1"/>
  <c r="FU8" i="5" s="1"/>
  <c r="FV8" i="5" s="1"/>
  <c r="FW8" i="5" s="1"/>
  <c r="FX8" i="5" s="1"/>
  <c r="FY8" i="5" s="1"/>
  <c r="FZ8" i="5" s="1"/>
  <c r="GA8" i="5" s="1"/>
  <c r="GB8" i="5" s="1"/>
  <c r="GC8" i="5" s="1"/>
  <c r="GD8" i="5" s="1"/>
  <c r="GE8" i="5" s="1"/>
  <c r="GF8" i="5" s="1"/>
  <c r="GG8" i="5" s="1"/>
  <c r="GH8" i="5" s="1"/>
  <c r="GI8" i="5" s="1"/>
  <c r="GJ8" i="5" s="1"/>
  <c r="GK8" i="5" s="1"/>
  <c r="GL8" i="5" s="1"/>
  <c r="GM8" i="5" s="1"/>
  <c r="GN8" i="5" s="1"/>
  <c r="GO8" i="5" s="1"/>
  <c r="GP8" i="5" s="1"/>
  <c r="GQ8" i="5" s="1"/>
  <c r="GR8" i="5" s="1"/>
  <c r="GS8" i="5" s="1"/>
  <c r="GT8" i="5" s="1"/>
  <c r="GU8" i="5" s="1"/>
  <c r="GV8" i="5" s="1"/>
  <c r="GW8" i="5" s="1"/>
  <c r="GX8" i="5" s="1"/>
  <c r="GY8" i="5" s="1"/>
  <c r="GZ8" i="5" s="1"/>
  <c r="HA8" i="5" s="1"/>
  <c r="HB8" i="5" s="1"/>
  <c r="HC8" i="5" s="1"/>
  <c r="HD8" i="5" s="1"/>
  <c r="HE8" i="5" s="1"/>
  <c r="HF8" i="5" s="1"/>
  <c r="HG8" i="5" s="1"/>
  <c r="HH8" i="5" s="1"/>
  <c r="HI8" i="5" s="1"/>
  <c r="HJ8" i="5" s="1"/>
  <c r="HK8" i="5" s="1"/>
  <c r="HL8" i="5" s="1"/>
  <c r="HM8" i="5" s="1"/>
  <c r="HN8" i="5" s="1"/>
  <c r="HO8" i="5" s="1"/>
  <c r="HP8" i="5" s="1"/>
  <c r="HQ8" i="5" s="1"/>
  <c r="HR8" i="5" s="1"/>
  <c r="HS8" i="5" s="1"/>
  <c r="HT8" i="5" s="1"/>
  <c r="HU8" i="5" s="1"/>
  <c r="HV8" i="5" s="1"/>
  <c r="HW8" i="5" s="1"/>
  <c r="HX8" i="5" s="1"/>
  <c r="HY8" i="5" s="1"/>
  <c r="HZ8" i="5" s="1"/>
  <c r="IA8" i="5" s="1"/>
  <c r="IB8" i="5" s="1"/>
  <c r="IC8" i="5" s="1"/>
  <c r="ID8" i="5" s="1"/>
  <c r="IE8" i="5" s="1"/>
  <c r="IF8" i="5" s="1"/>
  <c r="IG8" i="5" s="1"/>
  <c r="IH8" i="5" s="1"/>
  <c r="II8" i="5" s="1"/>
  <c r="IJ8" i="5" s="1"/>
  <c r="IK8" i="5" s="1"/>
  <c r="IL8" i="5" s="1"/>
  <c r="IM8" i="5" s="1"/>
  <c r="IN8" i="5" s="1"/>
  <c r="IO8" i="5" s="1"/>
  <c r="IP8" i="5" s="1"/>
  <c r="IQ8" i="5" s="1"/>
  <c r="IR8" i="5" s="1"/>
  <c r="IS8" i="5" s="1"/>
  <c r="IT8" i="5" s="1"/>
  <c r="IU8" i="5" s="1"/>
  <c r="IV8" i="5" s="1"/>
  <c r="IW8" i="5" s="1"/>
  <c r="IX8" i="5" s="1"/>
  <c r="IY8" i="5" s="1"/>
  <c r="IZ8" i="5" s="1"/>
  <c r="JA8" i="5" s="1"/>
  <c r="JB8" i="5" s="1"/>
  <c r="JC8" i="5" s="1"/>
  <c r="JD8" i="5" s="1"/>
  <c r="JE8" i="5" s="1"/>
  <c r="JF8" i="5" s="1"/>
  <c r="JG8" i="5" s="1"/>
  <c r="JH8" i="5" s="1"/>
  <c r="JI8" i="5" s="1"/>
  <c r="JJ8" i="5" s="1"/>
  <c r="JK8" i="5" s="1"/>
  <c r="JL8" i="5" s="1"/>
  <c r="JM8" i="5" s="1"/>
  <c r="JN8" i="5" s="1"/>
  <c r="JO8" i="5" s="1"/>
  <c r="JP8" i="5" s="1"/>
  <c r="JQ8" i="5" s="1"/>
  <c r="JR8" i="5" s="1"/>
  <c r="JS8" i="5" s="1"/>
  <c r="JT8" i="5" s="1"/>
  <c r="JU8" i="5" s="1"/>
  <c r="JV8" i="5" s="1"/>
  <c r="JW8" i="5" s="1"/>
  <c r="JX8" i="5" s="1"/>
  <c r="JY8" i="5" s="1"/>
  <c r="JZ8" i="5" s="1"/>
  <c r="KA8" i="5" s="1"/>
  <c r="KB8" i="5" s="1"/>
  <c r="KC8" i="5" s="1"/>
  <c r="KD8" i="5" s="1"/>
  <c r="KE8" i="5" s="1"/>
  <c r="KF8" i="5" s="1"/>
  <c r="KG8" i="5" s="1"/>
  <c r="KH8" i="5" s="1"/>
  <c r="KI8" i="5" s="1"/>
  <c r="KJ8" i="5" s="1"/>
  <c r="KK8" i="5" s="1"/>
  <c r="KL8" i="5" s="1"/>
  <c r="KM8" i="5" s="1"/>
  <c r="KN8" i="5" s="1"/>
  <c r="KO8" i="5" s="1"/>
  <c r="KP8" i="5" s="1"/>
  <c r="KQ8" i="5" s="1"/>
  <c r="KR8" i="5" s="1"/>
  <c r="KS8" i="5" s="1"/>
  <c r="KT8" i="5" s="1"/>
  <c r="KU8" i="5" s="1"/>
  <c r="KV8" i="5" s="1"/>
  <c r="KW8" i="5" s="1"/>
  <c r="KX8" i="5" s="1"/>
  <c r="KY8" i="5" s="1"/>
  <c r="KZ8" i="5" s="1"/>
  <c r="LA8" i="5" s="1"/>
  <c r="LB8" i="5" s="1"/>
  <c r="LC8" i="5" s="1"/>
  <c r="LD8" i="5" s="1"/>
  <c r="LE8" i="5" s="1"/>
  <c r="LF8" i="5" s="1"/>
  <c r="LG8" i="5" s="1"/>
  <c r="LH8" i="5" s="1"/>
  <c r="LI8" i="5" s="1"/>
  <c r="LJ8" i="5" s="1"/>
  <c r="LK8" i="5" s="1"/>
  <c r="LL8" i="5" s="1"/>
  <c r="LM8" i="5" s="1"/>
  <c r="LN8" i="5" s="1"/>
  <c r="LO8" i="5" s="1"/>
  <c r="LP8" i="5" s="1"/>
  <c r="LQ8" i="5" s="1"/>
  <c r="LR8" i="5" s="1"/>
  <c r="LS8" i="5" s="1"/>
  <c r="LT8" i="5" s="1"/>
  <c r="LU8" i="5" s="1"/>
  <c r="LV8" i="5" s="1"/>
  <c r="LW8" i="5" s="1"/>
  <c r="LX8" i="5" s="1"/>
  <c r="LY8" i="5" s="1"/>
  <c r="LZ8" i="5" s="1"/>
  <c r="MA8" i="5" s="1"/>
  <c r="MB8" i="5" s="1"/>
  <c r="MC8" i="5" s="1"/>
  <c r="MD8" i="5" s="1"/>
  <c r="ME8" i="5" s="1"/>
  <c r="MF8" i="5" s="1"/>
  <c r="MG8" i="5" s="1"/>
  <c r="MH8" i="5" s="1"/>
  <c r="MI8" i="5" s="1"/>
  <c r="MJ8" i="5" s="1"/>
  <c r="MK8" i="5" s="1"/>
  <c r="ML8" i="5" s="1"/>
  <c r="MM8" i="5" s="1"/>
  <c r="MN8" i="5" s="1"/>
  <c r="MO8" i="5" s="1"/>
  <c r="MP8" i="5" s="1"/>
  <c r="MQ8" i="5" s="1"/>
  <c r="MR8" i="5" s="1"/>
  <c r="MS8" i="5" s="1"/>
  <c r="MT8" i="5" s="1"/>
  <c r="MU8" i="5" s="1"/>
  <c r="MV8" i="5" s="1"/>
  <c r="MW8" i="5" s="1"/>
  <c r="MX8" i="5" s="1"/>
  <c r="MY8" i="5" s="1"/>
  <c r="MZ8" i="5" s="1"/>
  <c r="NA8" i="5" s="1"/>
  <c r="NB8" i="5" s="1"/>
  <c r="F4" i="5"/>
  <c r="F5" i="5" s="1"/>
  <c r="K4" i="5" s="1"/>
  <c r="D8" i="4"/>
  <c r="F15" i="4" s="1"/>
  <c r="D6" i="4"/>
  <c r="D5" i="4"/>
  <c r="H4" i="4"/>
  <c r="E48" i="2"/>
  <c r="E44" i="2"/>
  <c r="E36" i="2"/>
  <c r="CM24" i="12" l="1"/>
  <c r="CM26" i="12"/>
  <c r="CM21" i="12"/>
  <c r="CM20" i="12"/>
  <c r="CM20" i="5" s="1"/>
  <c r="G16" i="6"/>
  <c r="G25" i="6"/>
  <c r="G18" i="6"/>
  <c r="G17" i="6"/>
  <c r="G19" i="6"/>
  <c r="CM23" i="12"/>
  <c r="CM25" i="12"/>
  <c r="F20" i="6"/>
  <c r="CM8" i="12"/>
  <c r="CN7" i="12"/>
  <c r="CM16" i="12"/>
  <c r="CM10" i="12"/>
  <c r="CM11" i="12"/>
  <c r="H6" i="6"/>
  <c r="G7" i="5"/>
  <c r="H5" i="4"/>
  <c r="F11" i="5"/>
  <c r="H6" i="4"/>
  <c r="D3" i="7"/>
  <c r="D8" i="7" s="1"/>
  <c r="H18" i="6" l="1"/>
  <c r="H25" i="6"/>
  <c r="CN24" i="12"/>
  <c r="CN26" i="12"/>
  <c r="CN21" i="12"/>
  <c r="CN20" i="12"/>
  <c r="CN20" i="5" s="1"/>
  <c r="G38" i="5"/>
  <c r="H16" i="6"/>
  <c r="H17" i="6"/>
  <c r="H19" i="6"/>
  <c r="CN25" i="12"/>
  <c r="CN23" i="12"/>
  <c r="G10" i="5"/>
  <c r="G14" i="4"/>
  <c r="H14" i="4" s="1"/>
  <c r="I14" i="4" s="1"/>
  <c r="J14" i="4" s="1"/>
  <c r="K14" i="4" s="1"/>
  <c r="L14" i="4" s="1"/>
  <c r="M14" i="4" s="1"/>
  <c r="N14" i="4" s="1"/>
  <c r="O14" i="4" s="1"/>
  <c r="P14" i="4" s="1"/>
  <c r="Q14" i="4" s="1"/>
  <c r="R14" i="4" s="1"/>
  <c r="S14" i="4" s="1"/>
  <c r="T14" i="4" s="1"/>
  <c r="U14" i="4" s="1"/>
  <c r="V14" i="4" s="1"/>
  <c r="W14" i="4" s="1"/>
  <c r="X14" i="4" s="1"/>
  <c r="Y14" i="4" s="1"/>
  <c r="Z14" i="4" s="1"/>
  <c r="AA14" i="4" s="1"/>
  <c r="AB14" i="4" s="1"/>
  <c r="AC14" i="4" s="1"/>
  <c r="AD14" i="4" s="1"/>
  <c r="AE14" i="4" s="1"/>
  <c r="AF14" i="4" s="1"/>
  <c r="AG14" i="4" s="1"/>
  <c r="AH14" i="4" s="1"/>
  <c r="AI14" i="4" s="1"/>
  <c r="AJ14" i="4" s="1"/>
  <c r="AK14" i="4" s="1"/>
  <c r="AL14" i="4" s="1"/>
  <c r="AM14" i="4" s="1"/>
  <c r="AN14" i="4" s="1"/>
  <c r="AO14" i="4" s="1"/>
  <c r="AP14" i="4" s="1"/>
  <c r="AQ14" i="4" s="1"/>
  <c r="AR14" i="4" s="1"/>
  <c r="AS14" i="4" s="1"/>
  <c r="AT14" i="4" s="1"/>
  <c r="AU14" i="4" s="1"/>
  <c r="AV14" i="4" s="1"/>
  <c r="AW14" i="4" s="1"/>
  <c r="AX14" i="4" s="1"/>
  <c r="AY14" i="4" s="1"/>
  <c r="AZ14" i="4" s="1"/>
  <c r="BA14" i="4" s="1"/>
  <c r="BB14" i="4" s="1"/>
  <c r="BC14" i="4" s="1"/>
  <c r="BD14" i="4" s="1"/>
  <c r="BE14" i="4" s="1"/>
  <c r="BF14" i="4" s="1"/>
  <c r="BG14" i="4" s="1"/>
  <c r="BH14" i="4" s="1"/>
  <c r="BI14" i="4" s="1"/>
  <c r="BJ14" i="4" s="1"/>
  <c r="BK14" i="4" s="1"/>
  <c r="BL14" i="4" s="1"/>
  <c r="BM14" i="4" s="1"/>
  <c r="BN14" i="4" s="1"/>
  <c r="BO14" i="4" s="1"/>
  <c r="BP14" i="4" s="1"/>
  <c r="BQ14" i="4" s="1"/>
  <c r="BR14" i="4" s="1"/>
  <c r="BS14" i="4" s="1"/>
  <c r="BT14" i="4" s="1"/>
  <c r="BU14" i="4" s="1"/>
  <c r="BV14" i="4" s="1"/>
  <c r="BW14" i="4" s="1"/>
  <c r="BX14" i="4" s="1"/>
  <c r="BY14" i="4" s="1"/>
  <c r="BZ14" i="4" s="1"/>
  <c r="CA14" i="4" s="1"/>
  <c r="CB14" i="4" s="1"/>
  <c r="CC14" i="4" s="1"/>
  <c r="CD14" i="4" s="1"/>
  <c r="CE14" i="4" s="1"/>
  <c r="CF14" i="4" s="1"/>
  <c r="CG14" i="4" s="1"/>
  <c r="CH14" i="4" s="1"/>
  <c r="CI14" i="4" s="1"/>
  <c r="CJ14" i="4" s="1"/>
  <c r="CK14" i="4" s="1"/>
  <c r="CL14" i="4" s="1"/>
  <c r="CM14" i="4" s="1"/>
  <c r="CN14" i="4" s="1"/>
  <c r="CO14" i="4" s="1"/>
  <c r="CP14" i="4" s="1"/>
  <c r="CQ14" i="4" s="1"/>
  <c r="CR14" i="4" s="1"/>
  <c r="CS14" i="4" s="1"/>
  <c r="CT14" i="4" s="1"/>
  <c r="CU14" i="4" s="1"/>
  <c r="CV14" i="4" s="1"/>
  <c r="CW14" i="4" s="1"/>
  <c r="CX14" i="4" s="1"/>
  <c r="CY14" i="4" s="1"/>
  <c r="CZ14" i="4" s="1"/>
  <c r="DA14" i="4" s="1"/>
  <c r="DB14" i="4" s="1"/>
  <c r="DC14" i="4" s="1"/>
  <c r="DD14" i="4" s="1"/>
  <c r="DE14" i="4" s="1"/>
  <c r="DF14" i="4" s="1"/>
  <c r="DG14" i="4" s="1"/>
  <c r="DH14" i="4" s="1"/>
  <c r="DI14" i="4" s="1"/>
  <c r="DJ14" i="4" s="1"/>
  <c r="DK14" i="4" s="1"/>
  <c r="DL14" i="4" s="1"/>
  <c r="DM14" i="4" s="1"/>
  <c r="DN14" i="4" s="1"/>
  <c r="DO14" i="4" s="1"/>
  <c r="DP14" i="4" s="1"/>
  <c r="DQ14" i="4" s="1"/>
  <c r="DR14" i="4" s="1"/>
  <c r="DS14" i="4" s="1"/>
  <c r="DT14" i="4" s="1"/>
  <c r="DU14" i="4" s="1"/>
  <c r="DV14" i="4" s="1"/>
  <c r="DW14" i="4" s="1"/>
  <c r="DX14" i="4" s="1"/>
  <c r="DY14" i="4" s="1"/>
  <c r="DZ14" i="4" s="1"/>
  <c r="EA14" i="4" s="1"/>
  <c r="EB14" i="4" s="1"/>
  <c r="EC14" i="4" s="1"/>
  <c r="ED14" i="4" s="1"/>
  <c r="EE14" i="4" s="1"/>
  <c r="EF14" i="4" s="1"/>
  <c r="EG14" i="4" s="1"/>
  <c r="EH14" i="4" s="1"/>
  <c r="EI14" i="4" s="1"/>
  <c r="EJ14" i="4" s="1"/>
  <c r="EK14" i="4" s="1"/>
  <c r="EL14" i="4" s="1"/>
  <c r="EM14" i="4" s="1"/>
  <c r="EN14" i="4" s="1"/>
  <c r="EO14" i="4" s="1"/>
  <c r="EP14" i="4" s="1"/>
  <c r="EQ14" i="4" s="1"/>
  <c r="ER14" i="4" s="1"/>
  <c r="ES14" i="4" s="1"/>
  <c r="ET14" i="4" s="1"/>
  <c r="EU14" i="4" s="1"/>
  <c r="EV14" i="4" s="1"/>
  <c r="EW14" i="4" s="1"/>
  <c r="EX14" i="4" s="1"/>
  <c r="EY14" i="4" s="1"/>
  <c r="EZ14" i="4" s="1"/>
  <c r="FA14" i="4" s="1"/>
  <c r="FB14" i="4" s="1"/>
  <c r="FC14" i="4" s="1"/>
  <c r="FD14" i="4" s="1"/>
  <c r="FE14" i="4" s="1"/>
  <c r="FF14" i="4" s="1"/>
  <c r="FG14" i="4" s="1"/>
  <c r="FH14" i="4" s="1"/>
  <c r="FI14" i="4" s="1"/>
  <c r="FJ14" i="4" s="1"/>
  <c r="FK14" i="4" s="1"/>
  <c r="FL14" i="4" s="1"/>
  <c r="FM14" i="4" s="1"/>
  <c r="FN14" i="4" s="1"/>
  <c r="FO14" i="4" s="1"/>
  <c r="FP14" i="4" s="1"/>
  <c r="FQ14" i="4" s="1"/>
  <c r="FR14" i="4" s="1"/>
  <c r="FS14" i="4" s="1"/>
  <c r="FT14" i="4" s="1"/>
  <c r="FU14" i="4" s="1"/>
  <c r="FV14" i="4" s="1"/>
  <c r="FW14" i="4" s="1"/>
  <c r="FX14" i="4" s="1"/>
  <c r="FY14" i="4" s="1"/>
  <c r="FZ14" i="4" s="1"/>
  <c r="GA14" i="4" s="1"/>
  <c r="GB14" i="4" s="1"/>
  <c r="GC14" i="4" s="1"/>
  <c r="GD14" i="4" s="1"/>
  <c r="GE14" i="4" s="1"/>
  <c r="GF14" i="4" s="1"/>
  <c r="GG14" i="4" s="1"/>
  <c r="GH14" i="4" s="1"/>
  <c r="GI14" i="4" s="1"/>
  <c r="GJ14" i="4" s="1"/>
  <c r="GK14" i="4" s="1"/>
  <c r="GL14" i="4" s="1"/>
  <c r="GM14" i="4" s="1"/>
  <c r="GN14" i="4" s="1"/>
  <c r="GO14" i="4" s="1"/>
  <c r="GP14" i="4" s="1"/>
  <c r="GQ14" i="4" s="1"/>
  <c r="GR14" i="4" s="1"/>
  <c r="GS14" i="4" s="1"/>
  <c r="GT14" i="4" s="1"/>
  <c r="GU14" i="4" s="1"/>
  <c r="GV14" i="4" s="1"/>
  <c r="GW14" i="4" s="1"/>
  <c r="GX14" i="4" s="1"/>
  <c r="GY14" i="4" s="1"/>
  <c r="GZ14" i="4" s="1"/>
  <c r="HA14" i="4" s="1"/>
  <c r="HB14" i="4" s="1"/>
  <c r="HC14" i="4" s="1"/>
  <c r="HD14" i="4" s="1"/>
  <c r="HE14" i="4" s="1"/>
  <c r="HF14" i="4" s="1"/>
  <c r="HG14" i="4" s="1"/>
  <c r="HH14" i="4" s="1"/>
  <c r="HI14" i="4" s="1"/>
  <c r="HJ14" i="4" s="1"/>
  <c r="HK14" i="4" s="1"/>
  <c r="HL14" i="4" s="1"/>
  <c r="HM14" i="4" s="1"/>
  <c r="HN14" i="4" s="1"/>
  <c r="HO14" i="4" s="1"/>
  <c r="HP14" i="4" s="1"/>
  <c r="HQ14" i="4" s="1"/>
  <c r="HR14" i="4" s="1"/>
  <c r="HS14" i="4" s="1"/>
  <c r="HT14" i="4" s="1"/>
  <c r="HU14" i="4" s="1"/>
  <c r="HV14" i="4" s="1"/>
  <c r="HW14" i="4" s="1"/>
  <c r="HX14" i="4" s="1"/>
  <c r="HY14" i="4" s="1"/>
  <c r="HZ14" i="4" s="1"/>
  <c r="IA14" i="4" s="1"/>
  <c r="IB14" i="4" s="1"/>
  <c r="IC14" i="4" s="1"/>
  <c r="ID14" i="4" s="1"/>
  <c r="IE14" i="4" s="1"/>
  <c r="IF14" i="4" s="1"/>
  <c r="IG14" i="4" s="1"/>
  <c r="IH14" i="4" s="1"/>
  <c r="II14" i="4" s="1"/>
  <c r="IJ14" i="4" s="1"/>
  <c r="IK14" i="4" s="1"/>
  <c r="IL14" i="4" s="1"/>
  <c r="IM14" i="4" s="1"/>
  <c r="IN14" i="4" s="1"/>
  <c r="IO14" i="4" s="1"/>
  <c r="IP14" i="4" s="1"/>
  <c r="IQ14" i="4" s="1"/>
  <c r="IR14" i="4" s="1"/>
  <c r="IS14" i="4" s="1"/>
  <c r="IT14" i="4" s="1"/>
  <c r="IU14" i="4" s="1"/>
  <c r="IV14" i="4" s="1"/>
  <c r="IW14" i="4" s="1"/>
  <c r="IX14" i="4" s="1"/>
  <c r="IY14" i="4" s="1"/>
  <c r="IZ14" i="4" s="1"/>
  <c r="JA14" i="4" s="1"/>
  <c r="JB14" i="4" s="1"/>
  <c r="JC14" i="4" s="1"/>
  <c r="JD14" i="4" s="1"/>
  <c r="JE14" i="4" s="1"/>
  <c r="JF14" i="4" s="1"/>
  <c r="JG14" i="4" s="1"/>
  <c r="JH14" i="4" s="1"/>
  <c r="JI14" i="4" s="1"/>
  <c r="JJ14" i="4" s="1"/>
  <c r="JK14" i="4" s="1"/>
  <c r="JL14" i="4" s="1"/>
  <c r="JM14" i="4" s="1"/>
  <c r="JN14" i="4" s="1"/>
  <c r="JO14" i="4" s="1"/>
  <c r="JP14" i="4" s="1"/>
  <c r="JQ14" i="4" s="1"/>
  <c r="JR14" i="4" s="1"/>
  <c r="JS14" i="4" s="1"/>
  <c r="JT14" i="4" s="1"/>
  <c r="JU14" i="4" s="1"/>
  <c r="JV14" i="4" s="1"/>
  <c r="JW14" i="4" s="1"/>
  <c r="JX14" i="4" s="1"/>
  <c r="JY14" i="4" s="1"/>
  <c r="JZ14" i="4" s="1"/>
  <c r="KA14" i="4" s="1"/>
  <c r="KB14" i="4" s="1"/>
  <c r="KC14" i="4" s="1"/>
  <c r="KD14" i="4" s="1"/>
  <c r="KE14" i="4" s="1"/>
  <c r="KF14" i="4" s="1"/>
  <c r="KG14" i="4" s="1"/>
  <c r="KH14" i="4" s="1"/>
  <c r="KI14" i="4" s="1"/>
  <c r="KJ14" i="4" s="1"/>
  <c r="KK14" i="4" s="1"/>
  <c r="KL14" i="4" s="1"/>
  <c r="KM14" i="4" s="1"/>
  <c r="KN14" i="4" s="1"/>
  <c r="KO14" i="4" s="1"/>
  <c r="KP14" i="4" s="1"/>
  <c r="KQ14" i="4" s="1"/>
  <c r="KR14" i="4" s="1"/>
  <c r="KS14" i="4" s="1"/>
  <c r="KT14" i="4" s="1"/>
  <c r="KU14" i="4" s="1"/>
  <c r="KV14" i="4" s="1"/>
  <c r="KW14" i="4" s="1"/>
  <c r="KX14" i="4" s="1"/>
  <c r="KY14" i="4" s="1"/>
  <c r="KZ14" i="4" s="1"/>
  <c r="LA14" i="4" s="1"/>
  <c r="LB14" i="4" s="1"/>
  <c r="LC14" i="4" s="1"/>
  <c r="LD14" i="4" s="1"/>
  <c r="LE14" i="4" s="1"/>
  <c r="LF14" i="4" s="1"/>
  <c r="LG14" i="4" s="1"/>
  <c r="LH14" i="4" s="1"/>
  <c r="LI14" i="4" s="1"/>
  <c r="LJ14" i="4" s="1"/>
  <c r="LK14" i="4" s="1"/>
  <c r="LL14" i="4" s="1"/>
  <c r="LM14" i="4" s="1"/>
  <c r="LN14" i="4" s="1"/>
  <c r="LO14" i="4" s="1"/>
  <c r="LP14" i="4" s="1"/>
  <c r="LQ14" i="4" s="1"/>
  <c r="LR14" i="4" s="1"/>
  <c r="LS14" i="4" s="1"/>
  <c r="LT14" i="4" s="1"/>
  <c r="LU14" i="4" s="1"/>
  <c r="LV14" i="4" s="1"/>
  <c r="LW14" i="4" s="1"/>
  <c r="LX14" i="4" s="1"/>
  <c r="LY14" i="4" s="1"/>
  <c r="LZ14" i="4" s="1"/>
  <c r="MA14" i="4" s="1"/>
  <c r="MB14" i="4" s="1"/>
  <c r="MC14" i="4" s="1"/>
  <c r="MD14" i="4" s="1"/>
  <c r="ME14" i="4" s="1"/>
  <c r="MF14" i="4" s="1"/>
  <c r="MG14" i="4" s="1"/>
  <c r="MH14" i="4" s="1"/>
  <c r="MI14" i="4" s="1"/>
  <c r="MJ14" i="4" s="1"/>
  <c r="MK14" i="4" s="1"/>
  <c r="ML14" i="4" s="1"/>
  <c r="MM14" i="4" s="1"/>
  <c r="MN14" i="4" s="1"/>
  <c r="MO14" i="4" s="1"/>
  <c r="MP14" i="4" s="1"/>
  <c r="MQ14" i="4" s="1"/>
  <c r="MR14" i="4" s="1"/>
  <c r="MS14" i="4" s="1"/>
  <c r="MT14" i="4" s="1"/>
  <c r="MU14" i="4" s="1"/>
  <c r="MV14" i="4" s="1"/>
  <c r="MW14" i="4" s="1"/>
  <c r="MX14" i="4" s="1"/>
  <c r="MY14" i="4" s="1"/>
  <c r="MZ14" i="4" s="1"/>
  <c r="NA14" i="4" s="1"/>
  <c r="I11" i="4"/>
  <c r="G20" i="6"/>
  <c r="CO7" i="12"/>
  <c r="CN10" i="12"/>
  <c r="CN16" i="12"/>
  <c r="CN11" i="12"/>
  <c r="CN8" i="12"/>
  <c r="C4" i="9"/>
  <c r="E25" i="1"/>
  <c r="E46" i="1" s="1"/>
  <c r="F16" i="5"/>
  <c r="D78" i="7"/>
  <c r="D25" i="7"/>
  <c r="I6" i="6"/>
  <c r="F61" i="5"/>
  <c r="F62" i="5"/>
  <c r="H7" i="5"/>
  <c r="H38" i="5" s="1"/>
  <c r="I21" i="7"/>
  <c r="J21" i="7" s="1"/>
  <c r="K21" i="7" s="1"/>
  <c r="L21" i="7" s="1"/>
  <c r="M21" i="7" s="1"/>
  <c r="N21" i="7" s="1"/>
  <c r="O21" i="7" s="1"/>
  <c r="P21" i="7" s="1"/>
  <c r="Q21" i="7" s="1"/>
  <c r="R21" i="7" s="1"/>
  <c r="S21" i="7" s="1"/>
  <c r="T21" i="7" s="1"/>
  <c r="U21" i="7" s="1"/>
  <c r="V21" i="7" s="1"/>
  <c r="W21" i="7" s="1"/>
  <c r="X21" i="7" s="1"/>
  <c r="Y21" i="7" s="1"/>
  <c r="Z21" i="7" s="1"/>
  <c r="AA21" i="7" s="1"/>
  <c r="AB21" i="7" s="1"/>
  <c r="AC21" i="7" s="1"/>
  <c r="AD21" i="7" s="1"/>
  <c r="AE21" i="7" s="1"/>
  <c r="AF21" i="7" s="1"/>
  <c r="AG21" i="7" s="1"/>
  <c r="AH21" i="7" s="1"/>
  <c r="AI21" i="7" s="1"/>
  <c r="AJ21" i="7" s="1"/>
  <c r="AK21" i="7" s="1"/>
  <c r="AL21" i="7" s="1"/>
  <c r="AM21" i="7" s="1"/>
  <c r="AN21" i="7" s="1"/>
  <c r="AO21" i="7" s="1"/>
  <c r="AP21" i="7" s="1"/>
  <c r="AQ21" i="7" s="1"/>
  <c r="AR21" i="7" s="1"/>
  <c r="AS21" i="7" s="1"/>
  <c r="AT21" i="7" s="1"/>
  <c r="AU21" i="7" s="1"/>
  <c r="AV21" i="7" s="1"/>
  <c r="AW21" i="7" s="1"/>
  <c r="AX21" i="7" s="1"/>
  <c r="AY21" i="7" s="1"/>
  <c r="AZ21" i="7" s="1"/>
  <c r="BA21" i="7" s="1"/>
  <c r="BB21" i="7" s="1"/>
  <c r="BC21" i="7" s="1"/>
  <c r="BD21" i="7" s="1"/>
  <c r="BE21" i="7" s="1"/>
  <c r="BF21" i="7" s="1"/>
  <c r="BG21" i="7" s="1"/>
  <c r="BH21" i="7" s="1"/>
  <c r="BI21" i="7" s="1"/>
  <c r="BJ21" i="7" s="1"/>
  <c r="BK21" i="7" s="1"/>
  <c r="BL21" i="7" s="1"/>
  <c r="BM21" i="7" s="1"/>
  <c r="BN21" i="7" s="1"/>
  <c r="BO21" i="7" s="1"/>
  <c r="BP21" i="7" s="1"/>
  <c r="BQ21" i="7" s="1"/>
  <c r="BR21" i="7" s="1"/>
  <c r="BS21" i="7" s="1"/>
  <c r="BT21" i="7" s="1"/>
  <c r="BU21" i="7" s="1"/>
  <c r="BV21" i="7" s="1"/>
  <c r="BW21" i="7" s="1"/>
  <c r="BX21" i="7" s="1"/>
  <c r="BY21" i="7" s="1"/>
  <c r="BZ21" i="7" s="1"/>
  <c r="CA21" i="7" s="1"/>
  <c r="CB21" i="7" s="1"/>
  <c r="CC21" i="7" s="1"/>
  <c r="CD21" i="7" s="1"/>
  <c r="CE21" i="7" s="1"/>
  <c r="CF21" i="7" s="1"/>
  <c r="CG21" i="7" s="1"/>
  <c r="CH21" i="7" s="1"/>
  <c r="CI21" i="7" s="1"/>
  <c r="CJ21" i="7" s="1"/>
  <c r="CK21" i="7" s="1"/>
  <c r="CL21" i="7" s="1"/>
  <c r="CM21" i="7" s="1"/>
  <c r="CN21" i="7" s="1"/>
  <c r="CO21" i="7" s="1"/>
  <c r="CP21" i="7" s="1"/>
  <c r="CQ21" i="7" s="1"/>
  <c r="CR21" i="7" s="1"/>
  <c r="CS21" i="7" s="1"/>
  <c r="CT21" i="7" s="1"/>
  <c r="CU21" i="7" s="1"/>
  <c r="CV21" i="7" s="1"/>
  <c r="CW21" i="7" s="1"/>
  <c r="CX21" i="7" s="1"/>
  <c r="CY21" i="7" s="1"/>
  <c r="CZ21" i="7" s="1"/>
  <c r="DA21" i="7" s="1"/>
  <c r="DB21" i="7" s="1"/>
  <c r="DC21" i="7" s="1"/>
  <c r="DD21" i="7" s="1"/>
  <c r="DE21" i="7" s="1"/>
  <c r="DF21" i="7" s="1"/>
  <c r="DG21" i="7" s="1"/>
  <c r="DH21" i="7" s="1"/>
  <c r="DI21" i="7" s="1"/>
  <c r="DJ21" i="7" s="1"/>
  <c r="DK21" i="7" s="1"/>
  <c r="DL21" i="7" s="1"/>
  <c r="DM21" i="7" s="1"/>
  <c r="DN21" i="7" s="1"/>
  <c r="DO21" i="7" s="1"/>
  <c r="DP21" i="7" s="1"/>
  <c r="DQ21" i="7" s="1"/>
  <c r="DR21" i="7" s="1"/>
  <c r="DS21" i="7" s="1"/>
  <c r="DT21" i="7" s="1"/>
  <c r="DU21" i="7" s="1"/>
  <c r="DV21" i="7" s="1"/>
  <c r="DW21" i="7" s="1"/>
  <c r="DX21" i="7" s="1"/>
  <c r="DY21" i="7" s="1"/>
  <c r="DZ21" i="7" s="1"/>
  <c r="EA21" i="7" s="1"/>
  <c r="EB21" i="7" s="1"/>
  <c r="EC21" i="7" s="1"/>
  <c r="ED21" i="7" s="1"/>
  <c r="EE21" i="7" s="1"/>
  <c r="EF21" i="7" s="1"/>
  <c r="EG21" i="7" s="1"/>
  <c r="EH21" i="7" s="1"/>
  <c r="EI21" i="7" s="1"/>
  <c r="EJ21" i="7" s="1"/>
  <c r="EK21" i="7" s="1"/>
  <c r="EL21" i="7" s="1"/>
  <c r="EM21" i="7" s="1"/>
  <c r="EN21" i="7" s="1"/>
  <c r="EO21" i="7" s="1"/>
  <c r="EP21" i="7" s="1"/>
  <c r="EQ21" i="7" s="1"/>
  <c r="ER21" i="7" s="1"/>
  <c r="ES21" i="7" s="1"/>
  <c r="ET21" i="7" s="1"/>
  <c r="EU21" i="7" s="1"/>
  <c r="EV21" i="7" s="1"/>
  <c r="EW21" i="7" s="1"/>
  <c r="EX21" i="7" s="1"/>
  <c r="EY21" i="7" s="1"/>
  <c r="EZ21" i="7" s="1"/>
  <c r="FA21" i="7" s="1"/>
  <c r="FB21" i="7" s="1"/>
  <c r="FC21" i="7" s="1"/>
  <c r="FD21" i="7" s="1"/>
  <c r="FE21" i="7" s="1"/>
  <c r="FF21" i="7" s="1"/>
  <c r="FG21" i="7" s="1"/>
  <c r="FH21" i="7" s="1"/>
  <c r="FI21" i="7" s="1"/>
  <c r="FJ21" i="7" s="1"/>
  <c r="FK21" i="7" s="1"/>
  <c r="FL21" i="7" s="1"/>
  <c r="FM21" i="7" s="1"/>
  <c r="FN21" i="7" s="1"/>
  <c r="FO21" i="7" s="1"/>
  <c r="FP21" i="7" s="1"/>
  <c r="FQ21" i="7" s="1"/>
  <c r="FR21" i="7" s="1"/>
  <c r="FS21" i="7" s="1"/>
  <c r="FT21" i="7" s="1"/>
  <c r="FU21" i="7" s="1"/>
  <c r="FV21" i="7" s="1"/>
  <c r="FW21" i="7" s="1"/>
  <c r="FX21" i="7" s="1"/>
  <c r="FY21" i="7" s="1"/>
  <c r="FZ21" i="7" s="1"/>
  <c r="GA21" i="7" s="1"/>
  <c r="GB21" i="7" s="1"/>
  <c r="GC21" i="7" s="1"/>
  <c r="GD21" i="7" s="1"/>
  <c r="GE21" i="7" s="1"/>
  <c r="GF21" i="7" s="1"/>
  <c r="GG21" i="7" s="1"/>
  <c r="GH21" i="7" s="1"/>
  <c r="GI21" i="7" s="1"/>
  <c r="GJ21" i="7" s="1"/>
  <c r="GK21" i="7" s="1"/>
  <c r="GL21" i="7" s="1"/>
  <c r="GM21" i="7" s="1"/>
  <c r="GN21" i="7" s="1"/>
  <c r="GO21" i="7" s="1"/>
  <c r="GP21" i="7" s="1"/>
  <c r="GQ21" i="7" s="1"/>
  <c r="GR21" i="7" s="1"/>
  <c r="GS21" i="7" s="1"/>
  <c r="GT21" i="7" s="1"/>
  <c r="GU21" i="7" s="1"/>
  <c r="GV21" i="7" s="1"/>
  <c r="GW21" i="7" s="1"/>
  <c r="GX21" i="7" s="1"/>
  <c r="GY21" i="7" s="1"/>
  <c r="GZ21" i="7" s="1"/>
  <c r="HA21" i="7" s="1"/>
  <c r="HB21" i="7" s="1"/>
  <c r="HC21" i="7" s="1"/>
  <c r="HD21" i="7" s="1"/>
  <c r="HE21" i="7" s="1"/>
  <c r="HF21" i="7" s="1"/>
  <c r="HG21" i="7" s="1"/>
  <c r="HH21" i="7" s="1"/>
  <c r="HI21" i="7" s="1"/>
  <c r="HJ21" i="7" s="1"/>
  <c r="HK21" i="7" s="1"/>
  <c r="HL21" i="7" s="1"/>
  <c r="HM21" i="7" s="1"/>
  <c r="HN21" i="7" s="1"/>
  <c r="HO21" i="7" s="1"/>
  <c r="HP21" i="7" s="1"/>
  <c r="HQ21" i="7" s="1"/>
  <c r="HR21" i="7" s="1"/>
  <c r="HS21" i="7" s="1"/>
  <c r="HT21" i="7" s="1"/>
  <c r="HU21" i="7" s="1"/>
  <c r="HV21" i="7" s="1"/>
  <c r="HW21" i="7" s="1"/>
  <c r="HX21" i="7" s="1"/>
  <c r="HY21" i="7" s="1"/>
  <c r="HZ21" i="7" s="1"/>
  <c r="IA21" i="7" s="1"/>
  <c r="IB21" i="7" s="1"/>
  <c r="IC21" i="7" s="1"/>
  <c r="ID21" i="7" s="1"/>
  <c r="IE21" i="7" s="1"/>
  <c r="IF21" i="7" s="1"/>
  <c r="IG21" i="7" s="1"/>
  <c r="IH21" i="7" s="1"/>
  <c r="II21" i="7" s="1"/>
  <c r="IJ21" i="7" s="1"/>
  <c r="IK21" i="7" s="1"/>
  <c r="IL21" i="7" s="1"/>
  <c r="IM21" i="7" s="1"/>
  <c r="IN21" i="7" s="1"/>
  <c r="IO21" i="7" s="1"/>
  <c r="IP21" i="7" s="1"/>
  <c r="IQ21" i="7" s="1"/>
  <c r="IR21" i="7" s="1"/>
  <c r="IS21" i="7" s="1"/>
  <c r="IT21" i="7" s="1"/>
  <c r="IU21" i="7" s="1"/>
  <c r="IV21" i="7" s="1"/>
  <c r="IW21" i="7" s="1"/>
  <c r="IX21" i="7" s="1"/>
  <c r="IY21" i="7" s="1"/>
  <c r="IZ21" i="7" s="1"/>
  <c r="JA21" i="7" s="1"/>
  <c r="JB21" i="7" s="1"/>
  <c r="JC21" i="7" s="1"/>
  <c r="JD21" i="7" s="1"/>
  <c r="JE21" i="7" s="1"/>
  <c r="JF21" i="7" s="1"/>
  <c r="JG21" i="7" s="1"/>
  <c r="JH21" i="7" s="1"/>
  <c r="JI21" i="7" s="1"/>
  <c r="JJ21" i="7" s="1"/>
  <c r="JK21" i="7" s="1"/>
  <c r="JL21" i="7" s="1"/>
  <c r="JM21" i="7" s="1"/>
  <c r="JN21" i="7" s="1"/>
  <c r="JO21" i="7" s="1"/>
  <c r="JP21" i="7" s="1"/>
  <c r="JQ21" i="7" s="1"/>
  <c r="JR21" i="7" s="1"/>
  <c r="JS21" i="7" s="1"/>
  <c r="JT21" i="7" s="1"/>
  <c r="JU21" i="7" s="1"/>
  <c r="JV21" i="7" s="1"/>
  <c r="JW21" i="7" s="1"/>
  <c r="JX21" i="7" s="1"/>
  <c r="JY21" i="7" s="1"/>
  <c r="JZ21" i="7" s="1"/>
  <c r="KA21" i="7" s="1"/>
  <c r="KB21" i="7" s="1"/>
  <c r="KC21" i="7" s="1"/>
  <c r="KD21" i="7" s="1"/>
  <c r="KE21" i="7" s="1"/>
  <c r="KF21" i="7" s="1"/>
  <c r="KG21" i="7" s="1"/>
  <c r="KH21" i="7" s="1"/>
  <c r="KI21" i="7" s="1"/>
  <c r="KJ21" i="7" s="1"/>
  <c r="KK21" i="7" s="1"/>
  <c r="KL21" i="7" s="1"/>
  <c r="KM21" i="7" s="1"/>
  <c r="KN21" i="7" s="1"/>
  <c r="KO21" i="7" s="1"/>
  <c r="KP21" i="7" s="1"/>
  <c r="KQ21" i="7" s="1"/>
  <c r="KR21" i="7" s="1"/>
  <c r="KS21" i="7" s="1"/>
  <c r="KT21" i="7" s="1"/>
  <c r="KU21" i="7" s="1"/>
  <c r="KV21" i="7" s="1"/>
  <c r="KW21" i="7" s="1"/>
  <c r="KX21" i="7" s="1"/>
  <c r="KY21" i="7" s="1"/>
  <c r="KZ21" i="7" s="1"/>
  <c r="LA21" i="7" s="1"/>
  <c r="LB21" i="7" s="1"/>
  <c r="LC21" i="7" s="1"/>
  <c r="LD21" i="7" s="1"/>
  <c r="LE21" i="7" s="1"/>
  <c r="LF21" i="7" s="1"/>
  <c r="LG21" i="7" s="1"/>
  <c r="LH21" i="7" s="1"/>
  <c r="LI21" i="7" s="1"/>
  <c r="LJ21" i="7" s="1"/>
  <c r="LK21" i="7" s="1"/>
  <c r="LL21" i="7" s="1"/>
  <c r="LM21" i="7" s="1"/>
  <c r="LN21" i="7" s="1"/>
  <c r="LO21" i="7" s="1"/>
  <c r="LP21" i="7" s="1"/>
  <c r="LQ21" i="7" s="1"/>
  <c r="LR21" i="7" s="1"/>
  <c r="LS21" i="7" s="1"/>
  <c r="LT21" i="7" s="1"/>
  <c r="LU21" i="7" s="1"/>
  <c r="LV21" i="7" s="1"/>
  <c r="LW21" i="7" s="1"/>
  <c r="LX21" i="7" s="1"/>
  <c r="LY21" i="7" s="1"/>
  <c r="LZ21" i="7" s="1"/>
  <c r="MA21" i="7" s="1"/>
  <c r="MB21" i="7" s="1"/>
  <c r="MC21" i="7" s="1"/>
  <c r="MD21" i="7" s="1"/>
  <c r="ME21" i="7" s="1"/>
  <c r="MF21" i="7" s="1"/>
  <c r="MG21" i="7" s="1"/>
  <c r="MH21" i="7" s="1"/>
  <c r="MI21" i="7" s="1"/>
  <c r="MJ21" i="7" s="1"/>
  <c r="MK21" i="7" s="1"/>
  <c r="ML21" i="7" s="1"/>
  <c r="MM21" i="7" s="1"/>
  <c r="MN21" i="7" s="1"/>
  <c r="MO21" i="7" s="1"/>
  <c r="MP21" i="7" s="1"/>
  <c r="MQ21" i="7" s="1"/>
  <c r="MR21" i="7" s="1"/>
  <c r="MS21" i="7" s="1"/>
  <c r="MT21" i="7" s="1"/>
  <c r="MU21" i="7" s="1"/>
  <c r="MV21" i="7" s="1"/>
  <c r="MW21" i="7" s="1"/>
  <c r="MX21" i="7" s="1"/>
  <c r="MY21" i="7" s="1"/>
  <c r="MZ21" i="7" s="1"/>
  <c r="NA21" i="7" s="1"/>
  <c r="NB21" i="7" s="1"/>
  <c r="NC21" i="7" s="1"/>
  <c r="ND21" i="7" s="1"/>
  <c r="G11" i="5"/>
  <c r="M53" i="1"/>
  <c r="BB11" i="10" s="1"/>
  <c r="M52" i="1"/>
  <c r="BB10" i="10" s="1"/>
  <c r="M50" i="1"/>
  <c r="BB8" i="10" s="1"/>
  <c r="G31" i="5" l="1"/>
  <c r="G33" i="5"/>
  <c r="G21" i="5"/>
  <c r="I18" i="6"/>
  <c r="I25" i="6"/>
  <c r="CO24" i="12"/>
  <c r="CO26" i="12"/>
  <c r="CO21" i="12"/>
  <c r="CO20" i="12"/>
  <c r="CO20" i="5" s="1"/>
  <c r="G15" i="4"/>
  <c r="H15" i="4" s="1"/>
  <c r="I15" i="4" s="1"/>
  <c r="J15" i="4" s="1"/>
  <c r="M45" i="1"/>
  <c r="I16" i="6"/>
  <c r="CO25" i="12"/>
  <c r="CO23" i="12"/>
  <c r="I19" i="6"/>
  <c r="I17" i="6"/>
  <c r="G16" i="5"/>
  <c r="G30" i="5"/>
  <c r="G32" i="5"/>
  <c r="H10" i="5"/>
  <c r="G20" i="5"/>
  <c r="CO8" i="12"/>
  <c r="H20" i="6"/>
  <c r="CP7" i="12"/>
  <c r="CO16" i="12"/>
  <c r="CO10" i="12"/>
  <c r="CO11" i="12"/>
  <c r="G61" i="5"/>
  <c r="G62" i="5"/>
  <c r="D93" i="7"/>
  <c r="J6" i="6"/>
  <c r="H11" i="5"/>
  <c r="I7" i="5"/>
  <c r="I38" i="5" s="1"/>
  <c r="M51" i="1"/>
  <c r="BB9" i="10" s="1"/>
  <c r="H31" i="5" l="1"/>
  <c r="F35" i="9"/>
  <c r="BB5" i="10"/>
  <c r="H21" i="5"/>
  <c r="H33" i="5"/>
  <c r="CP24" i="12"/>
  <c r="CP26" i="12"/>
  <c r="CP21" i="12"/>
  <c r="CP20" i="12"/>
  <c r="CP20" i="5" s="1"/>
  <c r="J18" i="6"/>
  <c r="J25" i="6"/>
  <c r="F44" i="9"/>
  <c r="F45" i="9" s="1"/>
  <c r="M54" i="1"/>
  <c r="G24" i="5"/>
  <c r="G25" i="5"/>
  <c r="G34" i="5"/>
  <c r="J16" i="6"/>
  <c r="J19" i="6"/>
  <c r="J17" i="6"/>
  <c r="CP25" i="12"/>
  <c r="CP23" i="12"/>
  <c r="H32" i="5"/>
  <c r="H30" i="5"/>
  <c r="H16" i="5"/>
  <c r="G22" i="5"/>
  <c r="I10" i="5"/>
  <c r="I31" i="5" s="1"/>
  <c r="H20" i="5"/>
  <c r="CP8" i="12"/>
  <c r="I20" i="6"/>
  <c r="CQ7" i="12"/>
  <c r="CP16" i="12"/>
  <c r="CP10" i="12"/>
  <c r="CP11" i="12"/>
  <c r="H62" i="5"/>
  <c r="H61" i="5"/>
  <c r="D103" i="7"/>
  <c r="K6" i="6"/>
  <c r="I11" i="5"/>
  <c r="J7" i="5"/>
  <c r="J38" i="5" s="1"/>
  <c r="K15" i="4"/>
  <c r="F53" i="5" l="1"/>
  <c r="BB12" i="10"/>
  <c r="I33" i="5"/>
  <c r="CQ24" i="12"/>
  <c r="CQ26" i="12"/>
  <c r="CQ20" i="12"/>
  <c r="CQ20" i="5" s="1"/>
  <c r="CQ21" i="12"/>
  <c r="K18" i="6"/>
  <c r="K25" i="6"/>
  <c r="M55" i="1"/>
  <c r="I21" i="5"/>
  <c r="H24" i="5"/>
  <c r="H25" i="5"/>
  <c r="K16" i="6"/>
  <c r="I30" i="5"/>
  <c r="H34" i="5"/>
  <c r="CQ25" i="12"/>
  <c r="CQ23" i="12"/>
  <c r="K19" i="6"/>
  <c r="K17" i="6"/>
  <c r="I16" i="5"/>
  <c r="I32" i="5"/>
  <c r="H22" i="5"/>
  <c r="J10" i="5"/>
  <c r="I20" i="5"/>
  <c r="J20" i="6"/>
  <c r="F40" i="5"/>
  <c r="CR7" i="12"/>
  <c r="CQ16" i="12"/>
  <c r="CQ10" i="12"/>
  <c r="CQ11" i="12"/>
  <c r="CQ8" i="12"/>
  <c r="L6" i="6"/>
  <c r="I62" i="5"/>
  <c r="I61" i="5"/>
  <c r="D111" i="7"/>
  <c r="K7" i="5"/>
  <c r="K38" i="5" s="1"/>
  <c r="J11" i="5"/>
  <c r="L15" i="4"/>
  <c r="CR24" i="12" l="1"/>
  <c r="CR26" i="12"/>
  <c r="CR20" i="12"/>
  <c r="CR20" i="5" s="1"/>
  <c r="CR21" i="12"/>
  <c r="J21" i="5"/>
  <c r="J33" i="5"/>
  <c r="L18" i="6"/>
  <c r="L25" i="6"/>
  <c r="I24" i="5"/>
  <c r="I25" i="5"/>
  <c r="F70" i="5"/>
  <c r="J30" i="5"/>
  <c r="J31" i="5"/>
  <c r="L16" i="6"/>
  <c r="L19" i="6"/>
  <c r="L17" i="6"/>
  <c r="CR25" i="12"/>
  <c r="CR23" i="12"/>
  <c r="J32" i="5"/>
  <c r="J16" i="5"/>
  <c r="I34" i="5"/>
  <c r="I22" i="5"/>
  <c r="H26" i="5"/>
  <c r="G26" i="5"/>
  <c r="G36" i="5" s="1"/>
  <c r="K10" i="5"/>
  <c r="J20" i="5"/>
  <c r="M6" i="6"/>
  <c r="K20" i="6"/>
  <c r="CR8" i="12"/>
  <c r="CS7" i="12"/>
  <c r="CR11" i="12"/>
  <c r="CR10" i="12"/>
  <c r="CR16" i="12"/>
  <c r="J62" i="5"/>
  <c r="J61" i="5"/>
  <c r="L7" i="5"/>
  <c r="L38" i="5" s="1"/>
  <c r="K11" i="5"/>
  <c r="M15" i="4"/>
  <c r="K21" i="5" l="1"/>
  <c r="M18" i="6"/>
  <c r="M25" i="6"/>
  <c r="K33" i="5"/>
  <c r="CS24" i="12"/>
  <c r="CS26" i="12"/>
  <c r="CS20" i="12"/>
  <c r="CS20" i="5" s="1"/>
  <c r="CS21" i="12"/>
  <c r="J24" i="5"/>
  <c r="J25" i="5"/>
  <c r="K30" i="5"/>
  <c r="J34" i="5"/>
  <c r="K31" i="5"/>
  <c r="M16" i="6"/>
  <c r="CS23" i="12"/>
  <c r="CS25" i="12"/>
  <c r="M17" i="6"/>
  <c r="M19" i="6"/>
  <c r="K16" i="5"/>
  <c r="K32" i="5"/>
  <c r="I26" i="5"/>
  <c r="J22" i="5"/>
  <c r="L10" i="5"/>
  <c r="L21" i="5" s="1"/>
  <c r="K20" i="5"/>
  <c r="N6" i="6"/>
  <c r="G40" i="5"/>
  <c r="CS8" i="12"/>
  <c r="CT7" i="12"/>
  <c r="CS11" i="12"/>
  <c r="CS10" i="12"/>
  <c r="CS16" i="12"/>
  <c r="K62" i="5"/>
  <c r="K61" i="5"/>
  <c r="L11" i="5"/>
  <c r="M7" i="5"/>
  <c r="M38" i="5" s="1"/>
  <c r="N15" i="4"/>
  <c r="CT24" i="12" l="1"/>
  <c r="CT20" i="12"/>
  <c r="CT20" i="5" s="1"/>
  <c r="CT26" i="12"/>
  <c r="CT21" i="12"/>
  <c r="L33" i="5"/>
  <c r="N18" i="6"/>
  <c r="K24" i="5"/>
  <c r="K25" i="5"/>
  <c r="L30" i="5"/>
  <c r="G70" i="5"/>
  <c r="L31" i="5"/>
  <c r="N16" i="6"/>
  <c r="CT23" i="12"/>
  <c r="CT25" i="12"/>
  <c r="N19" i="6"/>
  <c r="N17" i="6"/>
  <c r="L16" i="5"/>
  <c r="L32" i="5"/>
  <c r="K34" i="5"/>
  <c r="K22" i="5"/>
  <c r="L20" i="5"/>
  <c r="M10" i="5"/>
  <c r="M21" i="5" s="1"/>
  <c r="O6" i="6"/>
  <c r="CT8" i="12"/>
  <c r="CU7" i="12"/>
  <c r="CT16" i="12"/>
  <c r="CT11" i="12"/>
  <c r="CT10" i="12"/>
  <c r="L61" i="5"/>
  <c r="L62" i="5"/>
  <c r="H36" i="5"/>
  <c r="N7" i="5"/>
  <c r="N38" i="5" s="1"/>
  <c r="M11" i="5"/>
  <c r="O15" i="4"/>
  <c r="CU24" i="12" l="1"/>
  <c r="CU26" i="12"/>
  <c r="CU20" i="12"/>
  <c r="CU20" i="5" s="1"/>
  <c r="CU21" i="12"/>
  <c r="M33" i="5"/>
  <c r="P6" i="6"/>
  <c r="P25" i="6" s="1"/>
  <c r="O25" i="6"/>
  <c r="M30" i="5"/>
  <c r="L24" i="5"/>
  <c r="L25" i="5"/>
  <c r="M31" i="5"/>
  <c r="O16" i="6"/>
  <c r="O19" i="6"/>
  <c r="O17" i="6"/>
  <c r="CU23" i="12"/>
  <c r="CU25" i="12"/>
  <c r="O18" i="6"/>
  <c r="M32" i="5"/>
  <c r="M16" i="5"/>
  <c r="L34" i="5"/>
  <c r="K26" i="5"/>
  <c r="J26" i="5"/>
  <c r="M25" i="5"/>
  <c r="L22" i="5"/>
  <c r="N10" i="5"/>
  <c r="H40" i="5"/>
  <c r="CU8" i="12"/>
  <c r="CV7" i="12"/>
  <c r="CU16" i="12"/>
  <c r="CU11" i="12"/>
  <c r="CU10" i="12"/>
  <c r="M62" i="5"/>
  <c r="M61" i="5"/>
  <c r="I36" i="5"/>
  <c r="O7" i="5"/>
  <c r="O38" i="5" s="1"/>
  <c r="N11" i="5"/>
  <c r="P15" i="4"/>
  <c r="P17" i="6" l="1"/>
  <c r="N33" i="5"/>
  <c r="P16" i="6"/>
  <c r="N30" i="5"/>
  <c r="P19" i="6"/>
  <c r="CV24" i="12"/>
  <c r="CV20" i="12"/>
  <c r="CV20" i="5" s="1"/>
  <c r="CV26" i="12"/>
  <c r="CV21" i="12"/>
  <c r="Q6" i="6"/>
  <c r="Q25" i="6" s="1"/>
  <c r="P18" i="6"/>
  <c r="N21" i="5"/>
  <c r="M34" i="5"/>
  <c r="H70" i="5"/>
  <c r="N31" i="5"/>
  <c r="CV25" i="12"/>
  <c r="CV23" i="12"/>
  <c r="N16" i="5"/>
  <c r="N32" i="5"/>
  <c r="M22" i="5"/>
  <c r="M24" i="5"/>
  <c r="O10" i="5"/>
  <c r="I40" i="5"/>
  <c r="CV8" i="12"/>
  <c r="CW7" i="12"/>
  <c r="CV11" i="12"/>
  <c r="CV10" i="12"/>
  <c r="CV16" i="12"/>
  <c r="N61" i="5"/>
  <c r="N62" i="5"/>
  <c r="J36" i="5"/>
  <c r="O11" i="5"/>
  <c r="P7" i="5"/>
  <c r="P38" i="5" s="1"/>
  <c r="Q15" i="4"/>
  <c r="O33" i="5" l="1"/>
  <c r="Q16" i="6"/>
  <c r="Q18" i="6"/>
  <c r="Q17" i="6"/>
  <c r="CW24" i="12"/>
  <c r="CW21" i="12"/>
  <c r="CW26" i="12"/>
  <c r="CW20" i="12"/>
  <c r="CW20" i="5" s="1"/>
  <c r="Q19" i="6"/>
  <c r="R6" i="6"/>
  <c r="O21" i="5"/>
  <c r="N24" i="5"/>
  <c r="N25" i="5"/>
  <c r="I70" i="5"/>
  <c r="O31" i="5"/>
  <c r="O32" i="5"/>
  <c r="N34" i="5"/>
  <c r="CW25" i="12"/>
  <c r="CW23" i="12"/>
  <c r="O16" i="5"/>
  <c r="O25" i="5"/>
  <c r="O30" i="5"/>
  <c r="M26" i="5"/>
  <c r="L26" i="5"/>
  <c r="N22" i="5"/>
  <c r="P10" i="5"/>
  <c r="J40" i="5"/>
  <c r="CW8" i="12"/>
  <c r="CX7" i="12"/>
  <c r="CW10" i="12"/>
  <c r="CW16" i="12"/>
  <c r="CW11" i="12"/>
  <c r="O61" i="5"/>
  <c r="O62" i="5"/>
  <c r="K36" i="5"/>
  <c r="Q7" i="5"/>
  <c r="Q38" i="5" s="1"/>
  <c r="E24" i="6" s="1"/>
  <c r="P11" i="5"/>
  <c r="R15" i="4"/>
  <c r="P33" i="5" l="1"/>
  <c r="R19" i="6"/>
  <c r="R17" i="6"/>
  <c r="R25" i="6"/>
  <c r="CX24" i="12"/>
  <c r="CX21" i="12"/>
  <c r="CX20" i="12"/>
  <c r="CX20" i="5" s="1"/>
  <c r="CX26" i="12"/>
  <c r="R16" i="6"/>
  <c r="S6" i="6"/>
  <c r="T6" i="6" s="1"/>
  <c r="R18" i="6"/>
  <c r="P21" i="5"/>
  <c r="J70" i="5"/>
  <c r="P32" i="5"/>
  <c r="O34" i="5"/>
  <c r="P31" i="5"/>
  <c r="CX23" i="12"/>
  <c r="CX25" i="12"/>
  <c r="P16" i="5"/>
  <c r="O22" i="5"/>
  <c r="O24" i="5"/>
  <c r="P30" i="5"/>
  <c r="Q10" i="5"/>
  <c r="Q33" i="5" s="1"/>
  <c r="K40" i="5"/>
  <c r="CX8" i="12"/>
  <c r="CY7" i="12"/>
  <c r="CX10" i="12"/>
  <c r="CX11" i="12"/>
  <c r="CX16" i="12"/>
  <c r="P62" i="5"/>
  <c r="P61" i="5"/>
  <c r="L36" i="5"/>
  <c r="M36" i="5"/>
  <c r="R7" i="5"/>
  <c r="R38" i="5" s="1"/>
  <c r="Q11" i="5"/>
  <c r="S15" i="4"/>
  <c r="Q21" i="5" l="1"/>
  <c r="S16" i="6"/>
  <c r="S19" i="6"/>
  <c r="S18" i="6"/>
  <c r="T18" i="6" s="1"/>
  <c r="T25" i="6"/>
  <c r="CY24" i="12"/>
  <c r="CY26" i="12"/>
  <c r="CY21" i="12"/>
  <c r="CY20" i="12"/>
  <c r="CY20" i="5" s="1"/>
  <c r="S17" i="6"/>
  <c r="P24" i="5"/>
  <c r="P25" i="5"/>
  <c r="K70" i="5"/>
  <c r="P34" i="5"/>
  <c r="T16" i="6"/>
  <c r="Q31" i="5"/>
  <c r="CY23" i="12"/>
  <c r="CY25" i="12"/>
  <c r="T17" i="6"/>
  <c r="T19" i="6"/>
  <c r="Q16" i="5"/>
  <c r="Q32" i="5"/>
  <c r="Q30" i="5"/>
  <c r="O26" i="5"/>
  <c r="N26" i="5"/>
  <c r="P22" i="5"/>
  <c r="R10" i="5"/>
  <c r="R33" i="5" s="1"/>
  <c r="F44" i="5"/>
  <c r="F45" i="5" s="1"/>
  <c r="CY8" i="12"/>
  <c r="M40" i="5"/>
  <c r="L40" i="5"/>
  <c r="CZ7" i="12"/>
  <c r="CY16" i="12"/>
  <c r="CY10" i="12"/>
  <c r="CY11" i="12"/>
  <c r="Q61" i="5"/>
  <c r="Q62" i="5"/>
  <c r="R11" i="5"/>
  <c r="U6" i="6"/>
  <c r="S7" i="5"/>
  <c r="S38" i="5" s="1"/>
  <c r="T15" i="4"/>
  <c r="R21" i="5" l="1"/>
  <c r="CZ24" i="12"/>
  <c r="CZ20" i="12"/>
  <c r="CZ20" i="5" s="1"/>
  <c r="CZ26" i="12"/>
  <c r="CZ21" i="12"/>
  <c r="U25" i="6"/>
  <c r="Q24" i="5"/>
  <c r="Q25" i="5"/>
  <c r="M70" i="5"/>
  <c r="L70" i="5"/>
  <c r="R32" i="5"/>
  <c r="R31" i="5"/>
  <c r="U16" i="6"/>
  <c r="Q34" i="5"/>
  <c r="CZ23" i="12"/>
  <c r="CZ25" i="12"/>
  <c r="U18" i="6"/>
  <c r="U17" i="6"/>
  <c r="U19" i="6"/>
  <c r="E9" i="6"/>
  <c r="Q22" i="5"/>
  <c r="R30" i="5"/>
  <c r="S10" i="5"/>
  <c r="S33" i="5" s="1"/>
  <c r="F48" i="5"/>
  <c r="F46" i="5"/>
  <c r="F47" i="5"/>
  <c r="T7" i="5"/>
  <c r="DA7" i="12"/>
  <c r="CZ16" i="12"/>
  <c r="CZ11" i="12"/>
  <c r="CZ10" i="12"/>
  <c r="CZ8" i="12"/>
  <c r="R62" i="5"/>
  <c r="R61" i="5"/>
  <c r="R16" i="5"/>
  <c r="V6" i="6"/>
  <c r="N36" i="5"/>
  <c r="S11" i="5"/>
  <c r="U15" i="4"/>
  <c r="V25" i="6" l="1"/>
  <c r="DA24" i="12"/>
  <c r="DA26" i="12"/>
  <c r="DA20" i="12"/>
  <c r="DA20" i="5" s="1"/>
  <c r="DA21" i="12"/>
  <c r="S21" i="5"/>
  <c r="T21" i="5" s="1"/>
  <c r="E8" i="6"/>
  <c r="E13" i="6" s="1"/>
  <c r="R25" i="5"/>
  <c r="T10" i="5"/>
  <c r="T33" i="5" s="1"/>
  <c r="T38" i="5"/>
  <c r="S32" i="5"/>
  <c r="V16" i="6"/>
  <c r="S31" i="5"/>
  <c r="T31" i="5" s="1"/>
  <c r="R24" i="5"/>
  <c r="R22" i="5"/>
  <c r="DA23" i="12"/>
  <c r="DA25" i="12"/>
  <c r="V18" i="6"/>
  <c r="V17" i="6"/>
  <c r="V19" i="6"/>
  <c r="R34" i="5"/>
  <c r="S16" i="5"/>
  <c r="S30" i="5"/>
  <c r="Q26" i="5"/>
  <c r="P26" i="5"/>
  <c r="T11" i="5"/>
  <c r="T61" i="5" s="1"/>
  <c r="F49" i="5"/>
  <c r="F54" i="5" s="1"/>
  <c r="F55" i="5" s="1"/>
  <c r="F68" i="5"/>
  <c r="N40" i="5"/>
  <c r="U7" i="5"/>
  <c r="DB7" i="12"/>
  <c r="DA11" i="12"/>
  <c r="DA16" i="12"/>
  <c r="DA10" i="12"/>
  <c r="DA8" i="12"/>
  <c r="S62" i="5"/>
  <c r="S61" i="5"/>
  <c r="W6" i="6"/>
  <c r="O36" i="5"/>
  <c r="V15" i="4"/>
  <c r="DB24" i="12" l="1"/>
  <c r="DB26" i="12"/>
  <c r="DB20" i="12"/>
  <c r="DB20" i="5" s="1"/>
  <c r="DB21" i="12"/>
  <c r="W25" i="6"/>
  <c r="T30" i="5"/>
  <c r="E12" i="6"/>
  <c r="E10" i="6"/>
  <c r="S24" i="5"/>
  <c r="S25" i="5"/>
  <c r="U10" i="5"/>
  <c r="U33" i="5" s="1"/>
  <c r="U38" i="5"/>
  <c r="T32" i="5"/>
  <c r="F56" i="5"/>
  <c r="F58" i="5" s="1"/>
  <c r="G53" i="5"/>
  <c r="N70" i="5"/>
  <c r="W16" i="6"/>
  <c r="DB23" i="12"/>
  <c r="DB25" i="12"/>
  <c r="W18" i="6"/>
  <c r="W17" i="6"/>
  <c r="W19" i="6"/>
  <c r="S34" i="5"/>
  <c r="T16" i="5"/>
  <c r="R26" i="5"/>
  <c r="T25" i="5"/>
  <c r="S22" i="5"/>
  <c r="T62" i="5"/>
  <c r="V7" i="5"/>
  <c r="U11" i="5"/>
  <c r="U62" i="5" s="1"/>
  <c r="L20" i="6"/>
  <c r="O40" i="5"/>
  <c r="DC7" i="12"/>
  <c r="DB16" i="12"/>
  <c r="DB11" i="12"/>
  <c r="DB10" i="12"/>
  <c r="DB8" i="12"/>
  <c r="X6" i="6"/>
  <c r="P36" i="5"/>
  <c r="W15" i="4"/>
  <c r="U31" i="5" l="1"/>
  <c r="DC24" i="12"/>
  <c r="DC26" i="12"/>
  <c r="DC20" i="12"/>
  <c r="DC20" i="5" s="1"/>
  <c r="DC21" i="12"/>
  <c r="U21" i="5"/>
  <c r="T34" i="5"/>
  <c r="U30" i="5"/>
  <c r="V10" i="5"/>
  <c r="V33" i="5" s="1"/>
  <c r="V38" i="5"/>
  <c r="U32" i="5"/>
  <c r="O70" i="5"/>
  <c r="X16" i="6"/>
  <c r="DC23" i="12"/>
  <c r="DC25" i="12"/>
  <c r="X19" i="6"/>
  <c r="X18" i="6"/>
  <c r="X17" i="6"/>
  <c r="U16" i="5"/>
  <c r="T22" i="5"/>
  <c r="T24" i="5"/>
  <c r="U25" i="5"/>
  <c r="U61" i="5"/>
  <c r="W7" i="5"/>
  <c r="V11" i="5"/>
  <c r="V61" i="5" s="1"/>
  <c r="E14" i="6"/>
  <c r="DC8" i="12"/>
  <c r="P40" i="5"/>
  <c r="DD7" i="12"/>
  <c r="DC16" i="12"/>
  <c r="DC11" i="12"/>
  <c r="DC10" i="12"/>
  <c r="Y6" i="6"/>
  <c r="R36" i="5"/>
  <c r="Q36" i="5"/>
  <c r="X15" i="4"/>
  <c r="V21" i="5" l="1"/>
  <c r="V32" i="5"/>
  <c r="DD24" i="12"/>
  <c r="DD26" i="12"/>
  <c r="DD20" i="12"/>
  <c r="DD20" i="5" s="1"/>
  <c r="DD21" i="12"/>
  <c r="V30" i="5"/>
  <c r="Y35" i="6"/>
  <c r="X5" i="9" s="1"/>
  <c r="Y25" i="6"/>
  <c r="U34" i="5"/>
  <c r="V31" i="5"/>
  <c r="W10" i="5"/>
  <c r="W33" i="5" s="1"/>
  <c r="W38" i="5"/>
  <c r="P70" i="5"/>
  <c r="Y16" i="6"/>
  <c r="DD25" i="12"/>
  <c r="DD23" i="12"/>
  <c r="Y19" i="6"/>
  <c r="Y18" i="6"/>
  <c r="Y17" i="6"/>
  <c r="V62" i="5"/>
  <c r="V16" i="5"/>
  <c r="U22" i="5"/>
  <c r="U24" i="5"/>
  <c r="X7" i="5"/>
  <c r="V25" i="5"/>
  <c r="T26" i="5"/>
  <c r="S26" i="5"/>
  <c r="W11" i="5"/>
  <c r="W62" i="5" s="1"/>
  <c r="E22" i="6"/>
  <c r="D6" i="9" s="1"/>
  <c r="BB16" i="10" s="1"/>
  <c r="Q40" i="5"/>
  <c r="R40" i="5"/>
  <c r="DD8" i="12"/>
  <c r="DE7" i="12"/>
  <c r="DD11" i="12"/>
  <c r="DD16" i="12"/>
  <c r="DD10" i="12"/>
  <c r="Z6" i="6"/>
  <c r="Y15" i="4"/>
  <c r="W21" i="5" l="1"/>
  <c r="V34" i="5"/>
  <c r="DE24" i="12"/>
  <c r="DE26" i="12"/>
  <c r="DE20" i="12"/>
  <c r="DE20" i="5" s="1"/>
  <c r="DE21" i="12"/>
  <c r="Z25" i="6"/>
  <c r="Z35" i="6"/>
  <c r="Y5" i="9" s="1"/>
  <c r="W32" i="5"/>
  <c r="W31" i="5"/>
  <c r="W30" i="5"/>
  <c r="X10" i="5"/>
  <c r="X33" i="5" s="1"/>
  <c r="X38" i="5"/>
  <c r="R70" i="5"/>
  <c r="Q70" i="5"/>
  <c r="Z16" i="6"/>
  <c r="E26" i="6"/>
  <c r="E38" i="6" s="1"/>
  <c r="D9" i="9" s="1"/>
  <c r="DE23" i="12"/>
  <c r="DE25" i="12"/>
  <c r="Z17" i="6"/>
  <c r="Z19" i="6"/>
  <c r="Z18" i="6"/>
  <c r="Y7" i="5"/>
  <c r="W16" i="5"/>
  <c r="X11" i="5"/>
  <c r="X62" i="5" s="1"/>
  <c r="V22" i="5"/>
  <c r="V24" i="5"/>
  <c r="W25" i="5"/>
  <c r="U26" i="5"/>
  <c r="W61" i="5"/>
  <c r="DF7" i="12"/>
  <c r="DE10" i="12"/>
  <c r="DE11" i="12"/>
  <c r="DE16" i="12"/>
  <c r="DE8" i="12"/>
  <c r="AA6" i="6"/>
  <c r="S36" i="5"/>
  <c r="Z15" i="4"/>
  <c r="W34" i="5" l="1"/>
  <c r="AA35" i="6"/>
  <c r="Z5" i="9" s="1"/>
  <c r="AA25" i="6"/>
  <c r="DF24" i="12"/>
  <c r="DF26" i="12"/>
  <c r="DF20" i="12"/>
  <c r="DF20" i="5" s="1"/>
  <c r="DF21" i="12"/>
  <c r="X21" i="5"/>
  <c r="X31" i="5"/>
  <c r="X32" i="5"/>
  <c r="D4" i="9"/>
  <c r="X30" i="5"/>
  <c r="Y10" i="5"/>
  <c r="Y33" i="5" s="1"/>
  <c r="Y38" i="5"/>
  <c r="AA16" i="6"/>
  <c r="Y16" i="5"/>
  <c r="X61" i="5"/>
  <c r="Z7" i="5"/>
  <c r="Y11" i="5"/>
  <c r="Y61" i="5" s="1"/>
  <c r="DF23" i="12"/>
  <c r="DF25" i="12"/>
  <c r="AA17" i="6"/>
  <c r="AA19" i="6"/>
  <c r="AA18" i="6"/>
  <c r="X16" i="5"/>
  <c r="X25" i="5"/>
  <c r="W24" i="5"/>
  <c r="W22" i="5"/>
  <c r="V26" i="5"/>
  <c r="S40" i="5"/>
  <c r="DF8" i="12"/>
  <c r="DG7" i="12"/>
  <c r="DF11" i="12"/>
  <c r="DF16" i="12"/>
  <c r="DF10" i="12"/>
  <c r="AB6" i="6"/>
  <c r="T36" i="5"/>
  <c r="AA15" i="4"/>
  <c r="Y21" i="5" l="1"/>
  <c r="X34" i="5"/>
  <c r="AB35" i="6"/>
  <c r="AA5" i="9" s="1"/>
  <c r="AB25" i="6"/>
  <c r="DG24" i="12"/>
  <c r="DG26" i="12"/>
  <c r="DG20" i="12"/>
  <c r="DG20" i="5" s="1"/>
  <c r="DG21" i="12"/>
  <c r="Y30" i="5"/>
  <c r="Y31" i="5"/>
  <c r="Z10" i="5"/>
  <c r="Z33" i="5" s="1"/>
  <c r="Z38" i="5"/>
  <c r="Y32" i="5"/>
  <c r="S70" i="5"/>
  <c r="AB16" i="6"/>
  <c r="Y62" i="5"/>
  <c r="AA7" i="5"/>
  <c r="Z11" i="5"/>
  <c r="Z61" i="5" s="1"/>
  <c r="AB17" i="6"/>
  <c r="AB19" i="6"/>
  <c r="AB18" i="6"/>
  <c r="DG23" i="12"/>
  <c r="DG25" i="12"/>
  <c r="X22" i="5"/>
  <c r="X24" i="5"/>
  <c r="W26" i="5"/>
  <c r="T40" i="5"/>
  <c r="DH7" i="12"/>
  <c r="DG10" i="12"/>
  <c r="DG16" i="12"/>
  <c r="DG11" i="12"/>
  <c r="DG8" i="12"/>
  <c r="AC6" i="6"/>
  <c r="U36" i="5"/>
  <c r="AB15" i="4"/>
  <c r="Y22" i="5" l="1"/>
  <c r="Z21" i="5"/>
  <c r="DH24" i="12"/>
  <c r="DH20" i="12"/>
  <c r="DH20" i="5" s="1"/>
  <c r="DH26" i="12"/>
  <c r="DH21" i="12"/>
  <c r="AC25" i="6"/>
  <c r="AC35" i="6"/>
  <c r="AB5" i="9" s="1"/>
  <c r="Y34" i="5"/>
  <c r="Y24" i="5"/>
  <c r="Y25" i="5"/>
  <c r="Z32" i="5"/>
  <c r="AA10" i="5"/>
  <c r="AA33" i="5" s="1"/>
  <c r="AA38" i="5"/>
  <c r="Z31" i="5"/>
  <c r="Z30" i="5"/>
  <c r="T70" i="5"/>
  <c r="AC16" i="6"/>
  <c r="AA11" i="5"/>
  <c r="AA62" i="5" s="1"/>
  <c r="Z16" i="5"/>
  <c r="Z62" i="5"/>
  <c r="AB7" i="5"/>
  <c r="DH25" i="12"/>
  <c r="DH23" i="12"/>
  <c r="AC19" i="6"/>
  <c r="AC18" i="6"/>
  <c r="AC17" i="6"/>
  <c r="X26" i="5"/>
  <c r="U40" i="5"/>
  <c r="DI7" i="12"/>
  <c r="DH16" i="12"/>
  <c r="DH10" i="12"/>
  <c r="DH11" i="12"/>
  <c r="DH8" i="12"/>
  <c r="AD6" i="6"/>
  <c r="W36" i="5"/>
  <c r="V36" i="5"/>
  <c r="AC15" i="4"/>
  <c r="AD15" i="4" s="1"/>
  <c r="DI24" i="12" l="1"/>
  <c r="DI26" i="12"/>
  <c r="DI20" i="12"/>
  <c r="DI20" i="5" s="1"/>
  <c r="DI21" i="12"/>
  <c r="AA32" i="5"/>
  <c r="AA31" i="5"/>
  <c r="AD35" i="6"/>
  <c r="AC5" i="9" s="1"/>
  <c r="AD25" i="6"/>
  <c r="AA21" i="5"/>
  <c r="AA30" i="5"/>
  <c r="Z34" i="5"/>
  <c r="Y26" i="5"/>
  <c r="Z24" i="5"/>
  <c r="Z25" i="5"/>
  <c r="Z22" i="5"/>
  <c r="AB11" i="5"/>
  <c r="AB61" i="5" s="1"/>
  <c r="AB38" i="5"/>
  <c r="U70" i="5"/>
  <c r="AA61" i="5"/>
  <c r="AA16" i="5"/>
  <c r="AD16" i="6"/>
  <c r="AB16" i="5"/>
  <c r="AB10" i="5"/>
  <c r="AC7" i="5"/>
  <c r="DI25" i="12"/>
  <c r="DI23" i="12"/>
  <c r="AD17" i="6"/>
  <c r="AD19" i="6"/>
  <c r="AD18" i="6"/>
  <c r="V40" i="5"/>
  <c r="W40" i="5"/>
  <c r="DJ7" i="12"/>
  <c r="DI11" i="12"/>
  <c r="DI16" i="12"/>
  <c r="DI10" i="12"/>
  <c r="DI8" i="12"/>
  <c r="AE6" i="6"/>
  <c r="AB62" i="5"/>
  <c r="AE15" i="4"/>
  <c r="AB21" i="5" l="1"/>
  <c r="AA34" i="5"/>
  <c r="AE35" i="6"/>
  <c r="AD5" i="9" s="1"/>
  <c r="AE25" i="6"/>
  <c r="DJ24" i="12"/>
  <c r="DJ26" i="12"/>
  <c r="DJ20" i="12"/>
  <c r="DJ20" i="5" s="1"/>
  <c r="DJ21" i="12"/>
  <c r="AB32" i="5"/>
  <c r="AB33" i="5"/>
  <c r="AA24" i="5"/>
  <c r="AA25" i="5"/>
  <c r="AA22" i="5"/>
  <c r="Z26" i="5"/>
  <c r="AD7" i="5"/>
  <c r="AD38" i="5" s="1"/>
  <c r="AC38" i="5"/>
  <c r="F24" i="6" s="1"/>
  <c r="W70" i="5"/>
  <c r="V70" i="5"/>
  <c r="AE16" i="6"/>
  <c r="AB31" i="5"/>
  <c r="AC10" i="5"/>
  <c r="AC21" i="5" s="1"/>
  <c r="AB30" i="5"/>
  <c r="AC11" i="5"/>
  <c r="AC62" i="5" s="1"/>
  <c r="DJ23" i="12"/>
  <c r="DJ25" i="12"/>
  <c r="AE18" i="6"/>
  <c r="AE17" i="6"/>
  <c r="AE19" i="6"/>
  <c r="DK7" i="12"/>
  <c r="DJ16" i="12"/>
  <c r="DJ11" i="12"/>
  <c r="DJ10" i="12"/>
  <c r="DJ8" i="12"/>
  <c r="AF6" i="6"/>
  <c r="X36" i="5"/>
  <c r="AF15" i="4"/>
  <c r="AE7" i="5" l="1"/>
  <c r="AE38" i="5" s="1"/>
  <c r="AD11" i="5"/>
  <c r="AD10" i="5"/>
  <c r="AD21" i="5" s="1"/>
  <c r="F9" i="6" s="1"/>
  <c r="DK24" i="12"/>
  <c r="DK26" i="12"/>
  <c r="DK21" i="12"/>
  <c r="DK20" i="12"/>
  <c r="DK20" i="5" s="1"/>
  <c r="AC32" i="5"/>
  <c r="AD32" i="5" s="1"/>
  <c r="AF35" i="6"/>
  <c r="AE5" i="9" s="1"/>
  <c r="AF25" i="6"/>
  <c r="AC33" i="5"/>
  <c r="AD33" i="5" s="1"/>
  <c r="AA26" i="5"/>
  <c r="AB24" i="5"/>
  <c r="AB25" i="5"/>
  <c r="AC31" i="5"/>
  <c r="AD31" i="5" s="1"/>
  <c r="AC16" i="5"/>
  <c r="AF16" i="6"/>
  <c r="AC30" i="5"/>
  <c r="AB22" i="5"/>
  <c r="AB34" i="5"/>
  <c r="AC61" i="5"/>
  <c r="DK23" i="12"/>
  <c r="DK25" i="12"/>
  <c r="AF19" i="6"/>
  <c r="AF18" i="6"/>
  <c r="AF17" i="6"/>
  <c r="AD16" i="5"/>
  <c r="AE10" i="5"/>
  <c r="X40" i="5"/>
  <c r="DK8" i="12"/>
  <c r="DL7" i="12"/>
  <c r="DK16" i="12"/>
  <c r="DK10" i="12"/>
  <c r="DK11" i="12"/>
  <c r="AG6" i="6"/>
  <c r="AD61" i="5"/>
  <c r="AD62" i="5"/>
  <c r="Y36" i="5"/>
  <c r="AE11" i="5"/>
  <c r="AF7" i="5"/>
  <c r="AF38" i="5" s="1"/>
  <c r="AG15" i="4"/>
  <c r="AE21" i="5" l="1"/>
  <c r="AG35" i="6"/>
  <c r="AF5" i="9" s="1"/>
  <c r="AG25" i="6"/>
  <c r="AE33" i="5"/>
  <c r="AF33" i="5" s="1"/>
  <c r="DL24" i="12"/>
  <c r="DL26" i="12"/>
  <c r="DL21" i="12"/>
  <c r="DL20" i="12"/>
  <c r="DL20" i="5" s="1"/>
  <c r="AC24" i="5"/>
  <c r="AC25" i="5"/>
  <c r="X70" i="5"/>
  <c r="AC34" i="5"/>
  <c r="AD30" i="5"/>
  <c r="AD34" i="5" s="1"/>
  <c r="AG16" i="6"/>
  <c r="AE31" i="5"/>
  <c r="AB26" i="5"/>
  <c r="AC22" i="5"/>
  <c r="AE32" i="5"/>
  <c r="DL25" i="12"/>
  <c r="DL23" i="12"/>
  <c r="AG19" i="6"/>
  <c r="AG18" i="6"/>
  <c r="AG17" i="6"/>
  <c r="AE16" i="5"/>
  <c r="AF10" i="5"/>
  <c r="AF21" i="5" s="1"/>
  <c r="Y40" i="5"/>
  <c r="DL8" i="12"/>
  <c r="DM7" i="12"/>
  <c r="DL16" i="12"/>
  <c r="DL10" i="12"/>
  <c r="DL11" i="12"/>
  <c r="AH6" i="6"/>
  <c r="AE61" i="5"/>
  <c r="AE62" i="5"/>
  <c r="Z36" i="5"/>
  <c r="AF11" i="5"/>
  <c r="AG7" i="5"/>
  <c r="AG38" i="5" s="1"/>
  <c r="AH15" i="4"/>
  <c r="DM24" i="12" l="1"/>
  <c r="DM21" i="12"/>
  <c r="DM26" i="12"/>
  <c r="DM20" i="12"/>
  <c r="DM20" i="5" s="1"/>
  <c r="AG33" i="5"/>
  <c r="AH25" i="6"/>
  <c r="AH35" i="6"/>
  <c r="AG5" i="9" s="1"/>
  <c r="F8" i="6"/>
  <c r="AD25" i="5"/>
  <c r="Y70" i="5"/>
  <c r="AE30" i="5"/>
  <c r="AF30" i="5" s="1"/>
  <c r="AH16" i="6"/>
  <c r="AF31" i="5"/>
  <c r="AD24" i="5"/>
  <c r="AD22" i="5"/>
  <c r="AC26" i="5"/>
  <c r="AH17" i="6"/>
  <c r="AH19" i="6"/>
  <c r="AH18" i="6"/>
  <c r="DM23" i="12"/>
  <c r="DM25" i="12"/>
  <c r="AF16" i="5"/>
  <c r="AF32" i="5"/>
  <c r="AG10" i="5"/>
  <c r="AG21" i="5" s="1"/>
  <c r="Z40" i="5"/>
  <c r="DN7" i="12"/>
  <c r="DM10" i="12"/>
  <c r="DM16" i="12"/>
  <c r="DM11" i="12"/>
  <c r="DM8" i="12"/>
  <c r="AF62" i="5"/>
  <c r="AF61" i="5"/>
  <c r="AA36" i="5"/>
  <c r="AG11" i="5"/>
  <c r="AH7" i="5"/>
  <c r="AH38" i="5" s="1"/>
  <c r="AI15" i="4"/>
  <c r="DN24" i="12" l="1"/>
  <c r="DN20" i="12"/>
  <c r="DN20" i="5" s="1"/>
  <c r="DN21" i="12"/>
  <c r="DN26" i="12"/>
  <c r="F10" i="6"/>
  <c r="F13" i="6"/>
  <c r="AE24" i="5"/>
  <c r="AE25" i="5"/>
  <c r="AE34" i="5"/>
  <c r="Z70" i="5"/>
  <c r="AG31" i="5"/>
  <c r="AE22" i="5"/>
  <c r="AG32" i="5"/>
  <c r="AF34" i="5"/>
  <c r="DN23" i="12"/>
  <c r="DN25" i="12"/>
  <c r="AG16" i="5"/>
  <c r="AG30" i="5"/>
  <c r="AD26" i="5"/>
  <c r="AH10" i="5"/>
  <c r="AH21" i="5" s="1"/>
  <c r="M20" i="6"/>
  <c r="AA40" i="5"/>
  <c r="DO7" i="12"/>
  <c r="DN11" i="12"/>
  <c r="DN10" i="12"/>
  <c r="DN16" i="12"/>
  <c r="DN8" i="12"/>
  <c r="AG61" i="5"/>
  <c r="AG62" i="5"/>
  <c r="AB36" i="5"/>
  <c r="AH11" i="5"/>
  <c r="AI7" i="5"/>
  <c r="AI38" i="5" s="1"/>
  <c r="AJ15" i="4"/>
  <c r="DO24" i="12" l="1"/>
  <c r="DO26" i="12"/>
  <c r="DO20" i="12"/>
  <c r="DO20" i="5" s="1"/>
  <c r="DO21" i="12"/>
  <c r="AH33" i="5"/>
  <c r="AF24" i="5"/>
  <c r="AF25" i="5"/>
  <c r="AA70" i="5"/>
  <c r="AE26" i="5"/>
  <c r="AG34" i="5"/>
  <c r="AH31" i="5"/>
  <c r="AF22" i="5"/>
  <c r="DO23" i="12"/>
  <c r="DO25" i="12"/>
  <c r="AH16" i="5"/>
  <c r="AH32" i="5"/>
  <c r="AH30" i="5"/>
  <c r="AI10" i="5"/>
  <c r="AI21" i="5" s="1"/>
  <c r="F12" i="6"/>
  <c r="F14" i="6" s="1"/>
  <c r="AB40" i="5"/>
  <c r="DP7" i="12"/>
  <c r="DO11" i="12"/>
  <c r="DO10" i="12"/>
  <c r="DO16" i="12"/>
  <c r="DO8" i="12"/>
  <c r="AH61" i="5"/>
  <c r="AH62" i="5"/>
  <c r="AC36" i="5"/>
  <c r="AI11" i="5"/>
  <c r="AJ7" i="5"/>
  <c r="AJ38" i="5" s="1"/>
  <c r="AK15" i="4"/>
  <c r="AI33" i="5" l="1"/>
  <c r="DP24" i="12"/>
  <c r="DP26" i="12"/>
  <c r="DP20" i="12"/>
  <c r="DP20" i="5" s="1"/>
  <c r="DP21" i="12"/>
  <c r="AJ33" i="5"/>
  <c r="AG24" i="5"/>
  <c r="AG25" i="5"/>
  <c r="AB70" i="5"/>
  <c r="AI31" i="5"/>
  <c r="AG22" i="5"/>
  <c r="AI32" i="5"/>
  <c r="DP23" i="12"/>
  <c r="DP25" i="12"/>
  <c r="AH34" i="5"/>
  <c r="AI16" i="5"/>
  <c r="AI30" i="5"/>
  <c r="AF26" i="5"/>
  <c r="AJ10" i="5"/>
  <c r="AJ21" i="5" s="1"/>
  <c r="F22" i="6"/>
  <c r="DP8" i="12"/>
  <c r="AC40" i="5"/>
  <c r="DQ7" i="12"/>
  <c r="DP11" i="12"/>
  <c r="DP16" i="12"/>
  <c r="DP10" i="12"/>
  <c r="AI62" i="5"/>
  <c r="AI61" i="5"/>
  <c r="AD36" i="5"/>
  <c r="AJ11" i="5"/>
  <c r="AK7" i="5"/>
  <c r="AK38" i="5" s="1"/>
  <c r="AL15" i="4"/>
  <c r="DQ24" i="12" l="1"/>
  <c r="DQ20" i="12"/>
  <c r="DQ20" i="5" s="1"/>
  <c r="DQ26" i="12"/>
  <c r="DQ21" i="12"/>
  <c r="F26" i="6"/>
  <c r="E4" i="9" s="1"/>
  <c r="E6" i="9"/>
  <c r="BC16" i="10" s="1"/>
  <c r="AH24" i="5"/>
  <c r="AH25" i="5"/>
  <c r="AC70" i="5"/>
  <c r="AH22" i="5"/>
  <c r="AI34" i="5"/>
  <c r="AJ31" i="5"/>
  <c r="AG26" i="5"/>
  <c r="DQ25" i="12"/>
  <c r="DQ23" i="12"/>
  <c r="AJ16" i="5"/>
  <c r="AJ32" i="5"/>
  <c r="AJ30" i="5"/>
  <c r="AK10" i="5"/>
  <c r="AK21" i="5" s="1"/>
  <c r="AD40" i="5"/>
  <c r="DQ8" i="12"/>
  <c r="DR7" i="12"/>
  <c r="DQ11" i="12"/>
  <c r="DQ16" i="12"/>
  <c r="DQ10" i="12"/>
  <c r="AJ62" i="5"/>
  <c r="AJ61" i="5"/>
  <c r="AE36" i="5"/>
  <c r="AK11" i="5"/>
  <c r="AL7" i="5"/>
  <c r="AL38" i="5" s="1"/>
  <c r="AM15" i="4"/>
  <c r="F38" i="6" l="1"/>
  <c r="E9" i="9" s="1"/>
  <c r="AK33" i="5"/>
  <c r="DR24" i="12"/>
  <c r="DR26" i="12"/>
  <c r="DR21" i="12"/>
  <c r="DR20" i="12"/>
  <c r="DR20" i="5" s="1"/>
  <c r="AJ25" i="5"/>
  <c r="AI25" i="5"/>
  <c r="AD70" i="5"/>
  <c r="AJ34" i="5"/>
  <c r="AK31" i="5"/>
  <c r="AI24" i="5"/>
  <c r="AI22" i="5"/>
  <c r="AK32" i="5"/>
  <c r="DR23" i="12"/>
  <c r="DR25" i="12"/>
  <c r="AK16" i="5"/>
  <c r="AK30" i="5"/>
  <c r="AH26" i="5"/>
  <c r="AL10" i="5"/>
  <c r="AL21" i="5" s="1"/>
  <c r="AE40" i="5"/>
  <c r="DR8" i="12"/>
  <c r="DS7" i="12"/>
  <c r="DR16" i="12"/>
  <c r="DR11" i="12"/>
  <c r="DR10" i="12"/>
  <c r="AK62" i="5"/>
  <c r="AK61" i="5"/>
  <c r="AF36" i="5"/>
  <c r="AL11" i="5"/>
  <c r="AM7" i="5"/>
  <c r="AM38" i="5" s="1"/>
  <c r="AN15" i="4"/>
  <c r="DS24" i="12" l="1"/>
  <c r="DS26" i="12"/>
  <c r="DS20" i="12"/>
  <c r="DS20" i="5" s="1"/>
  <c r="DS21" i="12"/>
  <c r="AL33" i="5"/>
  <c r="AM33" i="5" s="1"/>
  <c r="AK24" i="5"/>
  <c r="AJ24" i="5"/>
  <c r="AJ22" i="5"/>
  <c r="AE70" i="5"/>
  <c r="AI26" i="5"/>
  <c r="AK34" i="5"/>
  <c r="AL31" i="5"/>
  <c r="DS23" i="12"/>
  <c r="DS25" i="12"/>
  <c r="AL16" i="5"/>
  <c r="AL32" i="5"/>
  <c r="AL30" i="5"/>
  <c r="AM10" i="5"/>
  <c r="AM21" i="5" s="1"/>
  <c r="DS8" i="12"/>
  <c r="AF40" i="5"/>
  <c r="DT7" i="12"/>
  <c r="DS16" i="12"/>
  <c r="DS11" i="12"/>
  <c r="DS10" i="12"/>
  <c r="AL62" i="5"/>
  <c r="AL61" i="5"/>
  <c r="AG36" i="5"/>
  <c r="AM11" i="5"/>
  <c r="AN7" i="5"/>
  <c r="AN38" i="5" s="1"/>
  <c r="AO15" i="4"/>
  <c r="DT24" i="12" l="1"/>
  <c r="DT26" i="12"/>
  <c r="DT20" i="12"/>
  <c r="DT20" i="5" s="1"/>
  <c r="DT21" i="12"/>
  <c r="AN33" i="5"/>
  <c r="AK22" i="5"/>
  <c r="AL22" i="5"/>
  <c r="AK25" i="5"/>
  <c r="AJ26" i="5"/>
  <c r="AF70" i="5"/>
  <c r="AM31" i="5"/>
  <c r="AM32" i="5"/>
  <c r="AL34" i="5"/>
  <c r="DT25" i="12"/>
  <c r="DT23" i="12"/>
  <c r="AM16" i="5"/>
  <c r="AM30" i="5"/>
  <c r="AN10" i="5"/>
  <c r="AN21" i="5" s="1"/>
  <c r="AG40" i="5"/>
  <c r="DT8" i="12"/>
  <c r="DU7" i="12"/>
  <c r="DT16" i="12"/>
  <c r="DT11" i="12"/>
  <c r="DT10" i="12"/>
  <c r="AM61" i="5"/>
  <c r="AM62" i="5"/>
  <c r="AH36" i="5"/>
  <c r="AN11" i="5"/>
  <c r="AO7" i="5"/>
  <c r="AO38" i="5" s="1"/>
  <c r="G24" i="6" s="1"/>
  <c r="AP15" i="4"/>
  <c r="DU24" i="12" l="1"/>
  <c r="DU26" i="12"/>
  <c r="DU21" i="12"/>
  <c r="DU20" i="12"/>
  <c r="DU20" i="5" s="1"/>
  <c r="AM24" i="5"/>
  <c r="AL25" i="5"/>
  <c r="AL24" i="5"/>
  <c r="AG70" i="5"/>
  <c r="AM34" i="5"/>
  <c r="AN31" i="5"/>
  <c r="DU25" i="12"/>
  <c r="DU23" i="12"/>
  <c r="AN16" i="5"/>
  <c r="AN32" i="5"/>
  <c r="AN30" i="5"/>
  <c r="AK26" i="5"/>
  <c r="AO10" i="5"/>
  <c r="AO21" i="5" s="1"/>
  <c r="AH40" i="5"/>
  <c r="DU8" i="12"/>
  <c r="DV7" i="12"/>
  <c r="DU16" i="12"/>
  <c r="DU10" i="12"/>
  <c r="DU11" i="12"/>
  <c r="AN62" i="5"/>
  <c r="AN61" i="5"/>
  <c r="AI36" i="5"/>
  <c r="AO11" i="5"/>
  <c r="AP7" i="5"/>
  <c r="AP38" i="5" s="1"/>
  <c r="AQ15" i="4"/>
  <c r="AN25" i="5" l="1"/>
  <c r="AM22" i="5"/>
  <c r="AM25" i="5"/>
  <c r="AO33" i="5"/>
  <c r="DV24" i="12"/>
  <c r="DV26" i="12"/>
  <c r="DV21" i="12"/>
  <c r="DV20" i="12"/>
  <c r="DV20" i="5" s="1"/>
  <c r="AL26" i="5"/>
  <c r="AH70" i="5"/>
  <c r="AO31" i="5"/>
  <c r="AN34" i="5"/>
  <c r="AO32" i="5"/>
  <c r="DV25" i="12"/>
  <c r="DV23" i="12"/>
  <c r="AO16" i="5"/>
  <c r="AO30" i="5"/>
  <c r="AP10" i="5"/>
  <c r="AP21" i="5" s="1"/>
  <c r="AI40" i="5"/>
  <c r="DV8" i="12"/>
  <c r="DW7" i="12"/>
  <c r="DV16" i="12"/>
  <c r="DV10" i="12"/>
  <c r="DV11" i="12"/>
  <c r="AO62" i="5"/>
  <c r="AO61" i="5"/>
  <c r="AJ36" i="5"/>
  <c r="AP11" i="5"/>
  <c r="AQ7" i="5"/>
  <c r="AQ38" i="5" s="1"/>
  <c r="AR15" i="4"/>
  <c r="AN24" i="5" l="1"/>
  <c r="AN22" i="5"/>
  <c r="AP33" i="5"/>
  <c r="DW24" i="12"/>
  <c r="DW26" i="12"/>
  <c r="DW21" i="12"/>
  <c r="DW20" i="12"/>
  <c r="DW20" i="5" s="1"/>
  <c r="AI70" i="5"/>
  <c r="AP31" i="5"/>
  <c r="AO34" i="5"/>
  <c r="DW23" i="12"/>
  <c r="DW25" i="12"/>
  <c r="AP32" i="5"/>
  <c r="AP30" i="5"/>
  <c r="AN26" i="5"/>
  <c r="AM26" i="5"/>
  <c r="AQ10" i="5"/>
  <c r="AQ21" i="5" s="1"/>
  <c r="G9" i="6"/>
  <c r="AP16" i="5"/>
  <c r="AJ40" i="5"/>
  <c r="DX7" i="12"/>
  <c r="DW16" i="12"/>
  <c r="DW10" i="12"/>
  <c r="DW11" i="12"/>
  <c r="DW8" i="12"/>
  <c r="AP61" i="5"/>
  <c r="AP62" i="5"/>
  <c r="AK36" i="5"/>
  <c r="AQ11" i="5"/>
  <c r="AR7" i="5"/>
  <c r="AR38" i="5" s="1"/>
  <c r="AS15" i="4"/>
  <c r="AO25" i="5" l="1"/>
  <c r="AO24" i="5"/>
  <c r="AO22" i="5"/>
  <c r="AQ33" i="5"/>
  <c r="DX24" i="12"/>
  <c r="DX26" i="12"/>
  <c r="DX20" i="12"/>
  <c r="DX20" i="5" s="1"/>
  <c r="DX21" i="12"/>
  <c r="AJ70" i="5"/>
  <c r="AQ31" i="5"/>
  <c r="AQ32" i="5"/>
  <c r="DX23" i="12"/>
  <c r="DX25" i="12"/>
  <c r="AP34" i="5"/>
  <c r="AQ16" i="5"/>
  <c r="AQ30" i="5"/>
  <c r="AR10" i="5"/>
  <c r="AR21" i="5" s="1"/>
  <c r="AL36" i="5"/>
  <c r="AL40" i="5" s="1"/>
  <c r="AK40" i="5"/>
  <c r="DX8" i="12"/>
  <c r="DY7" i="12"/>
  <c r="DX11" i="12"/>
  <c r="DX16" i="12"/>
  <c r="DX10" i="12"/>
  <c r="AQ61" i="5"/>
  <c r="AQ62" i="5"/>
  <c r="AR11" i="5"/>
  <c r="AS7" i="5"/>
  <c r="AS38" i="5" s="1"/>
  <c r="AT15" i="4"/>
  <c r="AP25" i="5" l="1"/>
  <c r="AO26" i="5"/>
  <c r="AP24" i="5"/>
  <c r="AP22" i="5"/>
  <c r="G8" i="6"/>
  <c r="G10" i="6" s="1"/>
  <c r="AQ22" i="5"/>
  <c r="DY24" i="12"/>
  <c r="DY26" i="12"/>
  <c r="DY20" i="12"/>
  <c r="DY20" i="5" s="1"/>
  <c r="DY21" i="12"/>
  <c r="AR33" i="5"/>
  <c r="AK70" i="5"/>
  <c r="AL70" i="5"/>
  <c r="AQ34" i="5"/>
  <c r="AR31" i="5"/>
  <c r="DY23" i="12"/>
  <c r="DY25" i="12"/>
  <c r="AR16" i="5"/>
  <c r="AR32" i="5"/>
  <c r="AR30" i="5"/>
  <c r="AS10" i="5"/>
  <c r="AS21" i="5" s="1"/>
  <c r="DZ7" i="12"/>
  <c r="DY11" i="12"/>
  <c r="DY10" i="12"/>
  <c r="DY16" i="12"/>
  <c r="DY8" i="12"/>
  <c r="AR61" i="5"/>
  <c r="AR62" i="5"/>
  <c r="AM36" i="5"/>
  <c r="AS11" i="5"/>
  <c r="AT7" i="5"/>
  <c r="AT38" i="5" s="1"/>
  <c r="AU15" i="4"/>
  <c r="AQ25" i="5" l="1"/>
  <c r="AQ24" i="5"/>
  <c r="AR24" i="5"/>
  <c r="G13" i="6"/>
  <c r="AS33" i="5"/>
  <c r="DZ24" i="12"/>
  <c r="DZ20" i="12"/>
  <c r="DZ20" i="5" s="1"/>
  <c r="DZ26" i="12"/>
  <c r="DZ21" i="12"/>
  <c r="AS31" i="5"/>
  <c r="AR34" i="5"/>
  <c r="AS32" i="5"/>
  <c r="DZ23" i="12"/>
  <c r="DZ25" i="12"/>
  <c r="AS16" i="5"/>
  <c r="AS30" i="5"/>
  <c r="AP26" i="5"/>
  <c r="AT10" i="5"/>
  <c r="AT21" i="5" s="1"/>
  <c r="N20" i="6"/>
  <c r="AM40" i="5"/>
  <c r="DZ8" i="12"/>
  <c r="EA7" i="12"/>
  <c r="DZ16" i="12"/>
  <c r="DZ11" i="12"/>
  <c r="DZ10" i="12"/>
  <c r="AS61" i="5"/>
  <c r="AS62" i="5"/>
  <c r="AN36" i="5"/>
  <c r="G12" i="6"/>
  <c r="AT11" i="5"/>
  <c r="AU7" i="5"/>
  <c r="AU38" i="5" s="1"/>
  <c r="AV15" i="4"/>
  <c r="AQ26" i="5" l="1"/>
  <c r="AS24" i="5"/>
  <c r="AR22" i="5"/>
  <c r="AR25" i="5"/>
  <c r="G14" i="6"/>
  <c r="G22" i="6" s="1"/>
  <c r="AT33" i="5"/>
  <c r="EA24" i="12"/>
  <c r="EA26" i="12"/>
  <c r="EA20" i="12"/>
  <c r="EA20" i="5" s="1"/>
  <c r="EA21" i="12"/>
  <c r="AM70" i="5"/>
  <c r="AT31" i="5"/>
  <c r="AS34" i="5"/>
  <c r="AT32" i="5"/>
  <c r="EA23" i="12"/>
  <c r="EA25" i="12"/>
  <c r="AT16" i="5"/>
  <c r="AT30" i="5"/>
  <c r="AU10" i="5"/>
  <c r="AU21" i="5" s="1"/>
  <c r="AN40" i="5"/>
  <c r="EA8" i="12"/>
  <c r="EB7" i="12"/>
  <c r="EA16" i="12"/>
  <c r="EA11" i="12"/>
  <c r="EA10" i="12"/>
  <c r="AO36" i="5"/>
  <c r="AT61" i="5"/>
  <c r="AT62" i="5"/>
  <c r="AU11" i="5"/>
  <c r="AV7" i="5"/>
  <c r="AV38" i="5" s="1"/>
  <c r="AW15" i="4"/>
  <c r="AR26" i="5" l="1"/>
  <c r="AS22" i="5"/>
  <c r="AS25" i="5"/>
  <c r="AT25" i="5"/>
  <c r="EB24" i="12"/>
  <c r="EB26" i="12"/>
  <c r="EB20" i="12"/>
  <c r="EB20" i="5" s="1"/>
  <c r="EB21" i="12"/>
  <c r="AU33" i="5"/>
  <c r="G26" i="6"/>
  <c r="G38" i="6" s="1"/>
  <c r="F9" i="9" s="1"/>
  <c r="F6" i="9"/>
  <c r="BD16" i="10" s="1"/>
  <c r="AN70" i="5"/>
  <c r="AT34" i="5"/>
  <c r="AU31" i="5"/>
  <c r="EB25" i="12"/>
  <c r="EB23" i="12"/>
  <c r="AU16" i="5"/>
  <c r="AU32" i="5"/>
  <c r="AU30" i="5"/>
  <c r="AV10" i="5"/>
  <c r="AV21" i="5" s="1"/>
  <c r="EB8" i="12"/>
  <c r="AO40" i="5"/>
  <c r="EC7" i="12"/>
  <c r="EB11" i="12"/>
  <c r="EB10" i="12"/>
  <c r="EB16" i="12"/>
  <c r="AU61" i="5"/>
  <c r="AU62" i="5"/>
  <c r="AP36" i="5"/>
  <c r="AV11" i="5"/>
  <c r="AW7" i="5"/>
  <c r="AW38" i="5" s="1"/>
  <c r="AX15" i="4"/>
  <c r="AV33" i="5" l="1"/>
  <c r="AT22" i="5"/>
  <c r="AT24" i="5"/>
  <c r="AU25" i="5"/>
  <c r="EC24" i="12"/>
  <c r="EC21" i="12"/>
  <c r="EC26" i="12"/>
  <c r="EC20" i="12"/>
  <c r="EC20" i="5" s="1"/>
  <c r="AO70" i="5"/>
  <c r="AV31" i="5"/>
  <c r="AV32" i="5"/>
  <c r="AU34" i="5"/>
  <c r="EC23" i="12"/>
  <c r="EC25" i="12"/>
  <c r="AV16" i="5"/>
  <c r="AV30" i="5"/>
  <c r="AS26" i="5"/>
  <c r="AW10" i="5"/>
  <c r="AW21" i="5" s="1"/>
  <c r="AP40" i="5"/>
  <c r="ED7" i="12"/>
  <c r="EC10" i="12"/>
  <c r="EC16" i="12"/>
  <c r="EC11" i="12"/>
  <c r="EC8" i="12"/>
  <c r="F4" i="9"/>
  <c r="AV62" i="5"/>
  <c r="AV61" i="5"/>
  <c r="AQ36" i="5"/>
  <c r="AW11" i="5"/>
  <c r="AX7" i="5"/>
  <c r="AX38" i="5" s="1"/>
  <c r="AY15" i="4"/>
  <c r="AW33" i="5" l="1"/>
  <c r="AT26" i="5"/>
  <c r="AU22" i="5"/>
  <c r="AU24" i="5"/>
  <c r="AV25" i="5"/>
  <c r="ED24" i="12"/>
  <c r="ED21" i="12"/>
  <c r="ED26" i="12"/>
  <c r="ED20" i="12"/>
  <c r="ED20" i="5" s="1"/>
  <c r="AP70" i="5"/>
  <c r="AV34" i="5"/>
  <c r="AW31" i="5"/>
  <c r="ED23" i="12"/>
  <c r="ED25" i="12"/>
  <c r="AW16" i="5"/>
  <c r="AW32" i="5"/>
  <c r="AW30" i="5"/>
  <c r="AX10" i="5"/>
  <c r="AX21" i="5" s="1"/>
  <c r="AQ40" i="5"/>
  <c r="AR36" i="5"/>
  <c r="EE7" i="12"/>
  <c r="ED16" i="12"/>
  <c r="ED11" i="12"/>
  <c r="ED10" i="12"/>
  <c r="ED8" i="12"/>
  <c r="AW61" i="5"/>
  <c r="AW62" i="5"/>
  <c r="AX11" i="5"/>
  <c r="AY7" i="5"/>
  <c r="AY38" i="5" s="1"/>
  <c r="AZ15" i="4"/>
  <c r="AX33" i="5" l="1"/>
  <c r="AW24" i="5"/>
  <c r="AU26" i="5"/>
  <c r="AV24" i="5"/>
  <c r="AV22" i="5"/>
  <c r="EE24" i="12"/>
  <c r="EE26" i="12"/>
  <c r="EE20" i="12"/>
  <c r="EE20" i="5" s="1"/>
  <c r="EE21" i="12"/>
  <c r="AQ70" i="5"/>
  <c r="AX31" i="5"/>
  <c r="AW34" i="5"/>
  <c r="EE23" i="12"/>
  <c r="EE25" i="12"/>
  <c r="AX16" i="5"/>
  <c r="AX32" i="5"/>
  <c r="AX30" i="5"/>
  <c r="AY10" i="5"/>
  <c r="AY21" i="5" s="1"/>
  <c r="EE8" i="12"/>
  <c r="AR40" i="5"/>
  <c r="EF7" i="12"/>
  <c r="EE16" i="12"/>
  <c r="EE10" i="12"/>
  <c r="EE11" i="12"/>
  <c r="AX62" i="5"/>
  <c r="AX61" i="5"/>
  <c r="AS36" i="5"/>
  <c r="AY11" i="5"/>
  <c r="AZ7" i="5"/>
  <c r="AZ38" i="5" s="1"/>
  <c r="BA15" i="4"/>
  <c r="AY33" i="5" l="1"/>
  <c r="AW22" i="5"/>
  <c r="AW25" i="5"/>
  <c r="AX25" i="5"/>
  <c r="EF24" i="12"/>
  <c r="EF26" i="12"/>
  <c r="EF20" i="12"/>
  <c r="EF20" i="5" s="1"/>
  <c r="EF21" i="12"/>
  <c r="AR70" i="5"/>
  <c r="AY31" i="5"/>
  <c r="AX34" i="5"/>
  <c r="AY32" i="5"/>
  <c r="EF23" i="12"/>
  <c r="EF25" i="12"/>
  <c r="AY16" i="5"/>
  <c r="AY30" i="5"/>
  <c r="AV26" i="5"/>
  <c r="AZ10" i="5"/>
  <c r="AZ21" i="5" s="1"/>
  <c r="AS40" i="5"/>
  <c r="EF8" i="12"/>
  <c r="EG7" i="12"/>
  <c r="EF16" i="12"/>
  <c r="EF11" i="12"/>
  <c r="EF10" i="12"/>
  <c r="AY61" i="5"/>
  <c r="AY62" i="5"/>
  <c r="AT36" i="5"/>
  <c r="AZ11" i="5"/>
  <c r="BA7" i="5"/>
  <c r="BA38" i="5" s="1"/>
  <c r="H24" i="6" s="1"/>
  <c r="BB15" i="4"/>
  <c r="AX24" i="5" l="1"/>
  <c r="AW26" i="5"/>
  <c r="AX22" i="5"/>
  <c r="AY25" i="5"/>
  <c r="EG24" i="12"/>
  <c r="EG26" i="12"/>
  <c r="EG20" i="12"/>
  <c r="EG20" i="5" s="1"/>
  <c r="EG21" i="12"/>
  <c r="AZ33" i="5"/>
  <c r="AS70" i="5"/>
  <c r="AY34" i="5"/>
  <c r="AZ31" i="5"/>
  <c r="EG23" i="12"/>
  <c r="EG25" i="12"/>
  <c r="AZ32" i="5"/>
  <c r="AZ16" i="5"/>
  <c r="AZ30" i="5"/>
  <c r="BA10" i="5"/>
  <c r="BA21" i="5" s="1"/>
  <c r="AT40" i="5"/>
  <c r="AU36" i="5"/>
  <c r="EH7" i="12"/>
  <c r="EG11" i="12"/>
  <c r="EG16" i="12"/>
  <c r="EG10" i="12"/>
  <c r="EG8" i="12"/>
  <c r="AZ61" i="5"/>
  <c r="AZ62" i="5"/>
  <c r="BA11" i="5"/>
  <c r="BB7" i="5"/>
  <c r="BB38" i="5" s="1"/>
  <c r="BC15" i="4"/>
  <c r="AZ24" i="5" l="1"/>
  <c r="AX26" i="5"/>
  <c r="BA33" i="5"/>
  <c r="AY22" i="5"/>
  <c r="AY24" i="5"/>
  <c r="EH24" i="12"/>
  <c r="EH20" i="12"/>
  <c r="EH20" i="5" s="1"/>
  <c r="EH26" i="12"/>
  <c r="EH21" i="12"/>
  <c r="AT70" i="5"/>
  <c r="BA31" i="5"/>
  <c r="AZ34" i="5"/>
  <c r="EH23" i="12"/>
  <c r="EH25" i="12"/>
  <c r="BA16" i="5"/>
  <c r="BA32" i="5"/>
  <c r="BA30" i="5"/>
  <c r="BB10" i="5"/>
  <c r="BB21" i="5" s="1"/>
  <c r="EH8" i="12"/>
  <c r="AU40" i="5"/>
  <c r="EI7" i="12"/>
  <c r="EH16" i="12"/>
  <c r="EH11" i="12"/>
  <c r="EH10" i="12"/>
  <c r="BA62" i="5"/>
  <c r="BA61" i="5"/>
  <c r="AV36" i="5"/>
  <c r="BB11" i="5"/>
  <c r="BC7" i="5"/>
  <c r="BC38" i="5" s="1"/>
  <c r="BD15" i="4"/>
  <c r="AZ22" i="5" l="1"/>
  <c r="BA25" i="5"/>
  <c r="AZ25" i="5"/>
  <c r="AZ26" i="5" s="1"/>
  <c r="AY26" i="5"/>
  <c r="BB33" i="5"/>
  <c r="EI24" i="12"/>
  <c r="EI26" i="12"/>
  <c r="EI21" i="12"/>
  <c r="EI20" i="12"/>
  <c r="EI20" i="5" s="1"/>
  <c r="AU70" i="5"/>
  <c r="BB31" i="5"/>
  <c r="BA34" i="5"/>
  <c r="EI23" i="12"/>
  <c r="EI25" i="12"/>
  <c r="BB32" i="5"/>
  <c r="BB16" i="5"/>
  <c r="H9" i="6"/>
  <c r="BB30" i="5"/>
  <c r="BC10" i="5"/>
  <c r="BC21" i="5" s="1"/>
  <c r="AV40" i="5"/>
  <c r="EI8" i="12"/>
  <c r="EJ7" i="12"/>
  <c r="EI16" i="12"/>
  <c r="EI11" i="12"/>
  <c r="EI10" i="12"/>
  <c r="BB62" i="5"/>
  <c r="BB61" i="5"/>
  <c r="AW36" i="5"/>
  <c r="BC11" i="5"/>
  <c r="BD7" i="5"/>
  <c r="BD38" i="5" s="1"/>
  <c r="BE15" i="4"/>
  <c r="BA22" i="5" l="1"/>
  <c r="BA24" i="5"/>
  <c r="H8" i="6"/>
  <c r="H13" i="6" s="1"/>
  <c r="BC33" i="5"/>
  <c r="EJ24" i="12"/>
  <c r="EJ26" i="12"/>
  <c r="EJ20" i="12"/>
  <c r="EJ20" i="5" s="1"/>
  <c r="EJ21" i="12"/>
  <c r="AV70" i="5"/>
  <c r="BC31" i="5"/>
  <c r="EJ25" i="12"/>
  <c r="EJ23" i="12"/>
  <c r="BC16" i="5"/>
  <c r="BC32" i="5"/>
  <c r="BB34" i="5"/>
  <c r="BC30" i="5"/>
  <c r="BD10" i="5"/>
  <c r="BD21" i="5" s="1"/>
  <c r="AW40" i="5"/>
  <c r="EK7" i="12"/>
  <c r="EJ11" i="12"/>
  <c r="EJ16" i="12"/>
  <c r="EJ10" i="12"/>
  <c r="EJ8" i="12"/>
  <c r="BC61" i="5"/>
  <c r="BC62" i="5"/>
  <c r="AX36" i="5"/>
  <c r="BD11" i="5"/>
  <c r="BE7" i="5"/>
  <c r="BE38" i="5" s="1"/>
  <c r="BF15" i="4"/>
  <c r="BA26" i="5" l="1"/>
  <c r="BB22" i="5"/>
  <c r="BB24" i="5"/>
  <c r="BB25" i="5"/>
  <c r="BC24" i="5"/>
  <c r="H10" i="6"/>
  <c r="BD33" i="5"/>
  <c r="EK24" i="12"/>
  <c r="EK26" i="12"/>
  <c r="EK21" i="12"/>
  <c r="EK20" i="12"/>
  <c r="EK20" i="5" s="1"/>
  <c r="AW70" i="5"/>
  <c r="BD31" i="5"/>
  <c r="BC34" i="5"/>
  <c r="EK25" i="12"/>
  <c r="EK23" i="12"/>
  <c r="BD16" i="5"/>
  <c r="BD32" i="5"/>
  <c r="BD30" i="5"/>
  <c r="BE10" i="5"/>
  <c r="BE21" i="5" s="1"/>
  <c r="AX40" i="5"/>
  <c r="EL7" i="12"/>
  <c r="EK10" i="12"/>
  <c r="EK11" i="12"/>
  <c r="EK16" i="12"/>
  <c r="EK8" i="12"/>
  <c r="BD62" i="5"/>
  <c r="BD61" i="5"/>
  <c r="AY36" i="5"/>
  <c r="BE11" i="5"/>
  <c r="BF7" i="5"/>
  <c r="BF38" i="5" s="1"/>
  <c r="BG15" i="4"/>
  <c r="BB26" i="5" l="1"/>
  <c r="BC22" i="5"/>
  <c r="BD24" i="5"/>
  <c r="BC25" i="5"/>
  <c r="EL24" i="12"/>
  <c r="EL26" i="12"/>
  <c r="EL21" i="12"/>
  <c r="EL20" i="12"/>
  <c r="EL20" i="5" s="1"/>
  <c r="BE33" i="5"/>
  <c r="AX70" i="5"/>
  <c r="BE31" i="5"/>
  <c r="BD34" i="5"/>
  <c r="EL25" i="12"/>
  <c r="EL23" i="12"/>
  <c r="BE16" i="5"/>
  <c r="BE32" i="5"/>
  <c r="BE30" i="5"/>
  <c r="BF10" i="5"/>
  <c r="BF21" i="5" s="1"/>
  <c r="O20" i="6"/>
  <c r="AY40" i="5"/>
  <c r="AZ36" i="5"/>
  <c r="EM7" i="12"/>
  <c r="EL11" i="12"/>
  <c r="EL16" i="12"/>
  <c r="EL10" i="12"/>
  <c r="EL8" i="12"/>
  <c r="BE62" i="5"/>
  <c r="BE61" i="5"/>
  <c r="H12" i="6"/>
  <c r="H14" i="6" s="1"/>
  <c r="BF11" i="5"/>
  <c r="BG7" i="5"/>
  <c r="BG38" i="5" s="1"/>
  <c r="BH15" i="4"/>
  <c r="BC26" i="5" l="1"/>
  <c r="BD22" i="5"/>
  <c r="BE24" i="5"/>
  <c r="BD25" i="5"/>
  <c r="BF33" i="5"/>
  <c r="EM24" i="12"/>
  <c r="EM26" i="12"/>
  <c r="EM21" i="12"/>
  <c r="EM20" i="12"/>
  <c r="EM20" i="5" s="1"/>
  <c r="AY70" i="5"/>
  <c r="BF31" i="5"/>
  <c r="BF32" i="5"/>
  <c r="EM23" i="12"/>
  <c r="EM25" i="12"/>
  <c r="BE34" i="5"/>
  <c r="BF16" i="5"/>
  <c r="BF30" i="5"/>
  <c r="BG10" i="5"/>
  <c r="BG21" i="5" s="1"/>
  <c r="AZ40" i="5"/>
  <c r="EN7" i="12"/>
  <c r="EM16" i="12"/>
  <c r="EM11" i="12"/>
  <c r="EM10" i="12"/>
  <c r="EM8" i="12"/>
  <c r="BF61" i="5"/>
  <c r="BF62" i="5"/>
  <c r="BA36" i="5"/>
  <c r="H22" i="6"/>
  <c r="BG11" i="5"/>
  <c r="BH7" i="5"/>
  <c r="BH38" i="5" s="1"/>
  <c r="BI15" i="4"/>
  <c r="BD26" i="5" l="1"/>
  <c r="BE22" i="5"/>
  <c r="BE25" i="5"/>
  <c r="BF25" i="5"/>
  <c r="BG33" i="5"/>
  <c r="EN24" i="12"/>
  <c r="EN26" i="12"/>
  <c r="EN21" i="12"/>
  <c r="EN20" i="12"/>
  <c r="EN20" i="5" s="1"/>
  <c r="H26" i="6"/>
  <c r="H38" i="6" s="1"/>
  <c r="G9" i="9" s="1"/>
  <c r="G6" i="9"/>
  <c r="BE16" i="10" s="1"/>
  <c r="AZ70" i="5"/>
  <c r="BF34" i="5"/>
  <c r="BG31" i="5"/>
  <c r="BG32" i="5"/>
  <c r="EN23" i="12"/>
  <c r="EN25" i="12"/>
  <c r="BG16" i="5"/>
  <c r="BG30" i="5"/>
  <c r="BH10" i="5"/>
  <c r="BH21" i="5" s="1"/>
  <c r="BA40" i="5"/>
  <c r="EN8" i="12"/>
  <c r="EO7" i="12"/>
  <c r="EN10" i="12"/>
  <c r="EN16" i="12"/>
  <c r="EN11" i="12"/>
  <c r="BG62" i="5"/>
  <c r="BG61" i="5"/>
  <c r="BB36" i="5"/>
  <c r="BH11" i="5"/>
  <c r="BI7" i="5"/>
  <c r="BI38" i="5" s="1"/>
  <c r="BJ15" i="4"/>
  <c r="BF24" i="5" l="1"/>
  <c r="BG24" i="5"/>
  <c r="BF22" i="5"/>
  <c r="BH33" i="5"/>
  <c r="EO24" i="12"/>
  <c r="EO26" i="12"/>
  <c r="EO21" i="12"/>
  <c r="EO20" i="12"/>
  <c r="EO20" i="5" s="1"/>
  <c r="BA70" i="5"/>
  <c r="BH31" i="5"/>
  <c r="BG34" i="5"/>
  <c r="EO23" i="12"/>
  <c r="EO25" i="12"/>
  <c r="BH16" i="5"/>
  <c r="BH32" i="5"/>
  <c r="BH30" i="5"/>
  <c r="BE26" i="5"/>
  <c r="BI10" i="5"/>
  <c r="BI21" i="5" s="1"/>
  <c r="BB40" i="5"/>
  <c r="EP7" i="12"/>
  <c r="EO11" i="12"/>
  <c r="EO16" i="12"/>
  <c r="EO10" i="12"/>
  <c r="EO8" i="12"/>
  <c r="G4" i="9"/>
  <c r="BH61" i="5"/>
  <c r="BH62" i="5"/>
  <c r="BC36" i="5"/>
  <c r="BI11" i="5"/>
  <c r="BJ7" i="5"/>
  <c r="BJ38" i="5" s="1"/>
  <c r="BK15" i="4"/>
  <c r="BF26" i="5" l="1"/>
  <c r="BG22" i="5"/>
  <c r="BG25" i="5"/>
  <c r="BH25" i="5"/>
  <c r="BI33" i="5"/>
  <c r="EP24" i="12"/>
  <c r="EP26" i="12"/>
  <c r="EP20" i="12"/>
  <c r="EP20" i="5" s="1"/>
  <c r="EP21" i="12"/>
  <c r="BB70" i="5"/>
  <c r="BI31" i="5"/>
  <c r="EP23" i="12"/>
  <c r="EP25" i="12"/>
  <c r="BH34" i="5"/>
  <c r="BI16" i="5"/>
  <c r="BI32" i="5"/>
  <c r="BI30" i="5"/>
  <c r="BJ10" i="5"/>
  <c r="BJ21" i="5" s="1"/>
  <c r="BC40" i="5"/>
  <c r="EQ7" i="12"/>
  <c r="EP16" i="12"/>
  <c r="EP11" i="12"/>
  <c r="EP10" i="12"/>
  <c r="EP8" i="12"/>
  <c r="BI61" i="5"/>
  <c r="BI62" i="5"/>
  <c r="BD36" i="5"/>
  <c r="BJ11" i="5"/>
  <c r="BK7" i="5"/>
  <c r="BK38" i="5" s="1"/>
  <c r="BL15" i="4"/>
  <c r="BG26" i="5" l="1"/>
  <c r="BI25" i="5"/>
  <c r="BH24" i="5"/>
  <c r="BH22" i="5"/>
  <c r="BJ33" i="5"/>
  <c r="EQ24" i="12"/>
  <c r="EQ20" i="12"/>
  <c r="EQ20" i="5" s="1"/>
  <c r="EQ26" i="12"/>
  <c r="EQ21" i="12"/>
  <c r="BC70" i="5"/>
  <c r="BJ31" i="5"/>
  <c r="BI34" i="5"/>
  <c r="BJ32" i="5"/>
  <c r="EQ23" i="12"/>
  <c r="EQ25" i="12"/>
  <c r="BJ16" i="5"/>
  <c r="BJ30" i="5"/>
  <c r="BK10" i="5"/>
  <c r="BK21" i="5" s="1"/>
  <c r="BD40" i="5"/>
  <c r="ER7" i="12"/>
  <c r="EQ16" i="12"/>
  <c r="EQ10" i="12"/>
  <c r="EQ11" i="12"/>
  <c r="EQ8" i="12"/>
  <c r="BJ62" i="5"/>
  <c r="BJ61" i="5"/>
  <c r="BE36" i="5"/>
  <c r="BK11" i="5"/>
  <c r="BL7" i="5"/>
  <c r="BL38" i="5" s="1"/>
  <c r="BM15" i="4"/>
  <c r="BH26" i="5" l="1"/>
  <c r="BI24" i="5"/>
  <c r="BI22" i="5"/>
  <c r="BJ25" i="5"/>
  <c r="BK33" i="5"/>
  <c r="ER24" i="12"/>
  <c r="ER20" i="12"/>
  <c r="ER20" i="5" s="1"/>
  <c r="ER26" i="12"/>
  <c r="ER21" i="12"/>
  <c r="BD70" i="5"/>
  <c r="BJ34" i="5"/>
  <c r="BK31" i="5"/>
  <c r="ER25" i="12"/>
  <c r="ER23" i="12"/>
  <c r="BK32" i="5"/>
  <c r="BK16" i="5"/>
  <c r="BK30" i="5"/>
  <c r="BL10" i="5"/>
  <c r="BL21" i="5" s="1"/>
  <c r="BE40" i="5"/>
  <c r="ES7" i="12"/>
  <c r="ER16" i="12"/>
  <c r="ER11" i="12"/>
  <c r="ER10" i="12"/>
  <c r="ER8" i="12"/>
  <c r="BK61" i="5"/>
  <c r="BK62" i="5"/>
  <c r="BF36" i="5"/>
  <c r="BL11" i="5"/>
  <c r="BM7" i="5"/>
  <c r="BM38" i="5" s="1"/>
  <c r="I24" i="6" s="1"/>
  <c r="BN15" i="4"/>
  <c r="BK25" i="5" l="1"/>
  <c r="BJ22" i="5"/>
  <c r="BJ24" i="5"/>
  <c r="BL33" i="5"/>
  <c r="ES24" i="12"/>
  <c r="ES20" i="12"/>
  <c r="ES20" i="5" s="1"/>
  <c r="ES26" i="12"/>
  <c r="ES21" i="12"/>
  <c r="BE70" i="5"/>
  <c r="BL31" i="5"/>
  <c r="ES25" i="12"/>
  <c r="ES23" i="12"/>
  <c r="BK24" i="5"/>
  <c r="BK34" i="5"/>
  <c r="BL32" i="5"/>
  <c r="BL16" i="5"/>
  <c r="BL30" i="5"/>
  <c r="BI26" i="5"/>
  <c r="BM10" i="5"/>
  <c r="BM21" i="5" s="1"/>
  <c r="BF40" i="5"/>
  <c r="ES8" i="12"/>
  <c r="ET7" i="12"/>
  <c r="ES10" i="12"/>
  <c r="ES16" i="12"/>
  <c r="ES11" i="12"/>
  <c r="BL62" i="5"/>
  <c r="BL61" i="5"/>
  <c r="BG36" i="5"/>
  <c r="BM11" i="5"/>
  <c r="BN7" i="5"/>
  <c r="BN38" i="5" s="1"/>
  <c r="BO15" i="4"/>
  <c r="BJ26" i="5" l="1"/>
  <c r="BL25" i="5"/>
  <c r="BK22" i="5"/>
  <c r="BK26" i="5" s="1"/>
  <c r="BM33" i="5"/>
  <c r="BN33" i="5" s="1"/>
  <c r="ET24" i="12"/>
  <c r="ET20" i="12"/>
  <c r="ET20" i="5" s="1"/>
  <c r="ET21" i="12"/>
  <c r="ET26" i="12"/>
  <c r="BF70" i="5"/>
  <c r="BM31" i="5"/>
  <c r="ET25" i="12"/>
  <c r="ET23" i="12"/>
  <c r="BL34" i="5"/>
  <c r="BM16" i="5"/>
  <c r="BM32" i="5"/>
  <c r="BM30" i="5"/>
  <c r="BL22" i="5"/>
  <c r="BN10" i="5"/>
  <c r="BN21" i="5" s="1"/>
  <c r="BG40" i="5"/>
  <c r="EU7" i="12"/>
  <c r="ET11" i="12"/>
  <c r="ET16" i="12"/>
  <c r="ET10" i="12"/>
  <c r="ET8" i="12"/>
  <c r="BM62" i="5"/>
  <c r="BM61" i="5"/>
  <c r="BH36" i="5"/>
  <c r="BN11" i="5"/>
  <c r="BO7" i="5"/>
  <c r="BO38" i="5" s="1"/>
  <c r="BP15" i="4"/>
  <c r="BL24" i="5" l="1"/>
  <c r="BM22" i="5"/>
  <c r="EU24" i="12"/>
  <c r="EU26" i="12"/>
  <c r="EU21" i="12"/>
  <c r="EU20" i="12"/>
  <c r="EU20" i="5" s="1"/>
  <c r="BO33" i="5"/>
  <c r="BM24" i="5"/>
  <c r="BG70" i="5"/>
  <c r="BN31" i="5"/>
  <c r="BM34" i="5"/>
  <c r="EU25" i="12"/>
  <c r="EU23" i="12"/>
  <c r="BN32" i="5"/>
  <c r="BN16" i="5"/>
  <c r="BN30" i="5"/>
  <c r="BO10" i="5"/>
  <c r="BO21" i="5" s="1"/>
  <c r="I9" i="6"/>
  <c r="BH40" i="5"/>
  <c r="EU8" i="12"/>
  <c r="EV7" i="12"/>
  <c r="EU11" i="12"/>
  <c r="EU10" i="12"/>
  <c r="EU16" i="12"/>
  <c r="BN62" i="5"/>
  <c r="BN61" i="5"/>
  <c r="BI36" i="5"/>
  <c r="BO11" i="5"/>
  <c r="BP7" i="5"/>
  <c r="BP38" i="5" s="1"/>
  <c r="BQ15" i="4"/>
  <c r="BM25" i="5" l="1"/>
  <c r="BM26" i="5" s="1"/>
  <c r="EV24" i="12"/>
  <c r="EV26" i="12"/>
  <c r="EV20" i="12"/>
  <c r="EV20" i="5" s="1"/>
  <c r="EV21" i="12"/>
  <c r="I8" i="6"/>
  <c r="I13" i="6" s="1"/>
  <c r="BN25" i="5"/>
  <c r="BH70" i="5"/>
  <c r="BO31" i="5"/>
  <c r="EV25" i="12"/>
  <c r="EV23" i="12"/>
  <c r="BN34" i="5"/>
  <c r="BN24" i="5"/>
  <c r="BO25" i="5"/>
  <c r="BO16" i="5"/>
  <c r="BO32" i="5"/>
  <c r="BO30" i="5"/>
  <c r="BL26" i="5"/>
  <c r="BN22" i="5"/>
  <c r="BP10" i="5"/>
  <c r="BP21" i="5" s="1"/>
  <c r="BI40" i="5"/>
  <c r="EV8" i="12"/>
  <c r="EW7" i="12"/>
  <c r="EV11" i="12"/>
  <c r="EV16" i="12"/>
  <c r="EV10" i="12"/>
  <c r="BO62" i="5"/>
  <c r="BO61" i="5"/>
  <c r="BJ36" i="5"/>
  <c r="BP11" i="5"/>
  <c r="BQ7" i="5"/>
  <c r="BQ38" i="5" s="1"/>
  <c r="BR15" i="4"/>
  <c r="BP33" i="5" l="1"/>
  <c r="EW24" i="12"/>
  <c r="EW26" i="12"/>
  <c r="EW20" i="12"/>
  <c r="EW20" i="5" s="1"/>
  <c r="EW21" i="12"/>
  <c r="I10" i="6"/>
  <c r="BI70" i="5"/>
  <c r="BP31" i="5"/>
  <c r="BO34" i="5"/>
  <c r="BO22" i="5"/>
  <c r="BO24" i="5"/>
  <c r="EW23" i="12"/>
  <c r="EW25" i="12"/>
  <c r="BP32" i="5"/>
  <c r="BP16" i="5"/>
  <c r="BP30" i="5"/>
  <c r="BQ10" i="5"/>
  <c r="BQ21" i="5" s="1"/>
  <c r="BJ40" i="5"/>
  <c r="EX7" i="12"/>
  <c r="EW10" i="12"/>
  <c r="EW16" i="12"/>
  <c r="EW11" i="12"/>
  <c r="EW8" i="12"/>
  <c r="BP62" i="5"/>
  <c r="BP61" i="5"/>
  <c r="BK36" i="5"/>
  <c r="BQ11" i="5"/>
  <c r="BR7" i="5"/>
  <c r="BR38" i="5" s="1"/>
  <c r="BS15" i="4"/>
  <c r="EX24" i="12" l="1"/>
  <c r="EX26" i="12"/>
  <c r="EX20" i="12"/>
  <c r="EX20" i="5" s="1"/>
  <c r="EX21" i="12"/>
  <c r="BQ33" i="5"/>
  <c r="BP24" i="5"/>
  <c r="BP25" i="5"/>
  <c r="BJ70" i="5"/>
  <c r="BQ31" i="5"/>
  <c r="EX23" i="12"/>
  <c r="EX25" i="12"/>
  <c r="BP34" i="5"/>
  <c r="BQ16" i="5"/>
  <c r="BQ32" i="5"/>
  <c r="BQ30" i="5"/>
  <c r="BN26" i="5"/>
  <c r="BO26" i="5"/>
  <c r="BP22" i="5"/>
  <c r="BR10" i="5"/>
  <c r="BR21" i="5" s="1"/>
  <c r="EX8" i="12"/>
  <c r="P20" i="6"/>
  <c r="BK40" i="5"/>
  <c r="EY7" i="12"/>
  <c r="EX16" i="12"/>
  <c r="EX11" i="12"/>
  <c r="EX10" i="12"/>
  <c r="BQ61" i="5"/>
  <c r="BQ62" i="5"/>
  <c r="BL36" i="5"/>
  <c r="I12" i="6"/>
  <c r="I14" i="6" s="1"/>
  <c r="BR11" i="5"/>
  <c r="BS7" i="5"/>
  <c r="BS38" i="5" s="1"/>
  <c r="BT15" i="4"/>
  <c r="BR33" i="5" l="1"/>
  <c r="EY24" i="12"/>
  <c r="EY26" i="12"/>
  <c r="EY20" i="12"/>
  <c r="EY20" i="5" s="1"/>
  <c r="EY21" i="12"/>
  <c r="BQ24" i="5"/>
  <c r="BQ25" i="5"/>
  <c r="BK70" i="5"/>
  <c r="BR31" i="5"/>
  <c r="BQ34" i="5"/>
  <c r="BQ22" i="5"/>
  <c r="BR25" i="5"/>
  <c r="EY23" i="12"/>
  <c r="EY25" i="12"/>
  <c r="BR32" i="5"/>
  <c r="BR16" i="5"/>
  <c r="BR30" i="5"/>
  <c r="BS10" i="5"/>
  <c r="BS21" i="5" s="1"/>
  <c r="BL40" i="5"/>
  <c r="EY8" i="12"/>
  <c r="EZ7" i="12"/>
  <c r="EY16" i="12"/>
  <c r="EY11" i="12"/>
  <c r="EY10" i="12"/>
  <c r="BR61" i="5"/>
  <c r="BR62" i="5"/>
  <c r="BM36" i="5"/>
  <c r="I22" i="6"/>
  <c r="BS11" i="5"/>
  <c r="BT7" i="5"/>
  <c r="BT38" i="5" s="1"/>
  <c r="BU15" i="4"/>
  <c r="EZ24" i="12" l="1"/>
  <c r="EZ20" i="12"/>
  <c r="EZ20" i="5" s="1"/>
  <c r="EZ26" i="12"/>
  <c r="EZ21" i="12"/>
  <c r="BS33" i="5"/>
  <c r="I26" i="6"/>
  <c r="I38" i="6" s="1"/>
  <c r="H9" i="9" s="1"/>
  <c r="H6" i="9"/>
  <c r="BF16" i="10" s="1"/>
  <c r="BL70" i="5"/>
  <c r="BS31" i="5"/>
  <c r="BR24" i="5"/>
  <c r="BS32" i="5"/>
  <c r="EZ23" i="12"/>
  <c r="EZ25" i="12"/>
  <c r="BR34" i="5"/>
  <c r="BS16" i="5"/>
  <c r="BS30" i="5"/>
  <c r="BQ26" i="5"/>
  <c r="BP26" i="5"/>
  <c r="BR22" i="5"/>
  <c r="BT10" i="5"/>
  <c r="BT21" i="5" s="1"/>
  <c r="BM40" i="5"/>
  <c r="FA7" i="12"/>
  <c r="EZ16" i="12"/>
  <c r="EZ11" i="12"/>
  <c r="EZ10" i="12"/>
  <c r="EZ8" i="12"/>
  <c r="BS61" i="5"/>
  <c r="BS62" i="5"/>
  <c r="BN36" i="5"/>
  <c r="BT11" i="5"/>
  <c r="BU7" i="5"/>
  <c r="BU38" i="5" s="1"/>
  <c r="BV15" i="4"/>
  <c r="BT33" i="5" l="1"/>
  <c r="FA24" i="12"/>
  <c r="FA26" i="12"/>
  <c r="FA20" i="12"/>
  <c r="FA20" i="5" s="1"/>
  <c r="FA21" i="12"/>
  <c r="BS34" i="5"/>
  <c r="BS24" i="5"/>
  <c r="BS25" i="5"/>
  <c r="BM70" i="5"/>
  <c r="BS22" i="5"/>
  <c r="BT31" i="5"/>
  <c r="FA23" i="12"/>
  <c r="FA25" i="12"/>
  <c r="BT32" i="5"/>
  <c r="BT16" i="5"/>
  <c r="BT30" i="5"/>
  <c r="BU10" i="5"/>
  <c r="BU21" i="5" s="1"/>
  <c r="BN40" i="5"/>
  <c r="FB7" i="12"/>
  <c r="FA16" i="12"/>
  <c r="FA10" i="12"/>
  <c r="FA11" i="12"/>
  <c r="FA8" i="12"/>
  <c r="H4" i="9"/>
  <c r="BT61" i="5"/>
  <c r="BT62" i="5"/>
  <c r="BO36" i="5"/>
  <c r="BU11" i="5"/>
  <c r="BV7" i="5"/>
  <c r="BV38" i="5" s="1"/>
  <c r="BW15" i="4"/>
  <c r="FB24" i="12" l="1"/>
  <c r="FB20" i="12"/>
  <c r="FB20" i="5" s="1"/>
  <c r="FB26" i="12"/>
  <c r="FB21" i="12"/>
  <c r="BU33" i="5"/>
  <c r="BV33" i="5" s="1"/>
  <c r="BT24" i="5"/>
  <c r="BT25" i="5"/>
  <c r="BN70" i="5"/>
  <c r="BU31" i="5"/>
  <c r="BT34" i="5"/>
  <c r="FB25" i="12"/>
  <c r="FB23" i="12"/>
  <c r="BT22" i="5"/>
  <c r="BU16" i="5"/>
  <c r="BU32" i="5"/>
  <c r="BU30" i="5"/>
  <c r="BS26" i="5"/>
  <c r="BR26" i="5"/>
  <c r="BV10" i="5"/>
  <c r="BV21" i="5" s="1"/>
  <c r="BO40" i="5"/>
  <c r="FB8" i="12"/>
  <c r="FC7" i="12"/>
  <c r="FB11" i="12"/>
  <c r="FB16" i="12"/>
  <c r="FB10" i="12"/>
  <c r="BU62" i="5"/>
  <c r="BU61" i="5"/>
  <c r="BQ36" i="5"/>
  <c r="BP36" i="5"/>
  <c r="BV11" i="5"/>
  <c r="BW7" i="5"/>
  <c r="BW38" i="5" s="1"/>
  <c r="BX15" i="4"/>
  <c r="FC24" i="12" l="1"/>
  <c r="FC26" i="12"/>
  <c r="FC20" i="12"/>
  <c r="FC20" i="5" s="1"/>
  <c r="FC21" i="12"/>
  <c r="BU24" i="5"/>
  <c r="BU25" i="5"/>
  <c r="BO70" i="5"/>
  <c r="BV31" i="5"/>
  <c r="BU22" i="5"/>
  <c r="BU34" i="5"/>
  <c r="FC25" i="12"/>
  <c r="FC23" i="12"/>
  <c r="BV16" i="5"/>
  <c r="BV32" i="5"/>
  <c r="BV30" i="5"/>
  <c r="BT26" i="5"/>
  <c r="BW10" i="5"/>
  <c r="BW21" i="5" s="1"/>
  <c r="FC8" i="12"/>
  <c r="BP40" i="5"/>
  <c r="BQ40" i="5"/>
  <c r="FD7" i="12"/>
  <c r="FC11" i="12"/>
  <c r="FC16" i="12"/>
  <c r="FC10" i="12"/>
  <c r="BV61" i="5"/>
  <c r="BV62" i="5"/>
  <c r="BW11" i="5"/>
  <c r="BX7" i="5"/>
  <c r="BX38" i="5" s="1"/>
  <c r="BY15" i="4"/>
  <c r="BW33" i="5" l="1"/>
  <c r="FD24" i="12"/>
  <c r="FD26" i="12"/>
  <c r="FD20" i="12"/>
  <c r="FD20" i="5" s="1"/>
  <c r="FD21" i="12"/>
  <c r="BV24" i="5"/>
  <c r="BV25" i="5"/>
  <c r="BQ70" i="5"/>
  <c r="BP70" i="5"/>
  <c r="BW31" i="5"/>
  <c r="FD25" i="12"/>
  <c r="FD23" i="12"/>
  <c r="BV34" i="5"/>
  <c r="BW32" i="5"/>
  <c r="BV22" i="5"/>
  <c r="BW16" i="5"/>
  <c r="BW30" i="5"/>
  <c r="BU26" i="5"/>
  <c r="BX10" i="5"/>
  <c r="BX21" i="5" s="1"/>
  <c r="FD8" i="12"/>
  <c r="FE7" i="12"/>
  <c r="FD11" i="12"/>
  <c r="FD16" i="12"/>
  <c r="FD10" i="12"/>
  <c r="BW62" i="5"/>
  <c r="BW61" i="5"/>
  <c r="BR36" i="5"/>
  <c r="BX11" i="5"/>
  <c r="BY7" i="5"/>
  <c r="BY38" i="5" s="1"/>
  <c r="J24" i="6" s="1"/>
  <c r="BZ15" i="4"/>
  <c r="FE24" i="12" l="1"/>
  <c r="FE26" i="12"/>
  <c r="FE20" i="12"/>
  <c r="FE20" i="5" s="1"/>
  <c r="FE21" i="12"/>
  <c r="BX33" i="5"/>
  <c r="BY33" i="5" s="1"/>
  <c r="BW24" i="5"/>
  <c r="BW25" i="5"/>
  <c r="BX31" i="5"/>
  <c r="BX32" i="5"/>
  <c r="BW34" i="5"/>
  <c r="FE25" i="12"/>
  <c r="FE23" i="12"/>
  <c r="BX16" i="5"/>
  <c r="BX30" i="5"/>
  <c r="BV26" i="5"/>
  <c r="BW22" i="5"/>
  <c r="BY10" i="5"/>
  <c r="BY21" i="5" s="1"/>
  <c r="BR40" i="5"/>
  <c r="FF7" i="12"/>
  <c r="FE16" i="12"/>
  <c r="FE11" i="12"/>
  <c r="FE10" i="12"/>
  <c r="FE8" i="12"/>
  <c r="BX62" i="5"/>
  <c r="BX61" i="5"/>
  <c r="BS36" i="5"/>
  <c r="BY11" i="5"/>
  <c r="BZ7" i="5"/>
  <c r="BZ38" i="5" s="1"/>
  <c r="CA15" i="4"/>
  <c r="FF24" i="12" l="1"/>
  <c r="FF20" i="12"/>
  <c r="FF20" i="5" s="1"/>
  <c r="FF26" i="12"/>
  <c r="FF21" i="12"/>
  <c r="BX24" i="5"/>
  <c r="BX25" i="5"/>
  <c r="BR70" i="5"/>
  <c r="BX34" i="5"/>
  <c r="BY31" i="5"/>
  <c r="BX22" i="5"/>
  <c r="FF23" i="12"/>
  <c r="FF25" i="12"/>
  <c r="BY16" i="5"/>
  <c r="BY32" i="5"/>
  <c r="BY30" i="5"/>
  <c r="BZ10" i="5"/>
  <c r="BZ21" i="5" s="1"/>
  <c r="BS40" i="5"/>
  <c r="FG7" i="12"/>
  <c r="FF16" i="12"/>
  <c r="FF10" i="12"/>
  <c r="FF11" i="12"/>
  <c r="FF8" i="12"/>
  <c r="BY62" i="5"/>
  <c r="BY61" i="5"/>
  <c r="BT36" i="5"/>
  <c r="BZ11" i="5"/>
  <c r="CA7" i="5"/>
  <c r="CA38" i="5" s="1"/>
  <c r="CB15" i="4"/>
  <c r="BZ33" i="5" l="1"/>
  <c r="FG24" i="12"/>
  <c r="FG26" i="12"/>
  <c r="FG21" i="12"/>
  <c r="FG20" i="12"/>
  <c r="FG20" i="5" s="1"/>
  <c r="BY24" i="5"/>
  <c r="BY25" i="5"/>
  <c r="BS70" i="5"/>
  <c r="BZ31" i="5"/>
  <c r="BY22" i="5"/>
  <c r="BY34" i="5"/>
  <c r="FG23" i="12"/>
  <c r="FG25" i="12"/>
  <c r="BZ25" i="5"/>
  <c r="BZ32" i="5"/>
  <c r="BZ30" i="5"/>
  <c r="BX26" i="5"/>
  <c r="BW26" i="5"/>
  <c r="CA10" i="5"/>
  <c r="CA21" i="5" s="1"/>
  <c r="J9" i="6"/>
  <c r="BZ16" i="5"/>
  <c r="FG8" i="12"/>
  <c r="BT40" i="5"/>
  <c r="FH7" i="12"/>
  <c r="FG16" i="12"/>
  <c r="FG10" i="12"/>
  <c r="FG11" i="12"/>
  <c r="BZ61" i="5"/>
  <c r="BZ62" i="5"/>
  <c r="BU36" i="5"/>
  <c r="CA11" i="5"/>
  <c r="CB7" i="5"/>
  <c r="CB38" i="5" s="1"/>
  <c r="CC15" i="4"/>
  <c r="CA33" i="5" l="1"/>
  <c r="FH24" i="12"/>
  <c r="FH20" i="12"/>
  <c r="FH20" i="5" s="1"/>
  <c r="FH21" i="12"/>
  <c r="FH26" i="12"/>
  <c r="BT70" i="5"/>
  <c r="CA31" i="5"/>
  <c r="BZ34" i="5"/>
  <c r="J8" i="6"/>
  <c r="BZ24" i="5"/>
  <c r="FH23" i="12"/>
  <c r="FH25" i="12"/>
  <c r="CA32" i="5"/>
  <c r="CA16" i="5"/>
  <c r="CA30" i="5"/>
  <c r="BY26" i="5"/>
  <c r="BZ22" i="5"/>
  <c r="CB10" i="5"/>
  <c r="CB21" i="5" s="1"/>
  <c r="FH8" i="12"/>
  <c r="BU40" i="5"/>
  <c r="FI7" i="12"/>
  <c r="FH10" i="12"/>
  <c r="FH16" i="12"/>
  <c r="FH11" i="12"/>
  <c r="CA61" i="5"/>
  <c r="CA62" i="5"/>
  <c r="BV36" i="5"/>
  <c r="CB11" i="5"/>
  <c r="CC7" i="5"/>
  <c r="CC38" i="5" s="1"/>
  <c r="CD15" i="4"/>
  <c r="FI24" i="12" l="1"/>
  <c r="FI20" i="12"/>
  <c r="FI20" i="5" s="1"/>
  <c r="FI26" i="12"/>
  <c r="FI21" i="12"/>
  <c r="CB33" i="5"/>
  <c r="J10" i="6"/>
  <c r="J13" i="6"/>
  <c r="CA24" i="5"/>
  <c r="CA25" i="5"/>
  <c r="BU70" i="5"/>
  <c r="CA34" i="5"/>
  <c r="CB31" i="5"/>
  <c r="CA22" i="5"/>
  <c r="FI25" i="12"/>
  <c r="FI23" i="12"/>
  <c r="CB16" i="5"/>
  <c r="CB32" i="5"/>
  <c r="CB30" i="5"/>
  <c r="CC10" i="5"/>
  <c r="CC21" i="5" s="1"/>
  <c r="Q20" i="6"/>
  <c r="BV40" i="5"/>
  <c r="FJ7" i="12"/>
  <c r="FI10" i="12"/>
  <c r="FI11" i="12"/>
  <c r="FI16" i="12"/>
  <c r="FI8" i="12"/>
  <c r="CB61" i="5"/>
  <c r="CB62" i="5"/>
  <c r="BW36" i="5"/>
  <c r="CC11" i="5"/>
  <c r="CD7" i="5"/>
  <c r="CD38" i="5" s="1"/>
  <c r="CE15" i="4"/>
  <c r="CC33" i="5" l="1"/>
  <c r="FJ24" i="12"/>
  <c r="FJ21" i="12"/>
  <c r="FJ20" i="12"/>
  <c r="FJ20" i="5" s="1"/>
  <c r="FJ26" i="12"/>
  <c r="CB24" i="5"/>
  <c r="CB25" i="5"/>
  <c r="BV70" i="5"/>
  <c r="CC31" i="5"/>
  <c r="FJ25" i="12"/>
  <c r="FJ23" i="12"/>
  <c r="CC32" i="5"/>
  <c r="CB34" i="5"/>
  <c r="CC16" i="5"/>
  <c r="CC30" i="5"/>
  <c r="CA26" i="5"/>
  <c r="BZ26" i="5"/>
  <c r="CB22" i="5"/>
  <c r="CD10" i="5"/>
  <c r="CD21" i="5" s="1"/>
  <c r="BW40" i="5"/>
  <c r="FK7" i="12"/>
  <c r="FJ11" i="12"/>
  <c r="FJ10" i="12"/>
  <c r="FJ16" i="12"/>
  <c r="FJ8" i="12"/>
  <c r="CC62" i="5"/>
  <c r="CC61" i="5"/>
  <c r="BX36" i="5"/>
  <c r="J12" i="6"/>
  <c r="J14" i="6" s="1"/>
  <c r="CD11" i="5"/>
  <c r="CE7" i="5"/>
  <c r="CE38" i="5" s="1"/>
  <c r="CF15" i="4"/>
  <c r="CD33" i="5" l="1"/>
  <c r="FK24" i="12"/>
  <c r="FK26" i="12"/>
  <c r="FK21" i="12"/>
  <c r="FK20" i="12"/>
  <c r="FK20" i="5" s="1"/>
  <c r="CC24" i="5"/>
  <c r="CC25" i="5"/>
  <c r="BW70" i="5"/>
  <c r="CD31" i="5"/>
  <c r="CC22" i="5"/>
  <c r="FK25" i="12"/>
  <c r="FK23" i="12"/>
  <c r="CC34" i="5"/>
  <c r="CD32" i="5"/>
  <c r="CD16" i="5"/>
  <c r="CD30" i="5"/>
  <c r="CE10" i="5"/>
  <c r="CE21" i="5" s="1"/>
  <c r="BX40" i="5"/>
  <c r="BY36" i="5"/>
  <c r="FL7" i="12"/>
  <c r="FK16" i="12"/>
  <c r="FK11" i="12"/>
  <c r="FK10" i="12"/>
  <c r="FK8" i="12"/>
  <c r="CD62" i="5"/>
  <c r="CD61" i="5"/>
  <c r="J22" i="6"/>
  <c r="CE11" i="5"/>
  <c r="CF7" i="5"/>
  <c r="CF38" i="5" s="1"/>
  <c r="CG15" i="4"/>
  <c r="CE33" i="5" l="1"/>
  <c r="FL24" i="12"/>
  <c r="FL26" i="12"/>
  <c r="FL20" i="12"/>
  <c r="FL20" i="5" s="1"/>
  <c r="FL21" i="12"/>
  <c r="J26" i="6"/>
  <c r="J38" i="6" s="1"/>
  <c r="I9" i="9" s="1"/>
  <c r="I6" i="9"/>
  <c r="BG16" i="10" s="1"/>
  <c r="CD24" i="5"/>
  <c r="CD25" i="5"/>
  <c r="BX70" i="5"/>
  <c r="CE31" i="5"/>
  <c r="CE25" i="5"/>
  <c r="CD34" i="5"/>
  <c r="FL23" i="12"/>
  <c r="FL25" i="12"/>
  <c r="CE16" i="5"/>
  <c r="CE32" i="5"/>
  <c r="CE30" i="5"/>
  <c r="CC26" i="5"/>
  <c r="CB26" i="5"/>
  <c r="CD22" i="5"/>
  <c r="CF10" i="5"/>
  <c r="CF21" i="5" s="1"/>
  <c r="BY40" i="5"/>
  <c r="FM7" i="12"/>
  <c r="FL16" i="12"/>
  <c r="FL11" i="12"/>
  <c r="FL10" i="12"/>
  <c r="FL8" i="12"/>
  <c r="CE62" i="5"/>
  <c r="CE61" i="5"/>
  <c r="BZ36" i="5"/>
  <c r="CF11" i="5"/>
  <c r="CG7" i="5"/>
  <c r="CG38" i="5" s="1"/>
  <c r="CH15" i="4"/>
  <c r="CF33" i="5" l="1"/>
  <c r="FM24" i="12"/>
  <c r="FM26" i="12"/>
  <c r="FM20" i="12"/>
  <c r="FM20" i="5" s="1"/>
  <c r="FM21" i="12"/>
  <c r="BY70" i="5"/>
  <c r="CE34" i="5"/>
  <c r="CF31" i="5"/>
  <c r="CE22" i="5"/>
  <c r="CE24" i="5"/>
  <c r="CF32" i="5"/>
  <c r="FM23" i="12"/>
  <c r="FM25" i="12"/>
  <c r="CF16" i="5"/>
  <c r="CF30" i="5"/>
  <c r="CG10" i="5"/>
  <c r="CG21" i="5" s="1"/>
  <c r="BZ40" i="5"/>
  <c r="FN7" i="12"/>
  <c r="FM16" i="12"/>
  <c r="FM11" i="12"/>
  <c r="FM10" i="12"/>
  <c r="FM8" i="12"/>
  <c r="I4" i="9"/>
  <c r="CF62" i="5"/>
  <c r="CF61" i="5"/>
  <c r="CA36" i="5"/>
  <c r="CG11" i="5"/>
  <c r="CH7" i="5"/>
  <c r="CH38" i="5" s="1"/>
  <c r="CI15" i="4"/>
  <c r="FN24" i="12" l="1"/>
  <c r="FN26" i="12"/>
  <c r="FN20" i="12"/>
  <c r="FN20" i="5" s="1"/>
  <c r="FN21" i="12"/>
  <c r="CG33" i="5"/>
  <c r="CF24" i="5"/>
  <c r="CF25" i="5"/>
  <c r="BZ70" i="5"/>
  <c r="CG31" i="5"/>
  <c r="CF34" i="5"/>
  <c r="FN23" i="12"/>
  <c r="FN25" i="12"/>
  <c r="CG16" i="5"/>
  <c r="CG32" i="5"/>
  <c r="CG30" i="5"/>
  <c r="CD26" i="5"/>
  <c r="CE26" i="5"/>
  <c r="CF22" i="5"/>
  <c r="CH10" i="5"/>
  <c r="CH21" i="5" s="1"/>
  <c r="CA40" i="5"/>
  <c r="FO7" i="12"/>
  <c r="FN16" i="12"/>
  <c r="FN11" i="12"/>
  <c r="FN10" i="12"/>
  <c r="FN8" i="12"/>
  <c r="CG61" i="5"/>
  <c r="CG62" i="5"/>
  <c r="CB36" i="5"/>
  <c r="CH11" i="5"/>
  <c r="CI7" i="5"/>
  <c r="CI38" i="5" s="1"/>
  <c r="CJ15" i="4"/>
  <c r="FO24" i="12" l="1"/>
  <c r="FO26" i="12"/>
  <c r="FO20" i="12"/>
  <c r="FO20" i="5" s="1"/>
  <c r="FO21" i="12"/>
  <c r="CH33" i="5"/>
  <c r="CI33" i="5" s="1"/>
  <c r="CG24" i="5"/>
  <c r="CG25" i="5"/>
  <c r="CA70" i="5"/>
  <c r="CH31" i="5"/>
  <c r="CG22" i="5"/>
  <c r="FO23" i="12"/>
  <c r="FO25" i="12"/>
  <c r="CG34" i="5"/>
  <c r="CH32" i="5"/>
  <c r="CH16" i="5"/>
  <c r="CH30" i="5"/>
  <c r="CI10" i="5"/>
  <c r="CI21" i="5" s="1"/>
  <c r="CB40" i="5"/>
  <c r="FO8" i="12"/>
  <c r="FP7" i="12"/>
  <c r="FO16" i="12"/>
  <c r="FO10" i="12"/>
  <c r="FO11" i="12"/>
  <c r="CH61" i="5"/>
  <c r="CH62" i="5"/>
  <c r="CC36" i="5"/>
  <c r="CI11" i="5"/>
  <c r="CJ7" i="5"/>
  <c r="CJ38" i="5" s="1"/>
  <c r="CK15" i="4"/>
  <c r="FP24" i="12" l="1"/>
  <c r="FP26" i="12"/>
  <c r="FP21" i="12"/>
  <c r="FP20" i="12"/>
  <c r="FP20" i="5" s="1"/>
  <c r="CH24" i="5"/>
  <c r="CH25" i="5"/>
  <c r="CB70" i="5"/>
  <c r="CI31" i="5"/>
  <c r="CH34" i="5"/>
  <c r="FP23" i="12"/>
  <c r="FP25" i="12"/>
  <c r="CI16" i="5"/>
  <c r="CI32" i="5"/>
  <c r="CI30" i="5"/>
  <c r="CF26" i="5"/>
  <c r="CG26" i="5"/>
  <c r="CH22" i="5"/>
  <c r="CJ10" i="5"/>
  <c r="CJ21" i="5" s="1"/>
  <c r="CC40" i="5"/>
  <c r="FQ7" i="12"/>
  <c r="FP10" i="12"/>
  <c r="FP16" i="12"/>
  <c r="FP11" i="12"/>
  <c r="FP8" i="12"/>
  <c r="CI61" i="5"/>
  <c r="CI62" i="5"/>
  <c r="CD36" i="5"/>
  <c r="CJ11" i="5"/>
  <c r="CK7" i="5"/>
  <c r="CK38" i="5" s="1"/>
  <c r="K24" i="6" s="1"/>
  <c r="CL15" i="4"/>
  <c r="CJ33" i="5" l="1"/>
  <c r="FQ24" i="12"/>
  <c r="FQ26" i="12"/>
  <c r="FQ21" i="12"/>
  <c r="FQ20" i="12"/>
  <c r="FQ20" i="5" s="1"/>
  <c r="CK33" i="5"/>
  <c r="CI24" i="5"/>
  <c r="CI25" i="5"/>
  <c r="CC70" i="5"/>
  <c r="CJ31" i="5"/>
  <c r="CI34" i="5"/>
  <c r="CI22" i="5"/>
  <c r="FQ23" i="12"/>
  <c r="FQ25" i="12"/>
  <c r="CJ16" i="5"/>
  <c r="CJ32" i="5"/>
  <c r="CJ30" i="5"/>
  <c r="CK10" i="5"/>
  <c r="CK21" i="5" s="1"/>
  <c r="CD40" i="5"/>
  <c r="FQ8" i="12"/>
  <c r="FR7" i="12"/>
  <c r="FQ10" i="12"/>
  <c r="FQ11" i="12"/>
  <c r="FQ16" i="12"/>
  <c r="CJ61" i="5"/>
  <c r="CJ62" i="5"/>
  <c r="CE36" i="5"/>
  <c r="CF36" i="5"/>
  <c r="CK11" i="5"/>
  <c r="CL7" i="5"/>
  <c r="CL38" i="5" s="1"/>
  <c r="CM15" i="4"/>
  <c r="FR24" i="12" l="1"/>
  <c r="FR26" i="12"/>
  <c r="FR20" i="12"/>
  <c r="FR20" i="5" s="1"/>
  <c r="FR21" i="12"/>
  <c r="CJ24" i="5"/>
  <c r="CJ25" i="5"/>
  <c r="CD70" i="5"/>
  <c r="CK31" i="5"/>
  <c r="CK32" i="5"/>
  <c r="CJ22" i="5"/>
  <c r="CJ34" i="5"/>
  <c r="FR25" i="12"/>
  <c r="FR23" i="12"/>
  <c r="CK25" i="5"/>
  <c r="CK16" i="5"/>
  <c r="CK30" i="5"/>
  <c r="CI26" i="5"/>
  <c r="CH26" i="5"/>
  <c r="CL10" i="5"/>
  <c r="CL21" i="5" s="1"/>
  <c r="FR8" i="12"/>
  <c r="CF40" i="5"/>
  <c r="CE40" i="5"/>
  <c r="FS7" i="12"/>
  <c r="FR11" i="12"/>
  <c r="FR16" i="12"/>
  <c r="FR10" i="12"/>
  <c r="CK61" i="5"/>
  <c r="CK62" i="5"/>
  <c r="CL11" i="5"/>
  <c r="CM7" i="5"/>
  <c r="CM38" i="5" s="1"/>
  <c r="CN15" i="4"/>
  <c r="CL33" i="5" l="1"/>
  <c r="FS24" i="12"/>
  <c r="FS26" i="12"/>
  <c r="FS21" i="12"/>
  <c r="FS20" i="12"/>
  <c r="FS20" i="5" s="1"/>
  <c r="CE70" i="5"/>
  <c r="CF70" i="5"/>
  <c r="CL31" i="5"/>
  <c r="CK34" i="5"/>
  <c r="CK22" i="5"/>
  <c r="CK24" i="5"/>
  <c r="FS25" i="12"/>
  <c r="FS23" i="12"/>
  <c r="CL32" i="5"/>
  <c r="CL30" i="5"/>
  <c r="CJ26" i="5"/>
  <c r="CM10" i="5"/>
  <c r="CM21" i="5" s="1"/>
  <c r="K9" i="6"/>
  <c r="FT7" i="12"/>
  <c r="FS11" i="12"/>
  <c r="FS10" i="12"/>
  <c r="FS16" i="12"/>
  <c r="FS8" i="12"/>
  <c r="CL62" i="5"/>
  <c r="CL61" i="5"/>
  <c r="CG36" i="5"/>
  <c r="CM11" i="5"/>
  <c r="CN7" i="5"/>
  <c r="CN38" i="5" s="1"/>
  <c r="CO15" i="4"/>
  <c r="FT24" i="12" l="1"/>
  <c r="FT26" i="12"/>
  <c r="FT20" i="12"/>
  <c r="FT20" i="5" s="1"/>
  <c r="FT21" i="12"/>
  <c r="CM33" i="5"/>
  <c r="CN33" i="5" s="1"/>
  <c r="CL24" i="5"/>
  <c r="CL25" i="5"/>
  <c r="CL34" i="5"/>
  <c r="CM31" i="5"/>
  <c r="K8" i="6"/>
  <c r="FT25" i="12"/>
  <c r="FT23" i="12"/>
  <c r="CM32" i="5"/>
  <c r="CM30" i="5"/>
  <c r="CK26" i="5"/>
  <c r="CL22" i="5"/>
  <c r="CN10" i="5"/>
  <c r="CN21" i="5" s="1"/>
  <c r="FT8" i="12"/>
  <c r="CG40" i="5"/>
  <c r="FU7" i="12"/>
  <c r="FT11" i="12"/>
  <c r="FT16" i="12"/>
  <c r="FT10" i="12"/>
  <c r="CM62" i="5"/>
  <c r="CM61" i="5"/>
  <c r="CH36" i="5"/>
  <c r="CN11" i="5"/>
  <c r="CO7" i="5"/>
  <c r="CO38" i="5" s="1"/>
  <c r="CP15" i="4"/>
  <c r="FU24" i="12" l="1"/>
  <c r="FU26" i="12"/>
  <c r="FU20" i="12"/>
  <c r="FU20" i="5" s="1"/>
  <c r="FU21" i="12"/>
  <c r="K10" i="6"/>
  <c r="K13" i="6"/>
  <c r="CM24" i="5"/>
  <c r="CM25" i="5"/>
  <c r="CG70" i="5"/>
  <c r="CN31" i="5"/>
  <c r="CM34" i="5"/>
  <c r="FU25" i="12"/>
  <c r="FU23" i="12"/>
  <c r="CM22" i="5"/>
  <c r="CN32" i="5"/>
  <c r="CN30" i="5"/>
  <c r="CO10" i="5"/>
  <c r="CO21" i="5" s="1"/>
  <c r="CH40" i="5"/>
  <c r="FV7" i="12"/>
  <c r="FU16" i="12"/>
  <c r="FU11" i="12"/>
  <c r="FU10" i="12"/>
  <c r="FU8" i="12"/>
  <c r="CN62" i="5"/>
  <c r="CN61" i="5"/>
  <c r="CI36" i="5"/>
  <c r="CO11" i="5"/>
  <c r="CP7" i="5"/>
  <c r="CP38" i="5" s="1"/>
  <c r="CQ15" i="4"/>
  <c r="CO33" i="5" l="1"/>
  <c r="FV24" i="12"/>
  <c r="FV20" i="12"/>
  <c r="FV20" i="5" s="1"/>
  <c r="FV26" i="12"/>
  <c r="FV21" i="12"/>
  <c r="CN24" i="5"/>
  <c r="CN25" i="5"/>
  <c r="CH70" i="5"/>
  <c r="CO31" i="5"/>
  <c r="FV23" i="12"/>
  <c r="FV25" i="12"/>
  <c r="CN34" i="5"/>
  <c r="CO32" i="5"/>
  <c r="CO30" i="5"/>
  <c r="CM26" i="5"/>
  <c r="CL26" i="5"/>
  <c r="CN22" i="5"/>
  <c r="CP10" i="5"/>
  <c r="CP21" i="5" s="1"/>
  <c r="R20" i="6"/>
  <c r="CI40" i="5"/>
  <c r="FW7" i="12"/>
  <c r="FV16" i="12"/>
  <c r="FV10" i="12"/>
  <c r="FV11" i="12"/>
  <c r="FV8" i="12"/>
  <c r="CO62" i="5"/>
  <c r="CO61" i="5"/>
  <c r="CJ36" i="5"/>
  <c r="K12" i="6"/>
  <c r="K14" i="6" s="1"/>
  <c r="CP11" i="5"/>
  <c r="CQ7" i="5"/>
  <c r="CQ38" i="5" s="1"/>
  <c r="CR15" i="4"/>
  <c r="FW24" i="12" l="1"/>
  <c r="FW26" i="12"/>
  <c r="FW20" i="12"/>
  <c r="FW20" i="5" s="1"/>
  <c r="FW21" i="12"/>
  <c r="CP33" i="5"/>
  <c r="CO24" i="5"/>
  <c r="CO25" i="5"/>
  <c r="CI70" i="5"/>
  <c r="CP31" i="5"/>
  <c r="FW23" i="12"/>
  <c r="FW25" i="12"/>
  <c r="CO34" i="5"/>
  <c r="CO22" i="5"/>
  <c r="CP32" i="5"/>
  <c r="CP30" i="5"/>
  <c r="CQ10" i="5"/>
  <c r="CQ21" i="5" s="1"/>
  <c r="CJ40" i="5"/>
  <c r="FX7" i="12"/>
  <c r="FW16" i="12"/>
  <c r="FW11" i="12"/>
  <c r="FW10" i="12"/>
  <c r="FW8" i="12"/>
  <c r="CP61" i="5"/>
  <c r="CP62" i="5"/>
  <c r="CK36" i="5"/>
  <c r="K22" i="6"/>
  <c r="CQ11" i="5"/>
  <c r="CR7" i="5"/>
  <c r="CR38" i="5" s="1"/>
  <c r="CS15" i="4"/>
  <c r="CQ33" i="5" l="1"/>
  <c r="FX24" i="12"/>
  <c r="FX26" i="12"/>
  <c r="FX20" i="12"/>
  <c r="FX20" i="5" s="1"/>
  <c r="FX21" i="12"/>
  <c r="K26" i="6"/>
  <c r="K38" i="6" s="1"/>
  <c r="J9" i="9" s="1"/>
  <c r="J6" i="9"/>
  <c r="BH16" i="10" s="1"/>
  <c r="CP24" i="5"/>
  <c r="CP25" i="5"/>
  <c r="CJ70" i="5"/>
  <c r="CQ31" i="5"/>
  <c r="CP34" i="5"/>
  <c r="FX23" i="12"/>
  <c r="FX25" i="12"/>
  <c r="CQ32" i="5"/>
  <c r="CQ30" i="5"/>
  <c r="CO26" i="5"/>
  <c r="CN26" i="5"/>
  <c r="CP22" i="5"/>
  <c r="CR10" i="5"/>
  <c r="CR21" i="5" s="1"/>
  <c r="CK40" i="5"/>
  <c r="FY7" i="12"/>
  <c r="FX16" i="12"/>
  <c r="FX10" i="12"/>
  <c r="FX11" i="12"/>
  <c r="FX8" i="12"/>
  <c r="CQ61" i="5"/>
  <c r="CQ62" i="5"/>
  <c r="CL36" i="5"/>
  <c r="CR11" i="5"/>
  <c r="CS7" i="5"/>
  <c r="CS38" i="5" s="1"/>
  <c r="CT15" i="4"/>
  <c r="FY24" i="12" l="1"/>
  <c r="FY26" i="12"/>
  <c r="FY21" i="12"/>
  <c r="FY20" i="12"/>
  <c r="FY20" i="5" s="1"/>
  <c r="CR33" i="5"/>
  <c r="CQ24" i="5"/>
  <c r="CQ25" i="5"/>
  <c r="CK70" i="5"/>
  <c r="CR31" i="5"/>
  <c r="FY23" i="12"/>
  <c r="FY25" i="12"/>
  <c r="CQ34" i="5"/>
  <c r="CQ22" i="5"/>
  <c r="CR32" i="5"/>
  <c r="CR30" i="5"/>
  <c r="CS10" i="5"/>
  <c r="CS21" i="5" s="1"/>
  <c r="CL40" i="5"/>
  <c r="FY8" i="12"/>
  <c r="FZ7" i="12"/>
  <c r="FY10" i="12"/>
  <c r="FY16" i="12"/>
  <c r="FY11" i="12"/>
  <c r="CR61" i="5"/>
  <c r="CR62" i="5"/>
  <c r="CM36" i="5"/>
  <c r="CS11" i="5"/>
  <c r="CT7" i="5"/>
  <c r="CT38" i="5" s="1"/>
  <c r="CU15" i="4"/>
  <c r="CS33" i="5" l="1"/>
  <c r="FZ24" i="12"/>
  <c r="FZ21" i="12"/>
  <c r="FZ26" i="12"/>
  <c r="FZ20" i="12"/>
  <c r="FZ20" i="5" s="1"/>
  <c r="CR24" i="5"/>
  <c r="CR25" i="5"/>
  <c r="CL70" i="5"/>
  <c r="CS31" i="5"/>
  <c r="CR34" i="5"/>
  <c r="CR22" i="5"/>
  <c r="FZ23" i="12"/>
  <c r="FZ25" i="12"/>
  <c r="CS32" i="5"/>
  <c r="CS30" i="5"/>
  <c r="CQ26" i="5"/>
  <c r="CP26" i="5"/>
  <c r="CT10" i="5"/>
  <c r="CT21" i="5" s="1"/>
  <c r="CM40" i="5"/>
  <c r="GA7" i="12"/>
  <c r="FZ11" i="12"/>
  <c r="FZ10" i="12"/>
  <c r="FZ16" i="12"/>
  <c r="FZ8" i="12"/>
  <c r="CS61" i="5"/>
  <c r="CS62" i="5"/>
  <c r="CN36" i="5"/>
  <c r="CT11" i="5"/>
  <c r="CU7" i="5"/>
  <c r="CU38" i="5" s="1"/>
  <c r="CV15" i="4"/>
  <c r="GA24" i="12" l="1"/>
  <c r="GA26" i="12"/>
  <c r="GA21" i="12"/>
  <c r="GA20" i="12"/>
  <c r="GA20" i="5" s="1"/>
  <c r="CT33" i="5"/>
  <c r="CU33" i="5" s="1"/>
  <c r="CS24" i="5"/>
  <c r="CS25" i="5"/>
  <c r="CM70" i="5"/>
  <c r="CT31" i="5"/>
  <c r="CS34" i="5"/>
  <c r="GA23" i="12"/>
  <c r="GA25" i="12"/>
  <c r="CT25" i="5"/>
  <c r="CT32" i="5"/>
  <c r="CT30" i="5"/>
  <c r="CR26" i="5"/>
  <c r="CS22" i="5"/>
  <c r="CU10" i="5"/>
  <c r="CU21" i="5" s="1"/>
  <c r="CN40" i="5"/>
  <c r="GB7" i="12"/>
  <c r="GA11" i="12"/>
  <c r="GA10" i="12"/>
  <c r="GA16" i="12"/>
  <c r="GA8" i="12"/>
  <c r="CT61" i="5"/>
  <c r="CT62" i="5"/>
  <c r="CO36" i="5"/>
  <c r="CU11" i="5"/>
  <c r="CV7" i="5"/>
  <c r="CV38" i="5" s="1"/>
  <c r="CW15" i="4"/>
  <c r="GB24" i="12" l="1"/>
  <c r="GB26" i="12"/>
  <c r="GB21" i="12"/>
  <c r="GB20" i="12"/>
  <c r="GB20" i="5" s="1"/>
  <c r="CN70" i="5"/>
  <c r="CU31" i="5"/>
  <c r="CT22" i="5"/>
  <c r="GB23" i="12"/>
  <c r="GB25" i="12"/>
  <c r="CT24" i="5"/>
  <c r="CT34" i="5"/>
  <c r="CU32" i="5"/>
  <c r="CU30" i="5"/>
  <c r="CV10" i="5"/>
  <c r="CV21" i="5" s="1"/>
  <c r="GB8" i="12"/>
  <c r="CO40" i="5"/>
  <c r="GC7" i="12"/>
  <c r="GB11" i="12"/>
  <c r="GB10" i="12"/>
  <c r="GB16" i="12"/>
  <c r="CU62" i="5"/>
  <c r="CU61" i="5"/>
  <c r="CP36" i="5"/>
  <c r="CV11" i="5"/>
  <c r="CW7" i="5"/>
  <c r="CW38" i="5" s="1"/>
  <c r="L24" i="6" s="1"/>
  <c r="CX15" i="4"/>
  <c r="CV33" i="5" l="1"/>
  <c r="GC24" i="12"/>
  <c r="GC26" i="12"/>
  <c r="GC20" i="12"/>
  <c r="GC20" i="5" s="1"/>
  <c r="GC21" i="12"/>
  <c r="CW33" i="5"/>
  <c r="CU24" i="5"/>
  <c r="CU25" i="5"/>
  <c r="CO70" i="5"/>
  <c r="CV31" i="5"/>
  <c r="CU34" i="5"/>
  <c r="GC23" i="12"/>
  <c r="GC25" i="12"/>
  <c r="CV32" i="5"/>
  <c r="CV30" i="5"/>
  <c r="CT26" i="5"/>
  <c r="CS26" i="5"/>
  <c r="CU22" i="5"/>
  <c r="CW10" i="5"/>
  <c r="CW21" i="5" s="1"/>
  <c r="CP40" i="5"/>
  <c r="GC8" i="12"/>
  <c r="GD7" i="12"/>
  <c r="GC11" i="12"/>
  <c r="GC16" i="12"/>
  <c r="GC10" i="12"/>
  <c r="CV62" i="5"/>
  <c r="CV61" i="5"/>
  <c r="CQ36" i="5"/>
  <c r="CW11" i="5"/>
  <c r="CX7" i="5"/>
  <c r="CX38" i="5" s="1"/>
  <c r="CY15" i="4"/>
  <c r="GD24" i="12" l="1"/>
  <c r="GD20" i="12"/>
  <c r="GD20" i="5" s="1"/>
  <c r="GD26" i="12"/>
  <c r="GD21" i="12"/>
  <c r="CX33" i="5"/>
  <c r="CV24" i="5"/>
  <c r="CV25" i="5"/>
  <c r="CP70" i="5"/>
  <c r="CW31" i="5"/>
  <c r="CV22" i="5"/>
  <c r="CV34" i="5"/>
  <c r="GD23" i="12"/>
  <c r="GD25" i="12"/>
  <c r="CW32" i="5"/>
  <c r="CW30" i="5"/>
  <c r="CX10" i="5"/>
  <c r="CX21" i="5" s="1"/>
  <c r="CQ40" i="5"/>
  <c r="GD8" i="12"/>
  <c r="GE7" i="12"/>
  <c r="GD16" i="12"/>
  <c r="GD11" i="12"/>
  <c r="GD10" i="12"/>
  <c r="CW61" i="5"/>
  <c r="CW62" i="5"/>
  <c r="CR36" i="5"/>
  <c r="CX11" i="5"/>
  <c r="CY7" i="5"/>
  <c r="CY38" i="5" s="1"/>
  <c r="CZ15" i="4"/>
  <c r="GE24" i="12" l="1"/>
  <c r="GE26" i="12"/>
  <c r="GE20" i="12"/>
  <c r="GE21" i="12"/>
  <c r="CW24" i="5"/>
  <c r="CW25" i="5"/>
  <c r="CQ70" i="5"/>
  <c r="CX31" i="5"/>
  <c r="GE23" i="12"/>
  <c r="GE25" i="12"/>
  <c r="CW34" i="5"/>
  <c r="CX32" i="5"/>
  <c r="L9" i="6"/>
  <c r="CX30" i="5"/>
  <c r="CV26" i="5"/>
  <c r="CU26" i="5"/>
  <c r="CW22" i="5"/>
  <c r="CY10" i="5"/>
  <c r="CY21" i="5" s="1"/>
  <c r="CR40" i="5"/>
  <c r="GF7" i="12"/>
  <c r="GE16" i="12"/>
  <c r="GE10" i="12"/>
  <c r="GE11" i="12"/>
  <c r="GE8" i="12"/>
  <c r="CS36" i="5"/>
  <c r="CY11" i="5"/>
  <c r="CZ7" i="5"/>
  <c r="CZ38" i="5" s="1"/>
  <c r="DA15" i="4"/>
  <c r="CY33" i="5" l="1"/>
  <c r="GF24" i="12"/>
  <c r="GF26" i="12"/>
  <c r="GF20" i="12"/>
  <c r="GF21" i="12"/>
  <c r="CZ33" i="5"/>
  <c r="CX24" i="5"/>
  <c r="CX25" i="5"/>
  <c r="CR70" i="5"/>
  <c r="CX34" i="5"/>
  <c r="CY31" i="5"/>
  <c r="L8" i="6"/>
  <c r="GF23" i="12"/>
  <c r="GF25" i="12"/>
  <c r="CY32" i="5"/>
  <c r="CX22" i="5"/>
  <c r="CY30" i="5"/>
  <c r="CZ10" i="5"/>
  <c r="CZ21" i="5" s="1"/>
  <c r="GF8" i="12"/>
  <c r="CS40" i="5"/>
  <c r="GG7" i="12"/>
  <c r="GF11" i="12"/>
  <c r="GF16" i="12"/>
  <c r="GF10" i="12"/>
  <c r="CY61" i="5"/>
  <c r="CY62" i="5"/>
  <c r="CT36" i="5"/>
  <c r="CZ11" i="5"/>
  <c r="DA7" i="5"/>
  <c r="DA38" i="5" s="1"/>
  <c r="DB15" i="4"/>
  <c r="GG24" i="12" l="1"/>
  <c r="GG26" i="12"/>
  <c r="GG20" i="12"/>
  <c r="GG21" i="12"/>
  <c r="L10" i="6"/>
  <c r="L13" i="6"/>
  <c r="CY24" i="5"/>
  <c r="CY25" i="5"/>
  <c r="CS70" i="5"/>
  <c r="CZ31" i="5"/>
  <c r="GG25" i="12"/>
  <c r="GG23" i="12"/>
  <c r="CY34" i="5"/>
  <c r="CZ32" i="5"/>
  <c r="CZ30" i="5"/>
  <c r="CX26" i="5"/>
  <c r="CW26" i="5"/>
  <c r="CY22" i="5"/>
  <c r="DA10" i="5"/>
  <c r="DA21" i="5" s="1"/>
  <c r="S20" i="6"/>
  <c r="CT40" i="5"/>
  <c r="GH7" i="12"/>
  <c r="GG16" i="12"/>
  <c r="GG10" i="12"/>
  <c r="GG11" i="12"/>
  <c r="GG8" i="12"/>
  <c r="CZ61" i="5"/>
  <c r="CZ62" i="5"/>
  <c r="CU36" i="5"/>
  <c r="DA11" i="5"/>
  <c r="DB7" i="5"/>
  <c r="DB38" i="5" s="1"/>
  <c r="DC15" i="4"/>
  <c r="DA33" i="5" l="1"/>
  <c r="GH24" i="12"/>
  <c r="GH26" i="12"/>
  <c r="GH20" i="12"/>
  <c r="GH21" i="12"/>
  <c r="CZ24" i="5"/>
  <c r="CZ25" i="5"/>
  <c r="CT70" i="5"/>
  <c r="DA31" i="5"/>
  <c r="CZ22" i="5"/>
  <c r="GH25" i="12"/>
  <c r="GH23" i="12"/>
  <c r="CZ34" i="5"/>
  <c r="DA32" i="5"/>
  <c r="DA30" i="5"/>
  <c r="DB10" i="5"/>
  <c r="DB21" i="5" s="1"/>
  <c r="CU40" i="5"/>
  <c r="GI7" i="12"/>
  <c r="GH11" i="12"/>
  <c r="GH16" i="12"/>
  <c r="GH10" i="12"/>
  <c r="GH8" i="12"/>
  <c r="DA62" i="5"/>
  <c r="DA61" i="5"/>
  <c r="CV36" i="5"/>
  <c r="DB11" i="5"/>
  <c r="DC7" i="5"/>
  <c r="DC38" i="5" s="1"/>
  <c r="DD15" i="4"/>
  <c r="GI24" i="12" l="1"/>
  <c r="GI26" i="12"/>
  <c r="GI20" i="12"/>
  <c r="GI21" i="12"/>
  <c r="DB33" i="5"/>
  <c r="DA24" i="5"/>
  <c r="DA25" i="5"/>
  <c r="CU70" i="5"/>
  <c r="DB31" i="5"/>
  <c r="DB32" i="5"/>
  <c r="GI25" i="12"/>
  <c r="GI23" i="12"/>
  <c r="DA34" i="5"/>
  <c r="DA22" i="5"/>
  <c r="DB30" i="5"/>
  <c r="CZ26" i="5"/>
  <c r="CY26" i="5"/>
  <c r="DC10" i="5"/>
  <c r="DC21" i="5" s="1"/>
  <c r="GI8" i="12"/>
  <c r="L12" i="6"/>
  <c r="L14" i="6" s="1"/>
  <c r="CV40" i="5"/>
  <c r="GJ7" i="12"/>
  <c r="GI11" i="12"/>
  <c r="GI16" i="12"/>
  <c r="GI10" i="12"/>
  <c r="DB61" i="5"/>
  <c r="DB62" i="5"/>
  <c r="CW36" i="5"/>
  <c r="DC11" i="5"/>
  <c r="DD7" i="5"/>
  <c r="DD38" i="5" s="1"/>
  <c r="DE15" i="4"/>
  <c r="DC33" i="5" l="1"/>
  <c r="GJ24" i="12"/>
  <c r="GJ26" i="12"/>
  <c r="GJ20" i="12"/>
  <c r="GJ21" i="12"/>
  <c r="DD33" i="5"/>
  <c r="DB24" i="5"/>
  <c r="DB25" i="5"/>
  <c r="CV70" i="5"/>
  <c r="DC31" i="5"/>
  <c r="DB34" i="5"/>
  <c r="GJ25" i="12"/>
  <c r="GJ23" i="12"/>
  <c r="DC32" i="5"/>
  <c r="DC30" i="5"/>
  <c r="DA26" i="5"/>
  <c r="DB22" i="5"/>
  <c r="DD10" i="5"/>
  <c r="DD21" i="5" s="1"/>
  <c r="L22" i="6"/>
  <c r="K6" i="9" s="1"/>
  <c r="BI16" i="10" s="1"/>
  <c r="CW40" i="5"/>
  <c r="GK7" i="12"/>
  <c r="GJ11" i="12"/>
  <c r="GJ16" i="12"/>
  <c r="GJ10" i="12"/>
  <c r="GJ8" i="12"/>
  <c r="DC62" i="5"/>
  <c r="DC61" i="5"/>
  <c r="CX36" i="5"/>
  <c r="DD11" i="5"/>
  <c r="DE7" i="5"/>
  <c r="DE38" i="5" s="1"/>
  <c r="DF15" i="4"/>
  <c r="GK24" i="12" l="1"/>
  <c r="GK26" i="12"/>
  <c r="GK20" i="12"/>
  <c r="GK21" i="12"/>
  <c r="DE33" i="5"/>
  <c r="DC24" i="5"/>
  <c r="DC25" i="5"/>
  <c r="CW70" i="5"/>
  <c r="DD31" i="5"/>
  <c r="DC22" i="5"/>
  <c r="GK23" i="12"/>
  <c r="GK25" i="12"/>
  <c r="DC34" i="5"/>
  <c r="DD32" i="5"/>
  <c r="DD30" i="5"/>
  <c r="DE10" i="5"/>
  <c r="DE21" i="5" s="1"/>
  <c r="CX40" i="5"/>
  <c r="GL7" i="12"/>
  <c r="GK11" i="12"/>
  <c r="GK10" i="12"/>
  <c r="GK16" i="12"/>
  <c r="GK8" i="12"/>
  <c r="DD62" i="5"/>
  <c r="DD61" i="5"/>
  <c r="CY36" i="5"/>
  <c r="DE11" i="5"/>
  <c r="DF7" i="5"/>
  <c r="DF38" i="5" s="1"/>
  <c r="DG15" i="4"/>
  <c r="GL24" i="12" l="1"/>
  <c r="GL20" i="12"/>
  <c r="GL26" i="12"/>
  <c r="GL21" i="12"/>
  <c r="DD24" i="5"/>
  <c r="DD25" i="5"/>
  <c r="DE31" i="5"/>
  <c r="DD34" i="5"/>
  <c r="GL23" i="12"/>
  <c r="GL25" i="12"/>
  <c r="DE32" i="5"/>
  <c r="DE30" i="5"/>
  <c r="DC26" i="5"/>
  <c r="DB26" i="5"/>
  <c r="DD22" i="5"/>
  <c r="DF10" i="5"/>
  <c r="DF21" i="5" s="1"/>
  <c r="GL8" i="12"/>
  <c r="CY40" i="5"/>
  <c r="GM7" i="12"/>
  <c r="GL16" i="12"/>
  <c r="GL11" i="12"/>
  <c r="GL10" i="12"/>
  <c r="DE62" i="5"/>
  <c r="DE61" i="5"/>
  <c r="CZ36" i="5"/>
  <c r="DF11" i="5"/>
  <c r="DG7" i="5"/>
  <c r="DG38" i="5" s="1"/>
  <c r="DH15" i="4"/>
  <c r="GM24" i="12" l="1"/>
  <c r="GM26" i="12"/>
  <c r="GM20" i="12"/>
  <c r="GM21" i="12"/>
  <c r="DF33" i="5"/>
  <c r="DE24" i="5"/>
  <c r="DE25" i="5"/>
  <c r="CY70" i="5"/>
  <c r="DF31" i="5"/>
  <c r="GM23" i="12"/>
  <c r="GM25" i="12"/>
  <c r="DE34" i="5"/>
  <c r="DE22" i="5"/>
  <c r="DF32" i="5"/>
  <c r="DF30" i="5"/>
  <c r="DG10" i="5"/>
  <c r="DG21" i="5" s="1"/>
  <c r="CZ40" i="5"/>
  <c r="GM8" i="12"/>
  <c r="GN7" i="12"/>
  <c r="GM16" i="12"/>
  <c r="GM11" i="12"/>
  <c r="GM10" i="12"/>
  <c r="DF61" i="5"/>
  <c r="DF62" i="5"/>
  <c r="DA36" i="5"/>
  <c r="DG11" i="5"/>
  <c r="DH7" i="5"/>
  <c r="DH38" i="5" s="1"/>
  <c r="DI15" i="4"/>
  <c r="DG33" i="5" l="1"/>
  <c r="GN24" i="12"/>
  <c r="GN26" i="12"/>
  <c r="GN20" i="12"/>
  <c r="GN21" i="12"/>
  <c r="DF24" i="5"/>
  <c r="DF25" i="5"/>
  <c r="CZ70" i="5"/>
  <c r="DG31" i="5"/>
  <c r="DF34" i="5"/>
  <c r="GN23" i="12"/>
  <c r="GN25" i="12"/>
  <c r="DG32" i="5"/>
  <c r="DG30" i="5"/>
  <c r="DE26" i="5"/>
  <c r="DD26" i="5"/>
  <c r="DF22" i="5"/>
  <c r="DH10" i="5"/>
  <c r="DH21" i="5" s="1"/>
  <c r="DA40" i="5"/>
  <c r="GO7" i="12"/>
  <c r="GN16" i="12"/>
  <c r="GN11" i="12"/>
  <c r="GN10" i="12"/>
  <c r="GN8" i="12"/>
  <c r="DG61" i="5"/>
  <c r="DG62" i="5"/>
  <c r="DB36" i="5"/>
  <c r="DH11" i="5"/>
  <c r="DI7" i="5"/>
  <c r="DI38" i="5" s="1"/>
  <c r="M24" i="6" s="1"/>
  <c r="DJ15" i="4"/>
  <c r="DH33" i="5" l="1"/>
  <c r="GO24" i="12"/>
  <c r="GO20" i="12"/>
  <c r="GO26" i="12"/>
  <c r="GO21" i="12"/>
  <c r="DG24" i="5"/>
  <c r="DG25" i="5"/>
  <c r="DA70" i="5"/>
  <c r="DH31" i="5"/>
  <c r="DH30" i="5"/>
  <c r="GO23" i="12"/>
  <c r="GO25" i="12"/>
  <c r="DG22" i="5"/>
  <c r="DG34" i="5"/>
  <c r="DH32" i="5"/>
  <c r="DF26" i="5"/>
  <c r="DI10" i="5"/>
  <c r="DI21" i="5" s="1"/>
  <c r="DB40" i="5"/>
  <c r="GO8" i="12"/>
  <c r="GP7" i="12"/>
  <c r="GO10" i="12"/>
  <c r="GO16" i="12"/>
  <c r="GO11" i="12"/>
  <c r="DH62" i="5"/>
  <c r="DH61" i="5"/>
  <c r="DC36" i="5"/>
  <c r="DI11" i="5"/>
  <c r="DJ7" i="5"/>
  <c r="DJ38" i="5" s="1"/>
  <c r="DK15" i="4"/>
  <c r="GP24" i="12" l="1"/>
  <c r="GP20" i="12"/>
  <c r="GP21" i="12"/>
  <c r="GP26" i="12"/>
  <c r="DI33" i="5"/>
  <c r="DH24" i="5"/>
  <c r="DH25" i="5"/>
  <c r="DB70" i="5"/>
  <c r="DI31" i="5"/>
  <c r="DH22" i="5"/>
  <c r="DI32" i="5"/>
  <c r="GP25" i="12"/>
  <c r="GP23" i="12"/>
  <c r="DH34" i="5"/>
  <c r="DI30" i="5"/>
  <c r="DG26" i="5"/>
  <c r="DJ10" i="5"/>
  <c r="DJ21" i="5" s="1"/>
  <c r="DC40" i="5"/>
  <c r="GQ7" i="12"/>
  <c r="GP11" i="12"/>
  <c r="GP16" i="12"/>
  <c r="GP10" i="12"/>
  <c r="GP8" i="12"/>
  <c r="DI61" i="5"/>
  <c r="DI62" i="5"/>
  <c r="DD36" i="5"/>
  <c r="DJ11" i="5"/>
  <c r="DK7" i="5"/>
  <c r="DK38" i="5" s="1"/>
  <c r="DL15" i="4"/>
  <c r="DJ33" i="5" l="1"/>
  <c r="GQ24" i="12"/>
  <c r="GQ26" i="12"/>
  <c r="GQ20" i="12"/>
  <c r="GQ21" i="12"/>
  <c r="DI24" i="5"/>
  <c r="DI25" i="5"/>
  <c r="DC70" i="5"/>
  <c r="DJ31" i="5"/>
  <c r="DI34" i="5"/>
  <c r="M9" i="6"/>
  <c r="GQ25" i="12"/>
  <c r="GQ23" i="12"/>
  <c r="DJ25" i="5"/>
  <c r="DJ32" i="5"/>
  <c r="DJ30" i="5"/>
  <c r="DH26" i="5"/>
  <c r="DI22" i="5"/>
  <c r="DK10" i="5"/>
  <c r="DK21" i="5" s="1"/>
  <c r="DD40" i="5"/>
  <c r="GR7" i="12"/>
  <c r="GQ16" i="12"/>
  <c r="GQ11" i="12"/>
  <c r="GQ10" i="12"/>
  <c r="GQ8" i="12"/>
  <c r="DJ61" i="5"/>
  <c r="DJ62" i="5"/>
  <c r="DE36" i="5"/>
  <c r="DK11" i="5"/>
  <c r="DL7" i="5"/>
  <c r="DL38" i="5" s="1"/>
  <c r="DM15" i="4"/>
  <c r="GR24" i="12" l="1"/>
  <c r="GR26" i="12"/>
  <c r="GR21" i="12"/>
  <c r="GR20" i="12"/>
  <c r="DK33" i="5"/>
  <c r="DD70" i="5"/>
  <c r="DJ34" i="5"/>
  <c r="DK31" i="5"/>
  <c r="DJ22" i="5"/>
  <c r="M8" i="6"/>
  <c r="GR25" i="12"/>
  <c r="GR23" i="12"/>
  <c r="DK32" i="5"/>
  <c r="DJ24" i="5"/>
  <c r="DK30" i="5"/>
  <c r="DL10" i="5"/>
  <c r="DL21" i="5" s="1"/>
  <c r="DE40" i="5"/>
  <c r="GR8" i="12"/>
  <c r="GS7" i="12"/>
  <c r="GR16" i="12"/>
  <c r="GR11" i="12"/>
  <c r="GR10" i="12"/>
  <c r="DK61" i="5"/>
  <c r="DK62" i="5"/>
  <c r="DF36" i="5"/>
  <c r="DL11" i="5"/>
  <c r="DM7" i="5"/>
  <c r="DM38" i="5" s="1"/>
  <c r="DN15" i="4"/>
  <c r="DL33" i="5" l="1"/>
  <c r="GS24" i="12"/>
  <c r="GS26" i="12"/>
  <c r="GS20" i="12"/>
  <c r="GS21" i="12"/>
  <c r="M10" i="6"/>
  <c r="M13" i="6"/>
  <c r="DK24" i="5"/>
  <c r="DK25" i="5"/>
  <c r="DE70" i="5"/>
  <c r="DL31" i="5"/>
  <c r="DK34" i="5"/>
  <c r="GS25" i="12"/>
  <c r="GS23" i="12"/>
  <c r="DL25" i="5"/>
  <c r="DL32" i="5"/>
  <c r="DL30" i="5"/>
  <c r="DJ26" i="5"/>
  <c r="DI26" i="5"/>
  <c r="DK22" i="5"/>
  <c r="DM10" i="5"/>
  <c r="DM21" i="5" s="1"/>
  <c r="DG36" i="5"/>
  <c r="DG40" i="5" s="1"/>
  <c r="DF40" i="5"/>
  <c r="GT7" i="12"/>
  <c r="GS16" i="12"/>
  <c r="GS10" i="12"/>
  <c r="GS11" i="12"/>
  <c r="GS8" i="12"/>
  <c r="DL61" i="5"/>
  <c r="DL62" i="5"/>
  <c r="DM11" i="5"/>
  <c r="DN7" i="5"/>
  <c r="DN38" i="5" s="1"/>
  <c r="DO15" i="4"/>
  <c r="DM33" i="5" l="1"/>
  <c r="GT24" i="12"/>
  <c r="GT20" i="12"/>
  <c r="GT26" i="12"/>
  <c r="GT21" i="12"/>
  <c r="DF70" i="5"/>
  <c r="DG70" i="5"/>
  <c r="DM31" i="5"/>
  <c r="DM32" i="5"/>
  <c r="GT23" i="12"/>
  <c r="GT25" i="12"/>
  <c r="DL34" i="5"/>
  <c r="DL22" i="5"/>
  <c r="DL24" i="5"/>
  <c r="DM30" i="5"/>
  <c r="DN10" i="5"/>
  <c r="DN21" i="5" s="1"/>
  <c r="T20" i="6"/>
  <c r="GT8" i="12"/>
  <c r="GU7" i="12"/>
  <c r="GT16" i="12"/>
  <c r="GT11" i="12"/>
  <c r="GT10" i="12"/>
  <c r="DM62" i="5"/>
  <c r="DM61" i="5"/>
  <c r="DH36" i="5"/>
  <c r="DN11" i="5"/>
  <c r="DO7" i="5"/>
  <c r="DO38" i="5" s="1"/>
  <c r="DP15" i="4"/>
  <c r="DN33" i="5" l="1"/>
  <c r="GU24" i="12"/>
  <c r="GU26" i="12"/>
  <c r="GU21" i="12"/>
  <c r="GU20" i="12"/>
  <c r="DM24" i="5"/>
  <c r="DM25" i="5"/>
  <c r="DN31" i="5"/>
  <c r="DM34" i="5"/>
  <c r="GU23" i="12"/>
  <c r="GU25" i="12"/>
  <c r="DN32" i="5"/>
  <c r="DN30" i="5"/>
  <c r="DL26" i="5"/>
  <c r="DK26" i="5"/>
  <c r="DM22" i="5"/>
  <c r="DO10" i="5"/>
  <c r="DO21" i="5" s="1"/>
  <c r="M12" i="6"/>
  <c r="M14" i="6" s="1"/>
  <c r="DH40" i="5"/>
  <c r="GV7" i="12"/>
  <c r="GU16" i="12"/>
  <c r="GU10" i="12"/>
  <c r="GU11" i="12"/>
  <c r="GU8" i="12"/>
  <c r="DN61" i="5"/>
  <c r="DN62" i="5"/>
  <c r="DI36" i="5"/>
  <c r="DO11" i="5"/>
  <c r="DP7" i="5"/>
  <c r="DP38" i="5" s="1"/>
  <c r="DQ15" i="4"/>
  <c r="DO33" i="5" l="1"/>
  <c r="GV24" i="12"/>
  <c r="GV26" i="12"/>
  <c r="GV20" i="12"/>
  <c r="GV21" i="12"/>
  <c r="DN24" i="5"/>
  <c r="DN25" i="5"/>
  <c r="DH70" i="5"/>
  <c r="DO31" i="5"/>
  <c r="DN34" i="5"/>
  <c r="GV23" i="12"/>
  <c r="GV25" i="12"/>
  <c r="DN22" i="5"/>
  <c r="DO32" i="5"/>
  <c r="DO30" i="5"/>
  <c r="DP10" i="5"/>
  <c r="DP21" i="5" s="1"/>
  <c r="M22" i="6"/>
  <c r="DI40" i="5"/>
  <c r="GW7" i="12"/>
  <c r="GV11" i="12"/>
  <c r="GV16" i="12"/>
  <c r="GV10" i="12"/>
  <c r="GV8" i="12"/>
  <c r="DO61" i="5"/>
  <c r="DO62" i="5"/>
  <c r="DJ36" i="5"/>
  <c r="DP11" i="5"/>
  <c r="DQ7" i="5"/>
  <c r="DQ38" i="5" s="1"/>
  <c r="DR15" i="4"/>
  <c r="GW24" i="12" l="1"/>
  <c r="GW26" i="12"/>
  <c r="GW20" i="12"/>
  <c r="GW21" i="12"/>
  <c r="DP33" i="5"/>
  <c r="M26" i="6"/>
  <c r="L4" i="9" s="1"/>
  <c r="L6" i="9"/>
  <c r="BJ16" i="10" s="1"/>
  <c r="DO24" i="5"/>
  <c r="DO25" i="5"/>
  <c r="DI70" i="5"/>
  <c r="DP31" i="5"/>
  <c r="GW25" i="12"/>
  <c r="GW23" i="12"/>
  <c r="DO34" i="5"/>
  <c r="DP32" i="5"/>
  <c r="DP30" i="5"/>
  <c r="DN26" i="5"/>
  <c r="DM26" i="5"/>
  <c r="DO22" i="5"/>
  <c r="DQ10" i="5"/>
  <c r="DQ21" i="5" s="1"/>
  <c r="DJ40" i="5"/>
  <c r="GX7" i="12"/>
  <c r="GW10" i="12"/>
  <c r="GW11" i="12"/>
  <c r="GW16" i="12"/>
  <c r="GW8" i="12"/>
  <c r="DP62" i="5"/>
  <c r="DP61" i="5"/>
  <c r="DK36" i="5"/>
  <c r="DQ11" i="5"/>
  <c r="DR7" i="5"/>
  <c r="DR38" i="5" s="1"/>
  <c r="DS15" i="4"/>
  <c r="M38" i="6" l="1"/>
  <c r="L9" i="9" s="1"/>
  <c r="DQ33" i="5"/>
  <c r="GX24" i="12"/>
  <c r="GX26" i="12"/>
  <c r="GX21" i="12"/>
  <c r="GX20" i="12"/>
  <c r="DP24" i="5"/>
  <c r="DP25" i="5"/>
  <c r="DJ70" i="5"/>
  <c r="DQ31" i="5"/>
  <c r="DP34" i="5"/>
  <c r="GX25" i="12"/>
  <c r="GX23" i="12"/>
  <c r="DP22" i="5"/>
  <c r="DQ32" i="5"/>
  <c r="DQ30" i="5"/>
  <c r="DR10" i="5"/>
  <c r="DR21" i="5" s="1"/>
  <c r="DK40" i="5"/>
  <c r="GX8" i="12"/>
  <c r="GY7" i="12"/>
  <c r="GX11" i="12"/>
  <c r="GX10" i="12"/>
  <c r="GX16" i="12"/>
  <c r="DQ62" i="5"/>
  <c r="DQ61" i="5"/>
  <c r="DL36" i="5"/>
  <c r="DR11" i="5"/>
  <c r="DS7" i="5"/>
  <c r="DS38" i="5" s="1"/>
  <c r="DT15" i="4"/>
  <c r="DR33" i="5" l="1"/>
  <c r="GY24" i="12"/>
  <c r="GY26" i="12"/>
  <c r="GY20" i="12"/>
  <c r="GY21" i="12"/>
  <c r="DQ24" i="5"/>
  <c r="DQ25" i="5"/>
  <c r="DK70" i="5"/>
  <c r="DR31" i="5"/>
  <c r="GY23" i="12"/>
  <c r="GY25" i="12"/>
  <c r="DQ34" i="5"/>
  <c r="DR32" i="5"/>
  <c r="DQ22" i="5"/>
  <c r="DR30" i="5"/>
  <c r="DP26" i="5"/>
  <c r="DO26" i="5"/>
  <c r="DS10" i="5"/>
  <c r="DS21" i="5" s="1"/>
  <c r="GY8" i="12"/>
  <c r="DL40" i="5"/>
  <c r="GZ7" i="12"/>
  <c r="GY11" i="12"/>
  <c r="GY16" i="12"/>
  <c r="GY10" i="12"/>
  <c r="DR61" i="5"/>
  <c r="DR62" i="5"/>
  <c r="DM36" i="5"/>
  <c r="DS11" i="5"/>
  <c r="DT7" i="5"/>
  <c r="DT38" i="5" s="1"/>
  <c r="DU15" i="4"/>
  <c r="GZ24" i="12" l="1"/>
  <c r="GZ26" i="12"/>
  <c r="GZ20" i="12"/>
  <c r="GZ21" i="12"/>
  <c r="DS33" i="5"/>
  <c r="DT33" i="5" s="1"/>
  <c r="DR24" i="5"/>
  <c r="DR25" i="5"/>
  <c r="DL70" i="5"/>
  <c r="DS31" i="5"/>
  <c r="DR22" i="5"/>
  <c r="DR34" i="5"/>
  <c r="GZ23" i="12"/>
  <c r="GZ25" i="12"/>
  <c r="DS32" i="5"/>
  <c r="DS30" i="5"/>
  <c r="DQ26" i="5"/>
  <c r="DT10" i="5"/>
  <c r="DT21" i="5" s="1"/>
  <c r="DM40" i="5"/>
  <c r="HA7" i="12"/>
  <c r="GZ11" i="12"/>
  <c r="GZ10" i="12"/>
  <c r="GZ16" i="12"/>
  <c r="GZ8" i="12"/>
  <c r="DS62" i="5"/>
  <c r="DS61" i="5"/>
  <c r="DN36" i="5"/>
  <c r="DT11" i="5"/>
  <c r="DU7" i="5"/>
  <c r="DU38" i="5" s="1"/>
  <c r="N24" i="6" s="1"/>
  <c r="DV15" i="4"/>
  <c r="HA24" i="12" l="1"/>
  <c r="HA26" i="12"/>
  <c r="HA20" i="12"/>
  <c r="HA21" i="12"/>
  <c r="DS24" i="5"/>
  <c r="DS25" i="5"/>
  <c r="DM70" i="5"/>
  <c r="DT31" i="5"/>
  <c r="DS34" i="5"/>
  <c r="HA23" i="12"/>
  <c r="HA25" i="12"/>
  <c r="DT32" i="5"/>
  <c r="DT30" i="5"/>
  <c r="DR26" i="5"/>
  <c r="DS22" i="5"/>
  <c r="DU10" i="5"/>
  <c r="DU21" i="5" s="1"/>
  <c r="HA8" i="12"/>
  <c r="DN40" i="5"/>
  <c r="HB7" i="12"/>
  <c r="HA16" i="12"/>
  <c r="HA10" i="12"/>
  <c r="HA11" i="12"/>
  <c r="DT61" i="5"/>
  <c r="DT62" i="5"/>
  <c r="DO36" i="5"/>
  <c r="DU11" i="5"/>
  <c r="DV7" i="5"/>
  <c r="DV38" i="5" s="1"/>
  <c r="DW15" i="4"/>
  <c r="HB24" i="12" l="1"/>
  <c r="HB20" i="12"/>
  <c r="HB26" i="12"/>
  <c r="HB21" i="12"/>
  <c r="DU33" i="5"/>
  <c r="DV33" i="5" s="1"/>
  <c r="DT24" i="5"/>
  <c r="DT25" i="5"/>
  <c r="DN70" i="5"/>
  <c r="DU31" i="5"/>
  <c r="DU32" i="5"/>
  <c r="DT22" i="5"/>
  <c r="DT34" i="5"/>
  <c r="HB23" i="12"/>
  <c r="HB25" i="12"/>
  <c r="DU30" i="5"/>
  <c r="DV10" i="5"/>
  <c r="DV21" i="5" s="1"/>
  <c r="DO40" i="5"/>
  <c r="HC7" i="12"/>
  <c r="HB16" i="12"/>
  <c r="HB10" i="12"/>
  <c r="HB11" i="12"/>
  <c r="HB8" i="12"/>
  <c r="DU61" i="5"/>
  <c r="DU62" i="5"/>
  <c r="DP36" i="5"/>
  <c r="DQ36" i="5"/>
  <c r="DV11" i="5"/>
  <c r="DW7" i="5"/>
  <c r="DW38" i="5" s="1"/>
  <c r="DX15" i="4"/>
  <c r="HC24" i="12" l="1"/>
  <c r="HC26" i="12"/>
  <c r="HC20" i="12"/>
  <c r="HC21" i="12"/>
  <c r="DU24" i="5"/>
  <c r="DU25" i="5"/>
  <c r="DO70" i="5"/>
  <c r="DV31" i="5"/>
  <c r="DU34" i="5"/>
  <c r="HC23" i="12"/>
  <c r="HC25" i="12"/>
  <c r="DV32" i="5"/>
  <c r="N9" i="6"/>
  <c r="DV30" i="5"/>
  <c r="DT26" i="5"/>
  <c r="DS26" i="5"/>
  <c r="DU22" i="5"/>
  <c r="DW10" i="5"/>
  <c r="DW21" i="5" s="1"/>
  <c r="DP40" i="5"/>
  <c r="DQ40" i="5"/>
  <c r="HC8" i="12"/>
  <c r="HD7" i="12"/>
  <c r="HC16" i="12"/>
  <c r="HC10" i="12"/>
  <c r="HC11" i="12"/>
  <c r="DW11" i="5"/>
  <c r="DX7" i="5"/>
  <c r="DX38" i="5" s="1"/>
  <c r="DY15" i="4"/>
  <c r="DW33" i="5" l="1"/>
  <c r="HD24" i="12"/>
  <c r="HD26" i="12"/>
  <c r="HD20" i="12"/>
  <c r="HD21" i="12"/>
  <c r="DX33" i="5"/>
  <c r="N8" i="6"/>
  <c r="N13" i="6" s="1"/>
  <c r="DV25" i="5"/>
  <c r="DQ70" i="5"/>
  <c r="DP70" i="5"/>
  <c r="DW31" i="5"/>
  <c r="HD23" i="12"/>
  <c r="HD25" i="12"/>
  <c r="DV24" i="5"/>
  <c r="DW32" i="5"/>
  <c r="DV34" i="5"/>
  <c r="DV22" i="5"/>
  <c r="DW30" i="5"/>
  <c r="DX10" i="5"/>
  <c r="DX21" i="5" s="1"/>
  <c r="HD8" i="12"/>
  <c r="HE7" i="12"/>
  <c r="HD16" i="12"/>
  <c r="HD11" i="12"/>
  <c r="HD10" i="12"/>
  <c r="DW61" i="5"/>
  <c r="DW62" i="5"/>
  <c r="DR36" i="5"/>
  <c r="DX11" i="5"/>
  <c r="DY7" i="5"/>
  <c r="DY38" i="5" s="1"/>
  <c r="DZ15" i="4"/>
  <c r="HE24" i="12" l="1"/>
  <c r="HE26" i="12"/>
  <c r="HE20" i="12"/>
  <c r="HE21" i="12"/>
  <c r="N10" i="6"/>
  <c r="DW24" i="5"/>
  <c r="DW25" i="5"/>
  <c r="DX31" i="5"/>
  <c r="HE25" i="12"/>
  <c r="HE23" i="12"/>
  <c r="DW34" i="5"/>
  <c r="DX25" i="5"/>
  <c r="DX32" i="5"/>
  <c r="DX30" i="5"/>
  <c r="DU26" i="5"/>
  <c r="DV26" i="5"/>
  <c r="DW22" i="5"/>
  <c r="DY10" i="5"/>
  <c r="DY21" i="5" s="1"/>
  <c r="U20" i="6"/>
  <c r="DR40" i="5"/>
  <c r="HF7" i="12"/>
  <c r="HE10" i="12"/>
  <c r="HE16" i="12"/>
  <c r="HE11" i="12"/>
  <c r="HE8" i="12"/>
  <c r="DX62" i="5"/>
  <c r="DX61" i="5"/>
  <c r="DS36" i="5"/>
  <c r="DT36" i="5"/>
  <c r="DY11" i="5"/>
  <c r="DZ7" i="5"/>
  <c r="DZ38" i="5" s="1"/>
  <c r="EA15" i="4"/>
  <c r="DY33" i="5" l="1"/>
  <c r="HF24" i="12"/>
  <c r="HF26" i="12"/>
  <c r="HF21" i="12"/>
  <c r="HF20" i="12"/>
  <c r="DZ33" i="5"/>
  <c r="DR70" i="5"/>
  <c r="DY31" i="5"/>
  <c r="DX34" i="5"/>
  <c r="DX22" i="5"/>
  <c r="HF25" i="12"/>
  <c r="HF23" i="12"/>
  <c r="DX24" i="5"/>
  <c r="DY32" i="5"/>
  <c r="DY30" i="5"/>
  <c r="DZ10" i="5"/>
  <c r="DZ21" i="5" s="1"/>
  <c r="DT40" i="5"/>
  <c r="DS40" i="5"/>
  <c r="HF8" i="12"/>
  <c r="HG7" i="12"/>
  <c r="HF11" i="12"/>
  <c r="HF16" i="12"/>
  <c r="HF10" i="12"/>
  <c r="DY62" i="5"/>
  <c r="DY61" i="5"/>
  <c r="DZ11" i="5"/>
  <c r="EA7" i="5"/>
  <c r="EA38" i="5" s="1"/>
  <c r="EB15" i="4"/>
  <c r="HG24" i="12" l="1"/>
  <c r="HG26" i="12"/>
  <c r="HG21" i="12"/>
  <c r="HG20" i="12"/>
  <c r="DY24" i="5"/>
  <c r="DY25" i="5"/>
  <c r="DS70" i="5"/>
  <c r="DT70" i="5"/>
  <c r="DZ31" i="5"/>
  <c r="DY22" i="5"/>
  <c r="HG25" i="12"/>
  <c r="HG23" i="12"/>
  <c r="DY34" i="5"/>
  <c r="DZ32" i="5"/>
  <c r="DZ30" i="5"/>
  <c r="DX26" i="5"/>
  <c r="DW26" i="5"/>
  <c r="EA10" i="5"/>
  <c r="EA21" i="5" s="1"/>
  <c r="HG8" i="12"/>
  <c r="N12" i="6"/>
  <c r="N14" i="6" s="1"/>
  <c r="HH7" i="12"/>
  <c r="HG11" i="12"/>
  <c r="HG16" i="12"/>
  <c r="HG10" i="12"/>
  <c r="DZ61" i="5"/>
  <c r="DZ62" i="5"/>
  <c r="DU36" i="5"/>
  <c r="EA11" i="5"/>
  <c r="EB7" i="5"/>
  <c r="EB38" i="5" s="1"/>
  <c r="EC15" i="4"/>
  <c r="HH24" i="12" l="1"/>
  <c r="HH26" i="12"/>
  <c r="HH21" i="12"/>
  <c r="HH20" i="12"/>
  <c r="EA33" i="5"/>
  <c r="DZ24" i="5"/>
  <c r="DZ25" i="5"/>
  <c r="EA31" i="5"/>
  <c r="EA32" i="5"/>
  <c r="DZ34" i="5"/>
  <c r="HH25" i="12"/>
  <c r="HH23" i="12"/>
  <c r="EA25" i="5"/>
  <c r="EA30" i="5"/>
  <c r="DY26" i="5"/>
  <c r="DZ22" i="5"/>
  <c r="EB10" i="5"/>
  <c r="EB21" i="5" s="1"/>
  <c r="N22" i="6"/>
  <c r="DU40" i="5"/>
  <c r="HH8" i="12"/>
  <c r="HI7" i="12"/>
  <c r="HH11" i="12"/>
  <c r="HH16" i="12"/>
  <c r="HH10" i="12"/>
  <c r="EA62" i="5"/>
  <c r="EA61" i="5"/>
  <c r="DV36" i="5"/>
  <c r="EB11" i="5"/>
  <c r="EC7" i="5"/>
  <c r="EC38" i="5" s="1"/>
  <c r="ED15" i="4"/>
  <c r="EB33" i="5" l="1"/>
  <c r="HI24" i="12"/>
  <c r="HI26" i="12"/>
  <c r="HI20" i="12"/>
  <c r="HI21" i="12"/>
  <c r="M6" i="9"/>
  <c r="BK16" i="10" s="1"/>
  <c r="DU70" i="5"/>
  <c r="EA22" i="5"/>
  <c r="EB31" i="5"/>
  <c r="EA34" i="5"/>
  <c r="EA24" i="5"/>
  <c r="HI23" i="12"/>
  <c r="HI25" i="12"/>
  <c r="EB32" i="5"/>
  <c r="EB30" i="5"/>
  <c r="EC10" i="5"/>
  <c r="EC21" i="5" s="1"/>
  <c r="HI8" i="12"/>
  <c r="DV40" i="5"/>
  <c r="HJ7" i="12"/>
  <c r="HI10" i="12"/>
  <c r="HI11" i="12"/>
  <c r="HI16" i="12"/>
  <c r="EB62" i="5"/>
  <c r="EB61" i="5"/>
  <c r="DW36" i="5"/>
  <c r="EC11" i="5"/>
  <c r="ED7" i="5"/>
  <c r="ED38" i="5" s="1"/>
  <c r="EE15" i="4"/>
  <c r="EC33" i="5" l="1"/>
  <c r="HJ24" i="12"/>
  <c r="HJ20" i="12"/>
  <c r="HJ26" i="12"/>
  <c r="HJ21" i="12"/>
  <c r="EB24" i="5"/>
  <c r="EB25" i="5"/>
  <c r="EC31" i="5"/>
  <c r="EB34" i="5"/>
  <c r="HJ23" i="12"/>
  <c r="HJ25" i="12"/>
  <c r="EC25" i="5"/>
  <c r="EC32" i="5"/>
  <c r="EC30" i="5"/>
  <c r="EA26" i="5"/>
  <c r="DZ26" i="5"/>
  <c r="EB22" i="5"/>
  <c r="ED10" i="5"/>
  <c r="ED21" i="5" s="1"/>
  <c r="HJ8" i="12"/>
  <c r="DW40" i="5"/>
  <c r="HK7" i="12"/>
  <c r="HJ16" i="12"/>
  <c r="HJ11" i="12"/>
  <c r="HJ10" i="12"/>
  <c r="EC61" i="5"/>
  <c r="EC62" i="5"/>
  <c r="DX36" i="5"/>
  <c r="ED11" i="5"/>
  <c r="EE7" i="5"/>
  <c r="EE38" i="5" s="1"/>
  <c r="EF15" i="4"/>
  <c r="ED33" i="5" l="1"/>
  <c r="HK24" i="12"/>
  <c r="HK26" i="12"/>
  <c r="HK20" i="12"/>
  <c r="HK21" i="12"/>
  <c r="DW70" i="5"/>
  <c r="ED31" i="5"/>
  <c r="HK23" i="12"/>
  <c r="HK25" i="12"/>
  <c r="EC34" i="5"/>
  <c r="EC24" i="5"/>
  <c r="EC22" i="5"/>
  <c r="ED32" i="5"/>
  <c r="ED30" i="5"/>
  <c r="EE10" i="5"/>
  <c r="EE21" i="5" s="1"/>
  <c r="DX40" i="5"/>
  <c r="HK8" i="12"/>
  <c r="HL7" i="12"/>
  <c r="HK16" i="12"/>
  <c r="HK11" i="12"/>
  <c r="HK10" i="12"/>
  <c r="ED61" i="5"/>
  <c r="ED62" i="5"/>
  <c r="DY36" i="5"/>
  <c r="EE11" i="5"/>
  <c r="EF7" i="5"/>
  <c r="EF38" i="5" s="1"/>
  <c r="EG15" i="4"/>
  <c r="EE33" i="5" l="1"/>
  <c r="ED34" i="5"/>
  <c r="HL24" i="12"/>
  <c r="HL26" i="12"/>
  <c r="HL20" i="12"/>
  <c r="HL21" i="12"/>
  <c r="ED24" i="5"/>
  <c r="ED25" i="5"/>
  <c r="DX70" i="5"/>
  <c r="EE31" i="5"/>
  <c r="ED22" i="5"/>
  <c r="HL23" i="12"/>
  <c r="HL25" i="12"/>
  <c r="EE25" i="5"/>
  <c r="EE32" i="5"/>
  <c r="EE30" i="5"/>
  <c r="EC26" i="5"/>
  <c r="EB26" i="5"/>
  <c r="EF10" i="5"/>
  <c r="EF21" i="5" s="1"/>
  <c r="DY40" i="5"/>
  <c r="HM7" i="12"/>
  <c r="HL10" i="12"/>
  <c r="HL11" i="12"/>
  <c r="HL16" i="12"/>
  <c r="HL8" i="12"/>
  <c r="EE61" i="5"/>
  <c r="EE62" i="5"/>
  <c r="DZ36" i="5"/>
  <c r="EF11" i="5"/>
  <c r="EG7" i="5"/>
  <c r="EG38" i="5" s="1"/>
  <c r="O24" i="6" s="1"/>
  <c r="EH15" i="4"/>
  <c r="HM24" i="12" l="1"/>
  <c r="HM26" i="12"/>
  <c r="HM20" i="12"/>
  <c r="HM21" i="12"/>
  <c r="EF33" i="5"/>
  <c r="DY70" i="5"/>
  <c r="EF31" i="5"/>
  <c r="EE34" i="5"/>
  <c r="EE22" i="5"/>
  <c r="HM23" i="12"/>
  <c r="HM25" i="12"/>
  <c r="EE24" i="5"/>
  <c r="EF32" i="5"/>
  <c r="EF30" i="5"/>
  <c r="ED26" i="5"/>
  <c r="EG10" i="5"/>
  <c r="EG21" i="5" s="1"/>
  <c r="DZ40" i="5"/>
  <c r="HM8" i="12"/>
  <c r="HN7" i="12"/>
  <c r="HM16" i="12"/>
  <c r="HM10" i="12"/>
  <c r="HM11" i="12"/>
  <c r="EF61" i="5"/>
  <c r="EF62" i="5"/>
  <c r="EA36" i="5"/>
  <c r="EG11" i="5"/>
  <c r="EH7" i="5"/>
  <c r="EH38" i="5" s="1"/>
  <c r="EI15" i="4"/>
  <c r="EG33" i="5" l="1"/>
  <c r="HN24" i="12"/>
  <c r="HN26" i="12"/>
  <c r="HN21" i="12"/>
  <c r="HN20" i="12"/>
  <c r="EH33" i="5"/>
  <c r="EF24" i="5"/>
  <c r="EF25" i="5"/>
  <c r="DZ70" i="5"/>
  <c r="EG31" i="5"/>
  <c r="HN25" i="12"/>
  <c r="HN23" i="12"/>
  <c r="EF34" i="5"/>
  <c r="EG32" i="5"/>
  <c r="EG30" i="5"/>
  <c r="EE26" i="5"/>
  <c r="EF22" i="5"/>
  <c r="EH10" i="5"/>
  <c r="EH21" i="5" s="1"/>
  <c r="EA40" i="5"/>
  <c r="HN8" i="12"/>
  <c r="HO7" i="12"/>
  <c r="HN11" i="12"/>
  <c r="HN16" i="12"/>
  <c r="HN10" i="12"/>
  <c r="EG62" i="5"/>
  <c r="EG61" i="5"/>
  <c r="EB36" i="5"/>
  <c r="EC36" i="5"/>
  <c r="EH11" i="5"/>
  <c r="EI7" i="5"/>
  <c r="EI38" i="5" s="1"/>
  <c r="EJ15" i="4"/>
  <c r="HO24" i="12" l="1"/>
  <c r="HO26" i="12"/>
  <c r="HO20" i="12"/>
  <c r="HO21" i="12"/>
  <c r="EG24" i="5"/>
  <c r="EG25" i="5"/>
  <c r="EA70" i="5"/>
  <c r="EH31" i="5"/>
  <c r="EG22" i="5"/>
  <c r="EG34" i="5"/>
  <c r="HO25" i="12"/>
  <c r="HO23" i="12"/>
  <c r="EH32" i="5"/>
  <c r="EH30" i="5"/>
  <c r="O9" i="6"/>
  <c r="EI10" i="5"/>
  <c r="EI21" i="5" s="1"/>
  <c r="EC40" i="5"/>
  <c r="EB40" i="5"/>
  <c r="HP7" i="12"/>
  <c r="HO11" i="12"/>
  <c r="HO16" i="12"/>
  <c r="HO10" i="12"/>
  <c r="HO8" i="12"/>
  <c r="EH62" i="5"/>
  <c r="EH61" i="5"/>
  <c r="EI11" i="5"/>
  <c r="EJ7" i="5"/>
  <c r="EJ38" i="5" s="1"/>
  <c r="EK15" i="4"/>
  <c r="EI33" i="5" l="1"/>
  <c r="HP24" i="12"/>
  <c r="HP26" i="12"/>
  <c r="HP20" i="12"/>
  <c r="HP21" i="12"/>
  <c r="O8" i="6"/>
  <c r="O13" i="6" s="1"/>
  <c r="EH25" i="5"/>
  <c r="EB70" i="5"/>
  <c r="EC70" i="5"/>
  <c r="EI31" i="5"/>
  <c r="EH34" i="5"/>
  <c r="EH24" i="5"/>
  <c r="HP25" i="12"/>
  <c r="HP23" i="12"/>
  <c r="EI32" i="5"/>
  <c r="EH22" i="5"/>
  <c r="EI30" i="5"/>
  <c r="EF26" i="5"/>
  <c r="EG26" i="5"/>
  <c r="EJ10" i="5"/>
  <c r="EJ21" i="5" s="1"/>
  <c r="HP8" i="12"/>
  <c r="HQ7" i="12"/>
  <c r="HP11" i="12"/>
  <c r="HP10" i="12"/>
  <c r="HP16" i="12"/>
  <c r="EI62" i="5"/>
  <c r="EI61" i="5"/>
  <c r="ED36" i="5"/>
  <c r="EJ11" i="5"/>
  <c r="EK7" i="5"/>
  <c r="EK38" i="5" s="1"/>
  <c r="EL15" i="4"/>
  <c r="EJ33" i="5" l="1"/>
  <c r="HQ24" i="12"/>
  <c r="HQ26" i="12"/>
  <c r="HQ20" i="12"/>
  <c r="HQ21" i="12"/>
  <c r="O10" i="6"/>
  <c r="EI24" i="5"/>
  <c r="EI25" i="5"/>
  <c r="EJ31" i="5"/>
  <c r="HQ25" i="12"/>
  <c r="HQ23" i="12"/>
  <c r="EI34" i="5"/>
  <c r="EJ32" i="5"/>
  <c r="EJ30" i="5"/>
  <c r="EH26" i="5"/>
  <c r="EI22" i="5"/>
  <c r="EK10" i="5"/>
  <c r="EK21" i="5" s="1"/>
  <c r="V20" i="6"/>
  <c r="ED40" i="5"/>
  <c r="EE36" i="5"/>
  <c r="HR7" i="12"/>
  <c r="HQ16" i="12"/>
  <c r="HQ10" i="12"/>
  <c r="HQ11" i="12"/>
  <c r="HQ8" i="12"/>
  <c r="EJ62" i="5"/>
  <c r="EJ61" i="5"/>
  <c r="EK11" i="5"/>
  <c r="EL7" i="5"/>
  <c r="EL38" i="5" s="1"/>
  <c r="EM15" i="4"/>
  <c r="HR24" i="12" l="1"/>
  <c r="HR20" i="12"/>
  <c r="HR26" i="12"/>
  <c r="HR21" i="12"/>
  <c r="EK33" i="5"/>
  <c r="EL33" i="5" s="1"/>
  <c r="EJ24" i="5"/>
  <c r="EJ25" i="5"/>
  <c r="ED70" i="5"/>
  <c r="EK31" i="5"/>
  <c r="EJ34" i="5"/>
  <c r="HR23" i="12"/>
  <c r="HR25" i="12"/>
  <c r="EK32" i="5"/>
  <c r="EJ22" i="5"/>
  <c r="EK30" i="5"/>
  <c r="EL10" i="5"/>
  <c r="EL21" i="5" s="1"/>
  <c r="EE40" i="5"/>
  <c r="HS7" i="12"/>
  <c r="HR16" i="12"/>
  <c r="HR10" i="12"/>
  <c r="HR11" i="12"/>
  <c r="HR8" i="12"/>
  <c r="EK61" i="5"/>
  <c r="EK62" i="5"/>
  <c r="EF36" i="5"/>
  <c r="EL11" i="5"/>
  <c r="EM7" i="5"/>
  <c r="EM38" i="5" s="1"/>
  <c r="EN15" i="4"/>
  <c r="HS24" i="12" l="1"/>
  <c r="HS26" i="12"/>
  <c r="HS20" i="12"/>
  <c r="HS21" i="12"/>
  <c r="EK24" i="5"/>
  <c r="EK25" i="5"/>
  <c r="EE70" i="5"/>
  <c r="EL31" i="5"/>
  <c r="EK34" i="5"/>
  <c r="EK22" i="5"/>
  <c r="HS23" i="12"/>
  <c r="HS25" i="12"/>
  <c r="EL32" i="5"/>
  <c r="EL30" i="5"/>
  <c r="EJ26" i="5"/>
  <c r="EI26" i="5"/>
  <c r="EM10" i="5"/>
  <c r="EM21" i="5" s="1"/>
  <c r="O12" i="6"/>
  <c r="O14" i="6" s="1"/>
  <c r="EF40" i="5"/>
  <c r="HS8" i="12"/>
  <c r="HT7" i="12"/>
  <c r="HS16" i="12"/>
  <c r="HS10" i="12"/>
  <c r="HS11" i="12"/>
  <c r="EL61" i="5"/>
  <c r="EL62" i="5"/>
  <c r="EG36" i="5"/>
  <c r="EM11" i="5"/>
  <c r="EN7" i="5"/>
  <c r="EN38" i="5" s="1"/>
  <c r="EO15" i="4"/>
  <c r="HT24" i="12" l="1"/>
  <c r="HT20" i="12"/>
  <c r="HT26" i="12"/>
  <c r="HT21" i="12"/>
  <c r="EM33" i="5"/>
  <c r="EL24" i="5"/>
  <c r="EL25" i="5"/>
  <c r="EF70" i="5"/>
  <c r="EM31" i="5"/>
  <c r="HT23" i="12"/>
  <c r="HT25" i="12"/>
  <c r="EL34" i="5"/>
  <c r="EM32" i="5"/>
  <c r="EM30" i="5"/>
  <c r="EK26" i="5"/>
  <c r="EL22" i="5"/>
  <c r="EN10" i="5"/>
  <c r="EN21" i="5" s="1"/>
  <c r="O22" i="6"/>
  <c r="EG40" i="5"/>
  <c r="HT8" i="12"/>
  <c r="HU7" i="12"/>
  <c r="HT16" i="12"/>
  <c r="HT10" i="12"/>
  <c r="HT11" i="12"/>
  <c r="EM61" i="5"/>
  <c r="EM62" i="5"/>
  <c r="EH36" i="5"/>
  <c r="EN11" i="5"/>
  <c r="EO7" i="5"/>
  <c r="EO38" i="5" s="1"/>
  <c r="EP15" i="4"/>
  <c r="EN33" i="5" l="1"/>
  <c r="HU24" i="12"/>
  <c r="HU20" i="12"/>
  <c r="HU26" i="12"/>
  <c r="HU21" i="12"/>
  <c r="O26" i="6"/>
  <c r="N4" i="9" s="1"/>
  <c r="N6" i="9"/>
  <c r="BL16" i="10" s="1"/>
  <c r="EM24" i="5"/>
  <c r="EM25" i="5"/>
  <c r="EG70" i="5"/>
  <c r="EN31" i="5"/>
  <c r="EM34" i="5"/>
  <c r="HU25" i="12"/>
  <c r="HU23" i="12"/>
  <c r="EM22" i="5"/>
  <c r="EN32" i="5"/>
  <c r="EN30" i="5"/>
  <c r="EO10" i="5"/>
  <c r="EO21" i="5" s="1"/>
  <c r="HU8" i="12"/>
  <c r="EH40" i="5"/>
  <c r="HV7" i="12"/>
  <c r="HU11" i="12"/>
  <c r="HU16" i="12"/>
  <c r="HU10" i="12"/>
  <c r="EN61" i="5"/>
  <c r="EN62" i="5"/>
  <c r="EI36" i="5"/>
  <c r="EO11" i="5"/>
  <c r="EP7" i="5"/>
  <c r="EP38" i="5" s="1"/>
  <c r="EQ15" i="4"/>
  <c r="EO33" i="5" l="1"/>
  <c r="HV24" i="12"/>
  <c r="HV20" i="12"/>
  <c r="HV21" i="12"/>
  <c r="HV26" i="12"/>
  <c r="O38" i="6"/>
  <c r="N9" i="9" s="1"/>
  <c r="EN24" i="5"/>
  <c r="EN25" i="5"/>
  <c r="EH70" i="5"/>
  <c r="EO31" i="5"/>
  <c r="EN34" i="5"/>
  <c r="HV25" i="12"/>
  <c r="HV23" i="12"/>
  <c r="EO32" i="5"/>
  <c r="EO30" i="5"/>
  <c r="EM26" i="5"/>
  <c r="EL26" i="5"/>
  <c r="EN22" i="5"/>
  <c r="EP10" i="5"/>
  <c r="EP21" i="5" s="1"/>
  <c r="EI40" i="5"/>
  <c r="EJ36" i="5"/>
  <c r="HW7" i="12"/>
  <c r="HV11" i="12"/>
  <c r="HV16" i="12"/>
  <c r="HV10" i="12"/>
  <c r="HV8" i="12"/>
  <c r="EO62" i="5"/>
  <c r="EO61" i="5"/>
  <c r="EP11" i="5"/>
  <c r="EQ7" i="5"/>
  <c r="EQ38" i="5" s="1"/>
  <c r="ER15" i="4"/>
  <c r="HW24" i="12" l="1"/>
  <c r="HW26" i="12"/>
  <c r="HW20" i="12"/>
  <c r="HW21" i="12"/>
  <c r="EP33" i="5"/>
  <c r="EO24" i="5"/>
  <c r="EO25" i="5"/>
  <c r="EI70" i="5"/>
  <c r="EP31" i="5"/>
  <c r="EP32" i="5"/>
  <c r="HW25" i="12"/>
  <c r="HW23" i="12"/>
  <c r="EO34" i="5"/>
  <c r="EO22" i="5"/>
  <c r="EP30" i="5"/>
  <c r="EQ10" i="5"/>
  <c r="EQ21" i="5" s="1"/>
  <c r="EJ40" i="5"/>
  <c r="EK36" i="5"/>
  <c r="HW8" i="12"/>
  <c r="HX7" i="12"/>
  <c r="HW16" i="12"/>
  <c r="HW11" i="12"/>
  <c r="HW10" i="12"/>
  <c r="EP61" i="5"/>
  <c r="EP62" i="5"/>
  <c r="EQ11" i="5"/>
  <c r="ER7" i="5"/>
  <c r="ER38" i="5" s="1"/>
  <c r="ES15" i="4"/>
  <c r="EQ33" i="5" l="1"/>
  <c r="HX24" i="12"/>
  <c r="HX26" i="12"/>
  <c r="HX21" i="12"/>
  <c r="HX20" i="12"/>
  <c r="ER33" i="5"/>
  <c r="EP34" i="5"/>
  <c r="EP24" i="5"/>
  <c r="EP25" i="5"/>
  <c r="EJ70" i="5"/>
  <c r="EQ31" i="5"/>
  <c r="EP22" i="5"/>
  <c r="HX23" i="12"/>
  <c r="HX25" i="12"/>
  <c r="EQ32" i="5"/>
  <c r="EQ30" i="5"/>
  <c r="EO26" i="5"/>
  <c r="EN26" i="5"/>
  <c r="ER10" i="5"/>
  <c r="ER21" i="5" s="1"/>
  <c r="EK40" i="5"/>
  <c r="HY7" i="12"/>
  <c r="HX16" i="12"/>
  <c r="HX11" i="12"/>
  <c r="HX10" i="12"/>
  <c r="HX8" i="12"/>
  <c r="EQ62" i="5"/>
  <c r="EQ61" i="5"/>
  <c r="EL36" i="5"/>
  <c r="ER11" i="5"/>
  <c r="ES7" i="5"/>
  <c r="ES38" i="5" s="1"/>
  <c r="P24" i="6" s="1"/>
  <c r="ET15" i="4"/>
  <c r="HY24" i="12" l="1"/>
  <c r="HY26" i="12"/>
  <c r="HY20" i="12"/>
  <c r="HY21" i="12"/>
  <c r="ES33" i="5"/>
  <c r="EQ24" i="5"/>
  <c r="EQ25" i="5"/>
  <c r="EK70" i="5"/>
  <c r="ER31" i="5"/>
  <c r="HY23" i="12"/>
  <c r="HY25" i="12"/>
  <c r="EQ34" i="5"/>
  <c r="ER32" i="5"/>
  <c r="ER30" i="5"/>
  <c r="EP26" i="5"/>
  <c r="EQ22" i="5"/>
  <c r="ES10" i="5"/>
  <c r="ES21" i="5" s="1"/>
  <c r="EL40" i="5"/>
  <c r="HY8" i="12"/>
  <c r="HZ7" i="12"/>
  <c r="HY16" i="12"/>
  <c r="HY11" i="12"/>
  <c r="HY10" i="12"/>
  <c r="ER62" i="5"/>
  <c r="ER61" i="5"/>
  <c r="EM36" i="5"/>
  <c r="ES11" i="5"/>
  <c r="ET7" i="5"/>
  <c r="ET38" i="5" s="1"/>
  <c r="EU15" i="4"/>
  <c r="HZ24" i="12" l="1"/>
  <c r="HZ20" i="12"/>
  <c r="HZ26" i="12"/>
  <c r="HZ21" i="12"/>
  <c r="ER24" i="5"/>
  <c r="ER25" i="5"/>
  <c r="EL70" i="5"/>
  <c r="ES31" i="5"/>
  <c r="ER34" i="5"/>
  <c r="ER22" i="5"/>
  <c r="HZ23" i="12"/>
  <c r="HZ25" i="12"/>
  <c r="ES32" i="5"/>
  <c r="ES30" i="5"/>
  <c r="ET10" i="5"/>
  <c r="ET21" i="5" s="1"/>
  <c r="EN36" i="5"/>
  <c r="EN40" i="5" s="1"/>
  <c r="EM40" i="5"/>
  <c r="HZ8" i="12"/>
  <c r="IA7" i="12"/>
  <c r="HZ16" i="12"/>
  <c r="HZ10" i="12"/>
  <c r="HZ11" i="12"/>
  <c r="ES61" i="5"/>
  <c r="ES62" i="5"/>
  <c r="ET11" i="5"/>
  <c r="EU7" i="5"/>
  <c r="EU38" i="5" s="1"/>
  <c r="EV15" i="4"/>
  <c r="ET33" i="5" l="1"/>
  <c r="IA24" i="12"/>
  <c r="IA26" i="12"/>
  <c r="IA20" i="12"/>
  <c r="IA21" i="12"/>
  <c r="ES24" i="5"/>
  <c r="ES25" i="5"/>
  <c r="EM70" i="5"/>
  <c r="EN70" i="5"/>
  <c r="ES34" i="5"/>
  <c r="ET31" i="5"/>
  <c r="IA23" i="12"/>
  <c r="IA25" i="12"/>
  <c r="ET32" i="5"/>
  <c r="P9" i="6"/>
  <c r="ET30" i="5"/>
  <c r="ER26" i="5"/>
  <c r="EQ26" i="5"/>
  <c r="ES22" i="5"/>
  <c r="EU10" i="5"/>
  <c r="EU21" i="5" s="1"/>
  <c r="IA8" i="12"/>
  <c r="IB7" i="12"/>
  <c r="IA16" i="12"/>
  <c r="IA10" i="12"/>
  <c r="IA11" i="12"/>
  <c r="EO36" i="5"/>
  <c r="EU11" i="5"/>
  <c r="EV7" i="5"/>
  <c r="EV38" i="5" s="1"/>
  <c r="EW15" i="4"/>
  <c r="IB24" i="12" l="1"/>
  <c r="IB26" i="12"/>
  <c r="IB20" i="12"/>
  <c r="IB21" i="12"/>
  <c r="EU33" i="5"/>
  <c r="EV33" i="5" s="1"/>
  <c r="ET24" i="5"/>
  <c r="ET25" i="5"/>
  <c r="EU31" i="5"/>
  <c r="P8" i="6"/>
  <c r="IB23" i="12"/>
  <c r="IB25" i="12"/>
  <c r="EU32" i="5"/>
  <c r="ET22" i="5"/>
  <c r="EU30" i="5"/>
  <c r="ET34" i="5"/>
  <c r="EV10" i="5"/>
  <c r="EV21" i="5" s="1"/>
  <c r="IB8" i="12"/>
  <c r="EO40" i="5"/>
  <c r="IC7" i="12"/>
  <c r="IB10" i="12"/>
  <c r="IB16" i="12"/>
  <c r="IB11" i="12"/>
  <c r="EU61" i="5"/>
  <c r="EU62" i="5"/>
  <c r="EP36" i="5"/>
  <c r="EV11" i="5"/>
  <c r="EW7" i="5"/>
  <c r="EW38" i="5" s="1"/>
  <c r="EX15" i="4"/>
  <c r="IC24" i="12" l="1"/>
  <c r="IC26" i="12"/>
  <c r="IC20" i="12"/>
  <c r="IC21" i="12"/>
  <c r="P10" i="6"/>
  <c r="P13" i="6"/>
  <c r="EU24" i="5"/>
  <c r="EU25" i="5"/>
  <c r="EO70" i="5"/>
  <c r="EV31" i="5"/>
  <c r="IC23" i="12"/>
  <c r="IC25" i="12"/>
  <c r="EU34" i="5"/>
  <c r="EV32" i="5"/>
  <c r="EV30" i="5"/>
  <c r="ET26" i="5"/>
  <c r="ES26" i="5"/>
  <c r="EU22" i="5"/>
  <c r="EW10" i="5"/>
  <c r="EW21" i="5" s="1"/>
  <c r="W20" i="6"/>
  <c r="EP40" i="5"/>
  <c r="ID7" i="12"/>
  <c r="IC16" i="12"/>
  <c r="IC10" i="12"/>
  <c r="IC11" i="12"/>
  <c r="IC8" i="12"/>
  <c r="EV61" i="5"/>
  <c r="EV62" i="5"/>
  <c r="EQ36" i="5"/>
  <c r="EW11" i="5"/>
  <c r="EX7" i="5"/>
  <c r="EX38" i="5" s="1"/>
  <c r="EY15" i="4"/>
  <c r="EW33" i="5" l="1"/>
  <c r="ID24" i="12"/>
  <c r="ID26" i="12"/>
  <c r="ID20" i="12"/>
  <c r="ID21" i="12"/>
  <c r="EV24" i="5"/>
  <c r="EV25" i="5"/>
  <c r="EP70" i="5"/>
  <c r="EW31" i="5"/>
  <c r="EV34" i="5"/>
  <c r="ID25" i="12"/>
  <c r="ID23" i="12"/>
  <c r="EV22" i="5"/>
  <c r="EW32" i="5"/>
  <c r="EW30" i="5"/>
  <c r="EX10" i="5"/>
  <c r="EX21" i="5" s="1"/>
  <c r="ID8" i="12"/>
  <c r="EQ40" i="5"/>
  <c r="IE7" i="12"/>
  <c r="ID11" i="12"/>
  <c r="ID16" i="12"/>
  <c r="ID10" i="12"/>
  <c r="EW61" i="5"/>
  <c r="EW62" i="5"/>
  <c r="ER36" i="5"/>
  <c r="P12" i="6"/>
  <c r="P14" i="6" s="1"/>
  <c r="EX11" i="5"/>
  <c r="EY7" i="5"/>
  <c r="EY38" i="5" s="1"/>
  <c r="EZ15" i="4"/>
  <c r="IE24" i="12" l="1"/>
  <c r="IE26" i="12"/>
  <c r="IE20" i="12"/>
  <c r="IE21" i="12"/>
  <c r="EX33" i="5"/>
  <c r="EY33" i="5" s="1"/>
  <c r="EW24" i="5"/>
  <c r="EW25" i="5"/>
  <c r="EQ70" i="5"/>
  <c r="EX31" i="5"/>
  <c r="IE25" i="12"/>
  <c r="IE23" i="12"/>
  <c r="EW34" i="5"/>
  <c r="EX32" i="5"/>
  <c r="EX30" i="5"/>
  <c r="EV26" i="5"/>
  <c r="EU26" i="5"/>
  <c r="EW22" i="5"/>
  <c r="EY10" i="5"/>
  <c r="EY21" i="5" s="1"/>
  <c r="ER40" i="5"/>
  <c r="IF7" i="12"/>
  <c r="IE11" i="12"/>
  <c r="IE10" i="12"/>
  <c r="IE16" i="12"/>
  <c r="IE8" i="12"/>
  <c r="EX62" i="5"/>
  <c r="EX61" i="5"/>
  <c r="ES36" i="5"/>
  <c r="P22" i="6"/>
  <c r="EY11" i="5"/>
  <c r="EZ7" i="5"/>
  <c r="EZ38" i="5" s="1"/>
  <c r="FA15" i="4"/>
  <c r="IF24" i="12" l="1"/>
  <c r="IF26" i="12"/>
  <c r="IF20" i="12"/>
  <c r="IF21" i="12"/>
  <c r="P26" i="6"/>
  <c r="P38" i="6" s="1"/>
  <c r="O9" i="9" s="1"/>
  <c r="O6" i="9"/>
  <c r="BM16" i="10" s="1"/>
  <c r="EX24" i="5"/>
  <c r="EX25" i="5"/>
  <c r="ER70" i="5"/>
  <c r="EY31" i="5"/>
  <c r="IF25" i="12"/>
  <c r="IF23" i="12"/>
  <c r="EX34" i="5"/>
  <c r="EY25" i="5"/>
  <c r="EY32" i="5"/>
  <c r="EX22" i="5"/>
  <c r="EY30" i="5"/>
  <c r="EZ10" i="5"/>
  <c r="EZ21" i="5" s="1"/>
  <c r="IF8" i="12"/>
  <c r="ES40" i="5"/>
  <c r="IG7" i="12"/>
  <c r="IF11" i="12"/>
  <c r="IF16" i="12"/>
  <c r="IF10" i="12"/>
  <c r="EY62" i="5"/>
  <c r="EY61" i="5"/>
  <c r="ET36" i="5"/>
  <c r="EZ11" i="5"/>
  <c r="FA7" i="5"/>
  <c r="FA38" i="5" s="1"/>
  <c r="FB15" i="4"/>
  <c r="EZ33" i="5" l="1"/>
  <c r="FA33" i="5" s="1"/>
  <c r="IG24" i="12"/>
  <c r="IG26" i="12"/>
  <c r="IG20" i="12"/>
  <c r="IG21" i="12"/>
  <c r="ES70" i="5"/>
  <c r="EZ31" i="5"/>
  <c r="EY34" i="5"/>
  <c r="EY22" i="5"/>
  <c r="IG25" i="12"/>
  <c r="IG23" i="12"/>
  <c r="EY24" i="5"/>
  <c r="EZ32" i="5"/>
  <c r="EZ30" i="5"/>
  <c r="EX26" i="5"/>
  <c r="EW26" i="5"/>
  <c r="FA10" i="5"/>
  <c r="FA21" i="5" s="1"/>
  <c r="ET40" i="5"/>
  <c r="IH7" i="12"/>
  <c r="IG16" i="12"/>
  <c r="IG11" i="12"/>
  <c r="IG10" i="12"/>
  <c r="IG8" i="12"/>
  <c r="EZ62" i="5"/>
  <c r="EZ61" i="5"/>
  <c r="EU36" i="5"/>
  <c r="FA11" i="5"/>
  <c r="FB7" i="5"/>
  <c r="FB38" i="5" s="1"/>
  <c r="FC15" i="4"/>
  <c r="IH24" i="12" l="1"/>
  <c r="IH20" i="12"/>
  <c r="IH26" i="12"/>
  <c r="IH21" i="12"/>
  <c r="EZ24" i="5"/>
  <c r="EZ25" i="5"/>
  <c r="FA31" i="5"/>
  <c r="IH23" i="12"/>
  <c r="IH25" i="12"/>
  <c r="FA32" i="5"/>
  <c r="EZ22" i="5"/>
  <c r="FA30" i="5"/>
  <c r="EZ34" i="5"/>
  <c r="EY26" i="5"/>
  <c r="FB10" i="5"/>
  <c r="FB21" i="5" s="1"/>
  <c r="EU40" i="5"/>
  <c r="IH8" i="12"/>
  <c r="II7" i="12"/>
  <c r="IH16" i="12"/>
  <c r="IH10" i="12"/>
  <c r="IH11" i="12"/>
  <c r="FA61" i="5"/>
  <c r="FA62" i="5"/>
  <c r="EV36" i="5"/>
  <c r="FB11" i="5"/>
  <c r="FC7" i="5"/>
  <c r="FC38" i="5" s="1"/>
  <c r="FD15" i="4"/>
  <c r="II24" i="12" l="1"/>
  <c r="II26" i="12"/>
  <c r="II20" i="12"/>
  <c r="II21" i="12"/>
  <c r="FB33" i="5"/>
  <c r="FC33" i="5" s="1"/>
  <c r="FA24" i="5"/>
  <c r="FA25" i="5"/>
  <c r="EU70" i="5"/>
  <c r="FB31" i="5"/>
  <c r="FB32" i="5"/>
  <c r="II23" i="12"/>
  <c r="II25" i="12"/>
  <c r="FA34" i="5"/>
  <c r="FB30" i="5"/>
  <c r="EZ26" i="5"/>
  <c r="FA22" i="5"/>
  <c r="FC10" i="5"/>
  <c r="FC21" i="5" s="1"/>
  <c r="EV40" i="5"/>
  <c r="IJ7" i="12"/>
  <c r="II16" i="12"/>
  <c r="II11" i="12"/>
  <c r="II10" i="12"/>
  <c r="II8" i="12"/>
  <c r="FB61" i="5"/>
  <c r="FB62" i="5"/>
  <c r="EW36" i="5"/>
  <c r="FC11" i="5"/>
  <c r="FD7" i="5"/>
  <c r="FD38" i="5" s="1"/>
  <c r="FE15" i="4"/>
  <c r="IJ24" i="12" l="1"/>
  <c r="IJ26" i="12"/>
  <c r="IJ20" i="12"/>
  <c r="IJ21" i="12"/>
  <c r="FB24" i="5"/>
  <c r="FB25" i="5"/>
  <c r="EV70" i="5"/>
  <c r="FB34" i="5"/>
  <c r="FC31" i="5"/>
  <c r="FB22" i="5"/>
  <c r="IJ23" i="12"/>
  <c r="IJ25" i="12"/>
  <c r="FC32" i="5"/>
  <c r="FC30" i="5"/>
  <c r="FD10" i="5"/>
  <c r="FD21" i="5" s="1"/>
  <c r="IJ8" i="12"/>
  <c r="EW40" i="5"/>
  <c r="IK7" i="12"/>
  <c r="IJ16" i="12"/>
  <c r="IJ11" i="12"/>
  <c r="IJ10" i="12"/>
  <c r="FC61" i="5"/>
  <c r="FC62" i="5"/>
  <c r="EX36" i="5"/>
  <c r="FD11" i="5"/>
  <c r="FE7" i="5"/>
  <c r="FE38" i="5" s="1"/>
  <c r="Q24" i="6" s="1"/>
  <c r="FF15" i="4"/>
  <c r="IK24" i="12" l="1"/>
  <c r="IK26" i="12"/>
  <c r="IK20" i="12"/>
  <c r="IK21" i="12"/>
  <c r="FD33" i="5"/>
  <c r="FC24" i="5"/>
  <c r="FC25" i="5"/>
  <c r="EW70" i="5"/>
  <c r="FD31" i="5"/>
  <c r="IK23" i="12"/>
  <c r="IK25" i="12"/>
  <c r="FC34" i="5"/>
  <c r="FD32" i="5"/>
  <c r="FD30" i="5"/>
  <c r="FB26" i="5"/>
  <c r="FA26" i="5"/>
  <c r="FC22" i="5"/>
  <c r="FE10" i="5"/>
  <c r="FE21" i="5" s="1"/>
  <c r="EX40" i="5"/>
  <c r="IL7" i="12"/>
  <c r="IK16" i="12"/>
  <c r="IK11" i="12"/>
  <c r="IK10" i="12"/>
  <c r="IK8" i="12"/>
  <c r="FD61" i="5"/>
  <c r="FD62" i="5"/>
  <c r="EY36" i="5"/>
  <c r="FE11" i="5"/>
  <c r="FF7" i="5"/>
  <c r="FF38" i="5" s="1"/>
  <c r="FG15" i="4"/>
  <c r="FE33" i="5" l="1"/>
  <c r="IL24" i="12"/>
  <c r="IL26" i="12"/>
  <c r="IL21" i="12"/>
  <c r="IL20" i="12"/>
  <c r="FF33" i="5"/>
  <c r="FD24" i="5"/>
  <c r="FD25" i="5"/>
  <c r="EX70" i="5"/>
  <c r="FE31" i="5"/>
  <c r="FE32" i="5"/>
  <c r="FD34" i="5"/>
  <c r="IL23" i="12"/>
  <c r="IL25" i="12"/>
  <c r="FE25" i="5"/>
  <c r="FD22" i="5"/>
  <c r="FE30" i="5"/>
  <c r="FF10" i="5"/>
  <c r="FF21" i="5" s="1"/>
  <c r="IM7" i="12"/>
  <c r="EY40" i="5"/>
  <c r="IL8" i="12"/>
  <c r="IL11" i="12"/>
  <c r="IL16" i="12"/>
  <c r="IL10" i="12"/>
  <c r="FE61" i="5"/>
  <c r="FE62" i="5"/>
  <c r="EZ36" i="5"/>
  <c r="FF11" i="5"/>
  <c r="FG7" i="5"/>
  <c r="FG38" i="5" s="1"/>
  <c r="FH15" i="4"/>
  <c r="IM24" i="12" l="1"/>
  <c r="IM26" i="12"/>
  <c r="IM21" i="12"/>
  <c r="IM20" i="12"/>
  <c r="EY70" i="5"/>
  <c r="FF31" i="5"/>
  <c r="FE34" i="5"/>
  <c r="FE22" i="5"/>
  <c r="IM23" i="12"/>
  <c r="IM25" i="12"/>
  <c r="FF32" i="5"/>
  <c r="FF25" i="5"/>
  <c r="FE24" i="5"/>
  <c r="FF30" i="5"/>
  <c r="FD26" i="5"/>
  <c r="FC26" i="5"/>
  <c r="FG10" i="5"/>
  <c r="FG21" i="5" s="1"/>
  <c r="Q9" i="6"/>
  <c r="IM8" i="12"/>
  <c r="IM10" i="12"/>
  <c r="IM16" i="12"/>
  <c r="IM11" i="12"/>
  <c r="IN7" i="12"/>
  <c r="FA36" i="5"/>
  <c r="FA40" i="5" s="1"/>
  <c r="EZ40" i="5"/>
  <c r="FF61" i="5"/>
  <c r="FF62" i="5"/>
  <c r="FG11" i="5"/>
  <c r="FH7" i="5"/>
  <c r="FH38" i="5" s="1"/>
  <c r="FI15" i="4"/>
  <c r="FG33" i="5" l="1"/>
  <c r="IN24" i="12"/>
  <c r="IN26" i="12"/>
  <c r="IN21" i="12"/>
  <c r="IN20" i="12"/>
  <c r="FA70" i="5"/>
  <c r="EZ70" i="5"/>
  <c r="FG31" i="5"/>
  <c r="FF34" i="5"/>
  <c r="Q8" i="6"/>
  <c r="FF24" i="5"/>
  <c r="IN23" i="12"/>
  <c r="IN25" i="12"/>
  <c r="FG32" i="5"/>
  <c r="FG30" i="5"/>
  <c r="FE26" i="5"/>
  <c r="FF22" i="5"/>
  <c r="FH10" i="5"/>
  <c r="FH21" i="5" s="1"/>
  <c r="IO7" i="12"/>
  <c r="IN10" i="12"/>
  <c r="IN8" i="12"/>
  <c r="IN11" i="12"/>
  <c r="IN16" i="12"/>
  <c r="FG62" i="5"/>
  <c r="FG61" i="5"/>
  <c r="FB36" i="5"/>
  <c r="FH11" i="5"/>
  <c r="FI7" i="5"/>
  <c r="FI38" i="5" s="1"/>
  <c r="FJ15" i="4"/>
  <c r="IO24" i="12" l="1"/>
  <c r="IO26" i="12"/>
  <c r="IO20" i="12"/>
  <c r="IO21" i="12"/>
  <c r="FH33" i="5"/>
  <c r="Q10" i="6"/>
  <c r="Q13" i="6"/>
  <c r="FG24" i="5"/>
  <c r="FG25" i="5"/>
  <c r="FG34" i="5"/>
  <c r="FH31" i="5"/>
  <c r="IO23" i="12"/>
  <c r="IO25" i="12"/>
  <c r="FH32" i="5"/>
  <c r="FG22" i="5"/>
  <c r="FH30" i="5"/>
  <c r="FI10" i="5"/>
  <c r="FI21" i="5" s="1"/>
  <c r="IO11" i="12"/>
  <c r="IO10" i="12"/>
  <c r="X20" i="6"/>
  <c r="IO16" i="12"/>
  <c r="IO8" i="12"/>
  <c r="IP7" i="12"/>
  <c r="FB40" i="5"/>
  <c r="FH62" i="5"/>
  <c r="FH61" i="5"/>
  <c r="FD36" i="5"/>
  <c r="FC36" i="5"/>
  <c r="FI11" i="5"/>
  <c r="FJ7" i="5"/>
  <c r="FJ38" i="5" s="1"/>
  <c r="FK15" i="4"/>
  <c r="FI33" i="5" l="1"/>
  <c r="IP24" i="12"/>
  <c r="IP20" i="12"/>
  <c r="IP26" i="12"/>
  <c r="IP21" i="12"/>
  <c r="FH24" i="5"/>
  <c r="FH25" i="5"/>
  <c r="FB70" i="5"/>
  <c r="FI31" i="5"/>
  <c r="FH22" i="5"/>
  <c r="FH34" i="5"/>
  <c r="IP23" i="12"/>
  <c r="IP25" i="12"/>
  <c r="FI32" i="5"/>
  <c r="FI30" i="5"/>
  <c r="FF26" i="5"/>
  <c r="FG26" i="5"/>
  <c r="FJ10" i="5"/>
  <c r="FJ21" i="5" s="1"/>
  <c r="IP11" i="12"/>
  <c r="IP16" i="12"/>
  <c r="IQ7" i="12"/>
  <c r="IP10" i="12"/>
  <c r="IP8" i="12"/>
  <c r="FC40" i="5"/>
  <c r="FD40" i="5"/>
  <c r="FI62" i="5"/>
  <c r="FI61" i="5"/>
  <c r="Q12" i="6"/>
  <c r="Q14" i="6" s="1"/>
  <c r="FJ11" i="5"/>
  <c r="FK7" i="5"/>
  <c r="FK38" i="5" s="1"/>
  <c r="FL15" i="4"/>
  <c r="IQ24" i="12" l="1"/>
  <c r="IQ26" i="12"/>
  <c r="IQ20" i="12"/>
  <c r="IQ21" i="12"/>
  <c r="FJ33" i="5"/>
  <c r="FK33" i="5" s="1"/>
  <c r="FI24" i="5"/>
  <c r="FI25" i="5"/>
  <c r="FC70" i="5"/>
  <c r="FD70" i="5"/>
  <c r="FJ31" i="5"/>
  <c r="IQ23" i="12"/>
  <c r="IQ25" i="12"/>
  <c r="FI34" i="5"/>
  <c r="FJ32" i="5"/>
  <c r="FJ30" i="5"/>
  <c r="FH26" i="5"/>
  <c r="FI22" i="5"/>
  <c r="FK10" i="5"/>
  <c r="FK21" i="5" s="1"/>
  <c r="IQ10" i="12"/>
  <c r="IQ11" i="12"/>
  <c r="IQ8" i="12"/>
  <c r="IQ16" i="12"/>
  <c r="IR7" i="12"/>
  <c r="FJ62" i="5"/>
  <c r="FJ61" i="5"/>
  <c r="FE36" i="5"/>
  <c r="Q22" i="6"/>
  <c r="FK11" i="5"/>
  <c r="FL7" i="5"/>
  <c r="FL38" i="5" s="1"/>
  <c r="FM15" i="4"/>
  <c r="IR24" i="12" l="1"/>
  <c r="IR26" i="12"/>
  <c r="IR20" i="12"/>
  <c r="IR21" i="12"/>
  <c r="Q26" i="6"/>
  <c r="Q38" i="6" s="1"/>
  <c r="P9" i="9" s="1"/>
  <c r="P6" i="9"/>
  <c r="BN16" i="10" s="1"/>
  <c r="FJ24" i="5"/>
  <c r="FJ25" i="5"/>
  <c r="FK31" i="5"/>
  <c r="FK32" i="5"/>
  <c r="FJ34" i="5"/>
  <c r="FJ22" i="5"/>
  <c r="IR23" i="12"/>
  <c r="IR25" i="12"/>
  <c r="FK30" i="5"/>
  <c r="FL10" i="5"/>
  <c r="FL21" i="5" s="1"/>
  <c r="IS7" i="12"/>
  <c r="IR8" i="12"/>
  <c r="IR16" i="12"/>
  <c r="IR11" i="12"/>
  <c r="IR10" i="12"/>
  <c r="FE40" i="5"/>
  <c r="FK61" i="5"/>
  <c r="FK62" i="5"/>
  <c r="FF36" i="5"/>
  <c r="FL11" i="5"/>
  <c r="FM7" i="5"/>
  <c r="FM38" i="5" s="1"/>
  <c r="FN15" i="4"/>
  <c r="IS24" i="12" l="1"/>
  <c r="IS26" i="12"/>
  <c r="IS20" i="12"/>
  <c r="IS21" i="12"/>
  <c r="FL33" i="5"/>
  <c r="FK24" i="5"/>
  <c r="FK25" i="5"/>
  <c r="FE70" i="5"/>
  <c r="FK34" i="5"/>
  <c r="FL31" i="5"/>
  <c r="IS25" i="12"/>
  <c r="IS23" i="12"/>
  <c r="FL32" i="5"/>
  <c r="FL30" i="5"/>
  <c r="FJ26" i="5"/>
  <c r="FI26" i="5"/>
  <c r="FK22" i="5"/>
  <c r="FM10" i="5"/>
  <c r="FM21" i="5" s="1"/>
  <c r="IS11" i="12"/>
  <c r="IS10" i="12"/>
  <c r="IS16" i="12"/>
  <c r="IT7" i="12"/>
  <c r="IS8" i="12"/>
  <c r="FF40" i="5"/>
  <c r="P4" i="9"/>
  <c r="FL61" i="5"/>
  <c r="FL62" i="5"/>
  <c r="FG36" i="5"/>
  <c r="FM11" i="5"/>
  <c r="FN7" i="5"/>
  <c r="FN38" i="5" s="1"/>
  <c r="FO15" i="4"/>
  <c r="FM33" i="5" l="1"/>
  <c r="IT24" i="12"/>
  <c r="IT26" i="12"/>
  <c r="IT21" i="12"/>
  <c r="IT20" i="12"/>
  <c r="FL24" i="5"/>
  <c r="FL25" i="5"/>
  <c r="FF70" i="5"/>
  <c r="FM31" i="5"/>
  <c r="IT25" i="12"/>
  <c r="IT23" i="12"/>
  <c r="FL22" i="5"/>
  <c r="FL34" i="5"/>
  <c r="FM32" i="5"/>
  <c r="FM30" i="5"/>
  <c r="FN10" i="5"/>
  <c r="FN21" i="5" s="1"/>
  <c r="IU7" i="12"/>
  <c r="IT8" i="12"/>
  <c r="IT10" i="12"/>
  <c r="IT16" i="12"/>
  <c r="IT11" i="12"/>
  <c r="FG40" i="5"/>
  <c r="FM62" i="5"/>
  <c r="FM61" i="5"/>
  <c r="FH36" i="5"/>
  <c r="FN11" i="5"/>
  <c r="FO7" i="5"/>
  <c r="FO38" i="5" s="1"/>
  <c r="FP15" i="4"/>
  <c r="IU24" i="12" l="1"/>
  <c r="IU26" i="12"/>
  <c r="IU21" i="12"/>
  <c r="IU20" i="12"/>
  <c r="FN33" i="5"/>
  <c r="FM24" i="5"/>
  <c r="FM25" i="5"/>
  <c r="FG70" i="5"/>
  <c r="FN31" i="5"/>
  <c r="FM34" i="5"/>
  <c r="IU25" i="12"/>
  <c r="IU23" i="12"/>
  <c r="IU8" i="12"/>
  <c r="IU11" i="12"/>
  <c r="IU10" i="12"/>
  <c r="IV7" i="12"/>
  <c r="IU16" i="12"/>
  <c r="FN25" i="5"/>
  <c r="FN32" i="5"/>
  <c r="FN30" i="5"/>
  <c r="FL26" i="5"/>
  <c r="FK26" i="5"/>
  <c r="FM22" i="5"/>
  <c r="FO10" i="5"/>
  <c r="FO21" i="5" s="1"/>
  <c r="FH40" i="5"/>
  <c r="FN61" i="5"/>
  <c r="FN62" i="5"/>
  <c r="FI36" i="5"/>
  <c r="FO11" i="5"/>
  <c r="FP7" i="5"/>
  <c r="FP38" i="5" s="1"/>
  <c r="FQ15" i="4"/>
  <c r="FO33" i="5" l="1"/>
  <c r="IW7" i="12"/>
  <c r="IW23" i="12" s="1"/>
  <c r="IV26" i="12"/>
  <c r="IV20" i="12"/>
  <c r="IV21" i="12"/>
  <c r="FN22" i="5"/>
  <c r="FH70" i="5"/>
  <c r="IV10" i="12"/>
  <c r="IV16" i="12"/>
  <c r="IV11" i="12"/>
  <c r="IV8" i="12"/>
  <c r="IV24" i="12"/>
  <c r="FO31" i="5"/>
  <c r="FN34" i="5"/>
  <c r="FN24" i="5"/>
  <c r="IV25" i="12"/>
  <c r="IV23" i="12"/>
  <c r="FO32" i="5"/>
  <c r="FO30" i="5"/>
  <c r="FP10" i="5"/>
  <c r="FP21" i="5" s="1"/>
  <c r="IX7" i="12"/>
  <c r="IW11" i="12"/>
  <c r="FI40" i="5"/>
  <c r="FO62" i="5"/>
  <c r="FO61" i="5"/>
  <c r="FJ36" i="5"/>
  <c r="FP11" i="5"/>
  <c r="FQ7" i="5"/>
  <c r="FQ38" i="5" s="1"/>
  <c r="R24" i="6" s="1"/>
  <c r="FR15" i="4"/>
  <c r="IW8" i="12" l="1"/>
  <c r="IW25" i="12"/>
  <c r="IW10" i="12"/>
  <c r="IW24" i="12"/>
  <c r="IW26" i="12"/>
  <c r="IW20" i="12"/>
  <c r="IW21" i="12"/>
  <c r="IX24" i="12"/>
  <c r="IX20" i="12"/>
  <c r="IX26" i="12"/>
  <c r="IX21" i="12"/>
  <c r="FP33" i="5"/>
  <c r="IW16" i="12"/>
  <c r="FO24" i="5"/>
  <c r="FO25" i="5"/>
  <c r="FI70" i="5"/>
  <c r="FP31" i="5"/>
  <c r="FO22" i="5"/>
  <c r="IX23" i="12"/>
  <c r="IX25" i="12"/>
  <c r="FP32" i="5"/>
  <c r="FP30" i="5"/>
  <c r="FO34" i="5"/>
  <c r="FN26" i="5"/>
  <c r="FM26" i="5"/>
  <c r="FQ10" i="5"/>
  <c r="FQ21" i="5" s="1"/>
  <c r="IX10" i="12"/>
  <c r="IX11" i="12"/>
  <c r="IY7" i="12"/>
  <c r="IX16" i="12"/>
  <c r="IX8" i="12"/>
  <c r="FJ40" i="5"/>
  <c r="FP62" i="5"/>
  <c r="FP61" i="5"/>
  <c r="FK36" i="5"/>
  <c r="FQ11" i="5"/>
  <c r="FR7" i="5"/>
  <c r="FR38" i="5" s="1"/>
  <c r="FS15" i="4"/>
  <c r="IY24" i="12" l="1"/>
  <c r="IY26" i="12"/>
  <c r="IY20" i="12"/>
  <c r="IY21" i="12"/>
  <c r="FQ33" i="5"/>
  <c r="FP24" i="5"/>
  <c r="FP25" i="5"/>
  <c r="FJ70" i="5"/>
  <c r="FQ31" i="5"/>
  <c r="IY23" i="12"/>
  <c r="IY25" i="12"/>
  <c r="FP34" i="5"/>
  <c r="FQ32" i="5"/>
  <c r="FO26" i="5"/>
  <c r="FQ30" i="5"/>
  <c r="FP22" i="5"/>
  <c r="FR10" i="5"/>
  <c r="FR21" i="5" s="1"/>
  <c r="IZ7" i="12"/>
  <c r="IY10" i="12"/>
  <c r="IY11" i="12"/>
  <c r="IY16" i="12"/>
  <c r="IY8" i="12"/>
  <c r="FK40" i="5"/>
  <c r="FQ61" i="5"/>
  <c r="FQ62" i="5"/>
  <c r="FL36" i="5"/>
  <c r="FR11" i="5"/>
  <c r="FS7" i="5"/>
  <c r="FS38" i="5" s="1"/>
  <c r="FT15" i="4"/>
  <c r="FR33" i="5" l="1"/>
  <c r="IZ24" i="12"/>
  <c r="IZ26" i="12"/>
  <c r="IZ20" i="12"/>
  <c r="IZ21" i="12"/>
  <c r="FS33" i="5"/>
  <c r="FQ24" i="5"/>
  <c r="FQ25" i="5"/>
  <c r="FK70" i="5"/>
  <c r="FR31" i="5"/>
  <c r="FQ22" i="5"/>
  <c r="FQ34" i="5"/>
  <c r="IZ23" i="12"/>
  <c r="IZ25" i="12"/>
  <c r="FR32" i="5"/>
  <c r="FR30" i="5"/>
  <c r="FS10" i="5"/>
  <c r="FS21" i="5" s="1"/>
  <c r="R9" i="6"/>
  <c r="IZ8" i="12"/>
  <c r="IZ16" i="12"/>
  <c r="IZ10" i="12"/>
  <c r="IZ11" i="12"/>
  <c r="JA7" i="12"/>
  <c r="FL40" i="5"/>
  <c r="FR61" i="5"/>
  <c r="FR62" i="5"/>
  <c r="FM36" i="5"/>
  <c r="FS11" i="5"/>
  <c r="FT7" i="5"/>
  <c r="FT38" i="5" s="1"/>
  <c r="FU15" i="4"/>
  <c r="FR34" i="5" l="1"/>
  <c r="JA24" i="12"/>
  <c r="JA20" i="12"/>
  <c r="JA26" i="12"/>
  <c r="JA21" i="12"/>
  <c r="FR24" i="5"/>
  <c r="FR25" i="5"/>
  <c r="FL70" i="5"/>
  <c r="R8" i="6"/>
  <c r="FS31" i="5"/>
  <c r="FS32" i="5"/>
  <c r="JA23" i="12"/>
  <c r="JA25" i="12"/>
  <c r="FS30" i="5"/>
  <c r="FQ26" i="5"/>
  <c r="FP26" i="5"/>
  <c r="FR22" i="5"/>
  <c r="FT10" i="5"/>
  <c r="FT21" i="5" s="1"/>
  <c r="JA10" i="12"/>
  <c r="JA11" i="12"/>
  <c r="JA16" i="12"/>
  <c r="JA8" i="12"/>
  <c r="JB7" i="12"/>
  <c r="FM40" i="5"/>
  <c r="FS61" i="5"/>
  <c r="FS62" i="5"/>
  <c r="FN36" i="5"/>
  <c r="FT11" i="5"/>
  <c r="FU7" i="5"/>
  <c r="FU38" i="5" s="1"/>
  <c r="FV15" i="4"/>
  <c r="JB24" i="12" l="1"/>
  <c r="JB20" i="12"/>
  <c r="JB21" i="12"/>
  <c r="JB26" i="12"/>
  <c r="FT33" i="5"/>
  <c r="R10" i="6"/>
  <c r="R13" i="6"/>
  <c r="FS24" i="5"/>
  <c r="FS25" i="5"/>
  <c r="FM70" i="5"/>
  <c r="FS34" i="5"/>
  <c r="FT31" i="5"/>
  <c r="JB25" i="12"/>
  <c r="JB23" i="12"/>
  <c r="FT32" i="5"/>
  <c r="FS22" i="5"/>
  <c r="FT30" i="5"/>
  <c r="FU10" i="5"/>
  <c r="FU21" i="5" s="1"/>
  <c r="JB11" i="12"/>
  <c r="JB10" i="12"/>
  <c r="JB16" i="12"/>
  <c r="JB8" i="12"/>
  <c r="JC7" i="12"/>
  <c r="FN40" i="5"/>
  <c r="FT61" i="5"/>
  <c r="FT62" i="5"/>
  <c r="FO36" i="5"/>
  <c r="FU11" i="5"/>
  <c r="FV7" i="5"/>
  <c r="FV38" i="5" s="1"/>
  <c r="FW15" i="4"/>
  <c r="FU33" i="5" l="1"/>
  <c r="JC24" i="12"/>
  <c r="JC26" i="12"/>
  <c r="JC20" i="12"/>
  <c r="JC21" i="12"/>
  <c r="FT24" i="5"/>
  <c r="FT25" i="5"/>
  <c r="FN70" i="5"/>
  <c r="FU31" i="5"/>
  <c r="FT34" i="5"/>
  <c r="JC25" i="12"/>
  <c r="JC23" i="12"/>
  <c r="FU32" i="5"/>
  <c r="FU30" i="5"/>
  <c r="FS26" i="5"/>
  <c r="FR26" i="5"/>
  <c r="FT22" i="5"/>
  <c r="FV10" i="5"/>
  <c r="FV21" i="5" s="1"/>
  <c r="Y20" i="6"/>
  <c r="JC16" i="12"/>
  <c r="JC10" i="12"/>
  <c r="JC11" i="12"/>
  <c r="JC8" i="12"/>
  <c r="JD7" i="12"/>
  <c r="FO40" i="5"/>
  <c r="FU61" i="5"/>
  <c r="FU62" i="5"/>
  <c r="R12" i="6"/>
  <c r="R14" i="6" s="1"/>
  <c r="FP36" i="5"/>
  <c r="FV11" i="5"/>
  <c r="FW7" i="5"/>
  <c r="FW38" i="5" s="1"/>
  <c r="FX15" i="4"/>
  <c r="JD24" i="12" l="1"/>
  <c r="JD26" i="12"/>
  <c r="JD21" i="12"/>
  <c r="JD20" i="12"/>
  <c r="FV33" i="5"/>
  <c r="FW33" i="5" s="1"/>
  <c r="FU24" i="5"/>
  <c r="FU25" i="5"/>
  <c r="FO70" i="5"/>
  <c r="FV31" i="5"/>
  <c r="FU34" i="5"/>
  <c r="JD25" i="12"/>
  <c r="JD23" i="12"/>
  <c r="FU22" i="5"/>
  <c r="FV25" i="5"/>
  <c r="FV32" i="5"/>
  <c r="FV30" i="5"/>
  <c r="FW10" i="5"/>
  <c r="FW21" i="5" s="1"/>
  <c r="JD16" i="12"/>
  <c r="JD11" i="12"/>
  <c r="JD10" i="12"/>
  <c r="JE7" i="12"/>
  <c r="JD8" i="12"/>
  <c r="FP40" i="5"/>
  <c r="FV61" i="5"/>
  <c r="FV62" i="5"/>
  <c r="FQ36" i="5"/>
  <c r="R22" i="6"/>
  <c r="FW11" i="5"/>
  <c r="FX7" i="5"/>
  <c r="FX38" i="5" s="1"/>
  <c r="FY15" i="4"/>
  <c r="JE24" i="12" l="1"/>
  <c r="JE26" i="12"/>
  <c r="JE20" i="12"/>
  <c r="JE21" i="12"/>
  <c r="R26" i="6"/>
  <c r="R38" i="6" s="1"/>
  <c r="Q9" i="9" s="1"/>
  <c r="Q6" i="9"/>
  <c r="BO16" i="10" s="1"/>
  <c r="FP70" i="5"/>
  <c r="FW31" i="5"/>
  <c r="FV34" i="5"/>
  <c r="JE25" i="12"/>
  <c r="JE23" i="12"/>
  <c r="FV24" i="5"/>
  <c r="FW32" i="5"/>
  <c r="FV22" i="5"/>
  <c r="FW30" i="5"/>
  <c r="FU26" i="5"/>
  <c r="FT26" i="5"/>
  <c r="FX10" i="5"/>
  <c r="FX21" i="5" s="1"/>
  <c r="JE16" i="12"/>
  <c r="JE10" i="12"/>
  <c r="JE11" i="12"/>
  <c r="JF7" i="12"/>
  <c r="JE8" i="12"/>
  <c r="FQ40" i="5"/>
  <c r="FW61" i="5"/>
  <c r="FW62" i="5"/>
  <c r="FR36" i="5"/>
  <c r="FX11" i="5"/>
  <c r="FY7" i="5"/>
  <c r="FY38" i="5" s="1"/>
  <c r="FZ15" i="4"/>
  <c r="FX33" i="5" l="1"/>
  <c r="JF24" i="12"/>
  <c r="JF20" i="12"/>
  <c r="JF26" i="12"/>
  <c r="JF21" i="12"/>
  <c r="FW24" i="5"/>
  <c r="FW25" i="5"/>
  <c r="FQ70" i="5"/>
  <c r="FX31" i="5"/>
  <c r="FW34" i="5"/>
  <c r="JF23" i="12"/>
  <c r="JF25" i="12"/>
  <c r="FX32" i="5"/>
  <c r="FX30" i="5"/>
  <c r="FV26" i="5"/>
  <c r="FW22" i="5"/>
  <c r="FY10" i="5"/>
  <c r="FY21" i="5" s="1"/>
  <c r="JF10" i="12"/>
  <c r="JF11" i="12"/>
  <c r="JF16" i="12"/>
  <c r="JF8" i="12"/>
  <c r="JG7" i="12"/>
  <c r="FR40" i="5"/>
  <c r="Q4" i="9"/>
  <c r="FX61" i="5"/>
  <c r="FX62" i="5"/>
  <c r="FS36" i="5"/>
  <c r="FY11" i="5"/>
  <c r="FZ7" i="5"/>
  <c r="FZ38" i="5" s="1"/>
  <c r="GA15" i="4"/>
  <c r="JG24" i="12" l="1"/>
  <c r="JG26" i="12"/>
  <c r="JG20" i="12"/>
  <c r="JG21" i="12"/>
  <c r="FY33" i="5"/>
  <c r="FZ33" i="5" s="1"/>
  <c r="FX24" i="5"/>
  <c r="FX25" i="5"/>
  <c r="FR70" i="5"/>
  <c r="FY31" i="5"/>
  <c r="FY32" i="5"/>
  <c r="JG23" i="12"/>
  <c r="JG25" i="12"/>
  <c r="FX34" i="5"/>
  <c r="FY25" i="5"/>
  <c r="FX22" i="5"/>
  <c r="FY30" i="5"/>
  <c r="FZ10" i="5"/>
  <c r="FZ21" i="5" s="1"/>
  <c r="JG16" i="12"/>
  <c r="JG10" i="12"/>
  <c r="JG11" i="12"/>
  <c r="JH7" i="12"/>
  <c r="JG8" i="12"/>
  <c r="FS40" i="5"/>
  <c r="FY62" i="5"/>
  <c r="FY61" i="5"/>
  <c r="FT36" i="5"/>
  <c r="FZ11" i="5"/>
  <c r="GA7" i="5"/>
  <c r="GA38" i="5" s="1"/>
  <c r="GB15" i="4"/>
  <c r="JH24" i="12" l="1"/>
  <c r="JH26" i="12"/>
  <c r="JH20" i="12"/>
  <c r="JH21" i="12"/>
  <c r="GA33" i="5"/>
  <c r="FS70" i="5"/>
  <c r="FY34" i="5"/>
  <c r="FZ31" i="5"/>
  <c r="FY22" i="5"/>
  <c r="FY24" i="5"/>
  <c r="JH23" i="12"/>
  <c r="JH25" i="12"/>
  <c r="FZ25" i="5"/>
  <c r="FZ32" i="5"/>
  <c r="FZ30" i="5"/>
  <c r="FX26" i="5"/>
  <c r="FW26" i="5"/>
  <c r="GA10" i="5"/>
  <c r="GA21" i="5" s="1"/>
  <c r="JH10" i="12"/>
  <c r="JH11" i="12"/>
  <c r="JH16" i="12"/>
  <c r="JH8" i="12"/>
  <c r="JI7" i="12"/>
  <c r="FT40" i="5"/>
  <c r="FZ62" i="5"/>
  <c r="FZ61" i="5"/>
  <c r="FU36" i="5"/>
  <c r="GA11" i="5"/>
  <c r="GB7" i="5"/>
  <c r="GB38" i="5" s="1"/>
  <c r="GC15" i="4"/>
  <c r="JI24" i="12" l="1"/>
  <c r="JI26" i="12"/>
  <c r="JI20" i="12"/>
  <c r="JI21" i="12"/>
  <c r="GB33" i="5"/>
  <c r="FT70" i="5"/>
  <c r="GA31" i="5"/>
  <c r="FY26" i="5"/>
  <c r="JI25" i="12"/>
  <c r="JI23" i="12"/>
  <c r="FZ22" i="5"/>
  <c r="FZ34" i="5"/>
  <c r="FZ24" i="5"/>
  <c r="GA32" i="5"/>
  <c r="GA30" i="5"/>
  <c r="GB10" i="5"/>
  <c r="GB21" i="5" s="1"/>
  <c r="JI10" i="12"/>
  <c r="JI11" i="12"/>
  <c r="JI16" i="12"/>
  <c r="JJ7" i="12"/>
  <c r="JI8" i="12"/>
  <c r="FU40" i="5"/>
  <c r="GA61" i="5"/>
  <c r="GA62" i="5"/>
  <c r="FV36" i="5"/>
  <c r="GB11" i="5"/>
  <c r="GC7" i="5"/>
  <c r="GC38" i="5" s="1"/>
  <c r="S24" i="6" s="1"/>
  <c r="GD15" i="4"/>
  <c r="JJ24" i="12" l="1"/>
  <c r="JJ26" i="12"/>
  <c r="JJ21" i="12"/>
  <c r="JJ20" i="12"/>
  <c r="GC33" i="5"/>
  <c r="GA24" i="5"/>
  <c r="GA25" i="5"/>
  <c r="FU70" i="5"/>
  <c r="GB31" i="5"/>
  <c r="GA22" i="5"/>
  <c r="GA34" i="5"/>
  <c r="JJ25" i="12"/>
  <c r="JJ23" i="12"/>
  <c r="GB32" i="5"/>
  <c r="GB30" i="5"/>
  <c r="FZ26" i="5"/>
  <c r="GC10" i="5"/>
  <c r="GC21" i="5" s="1"/>
  <c r="JJ11" i="12"/>
  <c r="JJ10" i="12"/>
  <c r="JJ16" i="12"/>
  <c r="JJ8" i="12"/>
  <c r="JK7" i="12"/>
  <c r="FV40" i="5"/>
  <c r="FW36" i="5"/>
  <c r="GB62" i="5"/>
  <c r="GB61" i="5"/>
  <c r="GC11" i="5"/>
  <c r="GD7" i="5"/>
  <c r="GD38" i="5" s="1"/>
  <c r="GE15" i="4"/>
  <c r="JK24" i="12" l="1"/>
  <c r="JK26" i="12"/>
  <c r="JK20" i="12"/>
  <c r="JK21" i="12"/>
  <c r="GB24" i="5"/>
  <c r="GB25" i="5"/>
  <c r="FV70" i="5"/>
  <c r="GC31" i="5"/>
  <c r="GC25" i="5"/>
  <c r="JK23" i="12"/>
  <c r="JK25" i="12"/>
  <c r="GB34" i="5"/>
  <c r="GC32" i="5"/>
  <c r="GC30" i="5"/>
  <c r="GA26" i="5"/>
  <c r="GB22" i="5"/>
  <c r="GD10" i="5"/>
  <c r="GD21" i="5" s="1"/>
  <c r="JK16" i="12"/>
  <c r="JK10" i="12"/>
  <c r="JK11" i="12"/>
  <c r="JL7" i="12"/>
  <c r="JK8" i="12"/>
  <c r="FW40" i="5"/>
  <c r="GC62" i="5"/>
  <c r="GC61" i="5"/>
  <c r="FX36" i="5"/>
  <c r="GD11" i="5"/>
  <c r="GE7" i="5"/>
  <c r="GF15" i="4"/>
  <c r="GD33" i="5" l="1"/>
  <c r="JL24" i="12"/>
  <c r="JL26" i="12"/>
  <c r="JL20" i="12"/>
  <c r="JL21" i="12"/>
  <c r="GE38" i="5"/>
  <c r="FW70" i="5"/>
  <c r="GD31" i="5"/>
  <c r="GC22" i="5"/>
  <c r="GC24" i="5"/>
  <c r="JL23" i="12"/>
  <c r="JL25" i="12"/>
  <c r="GD32" i="5"/>
  <c r="S9" i="6"/>
  <c r="GD30" i="5"/>
  <c r="GC34" i="5"/>
  <c r="GE10" i="5"/>
  <c r="FY36" i="5"/>
  <c r="FY40" i="5" s="1"/>
  <c r="JL16" i="12"/>
  <c r="JL11" i="12"/>
  <c r="JL10" i="12"/>
  <c r="JM7" i="12"/>
  <c r="JL8" i="12"/>
  <c r="FX40" i="5"/>
  <c r="GE11" i="5"/>
  <c r="GF7" i="5"/>
  <c r="GG15" i="4"/>
  <c r="GE31" i="5" l="1"/>
  <c r="GE33" i="5"/>
  <c r="GE21" i="5"/>
  <c r="JM24" i="12"/>
  <c r="JM26" i="12"/>
  <c r="JM20" i="12"/>
  <c r="JM21" i="12"/>
  <c r="GD24" i="5"/>
  <c r="GD25" i="5"/>
  <c r="GF38" i="5"/>
  <c r="FX70" i="5"/>
  <c r="FY70" i="5"/>
  <c r="S8" i="6"/>
  <c r="GD34" i="5"/>
  <c r="JM23" i="12"/>
  <c r="JM25" i="12"/>
  <c r="GE30" i="5"/>
  <c r="GE25" i="5"/>
  <c r="GE32" i="5"/>
  <c r="GD22" i="5"/>
  <c r="GC26" i="5"/>
  <c r="GB26" i="5"/>
  <c r="GF10" i="5"/>
  <c r="JM16" i="12"/>
  <c r="JM10" i="12"/>
  <c r="JM11" i="12"/>
  <c r="JN7" i="12"/>
  <c r="JM8" i="12"/>
  <c r="GE62" i="5"/>
  <c r="GE61" i="5"/>
  <c r="FZ36" i="5"/>
  <c r="GF11" i="5"/>
  <c r="GG7" i="5"/>
  <c r="GH15" i="4"/>
  <c r="JN24" i="12" l="1"/>
  <c r="JN20" i="12"/>
  <c r="JN26" i="12"/>
  <c r="JN21" i="12"/>
  <c r="GF31" i="5"/>
  <c r="GF33" i="5"/>
  <c r="GF21" i="5"/>
  <c r="S10" i="6"/>
  <c r="S13" i="6"/>
  <c r="GG38" i="5"/>
  <c r="GE34" i="5"/>
  <c r="JN23" i="12"/>
  <c r="JN25" i="12"/>
  <c r="GE24" i="5"/>
  <c r="GF30" i="5"/>
  <c r="GF32" i="5"/>
  <c r="GD26" i="5"/>
  <c r="GE22" i="5"/>
  <c r="GG10" i="5"/>
  <c r="JN10" i="12"/>
  <c r="JN11" i="12"/>
  <c r="JN16" i="12"/>
  <c r="JO7" i="12"/>
  <c r="JN8" i="12"/>
  <c r="FZ40" i="5"/>
  <c r="GF61" i="5"/>
  <c r="GF62" i="5"/>
  <c r="GA36" i="5"/>
  <c r="GG11" i="5"/>
  <c r="GH7" i="5"/>
  <c r="GI15" i="4"/>
  <c r="GG31" i="5" l="1"/>
  <c r="GG21" i="5"/>
  <c r="GG33" i="5"/>
  <c r="JO24" i="12"/>
  <c r="JO26" i="12"/>
  <c r="JO20" i="12"/>
  <c r="JO21" i="12"/>
  <c r="GF24" i="5"/>
  <c r="GF25" i="5"/>
  <c r="GH38" i="5"/>
  <c r="FZ70" i="5"/>
  <c r="JO23" i="12"/>
  <c r="JO25" i="12"/>
  <c r="GF34" i="5"/>
  <c r="GG30" i="5"/>
  <c r="GG32" i="5"/>
  <c r="GF22" i="5"/>
  <c r="GH10" i="5"/>
  <c r="Z20" i="6"/>
  <c r="JO10" i="12"/>
  <c r="JO11" i="12"/>
  <c r="JO16" i="12"/>
  <c r="JP7" i="12"/>
  <c r="JO8" i="12"/>
  <c r="GA40" i="5"/>
  <c r="GG61" i="5"/>
  <c r="GG62" i="5"/>
  <c r="GB36" i="5"/>
  <c r="S12" i="6"/>
  <c r="S14" i="6" s="1"/>
  <c r="GH11" i="5"/>
  <c r="GI7" i="5"/>
  <c r="GJ15" i="4"/>
  <c r="GH31" i="5" l="1"/>
  <c r="GH33" i="5"/>
  <c r="GH21" i="5"/>
  <c r="JP24" i="12"/>
  <c r="JP26" i="12"/>
  <c r="JP20" i="12"/>
  <c r="JP21" i="12"/>
  <c r="GG24" i="5"/>
  <c r="GG25" i="5"/>
  <c r="GI38" i="5"/>
  <c r="GA70" i="5"/>
  <c r="GG34" i="5"/>
  <c r="JP23" i="12"/>
  <c r="JP25" i="12"/>
  <c r="GH30" i="5"/>
  <c r="GH25" i="5"/>
  <c r="GH32" i="5"/>
  <c r="GF26" i="5"/>
  <c r="GG22" i="5"/>
  <c r="GE26" i="5"/>
  <c r="GI10" i="5"/>
  <c r="JP16" i="12"/>
  <c r="JP10" i="12"/>
  <c r="JP11" i="12"/>
  <c r="JP8" i="12"/>
  <c r="JQ7" i="12"/>
  <c r="GB40" i="5"/>
  <c r="GH61" i="5"/>
  <c r="GH62" i="5"/>
  <c r="GC36" i="5"/>
  <c r="S22" i="6"/>
  <c r="R6" i="9" s="1"/>
  <c r="BP16" i="10" s="1"/>
  <c r="GI11" i="5"/>
  <c r="GJ7" i="5"/>
  <c r="GK15" i="4"/>
  <c r="J19" i="9" l="1"/>
  <c r="J21" i="9" s="1"/>
  <c r="J23" i="9" s="1"/>
  <c r="GI31" i="5"/>
  <c r="GI33" i="5"/>
  <c r="GI21" i="5"/>
  <c r="JQ24" i="12"/>
  <c r="JQ26" i="12"/>
  <c r="JQ20" i="12"/>
  <c r="JQ21" i="12"/>
  <c r="GJ38" i="5"/>
  <c r="GB70" i="5"/>
  <c r="JQ25" i="12"/>
  <c r="JQ23" i="12"/>
  <c r="GH34" i="5"/>
  <c r="GH24" i="5"/>
  <c r="GI30" i="5"/>
  <c r="GI32" i="5"/>
  <c r="GG26" i="5"/>
  <c r="GH22" i="5"/>
  <c r="GJ10" i="5"/>
  <c r="JQ10" i="12"/>
  <c r="JQ11" i="12"/>
  <c r="JQ16" i="12"/>
  <c r="JQ8" i="12"/>
  <c r="JR7" i="12"/>
  <c r="GC40" i="5"/>
  <c r="GI61" i="5"/>
  <c r="GI62" i="5"/>
  <c r="GD36" i="5"/>
  <c r="GJ11" i="5"/>
  <c r="GK7" i="5"/>
  <c r="GL15" i="4"/>
  <c r="GJ31" i="5" l="1"/>
  <c r="GJ33" i="5"/>
  <c r="GJ21" i="5"/>
  <c r="JR24" i="12"/>
  <c r="JR26" i="12"/>
  <c r="JR21" i="12"/>
  <c r="JR20" i="12"/>
  <c r="GI24" i="5"/>
  <c r="GI25" i="5"/>
  <c r="GK38" i="5"/>
  <c r="GC70" i="5"/>
  <c r="GI34" i="5"/>
  <c r="JR25" i="12"/>
  <c r="JR23" i="12"/>
  <c r="GJ30" i="5"/>
  <c r="GJ32" i="5"/>
  <c r="GH26" i="5"/>
  <c r="GI22" i="5"/>
  <c r="GK10" i="5"/>
  <c r="JR10" i="12"/>
  <c r="JR16" i="12"/>
  <c r="JR11" i="12"/>
  <c r="JR8" i="12"/>
  <c r="JS7" i="12"/>
  <c r="GD40" i="5"/>
  <c r="GJ62" i="5"/>
  <c r="GJ61" i="5"/>
  <c r="GE36" i="5"/>
  <c r="GK11" i="5"/>
  <c r="GL7" i="5"/>
  <c r="GM15" i="4"/>
  <c r="JS24" i="12" l="1"/>
  <c r="JS26" i="12"/>
  <c r="JS21" i="12"/>
  <c r="JS20" i="12"/>
  <c r="GK31" i="5"/>
  <c r="GK33" i="5"/>
  <c r="GK21" i="5"/>
  <c r="GJ24" i="5"/>
  <c r="GJ25" i="5"/>
  <c r="GL38" i="5"/>
  <c r="JS25" i="12"/>
  <c r="JS23" i="12"/>
  <c r="GJ34" i="5"/>
  <c r="GK30" i="5"/>
  <c r="GK25" i="5"/>
  <c r="GK32" i="5"/>
  <c r="GJ22" i="5"/>
  <c r="GL10" i="5"/>
  <c r="JS16" i="12"/>
  <c r="JS11" i="12"/>
  <c r="JS10" i="12"/>
  <c r="JS8" i="12"/>
  <c r="JT7" i="12"/>
  <c r="GE40" i="5"/>
  <c r="GK62" i="5"/>
  <c r="GK61" i="5"/>
  <c r="GF36" i="5"/>
  <c r="GL11" i="5"/>
  <c r="GM7" i="5"/>
  <c r="GN15" i="4"/>
  <c r="GL31" i="5" l="1"/>
  <c r="GL33" i="5"/>
  <c r="GL21" i="5"/>
  <c r="JT24" i="12"/>
  <c r="JT26" i="12"/>
  <c r="JT21" i="12"/>
  <c r="JT20" i="12"/>
  <c r="GM38" i="5"/>
  <c r="GE70" i="5"/>
  <c r="GK34" i="5"/>
  <c r="JT25" i="12"/>
  <c r="JT23" i="12"/>
  <c r="GL30" i="5"/>
  <c r="GL32" i="5"/>
  <c r="GK24" i="5"/>
  <c r="GI26" i="5"/>
  <c r="GK22" i="5"/>
  <c r="GM10" i="5"/>
  <c r="JT16" i="12"/>
  <c r="JT10" i="12"/>
  <c r="JT11" i="12"/>
  <c r="JT8" i="12"/>
  <c r="JU7" i="12"/>
  <c r="GF40" i="5"/>
  <c r="GL62" i="5"/>
  <c r="GL61" i="5"/>
  <c r="GG36" i="5"/>
  <c r="GM11" i="5"/>
  <c r="GN7" i="5"/>
  <c r="GO15" i="4"/>
  <c r="GM31" i="5" l="1"/>
  <c r="GM33" i="5"/>
  <c r="GM21" i="5"/>
  <c r="JU24" i="12"/>
  <c r="JU26" i="12"/>
  <c r="JU20" i="12"/>
  <c r="JU21" i="12"/>
  <c r="GL24" i="5"/>
  <c r="GL25" i="5"/>
  <c r="GN38" i="5"/>
  <c r="GF70" i="5"/>
  <c r="JU23" i="12"/>
  <c r="JU25" i="12"/>
  <c r="GL34" i="5"/>
  <c r="GM30" i="5"/>
  <c r="GM32" i="5"/>
  <c r="GJ26" i="5"/>
  <c r="GL22" i="5"/>
  <c r="GN10" i="5"/>
  <c r="JU16" i="12"/>
  <c r="JU10" i="12"/>
  <c r="JU11" i="12"/>
  <c r="JV7" i="12"/>
  <c r="JU8" i="12"/>
  <c r="GG40" i="5"/>
  <c r="GM62" i="5"/>
  <c r="GM61" i="5"/>
  <c r="GH36" i="5"/>
  <c r="GN11" i="5"/>
  <c r="GO7" i="5"/>
  <c r="GP15" i="4"/>
  <c r="JV24" i="12" l="1"/>
  <c r="JV20" i="12"/>
  <c r="JV26" i="12"/>
  <c r="JV21" i="12"/>
  <c r="GN31" i="5"/>
  <c r="GN33" i="5"/>
  <c r="GN21" i="5"/>
  <c r="GM24" i="5"/>
  <c r="GM25" i="5"/>
  <c r="GO38" i="5"/>
  <c r="T24" i="6" s="1"/>
  <c r="GG70" i="5"/>
  <c r="JV23" i="12"/>
  <c r="JV25" i="12"/>
  <c r="GM34" i="5"/>
  <c r="GN30" i="5"/>
  <c r="GN32" i="5"/>
  <c r="GK26" i="5"/>
  <c r="GM22" i="5"/>
  <c r="GO10" i="5"/>
  <c r="JV10" i="12"/>
  <c r="JV11" i="12"/>
  <c r="JV16" i="12"/>
  <c r="JW7" i="12"/>
  <c r="JV8" i="12"/>
  <c r="GH40" i="5"/>
  <c r="GI36" i="5"/>
  <c r="GN62" i="5"/>
  <c r="GN61" i="5"/>
  <c r="GO11" i="5"/>
  <c r="GP7" i="5"/>
  <c r="GQ15" i="4"/>
  <c r="JW24" i="12" l="1"/>
  <c r="JW26" i="12"/>
  <c r="JW20" i="12"/>
  <c r="JW21" i="12"/>
  <c r="GO31" i="5"/>
  <c r="GO21" i="5"/>
  <c r="GO33" i="5"/>
  <c r="GN24" i="5"/>
  <c r="GN25" i="5"/>
  <c r="GP38" i="5"/>
  <c r="GH70" i="5"/>
  <c r="JW23" i="12"/>
  <c r="JW25" i="12"/>
  <c r="GN34" i="5"/>
  <c r="GO30" i="5"/>
  <c r="GO32" i="5"/>
  <c r="GN22" i="5"/>
  <c r="GL26" i="5"/>
  <c r="GP10" i="5"/>
  <c r="JW10" i="12"/>
  <c r="JW11" i="12"/>
  <c r="JW16" i="12"/>
  <c r="JX7" i="12"/>
  <c r="JW8" i="12"/>
  <c r="GI40" i="5"/>
  <c r="GO61" i="5"/>
  <c r="GO62" i="5"/>
  <c r="GJ36" i="5"/>
  <c r="GP11" i="5"/>
  <c r="GQ7" i="5"/>
  <c r="GR15" i="4"/>
  <c r="GP31" i="5" l="1"/>
  <c r="GP33" i="5"/>
  <c r="GP21" i="5"/>
  <c r="JX24" i="12"/>
  <c r="JX26" i="12"/>
  <c r="JX20" i="12"/>
  <c r="JX21" i="12"/>
  <c r="GO24" i="5"/>
  <c r="GO25" i="5"/>
  <c r="GQ38" i="5"/>
  <c r="GI70" i="5"/>
  <c r="JX23" i="12"/>
  <c r="JX25" i="12"/>
  <c r="GO34" i="5"/>
  <c r="GP30" i="5"/>
  <c r="GP32" i="5"/>
  <c r="GP25" i="5"/>
  <c r="GN26" i="5"/>
  <c r="GO22" i="5"/>
  <c r="GM26" i="5"/>
  <c r="T9" i="6"/>
  <c r="GQ10" i="5"/>
  <c r="JX10" i="12"/>
  <c r="JX11" i="12"/>
  <c r="JX16" i="12"/>
  <c r="JX8" i="12"/>
  <c r="JY7" i="12"/>
  <c r="GJ40" i="5"/>
  <c r="GP61" i="5"/>
  <c r="GP62" i="5"/>
  <c r="GK36" i="5"/>
  <c r="GQ11" i="5"/>
  <c r="GR7" i="5"/>
  <c r="GS15" i="4"/>
  <c r="JY24" i="12" l="1"/>
  <c r="JY26" i="12"/>
  <c r="JY20" i="12"/>
  <c r="JY21" i="12"/>
  <c r="GQ31" i="5"/>
  <c r="GQ33" i="5"/>
  <c r="GQ21" i="5"/>
  <c r="GR38" i="5"/>
  <c r="GJ70" i="5"/>
  <c r="GP34" i="5"/>
  <c r="JY23" i="12"/>
  <c r="JY25" i="12"/>
  <c r="GQ30" i="5"/>
  <c r="GQ32" i="5"/>
  <c r="GQ25" i="5"/>
  <c r="GP24" i="5"/>
  <c r="T8" i="6"/>
  <c r="GO26" i="5"/>
  <c r="GP22" i="5"/>
  <c r="GR10" i="5"/>
  <c r="JY10" i="12"/>
  <c r="JY11" i="12"/>
  <c r="JY16" i="12"/>
  <c r="JY8" i="12"/>
  <c r="JZ7" i="12"/>
  <c r="GK40" i="5"/>
  <c r="GQ61" i="5"/>
  <c r="GQ62" i="5"/>
  <c r="GL36" i="5"/>
  <c r="GR11" i="5"/>
  <c r="GS7" i="5"/>
  <c r="GT15" i="4"/>
  <c r="GR31" i="5" l="1"/>
  <c r="GR33" i="5"/>
  <c r="GR21" i="5"/>
  <c r="JZ24" i="12"/>
  <c r="JZ26" i="12"/>
  <c r="JZ21" i="12"/>
  <c r="JZ20" i="12"/>
  <c r="T10" i="6"/>
  <c r="T13" i="6"/>
  <c r="GS38" i="5"/>
  <c r="GK70" i="5"/>
  <c r="GQ34" i="5"/>
  <c r="JZ25" i="12"/>
  <c r="JZ23" i="12"/>
  <c r="GR30" i="5"/>
  <c r="GR32" i="5"/>
  <c r="GQ24" i="5"/>
  <c r="GQ22" i="5"/>
  <c r="GS10" i="5"/>
  <c r="JZ11" i="12"/>
  <c r="JZ16" i="12"/>
  <c r="JZ10" i="12"/>
  <c r="JZ8" i="12"/>
  <c r="KA7" i="12"/>
  <c r="GL40" i="5"/>
  <c r="GR61" i="5"/>
  <c r="GR62" i="5"/>
  <c r="GN36" i="5"/>
  <c r="GM36" i="5"/>
  <c r="GS11" i="5"/>
  <c r="GT7" i="5"/>
  <c r="GU15" i="4"/>
  <c r="KA24" i="12" l="1"/>
  <c r="KA26" i="12"/>
  <c r="KA21" i="12"/>
  <c r="KA20" i="12"/>
  <c r="GS31" i="5"/>
  <c r="GS33" i="5"/>
  <c r="GS21" i="5"/>
  <c r="GR24" i="5"/>
  <c r="GR25" i="5"/>
  <c r="GT38" i="5"/>
  <c r="GL70" i="5"/>
  <c r="KA25" i="12"/>
  <c r="KA23" i="12"/>
  <c r="GR34" i="5"/>
  <c r="GS30" i="5"/>
  <c r="GS25" i="5"/>
  <c r="GS32" i="5"/>
  <c r="GP26" i="5"/>
  <c r="GR22" i="5"/>
  <c r="GT10" i="5"/>
  <c r="AA20" i="6"/>
  <c r="KA16" i="12"/>
  <c r="KA10" i="12"/>
  <c r="KA11" i="12"/>
  <c r="KA8" i="12"/>
  <c r="KB7" i="12"/>
  <c r="GN40" i="5"/>
  <c r="GM40" i="5"/>
  <c r="GS62" i="5"/>
  <c r="GS61" i="5"/>
  <c r="GT11" i="5"/>
  <c r="GU7" i="5"/>
  <c r="GV15" i="4"/>
  <c r="GT31" i="5" l="1"/>
  <c r="GT33" i="5"/>
  <c r="GT21" i="5"/>
  <c r="KB24" i="12"/>
  <c r="KB26" i="12"/>
  <c r="KB21" i="12"/>
  <c r="KB20" i="12"/>
  <c r="GU38" i="5"/>
  <c r="GN70" i="5"/>
  <c r="GM70" i="5"/>
  <c r="KB25" i="12"/>
  <c r="KB23" i="12"/>
  <c r="GS34" i="5"/>
  <c r="GS24" i="5"/>
  <c r="GT30" i="5"/>
  <c r="GT32" i="5"/>
  <c r="GQ26" i="5"/>
  <c r="GR26" i="5"/>
  <c r="GS22" i="5"/>
  <c r="GU10" i="5"/>
  <c r="T12" i="6"/>
  <c r="T14" i="6" s="1"/>
  <c r="KB16" i="12"/>
  <c r="KB11" i="12"/>
  <c r="KB10" i="12"/>
  <c r="KC7" i="12"/>
  <c r="KB8" i="12"/>
  <c r="GT61" i="5"/>
  <c r="GT62" i="5"/>
  <c r="GO36" i="5"/>
  <c r="GU11" i="5"/>
  <c r="GV7" i="5"/>
  <c r="GW15" i="4"/>
  <c r="GU31" i="5" l="1"/>
  <c r="GU33" i="5"/>
  <c r="GU21" i="5"/>
  <c r="KC24" i="12"/>
  <c r="KC26" i="12"/>
  <c r="KC20" i="12"/>
  <c r="KC21" i="12"/>
  <c r="GT24" i="5"/>
  <c r="GT25" i="5"/>
  <c r="GV38" i="5"/>
  <c r="GT34" i="5"/>
  <c r="KC25" i="12"/>
  <c r="KC23" i="12"/>
  <c r="GU30" i="5"/>
  <c r="GU25" i="5"/>
  <c r="GU32" i="5"/>
  <c r="GT22" i="5"/>
  <c r="GV10" i="5"/>
  <c r="T22" i="6"/>
  <c r="KC16" i="12"/>
  <c r="KC10" i="12"/>
  <c r="KC11" i="12"/>
  <c r="KD7" i="12"/>
  <c r="KC8" i="12"/>
  <c r="GO40" i="5"/>
  <c r="GP36" i="5"/>
  <c r="GU62" i="5"/>
  <c r="GU61" i="5"/>
  <c r="GV11" i="5"/>
  <c r="GW7" i="5"/>
  <c r="GX15" i="4"/>
  <c r="GV31" i="5" l="1"/>
  <c r="GV33" i="5"/>
  <c r="GV21" i="5"/>
  <c r="KD24" i="12"/>
  <c r="KD20" i="12"/>
  <c r="KD26" i="12"/>
  <c r="KD21" i="12"/>
  <c r="T26" i="6"/>
  <c r="S6" i="9"/>
  <c r="GW38" i="5"/>
  <c r="GO70" i="5"/>
  <c r="KD23" i="12"/>
  <c r="KD25" i="12"/>
  <c r="GU34" i="5"/>
  <c r="GV30" i="5"/>
  <c r="GV32" i="5"/>
  <c r="GU24" i="5"/>
  <c r="GS26" i="5"/>
  <c r="GU22" i="5"/>
  <c r="GW10" i="5"/>
  <c r="GQ36" i="5"/>
  <c r="GQ40" i="5" s="1"/>
  <c r="KD10" i="12"/>
  <c r="KD11" i="12"/>
  <c r="KD16" i="12"/>
  <c r="KE7" i="12"/>
  <c r="KD8" i="12"/>
  <c r="GP40" i="5"/>
  <c r="GV62" i="5"/>
  <c r="GV61" i="5"/>
  <c r="GW11" i="5"/>
  <c r="GX7" i="5"/>
  <c r="GY15" i="4"/>
  <c r="T38" i="6" l="1"/>
  <c r="S9" i="9" s="1"/>
  <c r="S4" i="9"/>
  <c r="GW31" i="5"/>
  <c r="GW21" i="5"/>
  <c r="GW33" i="5"/>
  <c r="KE24" i="12"/>
  <c r="KE26" i="12"/>
  <c r="KE20" i="12"/>
  <c r="KE21" i="12"/>
  <c r="GV24" i="5"/>
  <c r="GV25" i="5"/>
  <c r="GX38" i="5"/>
  <c r="GQ70" i="5"/>
  <c r="GP70" i="5"/>
  <c r="GV34" i="5"/>
  <c r="KE23" i="12"/>
  <c r="KE25" i="12"/>
  <c r="GW30" i="5"/>
  <c r="GW25" i="5"/>
  <c r="GW32" i="5"/>
  <c r="GT26" i="5"/>
  <c r="GV22" i="5"/>
  <c r="GX10" i="5"/>
  <c r="KE10" i="12"/>
  <c r="KE11" i="12"/>
  <c r="KE16" i="12"/>
  <c r="KF7" i="12"/>
  <c r="KE8" i="12"/>
  <c r="GW61" i="5"/>
  <c r="GW62" i="5"/>
  <c r="GR36" i="5"/>
  <c r="GX11" i="5"/>
  <c r="GY7" i="5"/>
  <c r="GZ15" i="4"/>
  <c r="GX31" i="5" l="1"/>
  <c r="GX33" i="5"/>
  <c r="GX21" i="5"/>
  <c r="KF24" i="12"/>
  <c r="KF20" i="12"/>
  <c r="KF26" i="12"/>
  <c r="KF21" i="12"/>
  <c r="GY38" i="5"/>
  <c r="KF23" i="12"/>
  <c r="KF25" i="12"/>
  <c r="GW34" i="5"/>
  <c r="GX30" i="5"/>
  <c r="GX32" i="5"/>
  <c r="GW24" i="5"/>
  <c r="GV26" i="5"/>
  <c r="GU26" i="5"/>
  <c r="GW22" i="5"/>
  <c r="GY10" i="5"/>
  <c r="KF10" i="12"/>
  <c r="KF11" i="12"/>
  <c r="KF16" i="12"/>
  <c r="KF8" i="12"/>
  <c r="KG7" i="12"/>
  <c r="GR40" i="5"/>
  <c r="GX61" i="5"/>
  <c r="GX62" i="5"/>
  <c r="GS36" i="5"/>
  <c r="GY11" i="5"/>
  <c r="GZ7" i="5"/>
  <c r="HA15" i="4"/>
  <c r="KG24" i="12" l="1"/>
  <c r="KG20" i="12"/>
  <c r="KG26" i="12"/>
  <c r="KG21" i="12"/>
  <c r="GY31" i="5"/>
  <c r="GY33" i="5"/>
  <c r="GY21" i="5"/>
  <c r="GX24" i="5"/>
  <c r="GX25" i="5"/>
  <c r="GZ38" i="5"/>
  <c r="GR70" i="5"/>
  <c r="GX34" i="5"/>
  <c r="KG25" i="12"/>
  <c r="KG23" i="12"/>
  <c r="GY30" i="5"/>
  <c r="GY32" i="5"/>
  <c r="GY25" i="5"/>
  <c r="GX22" i="5"/>
  <c r="GZ10" i="5"/>
  <c r="KG10" i="12"/>
  <c r="KG11" i="12"/>
  <c r="KG16" i="12"/>
  <c r="KG8" i="12"/>
  <c r="KH7" i="12"/>
  <c r="GS40" i="5"/>
  <c r="GT36" i="5"/>
  <c r="GY61" i="5"/>
  <c r="GY62" i="5"/>
  <c r="GZ11" i="5"/>
  <c r="HA7" i="5"/>
  <c r="HB15" i="4"/>
  <c r="GZ31" i="5" l="1"/>
  <c r="GZ21" i="5"/>
  <c r="GZ33" i="5"/>
  <c r="KH24" i="12"/>
  <c r="KH20" i="12"/>
  <c r="KH21" i="12"/>
  <c r="KH26" i="12"/>
  <c r="HA38" i="5"/>
  <c r="U24" i="6" s="1"/>
  <c r="GS70" i="5"/>
  <c r="GY34" i="5"/>
  <c r="KH25" i="12"/>
  <c r="KH23" i="12"/>
  <c r="GY24" i="5"/>
  <c r="GZ30" i="5"/>
  <c r="GZ32" i="5"/>
  <c r="GX26" i="5"/>
  <c r="GW26" i="5"/>
  <c r="GY22" i="5"/>
  <c r="HA10" i="5"/>
  <c r="KH11" i="12"/>
  <c r="KH10" i="12"/>
  <c r="KH16" i="12"/>
  <c r="KI7" i="12"/>
  <c r="KH8" i="12"/>
  <c r="GT40" i="5"/>
  <c r="GZ61" i="5"/>
  <c r="GZ62" i="5"/>
  <c r="GU36" i="5"/>
  <c r="HA11" i="5"/>
  <c r="HB7" i="5"/>
  <c r="HC15" i="4"/>
  <c r="KI24" i="12" l="1"/>
  <c r="KI26" i="12"/>
  <c r="KI20" i="12"/>
  <c r="KI21" i="12"/>
  <c r="HA31" i="5"/>
  <c r="HA21" i="5"/>
  <c r="HA33" i="5"/>
  <c r="GZ24" i="5"/>
  <c r="GZ25" i="5"/>
  <c r="HB38" i="5"/>
  <c r="GT70" i="5"/>
  <c r="GZ34" i="5"/>
  <c r="KI25" i="12"/>
  <c r="KI23" i="12"/>
  <c r="HA30" i="5"/>
  <c r="HA32" i="5"/>
  <c r="GZ22" i="5"/>
  <c r="HB10" i="5"/>
  <c r="KI16" i="12"/>
  <c r="KI11" i="12"/>
  <c r="KI10" i="12"/>
  <c r="KI8" i="12"/>
  <c r="KJ7" i="12"/>
  <c r="GU40" i="5"/>
  <c r="HA62" i="5"/>
  <c r="HA61" i="5"/>
  <c r="GV36" i="5"/>
  <c r="HB11" i="5"/>
  <c r="HC7" i="5"/>
  <c r="HD15" i="4"/>
  <c r="HB31" i="5" l="1"/>
  <c r="HB33" i="5"/>
  <c r="HB21" i="5"/>
  <c r="KJ24" i="12"/>
  <c r="KJ26" i="12"/>
  <c r="KJ20" i="12"/>
  <c r="KJ21" i="12"/>
  <c r="HA24" i="5"/>
  <c r="HA25" i="5"/>
  <c r="HC38" i="5"/>
  <c r="GU70" i="5"/>
  <c r="HA34" i="5"/>
  <c r="KJ23" i="12"/>
  <c r="KJ25" i="12"/>
  <c r="HB30" i="5"/>
  <c r="HB25" i="5"/>
  <c r="HB32" i="5"/>
  <c r="GY26" i="5"/>
  <c r="HA22" i="5"/>
  <c r="U9" i="6"/>
  <c r="HC10" i="5"/>
  <c r="KJ16" i="12"/>
  <c r="KJ10" i="12"/>
  <c r="KJ11" i="12"/>
  <c r="KJ8" i="12"/>
  <c r="KK7" i="12"/>
  <c r="GV40" i="5"/>
  <c r="HB62" i="5"/>
  <c r="HB61" i="5"/>
  <c r="GW36" i="5"/>
  <c r="HC11" i="5"/>
  <c r="HD7" i="5"/>
  <c r="HE15" i="4"/>
  <c r="HC31" i="5" l="1"/>
  <c r="HC33" i="5"/>
  <c r="HC21" i="5"/>
  <c r="KK24" i="12"/>
  <c r="KK26" i="12"/>
  <c r="KK20" i="12"/>
  <c r="KK21" i="12"/>
  <c r="HD38" i="5"/>
  <c r="GV70" i="5"/>
  <c r="HB34" i="5"/>
  <c r="KK23" i="12"/>
  <c r="KK25" i="12"/>
  <c r="HC30" i="5"/>
  <c r="HC32" i="5"/>
  <c r="HC25" i="5"/>
  <c r="HB24" i="5"/>
  <c r="U8" i="6"/>
  <c r="GZ26" i="5"/>
  <c r="HB22" i="5"/>
  <c r="HD10" i="5"/>
  <c r="KK16" i="12"/>
  <c r="KK10" i="12"/>
  <c r="KK11" i="12"/>
  <c r="KL7" i="12"/>
  <c r="KK8" i="12"/>
  <c r="GW40" i="5"/>
  <c r="HC62" i="5"/>
  <c r="HC61" i="5"/>
  <c r="GX36" i="5"/>
  <c r="HD11" i="5"/>
  <c r="HE7" i="5"/>
  <c r="HF15" i="4"/>
  <c r="HD31" i="5" l="1"/>
  <c r="HD33" i="5"/>
  <c r="HD21" i="5"/>
  <c r="KL24" i="12"/>
  <c r="KL20" i="12"/>
  <c r="KL26" i="12"/>
  <c r="KL21" i="12"/>
  <c r="U10" i="6"/>
  <c r="U13" i="6"/>
  <c r="HE38" i="5"/>
  <c r="GW70" i="5"/>
  <c r="HC34" i="5"/>
  <c r="KL23" i="12"/>
  <c r="KL25" i="12"/>
  <c r="HD30" i="5"/>
  <c r="HD32" i="5"/>
  <c r="HC24" i="5"/>
  <c r="HC22" i="5"/>
  <c r="HA26" i="5"/>
  <c r="HE10" i="5"/>
  <c r="KL10" i="12"/>
  <c r="KL11" i="12"/>
  <c r="KL16" i="12"/>
  <c r="KM7" i="12"/>
  <c r="KL8" i="12"/>
  <c r="GX40" i="5"/>
  <c r="HD62" i="5"/>
  <c r="HD61" i="5"/>
  <c r="GY36" i="5"/>
  <c r="GZ36" i="5"/>
  <c r="HE11" i="5"/>
  <c r="HF7" i="5"/>
  <c r="HG15" i="4"/>
  <c r="HE31" i="5" l="1"/>
  <c r="HE21" i="5"/>
  <c r="HE33" i="5"/>
  <c r="KM24" i="12"/>
  <c r="KM26" i="12"/>
  <c r="KM20" i="12"/>
  <c r="KM21" i="12"/>
  <c r="HD24" i="5"/>
  <c r="HD25" i="5"/>
  <c r="HF38" i="5"/>
  <c r="GX70" i="5"/>
  <c r="KM23" i="12"/>
  <c r="KM25" i="12"/>
  <c r="HD34" i="5"/>
  <c r="HE30" i="5"/>
  <c r="HE25" i="5"/>
  <c r="HE32" i="5"/>
  <c r="HC26" i="5"/>
  <c r="HB26" i="5"/>
  <c r="HD22" i="5"/>
  <c r="HF10" i="5"/>
  <c r="AB20" i="6"/>
  <c r="KM16" i="12"/>
  <c r="KM10" i="12"/>
  <c r="KM11" i="12"/>
  <c r="KN7" i="12"/>
  <c r="KM8" i="12"/>
  <c r="GY40" i="5"/>
  <c r="GZ40" i="5"/>
  <c r="HE61" i="5"/>
  <c r="HE62" i="5"/>
  <c r="HF11" i="5"/>
  <c r="HG7" i="5"/>
  <c r="HH15" i="4"/>
  <c r="HF31" i="5" l="1"/>
  <c r="HF33" i="5"/>
  <c r="HF21" i="5"/>
  <c r="KN24" i="12"/>
  <c r="KN26" i="12"/>
  <c r="KN20" i="12"/>
  <c r="KN21" i="12"/>
  <c r="HG38" i="5"/>
  <c r="GY70" i="5"/>
  <c r="GZ70" i="5"/>
  <c r="KN23" i="12"/>
  <c r="KN25" i="12"/>
  <c r="HE34" i="5"/>
  <c r="HE24" i="5"/>
  <c r="HF30" i="5"/>
  <c r="HF32" i="5"/>
  <c r="HD26" i="5"/>
  <c r="HE22" i="5"/>
  <c r="HG10" i="5"/>
  <c r="U12" i="6"/>
  <c r="U14" i="6" s="1"/>
  <c r="KN16" i="12"/>
  <c r="KN10" i="12"/>
  <c r="KN11" i="12"/>
  <c r="KN8" i="12"/>
  <c r="KO7" i="12"/>
  <c r="HF61" i="5"/>
  <c r="HF62" i="5"/>
  <c r="HA36" i="5"/>
  <c r="HG11" i="5"/>
  <c r="HH7" i="5"/>
  <c r="HI15" i="4"/>
  <c r="HG31" i="5" l="1"/>
  <c r="HG33" i="5"/>
  <c r="HG21" i="5"/>
  <c r="KO24" i="12"/>
  <c r="KO26" i="12"/>
  <c r="KO20" i="12"/>
  <c r="KO21" i="12"/>
  <c r="HF24" i="5"/>
  <c r="HF25" i="5"/>
  <c r="HH38" i="5"/>
  <c r="HF34" i="5"/>
  <c r="KO23" i="12"/>
  <c r="KO25" i="12"/>
  <c r="HG30" i="5"/>
  <c r="HG32" i="5"/>
  <c r="HF22" i="5"/>
  <c r="HH10" i="5"/>
  <c r="U22" i="6"/>
  <c r="KO10" i="12"/>
  <c r="KO11" i="12"/>
  <c r="KO16" i="12"/>
  <c r="KO8" i="12"/>
  <c r="KP7" i="12"/>
  <c r="HA40" i="5"/>
  <c r="HG61" i="5"/>
  <c r="HG62" i="5"/>
  <c r="HB36" i="5"/>
  <c r="HH11" i="5"/>
  <c r="HI7" i="5"/>
  <c r="HJ15" i="4"/>
  <c r="HH31" i="5" l="1"/>
  <c r="HH33" i="5"/>
  <c r="HH21" i="5"/>
  <c r="KP24" i="12"/>
  <c r="KP26" i="12"/>
  <c r="KP21" i="12"/>
  <c r="KP20" i="12"/>
  <c r="U26" i="6"/>
  <c r="T6" i="9"/>
  <c r="HG24" i="5"/>
  <c r="HG25" i="5"/>
  <c r="HI38" i="5"/>
  <c r="HA70" i="5"/>
  <c r="HG34" i="5"/>
  <c r="KP25" i="12"/>
  <c r="KP23" i="12"/>
  <c r="HH30" i="5"/>
  <c r="HH32" i="5"/>
  <c r="HE26" i="5"/>
  <c r="HG22" i="5"/>
  <c r="HI10" i="5"/>
  <c r="KP11" i="12"/>
  <c r="KP10" i="12"/>
  <c r="KP16" i="12"/>
  <c r="KP8" i="12"/>
  <c r="KQ7" i="12"/>
  <c r="HB40" i="5"/>
  <c r="HH61" i="5"/>
  <c r="HH62" i="5"/>
  <c r="HC36" i="5"/>
  <c r="HI11" i="5"/>
  <c r="HJ7" i="5"/>
  <c r="HK15" i="4"/>
  <c r="U38" i="6" l="1"/>
  <c r="T9" i="9" s="1"/>
  <c r="HI31" i="5"/>
  <c r="HI33" i="5"/>
  <c r="HI21" i="5"/>
  <c r="KQ24" i="12"/>
  <c r="KQ26" i="12"/>
  <c r="KQ20" i="12"/>
  <c r="KQ21" i="12"/>
  <c r="T4" i="9"/>
  <c r="HH24" i="5"/>
  <c r="HH25" i="5"/>
  <c r="HJ38" i="5"/>
  <c r="HB70" i="5"/>
  <c r="KQ25" i="12"/>
  <c r="KQ23" i="12"/>
  <c r="HH34" i="5"/>
  <c r="HI30" i="5"/>
  <c r="HI25" i="5"/>
  <c r="HI32" i="5"/>
  <c r="HF26" i="5"/>
  <c r="HH22" i="5"/>
  <c r="HJ10" i="5"/>
  <c r="HD36" i="5"/>
  <c r="HD40" i="5" s="1"/>
  <c r="KQ16" i="12"/>
  <c r="KQ10" i="12"/>
  <c r="KQ11" i="12"/>
  <c r="KQ8" i="12"/>
  <c r="KR7" i="12"/>
  <c r="HC40" i="5"/>
  <c r="HI61" i="5"/>
  <c r="HI62" i="5"/>
  <c r="HJ11" i="5"/>
  <c r="HK7" i="5"/>
  <c r="HL15" i="4"/>
  <c r="HJ31" i="5" l="1"/>
  <c r="HJ33" i="5"/>
  <c r="HJ21" i="5"/>
  <c r="KR24" i="12"/>
  <c r="KR26" i="12"/>
  <c r="KR20" i="12"/>
  <c r="KR21" i="12"/>
  <c r="HK38" i="5"/>
  <c r="HC70" i="5"/>
  <c r="HD70" i="5"/>
  <c r="KR25" i="12"/>
  <c r="KR23" i="12"/>
  <c r="HI34" i="5"/>
  <c r="HJ30" i="5"/>
  <c r="HJ32" i="5"/>
  <c r="HI24" i="5"/>
  <c r="HG26" i="5"/>
  <c r="HI22" i="5"/>
  <c r="HK10" i="5"/>
  <c r="KR16" i="12"/>
  <c r="KR10" i="12"/>
  <c r="KR11" i="12"/>
  <c r="KS7" i="12"/>
  <c r="KR8" i="12"/>
  <c r="HE36" i="5"/>
  <c r="HE40" i="5" s="1"/>
  <c r="HJ61" i="5"/>
  <c r="HJ62" i="5"/>
  <c r="HK11" i="5"/>
  <c r="HL7" i="5"/>
  <c r="HM15" i="4"/>
  <c r="KS24" i="12" l="1"/>
  <c r="KS26" i="12"/>
  <c r="KS20" i="12"/>
  <c r="KS21" i="12"/>
  <c r="HK31" i="5"/>
  <c r="HK33" i="5"/>
  <c r="HK21" i="5"/>
  <c r="HJ24" i="5"/>
  <c r="HJ25" i="5"/>
  <c r="HL38" i="5"/>
  <c r="HE70" i="5"/>
  <c r="HJ34" i="5"/>
  <c r="KS25" i="12"/>
  <c r="KS23" i="12"/>
  <c r="HK30" i="5"/>
  <c r="HK32" i="5"/>
  <c r="HH26" i="5"/>
  <c r="HJ22" i="5"/>
  <c r="HL10" i="5"/>
  <c r="KS16" i="12"/>
  <c r="KS10" i="12"/>
  <c r="KS11" i="12"/>
  <c r="KT7" i="12"/>
  <c r="KS8" i="12"/>
  <c r="HK62" i="5"/>
  <c r="HK61" i="5"/>
  <c r="HF36" i="5"/>
  <c r="HL11" i="5"/>
  <c r="HM7" i="5"/>
  <c r="HN15" i="4"/>
  <c r="HL31" i="5" l="1"/>
  <c r="HL33" i="5"/>
  <c r="HL21" i="5"/>
  <c r="KT24" i="12"/>
  <c r="KT20" i="12"/>
  <c r="KT26" i="12"/>
  <c r="KT21" i="12"/>
  <c r="HK24" i="5"/>
  <c r="HK25" i="5"/>
  <c r="HM38" i="5"/>
  <c r="V24" i="6" s="1"/>
  <c r="KT23" i="12"/>
  <c r="KT25" i="12"/>
  <c r="HK34" i="5"/>
  <c r="HL30" i="5"/>
  <c r="HL32" i="5"/>
  <c r="HK22" i="5"/>
  <c r="HI26" i="5"/>
  <c r="HM10" i="5"/>
  <c r="KT10" i="12"/>
  <c r="KT11" i="12"/>
  <c r="KT16" i="12"/>
  <c r="KU7" i="12"/>
  <c r="KT8" i="12"/>
  <c r="HF40" i="5"/>
  <c r="HL62" i="5"/>
  <c r="HL61" i="5"/>
  <c r="HG36" i="5"/>
  <c r="HM11" i="5"/>
  <c r="HN7" i="5"/>
  <c r="HO15" i="4"/>
  <c r="HM31" i="5" l="1"/>
  <c r="HM21" i="5"/>
  <c r="HM33" i="5"/>
  <c r="KU24" i="12"/>
  <c r="KU26" i="12"/>
  <c r="KU20" i="12"/>
  <c r="KU21" i="12"/>
  <c r="HL24" i="5"/>
  <c r="HL25" i="5"/>
  <c r="HN38" i="5"/>
  <c r="HF70" i="5"/>
  <c r="HL34" i="5"/>
  <c r="KU23" i="12"/>
  <c r="KU25" i="12"/>
  <c r="HM30" i="5"/>
  <c r="HM32" i="5"/>
  <c r="HK26" i="5"/>
  <c r="HJ26" i="5"/>
  <c r="HL22" i="5"/>
  <c r="HN10" i="5"/>
  <c r="KU10" i="12"/>
  <c r="KU11" i="12"/>
  <c r="KU16" i="12"/>
  <c r="KV7" i="12"/>
  <c r="KU8" i="12"/>
  <c r="HG40" i="5"/>
  <c r="HH36" i="5"/>
  <c r="HM62" i="5"/>
  <c r="HM61" i="5"/>
  <c r="HN11" i="5"/>
  <c r="HO7" i="5"/>
  <c r="HP15" i="4"/>
  <c r="HN31" i="5" l="1"/>
  <c r="HN33" i="5"/>
  <c r="HN21" i="5"/>
  <c r="KV24" i="12"/>
  <c r="KV26" i="12"/>
  <c r="KV20" i="12"/>
  <c r="KV21" i="12"/>
  <c r="HM24" i="5"/>
  <c r="HM25" i="5"/>
  <c r="HO38" i="5"/>
  <c r="HG70" i="5"/>
  <c r="HM34" i="5"/>
  <c r="KV23" i="12"/>
  <c r="KV25" i="12"/>
  <c r="HN30" i="5"/>
  <c r="HN25" i="5"/>
  <c r="HN32" i="5"/>
  <c r="HM22" i="5"/>
  <c r="V9" i="6"/>
  <c r="HO10" i="5"/>
  <c r="KV10" i="12"/>
  <c r="KV11" i="12"/>
  <c r="KV16" i="12"/>
  <c r="KV8" i="12"/>
  <c r="KW7" i="12"/>
  <c r="HH40" i="5"/>
  <c r="HN61" i="5"/>
  <c r="HN62" i="5"/>
  <c r="HI36" i="5"/>
  <c r="HO11" i="5"/>
  <c r="HP7" i="5"/>
  <c r="HQ15" i="4"/>
  <c r="KW24" i="12" l="1"/>
  <c r="KW26" i="12"/>
  <c r="KW20" i="12"/>
  <c r="KW21" i="12"/>
  <c r="HO31" i="5"/>
  <c r="HO33" i="5"/>
  <c r="HO21" i="5"/>
  <c r="HP38" i="5"/>
  <c r="HH70" i="5"/>
  <c r="KW23" i="12"/>
  <c r="KW25" i="12"/>
  <c r="HN34" i="5"/>
  <c r="HN24" i="5"/>
  <c r="V8" i="6"/>
  <c r="HO30" i="5"/>
  <c r="HO25" i="5"/>
  <c r="HO32" i="5"/>
  <c r="HM26" i="5"/>
  <c r="HL26" i="5"/>
  <c r="HN22" i="5"/>
  <c r="HP10" i="5"/>
  <c r="KW10" i="12"/>
  <c r="KW11" i="12"/>
  <c r="KW16" i="12"/>
  <c r="KW8" i="12"/>
  <c r="KX7" i="12"/>
  <c r="HI40" i="5"/>
  <c r="HO61" i="5"/>
  <c r="HO62" i="5"/>
  <c r="HJ36" i="5"/>
  <c r="HP11" i="5"/>
  <c r="HQ7" i="5"/>
  <c r="HR15" i="4"/>
  <c r="HP31" i="5" l="1"/>
  <c r="HP33" i="5"/>
  <c r="HP21" i="5"/>
  <c r="KX24" i="12"/>
  <c r="KX26" i="12"/>
  <c r="KX21" i="12"/>
  <c r="KX20" i="12"/>
  <c r="V10" i="6"/>
  <c r="V13" i="6"/>
  <c r="HQ38" i="5"/>
  <c r="HI70" i="5"/>
  <c r="HO34" i="5"/>
  <c r="KX23" i="12"/>
  <c r="KX25" i="12"/>
  <c r="HP30" i="5"/>
  <c r="HP32" i="5"/>
  <c r="HO24" i="5"/>
  <c r="HO22" i="5"/>
  <c r="HQ10" i="5"/>
  <c r="KX10" i="12"/>
  <c r="KX16" i="12"/>
  <c r="KX11" i="12"/>
  <c r="KX8" i="12"/>
  <c r="KY7" i="12"/>
  <c r="HJ40" i="5"/>
  <c r="HP61" i="5"/>
  <c r="HP62" i="5"/>
  <c r="HK36" i="5"/>
  <c r="HQ11" i="5"/>
  <c r="HR7" i="5"/>
  <c r="HS15" i="4"/>
  <c r="HQ31" i="5" l="1"/>
  <c r="HQ33" i="5"/>
  <c r="HQ21" i="5"/>
  <c r="KY24" i="12"/>
  <c r="KY26" i="12"/>
  <c r="KY21" i="12"/>
  <c r="KY20" i="12"/>
  <c r="HP24" i="5"/>
  <c r="HP25" i="5"/>
  <c r="HR38" i="5"/>
  <c r="HJ70" i="5"/>
  <c r="HP34" i="5"/>
  <c r="KY23" i="12"/>
  <c r="KY25" i="12"/>
  <c r="HQ30" i="5"/>
  <c r="HQ25" i="5"/>
  <c r="HQ32" i="5"/>
  <c r="HN26" i="5"/>
  <c r="HP22" i="5"/>
  <c r="HR10" i="5"/>
  <c r="AC20" i="6"/>
  <c r="KY16" i="12"/>
  <c r="KY10" i="12"/>
  <c r="KY11" i="12"/>
  <c r="KY8" i="12"/>
  <c r="KZ7" i="12"/>
  <c r="HK40" i="5"/>
  <c r="HQ61" i="5"/>
  <c r="HQ62" i="5"/>
  <c r="HL36" i="5"/>
  <c r="HR11" i="5"/>
  <c r="HS7" i="5"/>
  <c r="HT15" i="4"/>
  <c r="KZ24" i="12" l="1"/>
  <c r="KZ26" i="12"/>
  <c r="KZ21" i="12"/>
  <c r="KZ20" i="12"/>
  <c r="HR31" i="5"/>
  <c r="HR33" i="5"/>
  <c r="HR21" i="5"/>
  <c r="HS38" i="5"/>
  <c r="HK70" i="5"/>
  <c r="HQ34" i="5"/>
  <c r="KZ23" i="12"/>
  <c r="KZ25" i="12"/>
  <c r="HQ24" i="5"/>
  <c r="HR30" i="5"/>
  <c r="HR32" i="5"/>
  <c r="HO26" i="5"/>
  <c r="HQ22" i="5"/>
  <c r="HS10" i="5"/>
  <c r="KZ16" i="12"/>
  <c r="KZ11" i="12"/>
  <c r="KZ10" i="12"/>
  <c r="KZ8" i="12"/>
  <c r="LA7" i="12"/>
  <c r="V12" i="6"/>
  <c r="V14" i="6" s="1"/>
  <c r="HL40" i="5"/>
  <c r="HR61" i="5"/>
  <c r="HR62" i="5"/>
  <c r="HM36" i="5"/>
  <c r="HS11" i="5"/>
  <c r="HT7" i="5"/>
  <c r="HU15" i="4"/>
  <c r="LA24" i="12" l="1"/>
  <c r="LA26" i="12"/>
  <c r="LA20" i="12"/>
  <c r="LA21" i="12"/>
  <c r="HS31" i="5"/>
  <c r="HS33" i="5"/>
  <c r="HS21" i="5"/>
  <c r="HR24" i="5"/>
  <c r="HR25" i="5"/>
  <c r="HT38" i="5"/>
  <c r="HL70" i="5"/>
  <c r="LA23" i="12"/>
  <c r="LA25" i="12"/>
  <c r="HR34" i="5"/>
  <c r="HS30" i="5"/>
  <c r="HS32" i="5"/>
  <c r="HP26" i="5"/>
  <c r="HR22" i="5"/>
  <c r="HT10" i="5"/>
  <c r="V22" i="6"/>
  <c r="LA16" i="12"/>
  <c r="LA10" i="12"/>
  <c r="LA11" i="12"/>
  <c r="LB7" i="12"/>
  <c r="LA8" i="12"/>
  <c r="HM40" i="5"/>
  <c r="HS62" i="5"/>
  <c r="HS61" i="5"/>
  <c r="HN36" i="5"/>
  <c r="HT11" i="5"/>
  <c r="HU7" i="5"/>
  <c r="HV15" i="4"/>
  <c r="HT31" i="5" l="1"/>
  <c r="HT33" i="5"/>
  <c r="HT21" i="5"/>
  <c r="LB24" i="12"/>
  <c r="LB20" i="12"/>
  <c r="LB26" i="12"/>
  <c r="LB21" i="12"/>
  <c r="V26" i="6"/>
  <c r="U6" i="9"/>
  <c r="HS24" i="5"/>
  <c r="HS25" i="5"/>
  <c r="HU38" i="5"/>
  <c r="HM70" i="5"/>
  <c r="LB23" i="12"/>
  <c r="LB25" i="12"/>
  <c r="HS34" i="5"/>
  <c r="HT30" i="5"/>
  <c r="HT25" i="5"/>
  <c r="HT32" i="5"/>
  <c r="HQ26" i="5"/>
  <c r="HS22" i="5"/>
  <c r="HU10" i="5"/>
  <c r="LB10" i="12"/>
  <c r="LB11" i="12"/>
  <c r="LB16" i="12"/>
  <c r="LC7" i="12"/>
  <c r="LB8" i="12"/>
  <c r="HN40" i="5"/>
  <c r="HO36" i="5"/>
  <c r="HT62" i="5"/>
  <c r="HT61" i="5"/>
  <c r="HU11" i="5"/>
  <c r="HV7" i="5"/>
  <c r="HW15" i="4"/>
  <c r="V38" i="6" l="1"/>
  <c r="U9" i="9" s="1"/>
  <c r="U4" i="9"/>
  <c r="HU31" i="5"/>
  <c r="HU21" i="5"/>
  <c r="HU33" i="5"/>
  <c r="LC24" i="12"/>
  <c r="LC26" i="12"/>
  <c r="LC20" i="12"/>
  <c r="LC21" i="12"/>
  <c r="HV38" i="5"/>
  <c r="HN70" i="5"/>
  <c r="LC23" i="12"/>
  <c r="LC25" i="12"/>
  <c r="HT34" i="5"/>
  <c r="HT24" i="5"/>
  <c r="HU30" i="5"/>
  <c r="HU32" i="5"/>
  <c r="HR26" i="5"/>
  <c r="HT22" i="5"/>
  <c r="HV10" i="5"/>
  <c r="LC10" i="12"/>
  <c r="LC11" i="12"/>
  <c r="LC16" i="12"/>
  <c r="LD7" i="12"/>
  <c r="LC8" i="12"/>
  <c r="HO40" i="5"/>
  <c r="HP36" i="5"/>
  <c r="HU62" i="5"/>
  <c r="HU61" i="5"/>
  <c r="HV11" i="5"/>
  <c r="HW7" i="5"/>
  <c r="HX15" i="4"/>
  <c r="HV31" i="5" l="1"/>
  <c r="HV33" i="5"/>
  <c r="HV21" i="5"/>
  <c r="LD24" i="12"/>
  <c r="LD26" i="12"/>
  <c r="LD20" i="12"/>
  <c r="LD21" i="12"/>
  <c r="HU24" i="5"/>
  <c r="HU25" i="5"/>
  <c r="HW38" i="5"/>
  <c r="HO70" i="5"/>
  <c r="HU34" i="5"/>
  <c r="LD23" i="12"/>
  <c r="LD25" i="12"/>
  <c r="HV30" i="5"/>
  <c r="HV32" i="5"/>
  <c r="HT26" i="5"/>
  <c r="HS26" i="5"/>
  <c r="HU22" i="5"/>
  <c r="HW10" i="5"/>
  <c r="LD10" i="12"/>
  <c r="LD11" i="12"/>
  <c r="LD16" i="12"/>
  <c r="LD8" i="12"/>
  <c r="LE7" i="12"/>
  <c r="HP40" i="5"/>
  <c r="HV61" i="5"/>
  <c r="HV62" i="5"/>
  <c r="HQ36" i="5"/>
  <c r="HW11" i="5"/>
  <c r="HX7" i="5"/>
  <c r="HY15" i="4"/>
  <c r="HW31" i="5" l="1"/>
  <c r="HW33" i="5"/>
  <c r="HW21" i="5"/>
  <c r="LE24" i="12"/>
  <c r="LE26" i="12"/>
  <c r="LE20" i="12"/>
  <c r="LE21" i="12"/>
  <c r="HV24" i="5"/>
  <c r="HV25" i="5"/>
  <c r="HX38" i="5"/>
  <c r="HP70" i="5"/>
  <c r="LE25" i="12"/>
  <c r="LE23" i="12"/>
  <c r="HV34" i="5"/>
  <c r="HW30" i="5"/>
  <c r="HW32" i="5"/>
  <c r="HV22" i="5"/>
  <c r="HX10" i="5"/>
  <c r="LE10" i="12"/>
  <c r="LE11" i="12"/>
  <c r="LE16" i="12"/>
  <c r="LE8" i="12"/>
  <c r="LF7" i="12"/>
  <c r="HQ40" i="5"/>
  <c r="HW61" i="5"/>
  <c r="HW62" i="5"/>
  <c r="HR36" i="5"/>
  <c r="HX11" i="5"/>
  <c r="HY7" i="5"/>
  <c r="HZ15" i="4"/>
  <c r="HX31" i="5" l="1"/>
  <c r="HX33" i="5"/>
  <c r="HX21" i="5"/>
  <c r="LF24" i="12"/>
  <c r="LF26" i="12"/>
  <c r="LF21" i="12"/>
  <c r="LF20" i="12"/>
  <c r="HW24" i="5"/>
  <c r="HW25" i="5"/>
  <c r="HY38" i="5"/>
  <c r="W24" i="6" s="1"/>
  <c r="HQ70" i="5"/>
  <c r="HW34" i="5"/>
  <c r="LF25" i="12"/>
  <c r="LF23" i="12"/>
  <c r="HX30" i="5"/>
  <c r="HX32" i="5"/>
  <c r="HV26" i="5"/>
  <c r="HU26" i="5"/>
  <c r="HW22" i="5"/>
  <c r="HY10" i="5"/>
  <c r="LF11" i="12"/>
  <c r="LF16" i="12"/>
  <c r="LF10" i="12"/>
  <c r="LF8" i="12"/>
  <c r="LG7" i="12"/>
  <c r="HR40" i="5"/>
  <c r="HX61" i="5"/>
  <c r="HX62" i="5"/>
  <c r="HS36" i="5"/>
  <c r="HY11" i="5"/>
  <c r="HZ7" i="5"/>
  <c r="IA15" i="4"/>
  <c r="HY31" i="5" l="1"/>
  <c r="HY33" i="5"/>
  <c r="HY21" i="5"/>
  <c r="LG24" i="12"/>
  <c r="LG26" i="12"/>
  <c r="LG21" i="12"/>
  <c r="LG20" i="12"/>
  <c r="HX24" i="5"/>
  <c r="HX25" i="5"/>
  <c r="HZ38" i="5"/>
  <c r="HR70" i="5"/>
  <c r="LG25" i="12"/>
  <c r="LG23" i="12"/>
  <c r="HX34" i="5"/>
  <c r="HY30" i="5"/>
  <c r="HY32" i="5"/>
  <c r="HW26" i="5"/>
  <c r="HX22" i="5"/>
  <c r="HZ10" i="5"/>
  <c r="LG16" i="12"/>
  <c r="LG10" i="12"/>
  <c r="LG11" i="12"/>
  <c r="LG8" i="12"/>
  <c r="LH7" i="12"/>
  <c r="HS40" i="5"/>
  <c r="HY62" i="5"/>
  <c r="HY61" i="5"/>
  <c r="HT36" i="5"/>
  <c r="HZ11" i="5"/>
  <c r="IA7" i="5"/>
  <c r="IB15" i="4"/>
  <c r="HZ31" i="5" l="1"/>
  <c r="HZ33" i="5"/>
  <c r="HZ21" i="5"/>
  <c r="W9" i="6" s="1"/>
  <c r="LH24" i="12"/>
  <c r="LH26" i="12"/>
  <c r="LH21" i="12"/>
  <c r="LH20" i="12"/>
  <c r="HY24" i="5"/>
  <c r="HY25" i="5"/>
  <c r="IA38" i="5"/>
  <c r="HS70" i="5"/>
  <c r="HY34" i="5"/>
  <c r="LH25" i="12"/>
  <c r="LH23" i="12"/>
  <c r="HZ30" i="5"/>
  <c r="HZ25" i="5"/>
  <c r="HZ32" i="5"/>
  <c r="HY22" i="5"/>
  <c r="IA10" i="5"/>
  <c r="LH16" i="12"/>
  <c r="LH10" i="12"/>
  <c r="LH11" i="12"/>
  <c r="LI7" i="12"/>
  <c r="LH8" i="12"/>
  <c r="HT40" i="5"/>
  <c r="HZ61" i="5"/>
  <c r="HZ62" i="5"/>
  <c r="HU36" i="5"/>
  <c r="IA11" i="5"/>
  <c r="IB7" i="5"/>
  <c r="IC15" i="4"/>
  <c r="IA31" i="5" l="1"/>
  <c r="IA33" i="5"/>
  <c r="IA21" i="5"/>
  <c r="LI24" i="12"/>
  <c r="LI26" i="12"/>
  <c r="LI20" i="12"/>
  <c r="LI21" i="12"/>
  <c r="IB38" i="5"/>
  <c r="HT70" i="5"/>
  <c r="HZ34" i="5"/>
  <c r="LI23" i="12"/>
  <c r="LI25" i="12"/>
  <c r="HZ24" i="5"/>
  <c r="W8" i="6"/>
  <c r="IA30" i="5"/>
  <c r="IA25" i="5"/>
  <c r="IA32" i="5"/>
  <c r="HX26" i="5"/>
  <c r="HZ22" i="5"/>
  <c r="IB10" i="5"/>
  <c r="LI16" i="12"/>
  <c r="LI10" i="12"/>
  <c r="LI11" i="12"/>
  <c r="LJ7" i="12"/>
  <c r="LI8" i="12"/>
  <c r="HU40" i="5"/>
  <c r="IA62" i="5"/>
  <c r="IA61" i="5"/>
  <c r="HV36" i="5"/>
  <c r="HW36" i="5"/>
  <c r="IB11" i="5"/>
  <c r="IC7" i="5"/>
  <c r="ID15" i="4"/>
  <c r="IB31" i="5" l="1"/>
  <c r="IB33" i="5"/>
  <c r="IB21" i="5"/>
  <c r="LJ24" i="12"/>
  <c r="LJ20" i="12"/>
  <c r="LJ26" i="12"/>
  <c r="LJ21" i="12"/>
  <c r="W10" i="6"/>
  <c r="W13" i="6"/>
  <c r="IC38" i="5"/>
  <c r="HU70" i="5"/>
  <c r="IA34" i="5"/>
  <c r="LJ23" i="12"/>
  <c r="LJ25" i="12"/>
  <c r="IB30" i="5"/>
  <c r="IB32" i="5"/>
  <c r="IA24" i="5"/>
  <c r="HY26" i="5"/>
  <c r="IA22" i="5"/>
  <c r="IC10" i="5"/>
  <c r="LJ10" i="12"/>
  <c r="LJ11" i="12"/>
  <c r="LJ16" i="12"/>
  <c r="LK7" i="12"/>
  <c r="LJ8" i="12"/>
  <c r="HV40" i="5"/>
  <c r="HW40" i="5"/>
  <c r="IB62" i="5"/>
  <c r="IB61" i="5"/>
  <c r="IC11" i="5"/>
  <c r="ID7" i="5"/>
  <c r="IE15" i="4"/>
  <c r="LK24" i="12" l="1"/>
  <c r="LK26" i="12"/>
  <c r="LK21" i="12"/>
  <c r="LK20" i="12"/>
  <c r="IC31" i="5"/>
  <c r="IC21" i="5"/>
  <c r="IC33" i="5"/>
  <c r="IB24" i="5"/>
  <c r="IB25" i="5"/>
  <c r="ID38" i="5"/>
  <c r="HV70" i="5"/>
  <c r="HW70" i="5"/>
  <c r="IB34" i="5"/>
  <c r="LK23" i="12"/>
  <c r="LK25" i="12"/>
  <c r="IC30" i="5"/>
  <c r="IC25" i="5"/>
  <c r="IC32" i="5"/>
  <c r="HZ26" i="5"/>
  <c r="IB22" i="5"/>
  <c r="ID10" i="5"/>
  <c r="AD20" i="6"/>
  <c r="LK10" i="12"/>
  <c r="LK11" i="12"/>
  <c r="LK16" i="12"/>
  <c r="LL7" i="12"/>
  <c r="LK8" i="12"/>
  <c r="IC61" i="5"/>
  <c r="IC62" i="5"/>
  <c r="HX36" i="5"/>
  <c r="ID11" i="5"/>
  <c r="IE7" i="5"/>
  <c r="IF15" i="4"/>
  <c r="ID31" i="5" l="1"/>
  <c r="ID33" i="5"/>
  <c r="ID21" i="5"/>
  <c r="LL24" i="12"/>
  <c r="LL20" i="12"/>
  <c r="LL26" i="12"/>
  <c r="LL21" i="12"/>
  <c r="IE38" i="5"/>
  <c r="LL23" i="12"/>
  <c r="LL25" i="12"/>
  <c r="IC34" i="5"/>
  <c r="IC24" i="5"/>
  <c r="ID30" i="5"/>
  <c r="ID32" i="5"/>
  <c r="IB26" i="5"/>
  <c r="IA26" i="5"/>
  <c r="IC22" i="5"/>
  <c r="IE10" i="5"/>
  <c r="W12" i="6"/>
  <c r="W14" i="6" s="1"/>
  <c r="LL10" i="12"/>
  <c r="LL11" i="12"/>
  <c r="LL16" i="12"/>
  <c r="LL8" i="12"/>
  <c r="LM7" i="12"/>
  <c r="HX40" i="5"/>
  <c r="ID61" i="5"/>
  <c r="ID62" i="5"/>
  <c r="HY36" i="5"/>
  <c r="IE11" i="5"/>
  <c r="IF7" i="5"/>
  <c r="IG15" i="4"/>
  <c r="IE31" i="5" l="1"/>
  <c r="IE33" i="5"/>
  <c r="IE21" i="5"/>
  <c r="LM24" i="12"/>
  <c r="LM20" i="12"/>
  <c r="LM26" i="12"/>
  <c r="LM21" i="12"/>
  <c r="ID24" i="5"/>
  <c r="ID25" i="5"/>
  <c r="IF38" i="5"/>
  <c r="HX70" i="5"/>
  <c r="LM23" i="12"/>
  <c r="LM25" i="12"/>
  <c r="ID34" i="5"/>
  <c r="IE30" i="5"/>
  <c r="IE32" i="5"/>
  <c r="ID22" i="5"/>
  <c r="IF10" i="5"/>
  <c r="W22" i="6"/>
  <c r="LM10" i="12"/>
  <c r="LM11" i="12"/>
  <c r="LM16" i="12"/>
  <c r="LM8" i="12"/>
  <c r="LN7" i="12"/>
  <c r="HY40" i="5"/>
  <c r="IE61" i="5"/>
  <c r="IE62" i="5"/>
  <c r="HZ36" i="5"/>
  <c r="IF11" i="5"/>
  <c r="IG7" i="5"/>
  <c r="IH15" i="4"/>
  <c r="IF31" i="5" l="1"/>
  <c r="IF21" i="5"/>
  <c r="IF33" i="5"/>
  <c r="LN24" i="12"/>
  <c r="LN20" i="12"/>
  <c r="LN21" i="12"/>
  <c r="LN26" i="12"/>
  <c r="W26" i="6"/>
  <c r="V6" i="9"/>
  <c r="IE24" i="5"/>
  <c r="IE25" i="5"/>
  <c r="IG38" i="5"/>
  <c r="HY70" i="5"/>
  <c r="LN25" i="12"/>
  <c r="LN23" i="12"/>
  <c r="IE34" i="5"/>
  <c r="IF30" i="5"/>
  <c r="IF32" i="5"/>
  <c r="ID26" i="5"/>
  <c r="IC26" i="5"/>
  <c r="IE22" i="5"/>
  <c r="IG10" i="5"/>
  <c r="LN11" i="12"/>
  <c r="LN10" i="12"/>
  <c r="LN16" i="12"/>
  <c r="LO7" i="12"/>
  <c r="LN8" i="12"/>
  <c r="HZ40" i="5"/>
  <c r="IF62" i="5"/>
  <c r="IF61" i="5"/>
  <c r="IA36" i="5"/>
  <c r="IG11" i="5"/>
  <c r="IH7" i="5"/>
  <c r="II15" i="4"/>
  <c r="W38" i="6" l="1"/>
  <c r="V9" i="9" s="1"/>
  <c r="LO24" i="12"/>
  <c r="LO26" i="12"/>
  <c r="LO20" i="12"/>
  <c r="LO21" i="12"/>
  <c r="IG31" i="5"/>
  <c r="IG21" i="5"/>
  <c r="IG33" i="5"/>
  <c r="V4" i="9"/>
  <c r="IF24" i="5"/>
  <c r="IF25" i="5"/>
  <c r="IH38" i="5"/>
  <c r="HZ70" i="5"/>
  <c r="LO25" i="12"/>
  <c r="LO23" i="12"/>
  <c r="IF34" i="5"/>
  <c r="IG30" i="5"/>
  <c r="IG25" i="5"/>
  <c r="IG32" i="5"/>
  <c r="IF22" i="5"/>
  <c r="IH10" i="5"/>
  <c r="LO16" i="12"/>
  <c r="LO11" i="12"/>
  <c r="LO10" i="12"/>
  <c r="LO8" i="12"/>
  <c r="LP7" i="12"/>
  <c r="IG61" i="5"/>
  <c r="IG62" i="5"/>
  <c r="IA40" i="5"/>
  <c r="IB36" i="5"/>
  <c r="IH11" i="5"/>
  <c r="II7" i="5"/>
  <c r="IJ15" i="4"/>
  <c r="IH31" i="5" l="1"/>
  <c r="IH33" i="5"/>
  <c r="IH21" i="5"/>
  <c r="LP24" i="12"/>
  <c r="LP26" i="12"/>
  <c r="LP20" i="12"/>
  <c r="LP21" i="12"/>
  <c r="II38" i="5"/>
  <c r="IA70" i="5"/>
  <c r="LP25" i="12"/>
  <c r="LP23" i="12"/>
  <c r="IG34" i="5"/>
  <c r="IH30" i="5"/>
  <c r="IH32" i="5"/>
  <c r="IG24" i="5"/>
  <c r="IE26" i="5"/>
  <c r="IG22" i="5"/>
  <c r="II10" i="5"/>
  <c r="LP16" i="12"/>
  <c r="LP10" i="12"/>
  <c r="LP11" i="12"/>
  <c r="LP8" i="12"/>
  <c r="LQ7" i="12"/>
  <c r="IB40" i="5"/>
  <c r="IH61" i="5"/>
  <c r="IH62" i="5"/>
  <c r="IC36" i="5"/>
  <c r="II11" i="5"/>
  <c r="IJ7" i="5"/>
  <c r="IK15" i="4"/>
  <c r="LQ24" i="12" l="1"/>
  <c r="LQ26" i="12"/>
  <c r="LQ20" i="12"/>
  <c r="LQ21" i="12"/>
  <c r="II31" i="5"/>
  <c r="II33" i="5"/>
  <c r="II21" i="5"/>
  <c r="IH24" i="5"/>
  <c r="IH25" i="5"/>
  <c r="IJ38" i="5"/>
  <c r="IB70" i="5"/>
  <c r="IH34" i="5"/>
  <c r="LQ23" i="12"/>
  <c r="LQ25" i="12"/>
  <c r="II30" i="5"/>
  <c r="II32" i="5"/>
  <c r="IF26" i="5"/>
  <c r="IH22" i="5"/>
  <c r="IJ10" i="5"/>
  <c r="LQ16" i="12"/>
  <c r="LQ10" i="12"/>
  <c r="LQ11" i="12"/>
  <c r="LR7" i="12"/>
  <c r="LQ8" i="12"/>
  <c r="IC40" i="5"/>
  <c r="II61" i="5"/>
  <c r="II62" i="5"/>
  <c r="ID36" i="5"/>
  <c r="IJ11" i="5"/>
  <c r="IK7" i="5"/>
  <c r="IL15" i="4"/>
  <c r="IJ31" i="5" l="1"/>
  <c r="IJ33" i="5"/>
  <c r="IJ21" i="5"/>
  <c r="LR24" i="12"/>
  <c r="LR20" i="12"/>
  <c r="LR26" i="12"/>
  <c r="LR21" i="12"/>
  <c r="II24" i="5"/>
  <c r="II25" i="5"/>
  <c r="IK38" i="5"/>
  <c r="X24" i="6" s="1"/>
  <c r="IC70" i="5"/>
  <c r="LR23" i="12"/>
  <c r="LR25" i="12"/>
  <c r="II34" i="5"/>
  <c r="IJ30" i="5"/>
  <c r="IJ32" i="5"/>
  <c r="IG26" i="5"/>
  <c r="II22" i="5"/>
  <c r="IK10" i="5"/>
  <c r="LR10" i="12"/>
  <c r="LR11" i="12"/>
  <c r="LR16" i="12"/>
  <c r="LS7" i="12"/>
  <c r="LR8" i="12"/>
  <c r="ID40" i="5"/>
  <c r="IJ61" i="5"/>
  <c r="IJ62" i="5"/>
  <c r="IE36" i="5"/>
  <c r="IK11" i="5"/>
  <c r="IL7" i="5"/>
  <c r="IM15" i="4"/>
  <c r="IK31" i="5" l="1"/>
  <c r="IK21" i="5"/>
  <c r="IK33" i="5"/>
  <c r="LS24" i="12"/>
  <c r="LS26" i="12"/>
  <c r="LS20" i="12"/>
  <c r="LS21" i="12"/>
  <c r="IJ24" i="5"/>
  <c r="IJ25" i="5"/>
  <c r="IL38" i="5"/>
  <c r="ID70" i="5"/>
  <c r="LS23" i="12"/>
  <c r="LS25" i="12"/>
  <c r="IJ34" i="5"/>
  <c r="IK30" i="5"/>
  <c r="IK32" i="5"/>
  <c r="IJ22" i="5"/>
  <c r="IH26" i="5"/>
  <c r="IL10" i="5"/>
  <c r="LS16" i="12"/>
  <c r="LS10" i="12"/>
  <c r="LS11" i="12"/>
  <c r="LT7" i="12"/>
  <c r="LS8" i="12"/>
  <c r="IK62" i="5"/>
  <c r="IK61" i="5"/>
  <c r="IF36" i="5"/>
  <c r="IE40" i="5"/>
  <c r="IL11" i="5"/>
  <c r="IM7" i="5"/>
  <c r="IN15" i="4"/>
  <c r="IL31" i="5" l="1"/>
  <c r="IL33" i="5"/>
  <c r="IL21" i="5"/>
  <c r="LT24" i="12"/>
  <c r="LT26" i="12"/>
  <c r="LT20" i="12"/>
  <c r="LT21" i="12"/>
  <c r="IK24" i="5"/>
  <c r="IK25" i="5"/>
  <c r="IM53" i="5"/>
  <c r="IM38" i="5"/>
  <c r="IM55" i="5"/>
  <c r="IM56" i="5" s="1"/>
  <c r="IE70" i="5"/>
  <c r="LT25" i="12"/>
  <c r="LT23" i="12"/>
  <c r="IK34" i="5"/>
  <c r="IL30" i="5"/>
  <c r="IL25" i="5"/>
  <c r="IL32" i="5"/>
  <c r="IJ26" i="5"/>
  <c r="II26" i="5"/>
  <c r="IK22" i="5"/>
  <c r="X9" i="6"/>
  <c r="IM10" i="5"/>
  <c r="LT16" i="12"/>
  <c r="LT10" i="12"/>
  <c r="LT11" i="12"/>
  <c r="LT8" i="12"/>
  <c r="LU7" i="12"/>
  <c r="IF40" i="5"/>
  <c r="IG36" i="5"/>
  <c r="IM11" i="5"/>
  <c r="IN7" i="5"/>
  <c r="IO15" i="4"/>
  <c r="LU24" i="12" l="1"/>
  <c r="LU26" i="12"/>
  <c r="LU20" i="12"/>
  <c r="LU21" i="12"/>
  <c r="IM31" i="5"/>
  <c r="IM33" i="5"/>
  <c r="IM21" i="5"/>
  <c r="IN38" i="5"/>
  <c r="IN53" i="5"/>
  <c r="IN55" i="5"/>
  <c r="IN56" i="5" s="1"/>
  <c r="IF70" i="5"/>
  <c r="IL34" i="5"/>
  <c r="LU23" i="12"/>
  <c r="LU25" i="12"/>
  <c r="IM30" i="5"/>
  <c r="IM25" i="5"/>
  <c r="IM32" i="5"/>
  <c r="IL24" i="5"/>
  <c r="X8" i="6"/>
  <c r="IL22" i="5"/>
  <c r="IN10" i="5"/>
  <c r="IM62" i="5"/>
  <c r="IM61" i="5"/>
  <c r="LU16" i="12"/>
  <c r="LU10" i="12"/>
  <c r="LU11" i="12"/>
  <c r="LU8" i="12"/>
  <c r="LV7" i="12"/>
  <c r="IH36" i="5"/>
  <c r="IG40" i="5"/>
  <c r="IN11" i="5"/>
  <c r="IO7" i="5"/>
  <c r="IP15" i="4"/>
  <c r="IN31" i="5" l="1"/>
  <c r="IN33" i="5"/>
  <c r="IN21" i="5"/>
  <c r="LV24" i="12"/>
  <c r="LV26" i="12"/>
  <c r="LV21" i="12"/>
  <c r="LV20" i="12"/>
  <c r="X10" i="6"/>
  <c r="X13" i="6"/>
  <c r="IO38" i="5"/>
  <c r="IO55" i="5"/>
  <c r="IO56" i="5" s="1"/>
  <c r="IO53" i="5"/>
  <c r="IG70" i="5"/>
  <c r="IM34" i="5"/>
  <c r="LV23" i="12"/>
  <c r="LV25" i="12"/>
  <c r="IN30" i="5"/>
  <c r="IN32" i="5"/>
  <c r="IM24" i="5"/>
  <c r="IL26" i="5"/>
  <c r="IK26" i="5"/>
  <c r="IM22" i="5"/>
  <c r="IO10" i="5"/>
  <c r="IN61" i="5"/>
  <c r="IN62" i="5"/>
  <c r="LV11" i="12"/>
  <c r="LV10" i="12"/>
  <c r="LV16" i="12"/>
  <c r="LV8" i="12"/>
  <c r="LW7" i="12"/>
  <c r="IH40" i="5"/>
  <c r="II36" i="5"/>
  <c r="IO11" i="5"/>
  <c r="IP7" i="5"/>
  <c r="IQ15" i="4"/>
  <c r="LW24" i="12" l="1"/>
  <c r="LW26" i="12"/>
  <c r="LW20" i="12"/>
  <c r="LW21" i="12"/>
  <c r="IO31" i="5"/>
  <c r="IO33" i="5"/>
  <c r="IO21" i="5"/>
  <c r="IN24" i="5"/>
  <c r="IN25" i="5"/>
  <c r="IP53" i="5"/>
  <c r="IP38" i="5"/>
  <c r="IP55" i="5"/>
  <c r="IP56" i="5" s="1"/>
  <c r="IH70" i="5"/>
  <c r="IN34" i="5"/>
  <c r="LW23" i="12"/>
  <c r="LW25" i="12"/>
  <c r="IO30" i="5"/>
  <c r="IO25" i="5"/>
  <c r="IO32" i="5"/>
  <c r="IN22" i="5"/>
  <c r="IP10" i="5"/>
  <c r="AE20" i="6"/>
  <c r="X12" i="6"/>
  <c r="X14" i="6" s="1"/>
  <c r="IO62" i="5"/>
  <c r="IO61" i="5"/>
  <c r="LW16" i="12"/>
  <c r="LW10" i="12"/>
  <c r="LW11" i="12"/>
  <c r="LW8" i="12"/>
  <c r="LX7" i="12"/>
  <c r="II40" i="5"/>
  <c r="IJ36" i="5"/>
  <c r="IP11" i="5"/>
  <c r="IQ7" i="5"/>
  <c r="IR15" i="4"/>
  <c r="LX24" i="12" l="1"/>
  <c r="LX26" i="12"/>
  <c r="LX20" i="12"/>
  <c r="LX21" i="12"/>
  <c r="IP31" i="5"/>
  <c r="IP33" i="5"/>
  <c r="IP21" i="5"/>
  <c r="IQ55" i="5"/>
  <c r="IQ56" i="5" s="1"/>
  <c r="IQ53" i="5"/>
  <c r="IQ38" i="5"/>
  <c r="II70" i="5"/>
  <c r="IO34" i="5"/>
  <c r="LX23" i="12"/>
  <c r="LX25" i="12"/>
  <c r="IP30" i="5"/>
  <c r="IP32" i="5"/>
  <c r="IO24" i="5"/>
  <c r="IM26" i="5"/>
  <c r="IO22" i="5"/>
  <c r="IQ10" i="5"/>
  <c r="X22" i="6"/>
  <c r="IP62" i="5"/>
  <c r="IP61" i="5"/>
  <c r="LX16" i="12"/>
  <c r="LX11" i="12"/>
  <c r="LX10" i="12"/>
  <c r="LX8" i="12"/>
  <c r="LY7" i="12"/>
  <c r="IJ40" i="5"/>
  <c r="IK36" i="5"/>
  <c r="IL36" i="5"/>
  <c r="IQ11" i="5"/>
  <c r="IR7" i="5"/>
  <c r="IS15" i="4"/>
  <c r="H4" i="6" a="1"/>
  <c r="H4" i="6" l="1"/>
  <c r="W6" i="9"/>
  <c r="LY24" i="12"/>
  <c r="LY26" i="12"/>
  <c r="LY20" i="12"/>
  <c r="LY21" i="12"/>
  <c r="IQ31" i="5"/>
  <c r="IQ33" i="5"/>
  <c r="IQ21" i="5"/>
  <c r="IP24" i="5"/>
  <c r="IP25" i="5"/>
  <c r="IR55" i="5"/>
  <c r="IR56" i="5" s="1"/>
  <c r="IR38" i="5"/>
  <c r="IR53" i="5"/>
  <c r="IJ70" i="5"/>
  <c r="LY23" i="12"/>
  <c r="LY25" i="12"/>
  <c r="IP34" i="5"/>
  <c r="IQ30" i="5"/>
  <c r="IQ32" i="5"/>
  <c r="IQ25" i="5"/>
  <c r="IN26" i="5"/>
  <c r="IP22" i="5"/>
  <c r="IR10" i="5"/>
  <c r="LY16" i="12"/>
  <c r="LY10" i="12"/>
  <c r="LY11" i="12"/>
  <c r="LZ7" i="12"/>
  <c r="LY8" i="12"/>
  <c r="IQ61" i="5"/>
  <c r="IQ62" i="5"/>
  <c r="IM36" i="5"/>
  <c r="IK40" i="5"/>
  <c r="IL40" i="5"/>
  <c r="IR11" i="5"/>
  <c r="IS7" i="5"/>
  <c r="IT15" i="4"/>
  <c r="IR31" i="5" l="1"/>
  <c r="IR33" i="5"/>
  <c r="IR21" i="5"/>
  <c r="LZ24" i="12"/>
  <c r="LZ20" i="12"/>
  <c r="LZ26" i="12"/>
  <c r="LZ21" i="12"/>
  <c r="IS38" i="5"/>
  <c r="IS55" i="5"/>
  <c r="IS56" i="5" s="1"/>
  <c r="IS53" i="5"/>
  <c r="IK70" i="5"/>
  <c r="IQ34" i="5"/>
  <c r="LZ23" i="12"/>
  <c r="LZ25" i="12"/>
  <c r="IQ24" i="5"/>
  <c r="IR30" i="5"/>
  <c r="IR32" i="5"/>
  <c r="IO26" i="5"/>
  <c r="IQ22" i="5"/>
  <c r="IS10" i="5"/>
  <c r="IN36" i="5"/>
  <c r="IN40" i="5" s="1"/>
  <c r="IM40" i="5"/>
  <c r="IR61" i="5"/>
  <c r="IR62" i="5"/>
  <c r="LZ10" i="12"/>
  <c r="LZ11" i="12"/>
  <c r="LZ16" i="12"/>
  <c r="MA7" i="12"/>
  <c r="LZ8" i="12"/>
  <c r="O4" i="9"/>
  <c r="ET61" i="5"/>
  <c r="IS11" i="5"/>
  <c r="IT7" i="5"/>
  <c r="IU15" i="4"/>
  <c r="MA24" i="12" l="1"/>
  <c r="MA26" i="12"/>
  <c r="MA20" i="12"/>
  <c r="MA21" i="12"/>
  <c r="IS31" i="5"/>
  <c r="IS21" i="5"/>
  <c r="IS33" i="5"/>
  <c r="IR24" i="5"/>
  <c r="IR25" i="5"/>
  <c r="IT55" i="5"/>
  <c r="IT56" i="5" s="1"/>
  <c r="IT38" i="5"/>
  <c r="IT53" i="5"/>
  <c r="MA23" i="12"/>
  <c r="MA25" i="12"/>
  <c r="IR34" i="5"/>
  <c r="IS30" i="5"/>
  <c r="IS25" i="5"/>
  <c r="IS32" i="5"/>
  <c r="IR22" i="5"/>
  <c r="IP26" i="5"/>
  <c r="IT10" i="5"/>
  <c r="IS61" i="5"/>
  <c r="IS62" i="5"/>
  <c r="MA10" i="12"/>
  <c r="MA11" i="12"/>
  <c r="MA16" i="12"/>
  <c r="MB7" i="12"/>
  <c r="MA8" i="12"/>
  <c r="IO36" i="5"/>
  <c r="IM70" i="5"/>
  <c r="IN70" i="5"/>
  <c r="ET62" i="5"/>
  <c r="ET70" i="5" s="1"/>
  <c r="J4" i="9"/>
  <c r="IT11" i="5"/>
  <c r="IU7" i="5"/>
  <c r="IV15" i="4"/>
  <c r="IT31" i="5" l="1"/>
  <c r="IT33" i="5"/>
  <c r="IT21" i="5"/>
  <c r="MB24" i="12"/>
  <c r="MB26" i="12"/>
  <c r="MB20" i="12"/>
  <c r="MB21" i="12"/>
  <c r="IU53" i="5"/>
  <c r="IU55" i="5"/>
  <c r="IU56" i="5" s="1"/>
  <c r="IU38" i="5"/>
  <c r="MB23" i="12"/>
  <c r="MB25" i="12"/>
  <c r="IS34" i="5"/>
  <c r="IT30" i="5"/>
  <c r="IT32" i="5"/>
  <c r="IS24" i="5"/>
  <c r="IR26" i="5"/>
  <c r="IQ26" i="5"/>
  <c r="IS22" i="5"/>
  <c r="IU10" i="5"/>
  <c r="IT61" i="5"/>
  <c r="IT62" i="5"/>
  <c r="MB10" i="12"/>
  <c r="MB11" i="12"/>
  <c r="MB16" i="12"/>
  <c r="MB8" i="12"/>
  <c r="MC7" i="12"/>
  <c r="IP36" i="5"/>
  <c r="IO40" i="5"/>
  <c r="IU11" i="5"/>
  <c r="IV7" i="5"/>
  <c r="IW15" i="4"/>
  <c r="IU31" i="5" l="1"/>
  <c r="IU33" i="5"/>
  <c r="IU21" i="5"/>
  <c r="MC24" i="12"/>
  <c r="MC26" i="12"/>
  <c r="MC21" i="12"/>
  <c r="MC20" i="12"/>
  <c r="IT24" i="5"/>
  <c r="IT25" i="5"/>
  <c r="IV38" i="5"/>
  <c r="IV53" i="5"/>
  <c r="IV55" i="5"/>
  <c r="IV56" i="5" s="1"/>
  <c r="MC23" i="12"/>
  <c r="MC25" i="12"/>
  <c r="IT34" i="5"/>
  <c r="IU30" i="5"/>
  <c r="IU25" i="5"/>
  <c r="IU32" i="5"/>
  <c r="IT22" i="5"/>
  <c r="IV10" i="5"/>
  <c r="IQ36" i="5"/>
  <c r="IQ40" i="5" s="1"/>
  <c r="IO70" i="5"/>
  <c r="MC10" i="12"/>
  <c r="MC11" i="12"/>
  <c r="MC16" i="12"/>
  <c r="MC8" i="12"/>
  <c r="MD7" i="12"/>
  <c r="IU62" i="5"/>
  <c r="IU61" i="5"/>
  <c r="IP40" i="5"/>
  <c r="IV11" i="5"/>
  <c r="IW7" i="5"/>
  <c r="IX15" i="4"/>
  <c r="MD24" i="12" l="1"/>
  <c r="MD20" i="12"/>
  <c r="MD21" i="12"/>
  <c r="MD26" i="12"/>
  <c r="IV31" i="5"/>
  <c r="IV33" i="5"/>
  <c r="IV21" i="5"/>
  <c r="IW38" i="5"/>
  <c r="Y24" i="6" s="1"/>
  <c r="IW53" i="5"/>
  <c r="IW55" i="5"/>
  <c r="IW56" i="5" s="1"/>
  <c r="IU34" i="5"/>
  <c r="MD25" i="12"/>
  <c r="MD23" i="12"/>
  <c r="IV30" i="5"/>
  <c r="IV32" i="5"/>
  <c r="IU24" i="5"/>
  <c r="IT26" i="5"/>
  <c r="IS26" i="5"/>
  <c r="IU22" i="5"/>
  <c r="IW10" i="5"/>
  <c r="IV61" i="5"/>
  <c r="IV62" i="5"/>
  <c r="MD11" i="12"/>
  <c r="MD10" i="12"/>
  <c r="MD16" i="12"/>
  <c r="ME7" i="12"/>
  <c r="MD8" i="12"/>
  <c r="IP70" i="5"/>
  <c r="IR36" i="5"/>
  <c r="IQ70" i="5"/>
  <c r="IW11" i="5"/>
  <c r="IX7" i="5"/>
  <c r="IY15" i="4"/>
  <c r="IW31" i="5" l="1"/>
  <c r="IW33" i="5"/>
  <c r="IW21" i="5"/>
  <c r="ME24" i="12"/>
  <c r="ME26" i="12"/>
  <c r="ME20" i="12"/>
  <c r="ME21" i="12"/>
  <c r="IV24" i="5"/>
  <c r="IV25" i="5"/>
  <c r="IX55" i="5"/>
  <c r="IX56" i="5" s="1"/>
  <c r="Y34" i="6" s="1"/>
  <c r="IX38" i="5"/>
  <c r="IX53" i="5"/>
  <c r="IV34" i="5"/>
  <c r="ME25" i="12"/>
  <c r="ME23" i="12"/>
  <c r="IW30" i="5"/>
  <c r="IW32" i="5"/>
  <c r="IV22" i="5"/>
  <c r="IX10" i="5"/>
  <c r="IS36" i="5"/>
  <c r="IS40" i="5" s="1"/>
  <c r="IW61" i="5"/>
  <c r="IW62" i="5"/>
  <c r="IR40" i="5"/>
  <c r="ME16" i="12"/>
  <c r="ME10" i="12"/>
  <c r="ME11" i="12"/>
  <c r="ME8" i="12"/>
  <c r="MF7" i="12"/>
  <c r="IX11" i="5"/>
  <c r="IY7" i="5"/>
  <c r="IZ15" i="4"/>
  <c r="MF24" i="12" l="1"/>
  <c r="MF26" i="12"/>
  <c r="MF20" i="12"/>
  <c r="MF21" i="12"/>
  <c r="IX31" i="5"/>
  <c r="IX33" i="5"/>
  <c r="IX21" i="5"/>
  <c r="IW24" i="5"/>
  <c r="IW25" i="5"/>
  <c r="IY38" i="5"/>
  <c r="IY55" i="5"/>
  <c r="IY56" i="5" s="1"/>
  <c r="IY53" i="5"/>
  <c r="MF23" i="12"/>
  <c r="MF25" i="12"/>
  <c r="IW34" i="5"/>
  <c r="IX30" i="5"/>
  <c r="IX25" i="5"/>
  <c r="IX32" i="5"/>
  <c r="IU26" i="5"/>
  <c r="IW22" i="5"/>
  <c r="IY10" i="5"/>
  <c r="Y9" i="6"/>
  <c r="IR70" i="5"/>
  <c r="MF16" i="12"/>
  <c r="MF10" i="12"/>
  <c r="MF11" i="12"/>
  <c r="MG7" i="12"/>
  <c r="MF8" i="12"/>
  <c r="IX61" i="5"/>
  <c r="IX62" i="5"/>
  <c r="IT36" i="5"/>
  <c r="IS70" i="5"/>
  <c r="IY11" i="5"/>
  <c r="IZ7" i="5"/>
  <c r="JA15" i="4"/>
  <c r="IY31" i="5" l="1"/>
  <c r="IY33" i="5"/>
  <c r="IY21" i="5"/>
  <c r="MG24" i="12"/>
  <c r="MG26" i="12"/>
  <c r="MG20" i="12"/>
  <c r="MG21" i="12"/>
  <c r="IZ55" i="5"/>
  <c r="IZ56" i="5" s="1"/>
  <c r="IZ38" i="5"/>
  <c r="IZ53" i="5"/>
  <c r="MG23" i="12"/>
  <c r="MG25" i="12"/>
  <c r="IX34" i="5"/>
  <c r="IY30" i="5"/>
  <c r="IY25" i="5"/>
  <c r="IY32" i="5"/>
  <c r="IX24" i="5"/>
  <c r="Y8" i="6"/>
  <c r="IV26" i="5"/>
  <c r="IX22" i="5"/>
  <c r="IZ10" i="5"/>
  <c r="IU36" i="5"/>
  <c r="IU40" i="5" s="1"/>
  <c r="IT40" i="5"/>
  <c r="MG16" i="12"/>
  <c r="MG10" i="12"/>
  <c r="MG11" i="12"/>
  <c r="MH7" i="12"/>
  <c r="MG8" i="12"/>
  <c r="IY62" i="5"/>
  <c r="IY61" i="5"/>
  <c r="IZ11" i="5"/>
  <c r="JA7" i="5"/>
  <c r="JB15" i="4"/>
  <c r="IZ31" i="5" l="1"/>
  <c r="IZ33" i="5"/>
  <c r="IZ21" i="5"/>
  <c r="MH24" i="12"/>
  <c r="MH20" i="12"/>
  <c r="MH26" i="12"/>
  <c r="MH21" i="12"/>
  <c r="Y10" i="6"/>
  <c r="Y13" i="6"/>
  <c r="JA53" i="5"/>
  <c r="JA38" i="5"/>
  <c r="JA55" i="5"/>
  <c r="JA56" i="5" s="1"/>
  <c r="IY34" i="5"/>
  <c r="MH23" i="12"/>
  <c r="MH25" i="12"/>
  <c r="IY24" i="5"/>
  <c r="IZ30" i="5"/>
  <c r="IZ32" i="5"/>
  <c r="IY22" i="5"/>
  <c r="IW26" i="5"/>
  <c r="JA10" i="5"/>
  <c r="IU70" i="5"/>
  <c r="IT70" i="5"/>
  <c r="IZ62" i="5"/>
  <c r="IZ61" i="5"/>
  <c r="MH10" i="12"/>
  <c r="MH11" i="12"/>
  <c r="MH16" i="12"/>
  <c r="MI7" i="12"/>
  <c r="MH8" i="12"/>
  <c r="IV36" i="5"/>
  <c r="JA11" i="5"/>
  <c r="JB7" i="5"/>
  <c r="JC15" i="4"/>
  <c r="MI24" i="12" l="1"/>
  <c r="MI26" i="12"/>
  <c r="MI20" i="12"/>
  <c r="MI21" i="12"/>
  <c r="JA31" i="5"/>
  <c r="JA21" i="5"/>
  <c r="JA33" i="5"/>
  <c r="IZ24" i="5"/>
  <c r="IZ25" i="5"/>
  <c r="JB53" i="5"/>
  <c r="JB38" i="5"/>
  <c r="JB55" i="5"/>
  <c r="JB56" i="5" s="1"/>
  <c r="IZ34" i="5"/>
  <c r="MI23" i="12"/>
  <c r="MI25" i="12"/>
  <c r="JA30" i="5"/>
  <c r="JA25" i="5"/>
  <c r="JA32" i="5"/>
  <c r="IX26" i="5"/>
  <c r="IY26" i="5"/>
  <c r="IZ22" i="5"/>
  <c r="JB10" i="5"/>
  <c r="AF20" i="6"/>
  <c r="IW36" i="5"/>
  <c r="IW40" i="5" s="1"/>
  <c r="IV40" i="5"/>
  <c r="JA62" i="5"/>
  <c r="JA61" i="5"/>
  <c r="MI10" i="12"/>
  <c r="MI11" i="12"/>
  <c r="MI16" i="12"/>
  <c r="MJ7" i="12"/>
  <c r="MI8" i="12"/>
  <c r="JB11" i="5"/>
  <c r="JC7" i="5"/>
  <c r="JD15" i="4"/>
  <c r="MJ24" i="12" l="1"/>
  <c r="MJ26" i="12"/>
  <c r="MJ20" i="12"/>
  <c r="MJ21" i="12"/>
  <c r="JB31" i="5"/>
  <c r="JB33" i="5"/>
  <c r="JB21" i="5"/>
  <c r="JC53" i="5"/>
  <c r="JC55" i="5"/>
  <c r="JC56" i="5" s="1"/>
  <c r="JC38" i="5"/>
  <c r="JA34" i="5"/>
  <c r="MJ23" i="12"/>
  <c r="MJ25" i="12"/>
  <c r="JA24" i="5"/>
  <c r="JB30" i="5"/>
  <c r="JB32" i="5"/>
  <c r="IZ26" i="5"/>
  <c r="JA22" i="5"/>
  <c r="JC10" i="5"/>
  <c r="JB61" i="5"/>
  <c r="JB62" i="5"/>
  <c r="IX36" i="5"/>
  <c r="Y12" i="6"/>
  <c r="MJ10" i="12"/>
  <c r="MJ11" i="12"/>
  <c r="MJ16" i="12"/>
  <c r="MJ8" i="12"/>
  <c r="MK7" i="12"/>
  <c r="IV70" i="5"/>
  <c r="IW70" i="5"/>
  <c r="JC11" i="5"/>
  <c r="JD7" i="5"/>
  <c r="JE15" i="4"/>
  <c r="MK24" i="12" l="1"/>
  <c r="MK26" i="12"/>
  <c r="MK20" i="12"/>
  <c r="MK21" i="12"/>
  <c r="JC31" i="5"/>
  <c r="JC33" i="5"/>
  <c r="JC21" i="5"/>
  <c r="JB24" i="5"/>
  <c r="JB25" i="5"/>
  <c r="JD38" i="5"/>
  <c r="JD53" i="5"/>
  <c r="JD55" i="5"/>
  <c r="JD56" i="5" s="1"/>
  <c r="JB34" i="5"/>
  <c r="MK23" i="12"/>
  <c r="MK25" i="12"/>
  <c r="JC30" i="5"/>
  <c r="JC32" i="5"/>
  <c r="Y14" i="6"/>
  <c r="Y22" i="6" s="1"/>
  <c r="JA26" i="5"/>
  <c r="JB22" i="5"/>
  <c r="JD10" i="5"/>
  <c r="IX40" i="5"/>
  <c r="JC61" i="5"/>
  <c r="JC62" i="5"/>
  <c r="MK11" i="12"/>
  <c r="MK10" i="12"/>
  <c r="MK16" i="12"/>
  <c r="MK8" i="12"/>
  <c r="ML7" i="12"/>
  <c r="IY36" i="5"/>
  <c r="JD11" i="5"/>
  <c r="JE7" i="5"/>
  <c r="JF15" i="4"/>
  <c r="ML24" i="12" l="1"/>
  <c r="ML26" i="12"/>
  <c r="ML21" i="12"/>
  <c r="ML20" i="12"/>
  <c r="JD31" i="5"/>
  <c r="JD33" i="5"/>
  <c r="JD21" i="5"/>
  <c r="Y26" i="6"/>
  <c r="Y38" i="6" s="1"/>
  <c r="X9" i="9" s="1"/>
  <c r="X6" i="9"/>
  <c r="JC24" i="5"/>
  <c r="JC25" i="5"/>
  <c r="JE38" i="5"/>
  <c r="JE55" i="5"/>
  <c r="JE56" i="5" s="1"/>
  <c r="JE53" i="5"/>
  <c r="JC34" i="5"/>
  <c r="ML25" i="12"/>
  <c r="ML23" i="12"/>
  <c r="JD30" i="5"/>
  <c r="JD25" i="5"/>
  <c r="JD32" i="5"/>
  <c r="JC22" i="5"/>
  <c r="JE10" i="5"/>
  <c r="IY40" i="5"/>
  <c r="JD61" i="5"/>
  <c r="JD62" i="5"/>
  <c r="IZ36" i="5"/>
  <c r="IX70" i="5"/>
  <c r="ML11" i="12"/>
  <c r="ML16" i="12"/>
  <c r="ML10" i="12"/>
  <c r="ML8" i="12"/>
  <c r="MM7" i="12"/>
  <c r="JE11" i="5"/>
  <c r="JF7" i="5"/>
  <c r="JG15" i="4"/>
  <c r="MM24" i="12" l="1"/>
  <c r="MM26" i="12"/>
  <c r="MM21" i="12"/>
  <c r="MM20" i="12"/>
  <c r="JE31" i="5"/>
  <c r="JE33" i="5"/>
  <c r="JE21" i="5"/>
  <c r="X4" i="9"/>
  <c r="JF38" i="5"/>
  <c r="JF53" i="5"/>
  <c r="JF55" i="5"/>
  <c r="JF56" i="5" s="1"/>
  <c r="MM25" i="12"/>
  <c r="MM23" i="12"/>
  <c r="JD34" i="5"/>
  <c r="JD24" i="5"/>
  <c r="JE30" i="5"/>
  <c r="JE32" i="5"/>
  <c r="JB26" i="5"/>
  <c r="JD22" i="5"/>
  <c r="JF10" i="5"/>
  <c r="IZ40" i="5"/>
  <c r="IY70" i="5"/>
  <c r="JE61" i="5"/>
  <c r="JE62" i="5"/>
  <c r="MM8" i="12"/>
  <c r="MM16" i="12"/>
  <c r="MN7" i="12"/>
  <c r="MM11" i="12"/>
  <c r="MM10" i="12"/>
  <c r="JA36" i="5"/>
  <c r="JF11" i="5"/>
  <c r="JG7" i="5"/>
  <c r="JH15" i="4"/>
  <c r="JF31" i="5" l="1"/>
  <c r="JF33" i="5"/>
  <c r="JF21" i="5"/>
  <c r="MN24" i="12"/>
  <c r="MN26" i="12"/>
  <c r="MN21" i="12"/>
  <c r="MN20" i="12"/>
  <c r="JE24" i="5"/>
  <c r="JE25" i="5"/>
  <c r="JG38" i="5"/>
  <c r="JG53" i="5"/>
  <c r="JG55" i="5"/>
  <c r="JG56" i="5" s="1"/>
  <c r="MN25" i="12"/>
  <c r="MN23" i="12"/>
  <c r="JE34" i="5"/>
  <c r="JF30" i="5"/>
  <c r="JF32" i="5"/>
  <c r="JC26" i="5"/>
  <c r="JE22" i="5"/>
  <c r="JG10" i="5"/>
  <c r="JA40" i="5"/>
  <c r="JF61" i="5"/>
  <c r="JF62" i="5"/>
  <c r="MO7" i="12"/>
  <c r="MN16" i="12"/>
  <c r="MN8" i="12"/>
  <c r="MN11" i="12"/>
  <c r="MN10" i="12"/>
  <c r="JB36" i="5"/>
  <c r="IZ70" i="5"/>
  <c r="JG11" i="5"/>
  <c r="JH7" i="5"/>
  <c r="JI15" i="4"/>
  <c r="JG31" i="5" l="1"/>
  <c r="JG33" i="5"/>
  <c r="JG21" i="5"/>
  <c r="MO24" i="12"/>
  <c r="MO26" i="12"/>
  <c r="MO20" i="12"/>
  <c r="MO21" i="12"/>
  <c r="JF24" i="5"/>
  <c r="JF25" i="5"/>
  <c r="JH55" i="5"/>
  <c r="JH56" i="5" s="1"/>
  <c r="JH38" i="5"/>
  <c r="JH53" i="5"/>
  <c r="JF34" i="5"/>
  <c r="MO23" i="12"/>
  <c r="MO25" i="12"/>
  <c r="JG30" i="5"/>
  <c r="JG32" i="5"/>
  <c r="JD26" i="5"/>
  <c r="JF22" i="5"/>
  <c r="JH10" i="5"/>
  <c r="MO16" i="12"/>
  <c r="MO10" i="12"/>
  <c r="MO11" i="12"/>
  <c r="MO8" i="12"/>
  <c r="MP7" i="12"/>
  <c r="JG61" i="5"/>
  <c r="JG62" i="5"/>
  <c r="JA70" i="5"/>
  <c r="JC36" i="5"/>
  <c r="JB40" i="5"/>
  <c r="JH11" i="5"/>
  <c r="JI7" i="5"/>
  <c r="JJ15" i="4"/>
  <c r="MP24" i="12" l="1"/>
  <c r="MP20" i="12"/>
  <c r="MP21" i="12"/>
  <c r="MP26" i="12"/>
  <c r="JH31" i="5"/>
  <c r="JH33" i="5"/>
  <c r="JH21" i="5"/>
  <c r="JG24" i="5"/>
  <c r="JG25" i="5"/>
  <c r="JI38" i="5"/>
  <c r="Z24" i="6" s="1"/>
  <c r="JI55" i="5"/>
  <c r="JI56" i="5" s="1"/>
  <c r="JI53" i="5"/>
  <c r="MP23" i="12"/>
  <c r="MP25" i="12"/>
  <c r="JG34" i="5"/>
  <c r="JH30" i="5"/>
  <c r="JH32" i="5"/>
  <c r="JE26" i="5"/>
  <c r="JG22" i="5"/>
  <c r="JI10" i="5"/>
  <c r="JD36" i="5"/>
  <c r="JD40" i="5" s="1"/>
  <c r="JC40" i="5"/>
  <c r="MP10" i="12"/>
  <c r="MP11" i="12"/>
  <c r="MP16" i="12"/>
  <c r="MP8" i="12"/>
  <c r="MQ7" i="12"/>
  <c r="JH61" i="5"/>
  <c r="JH62" i="5"/>
  <c r="JB70" i="5"/>
  <c r="JI11" i="5"/>
  <c r="JJ7" i="5"/>
  <c r="JK15" i="4"/>
  <c r="JI31" i="5" l="1"/>
  <c r="JI21" i="5"/>
  <c r="JI33" i="5"/>
  <c r="MQ24" i="12"/>
  <c r="MQ26" i="12"/>
  <c r="MQ21" i="12"/>
  <c r="MQ20" i="12"/>
  <c r="JH24" i="5"/>
  <c r="JH25" i="5"/>
  <c r="JJ55" i="5"/>
  <c r="JJ56" i="5" s="1"/>
  <c r="Z34" i="6" s="1"/>
  <c r="JJ38" i="5"/>
  <c r="JJ53" i="5"/>
  <c r="MQ23" i="12"/>
  <c r="MQ25" i="12"/>
  <c r="JH34" i="5"/>
  <c r="JI30" i="5"/>
  <c r="JI32" i="5"/>
  <c r="JF26" i="5"/>
  <c r="JH22" i="5"/>
  <c r="JJ10" i="5"/>
  <c r="MQ10" i="12"/>
  <c r="MQ11" i="12"/>
  <c r="MQ16" i="12"/>
  <c r="MQ8" i="12"/>
  <c r="MR7" i="12"/>
  <c r="JE36" i="5"/>
  <c r="JD70" i="5"/>
  <c r="JI61" i="5"/>
  <c r="JI62" i="5"/>
  <c r="JC70" i="5"/>
  <c r="JJ11" i="5"/>
  <c r="JK7" i="5"/>
  <c r="JL15" i="4"/>
  <c r="MR24" i="12" l="1"/>
  <c r="MR26" i="12"/>
  <c r="MR20" i="12"/>
  <c r="MR21" i="12"/>
  <c r="JJ31" i="5"/>
  <c r="JJ33" i="5"/>
  <c r="JJ21" i="5"/>
  <c r="JI24" i="5"/>
  <c r="JI25" i="5"/>
  <c r="JK38" i="5"/>
  <c r="JK53" i="5"/>
  <c r="JK55" i="5"/>
  <c r="JK56" i="5" s="1"/>
  <c r="MR23" i="12"/>
  <c r="MR25" i="12"/>
  <c r="JI34" i="5"/>
  <c r="JJ30" i="5"/>
  <c r="JJ25" i="5"/>
  <c r="JJ32" i="5"/>
  <c r="JI22" i="5"/>
  <c r="JG26" i="5"/>
  <c r="JH26" i="5"/>
  <c r="JK10" i="5"/>
  <c r="Z9" i="6"/>
  <c r="JF36" i="5"/>
  <c r="JF40" i="5" s="1"/>
  <c r="JE40" i="5"/>
  <c r="MR10" i="12"/>
  <c r="MR11" i="12"/>
  <c r="MR16" i="12"/>
  <c r="MR8" i="12"/>
  <c r="MS7" i="12"/>
  <c r="JJ62" i="5"/>
  <c r="JJ61" i="5"/>
  <c r="JK11" i="5"/>
  <c r="JL7" i="5"/>
  <c r="JM15" i="4"/>
  <c r="MS24" i="12" l="1"/>
  <c r="MS20" i="12"/>
  <c r="MS26" i="12"/>
  <c r="MS21" i="12"/>
  <c r="JK31" i="5"/>
  <c r="JK33" i="5"/>
  <c r="JK21" i="5"/>
  <c r="JL38" i="5"/>
  <c r="JL53" i="5"/>
  <c r="JL55" i="5"/>
  <c r="JL56" i="5" s="1"/>
  <c r="JJ34" i="5"/>
  <c r="MS23" i="12"/>
  <c r="MS25" i="12"/>
  <c r="JK30" i="5"/>
  <c r="JK32" i="5"/>
  <c r="JK25" i="5"/>
  <c r="JJ24" i="5"/>
  <c r="Z8" i="6"/>
  <c r="JI26" i="5"/>
  <c r="JJ22" i="5"/>
  <c r="JL10" i="5"/>
  <c r="JG36" i="5"/>
  <c r="JG40" i="5" s="1"/>
  <c r="MS11" i="12"/>
  <c r="MS10" i="12"/>
  <c r="MS16" i="12"/>
  <c r="MT7" i="12"/>
  <c r="MS8" i="12"/>
  <c r="JE70" i="5"/>
  <c r="JK61" i="5"/>
  <c r="JK62" i="5"/>
  <c r="JF70" i="5"/>
  <c r="JL11" i="5"/>
  <c r="JM7" i="5"/>
  <c r="JN15" i="4"/>
  <c r="JL31" i="5" l="1"/>
  <c r="JL21" i="5"/>
  <c r="JL33" i="5"/>
  <c r="MT24" i="12"/>
  <c r="MT20" i="12"/>
  <c r="MT21" i="12"/>
  <c r="MT26" i="12"/>
  <c r="Z10" i="6"/>
  <c r="Z13" i="6"/>
  <c r="JM38" i="5"/>
  <c r="JM55" i="5"/>
  <c r="JM56" i="5" s="1"/>
  <c r="JM53" i="5"/>
  <c r="JK34" i="5"/>
  <c r="MT25" i="12"/>
  <c r="MT23" i="12"/>
  <c r="JK24" i="5"/>
  <c r="JL30" i="5"/>
  <c r="JL32" i="5"/>
  <c r="JJ26" i="5"/>
  <c r="JK22" i="5"/>
  <c r="JM10" i="5"/>
  <c r="JH36" i="5"/>
  <c r="JH40" i="5" s="1"/>
  <c r="JL61" i="5"/>
  <c r="JL62" i="5"/>
  <c r="JG70" i="5"/>
  <c r="MT10" i="12"/>
  <c r="MT11" i="12"/>
  <c r="MT16" i="12"/>
  <c r="MU7" i="12"/>
  <c r="MT8" i="12"/>
  <c r="JM11" i="5"/>
  <c r="JN7" i="5"/>
  <c r="JO15" i="4"/>
  <c r="JM31" i="5" l="1"/>
  <c r="JM21" i="5"/>
  <c r="JM33" i="5"/>
  <c r="MU24" i="12"/>
  <c r="MU26" i="12"/>
  <c r="MU20" i="12"/>
  <c r="MU21" i="12"/>
  <c r="JL24" i="5"/>
  <c r="JL25" i="5"/>
  <c r="JN38" i="5"/>
  <c r="JN55" i="5"/>
  <c r="JN56" i="5" s="1"/>
  <c r="JN53" i="5"/>
  <c r="MU25" i="12"/>
  <c r="MU23" i="12"/>
  <c r="JL34" i="5"/>
  <c r="JM30" i="5"/>
  <c r="JM25" i="5"/>
  <c r="JM32" i="5"/>
  <c r="JL22" i="5"/>
  <c r="JN10" i="5"/>
  <c r="AG20" i="6"/>
  <c r="Z12" i="6"/>
  <c r="Z14" i="6" s="1"/>
  <c r="JM61" i="5"/>
  <c r="JM62" i="5"/>
  <c r="JI36" i="5"/>
  <c r="JH70" i="5"/>
  <c r="MU16" i="12"/>
  <c r="MU11" i="12"/>
  <c r="MU10" i="12"/>
  <c r="MV7" i="12"/>
  <c r="MU8" i="12"/>
  <c r="JN11" i="5"/>
  <c r="JO7" i="5"/>
  <c r="JP15" i="4"/>
  <c r="MV24" i="12" l="1"/>
  <c r="MV26" i="12"/>
  <c r="MV20" i="12"/>
  <c r="MV21" i="12"/>
  <c r="JN31" i="5"/>
  <c r="JN33" i="5"/>
  <c r="JN21" i="5"/>
  <c r="JO55" i="5"/>
  <c r="JO56" i="5" s="1"/>
  <c r="JO53" i="5"/>
  <c r="JO38" i="5"/>
  <c r="MV25" i="12"/>
  <c r="MV23" i="12"/>
  <c r="JM34" i="5"/>
  <c r="JN30" i="5"/>
  <c r="JN32" i="5"/>
  <c r="JM24" i="5"/>
  <c r="JK26" i="5"/>
  <c r="JM22" i="5"/>
  <c r="JO10" i="5"/>
  <c r="JJ36" i="5"/>
  <c r="JJ40" i="5" s="1"/>
  <c r="Z22" i="6"/>
  <c r="JI40" i="5"/>
  <c r="JN61" i="5"/>
  <c r="JN62" i="5"/>
  <c r="MV16" i="12"/>
  <c r="MV10" i="12"/>
  <c r="MV11" i="12"/>
  <c r="MW7" i="12"/>
  <c r="MV8" i="12"/>
  <c r="JO11" i="5"/>
  <c r="JP7" i="5"/>
  <c r="JQ15" i="4"/>
  <c r="MW24" i="12" l="1"/>
  <c r="MW26" i="12"/>
  <c r="MW20" i="12"/>
  <c r="MW21" i="12"/>
  <c r="JO31" i="5"/>
  <c r="JO33" i="5"/>
  <c r="JO21" i="5"/>
  <c r="Z26" i="6"/>
  <c r="Z38" i="6" s="1"/>
  <c r="Y9" i="9" s="1"/>
  <c r="Y6" i="9"/>
  <c r="JN24" i="5"/>
  <c r="JN25" i="5"/>
  <c r="JP55" i="5"/>
  <c r="JP56" i="5" s="1"/>
  <c r="JP38" i="5"/>
  <c r="JP53" i="5"/>
  <c r="JN34" i="5"/>
  <c r="MW25" i="12"/>
  <c r="MW23" i="12"/>
  <c r="JO30" i="5"/>
  <c r="JO25" i="5"/>
  <c r="JO32" i="5"/>
  <c r="JL26" i="5"/>
  <c r="JN22" i="5"/>
  <c r="JP10" i="5"/>
  <c r="MW16" i="12"/>
  <c r="MW10" i="12"/>
  <c r="MW11" i="12"/>
  <c r="MX7" i="12"/>
  <c r="MW8" i="12"/>
  <c r="JK36" i="5"/>
  <c r="JO62" i="5"/>
  <c r="JO61" i="5"/>
  <c r="JJ70" i="5"/>
  <c r="JI70" i="5"/>
  <c r="JP11" i="5"/>
  <c r="JQ7" i="5"/>
  <c r="JR15" i="4"/>
  <c r="Y4" i="9" l="1"/>
  <c r="JP31" i="5"/>
  <c r="JP33" i="5"/>
  <c r="JP21" i="5"/>
  <c r="MX24" i="12"/>
  <c r="MX20" i="12"/>
  <c r="MX26" i="12"/>
  <c r="MX21" i="12"/>
  <c r="JQ53" i="5"/>
  <c r="JQ55" i="5"/>
  <c r="JQ56" i="5" s="1"/>
  <c r="JQ38" i="5"/>
  <c r="JO34" i="5"/>
  <c r="MX23" i="12"/>
  <c r="MX25" i="12"/>
  <c r="JO24" i="5"/>
  <c r="JP30" i="5"/>
  <c r="JP32" i="5"/>
  <c r="JO22" i="5"/>
  <c r="JM26" i="5"/>
  <c r="JQ10" i="5"/>
  <c r="JL36" i="5"/>
  <c r="JL40" i="5" s="1"/>
  <c r="JK40" i="5"/>
  <c r="JP62" i="5"/>
  <c r="JP61" i="5"/>
  <c r="MX10" i="12"/>
  <c r="MX11" i="12"/>
  <c r="MX16" i="12"/>
  <c r="MY7" i="12"/>
  <c r="MX8" i="12"/>
  <c r="JQ11" i="5"/>
  <c r="JR7" i="5"/>
  <c r="JS15" i="4"/>
  <c r="MY24" i="12" l="1"/>
  <c r="MY26" i="12"/>
  <c r="MY20" i="12"/>
  <c r="MY21" i="12"/>
  <c r="JQ31" i="5"/>
  <c r="JQ33" i="5"/>
  <c r="JQ21" i="5"/>
  <c r="JP24" i="5"/>
  <c r="JP25" i="5"/>
  <c r="JR38" i="5"/>
  <c r="JR53" i="5"/>
  <c r="JR55" i="5"/>
  <c r="JR56" i="5" s="1"/>
  <c r="JP34" i="5"/>
  <c r="MY23" i="12"/>
  <c r="MY25" i="12"/>
  <c r="JQ30" i="5"/>
  <c r="JQ32" i="5"/>
  <c r="JO26" i="5"/>
  <c r="JN26" i="5"/>
  <c r="JP22" i="5"/>
  <c r="JR10" i="5"/>
  <c r="JM36" i="5"/>
  <c r="JM40" i="5" s="1"/>
  <c r="JQ62" i="5"/>
  <c r="JQ61" i="5"/>
  <c r="MY16" i="12"/>
  <c r="MY10" i="12"/>
  <c r="MY11" i="12"/>
  <c r="MY8" i="12"/>
  <c r="MZ7" i="12"/>
  <c r="JL70" i="5"/>
  <c r="JK70" i="5"/>
  <c r="JR11" i="5"/>
  <c r="JS7" i="5"/>
  <c r="JT15" i="4"/>
  <c r="MZ24" i="12" l="1"/>
  <c r="MZ26" i="12"/>
  <c r="MZ20" i="12"/>
  <c r="MZ21" i="12"/>
  <c r="JR31" i="5"/>
  <c r="JR33" i="5"/>
  <c r="JR21" i="5"/>
  <c r="JQ24" i="5"/>
  <c r="JQ25" i="5"/>
  <c r="JS38" i="5"/>
  <c r="JS53" i="5"/>
  <c r="JS55" i="5"/>
  <c r="JS56" i="5" s="1"/>
  <c r="JQ34" i="5"/>
  <c r="MZ25" i="12"/>
  <c r="MZ23" i="12"/>
  <c r="JR30" i="5"/>
  <c r="JR25" i="5"/>
  <c r="JR32" i="5"/>
  <c r="JP26" i="5"/>
  <c r="JQ22" i="5"/>
  <c r="JS10" i="5"/>
  <c r="JN36" i="5"/>
  <c r="JN40" i="5" s="1"/>
  <c r="MZ16" i="12"/>
  <c r="MZ10" i="12"/>
  <c r="MZ11" i="12"/>
  <c r="MZ8" i="12"/>
  <c r="NA7" i="12"/>
  <c r="JM70" i="5"/>
  <c r="JR61" i="5"/>
  <c r="JR62" i="5"/>
  <c r="JS11" i="5"/>
  <c r="JT7" i="5"/>
  <c r="JU15" i="4"/>
  <c r="JS31" i="5" l="1"/>
  <c r="JS33" i="5"/>
  <c r="JS21" i="5"/>
  <c r="NA24" i="12"/>
  <c r="NA26" i="12"/>
  <c r="NA20" i="12"/>
  <c r="NA21" i="12"/>
  <c r="JT38" i="5"/>
  <c r="JT53" i="5"/>
  <c r="JT55" i="5"/>
  <c r="JT56" i="5" s="1"/>
  <c r="NA23" i="12"/>
  <c r="NA25" i="12"/>
  <c r="JR34" i="5"/>
  <c r="JR24" i="5"/>
  <c r="JS30" i="5"/>
  <c r="JS32" i="5"/>
  <c r="JR22" i="5"/>
  <c r="JT10" i="5"/>
  <c r="JO36" i="5"/>
  <c r="JO40" i="5" s="1"/>
  <c r="NA10" i="12"/>
  <c r="NA11" i="12"/>
  <c r="NA16" i="12"/>
  <c r="NB7" i="12"/>
  <c r="NA8" i="12"/>
  <c r="JN70" i="5"/>
  <c r="JS61" i="5"/>
  <c r="JS62" i="5"/>
  <c r="JT11" i="5"/>
  <c r="JU7" i="5"/>
  <c r="JV15" i="4"/>
  <c r="NB24" i="12" l="1"/>
  <c r="NB26" i="12"/>
  <c r="NB21" i="12"/>
  <c r="NB20" i="12"/>
  <c r="JT31" i="5"/>
  <c r="JT33" i="5"/>
  <c r="JT21" i="5"/>
  <c r="JS24" i="5"/>
  <c r="JS25" i="5"/>
  <c r="JU38" i="5"/>
  <c r="AA24" i="6" s="1"/>
  <c r="JU55" i="5"/>
  <c r="JU56" i="5" s="1"/>
  <c r="JU53" i="5"/>
  <c r="JS34" i="5"/>
  <c r="NB23" i="12"/>
  <c r="NB25" i="12"/>
  <c r="JT30" i="5"/>
  <c r="JT32" i="5"/>
  <c r="JQ26" i="5"/>
  <c r="JS22" i="5"/>
  <c r="JU10" i="5"/>
  <c r="JP36" i="5"/>
  <c r="JP40" i="5" s="1"/>
  <c r="JO70" i="5"/>
  <c r="JT61" i="5"/>
  <c r="JT62" i="5"/>
  <c r="NB16" i="12"/>
  <c r="NB10" i="12"/>
  <c r="NB11" i="12"/>
  <c r="NB8" i="12"/>
  <c r="JU11" i="5"/>
  <c r="JV7" i="5"/>
  <c r="JW15" i="4"/>
  <c r="JU31" i="5" l="1"/>
  <c r="JU33" i="5"/>
  <c r="JU21" i="5"/>
  <c r="JT24" i="5"/>
  <c r="JT25" i="5"/>
  <c r="JV53" i="5"/>
  <c r="JV38" i="5"/>
  <c r="JV55" i="5"/>
  <c r="JV56" i="5" s="1"/>
  <c r="AA34" i="6" s="1"/>
  <c r="JT34" i="5"/>
  <c r="JU30" i="5"/>
  <c r="JU32" i="5"/>
  <c r="JR26" i="5"/>
  <c r="JT22" i="5"/>
  <c r="JV10" i="5"/>
  <c r="JQ36" i="5"/>
  <c r="JQ40" i="5" s="1"/>
  <c r="JU61" i="5"/>
  <c r="JU62" i="5"/>
  <c r="JP70" i="5"/>
  <c r="JV11" i="5"/>
  <c r="JW7" i="5"/>
  <c r="JX15" i="4"/>
  <c r="JV31" i="5" l="1"/>
  <c r="JV33" i="5"/>
  <c r="JV21" i="5"/>
  <c r="AA9" i="6" s="1"/>
  <c r="JU24" i="5"/>
  <c r="JU25" i="5"/>
  <c r="JW53" i="5"/>
  <c r="JW38" i="5"/>
  <c r="JW55" i="5"/>
  <c r="JW56" i="5" s="1"/>
  <c r="JU34" i="5"/>
  <c r="JV30" i="5"/>
  <c r="JV25" i="5"/>
  <c r="JV32" i="5"/>
  <c r="JS26" i="5"/>
  <c r="JU22" i="5"/>
  <c r="JW10" i="5"/>
  <c r="JV61" i="5"/>
  <c r="JV62" i="5"/>
  <c r="JR36" i="5"/>
  <c r="JQ70" i="5"/>
  <c r="JW11" i="5"/>
  <c r="JX7" i="5"/>
  <c r="JY15" i="4"/>
  <c r="JW31" i="5" l="1"/>
  <c r="JW33" i="5"/>
  <c r="JW21" i="5"/>
  <c r="JX55" i="5"/>
  <c r="JX56" i="5" s="1"/>
  <c r="JX38" i="5"/>
  <c r="JX53" i="5"/>
  <c r="JV34" i="5"/>
  <c r="JV24" i="5"/>
  <c r="AA8" i="6"/>
  <c r="JW30" i="5"/>
  <c r="JW32" i="5"/>
  <c r="JW25" i="5"/>
  <c r="JT26" i="5"/>
  <c r="JV22" i="5"/>
  <c r="JX10" i="5"/>
  <c r="JR40" i="5"/>
  <c r="JS36" i="5"/>
  <c r="JW61" i="5"/>
  <c r="JW62" i="5"/>
  <c r="JX11" i="5"/>
  <c r="JY7" i="5"/>
  <c r="JZ15" i="4"/>
  <c r="JX31" i="5" l="1"/>
  <c r="JX33" i="5"/>
  <c r="JX21" i="5"/>
  <c r="AA10" i="6"/>
  <c r="AA13" i="6"/>
  <c r="JY38" i="5"/>
  <c r="JY55" i="5"/>
  <c r="JY56" i="5" s="1"/>
  <c r="JY53" i="5"/>
  <c r="JW34" i="5"/>
  <c r="JW24" i="5"/>
  <c r="JX30" i="5"/>
  <c r="JX32" i="5"/>
  <c r="JU26" i="5"/>
  <c r="JW22" i="5"/>
  <c r="JY10" i="5"/>
  <c r="AH20" i="6"/>
  <c r="JT36" i="5"/>
  <c r="JS40" i="5"/>
  <c r="JR70" i="5"/>
  <c r="JX61" i="5"/>
  <c r="JX62" i="5"/>
  <c r="JY11" i="5"/>
  <c r="JZ7" i="5"/>
  <c r="KA15" i="4"/>
  <c r="JY31" i="5" l="1"/>
  <c r="JY33" i="5"/>
  <c r="JY21" i="5"/>
  <c r="JX24" i="5"/>
  <c r="JX25" i="5"/>
  <c r="JZ55" i="5"/>
  <c r="JZ56" i="5" s="1"/>
  <c r="JZ53" i="5"/>
  <c r="JZ38" i="5"/>
  <c r="JX34" i="5"/>
  <c r="JY30" i="5"/>
  <c r="JY32" i="5"/>
  <c r="JV26" i="5"/>
  <c r="JW26" i="5"/>
  <c r="JX22" i="5"/>
  <c r="JZ10" i="5"/>
  <c r="JT40" i="5"/>
  <c r="JY61" i="5"/>
  <c r="JY62" i="5"/>
  <c r="JS70" i="5"/>
  <c r="JU36" i="5"/>
  <c r="JZ11" i="5"/>
  <c r="KA7" i="5"/>
  <c r="KB15" i="4"/>
  <c r="JZ31" i="5" l="1"/>
  <c r="JZ33" i="5"/>
  <c r="JZ21" i="5"/>
  <c r="JY34" i="5"/>
  <c r="JY24" i="5"/>
  <c r="JY25" i="5"/>
  <c r="KA53" i="5"/>
  <c r="KA55" i="5"/>
  <c r="KA56" i="5" s="1"/>
  <c r="KA38" i="5"/>
  <c r="JZ30" i="5"/>
  <c r="JZ25" i="5"/>
  <c r="JZ32" i="5"/>
  <c r="JY22" i="5"/>
  <c r="KA10" i="5"/>
  <c r="JU40" i="5"/>
  <c r="JZ62" i="5"/>
  <c r="JZ61" i="5"/>
  <c r="JV36" i="5"/>
  <c r="AA12" i="6"/>
  <c r="JT70" i="5"/>
  <c r="KA11" i="5"/>
  <c r="KB7" i="5"/>
  <c r="KC15" i="4"/>
  <c r="KA31" i="5" l="1"/>
  <c r="KA33" i="5"/>
  <c r="KA21" i="5"/>
  <c r="KB38" i="5"/>
  <c r="KB53" i="5"/>
  <c r="KB55" i="5"/>
  <c r="KB56" i="5" s="1"/>
  <c r="JZ34" i="5"/>
  <c r="KA30" i="5"/>
  <c r="KA32" i="5"/>
  <c r="JZ24" i="5"/>
  <c r="AA14" i="6"/>
  <c r="AA22" i="6" s="1"/>
  <c r="JY26" i="5"/>
  <c r="JZ22" i="5"/>
  <c r="JX26" i="5"/>
  <c r="KB10" i="5"/>
  <c r="JW36" i="5"/>
  <c r="JW40" i="5" s="1"/>
  <c r="JV40" i="5"/>
  <c r="KA61" i="5"/>
  <c r="KA62" i="5"/>
  <c r="JU70" i="5"/>
  <c r="KB11" i="5"/>
  <c r="KC7" i="5"/>
  <c r="KD15" i="4"/>
  <c r="KB31" i="5" l="1"/>
  <c r="KB33" i="5"/>
  <c r="KB21" i="5"/>
  <c r="AA26" i="6"/>
  <c r="Z4" i="9" s="1"/>
  <c r="Z6" i="9"/>
  <c r="KA24" i="5"/>
  <c r="KA25" i="5"/>
  <c r="KC38" i="5"/>
  <c r="KC53" i="5"/>
  <c r="KC55" i="5"/>
  <c r="KC56" i="5" s="1"/>
  <c r="KA34" i="5"/>
  <c r="KB30" i="5"/>
  <c r="KB25" i="5"/>
  <c r="KB32" i="5"/>
  <c r="JZ26" i="5"/>
  <c r="KA22" i="5"/>
  <c r="KC10" i="5"/>
  <c r="JX36" i="5"/>
  <c r="JX40" i="5" s="1"/>
  <c r="KB61" i="5"/>
  <c r="KB62" i="5"/>
  <c r="JW70" i="5"/>
  <c r="JV70" i="5"/>
  <c r="KC11" i="5"/>
  <c r="KD7" i="5"/>
  <c r="KE15" i="4"/>
  <c r="AA38" i="6" l="1"/>
  <c r="Z9" i="9" s="1"/>
  <c r="KC31" i="5"/>
  <c r="KC33" i="5"/>
  <c r="KC21" i="5"/>
  <c r="KD55" i="5"/>
  <c r="KD56" i="5" s="1"/>
  <c r="KD38" i="5"/>
  <c r="KD53" i="5"/>
  <c r="KB34" i="5"/>
  <c r="KC30" i="5"/>
  <c r="KC32" i="5"/>
  <c r="KB24" i="5"/>
  <c r="KB22" i="5"/>
  <c r="KD10" i="5"/>
  <c r="JY36" i="5"/>
  <c r="KC61" i="5"/>
  <c r="KC62" i="5"/>
  <c r="JX70" i="5"/>
  <c r="KD11" i="5"/>
  <c r="KE7" i="5"/>
  <c r="KF15" i="4"/>
  <c r="KD31" i="5" l="1"/>
  <c r="KD33" i="5"/>
  <c r="KD21" i="5"/>
  <c r="KC24" i="5"/>
  <c r="KC25" i="5"/>
  <c r="KE38" i="5"/>
  <c r="KE55" i="5"/>
  <c r="KE56" i="5" s="1"/>
  <c r="KE53" i="5"/>
  <c r="KC34" i="5"/>
  <c r="KD30" i="5"/>
  <c r="KD25" i="5"/>
  <c r="KD32" i="5"/>
  <c r="KA26" i="5"/>
  <c r="KC22" i="5"/>
  <c r="KE10" i="5"/>
  <c r="JY40" i="5"/>
  <c r="JZ36" i="5"/>
  <c r="KD61" i="5"/>
  <c r="KD62" i="5"/>
  <c r="KE11" i="5"/>
  <c r="KF7" i="5"/>
  <c r="KG15" i="4"/>
  <c r="KE31" i="5" l="1"/>
  <c r="KE33" i="5"/>
  <c r="KE21" i="5"/>
  <c r="KF55" i="5"/>
  <c r="KF56" i="5" s="1"/>
  <c r="KF38" i="5"/>
  <c r="KF53" i="5"/>
  <c r="KD34" i="5"/>
  <c r="KD24" i="5"/>
  <c r="KE30" i="5"/>
  <c r="KE32" i="5"/>
  <c r="KB26" i="5"/>
  <c r="KD22" i="5"/>
  <c r="KF10" i="5"/>
  <c r="KA36" i="5"/>
  <c r="KA40" i="5" s="1"/>
  <c r="JZ40" i="5"/>
  <c r="KE62" i="5"/>
  <c r="KE61" i="5"/>
  <c r="JY70" i="5"/>
  <c r="KF11" i="5"/>
  <c r="KG7" i="5"/>
  <c r="KH15" i="4"/>
  <c r="KF31" i="5" l="1"/>
  <c r="KF33" i="5"/>
  <c r="KF21" i="5"/>
  <c r="KE24" i="5"/>
  <c r="KE25" i="5"/>
  <c r="KG38" i="5"/>
  <c r="AB24" i="6" s="1"/>
  <c r="KG53" i="5"/>
  <c r="KG55" i="5"/>
  <c r="KG56" i="5" s="1"/>
  <c r="KE34" i="5"/>
  <c r="KF30" i="5"/>
  <c r="KF32" i="5"/>
  <c r="KE22" i="5"/>
  <c r="KC26" i="5"/>
  <c r="KG10" i="5"/>
  <c r="KB36" i="5"/>
  <c r="KB40" i="5" s="1"/>
  <c r="KA70" i="5"/>
  <c r="KF62" i="5"/>
  <c r="KF61" i="5"/>
  <c r="JZ70" i="5"/>
  <c r="KG11" i="5"/>
  <c r="KH7" i="5"/>
  <c r="KI15" i="4"/>
  <c r="KG31" i="5" l="1"/>
  <c r="KG33" i="5"/>
  <c r="KG21" i="5"/>
  <c r="KF24" i="5"/>
  <c r="KF25" i="5"/>
  <c r="KH53" i="5"/>
  <c r="KH38" i="5"/>
  <c r="KH55" i="5"/>
  <c r="KH56" i="5" s="1"/>
  <c r="AB34" i="6" s="1"/>
  <c r="KF34" i="5"/>
  <c r="KG30" i="5"/>
  <c r="KG32" i="5"/>
  <c r="KE26" i="5"/>
  <c r="KD26" i="5"/>
  <c r="KF22" i="5"/>
  <c r="KH10" i="5"/>
  <c r="KC36" i="5"/>
  <c r="KG62" i="5"/>
  <c r="KG61" i="5"/>
  <c r="KB70" i="5"/>
  <c r="KH11" i="5"/>
  <c r="KI7" i="5"/>
  <c r="KJ15" i="4"/>
  <c r="KH31" i="5" l="1"/>
  <c r="KH33" i="5"/>
  <c r="KH21" i="5"/>
  <c r="KG24" i="5"/>
  <c r="KG25" i="5"/>
  <c r="KI53" i="5"/>
  <c r="KI38" i="5"/>
  <c r="KI55" i="5"/>
  <c r="KI56" i="5" s="1"/>
  <c r="KG34" i="5"/>
  <c r="KH30" i="5"/>
  <c r="KH25" i="5"/>
  <c r="KH32" i="5"/>
  <c r="KG22" i="5"/>
  <c r="KI10" i="5"/>
  <c r="AB9" i="6"/>
  <c r="KD36" i="5"/>
  <c r="KD40" i="5" s="1"/>
  <c r="KC40" i="5"/>
  <c r="KH61" i="5"/>
  <c r="KH62" i="5"/>
  <c r="KI11" i="5"/>
  <c r="KJ7" i="5"/>
  <c r="KK15" i="4"/>
  <c r="KI31" i="5" l="1"/>
  <c r="KI33" i="5"/>
  <c r="KI21" i="5"/>
  <c r="KJ38" i="5"/>
  <c r="KJ53" i="5"/>
  <c r="KJ55" i="5"/>
  <c r="KJ56" i="5" s="1"/>
  <c r="KH34" i="5"/>
  <c r="KI30" i="5"/>
  <c r="KI32" i="5"/>
  <c r="KI25" i="5"/>
  <c r="KH24" i="5"/>
  <c r="AB8" i="6"/>
  <c r="KG26" i="5"/>
  <c r="KF26" i="5"/>
  <c r="KH22" i="5"/>
  <c r="KJ10" i="5"/>
  <c r="KD70" i="5"/>
  <c r="KI61" i="5"/>
  <c r="KI62" i="5"/>
  <c r="KE36" i="5"/>
  <c r="KC70" i="5"/>
  <c r="KJ11" i="5"/>
  <c r="KK7" i="5"/>
  <c r="KL15" i="4"/>
  <c r="KJ31" i="5" l="1"/>
  <c r="KJ33" i="5"/>
  <c r="KJ21" i="5"/>
  <c r="AB10" i="6"/>
  <c r="AB13" i="6"/>
  <c r="KK38" i="5"/>
  <c r="KK55" i="5"/>
  <c r="KK56" i="5" s="1"/>
  <c r="KK53" i="5"/>
  <c r="KI34" i="5"/>
  <c r="KJ30" i="5"/>
  <c r="KJ32" i="5"/>
  <c r="KI24" i="5"/>
  <c r="KI22" i="5"/>
  <c r="KK10" i="5"/>
  <c r="KF36" i="5"/>
  <c r="KF40" i="5" s="1"/>
  <c r="KE40" i="5"/>
  <c r="KJ61" i="5"/>
  <c r="KJ62" i="5"/>
  <c r="KK11" i="5"/>
  <c r="KL7" i="5"/>
  <c r="KM15" i="4"/>
  <c r="KK31" i="5" l="1"/>
  <c r="KK33" i="5"/>
  <c r="KK21" i="5"/>
  <c r="KJ24" i="5"/>
  <c r="KJ25" i="5"/>
  <c r="KL53" i="5"/>
  <c r="KL55" i="5"/>
  <c r="KL56" i="5" s="1"/>
  <c r="KL38" i="5"/>
  <c r="KJ34" i="5"/>
  <c r="KK30" i="5"/>
  <c r="KK25" i="5"/>
  <c r="KK32" i="5"/>
  <c r="KH26" i="5"/>
  <c r="KJ22" i="5"/>
  <c r="KL10" i="5"/>
  <c r="KG36" i="5"/>
  <c r="KG40" i="5" s="1"/>
  <c r="KF70" i="5"/>
  <c r="KK61" i="5"/>
  <c r="KK62" i="5"/>
  <c r="KE70" i="5"/>
  <c r="KL11" i="5"/>
  <c r="KM7" i="5"/>
  <c r="KN15" i="4"/>
  <c r="KL31" i="5" l="1"/>
  <c r="KL33" i="5"/>
  <c r="KL21" i="5"/>
  <c r="KM53" i="5"/>
  <c r="KM38" i="5"/>
  <c r="KM55" i="5"/>
  <c r="KM56" i="5" s="1"/>
  <c r="KK34" i="5"/>
  <c r="KK24" i="5"/>
  <c r="KL30" i="5"/>
  <c r="KL32" i="5"/>
  <c r="KI26" i="5"/>
  <c r="KK22" i="5"/>
  <c r="KM10" i="5"/>
  <c r="AB12" i="6"/>
  <c r="KH36" i="5"/>
  <c r="KH40" i="5" s="1"/>
  <c r="KL61" i="5"/>
  <c r="KL62" i="5"/>
  <c r="KG70" i="5"/>
  <c r="KM11" i="5"/>
  <c r="KN7" i="5"/>
  <c r="KO15" i="4"/>
  <c r="KM31" i="5" l="1"/>
  <c r="KM33" i="5"/>
  <c r="KM21" i="5"/>
  <c r="KL24" i="5"/>
  <c r="KL25" i="5"/>
  <c r="KN55" i="5"/>
  <c r="KN56" i="5" s="1"/>
  <c r="KN38" i="5"/>
  <c r="KN53" i="5"/>
  <c r="KL34" i="5"/>
  <c r="KM30" i="5"/>
  <c r="KM32" i="5"/>
  <c r="AB14" i="6"/>
  <c r="AB22" i="6" s="1"/>
  <c r="KJ26" i="5"/>
  <c r="KL22" i="5"/>
  <c r="KN10" i="5"/>
  <c r="KI36" i="5"/>
  <c r="KI40" i="5" s="1"/>
  <c r="KM61" i="5"/>
  <c r="KM62" i="5"/>
  <c r="KH70" i="5"/>
  <c r="KN11" i="5"/>
  <c r="KO7" i="5"/>
  <c r="KP15" i="4"/>
  <c r="KN31" i="5" l="1"/>
  <c r="KN33" i="5"/>
  <c r="KN21" i="5"/>
  <c r="AB26" i="6"/>
  <c r="AB38" i="6" s="1"/>
  <c r="AA9" i="9" s="1"/>
  <c r="AA6" i="9"/>
  <c r="KM24" i="5"/>
  <c r="KM25" i="5"/>
  <c r="KO53" i="5"/>
  <c r="KO38" i="5"/>
  <c r="KO55" i="5"/>
  <c r="KO56" i="5" s="1"/>
  <c r="KM34" i="5"/>
  <c r="KN30" i="5"/>
  <c r="KN25" i="5"/>
  <c r="KN32" i="5"/>
  <c r="KK26" i="5"/>
  <c r="KM22" i="5"/>
  <c r="KO10" i="5"/>
  <c r="KJ36" i="5"/>
  <c r="KJ40" i="5" s="1"/>
  <c r="KN61" i="5"/>
  <c r="KN62" i="5"/>
  <c r="KI70" i="5"/>
  <c r="KO11" i="5"/>
  <c r="KP7" i="5"/>
  <c r="KQ15" i="4"/>
  <c r="KO31" i="5" l="1"/>
  <c r="KO21" i="5"/>
  <c r="KO33" i="5"/>
  <c r="AA4" i="9"/>
  <c r="KP55" i="5"/>
  <c r="KP56" i="5" s="1"/>
  <c r="KP53" i="5"/>
  <c r="KP38" i="5"/>
  <c r="KN34" i="5"/>
  <c r="KN24" i="5"/>
  <c r="KO30" i="5"/>
  <c r="KO32" i="5"/>
  <c r="KL26" i="5"/>
  <c r="KM26" i="5"/>
  <c r="KN22" i="5"/>
  <c r="KP10" i="5"/>
  <c r="KO61" i="5"/>
  <c r="KO62" i="5"/>
  <c r="KK36" i="5"/>
  <c r="KJ70" i="5"/>
  <c r="KP11" i="5"/>
  <c r="KQ7" i="5"/>
  <c r="KR15" i="4"/>
  <c r="KP31" i="5" l="1"/>
  <c r="KP33" i="5"/>
  <c r="KP21" i="5"/>
  <c r="KO24" i="5"/>
  <c r="KO25" i="5"/>
  <c r="KQ38" i="5"/>
  <c r="KQ53" i="5"/>
  <c r="KQ55" i="5"/>
  <c r="KQ56" i="5" s="1"/>
  <c r="KO34" i="5"/>
  <c r="KP30" i="5"/>
  <c r="KP32" i="5"/>
  <c r="KO22" i="5"/>
  <c r="KQ10" i="5"/>
  <c r="KL36" i="5"/>
  <c r="KL40" i="5" s="1"/>
  <c r="KK40" i="5"/>
  <c r="KP62" i="5"/>
  <c r="KP61" i="5"/>
  <c r="KQ11" i="5"/>
  <c r="KR7" i="5"/>
  <c r="KS15" i="4"/>
  <c r="KT15" i="4" s="1"/>
  <c r="KQ31" i="5" l="1"/>
  <c r="KQ33" i="5"/>
  <c r="KQ21" i="5"/>
  <c r="KP24" i="5"/>
  <c r="KP25" i="5"/>
  <c r="KR38" i="5"/>
  <c r="KR55" i="5"/>
  <c r="KR56" i="5" s="1"/>
  <c r="KR53" i="5"/>
  <c r="KP34" i="5"/>
  <c r="KQ30" i="5"/>
  <c r="KQ32" i="5"/>
  <c r="KP22" i="5"/>
  <c r="KN26" i="5"/>
  <c r="KR10" i="5"/>
  <c r="KK70" i="5"/>
  <c r="KM36" i="5"/>
  <c r="KQ61" i="5"/>
  <c r="KQ62" i="5"/>
  <c r="KL70" i="5"/>
  <c r="KU15" i="4"/>
  <c r="KT17" i="4"/>
  <c r="KR11" i="5"/>
  <c r="KS7" i="5"/>
  <c r="KR31" i="5" l="1"/>
  <c r="KR33" i="5"/>
  <c r="KR21" i="5"/>
  <c r="KQ24" i="5"/>
  <c r="KQ25" i="5"/>
  <c r="KS38" i="5"/>
  <c r="AC24" i="6" s="1"/>
  <c r="KS55" i="5"/>
  <c r="KS56" i="5" s="1"/>
  <c r="KS53" i="5"/>
  <c r="KQ34" i="5"/>
  <c r="KR30" i="5"/>
  <c r="KR32" i="5"/>
  <c r="KP26" i="5"/>
  <c r="KO26" i="5"/>
  <c r="KQ22" i="5"/>
  <c r="KS10" i="5"/>
  <c r="KM40" i="5"/>
  <c r="KN36" i="5"/>
  <c r="KR61" i="5"/>
  <c r="KR62" i="5"/>
  <c r="KV15" i="4"/>
  <c r="KU17" i="4"/>
  <c r="KS11" i="5"/>
  <c r="KT7" i="5"/>
  <c r="KS31" i="5" l="1"/>
  <c r="KS33" i="5"/>
  <c r="KS21" i="5"/>
  <c r="KR24" i="5"/>
  <c r="KR25" i="5"/>
  <c r="KT38" i="5"/>
  <c r="KT55" i="5"/>
  <c r="KT56" i="5" s="1"/>
  <c r="AC34" i="6" s="1"/>
  <c r="KT53" i="5"/>
  <c r="KR34" i="5"/>
  <c r="KS30" i="5"/>
  <c r="KS32" i="5"/>
  <c r="KR22" i="5"/>
  <c r="KT10" i="5"/>
  <c r="KN40" i="5"/>
  <c r="KO36" i="5"/>
  <c r="KS61" i="5"/>
  <c r="KS62" i="5"/>
  <c r="KM70" i="5"/>
  <c r="KW15" i="4"/>
  <c r="KV17" i="4"/>
  <c r="KT11" i="5"/>
  <c r="KU7" i="5"/>
  <c r="KT31" i="5" l="1"/>
  <c r="KT33" i="5"/>
  <c r="KT21" i="5"/>
  <c r="KS24" i="5"/>
  <c r="KS25" i="5"/>
  <c r="KU55" i="5"/>
  <c r="KU56" i="5" s="1"/>
  <c r="KU53" i="5"/>
  <c r="KU38" i="5"/>
  <c r="KS34" i="5"/>
  <c r="KT30" i="5"/>
  <c r="KT25" i="5"/>
  <c r="KT32" i="5"/>
  <c r="KQ26" i="5"/>
  <c r="KS22" i="5"/>
  <c r="KU10" i="5"/>
  <c r="AC9" i="6"/>
  <c r="KP36" i="5"/>
  <c r="KP40" i="5" s="1"/>
  <c r="KO40" i="5"/>
  <c r="KT61" i="5"/>
  <c r="KT62" i="5"/>
  <c r="KN70" i="5"/>
  <c r="KW17" i="4"/>
  <c r="KX15" i="4"/>
  <c r="KU11" i="5"/>
  <c r="KV7" i="5"/>
  <c r="KU31" i="5" l="1"/>
  <c r="KU33" i="5"/>
  <c r="KU21" i="5"/>
  <c r="KV55" i="5"/>
  <c r="KV56" i="5" s="1"/>
  <c r="KV38" i="5"/>
  <c r="KV53" i="5"/>
  <c r="KT34" i="5"/>
  <c r="KU30" i="5"/>
  <c r="KU25" i="5"/>
  <c r="KU32" i="5"/>
  <c r="KT24" i="5"/>
  <c r="AC8" i="6"/>
  <c r="KR26" i="5"/>
  <c r="KT22" i="5"/>
  <c r="KV10" i="5"/>
  <c r="KQ36" i="5"/>
  <c r="KQ40" i="5" s="1"/>
  <c r="KO70" i="5"/>
  <c r="KU62" i="5"/>
  <c r="KU61" i="5"/>
  <c r="KP70" i="5"/>
  <c r="KY15" i="4"/>
  <c r="KX17" i="4"/>
  <c r="KV11" i="5"/>
  <c r="KW7" i="5"/>
  <c r="KV31" i="5" l="1"/>
  <c r="KV33" i="5"/>
  <c r="KV21" i="5"/>
  <c r="AC10" i="6"/>
  <c r="AC13" i="6"/>
  <c r="KW55" i="5"/>
  <c r="KW56" i="5" s="1"/>
  <c r="KW53" i="5"/>
  <c r="KW38" i="5"/>
  <c r="KU34" i="5"/>
  <c r="KV30" i="5"/>
  <c r="KV32" i="5"/>
  <c r="KU24" i="5"/>
  <c r="KS26" i="5"/>
  <c r="KU22" i="5"/>
  <c r="KW10" i="5"/>
  <c r="KV62" i="5"/>
  <c r="KV61" i="5"/>
  <c r="KR36" i="5"/>
  <c r="KQ70" i="5"/>
  <c r="KY17" i="4"/>
  <c r="KZ15" i="4"/>
  <c r="KW11" i="5"/>
  <c r="KX7" i="5"/>
  <c r="KW31" i="5" l="1"/>
  <c r="KW33" i="5"/>
  <c r="KW21" i="5"/>
  <c r="KV24" i="5"/>
  <c r="KV25" i="5"/>
  <c r="KX38" i="5"/>
  <c r="KX53" i="5"/>
  <c r="KX55" i="5"/>
  <c r="KX56" i="5" s="1"/>
  <c r="KV34" i="5"/>
  <c r="KW30" i="5"/>
  <c r="KW32" i="5"/>
  <c r="KW25" i="5"/>
  <c r="KT26" i="5"/>
  <c r="KV22" i="5"/>
  <c r="KX10" i="5"/>
  <c r="KS36" i="5"/>
  <c r="KS40" i="5" s="1"/>
  <c r="KR40" i="5"/>
  <c r="KW62" i="5"/>
  <c r="KW61" i="5"/>
  <c r="KZ17" i="4"/>
  <c r="LA15" i="4"/>
  <c r="KX11" i="5"/>
  <c r="KY7" i="5"/>
  <c r="KX31" i="5" l="1"/>
  <c r="KX33" i="5"/>
  <c r="KX21" i="5"/>
  <c r="KY38" i="5"/>
  <c r="KY53" i="5"/>
  <c r="KY55" i="5"/>
  <c r="KY56" i="5" s="1"/>
  <c r="KW34" i="5"/>
  <c r="KX30" i="5"/>
  <c r="KX32" i="5"/>
  <c r="KW24" i="5"/>
  <c r="KU26" i="5"/>
  <c r="KW22" i="5"/>
  <c r="KY10" i="5"/>
  <c r="KX61" i="5"/>
  <c r="KX62" i="5"/>
  <c r="KR70" i="5"/>
  <c r="KS70" i="5"/>
  <c r="KT36" i="5"/>
  <c r="LB15" i="4"/>
  <c r="LA17" i="4"/>
  <c r="KY11" i="5"/>
  <c r="KZ7" i="5"/>
  <c r="KY31" i="5" l="1"/>
  <c r="KY33" i="5"/>
  <c r="KY21" i="5"/>
  <c r="KX34" i="5"/>
  <c r="KX24" i="5"/>
  <c r="KX25" i="5"/>
  <c r="KZ38" i="5"/>
  <c r="KZ55" i="5"/>
  <c r="KZ56" i="5" s="1"/>
  <c r="KZ53" i="5"/>
  <c r="KY30" i="5"/>
  <c r="KY32" i="5"/>
  <c r="KY25" i="5"/>
  <c r="KV26" i="5"/>
  <c r="KX22" i="5"/>
  <c r="KZ10" i="5"/>
  <c r="KU36" i="5"/>
  <c r="KU40" i="5" s="1"/>
  <c r="KT40" i="5"/>
  <c r="KY61" i="5"/>
  <c r="KY62" i="5"/>
  <c r="AC12" i="6"/>
  <c r="LB17" i="4"/>
  <c r="LC15" i="4"/>
  <c r="KZ11" i="5"/>
  <c r="LA7" i="5"/>
  <c r="KZ31" i="5" l="1"/>
  <c r="KZ33" i="5"/>
  <c r="KZ21" i="5"/>
  <c r="LA38" i="5"/>
  <c r="LA55" i="5"/>
  <c r="LA56" i="5" s="1"/>
  <c r="LA53" i="5"/>
  <c r="KY34" i="5"/>
  <c r="KZ30" i="5"/>
  <c r="KZ32" i="5"/>
  <c r="KY24" i="5"/>
  <c r="AC14" i="6"/>
  <c r="AC22" i="6" s="1"/>
  <c r="KW26" i="5"/>
  <c r="KY22" i="5"/>
  <c r="LA10" i="5"/>
  <c r="KV36" i="5"/>
  <c r="KV40" i="5" s="1"/>
  <c r="KT70" i="5"/>
  <c r="KU70" i="5"/>
  <c r="KZ61" i="5"/>
  <c r="KZ62" i="5"/>
  <c r="LC17" i="4"/>
  <c r="LD15" i="4"/>
  <c r="LA11" i="5"/>
  <c r="LB7" i="5"/>
  <c r="LA31" i="5" l="1"/>
  <c r="LA33" i="5"/>
  <c r="LA21" i="5"/>
  <c r="AC26" i="6"/>
  <c r="AC38" i="6" s="1"/>
  <c r="AB9" i="9" s="1"/>
  <c r="AB6" i="9"/>
  <c r="KZ24" i="5"/>
  <c r="KZ25" i="5"/>
  <c r="LB38" i="5"/>
  <c r="LB53" i="5"/>
  <c r="LB55" i="5"/>
  <c r="LB56" i="5" s="1"/>
  <c r="KZ34" i="5"/>
  <c r="LA30" i="5"/>
  <c r="LA25" i="5"/>
  <c r="LA32" i="5"/>
  <c r="KZ22" i="5"/>
  <c r="KX26" i="5"/>
  <c r="LB10" i="5"/>
  <c r="LA61" i="5"/>
  <c r="LA62" i="5"/>
  <c r="KW36" i="5"/>
  <c r="KV70" i="5"/>
  <c r="LD17" i="4"/>
  <c r="LE15" i="4"/>
  <c r="LB11" i="5"/>
  <c r="LC7" i="5"/>
  <c r="LB31" i="5" l="1"/>
  <c r="LB33" i="5"/>
  <c r="LB21" i="5"/>
  <c r="AB4" i="9"/>
  <c r="LC38" i="5"/>
  <c r="LC53" i="5"/>
  <c r="LC55" i="5"/>
  <c r="LC56" i="5" s="1"/>
  <c r="LA34" i="5"/>
  <c r="LA24" i="5"/>
  <c r="LB30" i="5"/>
  <c r="LB32" i="5"/>
  <c r="KZ26" i="5"/>
  <c r="KY26" i="5"/>
  <c r="LA22" i="5"/>
  <c r="LC10" i="5"/>
  <c r="KW40" i="5"/>
  <c r="KX36" i="5"/>
  <c r="LB61" i="5"/>
  <c r="LB62" i="5"/>
  <c r="LF15" i="4"/>
  <c r="LE17" i="4"/>
  <c r="LC11" i="5"/>
  <c r="LD7" i="5"/>
  <c r="LC31" i="5" l="1"/>
  <c r="LC33" i="5"/>
  <c r="LC21" i="5"/>
  <c r="LB24" i="5"/>
  <c r="LB25" i="5"/>
  <c r="LD55" i="5"/>
  <c r="LD56" i="5" s="1"/>
  <c r="LD38" i="5"/>
  <c r="LD53" i="5"/>
  <c r="LB34" i="5"/>
  <c r="LC30" i="5"/>
  <c r="LC25" i="5"/>
  <c r="LC32" i="5"/>
  <c r="LB22" i="5"/>
  <c r="LD10" i="5"/>
  <c r="KY36" i="5"/>
  <c r="KY40" i="5" s="1"/>
  <c r="KX40" i="5"/>
  <c r="LC61" i="5"/>
  <c r="LC62" i="5"/>
  <c r="KW70" i="5"/>
  <c r="LG15" i="4"/>
  <c r="LF17" i="4"/>
  <c r="LD11" i="5"/>
  <c r="LE7" i="5"/>
  <c r="LD31" i="5" l="1"/>
  <c r="LD33" i="5"/>
  <c r="LD21" i="5"/>
  <c r="LE38" i="5"/>
  <c r="AD24" i="6" s="1"/>
  <c r="LE53" i="5"/>
  <c r="LE55" i="5"/>
  <c r="LE56" i="5" s="1"/>
  <c r="LC34" i="5"/>
  <c r="LD30" i="5"/>
  <c r="LD32" i="5"/>
  <c r="LC24" i="5"/>
  <c r="LA26" i="5"/>
  <c r="LC22" i="5"/>
  <c r="LE10" i="5"/>
  <c r="LD61" i="5"/>
  <c r="LD62" i="5"/>
  <c r="KY70" i="5"/>
  <c r="KZ36" i="5"/>
  <c r="KX70" i="5"/>
  <c r="LH15" i="4"/>
  <c r="LG17" i="4"/>
  <c r="LE11" i="5"/>
  <c r="LF7" i="5"/>
  <c r="LE31" i="5" l="1"/>
  <c r="LE33" i="5"/>
  <c r="LE21" i="5"/>
  <c r="LD24" i="5"/>
  <c r="LD25" i="5"/>
  <c r="LF55" i="5"/>
  <c r="LF56" i="5" s="1"/>
  <c r="AD34" i="6" s="1"/>
  <c r="LF38" i="5"/>
  <c r="LF53" i="5"/>
  <c r="LD34" i="5"/>
  <c r="LE30" i="5"/>
  <c r="LE32" i="5"/>
  <c r="LB26" i="5"/>
  <c r="LD22" i="5"/>
  <c r="LF10" i="5"/>
  <c r="LA36" i="5"/>
  <c r="LA40" i="5" s="1"/>
  <c r="KZ40" i="5"/>
  <c r="LE61" i="5"/>
  <c r="LE62" i="5"/>
  <c r="LH17" i="4"/>
  <c r="LI15" i="4"/>
  <c r="LF11" i="5"/>
  <c r="LG7" i="5"/>
  <c r="LF31" i="5" l="1"/>
  <c r="LF33" i="5"/>
  <c r="LF21" i="5"/>
  <c r="AD9" i="6" s="1"/>
  <c r="LE24" i="5"/>
  <c r="LE25" i="5"/>
  <c r="LG55" i="5"/>
  <c r="LG56" i="5" s="1"/>
  <c r="LG38" i="5"/>
  <c r="LG53" i="5"/>
  <c r="LE34" i="5"/>
  <c r="LF30" i="5"/>
  <c r="LF25" i="5"/>
  <c r="LF32" i="5"/>
  <c r="LD26" i="5"/>
  <c r="LC26" i="5"/>
  <c r="LE22" i="5"/>
  <c r="LG10" i="5"/>
  <c r="LF62" i="5"/>
  <c r="LF61" i="5"/>
  <c r="LA70" i="5"/>
  <c r="LB36" i="5"/>
  <c r="KZ70" i="5"/>
  <c r="LI17" i="4"/>
  <c r="LJ15" i="4"/>
  <c r="LG11" i="5"/>
  <c r="LH7" i="5"/>
  <c r="LG31" i="5" l="1"/>
  <c r="LG33" i="5"/>
  <c r="LG21" i="5"/>
  <c r="LH38" i="5"/>
  <c r="LH55" i="5"/>
  <c r="LH56" i="5" s="1"/>
  <c r="LH53" i="5"/>
  <c r="LF34" i="5"/>
  <c r="LF24" i="5"/>
  <c r="AD8" i="6"/>
  <c r="LG30" i="5"/>
  <c r="LG25" i="5"/>
  <c r="LG32" i="5"/>
  <c r="LF22" i="5"/>
  <c r="LH10" i="5"/>
  <c r="LC36" i="5"/>
  <c r="LC40" i="5" s="1"/>
  <c r="LB40" i="5"/>
  <c r="LG61" i="5"/>
  <c r="LG62" i="5"/>
  <c r="LK15" i="4"/>
  <c r="LJ17" i="4"/>
  <c r="LH11" i="5"/>
  <c r="LI7" i="5"/>
  <c r="LH31" i="5" l="1"/>
  <c r="LH33" i="5"/>
  <c r="LH21" i="5"/>
  <c r="AD10" i="6"/>
  <c r="AD13" i="6"/>
  <c r="LI53" i="5"/>
  <c r="LI55" i="5"/>
  <c r="LI56" i="5" s="1"/>
  <c r="LI38" i="5"/>
  <c r="LG34" i="5"/>
  <c r="LH30" i="5"/>
  <c r="LH32" i="5"/>
  <c r="LG24" i="5"/>
  <c r="LE26" i="5"/>
  <c r="LG22" i="5"/>
  <c r="LI10" i="5"/>
  <c r="LD36" i="5"/>
  <c r="LB70" i="5"/>
  <c r="LH61" i="5"/>
  <c r="LH62" i="5"/>
  <c r="LC70" i="5"/>
  <c r="LL15" i="4"/>
  <c r="LK17" i="4"/>
  <c r="LI11" i="5"/>
  <c r="LJ7" i="5"/>
  <c r="LI31" i="5" l="1"/>
  <c r="LI21" i="5"/>
  <c r="LI33" i="5"/>
  <c r="LH24" i="5"/>
  <c r="LH25" i="5"/>
  <c r="LJ38" i="5"/>
  <c r="LJ55" i="5"/>
  <c r="LJ56" i="5" s="1"/>
  <c r="LJ53" i="5"/>
  <c r="LH34" i="5"/>
  <c r="LI30" i="5"/>
  <c r="LI25" i="5"/>
  <c r="LI32" i="5"/>
  <c r="LF26" i="5"/>
  <c r="LH22" i="5"/>
  <c r="LJ10" i="5"/>
  <c r="LD40" i="5"/>
  <c r="LI61" i="5"/>
  <c r="LI62" i="5"/>
  <c r="LE36" i="5"/>
  <c r="LM15" i="4"/>
  <c r="LL17" i="4"/>
  <c r="LJ11" i="5"/>
  <c r="LK7" i="5"/>
  <c r="LJ31" i="5" l="1"/>
  <c r="LJ33" i="5"/>
  <c r="LJ21" i="5"/>
  <c r="LK55" i="5"/>
  <c r="LK56" i="5" s="1"/>
  <c r="LK53" i="5"/>
  <c r="LK38" i="5"/>
  <c r="LI34" i="5"/>
  <c r="LJ30" i="5"/>
  <c r="LJ32" i="5"/>
  <c r="LI24" i="5"/>
  <c r="LG26" i="5"/>
  <c r="LI22" i="5"/>
  <c r="LK10" i="5"/>
  <c r="LE40" i="5"/>
  <c r="LF36" i="5"/>
  <c r="LD70" i="5"/>
  <c r="LJ61" i="5"/>
  <c r="LJ62" i="5"/>
  <c r="LN15" i="4"/>
  <c r="LM17" i="4"/>
  <c r="LK11" i="5"/>
  <c r="LL7" i="5"/>
  <c r="LK31" i="5" l="1"/>
  <c r="LK33" i="5"/>
  <c r="LK21" i="5"/>
  <c r="LJ24" i="5"/>
  <c r="LJ25" i="5"/>
  <c r="LL55" i="5"/>
  <c r="LL56" i="5" s="1"/>
  <c r="LL38" i="5"/>
  <c r="LL53" i="5"/>
  <c r="LJ34" i="5"/>
  <c r="LK30" i="5"/>
  <c r="LK32" i="5"/>
  <c r="LK25" i="5"/>
  <c r="LH26" i="5"/>
  <c r="LJ22" i="5"/>
  <c r="LL10" i="5"/>
  <c r="LG36" i="5"/>
  <c r="LG40" i="5" s="1"/>
  <c r="LF40" i="5"/>
  <c r="LE70" i="5"/>
  <c r="AD12" i="6"/>
  <c r="LK62" i="5"/>
  <c r="LK61" i="5"/>
  <c r="LO15" i="4"/>
  <c r="LN17" i="4"/>
  <c r="LL11" i="5"/>
  <c r="LM7" i="5"/>
  <c r="LL31" i="5" l="1"/>
  <c r="LL33" i="5"/>
  <c r="LL21" i="5"/>
  <c r="LM55" i="5"/>
  <c r="LM56" i="5" s="1"/>
  <c r="LM53" i="5"/>
  <c r="LM38" i="5"/>
  <c r="LK34" i="5"/>
  <c r="LK24" i="5"/>
  <c r="LL30" i="5"/>
  <c r="LL32" i="5"/>
  <c r="AD14" i="6"/>
  <c r="AD22" i="6" s="1"/>
  <c r="LI26" i="5"/>
  <c r="LK22" i="5"/>
  <c r="LM10" i="5"/>
  <c r="LH36" i="5"/>
  <c r="LG70" i="5"/>
  <c r="LL62" i="5"/>
  <c r="LL61" i="5"/>
  <c r="LF70" i="5"/>
  <c r="LO17" i="4"/>
  <c r="LP15" i="4"/>
  <c r="LM11" i="5"/>
  <c r="LN7" i="5"/>
  <c r="LM31" i="5" l="1"/>
  <c r="LM33" i="5"/>
  <c r="LM21" i="5"/>
  <c r="AD26" i="6"/>
  <c r="AC4" i="9" s="1"/>
  <c r="AC6" i="9"/>
  <c r="LL24" i="5"/>
  <c r="LL25" i="5"/>
  <c r="LN53" i="5"/>
  <c r="LN38" i="5"/>
  <c r="LN55" i="5"/>
  <c r="LN56" i="5" s="1"/>
  <c r="LL34" i="5"/>
  <c r="LM30" i="5"/>
  <c r="LM32" i="5"/>
  <c r="LJ26" i="5"/>
  <c r="LL22" i="5"/>
  <c r="LN10" i="5"/>
  <c r="LI36" i="5"/>
  <c r="LH40" i="5"/>
  <c r="LM62" i="5"/>
  <c r="LM61" i="5"/>
  <c r="LQ15" i="4"/>
  <c r="LP17" i="4"/>
  <c r="LN11" i="5"/>
  <c r="LO7" i="5"/>
  <c r="AD38" i="6" l="1"/>
  <c r="AC9" i="9" s="1"/>
  <c r="LN31" i="5"/>
  <c r="LN33" i="5"/>
  <c r="LN21" i="5"/>
  <c r="LM24" i="5"/>
  <c r="LM25" i="5"/>
  <c r="LO38" i="5"/>
  <c r="LO53" i="5"/>
  <c r="LO55" i="5"/>
  <c r="LO56" i="5" s="1"/>
  <c r="LM34" i="5"/>
  <c r="LN30" i="5"/>
  <c r="LN25" i="5"/>
  <c r="LN32" i="5"/>
  <c r="LK26" i="5"/>
  <c r="LM22" i="5"/>
  <c r="LO10" i="5"/>
  <c r="LJ36" i="5"/>
  <c r="LJ40" i="5" s="1"/>
  <c r="LH70" i="5"/>
  <c r="LI40" i="5"/>
  <c r="LN61" i="5"/>
  <c r="LN62" i="5"/>
  <c r="LR15" i="4"/>
  <c r="LQ17" i="4"/>
  <c r="LO11" i="5"/>
  <c r="LP7" i="5"/>
  <c r="LO31" i="5" l="1"/>
  <c r="LO33" i="5"/>
  <c r="LO21" i="5"/>
  <c r="LP38" i="5"/>
  <c r="LP55" i="5"/>
  <c r="LP56" i="5" s="1"/>
  <c r="LP53" i="5"/>
  <c r="LN34" i="5"/>
  <c r="LN24" i="5"/>
  <c r="LO30" i="5"/>
  <c r="LO32" i="5"/>
  <c r="LL26" i="5"/>
  <c r="LN22" i="5"/>
  <c r="LP10" i="5"/>
  <c r="LK36" i="5"/>
  <c r="LK40" i="5" s="1"/>
  <c r="LI70" i="5"/>
  <c r="LO61" i="5"/>
  <c r="LO62" i="5"/>
  <c r="LJ70" i="5"/>
  <c r="LR17" i="4"/>
  <c r="LS15" i="4"/>
  <c r="LP11" i="5"/>
  <c r="LQ7" i="5"/>
  <c r="LP31" i="5" l="1"/>
  <c r="LP33" i="5"/>
  <c r="LP21" i="5"/>
  <c r="LO24" i="5"/>
  <c r="LO25" i="5"/>
  <c r="LQ55" i="5"/>
  <c r="LQ56" i="5" s="1"/>
  <c r="LQ38" i="5"/>
  <c r="AE24" i="6" s="1"/>
  <c r="LQ53" i="5"/>
  <c r="LO34" i="5"/>
  <c r="LP30" i="5"/>
  <c r="LP32" i="5"/>
  <c r="LM26" i="5"/>
  <c r="LO22" i="5"/>
  <c r="LQ10" i="5"/>
  <c r="LP61" i="5"/>
  <c r="LP62" i="5"/>
  <c r="LK70" i="5"/>
  <c r="LL36" i="5"/>
  <c r="LS17" i="4"/>
  <c r="LT15" i="4"/>
  <c r="LQ11" i="5"/>
  <c r="LR7" i="5"/>
  <c r="LQ31" i="5" l="1"/>
  <c r="LQ33" i="5"/>
  <c r="LQ21" i="5"/>
  <c r="LP24" i="5"/>
  <c r="LP25" i="5"/>
  <c r="LR55" i="5"/>
  <c r="LR56" i="5" s="1"/>
  <c r="AE34" i="6" s="1"/>
  <c r="LR53" i="5"/>
  <c r="LR38" i="5"/>
  <c r="LP34" i="5"/>
  <c r="LQ30" i="5"/>
  <c r="LQ32" i="5"/>
  <c r="LP22" i="5"/>
  <c r="LN26" i="5"/>
  <c r="LR10" i="5"/>
  <c r="LM36" i="5"/>
  <c r="LM40" i="5" s="1"/>
  <c r="LL40" i="5"/>
  <c r="LQ61" i="5"/>
  <c r="LQ62" i="5"/>
  <c r="LU15" i="4"/>
  <c r="LT17" i="4"/>
  <c r="LR11" i="5"/>
  <c r="LS7" i="5"/>
  <c r="LR31" i="5" l="1"/>
  <c r="LR33" i="5"/>
  <c r="LR21" i="5"/>
  <c r="AE9" i="6" s="1"/>
  <c r="LQ24" i="5"/>
  <c r="LQ25" i="5"/>
  <c r="LS38" i="5"/>
  <c r="LS53" i="5"/>
  <c r="LS55" i="5"/>
  <c r="LS56" i="5" s="1"/>
  <c r="LQ34" i="5"/>
  <c r="LR30" i="5"/>
  <c r="LR25" i="5"/>
  <c r="LR32" i="5"/>
  <c r="LP26" i="5"/>
  <c r="LO26" i="5"/>
  <c r="LQ22" i="5"/>
  <c r="LS10" i="5"/>
  <c r="LL70" i="5"/>
  <c r="LR61" i="5"/>
  <c r="LR62" i="5"/>
  <c r="LN36" i="5"/>
  <c r="LM70" i="5"/>
  <c r="LV15" i="4"/>
  <c r="LU17" i="4"/>
  <c r="LS11" i="5"/>
  <c r="LT7" i="5"/>
  <c r="LS31" i="5" l="1"/>
  <c r="LS33" i="5"/>
  <c r="LS21" i="5"/>
  <c r="LT55" i="5"/>
  <c r="LT56" i="5" s="1"/>
  <c r="LT38" i="5"/>
  <c r="LT53" i="5"/>
  <c r="LR34" i="5"/>
  <c r="LR24" i="5"/>
  <c r="AE8" i="6"/>
  <c r="LS30" i="5"/>
  <c r="LS25" i="5"/>
  <c r="LS32" i="5"/>
  <c r="LR22" i="5"/>
  <c r="LT10" i="5"/>
  <c r="LN40" i="5"/>
  <c r="LO36" i="5"/>
  <c r="LS61" i="5"/>
  <c r="LS62" i="5"/>
  <c r="LV17" i="4"/>
  <c r="LW15" i="4"/>
  <c r="LT11" i="5"/>
  <c r="LU7" i="5"/>
  <c r="LT31" i="5" l="1"/>
  <c r="LT33" i="5"/>
  <c r="LT21" i="5"/>
  <c r="AE10" i="6"/>
  <c r="AE13" i="6"/>
  <c r="LU38" i="5"/>
  <c r="LU55" i="5"/>
  <c r="LU56" i="5" s="1"/>
  <c r="LU53" i="5"/>
  <c r="LS34" i="5"/>
  <c r="LT30" i="5"/>
  <c r="LT32" i="5"/>
  <c r="LS24" i="5"/>
  <c r="LS22" i="5"/>
  <c r="LQ26" i="5"/>
  <c r="LU10" i="5"/>
  <c r="LT61" i="5"/>
  <c r="LT62" i="5"/>
  <c r="LO40" i="5"/>
  <c r="LP36" i="5"/>
  <c r="LN70" i="5"/>
  <c r="LX15" i="4"/>
  <c r="LW17" i="4"/>
  <c r="LU11" i="5"/>
  <c r="LV7" i="5"/>
  <c r="LU31" i="5" l="1"/>
  <c r="LU21" i="5"/>
  <c r="LU33" i="5"/>
  <c r="LT24" i="5"/>
  <c r="LT25" i="5"/>
  <c r="LV53" i="5"/>
  <c r="LV55" i="5"/>
  <c r="LV56" i="5" s="1"/>
  <c r="LV38" i="5"/>
  <c r="LT34" i="5"/>
  <c r="LU30" i="5"/>
  <c r="LU25" i="5"/>
  <c r="LU32" i="5"/>
  <c r="LR26" i="5"/>
  <c r="LS26" i="5"/>
  <c r="LT22" i="5"/>
  <c r="LV10" i="5"/>
  <c r="LQ36" i="5"/>
  <c r="LQ40" i="5" s="1"/>
  <c r="LP40" i="5"/>
  <c r="LO70" i="5"/>
  <c r="LU61" i="5"/>
  <c r="LU62" i="5"/>
  <c r="LX17" i="4"/>
  <c r="LY15" i="4"/>
  <c r="LV11" i="5"/>
  <c r="LW7" i="5"/>
  <c r="LV31" i="5" l="1"/>
  <c r="LV33" i="5"/>
  <c r="LV21" i="5"/>
  <c r="LW53" i="5"/>
  <c r="LW38" i="5"/>
  <c r="LW55" i="5"/>
  <c r="LW56" i="5" s="1"/>
  <c r="LU34" i="5"/>
  <c r="LU24" i="5"/>
  <c r="LV30" i="5"/>
  <c r="LV32" i="5"/>
  <c r="LU22" i="5"/>
  <c r="LW10" i="5"/>
  <c r="AE12" i="6"/>
  <c r="LV62" i="5"/>
  <c r="LV61" i="5"/>
  <c r="LR36" i="5"/>
  <c r="LQ70" i="5"/>
  <c r="LP70" i="5"/>
  <c r="LZ15" i="4"/>
  <c r="LY17" i="4"/>
  <c r="LW11" i="5"/>
  <c r="LX7" i="5"/>
  <c r="LW31" i="5" l="1"/>
  <c r="LW21" i="5"/>
  <c r="LW33" i="5"/>
  <c r="LV24" i="5"/>
  <c r="LV25" i="5"/>
  <c r="LX38" i="5"/>
  <c r="LX55" i="5"/>
  <c r="LX56" i="5" s="1"/>
  <c r="LX53" i="5"/>
  <c r="LV34" i="5"/>
  <c r="LW30" i="5"/>
  <c r="LW32" i="5"/>
  <c r="AE14" i="6"/>
  <c r="AE22" i="6" s="1"/>
  <c r="LU26" i="5"/>
  <c r="LV22" i="5"/>
  <c r="LT26" i="5"/>
  <c r="LX10" i="5"/>
  <c r="LS36" i="5"/>
  <c r="LW61" i="5"/>
  <c r="LW62" i="5"/>
  <c r="LR40" i="5"/>
  <c r="MA15" i="4"/>
  <c r="LZ17" i="4"/>
  <c r="LX11" i="5"/>
  <c r="LY7" i="5"/>
  <c r="LX31" i="5" l="1"/>
  <c r="LX33" i="5"/>
  <c r="LX21" i="5"/>
  <c r="AE26" i="6"/>
  <c r="AE38" i="6" s="1"/>
  <c r="AD9" i="9" s="1"/>
  <c r="AD6" i="9"/>
  <c r="LW24" i="5"/>
  <c r="LW25" i="5"/>
  <c r="LY55" i="5"/>
  <c r="LY56" i="5" s="1"/>
  <c r="LY53" i="5"/>
  <c r="LY38" i="5"/>
  <c r="LW34" i="5"/>
  <c r="LX30" i="5"/>
  <c r="LX25" i="5"/>
  <c r="LX32" i="5"/>
  <c r="LV26" i="5"/>
  <c r="LW22" i="5"/>
  <c r="LY10" i="5"/>
  <c r="LT36" i="5"/>
  <c r="LT40" i="5" s="1"/>
  <c r="LS40" i="5"/>
  <c r="LX61" i="5"/>
  <c r="LX62" i="5"/>
  <c r="LR70" i="5"/>
  <c r="MB15" i="4"/>
  <c r="MA17" i="4"/>
  <c r="LY11" i="5"/>
  <c r="LZ7" i="5"/>
  <c r="LY31" i="5" l="1"/>
  <c r="LY21" i="5"/>
  <c r="LY33" i="5"/>
  <c r="AD4" i="9"/>
  <c r="LZ38" i="5"/>
  <c r="LZ53" i="5"/>
  <c r="LZ55" i="5"/>
  <c r="LZ56" i="5" s="1"/>
  <c r="LX34" i="5"/>
  <c r="LY30" i="5"/>
  <c r="LY32" i="5"/>
  <c r="LX24" i="5"/>
  <c r="LX22" i="5"/>
  <c r="LZ10" i="5"/>
  <c r="LS70" i="5"/>
  <c r="LU36" i="5"/>
  <c r="LY61" i="5"/>
  <c r="LY62" i="5"/>
  <c r="LT70" i="5"/>
  <c r="MC15" i="4"/>
  <c r="MB17" i="4"/>
  <c r="LZ11" i="5"/>
  <c r="MA7" i="5"/>
  <c r="LZ31" i="5" l="1"/>
  <c r="LZ33" i="5"/>
  <c r="LZ21" i="5"/>
  <c r="LY24" i="5"/>
  <c r="LY25" i="5"/>
  <c r="MA55" i="5"/>
  <c r="MA56" i="5" s="1"/>
  <c r="MA38" i="5"/>
  <c r="MA53" i="5"/>
  <c r="LY34" i="5"/>
  <c r="LZ30" i="5"/>
  <c r="LZ25" i="5"/>
  <c r="LZ32" i="5"/>
  <c r="LW26" i="5"/>
  <c r="LY22" i="5"/>
  <c r="MA10" i="5"/>
  <c r="LU40" i="5"/>
  <c r="LZ61" i="5"/>
  <c r="LZ62" i="5"/>
  <c r="LV36" i="5"/>
  <c r="MD15" i="4"/>
  <c r="MC17" i="4"/>
  <c r="MA11" i="5"/>
  <c r="MB7" i="5"/>
  <c r="MA31" i="5" l="1"/>
  <c r="MA33" i="5"/>
  <c r="MA21" i="5"/>
  <c r="MB55" i="5"/>
  <c r="MB56" i="5" s="1"/>
  <c r="MB38" i="5"/>
  <c r="MB53" i="5"/>
  <c r="LZ34" i="5"/>
  <c r="MA30" i="5"/>
  <c r="MA32" i="5"/>
  <c r="LZ24" i="5"/>
  <c r="LX26" i="5"/>
  <c r="LZ22" i="5"/>
  <c r="MB10" i="5"/>
  <c r="LV40" i="5"/>
  <c r="MA62" i="5"/>
  <c r="MA61" i="5"/>
  <c r="LW36" i="5"/>
  <c r="LU70" i="5"/>
  <c r="ME15" i="4"/>
  <c r="MD17" i="4"/>
  <c r="MB11" i="5"/>
  <c r="MC7" i="5"/>
  <c r="MB31" i="5" l="1"/>
  <c r="MB33" i="5"/>
  <c r="MB21" i="5"/>
  <c r="MA24" i="5"/>
  <c r="MA25" i="5"/>
  <c r="MC55" i="5"/>
  <c r="MC56" i="5" s="1"/>
  <c r="MC53" i="5"/>
  <c r="MC38" i="5"/>
  <c r="AF24" i="6" s="1"/>
  <c r="MA34" i="5"/>
  <c r="MB30" i="5"/>
  <c r="MB32" i="5"/>
  <c r="MA22" i="5"/>
  <c r="LY26" i="5"/>
  <c r="MC10" i="5"/>
  <c r="LX36" i="5"/>
  <c r="LX40" i="5" s="1"/>
  <c r="LW40" i="5"/>
  <c r="MB62" i="5"/>
  <c r="MB61" i="5"/>
  <c r="LV70" i="5"/>
  <c r="ME17" i="4"/>
  <c r="MF15" i="4"/>
  <c r="MC11" i="5"/>
  <c r="MD7" i="5"/>
  <c r="MC31" i="5" l="1"/>
  <c r="MC33" i="5"/>
  <c r="MC21" i="5"/>
  <c r="MB24" i="5"/>
  <c r="MB25" i="5"/>
  <c r="MD53" i="5"/>
  <c r="MD55" i="5"/>
  <c r="MD56" i="5" s="1"/>
  <c r="AF34" i="6" s="1"/>
  <c r="MD38" i="5"/>
  <c r="MB34" i="5"/>
  <c r="MC30" i="5"/>
  <c r="MC32" i="5"/>
  <c r="LZ26" i="5"/>
  <c r="MA26" i="5"/>
  <c r="MB22" i="5"/>
  <c r="MD10" i="5"/>
  <c r="LY36" i="5"/>
  <c r="LW70" i="5"/>
  <c r="MC62" i="5"/>
  <c r="MC61" i="5"/>
  <c r="LX70" i="5"/>
  <c r="MG15" i="4"/>
  <c r="MF17" i="4"/>
  <c r="MD11" i="5"/>
  <c r="ME7" i="5"/>
  <c r="MD31" i="5" l="1"/>
  <c r="MD33" i="5"/>
  <c r="MD21" i="5"/>
  <c r="MC34" i="5"/>
  <c r="MC24" i="5"/>
  <c r="MC25" i="5"/>
  <c r="ME53" i="5"/>
  <c r="ME38" i="5"/>
  <c r="ME55" i="5"/>
  <c r="ME56" i="5" s="1"/>
  <c r="MD30" i="5"/>
  <c r="MD25" i="5"/>
  <c r="MD32" i="5"/>
  <c r="MC22" i="5"/>
  <c r="ME10" i="5"/>
  <c r="AF9" i="6"/>
  <c r="LZ36" i="5"/>
  <c r="LZ40" i="5" s="1"/>
  <c r="MD61" i="5"/>
  <c r="MD62" i="5"/>
  <c r="LY40" i="5"/>
  <c r="MH15" i="4"/>
  <c r="MG17" i="4"/>
  <c r="ME11" i="5"/>
  <c r="MF7" i="5"/>
  <c r="ME31" i="5" l="1"/>
  <c r="ME33" i="5"/>
  <c r="ME21" i="5"/>
  <c r="MF38" i="5"/>
  <c r="MF55" i="5"/>
  <c r="MF56" i="5" s="1"/>
  <c r="MF53" i="5"/>
  <c r="MD34" i="5"/>
  <c r="MD24" i="5"/>
  <c r="AF8" i="6"/>
  <c r="ME30" i="5"/>
  <c r="ME25" i="5"/>
  <c r="ME32" i="5"/>
  <c r="MC26" i="5"/>
  <c r="MB26" i="5"/>
  <c r="MD22" i="5"/>
  <c r="MF10" i="5"/>
  <c r="LY70" i="5"/>
  <c r="MA36" i="5"/>
  <c r="LZ70" i="5"/>
  <c r="ME61" i="5"/>
  <c r="ME62" i="5"/>
  <c r="MI15" i="4"/>
  <c r="MH17" i="4"/>
  <c r="MF11" i="5"/>
  <c r="MG7" i="5"/>
  <c r="MF31" i="5" l="1"/>
  <c r="MF33" i="5"/>
  <c r="MF21" i="5"/>
  <c r="AF10" i="6"/>
  <c r="AF13" i="6"/>
  <c r="MG55" i="5"/>
  <c r="MG56" i="5" s="1"/>
  <c r="MG38" i="5"/>
  <c r="MG53" i="5"/>
  <c r="ME34" i="5"/>
  <c r="MF30" i="5"/>
  <c r="MF32" i="5"/>
  <c r="ME24" i="5"/>
  <c r="ME22" i="5"/>
  <c r="MG10" i="5"/>
  <c r="MB36" i="5"/>
  <c r="MB40" i="5" s="1"/>
  <c r="MA40" i="5"/>
  <c r="MF61" i="5"/>
  <c r="MF62" i="5"/>
  <c r="MJ15" i="4"/>
  <c r="MI17" i="4"/>
  <c r="MG11" i="5"/>
  <c r="MH7" i="5"/>
  <c r="MG31" i="5" l="1"/>
  <c r="MG33" i="5"/>
  <c r="MG21" i="5"/>
  <c r="MF24" i="5"/>
  <c r="MF25" i="5"/>
  <c r="MH53" i="5"/>
  <c r="MH55" i="5"/>
  <c r="MH56" i="5" s="1"/>
  <c r="MH38" i="5"/>
  <c r="MF34" i="5"/>
  <c r="MG30" i="5"/>
  <c r="MG25" i="5"/>
  <c r="MG32" i="5"/>
  <c r="MD26" i="5"/>
  <c r="MF22" i="5"/>
  <c r="MH10" i="5"/>
  <c r="MC36" i="5"/>
  <c r="MA70" i="5"/>
  <c r="MG61" i="5"/>
  <c r="MG62" i="5"/>
  <c r="MB70" i="5"/>
  <c r="MK15" i="4"/>
  <c r="MJ17" i="4"/>
  <c r="MH11" i="5"/>
  <c r="MI7" i="5"/>
  <c r="MH31" i="5" l="1"/>
  <c r="MH33" i="5"/>
  <c r="MH21" i="5"/>
  <c r="MI38" i="5"/>
  <c r="MI53" i="5"/>
  <c r="MI55" i="5"/>
  <c r="MI56" i="5" s="1"/>
  <c r="MG34" i="5"/>
  <c r="MG24" i="5"/>
  <c r="MH30" i="5"/>
  <c r="MH32" i="5"/>
  <c r="ME26" i="5"/>
  <c r="MG22" i="5"/>
  <c r="MI10" i="5"/>
  <c r="MC40" i="5"/>
  <c r="MH61" i="5"/>
  <c r="MH62" i="5"/>
  <c r="MD36" i="5"/>
  <c r="AF12" i="6"/>
  <c r="ML15" i="4"/>
  <c r="MK17" i="4"/>
  <c r="MI11" i="5"/>
  <c r="MJ7" i="5"/>
  <c r="MI31" i="5" l="1"/>
  <c r="MI33" i="5"/>
  <c r="MI21" i="5"/>
  <c r="MH24" i="5"/>
  <c r="MH25" i="5"/>
  <c r="MJ55" i="5"/>
  <c r="MJ56" i="5" s="1"/>
  <c r="MJ38" i="5"/>
  <c r="MJ53" i="5"/>
  <c r="MH34" i="5"/>
  <c r="MI30" i="5"/>
  <c r="MI32" i="5"/>
  <c r="AF14" i="6"/>
  <c r="AF22" i="6" s="1"/>
  <c r="MF26" i="5"/>
  <c r="MH22" i="5"/>
  <c r="MJ10" i="5"/>
  <c r="MD40" i="5"/>
  <c r="ME36" i="5"/>
  <c r="MI61" i="5"/>
  <c r="MI62" i="5"/>
  <c r="MC70" i="5"/>
  <c r="MM15" i="4"/>
  <c r="ML17" i="4"/>
  <c r="MJ11" i="5"/>
  <c r="MK7" i="5"/>
  <c r="MJ31" i="5" l="1"/>
  <c r="MJ33" i="5"/>
  <c r="MJ21" i="5"/>
  <c r="AF26" i="6"/>
  <c r="AF38" i="6" s="1"/>
  <c r="AE9" i="9" s="1"/>
  <c r="AE6" i="9"/>
  <c r="MI24" i="5"/>
  <c r="MI25" i="5"/>
  <c r="MI34" i="5"/>
  <c r="MK38" i="5"/>
  <c r="MK53" i="5"/>
  <c r="MK55" i="5"/>
  <c r="MK56" i="5" s="1"/>
  <c r="MJ30" i="5"/>
  <c r="MJ25" i="5"/>
  <c r="MJ32" i="5"/>
  <c r="MI22" i="5"/>
  <c r="MG26" i="5"/>
  <c r="MK10" i="5"/>
  <c r="MF36" i="5"/>
  <c r="MF40" i="5" s="1"/>
  <c r="ME40" i="5"/>
  <c r="MJ61" i="5"/>
  <c r="MJ62" i="5"/>
  <c r="MD70" i="5"/>
  <c r="MN15" i="4"/>
  <c r="MM17" i="4"/>
  <c r="MK11" i="5"/>
  <c r="ML7" i="5"/>
  <c r="MK31" i="5" l="1"/>
  <c r="MK33" i="5"/>
  <c r="MK21" i="5"/>
  <c r="AE4" i="9"/>
  <c r="ML55" i="5"/>
  <c r="ML56" i="5" s="1"/>
  <c r="ML53" i="5"/>
  <c r="ML38" i="5"/>
  <c r="MJ34" i="5"/>
  <c r="MJ24" i="5"/>
  <c r="MK30" i="5"/>
  <c r="MK32" i="5"/>
  <c r="MI26" i="5"/>
  <c r="MH26" i="5"/>
  <c r="MJ22" i="5"/>
  <c r="ML10" i="5"/>
  <c r="MK62" i="5"/>
  <c r="MK61" i="5"/>
  <c r="MG36" i="5"/>
  <c r="MF70" i="5"/>
  <c r="ME70" i="5"/>
  <c r="MN17" i="4"/>
  <c r="MO15" i="4"/>
  <c r="ML11" i="5"/>
  <c r="MM7" i="5"/>
  <c r="ML31" i="5" l="1"/>
  <c r="ML33" i="5"/>
  <c r="ML21" i="5"/>
  <c r="MK24" i="5"/>
  <c r="MK25" i="5"/>
  <c r="MM55" i="5"/>
  <c r="MM56" i="5" s="1"/>
  <c r="MM53" i="5"/>
  <c r="MM38" i="5"/>
  <c r="MK34" i="5"/>
  <c r="ML30" i="5"/>
  <c r="ML32" i="5"/>
  <c r="MK22" i="5"/>
  <c r="MM10" i="5"/>
  <c r="MG40" i="5"/>
  <c r="ML62" i="5"/>
  <c r="ML61" i="5"/>
  <c r="MH36" i="5"/>
  <c r="MO17" i="4"/>
  <c r="MP15" i="4"/>
  <c r="MM11" i="5"/>
  <c r="MN7" i="5"/>
  <c r="MM31" i="5" l="1"/>
  <c r="MM33" i="5"/>
  <c r="MM21" i="5"/>
  <c r="ML34" i="5"/>
  <c r="ML24" i="5"/>
  <c r="ML25" i="5"/>
  <c r="MN38" i="5"/>
  <c r="MN55" i="5"/>
  <c r="MN56" i="5" s="1"/>
  <c r="MN53" i="5"/>
  <c r="MM30" i="5"/>
  <c r="MM32" i="5"/>
  <c r="ML22" i="5"/>
  <c r="MJ26" i="5"/>
  <c r="MN10" i="5"/>
  <c r="MI36" i="5"/>
  <c r="MI40" i="5" s="1"/>
  <c r="MH40" i="5"/>
  <c r="MM61" i="5"/>
  <c r="MM62" i="5"/>
  <c r="MG70" i="5"/>
  <c r="MP17" i="4"/>
  <c r="MQ15" i="4"/>
  <c r="MN11" i="5"/>
  <c r="MO7" i="5"/>
  <c r="MN31" i="5" l="1"/>
  <c r="MN33" i="5"/>
  <c r="MN21" i="5"/>
  <c r="MM24" i="5"/>
  <c r="MM25" i="5"/>
  <c r="MO53" i="5"/>
  <c r="MO38" i="5"/>
  <c r="AG24" i="6" s="1"/>
  <c r="MO55" i="5"/>
  <c r="MO56" i="5" s="1"/>
  <c r="MM34" i="5"/>
  <c r="MN30" i="5"/>
  <c r="MN32" i="5"/>
  <c r="ML26" i="5"/>
  <c r="MK26" i="5"/>
  <c r="MM22" i="5"/>
  <c r="MO10" i="5"/>
  <c r="MJ36" i="5"/>
  <c r="MI70" i="5"/>
  <c r="MN61" i="5"/>
  <c r="MN62" i="5"/>
  <c r="MH70" i="5"/>
  <c r="MR15" i="4"/>
  <c r="MQ17" i="4"/>
  <c r="MO11" i="5"/>
  <c r="MP7" i="5"/>
  <c r="MO31" i="5" l="1"/>
  <c r="MO21" i="5"/>
  <c r="MO33" i="5"/>
  <c r="MN24" i="5"/>
  <c r="MN25" i="5"/>
  <c r="MP38" i="5"/>
  <c r="MP53" i="5"/>
  <c r="MP55" i="5"/>
  <c r="MP56" i="5" s="1"/>
  <c r="AG34" i="6" s="1"/>
  <c r="MN34" i="5"/>
  <c r="MO30" i="5"/>
  <c r="MO32" i="5"/>
  <c r="MN22" i="5"/>
  <c r="MP10" i="5"/>
  <c r="MK36" i="5"/>
  <c r="MK40" i="5" s="1"/>
  <c r="MJ40" i="5"/>
  <c r="MO61" i="5"/>
  <c r="MO62" i="5"/>
  <c r="MS15" i="4"/>
  <c r="MR17" i="4"/>
  <c r="MP11" i="5"/>
  <c r="MQ7" i="5"/>
  <c r="MP31" i="5" l="1"/>
  <c r="MP33" i="5"/>
  <c r="MP21" i="5"/>
  <c r="MO24" i="5"/>
  <c r="MO25" i="5"/>
  <c r="MQ55" i="5"/>
  <c r="MQ56" i="5" s="1"/>
  <c r="MQ53" i="5"/>
  <c r="MQ38" i="5"/>
  <c r="MO34" i="5"/>
  <c r="MP30" i="5"/>
  <c r="MP25" i="5"/>
  <c r="MP32" i="5"/>
  <c r="MM26" i="5"/>
  <c r="MO22" i="5"/>
  <c r="MQ10" i="5"/>
  <c r="AG9" i="6"/>
  <c r="MP61" i="5"/>
  <c r="MP62" i="5"/>
  <c r="MJ70" i="5"/>
  <c r="ML36" i="5"/>
  <c r="MK70" i="5"/>
  <c r="MT15" i="4"/>
  <c r="MS17" i="4"/>
  <c r="MQ11" i="5"/>
  <c r="MR7" i="5"/>
  <c r="MQ31" i="5" l="1"/>
  <c r="MQ33" i="5"/>
  <c r="MQ21" i="5"/>
  <c r="MR55" i="5"/>
  <c r="MR56" i="5" s="1"/>
  <c r="MR38" i="5"/>
  <c r="MR53" i="5"/>
  <c r="MP34" i="5"/>
  <c r="MQ30" i="5"/>
  <c r="MQ25" i="5"/>
  <c r="MQ32" i="5"/>
  <c r="MP24" i="5"/>
  <c r="AG8" i="6"/>
  <c r="MN26" i="5"/>
  <c r="MP22" i="5"/>
  <c r="MR10" i="5"/>
  <c r="ML40" i="5"/>
  <c r="MQ62" i="5"/>
  <c r="MQ61" i="5"/>
  <c r="MM36" i="5"/>
  <c r="MU15" i="4"/>
  <c r="MT17" i="4"/>
  <c r="MR11" i="5"/>
  <c r="MS7" i="5"/>
  <c r="MR31" i="5" l="1"/>
  <c r="MR33" i="5"/>
  <c r="MR21" i="5"/>
  <c r="AG10" i="6"/>
  <c r="AG13" i="6"/>
  <c r="MS55" i="5"/>
  <c r="MS56" i="5" s="1"/>
  <c r="MS53" i="5"/>
  <c r="MS38" i="5"/>
  <c r="MQ34" i="5"/>
  <c r="MQ24" i="5"/>
  <c r="MR30" i="5"/>
  <c r="MR32" i="5"/>
  <c r="MO26" i="5"/>
  <c r="MQ22" i="5"/>
  <c r="MS10" i="5"/>
  <c r="MM40" i="5"/>
  <c r="MN36" i="5"/>
  <c r="MR62" i="5"/>
  <c r="MR61" i="5"/>
  <c r="ML70" i="5"/>
  <c r="MV15" i="4"/>
  <c r="MU17" i="4"/>
  <c r="MS11" i="5"/>
  <c r="MT7" i="5"/>
  <c r="MS31" i="5" l="1"/>
  <c r="MS33" i="5"/>
  <c r="MS21" i="5"/>
  <c r="MR24" i="5"/>
  <c r="MR25" i="5"/>
  <c r="MT53" i="5"/>
  <c r="MT55" i="5"/>
  <c r="MT56" i="5" s="1"/>
  <c r="MT38" i="5"/>
  <c r="MR34" i="5"/>
  <c r="MS30" i="5"/>
  <c r="MS32" i="5"/>
  <c r="MQ26" i="5"/>
  <c r="MR22" i="5"/>
  <c r="MP26" i="5"/>
  <c r="MT10" i="5"/>
  <c r="MO36" i="5"/>
  <c r="MO40" i="5" s="1"/>
  <c r="MN40" i="5"/>
  <c r="MS62" i="5"/>
  <c r="MS61" i="5"/>
  <c r="MM70" i="5"/>
  <c r="MW15" i="4"/>
  <c r="MV17" i="4"/>
  <c r="MT11" i="5"/>
  <c r="MU7" i="5"/>
  <c r="MT31" i="5" l="1"/>
  <c r="MT33" i="5"/>
  <c r="MT21" i="5"/>
  <c r="MS24" i="5"/>
  <c r="MS25" i="5"/>
  <c r="MU38" i="5"/>
  <c r="MU53" i="5"/>
  <c r="MU55" i="5"/>
  <c r="MU56" i="5" s="1"/>
  <c r="MS34" i="5"/>
  <c r="MT30" i="5"/>
  <c r="MT25" i="5"/>
  <c r="MT32" i="5"/>
  <c r="MR26" i="5"/>
  <c r="MS22" i="5"/>
  <c r="MU10" i="5"/>
  <c r="AG12" i="6"/>
  <c r="MP36" i="5"/>
  <c r="MP40" i="5" s="1"/>
  <c r="MN70" i="5"/>
  <c r="MT61" i="5"/>
  <c r="MT62" i="5"/>
  <c r="MO70" i="5"/>
  <c r="MX15" i="4"/>
  <c r="MW17" i="4"/>
  <c r="MU11" i="5"/>
  <c r="MV7" i="5"/>
  <c r="MU31" i="5" l="1"/>
  <c r="MU33" i="5"/>
  <c r="MU21" i="5"/>
  <c r="MV38" i="5"/>
  <c r="MV55" i="5"/>
  <c r="MV56" i="5" s="1"/>
  <c r="MV53" i="5"/>
  <c r="MT34" i="5"/>
  <c r="MT24" i="5"/>
  <c r="MU30" i="5"/>
  <c r="MU32" i="5"/>
  <c r="AG14" i="6"/>
  <c r="AG22" i="6" s="1"/>
  <c r="MS26" i="5"/>
  <c r="MT22" i="5"/>
  <c r="MV10" i="5"/>
  <c r="MU61" i="5"/>
  <c r="MU62" i="5"/>
  <c r="MQ36" i="5"/>
  <c r="MP70" i="5"/>
  <c r="MY15" i="4"/>
  <c r="MX17" i="4"/>
  <c r="MV11" i="5"/>
  <c r="MW7" i="5"/>
  <c r="MV31" i="5" l="1"/>
  <c r="MV33" i="5"/>
  <c r="MV21" i="5"/>
  <c r="AG26" i="6"/>
  <c r="AF4" i="9" s="1"/>
  <c r="AF6" i="9"/>
  <c r="MU24" i="5"/>
  <c r="MU25" i="5"/>
  <c r="MW55" i="5"/>
  <c r="MW56" i="5" s="1"/>
  <c r="MW38" i="5"/>
  <c r="MW53" i="5"/>
  <c r="MU34" i="5"/>
  <c r="MV30" i="5"/>
  <c r="MV32" i="5"/>
  <c r="MU22" i="5"/>
  <c r="MW10" i="5"/>
  <c r="MQ40" i="5"/>
  <c r="MR36" i="5"/>
  <c r="MV61" i="5"/>
  <c r="MV62" i="5"/>
  <c r="MZ15" i="4"/>
  <c r="MY17" i="4"/>
  <c r="MW11" i="5"/>
  <c r="MX7" i="5"/>
  <c r="AG38" i="6" l="1"/>
  <c r="AF9" i="9" s="1"/>
  <c r="MW31" i="5"/>
  <c r="MW33" i="5"/>
  <c r="MW21" i="5"/>
  <c r="MV24" i="5"/>
  <c r="MV25" i="5"/>
  <c r="MX55" i="5"/>
  <c r="MX56" i="5" s="1"/>
  <c r="MX53" i="5"/>
  <c r="MX38" i="5"/>
  <c r="MV34" i="5"/>
  <c r="MW30" i="5"/>
  <c r="MW25" i="5"/>
  <c r="MW32" i="5"/>
  <c r="MV22" i="5"/>
  <c r="MT26" i="5"/>
  <c r="MX10" i="5"/>
  <c r="MR40" i="5"/>
  <c r="MS36" i="5"/>
  <c r="MW61" i="5"/>
  <c r="MW62" i="5"/>
  <c r="MQ70" i="5"/>
  <c r="NA15" i="4"/>
  <c r="MZ17" i="4"/>
  <c r="MX11" i="5"/>
  <c r="MY7" i="5"/>
  <c r="MX31" i="5" l="1"/>
  <c r="MX33" i="5"/>
  <c r="MX21" i="5"/>
  <c r="MY53" i="5"/>
  <c r="MY38" i="5"/>
  <c r="MY55" i="5"/>
  <c r="MY56" i="5" s="1"/>
  <c r="MW34" i="5"/>
  <c r="MX30" i="5"/>
  <c r="MX32" i="5"/>
  <c r="MW24" i="5"/>
  <c r="MV26" i="5"/>
  <c r="MU26" i="5"/>
  <c r="MW22" i="5"/>
  <c r="MY10" i="5"/>
  <c r="MT36" i="5"/>
  <c r="MT40" i="5" s="1"/>
  <c r="MS40" i="5"/>
  <c r="MX61" i="5"/>
  <c r="MX62" i="5"/>
  <c r="MR70" i="5"/>
  <c r="NA17" i="4"/>
  <c r="MY11" i="5"/>
  <c r="MZ7" i="5"/>
  <c r="MY31" i="5" l="1"/>
  <c r="MY33" i="5"/>
  <c r="MY21" i="5"/>
  <c r="MX24" i="5"/>
  <c r="MX25" i="5"/>
  <c r="MZ55" i="5"/>
  <c r="MZ56" i="5" s="1"/>
  <c r="MZ38" i="5"/>
  <c r="MZ53" i="5"/>
  <c r="MX34" i="5"/>
  <c r="MY30" i="5"/>
  <c r="MY32" i="5"/>
  <c r="MX22" i="5"/>
  <c r="MZ10" i="5"/>
  <c r="MY62" i="5"/>
  <c r="MY61" i="5"/>
  <c r="MT70" i="5"/>
  <c r="MU36" i="5"/>
  <c r="MS70" i="5"/>
  <c r="MZ11" i="5"/>
  <c r="NA7" i="5"/>
  <c r="MZ31" i="5" l="1"/>
  <c r="MZ33" i="5"/>
  <c r="MZ21" i="5"/>
  <c r="MY24" i="5"/>
  <c r="MY25" i="5"/>
  <c r="NA38" i="5"/>
  <c r="AH24" i="6" s="1"/>
  <c r="NA53" i="5"/>
  <c r="NA55" i="5"/>
  <c r="NA56" i="5" s="1"/>
  <c r="MY34" i="5"/>
  <c r="MZ30" i="5"/>
  <c r="MZ32" i="5"/>
  <c r="MY22" i="5"/>
  <c r="MW26" i="5"/>
  <c r="NA10" i="5"/>
  <c r="MV36" i="5"/>
  <c r="MV40" i="5" s="1"/>
  <c r="MU40" i="5"/>
  <c r="MZ62" i="5"/>
  <c r="MZ61" i="5"/>
  <c r="NA11" i="5"/>
  <c r="NB7" i="5"/>
  <c r="NA31" i="5" l="1"/>
  <c r="NA21" i="5"/>
  <c r="NA33" i="5"/>
  <c r="MZ24" i="5"/>
  <c r="MZ25" i="5"/>
  <c r="NB53" i="5"/>
  <c r="NB55" i="5"/>
  <c r="NB56" i="5" s="1"/>
  <c r="AH34" i="6" s="1"/>
  <c r="NB38" i="5"/>
  <c r="MZ34" i="5"/>
  <c r="NA30" i="5"/>
  <c r="NA32" i="5"/>
  <c r="MY26" i="5"/>
  <c r="MX26" i="5"/>
  <c r="MZ22" i="5"/>
  <c r="NB10" i="5"/>
  <c r="NA62" i="5"/>
  <c r="NA61" i="5"/>
  <c r="MV70" i="5"/>
  <c r="MW36" i="5"/>
  <c r="MU70" i="5"/>
  <c r="NB11" i="5"/>
  <c r="NB31" i="5" l="1"/>
  <c r="NB33" i="5"/>
  <c r="NB21" i="5"/>
  <c r="NA24" i="5"/>
  <c r="NA25" i="5"/>
  <c r="NA34" i="5"/>
  <c r="NB30" i="5"/>
  <c r="NB25" i="5"/>
  <c r="NB32" i="5"/>
  <c r="MZ26" i="5"/>
  <c r="NA22" i="5"/>
  <c r="AH9" i="6"/>
  <c r="MX36" i="5"/>
  <c r="MX40" i="5" s="1"/>
  <c r="MW40" i="5"/>
  <c r="NB34" i="5" l="1"/>
  <c r="NB24" i="5"/>
  <c r="AH8" i="6"/>
  <c r="NA26" i="5"/>
  <c r="NB22" i="5"/>
  <c r="MW70" i="5"/>
  <c r="MY36" i="5"/>
  <c r="MX70" i="5"/>
  <c r="AH10" i="6" l="1"/>
  <c r="AH13" i="6"/>
  <c r="NB26" i="5"/>
  <c r="MZ36" i="5"/>
  <c r="MZ40" i="5" s="1"/>
  <c r="MY40" i="5"/>
  <c r="NA36" i="5" l="1"/>
  <c r="NB36" i="5"/>
  <c r="AH12" i="6"/>
  <c r="AH14" i="6" s="1"/>
  <c r="MY70" i="5"/>
  <c r="MZ70" i="5"/>
  <c r="AH22" i="6" l="1"/>
  <c r="AG6" i="9" s="1"/>
  <c r="NB40" i="5"/>
  <c r="NA40" i="5"/>
  <c r="J4" i="6" l="1"/>
  <c r="NB61" i="5"/>
  <c r="NB62" i="5" s="1"/>
  <c r="NA70" i="5"/>
  <c r="E56" i="1" l="1"/>
  <c r="X25" i="6" s="1"/>
  <c r="AH26" i="6"/>
  <c r="AH38" i="6" s="1"/>
  <c r="AG9" i="9" s="1"/>
  <c r="NB70" i="5"/>
  <c r="S25" i="6" l="1"/>
  <c r="N25" i="6"/>
  <c r="N26" i="6" s="1"/>
  <c r="DV61" i="5"/>
  <c r="GD61" i="5"/>
  <c r="E57" i="1"/>
  <c r="CX61" i="5"/>
  <c r="IL61" i="5"/>
  <c r="IL62" i="5" s="1"/>
  <c r="IL70" i="5" s="1"/>
  <c r="X26" i="6"/>
  <c r="AG4" i="9"/>
  <c r="X38" i="6" l="1"/>
  <c r="W9" i="9" s="1"/>
  <c r="DV62" i="5"/>
  <c r="DV70" i="5" s="1"/>
  <c r="N38" i="6"/>
  <c r="M9" i="9" s="1"/>
  <c r="M4" i="9"/>
  <c r="GD62" i="5"/>
  <c r="GD70" i="5" s="1"/>
  <c r="CX62" i="5"/>
  <c r="CX70" i="5" s="1"/>
  <c r="L26" i="6"/>
  <c r="W4" i="9"/>
  <c r="D72" i="5" l="1"/>
  <c r="C14" i="9" s="1"/>
  <c r="E7" i="2" s="1"/>
  <c r="D7" i="1" s="1"/>
  <c r="D74" i="5"/>
  <c r="C16" i="9" s="1"/>
  <c r="E9" i="2" s="1"/>
  <c r="D9" i="1" s="1"/>
  <c r="L38" i="6"/>
  <c r="K9" i="9" s="1"/>
  <c r="K4" i="9"/>
  <c r="GE44" i="5" l="1"/>
  <c r="GE45" i="5" l="1"/>
  <c r="GE47" i="5"/>
  <c r="GE46" i="5" l="1"/>
  <c r="GE68" i="5"/>
  <c r="GF44" i="5"/>
  <c r="GE48" i="5"/>
  <c r="GF45" i="5" l="1"/>
  <c r="GF47" i="5"/>
  <c r="GE49" i="5"/>
  <c r="GF46" i="5" l="1"/>
  <c r="GF68" i="5"/>
  <c r="GF48" i="5"/>
  <c r="GG44" i="5"/>
  <c r="GF49" i="5" l="1"/>
  <c r="GG45" i="5"/>
  <c r="GG47" i="5"/>
  <c r="GG46" i="5" l="1"/>
  <c r="GG68" i="5"/>
  <c r="GH44" i="5"/>
  <c r="GG48" i="5"/>
  <c r="GG49" i="5" s="1"/>
  <c r="GH45" i="5" l="1"/>
  <c r="GH47" i="5"/>
  <c r="GH46" i="5" l="1"/>
  <c r="GH68" i="5"/>
  <c r="GI44" i="5"/>
  <c r="GH48" i="5"/>
  <c r="GH49" i="5" s="1"/>
  <c r="GI47" i="5" l="1"/>
  <c r="GI45" i="5"/>
  <c r="GI46" i="5" l="1"/>
  <c r="GI68" i="5"/>
  <c r="GI48" i="5"/>
  <c r="GJ44" i="5"/>
  <c r="GI49" i="5" l="1"/>
  <c r="GJ45" i="5"/>
  <c r="GJ47" i="5"/>
  <c r="GJ68" i="5" s="1"/>
  <c r="GJ46" i="5" l="1"/>
  <c r="GK44" i="5"/>
  <c r="GJ48" i="5"/>
  <c r="GK45" i="5" l="1"/>
  <c r="GK47" i="5"/>
  <c r="GK68" i="5" s="1"/>
  <c r="GJ49" i="5"/>
  <c r="GK46" i="5" l="1"/>
  <c r="GL44" i="5"/>
  <c r="GK48" i="5"/>
  <c r="GL45" i="5" l="1"/>
  <c r="GL47" i="5"/>
  <c r="GL68" i="5" s="1"/>
  <c r="GK49" i="5"/>
  <c r="GL46" i="5" l="1"/>
  <c r="GM44" i="5"/>
  <c r="GL48" i="5"/>
  <c r="GM47" i="5" l="1"/>
  <c r="GM68" i="5" s="1"/>
  <c r="GM45" i="5"/>
  <c r="GL49" i="5"/>
  <c r="GM46" i="5" l="1"/>
  <c r="GM48" i="5"/>
  <c r="GM49" i="5" s="1"/>
  <c r="GN44" i="5"/>
  <c r="GN47" i="5" l="1"/>
  <c r="GN68" i="5" s="1"/>
  <c r="GN45" i="5"/>
  <c r="GN46" i="5" l="1"/>
  <c r="GN48" i="5"/>
  <c r="GO44" i="5"/>
  <c r="GO45" i="5" l="1"/>
  <c r="GO47" i="5"/>
  <c r="GO68" i="5" s="1"/>
  <c r="GN49" i="5"/>
  <c r="GO46" i="5" l="1"/>
  <c r="GP44" i="5"/>
  <c r="T28" i="6" s="1"/>
  <c r="GO48" i="5"/>
  <c r="GP45" i="5" l="1"/>
  <c r="GP47" i="5"/>
  <c r="T29" i="6" s="1"/>
  <c r="GO49" i="5"/>
  <c r="GP46" i="5" l="1"/>
  <c r="T30" i="6"/>
  <c r="GP68" i="5"/>
  <c r="GP48" i="5"/>
  <c r="GQ44" i="5"/>
  <c r="T37" i="6" l="1"/>
  <c r="S8" i="9" s="1"/>
  <c r="GQ45" i="5"/>
  <c r="GQ47" i="5"/>
  <c r="GP49" i="5"/>
  <c r="GQ46" i="5" l="1"/>
  <c r="T33" i="6"/>
  <c r="GQ68" i="5"/>
  <c r="GQ48" i="5"/>
  <c r="GQ49" i="5" l="1"/>
  <c r="GR47" i="5" l="1"/>
  <c r="GS44" i="5"/>
  <c r="GS45" i="5" l="1"/>
  <c r="GS47" i="5"/>
  <c r="GS46" i="5" l="1"/>
  <c r="GS68" i="5"/>
  <c r="GT44" i="5"/>
  <c r="GS48" i="5"/>
  <c r="GT45" i="5" l="1"/>
  <c r="GT47" i="5"/>
  <c r="GS49" i="5"/>
  <c r="GT46" i="5" l="1"/>
  <c r="GT68" i="5"/>
  <c r="GU44" i="5"/>
  <c r="GT48" i="5"/>
  <c r="GU45" i="5" l="1"/>
  <c r="GT49" i="5"/>
  <c r="GU47" i="5"/>
  <c r="GU46" i="5" l="1"/>
  <c r="GU68" i="5"/>
  <c r="GV44" i="5"/>
  <c r="GU48" i="5"/>
  <c r="GU49" i="5" s="1"/>
  <c r="GV45" i="5" l="1"/>
  <c r="GV47" i="5"/>
  <c r="GV68" i="5" s="1"/>
  <c r="GV46" i="5" l="1"/>
  <c r="GW44" i="5"/>
  <c r="GV48" i="5"/>
  <c r="GW47" i="5" l="1"/>
  <c r="GW68" i="5" s="1"/>
  <c r="GW45" i="5"/>
  <c r="GV49" i="5"/>
  <c r="GW46" i="5" l="1"/>
  <c r="GW48" i="5"/>
  <c r="GX44" i="5"/>
  <c r="GW49" i="5" l="1"/>
  <c r="GX45" i="5"/>
  <c r="GX47" i="5"/>
  <c r="GX68" i="5" s="1"/>
  <c r="GX46" i="5" l="1"/>
  <c r="GY44" i="5"/>
  <c r="GX48" i="5"/>
  <c r="GY45" i="5" l="1"/>
  <c r="GY47" i="5"/>
  <c r="GY68" i="5" s="1"/>
  <c r="GX49" i="5"/>
  <c r="GY46" i="5" l="1"/>
  <c r="GZ44" i="5"/>
  <c r="GY48" i="5"/>
  <c r="GZ45" i="5" l="1"/>
  <c r="GZ47" i="5"/>
  <c r="GZ68" i="5" s="1"/>
  <c r="GY49" i="5"/>
  <c r="GZ46" i="5" l="1"/>
  <c r="HA44" i="5"/>
  <c r="GZ48" i="5"/>
  <c r="HA45" i="5" l="1"/>
  <c r="HA47" i="5"/>
  <c r="HA68" i="5" s="1"/>
  <c r="GZ49" i="5"/>
  <c r="HA46" i="5" l="1"/>
  <c r="HA48" i="5"/>
  <c r="HB44" i="5"/>
  <c r="HB45" i="5" l="1"/>
  <c r="HB47" i="5"/>
  <c r="U29" i="6" s="1"/>
  <c r="HA49" i="5"/>
  <c r="HB46" i="5" l="1"/>
  <c r="HB68" i="5"/>
  <c r="HC44" i="5"/>
  <c r="HB48" i="5"/>
  <c r="HB49" i="5" s="1"/>
  <c r="HC45" i="5" l="1"/>
  <c r="HC47" i="5"/>
  <c r="HC46" i="5" l="1"/>
  <c r="HC68" i="5"/>
  <c r="HD44" i="5"/>
  <c r="HC48" i="5"/>
  <c r="HC49" i="5" l="1"/>
  <c r="HD45" i="5"/>
  <c r="HD47" i="5"/>
  <c r="HD46" i="5" l="1"/>
  <c r="HD68" i="5"/>
  <c r="HE44" i="5"/>
  <c r="HD48" i="5"/>
  <c r="HD49" i="5" l="1"/>
  <c r="HE45" i="5"/>
  <c r="HE47" i="5"/>
  <c r="HE46" i="5" l="1"/>
  <c r="HE68" i="5"/>
  <c r="HF44" i="5"/>
  <c r="HE48" i="5"/>
  <c r="HE49" i="5" l="1"/>
  <c r="HF45" i="5"/>
  <c r="HF47" i="5"/>
  <c r="HF46" i="5" l="1"/>
  <c r="HF68" i="5"/>
  <c r="HG44" i="5"/>
  <c r="HF48" i="5"/>
  <c r="HF49" i="5" l="1"/>
  <c r="HG45" i="5"/>
  <c r="HG47" i="5"/>
  <c r="HG46" i="5" l="1"/>
  <c r="HG68" i="5"/>
  <c r="HH44" i="5"/>
  <c r="HG48" i="5"/>
  <c r="HG49" i="5" s="1"/>
  <c r="HH45" i="5" l="1"/>
  <c r="HH47" i="5"/>
  <c r="HH68" i="5" s="1"/>
  <c r="HH46" i="5" l="1"/>
  <c r="HI44" i="5"/>
  <c r="HH48" i="5"/>
  <c r="HH49" i="5" l="1"/>
  <c r="HI45" i="5"/>
  <c r="HI47" i="5"/>
  <c r="HI68" i="5" s="1"/>
  <c r="HI46" i="5" l="1"/>
  <c r="HJ44" i="5"/>
  <c r="HI48" i="5"/>
  <c r="HI49" i="5" l="1"/>
  <c r="HJ45" i="5"/>
  <c r="HJ47" i="5"/>
  <c r="HJ68" i="5" s="1"/>
  <c r="HJ46" i="5" l="1"/>
  <c r="HK44" i="5"/>
  <c r="HJ48" i="5"/>
  <c r="HJ49" i="5" l="1"/>
  <c r="HK45" i="5"/>
  <c r="HK47" i="5"/>
  <c r="HK68" i="5" s="1"/>
  <c r="HK46" i="5" l="1"/>
  <c r="HK48" i="5"/>
  <c r="HK49" i="5" s="1"/>
  <c r="HL44" i="5"/>
  <c r="HL47" i="5" l="1"/>
  <c r="HL68" i="5" s="1"/>
  <c r="HL45" i="5"/>
  <c r="HL46" i="5" l="1"/>
  <c r="HL48" i="5"/>
  <c r="HM44" i="5"/>
  <c r="HL49" i="5" l="1"/>
  <c r="HM45" i="5"/>
  <c r="HM47" i="5"/>
  <c r="HM68" i="5" s="1"/>
  <c r="HM46" i="5" l="1"/>
  <c r="HN44" i="5"/>
  <c r="V28" i="6" s="1"/>
  <c r="HM48" i="5"/>
  <c r="HM49" i="5" s="1"/>
  <c r="HN45" i="5" l="1"/>
  <c r="HN47" i="5"/>
  <c r="V29" i="6" s="1"/>
  <c r="HN46" i="5" l="1"/>
  <c r="V30" i="6"/>
  <c r="HN68" i="5"/>
  <c r="HO44" i="5"/>
  <c r="HN48" i="5"/>
  <c r="V37" i="6" l="1"/>
  <c r="U8" i="9" s="1"/>
  <c r="HN49" i="5"/>
  <c r="HO47" i="5"/>
  <c r="HO45" i="5"/>
  <c r="HO46" i="5" l="1"/>
  <c r="V33" i="6"/>
  <c r="HO68" i="5"/>
  <c r="HO48" i="5"/>
  <c r="HP44" i="5"/>
  <c r="HP45" i="5" l="1"/>
  <c r="HP47" i="5"/>
  <c r="HO49" i="5"/>
  <c r="HP46" i="5" l="1"/>
  <c r="HP68" i="5"/>
  <c r="HQ44" i="5"/>
  <c r="HP48" i="5"/>
  <c r="HQ45" i="5" l="1"/>
  <c r="HQ47" i="5"/>
  <c r="HP49" i="5"/>
  <c r="HQ46" i="5" l="1"/>
  <c r="HQ68" i="5"/>
  <c r="HR44" i="5"/>
  <c r="HQ48" i="5"/>
  <c r="HR45" i="5" l="1"/>
  <c r="HR47" i="5"/>
  <c r="HQ49" i="5"/>
  <c r="HR46" i="5" l="1"/>
  <c r="HR68" i="5"/>
  <c r="HS44" i="5"/>
  <c r="HR48" i="5"/>
  <c r="HS45" i="5" l="1"/>
  <c r="HR49" i="5"/>
  <c r="HS47" i="5"/>
  <c r="HS46" i="5" l="1"/>
  <c r="HS68" i="5"/>
  <c r="HT44" i="5"/>
  <c r="HS48" i="5"/>
  <c r="HS49" i="5" l="1"/>
  <c r="HT45" i="5"/>
  <c r="HT47" i="5"/>
  <c r="HT68" i="5" s="1"/>
  <c r="HT46" i="5" l="1"/>
  <c r="HU44" i="5"/>
  <c r="HT48" i="5"/>
  <c r="HT49" i="5" l="1"/>
  <c r="HU45" i="5"/>
  <c r="HU47" i="5"/>
  <c r="HU68" i="5" s="1"/>
  <c r="HU46" i="5" l="1"/>
  <c r="HV44" i="5"/>
  <c r="HU48" i="5"/>
  <c r="HV45" i="5" l="1"/>
  <c r="HV47" i="5"/>
  <c r="HV68" i="5" s="1"/>
  <c r="HU49" i="5"/>
  <c r="HV46" i="5" l="1"/>
  <c r="HW44" i="5"/>
  <c r="HV48" i="5"/>
  <c r="HV49" i="5" s="1"/>
  <c r="HW45" i="5" l="1"/>
  <c r="HW47" i="5"/>
  <c r="HW68" i="5" s="1"/>
  <c r="HW46" i="5" l="1"/>
  <c r="HX44" i="5"/>
  <c r="HW48" i="5"/>
  <c r="HX45" i="5" l="1"/>
  <c r="HX47" i="5"/>
  <c r="HX68" i="5" s="1"/>
  <c r="HW49" i="5"/>
  <c r="HX46" i="5" l="1"/>
  <c r="HY44" i="5"/>
  <c r="HX48" i="5"/>
  <c r="HX49" i="5" l="1"/>
  <c r="HY45" i="5"/>
  <c r="HY47" i="5"/>
  <c r="HY68" i="5" s="1"/>
  <c r="HY46" i="5" l="1"/>
  <c r="HY48" i="5"/>
  <c r="HY49" i="5" l="1"/>
  <c r="HZ47" i="5" l="1"/>
  <c r="W29" i="6" s="1"/>
  <c r="IA44" i="5" l="1"/>
  <c r="IA45" i="5" l="1"/>
  <c r="IA47" i="5"/>
  <c r="IA46" i="5" l="1"/>
  <c r="IA68" i="5"/>
  <c r="IA48" i="5"/>
  <c r="IB44" i="5"/>
  <c r="IB45" i="5" l="1"/>
  <c r="IB47" i="5"/>
  <c r="IA49" i="5"/>
  <c r="IB46" i="5" l="1"/>
  <c r="IB68" i="5"/>
  <c r="IC44" i="5"/>
  <c r="IB48" i="5"/>
  <c r="IC45" i="5" l="1"/>
  <c r="IC47" i="5"/>
  <c r="IB49" i="5"/>
  <c r="IC46" i="5" l="1"/>
  <c r="IC68" i="5"/>
  <c r="ID44" i="5"/>
  <c r="IC48" i="5"/>
  <c r="IC49" i="5" l="1"/>
  <c r="ID45" i="5"/>
  <c r="ID47" i="5"/>
  <c r="ID46" i="5" l="1"/>
  <c r="ID68" i="5"/>
  <c r="IE44" i="5"/>
  <c r="ID48" i="5"/>
  <c r="IE45" i="5" l="1"/>
  <c r="IE47" i="5"/>
  <c r="ID49" i="5"/>
  <c r="IE46" i="5" l="1"/>
  <c r="IE68" i="5"/>
  <c r="IF44" i="5"/>
  <c r="IE48" i="5"/>
  <c r="IF45" i="5" l="1"/>
  <c r="IF47" i="5"/>
  <c r="IF68" i="5" s="1"/>
  <c r="IE49" i="5"/>
  <c r="IF46" i="5" l="1"/>
  <c r="IG44" i="5"/>
  <c r="IF48" i="5"/>
  <c r="IG47" i="5" l="1"/>
  <c r="IG68" i="5" s="1"/>
  <c r="IG45" i="5"/>
  <c r="IF49" i="5"/>
  <c r="IG46" i="5" l="1"/>
  <c r="IG48" i="5"/>
  <c r="IH44" i="5"/>
  <c r="IG49" i="5" l="1"/>
  <c r="IH45" i="5"/>
  <c r="IH47" i="5"/>
  <c r="IH68" i="5" s="1"/>
  <c r="IH46" i="5" l="1"/>
  <c r="II44" i="5"/>
  <c r="IH48" i="5"/>
  <c r="II45" i="5" l="1"/>
  <c r="II47" i="5"/>
  <c r="II68" i="5" s="1"/>
  <c r="IH49" i="5"/>
  <c r="II46" i="5" l="1"/>
  <c r="IJ44" i="5"/>
  <c r="II48" i="5"/>
  <c r="II49" i="5" l="1"/>
  <c r="IJ45" i="5"/>
  <c r="IJ47" i="5"/>
  <c r="IJ68" i="5" s="1"/>
  <c r="IJ46" i="5" l="1"/>
  <c r="IJ48" i="5"/>
  <c r="IK44" i="5"/>
  <c r="IK45" i="5" l="1"/>
  <c r="IK47" i="5"/>
  <c r="IK68" i="5" s="1"/>
  <c r="IJ49" i="5"/>
  <c r="IK46" i="5" l="1"/>
  <c r="IK48" i="5"/>
  <c r="IL44" i="5"/>
  <c r="X28" i="6" s="1"/>
  <c r="IL47" i="5" l="1"/>
  <c r="IL45" i="5"/>
  <c r="IK49" i="5"/>
  <c r="IL46" i="5" l="1"/>
  <c r="IM44" i="5"/>
  <c r="IL68" i="5"/>
  <c r="X29" i="6"/>
  <c r="IL48" i="5"/>
  <c r="IL49" i="5" s="1"/>
  <c r="X33" i="6" l="1"/>
  <c r="X30" i="6"/>
  <c r="IM45" i="5"/>
  <c r="IM47" i="5"/>
  <c r="X37" i="6" l="1"/>
  <c r="W8" i="9" s="1"/>
  <c r="IM46" i="5"/>
  <c r="IN44" i="5"/>
  <c r="IM48" i="5"/>
  <c r="IM58" i="5" s="1"/>
  <c r="IM68" i="5"/>
  <c r="IN47" i="5" l="1"/>
  <c r="IN68" i="5" s="1"/>
  <c r="IN45" i="5"/>
  <c r="IM49" i="5"/>
  <c r="IN46" i="5" l="1"/>
  <c r="IN48" i="5"/>
  <c r="IN49" i="5" s="1"/>
  <c r="IO44" i="5"/>
  <c r="IN58" i="5" l="1"/>
  <c r="IO45" i="5"/>
  <c r="IO47" i="5"/>
  <c r="IO46" i="5" l="1"/>
  <c r="IP44" i="5"/>
  <c r="IO48" i="5"/>
  <c r="IO49" i="5" s="1"/>
  <c r="IO68" i="5"/>
  <c r="IO58" i="5" l="1"/>
  <c r="IP47" i="5"/>
  <c r="IP68" i="5" s="1"/>
  <c r="IP45" i="5"/>
  <c r="IP46" i="5" l="1"/>
  <c r="IP48" i="5"/>
  <c r="IP58" i="5" s="1"/>
  <c r="IQ44" i="5"/>
  <c r="IP49" i="5" l="1"/>
  <c r="IQ45" i="5"/>
  <c r="IQ47" i="5"/>
  <c r="IQ46" i="5" l="1"/>
  <c r="IR44" i="5"/>
  <c r="IQ48" i="5"/>
  <c r="IQ49" i="5" s="1"/>
  <c r="IQ68" i="5"/>
  <c r="IQ58" i="5" l="1"/>
  <c r="IR45" i="5"/>
  <c r="IR47" i="5"/>
  <c r="IR46" i="5" l="1"/>
  <c r="IS44" i="5"/>
  <c r="IR48" i="5"/>
  <c r="IR49" i="5" s="1"/>
  <c r="IR68" i="5"/>
  <c r="IR58" i="5" l="1"/>
  <c r="IS47" i="5"/>
  <c r="IS45" i="5"/>
  <c r="IS46" i="5" l="1"/>
  <c r="IS48" i="5"/>
  <c r="IS49" i="5" s="1"/>
  <c r="IS68" i="5"/>
  <c r="IT44" i="5"/>
  <c r="IS58" i="5" l="1"/>
  <c r="IT45" i="5"/>
  <c r="IT47" i="5"/>
  <c r="IT68" i="5" s="1"/>
  <c r="IT46" i="5" l="1"/>
  <c r="IU44" i="5"/>
  <c r="IT48" i="5"/>
  <c r="IT58" i="5" s="1"/>
  <c r="IT49" i="5" l="1"/>
  <c r="IU45" i="5"/>
  <c r="IU47" i="5"/>
  <c r="IU68" i="5" s="1"/>
  <c r="IU46" i="5" l="1"/>
  <c r="IU48" i="5"/>
  <c r="IU58" i="5" s="1"/>
  <c r="IV44" i="5"/>
  <c r="IU49" i="5" l="1"/>
  <c r="IV45" i="5"/>
  <c r="IV47" i="5"/>
  <c r="IV46" i="5" l="1"/>
  <c r="IV68" i="5"/>
  <c r="IW44" i="5"/>
  <c r="IV48" i="5"/>
  <c r="IV49" i="5" s="1"/>
  <c r="IV58" i="5" l="1"/>
  <c r="IW45" i="5"/>
  <c r="IW47" i="5"/>
  <c r="IW46" i="5" l="1"/>
  <c r="IX44" i="5"/>
  <c r="IW48" i="5"/>
  <c r="IW49" i="5" s="1"/>
  <c r="IW68" i="5"/>
  <c r="IW58" i="5" l="1"/>
  <c r="IX45" i="5"/>
  <c r="Y28" i="6"/>
  <c r="IX47" i="5"/>
  <c r="IX46" i="5" l="1"/>
  <c r="Y29" i="6"/>
  <c r="Y31" i="6" s="1"/>
  <c r="IX48" i="5"/>
  <c r="IX49" i="5" s="1"/>
  <c r="IY44" i="5"/>
  <c r="IX68" i="5"/>
  <c r="Y33" i="6" l="1"/>
  <c r="IX58" i="5"/>
  <c r="Y30" i="6"/>
  <c r="Y37" i="6" s="1"/>
  <c r="X8" i="9" s="1"/>
  <c r="IY45" i="5"/>
  <c r="IY47" i="5"/>
  <c r="IY68" i="5" s="1"/>
  <c r="IY46" i="5" l="1"/>
  <c r="IZ44" i="5"/>
  <c r="IY48" i="5"/>
  <c r="IY49" i="5" s="1"/>
  <c r="IY58" i="5" l="1"/>
  <c r="IZ45" i="5"/>
  <c r="IZ47" i="5"/>
  <c r="IZ46" i="5" l="1"/>
  <c r="IZ48" i="5"/>
  <c r="IZ49" i="5" s="1"/>
  <c r="JA44" i="5"/>
  <c r="IZ68" i="5"/>
  <c r="IZ58" i="5" l="1"/>
  <c r="JA45" i="5"/>
  <c r="JA47" i="5"/>
  <c r="JA68" i="5" s="1"/>
  <c r="JA46" i="5" l="1"/>
  <c r="JB44" i="5"/>
  <c r="JA48" i="5"/>
  <c r="JA49" i="5" s="1"/>
  <c r="JA58" i="5" l="1"/>
  <c r="JB45" i="5"/>
  <c r="JB47" i="5"/>
  <c r="JB46" i="5" l="1"/>
  <c r="JB68" i="5"/>
  <c r="JC44" i="5"/>
  <c r="JB48" i="5"/>
  <c r="JB49" i="5" s="1"/>
  <c r="JB58" i="5" l="1"/>
  <c r="JC47" i="5"/>
  <c r="JC68" i="5" s="1"/>
  <c r="JC45" i="5"/>
  <c r="JC46" i="5" l="1"/>
  <c r="JD44" i="5"/>
  <c r="JC48" i="5"/>
  <c r="JC49" i="5" s="1"/>
  <c r="JC58" i="5" l="1"/>
  <c r="JD45" i="5"/>
  <c r="JD47" i="5"/>
  <c r="JD68" i="5" s="1"/>
  <c r="JD46" i="5" l="1"/>
  <c r="JE44" i="5"/>
  <c r="JD48" i="5"/>
  <c r="JD49" i="5" s="1"/>
  <c r="JD58" i="5" l="1"/>
  <c r="JE45" i="5"/>
  <c r="JE47" i="5"/>
  <c r="JE46" i="5" l="1"/>
  <c r="JE68" i="5"/>
  <c r="JF44" i="5"/>
  <c r="JE48" i="5"/>
  <c r="JE49" i="5" s="1"/>
  <c r="JE58" i="5" l="1"/>
  <c r="JF45" i="5"/>
  <c r="JF47" i="5"/>
  <c r="JF46" i="5" l="1"/>
  <c r="JG44" i="5"/>
  <c r="JF48" i="5"/>
  <c r="JF58" i="5" s="1"/>
  <c r="JF68" i="5"/>
  <c r="JF49" i="5" l="1"/>
  <c r="JG45" i="5"/>
  <c r="JG47" i="5"/>
  <c r="JG46" i="5" l="1"/>
  <c r="JG48" i="5"/>
  <c r="JG58" i="5" s="1"/>
  <c r="JG68" i="5"/>
  <c r="JH44" i="5"/>
  <c r="JG49" i="5" l="1"/>
  <c r="JH47" i="5"/>
  <c r="JH68" i="5" s="1"/>
  <c r="JH45" i="5"/>
  <c r="JH46" i="5" l="1"/>
  <c r="JH48" i="5"/>
  <c r="JH58" i="5" s="1"/>
  <c r="JI44" i="5"/>
  <c r="JH49" i="5" l="1"/>
  <c r="JI45" i="5"/>
  <c r="JI47" i="5"/>
  <c r="JI46" i="5" l="1"/>
  <c r="JJ44" i="5"/>
  <c r="JI48" i="5"/>
  <c r="JI49" i="5" s="1"/>
  <c r="JI68" i="5"/>
  <c r="JI58" i="5" l="1"/>
  <c r="JJ47" i="5"/>
  <c r="JJ45" i="5"/>
  <c r="Z28" i="6"/>
  <c r="JJ46" i="5" l="1"/>
  <c r="Z29" i="6"/>
  <c r="Z31" i="6" s="1"/>
  <c r="JJ48" i="5"/>
  <c r="JJ49" i="5" s="1"/>
  <c r="JJ68" i="5"/>
  <c r="JK44" i="5"/>
  <c r="Z33" i="6" l="1"/>
  <c r="JJ58" i="5"/>
  <c r="Z30" i="6"/>
  <c r="JK45" i="5"/>
  <c r="JK47" i="5"/>
  <c r="JK68" i="5" s="1"/>
  <c r="JK46" i="5" l="1"/>
  <c r="Z37" i="6"/>
  <c r="Y8" i="9" s="1"/>
  <c r="JL44" i="5"/>
  <c r="JK48" i="5"/>
  <c r="JK58" i="5" s="1"/>
  <c r="JK49" i="5" l="1"/>
  <c r="JL45" i="5"/>
  <c r="JL47" i="5"/>
  <c r="JL46" i="5" l="1"/>
  <c r="JM44" i="5"/>
  <c r="JL48" i="5"/>
  <c r="JL49" i="5" s="1"/>
  <c r="JL68" i="5"/>
  <c r="JL58" i="5" l="1"/>
  <c r="JM47" i="5"/>
  <c r="JM68" i="5" s="1"/>
  <c r="JM45" i="5"/>
  <c r="JM46" i="5" l="1"/>
  <c r="JM48" i="5"/>
  <c r="JM58" i="5" s="1"/>
  <c r="JN44" i="5"/>
  <c r="JM49" i="5" l="1"/>
  <c r="JN45" i="5"/>
  <c r="JN47" i="5"/>
  <c r="JN46" i="5" l="1"/>
  <c r="JO44" i="5"/>
  <c r="JN48" i="5"/>
  <c r="JN49" i="5" s="1"/>
  <c r="JN68" i="5"/>
  <c r="JN58" i="5" l="1"/>
  <c r="JO45" i="5"/>
  <c r="JO47" i="5"/>
  <c r="JO68" i="5" s="1"/>
  <c r="JO46" i="5" l="1"/>
  <c r="JO48" i="5"/>
  <c r="JO58" i="5" s="1"/>
  <c r="JO49" i="5" l="1"/>
  <c r="JP47" i="5"/>
  <c r="JQ44" i="5" l="1"/>
  <c r="JQ45" i="5" l="1"/>
  <c r="JQ47" i="5"/>
  <c r="JQ46" i="5" l="1"/>
  <c r="JR44" i="5"/>
  <c r="JQ48" i="5"/>
  <c r="JQ49" i="5" s="1"/>
  <c r="JQ68" i="5"/>
  <c r="JQ58" i="5" l="1"/>
  <c r="JR45" i="5"/>
  <c r="JR47" i="5"/>
  <c r="JR46" i="5" l="1"/>
  <c r="JS44" i="5"/>
  <c r="JR48" i="5"/>
  <c r="JR49" i="5" s="1"/>
  <c r="JR68" i="5"/>
  <c r="JR58" i="5" l="1"/>
  <c r="JS45" i="5"/>
  <c r="JS47" i="5"/>
  <c r="JS46" i="5" l="1"/>
  <c r="JT44" i="5"/>
  <c r="JS48" i="5"/>
  <c r="JS49" i="5" s="1"/>
  <c r="JS68" i="5"/>
  <c r="JS58" i="5" l="1"/>
  <c r="JT45" i="5"/>
  <c r="JT47" i="5"/>
  <c r="JT46" i="5" l="1"/>
  <c r="JT68" i="5"/>
  <c r="JT48" i="5"/>
  <c r="JT49" i="5" s="1"/>
  <c r="JU44" i="5"/>
  <c r="JT58" i="5" l="1"/>
  <c r="JU45" i="5"/>
  <c r="JU47" i="5"/>
  <c r="JU46" i="5" l="1"/>
  <c r="JU48" i="5"/>
  <c r="JU58" i="5" s="1"/>
  <c r="JV44" i="5"/>
  <c r="JU68" i="5"/>
  <c r="JU49" i="5" l="1"/>
  <c r="JV45" i="5"/>
  <c r="JV47" i="5"/>
  <c r="JV46" i="5" l="1"/>
  <c r="AA29" i="6"/>
  <c r="AA31" i="6" s="1"/>
  <c r="JV68" i="5"/>
  <c r="JV48" i="5"/>
  <c r="JV49" i="5" s="1"/>
  <c r="JV58" i="5" l="1"/>
  <c r="JW47" i="5" l="1"/>
  <c r="JX44" i="5"/>
  <c r="JX45" i="5" l="1"/>
  <c r="JX47" i="5"/>
  <c r="JX46" i="5" l="1"/>
  <c r="JX48" i="5"/>
  <c r="JX49" i="5" s="1"/>
  <c r="JY44" i="5"/>
  <c r="JX68" i="5"/>
  <c r="JX58" i="5" l="1"/>
  <c r="JY47" i="5"/>
  <c r="JY68" i="5" s="1"/>
  <c r="JY45" i="5"/>
  <c r="JY46" i="5" l="1"/>
  <c r="JY48" i="5"/>
  <c r="JY58" i="5" s="1"/>
  <c r="JZ44" i="5"/>
  <c r="JY49" i="5" l="1"/>
  <c r="JZ47" i="5"/>
  <c r="JZ68" i="5" s="1"/>
  <c r="JZ45" i="5"/>
  <c r="JZ46" i="5" l="1"/>
  <c r="JZ48" i="5"/>
  <c r="JZ58" i="5" s="1"/>
  <c r="KA44" i="5"/>
  <c r="JZ49" i="5" l="1"/>
  <c r="KA45" i="5"/>
  <c r="KA47" i="5"/>
  <c r="KA46" i="5" l="1"/>
  <c r="KB44" i="5"/>
  <c r="KA48" i="5"/>
  <c r="KA49" i="5" s="1"/>
  <c r="KA68" i="5"/>
  <c r="KA58" i="5" l="1"/>
  <c r="KB47" i="5"/>
  <c r="KB45" i="5"/>
  <c r="KB46" i="5" l="1"/>
  <c r="KB48" i="5"/>
  <c r="KB49" i="5" s="1"/>
  <c r="KC44" i="5"/>
  <c r="KB68" i="5"/>
  <c r="KB58" i="5" l="1"/>
  <c r="KC45" i="5"/>
  <c r="KC47" i="5"/>
  <c r="KC46" i="5" l="1"/>
  <c r="KC48" i="5"/>
  <c r="KC49" i="5" s="1"/>
  <c r="KC68" i="5"/>
  <c r="KD44" i="5"/>
  <c r="KC58" i="5" l="1"/>
  <c r="KD47" i="5"/>
  <c r="KD68" i="5" s="1"/>
  <c r="KD45" i="5"/>
  <c r="KD46" i="5" l="1"/>
  <c r="KD48" i="5"/>
  <c r="KD49" i="5" s="1"/>
  <c r="KE44" i="5"/>
  <c r="KD58" i="5" l="1"/>
  <c r="KE47" i="5"/>
  <c r="KE68" i="5" s="1"/>
  <c r="KE45" i="5"/>
  <c r="KE46" i="5" l="1"/>
  <c r="KE48" i="5"/>
  <c r="KE58" i="5" s="1"/>
  <c r="KF44" i="5"/>
  <c r="KE49" i="5" l="1"/>
  <c r="KF47" i="5"/>
  <c r="KF68" i="5" s="1"/>
  <c r="KF45" i="5"/>
  <c r="KF46" i="5" l="1"/>
  <c r="KF48" i="5"/>
  <c r="KF58" i="5" s="1"/>
  <c r="KG44" i="5"/>
  <c r="KF49" i="5" l="1"/>
  <c r="KG45" i="5"/>
  <c r="KG47" i="5"/>
  <c r="KG46" i="5" l="1"/>
  <c r="KH44" i="5"/>
  <c r="KG48" i="5"/>
  <c r="KG49" i="5" s="1"/>
  <c r="KG68" i="5"/>
  <c r="KG58" i="5" l="1"/>
  <c r="KH45" i="5"/>
  <c r="KH47" i="5"/>
  <c r="KH46" i="5" l="1"/>
  <c r="AB29" i="6"/>
  <c r="AB31" i="6" s="1"/>
  <c r="KI44" i="5"/>
  <c r="KH48" i="5"/>
  <c r="KH49" i="5" s="1"/>
  <c r="KH68" i="5"/>
  <c r="KH58" i="5" l="1"/>
  <c r="KI45" i="5"/>
  <c r="KI47" i="5"/>
  <c r="KI46" i="5" l="1"/>
  <c r="KI68" i="5"/>
  <c r="KJ44" i="5"/>
  <c r="KI48" i="5"/>
  <c r="KI49" i="5" s="1"/>
  <c r="KI58" i="5" l="1"/>
  <c r="KJ45" i="5"/>
  <c r="KJ47" i="5"/>
  <c r="KJ46" i="5" l="1"/>
  <c r="KJ48" i="5"/>
  <c r="KJ58" i="5" s="1"/>
  <c r="KK44" i="5"/>
  <c r="KJ68" i="5"/>
  <c r="KJ49" i="5" l="1"/>
  <c r="KK47" i="5"/>
  <c r="KK68" i="5" s="1"/>
  <c r="KK45" i="5"/>
  <c r="KK46" i="5" l="1"/>
  <c r="KK48" i="5"/>
  <c r="KK58" i="5" s="1"/>
  <c r="KL44" i="5"/>
  <c r="KK49" i="5" l="1"/>
  <c r="KL45" i="5"/>
  <c r="KL47" i="5"/>
  <c r="KL68" i="5" s="1"/>
  <c r="KL46" i="5" l="1"/>
  <c r="KL48" i="5"/>
  <c r="KL58" i="5" s="1"/>
  <c r="KM44" i="5"/>
  <c r="KM47" i="5" l="1"/>
  <c r="KM68" i="5" s="1"/>
  <c r="KM45" i="5"/>
  <c r="KL49" i="5"/>
  <c r="KM46" i="5" l="1"/>
  <c r="KM48" i="5"/>
  <c r="KM58" i="5" s="1"/>
  <c r="KN44" i="5"/>
  <c r="KM49" i="5" l="1"/>
  <c r="KN47" i="5"/>
  <c r="KN68" i="5" s="1"/>
  <c r="KN45" i="5"/>
  <c r="KN46" i="5" l="1"/>
  <c r="KN48" i="5"/>
  <c r="KN58" i="5" s="1"/>
  <c r="KO44" i="5"/>
  <c r="KN49" i="5" l="1"/>
  <c r="KO45" i="5"/>
  <c r="KO47" i="5"/>
  <c r="KO46" i="5" l="1"/>
  <c r="KP44" i="5"/>
  <c r="KO48" i="5"/>
  <c r="KO49" i="5" s="1"/>
  <c r="KO68" i="5"/>
  <c r="KO58" i="5" l="1"/>
  <c r="KP45" i="5"/>
  <c r="KP47" i="5"/>
  <c r="KP46" i="5" l="1"/>
  <c r="KQ44" i="5"/>
  <c r="KP68" i="5"/>
  <c r="KP48" i="5"/>
  <c r="KP49" i="5" s="1"/>
  <c r="KP58" i="5" l="1"/>
  <c r="KQ45" i="5"/>
  <c r="KQ47" i="5"/>
  <c r="KQ46" i="5" l="1"/>
  <c r="KR44" i="5"/>
  <c r="KQ48" i="5"/>
  <c r="KQ58" i="5" s="1"/>
  <c r="KQ68" i="5"/>
  <c r="KQ49" i="5" l="1"/>
  <c r="KR45" i="5"/>
  <c r="KR47" i="5"/>
  <c r="KR46" i="5" l="1"/>
  <c r="KS44" i="5"/>
  <c r="KR48" i="5"/>
  <c r="KR49" i="5" s="1"/>
  <c r="KR68" i="5"/>
  <c r="KR58" i="5" l="1"/>
  <c r="KS45" i="5"/>
  <c r="KS47" i="5"/>
  <c r="KS46" i="5" l="1"/>
  <c r="KS48" i="5"/>
  <c r="KS49" i="5" s="1"/>
  <c r="KS68" i="5"/>
  <c r="KS58" i="5" l="1"/>
  <c r="KT16" i="4" l="1"/>
  <c r="KT47" i="5"/>
  <c r="AC29" i="6" l="1"/>
  <c r="KT18" i="4"/>
  <c r="KU44" i="5" s="1"/>
  <c r="KT19" i="4" l="1"/>
  <c r="KU45" i="5"/>
  <c r="AC31" i="6"/>
  <c r="KU46" i="5" l="1"/>
  <c r="KU16" i="4"/>
  <c r="KU47" i="5"/>
  <c r="KU48" i="5" s="1"/>
  <c r="KU58" i="5" s="1"/>
  <c r="KU18" i="4" l="1"/>
  <c r="KV44" i="5" s="1"/>
  <c r="KU49" i="5"/>
  <c r="KU68" i="5"/>
  <c r="KU19" i="4" l="1"/>
  <c r="KV16" i="4" s="1"/>
  <c r="KV47" i="5"/>
  <c r="KV68" i="5" s="1"/>
  <c r="KV45" i="5"/>
  <c r="KV46" i="5" l="1"/>
  <c r="KV48" i="5"/>
  <c r="KV58" i="5" s="1"/>
  <c r="KV18" i="4"/>
  <c r="KW44" i="5" s="1"/>
  <c r="KV19" i="4"/>
  <c r="KV49" i="5" l="1"/>
  <c r="KW45" i="5"/>
  <c r="KW16" i="4"/>
  <c r="KW18" i="4" s="1"/>
  <c r="KW47" i="5"/>
  <c r="KW46" i="5" l="1"/>
  <c r="KW68" i="5"/>
  <c r="KW19" i="4"/>
  <c r="KX44" i="5"/>
  <c r="KW48" i="5"/>
  <c r="KW49" i="5" s="1"/>
  <c r="KW58" i="5" l="1"/>
  <c r="KX16" i="4"/>
  <c r="KX47" i="5"/>
  <c r="KX45" i="5"/>
  <c r="KX46" i="5" l="1"/>
  <c r="KX48" i="5"/>
  <c r="KX49" i="5" s="1"/>
  <c r="KX18" i="4"/>
  <c r="KY44" i="5" s="1"/>
  <c r="KX68" i="5"/>
  <c r="KX58" i="5" l="1"/>
  <c r="KX19" i="4"/>
  <c r="KY16" i="4" s="1"/>
  <c r="KY47" i="5"/>
  <c r="KY68" i="5" s="1"/>
  <c r="KY45" i="5"/>
  <c r="KY46" i="5" l="1"/>
  <c r="KY48" i="5"/>
  <c r="KY58" i="5" s="1"/>
  <c r="KY18" i="4"/>
  <c r="KZ44" i="5" s="1"/>
  <c r="KY49" i="5" l="1"/>
  <c r="KY19" i="4"/>
  <c r="KZ45" i="5"/>
  <c r="KZ46" i="5" l="1"/>
  <c r="KZ16" i="4"/>
  <c r="KZ18" i="4" s="1"/>
  <c r="KZ47" i="5"/>
  <c r="KZ19" i="4" l="1"/>
  <c r="LA44" i="5"/>
  <c r="KZ68" i="5"/>
  <c r="KZ48" i="5"/>
  <c r="KZ49" i="5" l="1"/>
  <c r="KZ58" i="5"/>
  <c r="LA45" i="5"/>
  <c r="LA16" i="4"/>
  <c r="LA18" i="4" s="1"/>
  <c r="LA47" i="5"/>
  <c r="LA46" i="5" l="1"/>
  <c r="LA19" i="4"/>
  <c r="LB44" i="5"/>
  <c r="LA48" i="5"/>
  <c r="LA49" i="5" s="1"/>
  <c r="LA68" i="5"/>
  <c r="LA58" i="5" l="1"/>
  <c r="LB45" i="5"/>
  <c r="LB16" i="4"/>
  <c r="LB47" i="5"/>
  <c r="LB46" i="5" l="1"/>
  <c r="LB48" i="5"/>
  <c r="LB49" i="5" s="1"/>
  <c r="LB18" i="4"/>
  <c r="LC44" i="5" s="1"/>
  <c r="LB68" i="5"/>
  <c r="LB58" i="5" l="1"/>
  <c r="LB19" i="4"/>
  <c r="LC16" i="4"/>
  <c r="LC18" i="4" s="1"/>
  <c r="LD44" i="5" s="1"/>
  <c r="LC47" i="5"/>
  <c r="LC68" i="5" s="1"/>
  <c r="LC45" i="5"/>
  <c r="LC46" i="5" l="1"/>
  <c r="LC48" i="5"/>
  <c r="LC58" i="5" s="1"/>
  <c r="LD45" i="5"/>
  <c r="LD46" i="5" l="1"/>
  <c r="LC49" i="5"/>
  <c r="LC19" i="4" l="1"/>
  <c r="LD16" i="4" l="1"/>
  <c r="LD18" i="4" s="1"/>
  <c r="LE44" i="5" s="1"/>
  <c r="LD47" i="5"/>
  <c r="LD19" i="4" l="1"/>
  <c r="LE45" i="5"/>
  <c r="LD68" i="5"/>
  <c r="LD48" i="5"/>
  <c r="LD58" i="5" s="1"/>
  <c r="LE46" i="5" l="1"/>
  <c r="LD49" i="5"/>
  <c r="LE16" i="4"/>
  <c r="LE18" i="4" s="1"/>
  <c r="LE47" i="5"/>
  <c r="LE68" i="5" l="1"/>
  <c r="LE48" i="5"/>
  <c r="LE58" i="5" s="1"/>
  <c r="LE19" i="4"/>
  <c r="LF44" i="5"/>
  <c r="LF45" i="5" l="1"/>
  <c r="AD28" i="6"/>
  <c r="LF16" i="4"/>
  <c r="LF47" i="5"/>
  <c r="LE49" i="5"/>
  <c r="LF46" i="5" l="1"/>
  <c r="LF18" i="4"/>
  <c r="LG44" i="5" s="1"/>
  <c r="AD29" i="6"/>
  <c r="LF48" i="5"/>
  <c r="LF58" i="5" s="1"/>
  <c r="LF68" i="5"/>
  <c r="LF19" i="4" l="1"/>
  <c r="LG45" i="5"/>
  <c r="AD30" i="6"/>
  <c r="AD31" i="6"/>
  <c r="LF49" i="5"/>
  <c r="LG46" i="5" l="1"/>
  <c r="AD33" i="6"/>
  <c r="LG16" i="4"/>
  <c r="LG47" i="5"/>
  <c r="AD37" i="6"/>
  <c r="AC8" i="9" s="1"/>
  <c r="LG18" i="4" l="1"/>
  <c r="LH44" i="5" s="1"/>
  <c r="LG68" i="5"/>
  <c r="LG48" i="5"/>
  <c r="LG58" i="5" s="1"/>
  <c r="LG19" i="4" l="1"/>
  <c r="LH16" i="4" s="1"/>
  <c r="LH18" i="4" s="1"/>
  <c r="LG49" i="5"/>
  <c r="LH45" i="5"/>
  <c r="LH46" i="5" l="1"/>
  <c r="LH47" i="5"/>
  <c r="LH68" i="5" s="1"/>
  <c r="LH19" i="4"/>
  <c r="LI44" i="5"/>
  <c r="LH48" i="5" l="1"/>
  <c r="LH58" i="5" s="1"/>
  <c r="LI16" i="4"/>
  <c r="LI47" i="5"/>
  <c r="LI45" i="5"/>
  <c r="LI46" i="5" l="1"/>
  <c r="LH49" i="5"/>
  <c r="LI48" i="5"/>
  <c r="LI49" i="5" s="1"/>
  <c r="LI18" i="4"/>
  <c r="LJ44" i="5" s="1"/>
  <c r="LI68" i="5"/>
  <c r="LI58" i="5" l="1"/>
  <c r="LI19" i="4"/>
  <c r="LJ16" i="4"/>
  <c r="LJ47" i="5"/>
  <c r="LJ68" i="5" s="1"/>
  <c r="LJ45" i="5"/>
  <c r="LJ46" i="5" l="1"/>
  <c r="LJ18" i="4"/>
  <c r="LK44" i="5" s="1"/>
  <c r="LJ48" i="5"/>
  <c r="LJ49" i="5" s="1"/>
  <c r="LJ58" i="5" l="1"/>
  <c r="LJ19" i="4"/>
  <c r="LK47" i="5" s="1"/>
  <c r="LK68" i="5" s="1"/>
  <c r="LK45" i="5"/>
  <c r="LK46" i="5" l="1"/>
  <c r="LK16" i="4"/>
  <c r="LK18" i="4" s="1"/>
  <c r="LL44" i="5" s="1"/>
  <c r="LK48" i="5"/>
  <c r="LK49" i="5" s="1"/>
  <c r="LK58" i="5" l="1"/>
  <c r="LK19" i="4"/>
  <c r="LL16" i="4"/>
  <c r="LL47" i="5"/>
  <c r="LL68" i="5" s="1"/>
  <c r="LL45" i="5"/>
  <c r="LL46" i="5" l="1"/>
  <c r="LL48" i="5"/>
  <c r="LL49" i="5" s="1"/>
  <c r="LL18" i="4"/>
  <c r="LM44" i="5" s="1"/>
  <c r="LL58" i="5" l="1"/>
  <c r="LL19" i="4"/>
  <c r="LM47" i="5" s="1"/>
  <c r="LM45" i="5"/>
  <c r="LM46" i="5" l="1"/>
  <c r="LM16" i="4"/>
  <c r="LM18" i="4" s="1"/>
  <c r="LN44" i="5"/>
  <c r="LM48" i="5"/>
  <c r="LM49" i="5" s="1"/>
  <c r="LM68" i="5"/>
  <c r="LM58" i="5" l="1"/>
  <c r="LM19" i="4"/>
  <c r="LN45" i="5"/>
  <c r="LN16" i="4"/>
  <c r="LN18" i="4" s="1"/>
  <c r="LN47" i="5"/>
  <c r="LN46" i="5" l="1"/>
  <c r="LN19" i="4"/>
  <c r="LO44" i="5"/>
  <c r="LN48" i="5"/>
  <c r="LN49" i="5" s="1"/>
  <c r="LN68" i="5"/>
  <c r="LN58" i="5" l="1"/>
  <c r="LO45" i="5"/>
  <c r="LO16" i="4"/>
  <c r="LO47" i="5"/>
  <c r="LO46" i="5" l="1"/>
  <c r="LO68" i="5"/>
  <c r="LO18" i="4"/>
  <c r="LP44" i="5" s="1"/>
  <c r="LO48" i="5"/>
  <c r="LO49" i="5" s="1"/>
  <c r="LO58" i="5" l="1"/>
  <c r="LO19" i="4"/>
  <c r="LP16" i="4" s="1"/>
  <c r="LP45" i="5"/>
  <c r="LP47" i="5"/>
  <c r="LP46" i="5" l="1"/>
  <c r="LP18" i="4"/>
  <c r="LQ44" i="5" s="1"/>
  <c r="LP48" i="5"/>
  <c r="LP49" i="5" s="1"/>
  <c r="LP68" i="5"/>
  <c r="LP58" i="5" l="1"/>
  <c r="LQ45" i="5"/>
  <c r="LP19" i="4"/>
  <c r="LQ46" i="5" l="1"/>
  <c r="LQ16" i="4"/>
  <c r="LQ47" i="5"/>
  <c r="LQ48" i="5" s="1"/>
  <c r="LQ58" i="5" s="1"/>
  <c r="LQ49" i="5" l="1"/>
  <c r="LQ68" i="5"/>
  <c r="LQ18" i="4"/>
  <c r="LR44" i="5" s="1"/>
  <c r="LQ19" i="4" l="1"/>
  <c r="LR16" i="4" s="1"/>
  <c r="LR18" i="4" s="1"/>
  <c r="LR45" i="5"/>
  <c r="AE28" i="6"/>
  <c r="LR46" i="5" l="1"/>
  <c r="LR47" i="5"/>
  <c r="LR68" i="5" s="1"/>
  <c r="LR19" i="4"/>
  <c r="LS44" i="5"/>
  <c r="LR48" i="5" l="1"/>
  <c r="LR58" i="5" s="1"/>
  <c r="AE29" i="6"/>
  <c r="AE31" i="6" s="1"/>
  <c r="LS16" i="4"/>
  <c r="LS47" i="5"/>
  <c r="LS68" i="5" s="1"/>
  <c r="LS45" i="5"/>
  <c r="LS46" i="5" l="1"/>
  <c r="LR49" i="5"/>
  <c r="AE30" i="6"/>
  <c r="LS48" i="5"/>
  <c r="LS58" i="5" s="1"/>
  <c r="LS18" i="4"/>
  <c r="LT44" i="5" s="1"/>
  <c r="AE33" i="6" l="1"/>
  <c r="AE37" i="6"/>
  <c r="AD8" i="9" s="1"/>
  <c r="LS19" i="4"/>
  <c r="LT47" i="5" s="1"/>
  <c r="LT68" i="5" s="1"/>
  <c r="LS49" i="5"/>
  <c r="LT45" i="5"/>
  <c r="LT46" i="5" l="1"/>
  <c r="LT16" i="4"/>
  <c r="LT18" i="4" s="1"/>
  <c r="LU44" i="5" s="1"/>
  <c r="LT48" i="5"/>
  <c r="LT58" i="5" s="1"/>
  <c r="LT19" i="4" l="1"/>
  <c r="LU47" i="5" s="1"/>
  <c r="LU68" i="5" s="1"/>
  <c r="LT49" i="5"/>
  <c r="LU16" i="4"/>
  <c r="LU45" i="5"/>
  <c r="LU46" i="5" l="1"/>
  <c r="LU18" i="4"/>
  <c r="LV44" i="5" s="1"/>
  <c r="LU48" i="5"/>
  <c r="LU49" i="5" s="1"/>
  <c r="LU58" i="5" l="1"/>
  <c r="LU19" i="4"/>
  <c r="LV16" i="4" s="1"/>
  <c r="LV18" i="4" s="1"/>
  <c r="LV45" i="5"/>
  <c r="LV46" i="5" l="1"/>
  <c r="LV47" i="5"/>
  <c r="LV68" i="5" s="1"/>
  <c r="LV19" i="4"/>
  <c r="LW44" i="5"/>
  <c r="LV48" i="5" l="1"/>
  <c r="LV58" i="5" s="1"/>
  <c r="LW45" i="5"/>
  <c r="LW16" i="4"/>
  <c r="LW47" i="5"/>
  <c r="LW68" i="5" s="1"/>
  <c r="LW46" i="5" l="1"/>
  <c r="LV49" i="5"/>
  <c r="LW48" i="5"/>
  <c r="LW49" i="5" s="1"/>
  <c r="LW18" i="4"/>
  <c r="LX44" i="5" s="1"/>
  <c r="LW58" i="5" l="1"/>
  <c r="LW19" i="4"/>
  <c r="LX47" i="5" s="1"/>
  <c r="LX45" i="5"/>
  <c r="LX46" i="5" l="1"/>
  <c r="LX16" i="4"/>
  <c r="LX18" i="4" s="1"/>
  <c r="LY44" i="5"/>
  <c r="LX48" i="5"/>
  <c r="LX49" i="5" s="1"/>
  <c r="LX68" i="5"/>
  <c r="LX58" i="5" l="1"/>
  <c r="LX19" i="4"/>
  <c r="LY45" i="5"/>
  <c r="LY16" i="4"/>
  <c r="LY47" i="5"/>
  <c r="LY46" i="5" l="1"/>
  <c r="LY18" i="4"/>
  <c r="LZ44" i="5" s="1"/>
  <c r="LY48" i="5"/>
  <c r="LY49" i="5" s="1"/>
  <c r="LY68" i="5"/>
  <c r="LY58" i="5" l="1"/>
  <c r="LZ45" i="5"/>
  <c r="LY19" i="4"/>
  <c r="LZ46" i="5" l="1"/>
  <c r="LZ16" i="4"/>
  <c r="LZ47" i="5"/>
  <c r="LZ18" i="4" l="1"/>
  <c r="MA44" i="5" s="1"/>
  <c r="LZ68" i="5"/>
  <c r="LZ48" i="5"/>
  <c r="LZ58" i="5" s="1"/>
  <c r="LZ19" i="4" l="1"/>
  <c r="MA16" i="4" s="1"/>
  <c r="MA18" i="4" s="1"/>
  <c r="MA45" i="5"/>
  <c r="LZ49" i="5"/>
  <c r="MA46" i="5" l="1"/>
  <c r="MA47" i="5"/>
  <c r="MA68" i="5" s="1"/>
  <c r="MA19" i="4"/>
  <c r="MB44" i="5"/>
  <c r="MA48" i="5" l="1"/>
  <c r="MB45" i="5"/>
  <c r="MB16" i="4"/>
  <c r="MB47" i="5"/>
  <c r="MB46" i="5" l="1"/>
  <c r="MA49" i="5"/>
  <c r="MA58" i="5"/>
  <c r="MB68" i="5"/>
  <c r="MB18" i="4"/>
  <c r="MC44" i="5" s="1"/>
  <c r="MB48" i="5"/>
  <c r="MB49" i="5" s="1"/>
  <c r="MB58" i="5" l="1"/>
  <c r="MB19" i="4"/>
  <c r="MC47" i="5" s="1"/>
  <c r="MC68" i="5" s="1"/>
  <c r="MC16" i="4"/>
  <c r="MC18" i="4" s="1"/>
  <c r="MC45" i="5"/>
  <c r="MC46" i="5" l="1"/>
  <c r="MC19" i="4"/>
  <c r="MD44" i="5"/>
  <c r="MC48" i="5"/>
  <c r="MC49" i="5" s="1"/>
  <c r="MC58" i="5" l="1"/>
  <c r="MD45" i="5"/>
  <c r="AF28" i="6"/>
  <c r="MD16" i="4"/>
  <c r="MD18" i="4" s="1"/>
  <c r="MD47" i="5"/>
  <c r="MD46" i="5" l="1"/>
  <c r="AF29" i="6"/>
  <c r="MD19" i="4"/>
  <c r="ME44" i="5"/>
  <c r="MD48" i="5"/>
  <c r="MD49" i="5" s="1"/>
  <c r="MD68" i="5"/>
  <c r="AF33" i="6" l="1"/>
  <c r="MD58" i="5"/>
  <c r="ME45" i="5"/>
  <c r="ME16" i="4"/>
  <c r="ME47" i="5"/>
  <c r="ME68" i="5" s="1"/>
  <c r="AF30" i="6"/>
  <c r="AF31" i="6"/>
  <c r="ME46" i="5" l="1"/>
  <c r="ME18" i="4"/>
  <c r="MF44" i="5" s="1"/>
  <c r="ME48" i="5"/>
  <c r="ME49" i="5" s="1"/>
  <c r="AF37" i="6"/>
  <c r="AE8" i="9" s="1"/>
  <c r="ME58" i="5" l="1"/>
  <c r="ME19" i="4"/>
  <c r="MF16" i="4" s="1"/>
  <c r="MF45" i="5"/>
  <c r="MF47" i="5"/>
  <c r="MF46" i="5" l="1"/>
  <c r="MF48" i="5"/>
  <c r="MF49" i="5" s="1"/>
  <c r="MF68" i="5"/>
  <c r="MF18" i="4"/>
  <c r="MG44" i="5" s="1"/>
  <c r="MF58" i="5" l="1"/>
  <c r="MF19" i="4"/>
  <c r="MG45" i="5"/>
  <c r="MG46" i="5" l="1"/>
  <c r="MG47" i="5"/>
  <c r="MG68" i="5" s="1"/>
  <c r="MG16" i="4"/>
  <c r="MG18" i="4" s="1"/>
  <c r="MH44" i="5" s="1"/>
  <c r="MH45" i="5" s="1"/>
  <c r="MG48" i="5" l="1"/>
  <c r="MG19" i="4"/>
  <c r="MH16" i="4" s="1"/>
  <c r="MH18" i="4" s="1"/>
  <c r="MI44" i="5" s="1"/>
  <c r="MH47" i="5"/>
  <c r="MH48" i="5" s="1"/>
  <c r="MH58" i="5" s="1"/>
  <c r="MH46" i="5"/>
  <c r="MG49" i="5" l="1"/>
  <c r="MG58" i="5"/>
  <c r="MH68" i="5"/>
  <c r="MH19" i="4"/>
  <c r="MI16" i="4" s="1"/>
  <c r="MH49" i="5"/>
  <c r="MI47" i="5"/>
  <c r="MI68" i="5" s="1"/>
  <c r="MI45" i="5"/>
  <c r="MI46" i="5" l="1"/>
  <c r="MI18" i="4"/>
  <c r="MJ44" i="5" s="1"/>
  <c r="MI48" i="5"/>
  <c r="MI58" i="5" s="1"/>
  <c r="MI19" i="4" l="1"/>
  <c r="MJ16" i="4" s="1"/>
  <c r="MI49" i="5"/>
  <c r="MJ45" i="5"/>
  <c r="MJ46" i="5" l="1"/>
  <c r="MJ47" i="5"/>
  <c r="MJ68" i="5" s="1"/>
  <c r="MJ48" i="5"/>
  <c r="MJ58" i="5" s="1"/>
  <c r="MJ18" i="4"/>
  <c r="MK44" i="5" s="1"/>
  <c r="MJ19" i="4" l="1"/>
  <c r="MJ49" i="5"/>
  <c r="MK16" i="4"/>
  <c r="MK18" i="4" s="1"/>
  <c r="MK47" i="5"/>
  <c r="MK68" i="5" s="1"/>
  <c r="MK45" i="5"/>
  <c r="MK46" i="5" l="1"/>
  <c r="MK48" i="5"/>
  <c r="MK58" i="5" s="1"/>
  <c r="MK19" i="4"/>
  <c r="ML44" i="5"/>
  <c r="MK49" i="5" l="1"/>
  <c r="ML45" i="5"/>
  <c r="ML16" i="4"/>
  <c r="ML18" i="4" s="1"/>
  <c r="ML47" i="5"/>
  <c r="ML46" i="5" l="1"/>
  <c r="ML19" i="4"/>
  <c r="MM44" i="5"/>
  <c r="ML48" i="5"/>
  <c r="ML58" i="5" s="1"/>
  <c r="ML68" i="5"/>
  <c r="ML49" i="5" l="1"/>
  <c r="MM45" i="5"/>
  <c r="MM16" i="4"/>
  <c r="MM18" i="4" s="1"/>
  <c r="MM47" i="5"/>
  <c r="MM46" i="5" l="1"/>
  <c r="MM19" i="4"/>
  <c r="MN44" i="5"/>
  <c r="MM48" i="5"/>
  <c r="MM49" i="5" s="1"/>
  <c r="MM68" i="5"/>
  <c r="MM58" i="5" l="1"/>
  <c r="MN45" i="5"/>
  <c r="MN16" i="4"/>
  <c r="MN47" i="5"/>
  <c r="MN46" i="5" l="1"/>
  <c r="MN18" i="4"/>
  <c r="MO44" i="5" s="1"/>
  <c r="MN48" i="5"/>
  <c r="MN58" i="5" s="1"/>
  <c r="MN68" i="5"/>
  <c r="MN19" i="4" l="1"/>
  <c r="MO16" i="4" s="1"/>
  <c r="MN49" i="5"/>
  <c r="MO45" i="5"/>
  <c r="MO46" i="5" l="1"/>
  <c r="MO47" i="5"/>
  <c r="MO68" i="5" s="1"/>
  <c r="MO18" i="4"/>
  <c r="MP44" i="5" s="1"/>
  <c r="MO48" i="5" l="1"/>
  <c r="MO19" i="4"/>
  <c r="MP16" i="4"/>
  <c r="MP18" i="4" s="1"/>
  <c r="MP47" i="5"/>
  <c r="MP68" i="5" s="1"/>
  <c r="MP45" i="5"/>
  <c r="AG28" i="6"/>
  <c r="MP46" i="5" l="1"/>
  <c r="MO49" i="5"/>
  <c r="MO58" i="5"/>
  <c r="MP48" i="5"/>
  <c r="MP58" i="5" s="1"/>
  <c r="AG29" i="6"/>
  <c r="AG31" i="6" s="1"/>
  <c r="MP19" i="4"/>
  <c r="MQ44" i="5"/>
  <c r="MP49" i="5" l="1"/>
  <c r="MQ16" i="4"/>
  <c r="MQ47" i="5"/>
  <c r="MQ68" i="5" s="1"/>
  <c r="MQ45" i="5"/>
  <c r="AG30" i="6"/>
  <c r="MQ46" i="5" l="1"/>
  <c r="AG33" i="6"/>
  <c r="MQ48" i="5"/>
  <c r="MQ58" i="5" s="1"/>
  <c r="MQ18" i="4"/>
  <c r="MR44" i="5" s="1"/>
  <c r="AG37" i="6"/>
  <c r="AF8" i="9" s="1"/>
  <c r="MQ19" i="4" l="1"/>
  <c r="MR47" i="5" s="1"/>
  <c r="MR68" i="5" s="1"/>
  <c r="MQ49" i="5"/>
  <c r="MR45" i="5"/>
  <c r="MR46" i="5" l="1"/>
  <c r="MR16" i="4"/>
  <c r="MR18" i="4" s="1"/>
  <c r="MS44" i="5" s="1"/>
  <c r="MR48" i="5"/>
  <c r="MR58" i="5" s="1"/>
  <c r="MR19" i="4" l="1"/>
  <c r="MS16" i="4" s="1"/>
  <c r="MS18" i="4" s="1"/>
  <c r="MR49" i="5"/>
  <c r="MS45" i="5"/>
  <c r="MS46" i="5" l="1"/>
  <c r="MS47" i="5"/>
  <c r="MS48" i="5" s="1"/>
  <c r="MS58" i="5" s="1"/>
  <c r="MS19" i="4"/>
  <c r="MT44" i="5"/>
  <c r="MS68" i="5" l="1"/>
  <c r="MS49" i="5"/>
  <c r="MT45" i="5"/>
  <c r="MT16" i="4"/>
  <c r="MT18" i="4" s="1"/>
  <c r="MT47" i="5"/>
  <c r="MT46" i="5" l="1"/>
  <c r="MT19" i="4"/>
  <c r="MU44" i="5"/>
  <c r="MT48" i="5"/>
  <c r="MT49" i="5" s="1"/>
  <c r="MT68" i="5"/>
  <c r="MT58" i="5" l="1"/>
  <c r="MU45" i="5"/>
  <c r="MU16" i="4"/>
  <c r="MU47" i="5"/>
  <c r="MU46" i="5" l="1"/>
  <c r="MU18" i="4"/>
  <c r="MV44" i="5" s="1"/>
  <c r="MU19" i="4"/>
  <c r="MU48" i="5"/>
  <c r="MU49" i="5" s="1"/>
  <c r="MU68" i="5"/>
  <c r="MU58" i="5" l="1"/>
  <c r="MV45" i="5"/>
  <c r="MV16" i="4"/>
  <c r="MV47" i="5"/>
  <c r="MV46" i="5" l="1"/>
  <c r="MV18" i="4"/>
  <c r="MW44" i="5" s="1"/>
  <c r="MV48" i="5"/>
  <c r="MV49" i="5" s="1"/>
  <c r="MV68" i="5"/>
  <c r="MV58" i="5" l="1"/>
  <c r="MV19" i="4"/>
  <c r="MW16" i="4" s="1"/>
  <c r="MW45" i="5"/>
  <c r="MW46" i="5" l="1"/>
  <c r="MW47" i="5"/>
  <c r="MW68" i="5" s="1"/>
  <c r="MW18" i="4"/>
  <c r="MX44" i="5" s="1"/>
  <c r="MW48" i="5" l="1"/>
  <c r="MW58" i="5" s="1"/>
  <c r="MW19" i="4"/>
  <c r="MX16" i="4" s="1"/>
  <c r="MX18" i="4" s="1"/>
  <c r="MX45" i="5"/>
  <c r="MX46" i="5" l="1"/>
  <c r="MW49" i="5"/>
  <c r="MX47" i="5"/>
  <c r="MX68" i="5" s="1"/>
  <c r="MX19" i="4"/>
  <c r="MY44" i="5"/>
  <c r="MX48" i="5"/>
  <c r="MX58" i="5" s="1"/>
  <c r="MX49" i="5" l="1"/>
  <c r="MY45" i="5"/>
  <c r="MY16" i="4"/>
  <c r="MY47" i="5"/>
  <c r="MY46" i="5" l="1"/>
  <c r="MY18" i="4"/>
  <c r="MZ44" i="5" s="1"/>
  <c r="MY48" i="5"/>
  <c r="MY49" i="5" s="1"/>
  <c r="MY68" i="5"/>
  <c r="MY58" i="5" l="1"/>
  <c r="MY19" i="4"/>
  <c r="MZ16" i="4" s="1"/>
  <c r="MZ45" i="5"/>
  <c r="MZ46" i="5" l="1"/>
  <c r="MZ47" i="5"/>
  <c r="MZ68" i="5" s="1"/>
  <c r="MZ18" i="4"/>
  <c r="NA44" i="5" s="1"/>
  <c r="MZ48" i="5"/>
  <c r="MZ58" i="5" s="1"/>
  <c r="MZ49" i="5" l="1"/>
  <c r="NA45" i="5"/>
  <c r="MZ19" i="4"/>
  <c r="NA46" i="5" l="1"/>
  <c r="NA16" i="4"/>
  <c r="NA47" i="5"/>
  <c r="NA18" i="4" l="1"/>
  <c r="NA19" i="4" s="1"/>
  <c r="NB47" i="5" s="1"/>
  <c r="NA68" i="5"/>
  <c r="NA48" i="5"/>
  <c r="NA58" i="5" s="1"/>
  <c r="AH29" i="6" l="1"/>
  <c r="AH31" i="6" s="1"/>
  <c r="NA49" i="5"/>
  <c r="NB44" i="5"/>
  <c r="NB68" i="5" l="1"/>
  <c r="NB45" i="5"/>
  <c r="AH28" i="6"/>
  <c r="AH30" i="6" s="1"/>
  <c r="NB46" i="5" l="1"/>
  <c r="AH37" i="6"/>
  <c r="AG8" i="9" s="1"/>
  <c r="NB48" i="5"/>
  <c r="NB58" i="5" s="1"/>
  <c r="NB49" i="5" l="1"/>
  <c r="AH33" i="6" l="1"/>
  <c r="HZ44" i="5" l="1"/>
  <c r="HZ45" i="5" s="1"/>
  <c r="GR44" i="5"/>
  <c r="GR46" i="5" s="1"/>
  <c r="GR68" i="5" l="1"/>
  <c r="U28" i="6"/>
  <c r="U30" i="6" s="1"/>
  <c r="GR45" i="5"/>
  <c r="HZ48" i="5"/>
  <c r="HZ49" i="5" s="1"/>
  <c r="HZ46" i="5"/>
  <c r="W28" i="6"/>
  <c r="W30" i="6" s="1"/>
  <c r="HZ68" i="5"/>
  <c r="W37" i="6" l="1"/>
  <c r="V8" i="9" s="1"/>
  <c r="U37" i="6"/>
  <c r="T8" i="9" s="1"/>
  <c r="GR48" i="5"/>
  <c r="GR49" i="5" s="1"/>
  <c r="U33" i="6" s="1"/>
  <c r="W33" i="6"/>
  <c r="D31" i="6"/>
  <c r="E13" i="2"/>
  <c r="F43" i="5"/>
  <c r="E47" i="1"/>
  <c r="D4" i="4" s="1"/>
  <c r="E44" i="1" l="1"/>
  <c r="M44" i="1" s="1"/>
  <c r="BB4" i="10" s="1"/>
  <c r="F63" i="5"/>
  <c r="E11" i="4"/>
  <c r="F16" i="4"/>
  <c r="IL17" i="4" l="1"/>
  <c r="IM17" i="4"/>
  <c r="IN17" i="4"/>
  <c r="IO17" i="4"/>
  <c r="IP17" i="4"/>
  <c r="IQ17" i="4"/>
  <c r="IR17" i="4"/>
  <c r="IS17" i="4"/>
  <c r="IT17" i="4"/>
  <c r="IU17" i="4"/>
  <c r="IV17" i="4"/>
  <c r="IW17" i="4"/>
  <c r="IX17" i="4"/>
  <c r="IY17" i="4"/>
  <c r="IZ17" i="4"/>
  <c r="JA17" i="4"/>
  <c r="JB17" i="4"/>
  <c r="JC17" i="4"/>
  <c r="JD17" i="4"/>
  <c r="JE17" i="4"/>
  <c r="JF17" i="4"/>
  <c r="JG17" i="4"/>
  <c r="JH17" i="4"/>
  <c r="JI17" i="4"/>
  <c r="JJ17" i="4"/>
  <c r="JK17" i="4"/>
  <c r="JL17" i="4"/>
  <c r="JM17" i="4"/>
  <c r="JN17" i="4"/>
  <c r="JO17" i="4"/>
  <c r="JP17" i="4"/>
  <c r="JQ17" i="4"/>
  <c r="JR17" i="4"/>
  <c r="JS17" i="4"/>
  <c r="JT17" i="4"/>
  <c r="JU17" i="4"/>
  <c r="JV17" i="4"/>
  <c r="JW17" i="4"/>
  <c r="JX17" i="4"/>
  <c r="JY17" i="4"/>
  <c r="JZ17" i="4"/>
  <c r="KA17" i="4"/>
  <c r="KB17" i="4"/>
  <c r="KC17" i="4"/>
  <c r="KD17" i="4"/>
  <c r="KE17" i="4"/>
  <c r="KF17" i="4"/>
  <c r="KG17" i="4"/>
  <c r="KH17" i="4"/>
  <c r="KI17" i="4"/>
  <c r="KJ17" i="4"/>
  <c r="KK17" i="4"/>
  <c r="KL17" i="4"/>
  <c r="KM17" i="4"/>
  <c r="KN17" i="4"/>
  <c r="KO17" i="4"/>
  <c r="KP17" i="4"/>
  <c r="KQ17" i="4"/>
  <c r="KR17" i="4"/>
  <c r="KS17" i="4"/>
  <c r="M47" i="1"/>
  <c r="F37" i="9" s="1"/>
  <c r="E34" i="9" s="1"/>
  <c r="E35" i="9" s="1"/>
  <c r="F34" i="9"/>
  <c r="F18" i="4"/>
  <c r="F50" i="5"/>
  <c r="G43" i="5" s="1"/>
  <c r="F64" i="5"/>
  <c r="F17" i="4"/>
  <c r="DT17" i="4"/>
  <c r="CQ17" i="4"/>
  <c r="HH17" i="4"/>
  <c r="AT17" i="4"/>
  <c r="DN17" i="4"/>
  <c r="FI17" i="4"/>
  <c r="L17" i="4"/>
  <c r="FV17" i="4"/>
  <c r="ED17" i="4"/>
  <c r="EH17" i="4"/>
  <c r="GE17" i="4"/>
  <c r="FR17" i="4"/>
  <c r="HY17" i="4"/>
  <c r="HZ17" i="4"/>
  <c r="IG17" i="4"/>
  <c r="IF17" i="4"/>
  <c r="Q17" i="4"/>
  <c r="DO17" i="4"/>
  <c r="ET17" i="4"/>
  <c r="HS17" i="4"/>
  <c r="AD17" i="4"/>
  <c r="AJ17" i="4"/>
  <c r="O17" i="4"/>
  <c r="FM17" i="4"/>
  <c r="AX17" i="4"/>
  <c r="DZ17" i="4"/>
  <c r="BP17" i="4"/>
  <c r="AR17" i="4"/>
  <c r="GZ17" i="4"/>
  <c r="FW17" i="4"/>
  <c r="FF17" i="4"/>
  <c r="GN17" i="4"/>
  <c r="BC17" i="4"/>
  <c r="GT17" i="4"/>
  <c r="BX17" i="4"/>
  <c r="DR17" i="4"/>
  <c r="BQ17" i="4"/>
  <c r="BZ17" i="4"/>
  <c r="CL17" i="4"/>
  <c r="DM17" i="4"/>
  <c r="FC17" i="4"/>
  <c r="AQ17" i="4"/>
  <c r="AH17" i="4"/>
  <c r="CA17" i="4"/>
  <c r="AO17" i="4"/>
  <c r="GY17" i="4"/>
  <c r="AG17" i="4"/>
  <c r="BR17" i="4"/>
  <c r="EL17" i="4"/>
  <c r="IH17" i="4"/>
  <c r="DL17" i="4"/>
  <c r="GV17" i="4"/>
  <c r="HJ17" i="4"/>
  <c r="HW17" i="4"/>
  <c r="BD17" i="4"/>
  <c r="CP17" i="4"/>
  <c r="DJ17" i="4"/>
  <c r="GJ17" i="4"/>
  <c r="EP17" i="4"/>
  <c r="DV17" i="4"/>
  <c r="EE17" i="4"/>
  <c r="CT17" i="4"/>
  <c r="EB17" i="4"/>
  <c r="BW17" i="4"/>
  <c r="EF17" i="4"/>
  <c r="GF17" i="4"/>
  <c r="EA17" i="4"/>
  <c r="GR17" i="4"/>
  <c r="BL17" i="4"/>
  <c r="HK17" i="4"/>
  <c r="IA17" i="4"/>
  <c r="BF17" i="4"/>
  <c r="CU17" i="4"/>
  <c r="AI17" i="4"/>
  <c r="ID17" i="4"/>
  <c r="CE17" i="4"/>
  <c r="CC17" i="4"/>
  <c r="HO17" i="4"/>
  <c r="DB17" i="4"/>
  <c r="M17" i="4"/>
  <c r="FJ17" i="4"/>
  <c r="EN17" i="4"/>
  <c r="CY17" i="4"/>
  <c r="HF17" i="4"/>
  <c r="GP17" i="4"/>
  <c r="BO17" i="4"/>
  <c r="CS17" i="4"/>
  <c r="AC17" i="4"/>
  <c r="CK17" i="4"/>
  <c r="BV17" i="4"/>
  <c r="HD17" i="4"/>
  <c r="GQ17" i="4"/>
  <c r="HQ17" i="4"/>
  <c r="IC17" i="4"/>
  <c r="BB17" i="4"/>
  <c r="BS17" i="4"/>
  <c r="J17" i="4"/>
  <c r="EU17" i="4"/>
  <c r="CD17" i="4"/>
  <c r="GA17" i="4"/>
  <c r="HE17" i="4"/>
  <c r="HA17" i="4"/>
  <c r="GX17" i="4"/>
  <c r="N17" i="4"/>
  <c r="AU17" i="4"/>
  <c r="IE17" i="4"/>
  <c r="DS17" i="4"/>
  <c r="EI17" i="4"/>
  <c r="GI17" i="4"/>
  <c r="X17" i="4"/>
  <c r="EZ17" i="4"/>
  <c r="CW17" i="4"/>
  <c r="HI17" i="4"/>
  <c r="FY17" i="4"/>
  <c r="FT17" i="4"/>
  <c r="CJ17" i="4"/>
  <c r="FH17" i="4"/>
  <c r="AM17" i="4"/>
  <c r="EC17" i="4"/>
  <c r="FE17" i="4"/>
  <c r="BA17" i="4"/>
  <c r="EV17" i="4"/>
  <c r="FD17" i="4"/>
  <c r="V17" i="4"/>
  <c r="FQ17" i="4"/>
  <c r="ER17" i="4"/>
  <c r="DE17" i="4"/>
  <c r="HT17" i="4"/>
  <c r="DY17" i="4"/>
  <c r="DI17" i="4"/>
  <c r="HR17" i="4"/>
  <c r="AS17" i="4"/>
  <c r="BM17" i="4"/>
  <c r="CG17" i="4"/>
  <c r="EK17" i="4"/>
  <c r="EO17" i="4"/>
  <c r="HU17" i="4"/>
  <c r="FN17" i="4"/>
  <c r="IB17" i="4"/>
  <c r="HG17" i="4"/>
  <c r="FA17" i="4"/>
  <c r="I17" i="4"/>
  <c r="DK17" i="4"/>
  <c r="CN17" i="4"/>
  <c r="DU17" i="4"/>
  <c r="GO17" i="4"/>
  <c r="HN17" i="4"/>
  <c r="GH17" i="4"/>
  <c r="CF17" i="4"/>
  <c r="AY17" i="4"/>
  <c r="FZ17" i="4"/>
  <c r="FG17" i="4"/>
  <c r="AV17" i="4"/>
  <c r="CR17" i="4"/>
  <c r="HX17" i="4"/>
  <c r="DQ17" i="4"/>
  <c r="AL17" i="4"/>
  <c r="AB17" i="4"/>
  <c r="BU17" i="4"/>
  <c r="W17" i="4"/>
  <c r="EQ17" i="4"/>
  <c r="CZ17" i="4"/>
  <c r="BG17" i="4"/>
  <c r="DD17" i="4"/>
  <c r="FP17" i="4"/>
  <c r="AZ17" i="4"/>
  <c r="GG17" i="4"/>
  <c r="GS17" i="4"/>
  <c r="FL17" i="4"/>
  <c r="DC17" i="4"/>
  <c r="Y17" i="4"/>
  <c r="CO17" i="4"/>
  <c r="FB17" i="4"/>
  <c r="GL17" i="4"/>
  <c r="IJ17" i="4"/>
  <c r="GM17" i="4"/>
  <c r="Z17" i="4"/>
  <c r="K17" i="4"/>
  <c r="HC17" i="4"/>
  <c r="AK17" i="4"/>
  <c r="T17" i="4"/>
  <c r="BT17" i="4"/>
  <c r="AW17" i="4"/>
  <c r="HB17" i="4"/>
  <c r="EJ17" i="4"/>
  <c r="BY17" i="4"/>
  <c r="AN17" i="4"/>
  <c r="DF17" i="4"/>
  <c r="BN17" i="4"/>
  <c r="AP17" i="4"/>
  <c r="CV17" i="4"/>
  <c r="BJ17" i="4"/>
  <c r="CM17" i="4"/>
  <c r="BI17" i="4"/>
  <c r="CB17" i="4"/>
  <c r="IK17" i="4"/>
  <c r="U17" i="4"/>
  <c r="DG17" i="4"/>
  <c r="DX17" i="4"/>
  <c r="G17" i="4"/>
  <c r="CI17" i="4"/>
  <c r="BH17" i="4"/>
  <c r="AE17" i="4"/>
  <c r="P17" i="4"/>
  <c r="EM17" i="4"/>
  <c r="DA17" i="4"/>
  <c r="GC17" i="4"/>
  <c r="H17" i="4"/>
  <c r="FS17" i="4"/>
  <c r="DW17" i="4"/>
  <c r="GD17" i="4"/>
  <c r="HP17" i="4"/>
  <c r="GU17" i="4"/>
  <c r="EX17" i="4"/>
  <c r="S17" i="4"/>
  <c r="BE17" i="4"/>
  <c r="GK17" i="4"/>
  <c r="FO17" i="4"/>
  <c r="R17" i="4"/>
  <c r="FK17" i="4"/>
  <c r="ES17" i="4"/>
  <c r="FX17" i="4"/>
  <c r="HV17" i="4"/>
  <c r="FU17" i="4"/>
  <c r="EW17" i="4"/>
  <c r="II17" i="4"/>
  <c r="DH17" i="4"/>
  <c r="AF17" i="4"/>
  <c r="HM17" i="4"/>
  <c r="CX17" i="4"/>
  <c r="CH17" i="4"/>
  <c r="HL17" i="4"/>
  <c r="AA17" i="4"/>
  <c r="GW17" i="4"/>
  <c r="GB17" i="4"/>
  <c r="DP17" i="4"/>
  <c r="EY17" i="4"/>
  <c r="BK17" i="4"/>
  <c r="EG17" i="4"/>
  <c r="D35" i="6"/>
  <c r="C5" i="9" s="1"/>
  <c r="AG39" i="6"/>
  <c r="AF10" i="9" s="1"/>
  <c r="Z39" i="6"/>
  <c r="Y10" i="9" s="1"/>
  <c r="AD39" i="6"/>
  <c r="AC10" i="9" s="1"/>
  <c r="AA39" i="6"/>
  <c r="Z10" i="9" s="1"/>
  <c r="AC39" i="6"/>
  <c r="AB10" i="9" s="1"/>
  <c r="AE39" i="6"/>
  <c r="AD10" i="9" s="1"/>
  <c r="AF39" i="6"/>
  <c r="AE10" i="9" s="1"/>
  <c r="AH39" i="6"/>
  <c r="AG10" i="9" s="1"/>
  <c r="Y39" i="6"/>
  <c r="X10" i="9" s="1"/>
  <c r="AB39" i="6"/>
  <c r="AA10" i="9" s="1"/>
  <c r="D76" i="5"/>
  <c r="F78" i="5" s="1"/>
  <c r="E12" i="2"/>
  <c r="L44" i="1" l="1"/>
  <c r="D73" i="5"/>
  <c r="C15" i="9" s="1"/>
  <c r="E8" i="2" s="1"/>
  <c r="D8" i="1" s="1"/>
  <c r="D66" i="5"/>
  <c r="E22" i="2"/>
  <c r="C50" i="8" s="1"/>
  <c r="E15" i="2"/>
  <c r="E21" i="2"/>
  <c r="C39" i="8" s="1"/>
  <c r="E20" i="2"/>
  <c r="C28" i="8" s="1"/>
  <c r="E18" i="2"/>
  <c r="E19" i="2"/>
  <c r="D10" i="7"/>
  <c r="L45" i="1"/>
  <c r="D13" i="2" s="1"/>
  <c r="F44" i="1"/>
  <c r="D12" i="2"/>
  <c r="H7" i="4"/>
  <c r="E51" i="1" s="1"/>
  <c r="F19" i="4"/>
  <c r="H120" i="7"/>
  <c r="H122" i="7"/>
  <c r="H121" i="7"/>
  <c r="H123" i="7"/>
  <c r="H119" i="7"/>
  <c r="G44" i="5"/>
  <c r="E29" i="2" l="1"/>
  <c r="C17" i="8"/>
  <c r="E30" i="2"/>
  <c r="E23" i="2"/>
  <c r="C6" i="8"/>
  <c r="C43" i="8"/>
  <c r="AI38" i="8"/>
  <c r="G45" i="5"/>
  <c r="E57" i="7"/>
  <c r="I57" i="7" s="1"/>
  <c r="E41" i="7"/>
  <c r="I41" i="7" s="1"/>
  <c r="E49" i="7"/>
  <c r="I49" i="7" s="1"/>
  <c r="I67" i="7"/>
  <c r="I72" i="7"/>
  <c r="E25" i="7"/>
  <c r="I25" i="7" s="1"/>
  <c r="E33" i="7"/>
  <c r="I33" i="7" s="1"/>
  <c r="G47" i="5"/>
  <c r="G68" i="5" s="1"/>
  <c r="G16" i="4"/>
  <c r="C32" i="8"/>
  <c r="AI27" i="8"/>
  <c r="C54" i="8"/>
  <c r="AI49" i="8"/>
  <c r="I26" i="7" l="1"/>
  <c r="I27" i="7" s="1"/>
  <c r="G46" i="5"/>
  <c r="AI16" i="8"/>
  <c r="C21" i="8"/>
  <c r="E28" i="2"/>
  <c r="F30" i="2" s="1"/>
  <c r="G18" i="4"/>
  <c r="I50" i="7"/>
  <c r="I51" i="7" s="1"/>
  <c r="C10" i="8"/>
  <c r="AI5" i="8"/>
  <c r="I34" i="7"/>
  <c r="I35" i="7" s="1"/>
  <c r="I58" i="7"/>
  <c r="I59" i="7" s="1"/>
  <c r="G48" i="5"/>
  <c r="G49" i="5" s="1"/>
  <c r="I42" i="7"/>
  <c r="I43" i="7" s="1"/>
  <c r="F29" i="2" l="1"/>
  <c r="G63" i="5"/>
  <c r="G64" i="5" s="1"/>
  <c r="G55" i="5"/>
  <c r="H53" i="5" s="1"/>
  <c r="G54" i="5"/>
  <c r="H44" i="5"/>
  <c r="G19" i="4"/>
  <c r="G50" i="5" l="1"/>
  <c r="H43" i="5" s="1"/>
  <c r="G56" i="5"/>
  <c r="G58" i="5" s="1"/>
  <c r="G78" i="5" s="1"/>
  <c r="I23" i="7" s="1"/>
  <c r="H47" i="5"/>
  <c r="H16" i="4"/>
  <c r="H45" i="5"/>
  <c r="H18" i="4" l="1"/>
  <c r="H19" i="4" s="1"/>
  <c r="H48" i="5"/>
  <c r="H49" i="5" s="1"/>
  <c r="I87" i="7"/>
  <c r="I28" i="7"/>
  <c r="I44" i="7"/>
  <c r="I36" i="7"/>
  <c r="I60" i="7"/>
  <c r="I52" i="7"/>
  <c r="H68" i="5"/>
  <c r="H46" i="5"/>
  <c r="H55" i="5" l="1"/>
  <c r="I53" i="5" s="1"/>
  <c r="H54" i="5"/>
  <c r="I53" i="7"/>
  <c r="J49" i="7" s="1"/>
  <c r="J50" i="7" s="1"/>
  <c r="J51" i="7" s="1"/>
  <c r="H63" i="5"/>
  <c r="H50" i="5" s="1"/>
  <c r="I43" i="5" s="1"/>
  <c r="I47" i="5"/>
  <c r="I16" i="4"/>
  <c r="I29" i="7"/>
  <c r="J25" i="7" s="1"/>
  <c r="I44" i="5"/>
  <c r="I61" i="7"/>
  <c r="J57" i="7" s="1"/>
  <c r="I45" i="7"/>
  <c r="J41" i="7" s="1"/>
  <c r="I37" i="7"/>
  <c r="J33" i="7" s="1"/>
  <c r="H56" i="5" l="1"/>
  <c r="I54" i="7"/>
  <c r="I55" i="7" s="1"/>
  <c r="H64" i="5"/>
  <c r="J42" i="7"/>
  <c r="J43" i="7" s="1"/>
  <c r="J58" i="7"/>
  <c r="J59" i="7" s="1"/>
  <c r="I46" i="7"/>
  <c r="I47" i="7" s="1"/>
  <c r="J26" i="7"/>
  <c r="J27" i="7" s="1"/>
  <c r="I38" i="7"/>
  <c r="I39" i="7" s="1"/>
  <c r="I62" i="7"/>
  <c r="I18" i="4"/>
  <c r="I73" i="7"/>
  <c r="J34" i="7"/>
  <c r="J35" i="7" s="1"/>
  <c r="I68" i="7"/>
  <c r="I65" i="7"/>
  <c r="I68" i="5"/>
  <c r="I45" i="5"/>
  <c r="I30" i="7"/>
  <c r="I31" i="7" s="1"/>
  <c r="H58" i="5" l="1"/>
  <c r="H78" i="5" s="1"/>
  <c r="J23" i="7" s="1"/>
  <c r="J87" i="7" s="1"/>
  <c r="J44" i="5"/>
  <c r="I74" i="7"/>
  <c r="I75" i="7" s="1"/>
  <c r="I19" i="4"/>
  <c r="I63" i="7"/>
  <c r="I48" i="5"/>
  <c r="I49" i="5" s="1"/>
  <c r="I46" i="5"/>
  <c r="I69" i="7"/>
  <c r="J67" i="7" s="1"/>
  <c r="J36" i="7" l="1"/>
  <c r="J44" i="7"/>
  <c r="J60" i="7"/>
  <c r="J52" i="7"/>
  <c r="J28" i="7"/>
  <c r="I55" i="5"/>
  <c r="J53" i="5" s="1"/>
  <c r="I54" i="5"/>
  <c r="J72" i="7"/>
  <c r="I70" i="7"/>
  <c r="I83" i="7" s="1"/>
  <c r="I77" i="7"/>
  <c r="J47" i="5"/>
  <c r="J68" i="5" s="1"/>
  <c r="J16" i="4"/>
  <c r="J45" i="5"/>
  <c r="I63" i="5"/>
  <c r="J61" i="7" l="1"/>
  <c r="J62" i="7" s="1"/>
  <c r="J53" i="7"/>
  <c r="K49" i="7" s="1"/>
  <c r="K50" i="7" s="1"/>
  <c r="K51" i="7" s="1"/>
  <c r="J45" i="7"/>
  <c r="K41" i="7" s="1"/>
  <c r="K42" i="7" s="1"/>
  <c r="K43" i="7" s="1"/>
  <c r="J37" i="7"/>
  <c r="K33" i="7" s="1"/>
  <c r="K34" i="7" s="1"/>
  <c r="K35" i="7" s="1"/>
  <c r="J29" i="7"/>
  <c r="K25" i="7" s="1"/>
  <c r="K26" i="7" s="1"/>
  <c r="K27" i="7" s="1"/>
  <c r="I56" i="5"/>
  <c r="J46" i="5"/>
  <c r="J18" i="4"/>
  <c r="J19" i="4" s="1"/>
  <c r="K47" i="5" s="1"/>
  <c r="I81" i="7"/>
  <c r="I78" i="7"/>
  <c r="I79" i="7"/>
  <c r="I80" i="7"/>
  <c r="I82" i="7"/>
  <c r="I85" i="7"/>
  <c r="I64" i="5"/>
  <c r="I50" i="5"/>
  <c r="J43" i="5" s="1"/>
  <c r="J48" i="5"/>
  <c r="J49" i="5" s="1"/>
  <c r="I88" i="7"/>
  <c r="I89" i="7" s="1"/>
  <c r="J46" i="7" l="1"/>
  <c r="J47" i="7" s="1"/>
  <c r="K57" i="7"/>
  <c r="K58" i="7" s="1"/>
  <c r="K59" i="7" s="1"/>
  <c r="I58" i="5"/>
  <c r="I78" i="5" s="1"/>
  <c r="K23" i="7" s="1"/>
  <c r="J54" i="7"/>
  <c r="J55" i="7" s="1"/>
  <c r="J38" i="7"/>
  <c r="J39" i="7" s="1"/>
  <c r="J73" i="7"/>
  <c r="J30" i="7"/>
  <c r="J31" i="7" s="1"/>
  <c r="J68" i="7"/>
  <c r="J54" i="5"/>
  <c r="J65" i="7"/>
  <c r="J55" i="5"/>
  <c r="K53" i="5" s="1"/>
  <c r="J63" i="5"/>
  <c r="J63" i="7"/>
  <c r="K16" i="4"/>
  <c r="I98" i="7"/>
  <c r="K44" i="5"/>
  <c r="J69" i="7" l="1"/>
  <c r="K67" i="7" s="1"/>
  <c r="J74" i="7"/>
  <c r="J75" i="7" s="1"/>
  <c r="J56" i="5"/>
  <c r="K36" i="7"/>
  <c r="K68" i="5"/>
  <c r="K45" i="5"/>
  <c r="K28" i="7"/>
  <c r="K52" i="7"/>
  <c r="I90" i="7"/>
  <c r="I92" i="7"/>
  <c r="K60" i="7"/>
  <c r="K44" i="7"/>
  <c r="K18" i="4"/>
  <c r="L44" i="5" s="1"/>
  <c r="J50" i="5"/>
  <c r="K43" i="5" s="1"/>
  <c r="J64" i="5"/>
  <c r="K87" i="7"/>
  <c r="K72" i="7" l="1"/>
  <c r="J58" i="5"/>
  <c r="J78" i="5" s="1"/>
  <c r="L23" i="7" s="1"/>
  <c r="J77" i="7"/>
  <c r="J78" i="7" s="1"/>
  <c r="J70" i="7"/>
  <c r="J83" i="7" s="1"/>
  <c r="K19" i="4"/>
  <c r="K29" i="7"/>
  <c r="L25" i="7" s="1"/>
  <c r="K61" i="7"/>
  <c r="L57" i="7" s="1"/>
  <c r="K53" i="7"/>
  <c r="L49" i="7" s="1"/>
  <c r="K37" i="7"/>
  <c r="K48" i="5"/>
  <c r="K49" i="5" s="1"/>
  <c r="L45" i="5"/>
  <c r="I96" i="7"/>
  <c r="I93" i="7"/>
  <c r="I94" i="7"/>
  <c r="I95" i="7"/>
  <c r="I100" i="7"/>
  <c r="K45" i="7"/>
  <c r="L41" i="7" s="1"/>
  <c r="K46" i="5"/>
  <c r="J82" i="7" l="1"/>
  <c r="J79" i="7"/>
  <c r="J80" i="7"/>
  <c r="J81" i="7"/>
  <c r="J85" i="7"/>
  <c r="J88" i="7"/>
  <c r="J89" i="7" s="1"/>
  <c r="K55" i="5"/>
  <c r="L53" i="5" s="1"/>
  <c r="K54" i="5"/>
  <c r="L47" i="5"/>
  <c r="L68" i="5" s="1"/>
  <c r="L16" i="4"/>
  <c r="K54" i="7"/>
  <c r="K55" i="7" s="1"/>
  <c r="K62" i="7"/>
  <c r="K63" i="5"/>
  <c r="L42" i="7"/>
  <c r="L43" i="7" s="1"/>
  <c r="I108" i="7"/>
  <c r="I116" i="7" s="1"/>
  <c r="I102" i="7"/>
  <c r="L26" i="7"/>
  <c r="L27" i="7" s="1"/>
  <c r="L50" i="7"/>
  <c r="L51" i="7" s="1"/>
  <c r="K68" i="7"/>
  <c r="L87" i="7"/>
  <c r="K65" i="7"/>
  <c r="L33" i="7"/>
  <c r="K38" i="7"/>
  <c r="K39" i="7" s="1"/>
  <c r="K73" i="7"/>
  <c r="K46" i="7"/>
  <c r="K47" i="7" s="1"/>
  <c r="K30" i="7"/>
  <c r="K31" i="7" s="1"/>
  <c r="L58" i="7"/>
  <c r="L59" i="7" s="1"/>
  <c r="L46" i="5"/>
  <c r="L48" i="5" l="1"/>
  <c r="L49" i="5" s="1"/>
  <c r="L55" i="5" s="1"/>
  <c r="M53" i="5" s="1"/>
  <c r="J98" i="7"/>
  <c r="J92" i="7" s="1"/>
  <c r="K56" i="5"/>
  <c r="L18" i="4"/>
  <c r="M44" i="5" s="1"/>
  <c r="K74" i="7"/>
  <c r="K75" i="7" s="1"/>
  <c r="K63" i="7"/>
  <c r="K64" i="5"/>
  <c r="K50" i="5"/>
  <c r="L43" i="5" s="1"/>
  <c r="L34" i="7"/>
  <c r="L35" i="7" s="1"/>
  <c r="L28" i="7" s="1"/>
  <c r="K69" i="7"/>
  <c r="I104" i="7"/>
  <c r="I112" i="7" s="1"/>
  <c r="I120" i="7" s="1"/>
  <c r="I103" i="7"/>
  <c r="I111" i="7" s="1"/>
  <c r="I119" i="7" s="1"/>
  <c r="I107" i="7"/>
  <c r="I115" i="7" s="1"/>
  <c r="I123" i="7" s="1"/>
  <c r="I105" i="7"/>
  <c r="I113" i="7" s="1"/>
  <c r="I121" i="7" s="1"/>
  <c r="I106" i="7"/>
  <c r="I114" i="7" s="1"/>
  <c r="I122" i="7" s="1"/>
  <c r="L54" i="5" l="1"/>
  <c r="J90" i="7"/>
  <c r="K58" i="5"/>
  <c r="K78" i="5" s="1"/>
  <c r="M23" i="7" s="1"/>
  <c r="L56" i="5"/>
  <c r="L58" i="5" s="1"/>
  <c r="L19" i="4"/>
  <c r="M16" i="4" s="1"/>
  <c r="M45" i="5"/>
  <c r="L52" i="7"/>
  <c r="L36" i="7"/>
  <c r="L44" i="7"/>
  <c r="L63" i="5"/>
  <c r="L72" i="7"/>
  <c r="L60" i="7"/>
  <c r="K77" i="7"/>
  <c r="K70" i="7"/>
  <c r="K83" i="7" s="1"/>
  <c r="L67" i="7"/>
  <c r="J94" i="7"/>
  <c r="J93" i="7"/>
  <c r="J96" i="7"/>
  <c r="J95" i="7"/>
  <c r="J100" i="7"/>
  <c r="M47" i="5" l="1"/>
  <c r="M68" i="5" s="1"/>
  <c r="L61" i="7"/>
  <c r="M57" i="7" s="1"/>
  <c r="M58" i="7" s="1"/>
  <c r="M59" i="7" s="1"/>
  <c r="L45" i="7"/>
  <c r="L46" i="7" s="1"/>
  <c r="L47" i="7" s="1"/>
  <c r="M18" i="4"/>
  <c r="N44" i="5" s="1"/>
  <c r="L37" i="7"/>
  <c r="M33" i="7" s="1"/>
  <c r="M34" i="7" s="1"/>
  <c r="M35" i="7" s="1"/>
  <c r="M48" i="5"/>
  <c r="M49" i="5" s="1"/>
  <c r="M46" i="5"/>
  <c r="L53" i="7"/>
  <c r="M87" i="7"/>
  <c r="L29" i="7"/>
  <c r="J108" i="7"/>
  <c r="J116" i="7" s="1"/>
  <c r="J102" i="7"/>
  <c r="K88" i="7"/>
  <c r="K89" i="7" s="1"/>
  <c r="K79" i="7"/>
  <c r="K78" i="7"/>
  <c r="K82" i="7"/>
  <c r="K81" i="7"/>
  <c r="K80" i="7"/>
  <c r="K85" i="7"/>
  <c r="L64" i="5"/>
  <c r="L78" i="5" s="1"/>
  <c r="N23" i="7" s="1"/>
  <c r="L50" i="5"/>
  <c r="M43" i="5" s="1"/>
  <c r="L62" i="7" l="1"/>
  <c r="M55" i="5"/>
  <c r="N53" i="5" s="1"/>
  <c r="M41" i="7"/>
  <c r="M42" i="7" s="1"/>
  <c r="M43" i="7" s="1"/>
  <c r="M54" i="5"/>
  <c r="L38" i="7"/>
  <c r="L39" i="7" s="1"/>
  <c r="N45" i="5"/>
  <c r="N46" i="5" s="1"/>
  <c r="M19" i="4"/>
  <c r="J104" i="7"/>
  <c r="J112" i="7" s="1"/>
  <c r="J120" i="7" s="1"/>
  <c r="J106" i="7"/>
  <c r="J114" i="7" s="1"/>
  <c r="J122" i="7" s="1"/>
  <c r="J107" i="7"/>
  <c r="J115" i="7" s="1"/>
  <c r="J123" i="7" s="1"/>
  <c r="J103" i="7"/>
  <c r="J111" i="7" s="1"/>
  <c r="J119" i="7" s="1"/>
  <c r="J105" i="7"/>
  <c r="J113" i="7" s="1"/>
  <c r="J121" i="7" s="1"/>
  <c r="M49" i="7"/>
  <c r="L54" i="7"/>
  <c r="L55" i="7" s="1"/>
  <c r="M63" i="5"/>
  <c r="N87" i="7"/>
  <c r="L63" i="7"/>
  <c r="K98" i="7"/>
  <c r="M25" i="7"/>
  <c r="L68" i="7"/>
  <c r="L30" i="7"/>
  <c r="L31" i="7" s="1"/>
  <c r="L73" i="7"/>
  <c r="L65" i="7"/>
  <c r="M56" i="5" l="1"/>
  <c r="M58" i="5" s="1"/>
  <c r="N47" i="5"/>
  <c r="N68" i="5" s="1"/>
  <c r="N16" i="4"/>
  <c r="M26" i="7"/>
  <c r="M27" i="7" s="1"/>
  <c r="M50" i="5"/>
  <c r="N43" i="5" s="1"/>
  <c r="M64" i="5"/>
  <c r="L74" i="7"/>
  <c r="L75" i="7" s="1"/>
  <c r="M50" i="7"/>
  <c r="M51" i="7" s="1"/>
  <c r="L69" i="7"/>
  <c r="M67" i="7" s="1"/>
  <c r="K90" i="7"/>
  <c r="K92" i="7"/>
  <c r="M78" i="5" l="1"/>
  <c r="O23" i="7" s="1"/>
  <c r="O87" i="7" s="1"/>
  <c r="N18" i="4"/>
  <c r="O44" i="5" s="1"/>
  <c r="N48" i="5"/>
  <c r="K93" i="7"/>
  <c r="K95" i="7"/>
  <c r="K94" i="7"/>
  <c r="K96" i="7"/>
  <c r="K100" i="7"/>
  <c r="M72" i="7"/>
  <c r="M60" i="7"/>
  <c r="M52" i="7"/>
  <c r="M44" i="7"/>
  <c r="M36" i="7"/>
  <c r="M28" i="7"/>
  <c r="L70" i="7"/>
  <c r="L83" i="7" s="1"/>
  <c r="L77" i="7"/>
  <c r="N49" i="5" l="1"/>
  <c r="O45" i="5"/>
  <c r="N19" i="4"/>
  <c r="M29" i="7"/>
  <c r="N25" i="7" s="1"/>
  <c r="M61" i="7"/>
  <c r="N57" i="7" s="1"/>
  <c r="M45" i="7"/>
  <c r="N41" i="7" s="1"/>
  <c r="M37" i="7"/>
  <c r="N33" i="7" s="1"/>
  <c r="M53" i="7"/>
  <c r="N49" i="7" s="1"/>
  <c r="K108" i="7"/>
  <c r="K116" i="7" s="1"/>
  <c r="K102" i="7"/>
  <c r="L88" i="7"/>
  <c r="L89" i="7" s="1"/>
  <c r="L82" i="7"/>
  <c r="L78" i="7"/>
  <c r="L80" i="7"/>
  <c r="L79" i="7"/>
  <c r="L81" i="7"/>
  <c r="L85" i="7"/>
  <c r="N54" i="5" l="1"/>
  <c r="N55" i="5"/>
  <c r="N56" i="5" s="1"/>
  <c r="N63" i="5"/>
  <c r="N50" i="5" s="1"/>
  <c r="O43" i="5" s="1"/>
  <c r="O46" i="5"/>
  <c r="O47" i="5"/>
  <c r="O68" i="5" s="1"/>
  <c r="O16" i="4"/>
  <c r="M54" i="7"/>
  <c r="M55" i="7" s="1"/>
  <c r="N42" i="7"/>
  <c r="N43" i="7" s="1"/>
  <c r="N34" i="7"/>
  <c r="N35" i="7" s="1"/>
  <c r="M38" i="7"/>
  <c r="M39" i="7" s="1"/>
  <c r="M46" i="7"/>
  <c r="M47" i="7" s="1"/>
  <c r="N26" i="7"/>
  <c r="N27" i="7" s="1"/>
  <c r="M62" i="7"/>
  <c r="K103" i="7"/>
  <c r="K111" i="7" s="1"/>
  <c r="K119" i="7" s="1"/>
  <c r="K105" i="7"/>
  <c r="K113" i="7" s="1"/>
  <c r="K121" i="7" s="1"/>
  <c r="K106" i="7"/>
  <c r="K114" i="7" s="1"/>
  <c r="K122" i="7" s="1"/>
  <c r="K107" i="7"/>
  <c r="K115" i="7" s="1"/>
  <c r="K123" i="7" s="1"/>
  <c r="K104" i="7"/>
  <c r="K112" i="7" s="1"/>
  <c r="K120" i="7" s="1"/>
  <c r="M73" i="7"/>
  <c r="M68" i="7"/>
  <c r="N58" i="7"/>
  <c r="N59" i="7" s="1"/>
  <c r="M65" i="7"/>
  <c r="L98" i="7"/>
  <c r="N50" i="7"/>
  <c r="N51" i="7" s="1"/>
  <c r="M30" i="7"/>
  <c r="M31" i="7" s="1"/>
  <c r="O53" i="5" l="1"/>
  <c r="N58" i="5"/>
  <c r="N64" i="5"/>
  <c r="O18" i="4"/>
  <c r="P44" i="5" s="1"/>
  <c r="O48" i="5"/>
  <c r="N60" i="7"/>
  <c r="N36" i="7"/>
  <c r="N28" i="7"/>
  <c r="N52" i="7"/>
  <c r="N44" i="7"/>
  <c r="M63" i="7"/>
  <c r="L90" i="7"/>
  <c r="L92" i="7"/>
  <c r="M69" i="7"/>
  <c r="M74" i="7"/>
  <c r="M75" i="7" s="1"/>
  <c r="N78" i="5" l="1"/>
  <c r="P23" i="7" s="1"/>
  <c r="P87" i="7" s="1"/>
  <c r="O49" i="5"/>
  <c r="P45" i="5"/>
  <c r="O19" i="4"/>
  <c r="L95" i="7"/>
  <c r="L96" i="7"/>
  <c r="L93" i="7"/>
  <c r="L94" i="7"/>
  <c r="L100" i="7"/>
  <c r="N72" i="7"/>
  <c r="M70" i="7"/>
  <c r="M83" i="7" s="1"/>
  <c r="M77" i="7"/>
  <c r="N67" i="7"/>
  <c r="N61" i="7"/>
  <c r="O57" i="7" s="1"/>
  <c r="N29" i="7"/>
  <c r="O25" i="7" s="1"/>
  <c r="N45" i="7"/>
  <c r="O41" i="7" s="1"/>
  <c r="N37" i="7"/>
  <c r="O33" i="7" s="1"/>
  <c r="N53" i="7"/>
  <c r="O49" i="7" s="1"/>
  <c r="P46" i="5" l="1"/>
  <c r="O54" i="5"/>
  <c r="O55" i="5"/>
  <c r="O63" i="5"/>
  <c r="O50" i="5" s="1"/>
  <c r="P43" i="5" s="1"/>
  <c r="P47" i="5"/>
  <c r="P68" i="5" s="1"/>
  <c r="P16" i="4"/>
  <c r="N30" i="7"/>
  <c r="N31" i="7" s="1"/>
  <c r="O50" i="7"/>
  <c r="O51" i="7" s="1"/>
  <c r="O58" i="7"/>
  <c r="O59" i="7" s="1"/>
  <c r="O42" i="7"/>
  <c r="O43" i="7" s="1"/>
  <c r="M82" i="7"/>
  <c r="M79" i="7"/>
  <c r="M78" i="7"/>
  <c r="M80" i="7"/>
  <c r="M81" i="7"/>
  <c r="M85" i="7"/>
  <c r="M88" i="7"/>
  <c r="M89" i="7" s="1"/>
  <c r="O34" i="7"/>
  <c r="O35" i="7" s="1"/>
  <c r="O26" i="7"/>
  <c r="O27" i="7" s="1"/>
  <c r="N38" i="7"/>
  <c r="N39" i="7" s="1"/>
  <c r="N62" i="7"/>
  <c r="N65" i="7"/>
  <c r="N54" i="7"/>
  <c r="N55" i="7" s="1"/>
  <c r="N73" i="7"/>
  <c r="L108" i="7"/>
  <c r="L116" i="7" s="1"/>
  <c r="L102" i="7"/>
  <c r="N68" i="7"/>
  <c r="N46" i="7"/>
  <c r="N47" i="7" s="1"/>
  <c r="O56" i="5" l="1"/>
  <c r="O58" i="5" s="1"/>
  <c r="P53" i="5"/>
  <c r="O64" i="5"/>
  <c r="N74" i="7"/>
  <c r="N75" i="7" s="1"/>
  <c r="P18" i="4"/>
  <c r="Q44" i="5" s="1"/>
  <c r="P19" i="4"/>
  <c r="Q47" i="5" s="1"/>
  <c r="P48" i="5"/>
  <c r="N69" i="7"/>
  <c r="O67" i="7" s="1"/>
  <c r="N63" i="7"/>
  <c r="O44" i="7"/>
  <c r="O52" i="7"/>
  <c r="O60" i="7"/>
  <c r="O28" i="7"/>
  <c r="O36" i="7"/>
  <c r="L103" i="7"/>
  <c r="L111" i="7" s="1"/>
  <c r="L119" i="7" s="1"/>
  <c r="L106" i="7"/>
  <c r="L114" i="7" s="1"/>
  <c r="L122" i="7" s="1"/>
  <c r="L104" i="7"/>
  <c r="L112" i="7" s="1"/>
  <c r="L120" i="7" s="1"/>
  <c r="L107" i="7"/>
  <c r="L115" i="7" s="1"/>
  <c r="L123" i="7" s="1"/>
  <c r="L105" i="7"/>
  <c r="L113" i="7" s="1"/>
  <c r="L121" i="7" s="1"/>
  <c r="M98" i="7"/>
  <c r="O78" i="5" l="1"/>
  <c r="Q23" i="7" s="1"/>
  <c r="Q87" i="7" s="1"/>
  <c r="O72" i="7"/>
  <c r="Q16" i="4"/>
  <c r="Q18" i="4" s="1"/>
  <c r="N70" i="7"/>
  <c r="N83" i="7" s="1"/>
  <c r="N88" i="7" s="1"/>
  <c r="N89" i="7" s="1"/>
  <c r="Q45" i="5"/>
  <c r="Q68" i="5"/>
  <c r="N77" i="7"/>
  <c r="P49" i="5"/>
  <c r="M90" i="7"/>
  <c r="M92" i="7"/>
  <c r="O45" i="7"/>
  <c r="P41" i="7" s="1"/>
  <c r="O29" i="7"/>
  <c r="P25" i="7" s="1"/>
  <c r="O37" i="7"/>
  <c r="P33" i="7" s="1"/>
  <c r="O53" i="7"/>
  <c r="P49" i="7" s="1"/>
  <c r="O61" i="7"/>
  <c r="P57" i="7" s="1"/>
  <c r="R44" i="5" l="1"/>
  <c r="R45" i="5" s="1"/>
  <c r="Q19" i="4"/>
  <c r="R47" i="5" s="1"/>
  <c r="E29" i="6" s="1"/>
  <c r="E31" i="6" s="1"/>
  <c r="Q46" i="5"/>
  <c r="P54" i="5"/>
  <c r="P55" i="5"/>
  <c r="P56" i="5" s="1"/>
  <c r="N85" i="7"/>
  <c r="N98" i="7" s="1"/>
  <c r="P63" i="5"/>
  <c r="P50" i="5" s="1"/>
  <c r="Q43" i="5" s="1"/>
  <c r="N81" i="7"/>
  <c r="N78" i="7"/>
  <c r="N80" i="7"/>
  <c r="N79" i="7"/>
  <c r="N82" i="7"/>
  <c r="O38" i="7"/>
  <c r="O39" i="7" s="1"/>
  <c r="Q48" i="5"/>
  <c r="E28" i="6"/>
  <c r="O73" i="7"/>
  <c r="P26" i="7"/>
  <c r="P27" i="7" s="1"/>
  <c r="P42" i="7"/>
  <c r="P43" i="7" s="1"/>
  <c r="O65" i="7"/>
  <c r="P58" i="7"/>
  <c r="P59" i="7" s="1"/>
  <c r="O62" i="7"/>
  <c r="O68" i="7"/>
  <c r="P50" i="7"/>
  <c r="P51" i="7" s="1"/>
  <c r="O30" i="7"/>
  <c r="O31" i="7" s="1"/>
  <c r="M94" i="7"/>
  <c r="M96" i="7"/>
  <c r="M93" i="7"/>
  <c r="M95" i="7"/>
  <c r="M100" i="7"/>
  <c r="O46" i="7"/>
  <c r="O47" i="7" s="1"/>
  <c r="O54" i="7"/>
  <c r="O55" i="7" s="1"/>
  <c r="P34" i="7"/>
  <c r="P35" i="7" s="1"/>
  <c r="R16" i="4" l="1"/>
  <c r="R18" i="4" s="1"/>
  <c r="S44" i="5" s="1"/>
  <c r="S45" i="5" s="1"/>
  <c r="R68" i="5"/>
  <c r="R48" i="5"/>
  <c r="R49" i="5" s="1"/>
  <c r="Q53" i="5"/>
  <c r="P58" i="5"/>
  <c r="P64" i="5"/>
  <c r="E30" i="6"/>
  <c r="E37" i="6" s="1"/>
  <c r="D8" i="9" s="1"/>
  <c r="BB20" i="10" s="1"/>
  <c r="R19" i="4"/>
  <c r="S47" i="5" s="1"/>
  <c r="Q49" i="5"/>
  <c r="R46" i="5"/>
  <c r="P36" i="7"/>
  <c r="P28" i="7"/>
  <c r="P44" i="7"/>
  <c r="P52" i="7"/>
  <c r="P60" i="7"/>
  <c r="O63" i="7"/>
  <c r="O69" i="7"/>
  <c r="P67" i="7" s="1"/>
  <c r="N90" i="7"/>
  <c r="N92" i="7"/>
  <c r="M108" i="7"/>
  <c r="M116" i="7" s="1"/>
  <c r="M102" i="7"/>
  <c r="O74" i="7"/>
  <c r="O75" i="7" s="1"/>
  <c r="S68" i="5" l="1"/>
  <c r="S16" i="4"/>
  <c r="S18" i="4" s="1"/>
  <c r="T44" i="5" s="1"/>
  <c r="Q54" i="5"/>
  <c r="P78" i="5"/>
  <c r="R23" i="7" s="1"/>
  <c r="R87" i="7" s="1"/>
  <c r="Q55" i="5"/>
  <c r="Q56" i="5" s="1"/>
  <c r="Q63" i="5"/>
  <c r="Q50" i="5" s="1"/>
  <c r="R43" i="5" s="1"/>
  <c r="R63" i="5" s="1"/>
  <c r="P72" i="7"/>
  <c r="E33" i="6"/>
  <c r="S46" i="5"/>
  <c r="S48" i="5"/>
  <c r="N96" i="7"/>
  <c r="N93" i="7"/>
  <c r="N95" i="7"/>
  <c r="N94" i="7"/>
  <c r="N100" i="7"/>
  <c r="M106" i="7"/>
  <c r="M114" i="7" s="1"/>
  <c r="M122" i="7" s="1"/>
  <c r="M104" i="7"/>
  <c r="M112" i="7" s="1"/>
  <c r="M120" i="7" s="1"/>
  <c r="M105" i="7"/>
  <c r="M113" i="7" s="1"/>
  <c r="M121" i="7" s="1"/>
  <c r="M103" i="7"/>
  <c r="M111" i="7" s="1"/>
  <c r="M119" i="7" s="1"/>
  <c r="M107" i="7"/>
  <c r="M115" i="7" s="1"/>
  <c r="M123" i="7" s="1"/>
  <c r="O70" i="7"/>
  <c r="O83" i="7" s="1"/>
  <c r="O77" i="7"/>
  <c r="P61" i="7"/>
  <c r="P53" i="7"/>
  <c r="Q49" i="7" s="1"/>
  <c r="P45" i="7"/>
  <c r="Q41" i="7" s="1"/>
  <c r="P29" i="7"/>
  <c r="Q25" i="7" s="1"/>
  <c r="P37" i="7"/>
  <c r="Q33" i="7" s="1"/>
  <c r="R53" i="5" l="1"/>
  <c r="R54" i="5" s="1"/>
  <c r="Q64" i="5"/>
  <c r="R55" i="5"/>
  <c r="S53" i="5" s="1"/>
  <c r="Q58" i="5"/>
  <c r="S19" i="4"/>
  <c r="T45" i="5"/>
  <c r="T46" i="5" s="1"/>
  <c r="R50" i="5"/>
  <c r="S43" i="5" s="1"/>
  <c r="R64" i="5"/>
  <c r="S49" i="5"/>
  <c r="P30" i="7"/>
  <c r="P31" i="7" s="1"/>
  <c r="N108" i="7"/>
  <c r="N116" i="7" s="1"/>
  <c r="N102" i="7"/>
  <c r="Q34" i="7"/>
  <c r="Q35" i="7" s="1"/>
  <c r="Q26" i="7"/>
  <c r="Q27" i="7" s="1"/>
  <c r="P68" i="7"/>
  <c r="P54" i="7"/>
  <c r="P55" i="7" s="1"/>
  <c r="P73" i="7"/>
  <c r="P38" i="7"/>
  <c r="P39" i="7" s="1"/>
  <c r="Q42" i="7"/>
  <c r="Q43" i="7" s="1"/>
  <c r="Q50" i="7"/>
  <c r="Q51" i="7" s="1"/>
  <c r="P46" i="7"/>
  <c r="P47" i="7" s="1"/>
  <c r="O82" i="7"/>
  <c r="O81" i="7"/>
  <c r="O78" i="7"/>
  <c r="O80" i="7"/>
  <c r="O79" i="7"/>
  <c r="O85" i="7"/>
  <c r="Q57" i="7"/>
  <c r="P62" i="7"/>
  <c r="P65" i="7"/>
  <c r="O88" i="7"/>
  <c r="O89" i="7" s="1"/>
  <c r="Q78" i="5" l="1"/>
  <c r="S23" i="7" s="1"/>
  <c r="S87" i="7" s="1"/>
  <c r="R56" i="5"/>
  <c r="S55" i="5"/>
  <c r="S56" i="5" s="1"/>
  <c r="S54" i="5"/>
  <c r="S63" i="5"/>
  <c r="S50" i="5" s="1"/>
  <c r="T43" i="5" s="1"/>
  <c r="T47" i="5"/>
  <c r="T68" i="5" s="1"/>
  <c r="T16" i="4"/>
  <c r="P63" i="7"/>
  <c r="Q58" i="7"/>
  <c r="Q59" i="7" s="1"/>
  <c r="Q52" i="7" s="1"/>
  <c r="O98" i="7"/>
  <c r="P69" i="7"/>
  <c r="Q67" i="7" s="1"/>
  <c r="P74" i="7"/>
  <c r="P75" i="7" s="1"/>
  <c r="N107" i="7"/>
  <c r="N115" i="7" s="1"/>
  <c r="N123" i="7" s="1"/>
  <c r="N104" i="7"/>
  <c r="N112" i="7" s="1"/>
  <c r="N120" i="7" s="1"/>
  <c r="N103" i="7"/>
  <c r="N111" i="7" s="1"/>
  <c r="N119" i="7" s="1"/>
  <c r="N106" i="7"/>
  <c r="N114" i="7" s="1"/>
  <c r="N122" i="7" s="1"/>
  <c r="N105" i="7"/>
  <c r="N113" i="7" s="1"/>
  <c r="N121" i="7" s="1"/>
  <c r="R58" i="5" l="1"/>
  <c r="R78" i="5" s="1"/>
  <c r="T23" i="7" s="1"/>
  <c r="T87" i="7" s="1"/>
  <c r="E34" i="6"/>
  <c r="E35" i="6" s="1"/>
  <c r="T53" i="5"/>
  <c r="S58" i="5"/>
  <c r="T48" i="5"/>
  <c r="S64" i="5"/>
  <c r="T18" i="4"/>
  <c r="U44" i="5" s="1"/>
  <c r="Q72" i="7"/>
  <c r="Q44" i="7"/>
  <c r="P77" i="7"/>
  <c r="P70" i="7"/>
  <c r="P83" i="7" s="1"/>
  <c r="Q60" i="7"/>
  <c r="O90" i="7"/>
  <c r="O92" i="7"/>
  <c r="Q36" i="7"/>
  <c r="Q28" i="7"/>
  <c r="D5" i="9" l="1"/>
  <c r="E39" i="6"/>
  <c r="D10" i="9" s="1"/>
  <c r="S78" i="5"/>
  <c r="U23" i="7" s="1"/>
  <c r="U87" i="7" s="1"/>
  <c r="T49" i="5"/>
  <c r="T54" i="5" s="1"/>
  <c r="T19" i="4"/>
  <c r="U47" i="5" s="1"/>
  <c r="U68" i="5" s="1"/>
  <c r="U45" i="5"/>
  <c r="U46" i="5" s="1"/>
  <c r="Q37" i="7"/>
  <c r="R33" i="7" s="1"/>
  <c r="Q45" i="7"/>
  <c r="R41" i="7" s="1"/>
  <c r="Q29" i="7"/>
  <c r="R25" i="7" s="1"/>
  <c r="Q61" i="7"/>
  <c r="R57" i="7" s="1"/>
  <c r="Q53" i="7"/>
  <c r="P88" i="7"/>
  <c r="P89" i="7" s="1"/>
  <c r="P78" i="7"/>
  <c r="P79" i="7"/>
  <c r="P82" i="7"/>
  <c r="P81" i="7"/>
  <c r="P80" i="7"/>
  <c r="P85" i="7"/>
  <c r="O96" i="7"/>
  <c r="O93" i="7"/>
  <c r="O95" i="7"/>
  <c r="O94" i="7"/>
  <c r="O100" i="7"/>
  <c r="U16" i="4" l="1"/>
  <c r="T63" i="5"/>
  <c r="T50" i="5" s="1"/>
  <c r="U43" i="5" s="1"/>
  <c r="T55" i="5"/>
  <c r="T56" i="5" s="1"/>
  <c r="U48" i="5"/>
  <c r="U18" i="4"/>
  <c r="V44" i="5" s="1"/>
  <c r="V45" i="5" s="1"/>
  <c r="Q62" i="7"/>
  <c r="Q63" i="7" s="1"/>
  <c r="R26" i="7"/>
  <c r="R27" i="7" s="1"/>
  <c r="R42" i="7"/>
  <c r="R43" i="7" s="1"/>
  <c r="Q68" i="7"/>
  <c r="R34" i="7"/>
  <c r="R35" i="7" s="1"/>
  <c r="P98" i="7"/>
  <c r="Q65" i="7"/>
  <c r="Q73" i="7"/>
  <c r="O108" i="7"/>
  <c r="O116" i="7" s="1"/>
  <c r="O102" i="7"/>
  <c r="Q38" i="7"/>
  <c r="Q39" i="7" s="1"/>
  <c r="R49" i="7"/>
  <c r="Q54" i="7"/>
  <c r="Q55" i="7" s="1"/>
  <c r="Q30" i="7"/>
  <c r="Q31" i="7" s="1"/>
  <c r="Q46" i="7"/>
  <c r="Q47" i="7" s="1"/>
  <c r="R58" i="7"/>
  <c r="R59" i="7" s="1"/>
  <c r="U19" i="4" l="1"/>
  <c r="V47" i="5" s="1"/>
  <c r="V68" i="5" s="1"/>
  <c r="T64" i="5"/>
  <c r="T58" i="5"/>
  <c r="U53" i="5"/>
  <c r="U49" i="5"/>
  <c r="V16" i="4"/>
  <c r="V46" i="5"/>
  <c r="Q69" i="7"/>
  <c r="R67" i="7" s="1"/>
  <c r="R50" i="7"/>
  <c r="R51" i="7" s="1"/>
  <c r="R36" i="7" s="1"/>
  <c r="Q74" i="7"/>
  <c r="Q75" i="7" s="1"/>
  <c r="O106" i="7"/>
  <c r="O114" i="7" s="1"/>
  <c r="O122" i="7" s="1"/>
  <c r="O103" i="7"/>
  <c r="O111" i="7" s="1"/>
  <c r="O119" i="7" s="1"/>
  <c r="O107" i="7"/>
  <c r="O115" i="7" s="1"/>
  <c r="O123" i="7" s="1"/>
  <c r="O104" i="7"/>
  <c r="O112" i="7" s="1"/>
  <c r="O120" i="7" s="1"/>
  <c r="O105" i="7"/>
  <c r="O113" i="7" s="1"/>
  <c r="O121" i="7" s="1"/>
  <c r="P92" i="7"/>
  <c r="P90" i="7"/>
  <c r="V48" i="5" l="1"/>
  <c r="V49" i="5" s="1"/>
  <c r="T78" i="5"/>
  <c r="V23" i="7" s="1"/>
  <c r="V87" i="7" s="1"/>
  <c r="U54" i="5"/>
  <c r="U55" i="5"/>
  <c r="U56" i="5" s="1"/>
  <c r="U63" i="5"/>
  <c r="V18" i="4"/>
  <c r="W44" i="5" s="1"/>
  <c r="R44" i="7"/>
  <c r="R52" i="7"/>
  <c r="R60" i="7"/>
  <c r="P94" i="7"/>
  <c r="P95" i="7"/>
  <c r="P96" i="7"/>
  <c r="P93" i="7"/>
  <c r="P100" i="7"/>
  <c r="Q70" i="7"/>
  <c r="Q83" i="7" s="1"/>
  <c r="Q77" i="7"/>
  <c r="R72" i="7"/>
  <c r="R28" i="7"/>
  <c r="V19" i="4" l="1"/>
  <c r="W47" i="5" s="1"/>
  <c r="W68" i="5" s="1"/>
  <c r="V55" i="5"/>
  <c r="V56" i="5" s="1"/>
  <c r="U58" i="5"/>
  <c r="V53" i="5"/>
  <c r="V54" i="5" s="1"/>
  <c r="U64" i="5"/>
  <c r="U50" i="5"/>
  <c r="V43" i="5" s="1"/>
  <c r="V63" i="5" s="1"/>
  <c r="V64" i="5" s="1"/>
  <c r="W45" i="5"/>
  <c r="W46" i="5" s="1"/>
  <c r="Q88" i="7"/>
  <c r="Q89" i="7" s="1"/>
  <c r="P108" i="7"/>
  <c r="P116" i="7" s="1"/>
  <c r="P102" i="7"/>
  <c r="R29" i="7"/>
  <c r="S25" i="7" s="1"/>
  <c r="R53" i="7"/>
  <c r="R61" i="7"/>
  <c r="R45" i="7"/>
  <c r="R37" i="7"/>
  <c r="Q79" i="7"/>
  <c r="Q82" i="7"/>
  <c r="Q81" i="7"/>
  <c r="Q78" i="7"/>
  <c r="Q80" i="7"/>
  <c r="Q85" i="7"/>
  <c r="W16" i="4" l="1"/>
  <c r="W48" i="5"/>
  <c r="W49" i="5" s="1"/>
  <c r="W55" i="5" s="1"/>
  <c r="W56" i="5" s="1"/>
  <c r="U78" i="5"/>
  <c r="W23" i="7" s="1"/>
  <c r="W87" i="7" s="1"/>
  <c r="V58" i="5"/>
  <c r="V78" i="5" s="1"/>
  <c r="X23" i="7" s="1"/>
  <c r="X87" i="7" s="1"/>
  <c r="W53" i="5"/>
  <c r="V50" i="5"/>
  <c r="W43" i="5" s="1"/>
  <c r="W18" i="4"/>
  <c r="X44" i="5" s="1"/>
  <c r="S57" i="7"/>
  <c r="R62" i="7"/>
  <c r="R30" i="7"/>
  <c r="R31" i="7" s="1"/>
  <c r="S49" i="7"/>
  <c r="R54" i="7"/>
  <c r="R55" i="7" s="1"/>
  <c r="S26" i="7"/>
  <c r="S27" i="7" s="1"/>
  <c r="Q98" i="7"/>
  <c r="R65" i="7"/>
  <c r="S33" i="7"/>
  <c r="R38" i="7"/>
  <c r="R39" i="7" s="1"/>
  <c r="R68" i="7"/>
  <c r="P103" i="7"/>
  <c r="P111" i="7" s="1"/>
  <c r="P119" i="7" s="1"/>
  <c r="P105" i="7"/>
  <c r="P113" i="7" s="1"/>
  <c r="P121" i="7" s="1"/>
  <c r="P107" i="7"/>
  <c r="P115" i="7" s="1"/>
  <c r="P123" i="7" s="1"/>
  <c r="P106" i="7"/>
  <c r="P114" i="7" s="1"/>
  <c r="P122" i="7" s="1"/>
  <c r="P104" i="7"/>
  <c r="P112" i="7" s="1"/>
  <c r="P120" i="7" s="1"/>
  <c r="S41" i="7"/>
  <c r="R46" i="7"/>
  <c r="R47" i="7" s="1"/>
  <c r="R73" i="7"/>
  <c r="W58" i="5" l="1"/>
  <c r="W63" i="5"/>
  <c r="W50" i="5" s="1"/>
  <c r="X43" i="5" s="1"/>
  <c r="W54" i="5"/>
  <c r="X53" i="5"/>
  <c r="W19" i="4"/>
  <c r="X16" i="4" s="1"/>
  <c r="X18" i="4" s="1"/>
  <c r="Y44" i="5" s="1"/>
  <c r="Y45" i="5" s="1"/>
  <c r="X45" i="5"/>
  <c r="X46" i="5" s="1"/>
  <c r="R69" i="7"/>
  <c r="S67" i="7" s="1"/>
  <c r="R74" i="7"/>
  <c r="R75" i="7" s="1"/>
  <c r="S34" i="7"/>
  <c r="S35" i="7" s="1"/>
  <c r="R63" i="7"/>
  <c r="S42" i="7"/>
  <c r="S43" i="7" s="1"/>
  <c r="S58" i="7"/>
  <c r="S59" i="7" s="1"/>
  <c r="S50" i="7"/>
  <c r="S51" i="7" s="1"/>
  <c r="Q90" i="7"/>
  <c r="Q92" i="7"/>
  <c r="X47" i="5" l="1"/>
  <c r="W64" i="5"/>
  <c r="W78" i="5" s="1"/>
  <c r="Y23" i="7" s="1"/>
  <c r="Y87" i="7" s="1"/>
  <c r="Y46" i="5"/>
  <c r="X19" i="4"/>
  <c r="Y47" i="5" s="1"/>
  <c r="Y48" i="5" s="1"/>
  <c r="X48" i="5"/>
  <c r="X49" i="5" s="1"/>
  <c r="X68" i="5"/>
  <c r="S36" i="7"/>
  <c r="S28" i="7"/>
  <c r="S52" i="7"/>
  <c r="S44" i="7"/>
  <c r="S60" i="7"/>
  <c r="S72" i="7"/>
  <c r="Q96" i="7"/>
  <c r="Q95" i="7"/>
  <c r="Q94" i="7"/>
  <c r="Q93" i="7"/>
  <c r="Q100" i="7"/>
  <c r="R70" i="7"/>
  <c r="R83" i="7" s="1"/>
  <c r="R77" i="7"/>
  <c r="Y16" i="4" l="1"/>
  <c r="X55" i="5"/>
  <c r="X54" i="5"/>
  <c r="X63" i="5"/>
  <c r="S29" i="7"/>
  <c r="Y49" i="5"/>
  <c r="Y68" i="5"/>
  <c r="Y18" i="4"/>
  <c r="Z44" i="5" s="1"/>
  <c r="Q108" i="7"/>
  <c r="Q116" i="7" s="1"/>
  <c r="Q102" i="7"/>
  <c r="S37" i="7"/>
  <c r="S61" i="7"/>
  <c r="T57" i="7" s="1"/>
  <c r="S53" i="7"/>
  <c r="S45" i="7"/>
  <c r="T41" i="7" s="1"/>
  <c r="R78" i="7"/>
  <c r="R82" i="7"/>
  <c r="R80" i="7"/>
  <c r="R81" i="7"/>
  <c r="R79" i="7"/>
  <c r="R85" i="7"/>
  <c r="R88" i="7"/>
  <c r="R89" i="7" s="1"/>
  <c r="X56" i="5" l="1"/>
  <c r="X58" i="5" s="1"/>
  <c r="Y55" i="5"/>
  <c r="Z53" i="5" s="1"/>
  <c r="Y53" i="5"/>
  <c r="Y54" i="5" s="1"/>
  <c r="X50" i="5"/>
  <c r="Y43" i="5" s="1"/>
  <c r="Y63" i="5" s="1"/>
  <c r="Y50" i="5" s="1"/>
  <c r="Z43" i="5" s="1"/>
  <c r="X64" i="5"/>
  <c r="S62" i="7"/>
  <c r="T49" i="7"/>
  <c r="S54" i="7"/>
  <c r="S55" i="7" s="1"/>
  <c r="Q106" i="7"/>
  <c r="Q114" i="7" s="1"/>
  <c r="Q122" i="7" s="1"/>
  <c r="Q105" i="7"/>
  <c r="Q113" i="7" s="1"/>
  <c r="Q121" i="7" s="1"/>
  <c r="Q107" i="7"/>
  <c r="Q115" i="7" s="1"/>
  <c r="Q123" i="7" s="1"/>
  <c r="Q104" i="7"/>
  <c r="Q112" i="7" s="1"/>
  <c r="Q120" i="7" s="1"/>
  <c r="Q103" i="7"/>
  <c r="Q111" i="7" s="1"/>
  <c r="Q119" i="7" s="1"/>
  <c r="Z45" i="5"/>
  <c r="S46" i="7"/>
  <c r="S47" i="7" s="1"/>
  <c r="R98" i="7"/>
  <c r="T25" i="7"/>
  <c r="S65" i="7"/>
  <c r="S68" i="7"/>
  <c r="S73" i="7"/>
  <c r="S30" i="7"/>
  <c r="S31" i="7" s="1"/>
  <c r="T33" i="7"/>
  <c r="S38" i="7"/>
  <c r="S39" i="7" s="1"/>
  <c r="T58" i="7"/>
  <c r="T59" i="7" s="1"/>
  <c r="Y19" i="4"/>
  <c r="T42" i="7"/>
  <c r="T43" i="7" s="1"/>
  <c r="X78" i="5" l="1"/>
  <c r="Z23" i="7" s="1"/>
  <c r="Z87" i="7" s="1"/>
  <c r="Y56" i="5"/>
  <c r="Y58" i="5" s="1"/>
  <c r="Y64" i="5"/>
  <c r="S69" i="7"/>
  <c r="T67" i="7" s="1"/>
  <c r="T26" i="7"/>
  <c r="T27" i="7" s="1"/>
  <c r="Z47" i="5"/>
  <c r="Z48" i="5" s="1"/>
  <c r="Z16" i="4"/>
  <c r="T34" i="7"/>
  <c r="T35" i="7" s="1"/>
  <c r="R90" i="7"/>
  <c r="R92" i="7"/>
  <c r="T50" i="7"/>
  <c r="T51" i="7" s="1"/>
  <c r="S63" i="7"/>
  <c r="Z46" i="5"/>
  <c r="S74" i="7"/>
  <c r="S75" i="7" s="1"/>
  <c r="Y78" i="5" l="1"/>
  <c r="AA23" i="7" s="1"/>
  <c r="AA87" i="7" s="1"/>
  <c r="T72" i="7"/>
  <c r="T60" i="7"/>
  <c r="T36" i="7"/>
  <c r="T44" i="7"/>
  <c r="T28" i="7"/>
  <c r="T52" i="7"/>
  <c r="R96" i="7"/>
  <c r="R93" i="7"/>
  <c r="R95" i="7"/>
  <c r="R94" i="7"/>
  <c r="R100" i="7"/>
  <c r="S70" i="7"/>
  <c r="S83" i="7" s="1"/>
  <c r="S77" i="7"/>
  <c r="Z18" i="4"/>
  <c r="AA44" i="5" s="1"/>
  <c r="Z49" i="5"/>
  <c r="Z63" i="5" s="1"/>
  <c r="Z68" i="5"/>
  <c r="Z55" i="5" l="1"/>
  <c r="AA53" i="5" s="1"/>
  <c r="Z54" i="5"/>
  <c r="Z19" i="4"/>
  <c r="AA47" i="5" s="1"/>
  <c r="AA68" i="5" s="1"/>
  <c r="Z64" i="5"/>
  <c r="Z50" i="5"/>
  <c r="AA43" i="5" s="1"/>
  <c r="AA45" i="5"/>
  <c r="R108" i="7"/>
  <c r="R116" i="7" s="1"/>
  <c r="R102" i="7"/>
  <c r="T29" i="7"/>
  <c r="U25" i="7" s="1"/>
  <c r="T45" i="7"/>
  <c r="U41" i="7" s="1"/>
  <c r="T61" i="7"/>
  <c r="U57" i="7" s="1"/>
  <c r="T53" i="7"/>
  <c r="U49" i="7" s="1"/>
  <c r="T37" i="7"/>
  <c r="U33" i="7" s="1"/>
  <c r="S78" i="7"/>
  <c r="S80" i="7"/>
  <c r="S81" i="7"/>
  <c r="S82" i="7"/>
  <c r="S79" i="7"/>
  <c r="S85" i="7"/>
  <c r="S88" i="7"/>
  <c r="S89" i="7" s="1"/>
  <c r="AA16" i="4" l="1"/>
  <c r="Z56" i="5"/>
  <c r="Z58" i="5" s="1"/>
  <c r="Z78" i="5" s="1"/>
  <c r="AB23" i="7" s="1"/>
  <c r="AB87" i="7" s="1"/>
  <c r="AA46" i="5"/>
  <c r="T38" i="7"/>
  <c r="T39" i="7" s="1"/>
  <c r="T65" i="7"/>
  <c r="U58" i="7"/>
  <c r="U59" i="7" s="1"/>
  <c r="AA48" i="5"/>
  <c r="AA49" i="5" s="1"/>
  <c r="U42" i="7"/>
  <c r="U43" i="7" s="1"/>
  <c r="U26" i="7"/>
  <c r="U27" i="7" s="1"/>
  <c r="T46" i="7"/>
  <c r="T47" i="7" s="1"/>
  <c r="T30" i="7"/>
  <c r="T31" i="7" s="1"/>
  <c r="AA18" i="4"/>
  <c r="AB44" i="5" s="1"/>
  <c r="S98" i="7"/>
  <c r="U34" i="7"/>
  <c r="U35" i="7" s="1"/>
  <c r="T73" i="7"/>
  <c r="T54" i="7"/>
  <c r="T55" i="7" s="1"/>
  <c r="T68" i="7"/>
  <c r="T62" i="7"/>
  <c r="U50" i="7"/>
  <c r="U51" i="7" s="1"/>
  <c r="R106" i="7"/>
  <c r="R114" i="7" s="1"/>
  <c r="R122" i="7" s="1"/>
  <c r="R103" i="7"/>
  <c r="R111" i="7" s="1"/>
  <c r="R119" i="7" s="1"/>
  <c r="R105" i="7"/>
  <c r="R113" i="7" s="1"/>
  <c r="R121" i="7" s="1"/>
  <c r="R107" i="7"/>
  <c r="R115" i="7" s="1"/>
  <c r="R123" i="7" s="1"/>
  <c r="R104" i="7"/>
  <c r="R112" i="7" s="1"/>
  <c r="R120" i="7" s="1"/>
  <c r="AA55" i="5" l="1"/>
  <c r="AA54" i="5"/>
  <c r="AA63" i="5"/>
  <c r="AA50" i="5" s="1"/>
  <c r="AB43" i="5" s="1"/>
  <c r="AA19" i="4"/>
  <c r="U52" i="7"/>
  <c r="U44" i="7"/>
  <c r="U36" i="7"/>
  <c r="U60" i="7"/>
  <c r="U28" i="7"/>
  <c r="T74" i="7"/>
  <c r="T75" i="7" s="1"/>
  <c r="AB45" i="5"/>
  <c r="T63" i="7"/>
  <c r="T69" i="7"/>
  <c r="U67" i="7" s="1"/>
  <c r="S90" i="7"/>
  <c r="S92" i="7"/>
  <c r="AA56" i="5" l="1"/>
  <c r="AA58" i="5" s="1"/>
  <c r="AA64" i="5"/>
  <c r="AB53" i="5"/>
  <c r="U72" i="7"/>
  <c r="T70" i="7"/>
  <c r="T83" i="7" s="1"/>
  <c r="T77" i="7"/>
  <c r="U45" i="7"/>
  <c r="V41" i="7" s="1"/>
  <c r="U53" i="7"/>
  <c r="V49" i="7" s="1"/>
  <c r="U29" i="7"/>
  <c r="V25" i="7" s="1"/>
  <c r="U37" i="7"/>
  <c r="V33" i="7" s="1"/>
  <c r="U61" i="7"/>
  <c r="S95" i="7"/>
  <c r="S93" i="7"/>
  <c r="S94" i="7"/>
  <c r="S96" i="7"/>
  <c r="S100" i="7"/>
  <c r="AB46" i="5"/>
  <c r="AB47" i="5"/>
  <c r="AB16" i="4"/>
  <c r="AA78" i="5" l="1"/>
  <c r="AC23" i="7" s="1"/>
  <c r="AC87" i="7" s="1"/>
  <c r="U38" i="7"/>
  <c r="U39" i="7" s="1"/>
  <c r="V50" i="7"/>
  <c r="V51" i="7" s="1"/>
  <c r="V26" i="7"/>
  <c r="V27" i="7" s="1"/>
  <c r="T79" i="7"/>
  <c r="T81" i="7"/>
  <c r="T80" i="7"/>
  <c r="T82" i="7"/>
  <c r="T78" i="7"/>
  <c r="T85" i="7"/>
  <c r="T88" i="7"/>
  <c r="T89" i="7" s="1"/>
  <c r="AB68" i="5"/>
  <c r="U54" i="7"/>
  <c r="U55" i="7" s="1"/>
  <c r="U46" i="7"/>
  <c r="U47" i="7" s="1"/>
  <c r="AB48" i="5"/>
  <c r="U68" i="7"/>
  <c r="AB18" i="4"/>
  <c r="AC44" i="5" s="1"/>
  <c r="V57" i="7"/>
  <c r="U62" i="7"/>
  <c r="U73" i="7"/>
  <c r="V42" i="7"/>
  <c r="V43" i="7" s="1"/>
  <c r="U65" i="7"/>
  <c r="S102" i="7"/>
  <c r="S108" i="7"/>
  <c r="S116" i="7" s="1"/>
  <c r="V34" i="7"/>
  <c r="V35" i="7" s="1"/>
  <c r="U30" i="7"/>
  <c r="U31" i="7" s="1"/>
  <c r="S107" i="7" l="1"/>
  <c r="S115" i="7" s="1"/>
  <c r="S123" i="7" s="1"/>
  <c r="S105" i="7"/>
  <c r="S113" i="7" s="1"/>
  <c r="S121" i="7" s="1"/>
  <c r="S103" i="7"/>
  <c r="S111" i="7" s="1"/>
  <c r="S119" i="7" s="1"/>
  <c r="S106" i="7"/>
  <c r="S114" i="7" s="1"/>
  <c r="S122" i="7" s="1"/>
  <c r="S104" i="7"/>
  <c r="S112" i="7" s="1"/>
  <c r="S120" i="7" s="1"/>
  <c r="T98" i="7"/>
  <c r="AC45" i="5"/>
  <c r="AB19" i="4"/>
  <c r="AB49" i="5"/>
  <c r="U63" i="7"/>
  <c r="U74" i="7"/>
  <c r="U75" i="7" s="1"/>
  <c r="V58" i="7"/>
  <c r="V59" i="7" s="1"/>
  <c r="V44" i="7" s="1"/>
  <c r="U69" i="7"/>
  <c r="V67" i="7" s="1"/>
  <c r="AC46" i="5" l="1"/>
  <c r="AB54" i="5"/>
  <c r="AB55" i="5"/>
  <c r="AB56" i="5" s="1"/>
  <c r="V36" i="7"/>
  <c r="V28" i="7"/>
  <c r="V60" i="7"/>
  <c r="V72" i="7"/>
  <c r="AB63" i="5"/>
  <c r="U70" i="7"/>
  <c r="U83" i="7" s="1"/>
  <c r="U77" i="7"/>
  <c r="V52" i="7"/>
  <c r="T90" i="7"/>
  <c r="T92" i="7"/>
  <c r="AC47" i="5"/>
  <c r="AC48" i="5" s="1"/>
  <c r="AC16" i="4"/>
  <c r="AC53" i="5" l="1"/>
  <c r="AB58" i="5"/>
  <c r="V37" i="7"/>
  <c r="V38" i="7" s="1"/>
  <c r="V39" i="7" s="1"/>
  <c r="V29" i="7"/>
  <c r="W25" i="7" s="1"/>
  <c r="W26" i="7" s="1"/>
  <c r="W27" i="7" s="1"/>
  <c r="V45" i="7"/>
  <c r="W41" i="7" s="1"/>
  <c r="W42" i="7" s="1"/>
  <c r="W43" i="7" s="1"/>
  <c r="V53" i="7"/>
  <c r="W49" i="7" s="1"/>
  <c r="W50" i="7" s="1"/>
  <c r="W51" i="7" s="1"/>
  <c r="U81" i="7"/>
  <c r="U78" i="7"/>
  <c r="U82" i="7"/>
  <c r="U79" i="7"/>
  <c r="U80" i="7"/>
  <c r="U85" i="7"/>
  <c r="U88" i="7"/>
  <c r="U89" i="7" s="1"/>
  <c r="T93" i="7"/>
  <c r="T95" i="7"/>
  <c r="T94" i="7"/>
  <c r="T96" i="7"/>
  <c r="T100" i="7"/>
  <c r="AC49" i="5"/>
  <c r="AC68" i="5"/>
  <c r="AB50" i="5"/>
  <c r="AC43" i="5" s="1"/>
  <c r="AB64" i="5"/>
  <c r="AC18" i="4"/>
  <c r="AD44" i="5" s="1"/>
  <c r="V61" i="7"/>
  <c r="AC54" i="5" l="1"/>
  <c r="AB78" i="5"/>
  <c r="AD23" i="7" s="1"/>
  <c r="AD87" i="7" s="1"/>
  <c r="V30" i="7"/>
  <c r="V31" i="7" s="1"/>
  <c r="AC55" i="5"/>
  <c r="AD53" i="5" s="1"/>
  <c r="W33" i="7"/>
  <c r="W34" i="7" s="1"/>
  <c r="W35" i="7" s="1"/>
  <c r="V73" i="7"/>
  <c r="V65" i="7"/>
  <c r="V46" i="7"/>
  <c r="V47" i="7" s="1"/>
  <c r="AC19" i="4"/>
  <c r="AD47" i="5" s="1"/>
  <c r="AD68" i="5" s="1"/>
  <c r="V54" i="7"/>
  <c r="V55" i="7" s="1"/>
  <c r="W57" i="7"/>
  <c r="V62" i="7"/>
  <c r="AC63" i="5"/>
  <c r="V68" i="7"/>
  <c r="T102" i="7"/>
  <c r="T108" i="7"/>
  <c r="T116" i="7" s="1"/>
  <c r="U98" i="7"/>
  <c r="AD45" i="5"/>
  <c r="F28" i="6"/>
  <c r="AD16" i="4" l="1"/>
  <c r="AD18" i="4" s="1"/>
  <c r="AE44" i="5" s="1"/>
  <c r="AC56" i="5"/>
  <c r="AC58" i="5" s="1"/>
  <c r="F29" i="6"/>
  <c r="F31" i="6" s="1"/>
  <c r="V74" i="7"/>
  <c r="V75" i="7" s="1"/>
  <c r="V69" i="7"/>
  <c r="W67" i="7" s="1"/>
  <c r="W58" i="7"/>
  <c r="W59" i="7" s="1"/>
  <c r="W28" i="7" s="1"/>
  <c r="AD48" i="5"/>
  <c r="AD49" i="5" s="1"/>
  <c r="T104" i="7"/>
  <c r="T112" i="7" s="1"/>
  <c r="T120" i="7" s="1"/>
  <c r="D19" i="8" s="1"/>
  <c r="D21" i="8" s="1"/>
  <c r="T107" i="7"/>
  <c r="T115" i="7" s="1"/>
  <c r="T123" i="7" s="1"/>
  <c r="D52" i="8" s="1"/>
  <c r="D54" i="8" s="1"/>
  <c r="T105" i="7"/>
  <c r="T113" i="7" s="1"/>
  <c r="T121" i="7" s="1"/>
  <c r="D30" i="8" s="1"/>
  <c r="D32" i="8" s="1"/>
  <c r="T103" i="7"/>
  <c r="T111" i="7" s="1"/>
  <c r="T119" i="7" s="1"/>
  <c r="D8" i="8" s="1"/>
  <c r="D10" i="8" s="1"/>
  <c r="T106" i="7"/>
  <c r="T114" i="7" s="1"/>
  <c r="T122" i="7" s="1"/>
  <c r="D41" i="8" s="1"/>
  <c r="D43" i="8" s="1"/>
  <c r="AC50" i="5"/>
  <c r="AD43" i="5" s="1"/>
  <c r="AC64" i="5"/>
  <c r="AD46" i="5"/>
  <c r="U90" i="7"/>
  <c r="U92" i="7"/>
  <c r="V63" i="7"/>
  <c r="AC78" i="5" l="1"/>
  <c r="AE23" i="7" s="1"/>
  <c r="AE87" i="7" s="1"/>
  <c r="AD55" i="5"/>
  <c r="AE53" i="5" s="1"/>
  <c r="W72" i="7"/>
  <c r="AD54" i="5"/>
  <c r="F30" i="6"/>
  <c r="F37" i="6" s="1"/>
  <c r="E8" i="9" s="1"/>
  <c r="BC20" i="10" s="1"/>
  <c r="F33" i="6"/>
  <c r="W60" i="7"/>
  <c r="W44" i="7"/>
  <c r="W36" i="7"/>
  <c r="W52" i="7"/>
  <c r="V70" i="7"/>
  <c r="V83" i="7" s="1"/>
  <c r="V77" i="7"/>
  <c r="AD63" i="5"/>
  <c r="AE45" i="5"/>
  <c r="AE46" i="5" s="1"/>
  <c r="U95" i="7"/>
  <c r="U94" i="7"/>
  <c r="U93" i="7"/>
  <c r="U96" i="7"/>
  <c r="U100" i="7"/>
  <c r="AD19" i="4"/>
  <c r="AD56" i="5" l="1"/>
  <c r="W53" i="7"/>
  <c r="X49" i="7" s="1"/>
  <c r="X50" i="7" s="1"/>
  <c r="X51" i="7" s="1"/>
  <c r="W61" i="7"/>
  <c r="X57" i="7" s="1"/>
  <c r="W45" i="7"/>
  <c r="X41" i="7" s="1"/>
  <c r="X42" i="7" s="1"/>
  <c r="X43" i="7" s="1"/>
  <c r="W29" i="7"/>
  <c r="X25" i="7" s="1"/>
  <c r="X26" i="7" s="1"/>
  <c r="X27" i="7" s="1"/>
  <c r="AE47" i="5"/>
  <c r="AE48" i="5" s="1"/>
  <c r="AE16" i="4"/>
  <c r="V79" i="7"/>
  <c r="V82" i="7"/>
  <c r="V80" i="7"/>
  <c r="V78" i="7"/>
  <c r="V81" i="7"/>
  <c r="V85" i="7"/>
  <c r="AD50" i="5"/>
  <c r="AE43" i="5" s="1"/>
  <c r="AD64" i="5"/>
  <c r="V88" i="7"/>
  <c r="V89" i="7" s="1"/>
  <c r="U108" i="7"/>
  <c r="U116" i="7" s="1"/>
  <c r="U102" i="7"/>
  <c r="W37" i="7"/>
  <c r="X33" i="7" s="1"/>
  <c r="AD58" i="5" l="1"/>
  <c r="AD78" i="5" s="1"/>
  <c r="AF23" i="7" s="1"/>
  <c r="AF87" i="7" s="1"/>
  <c r="F34" i="6"/>
  <c r="F35" i="6" s="1"/>
  <c r="W54" i="7"/>
  <c r="W55" i="7" s="1"/>
  <c r="W62" i="7"/>
  <c r="W63" i="7" s="1"/>
  <c r="W46" i="7"/>
  <c r="W47" i="7" s="1"/>
  <c r="W30" i="7"/>
  <c r="W31" i="7" s="1"/>
  <c r="W73" i="7"/>
  <c r="W38" i="7"/>
  <c r="W39" i="7" s="1"/>
  <c r="X58" i="7"/>
  <c r="X59" i="7" s="1"/>
  <c r="U103" i="7"/>
  <c r="U111" i="7" s="1"/>
  <c r="U119" i="7" s="1"/>
  <c r="U106" i="7"/>
  <c r="U114" i="7" s="1"/>
  <c r="U122" i="7" s="1"/>
  <c r="U107" i="7"/>
  <c r="U115" i="7" s="1"/>
  <c r="U123" i="7" s="1"/>
  <c r="U104" i="7"/>
  <c r="U112" i="7" s="1"/>
  <c r="U120" i="7" s="1"/>
  <c r="U105" i="7"/>
  <c r="U113" i="7" s="1"/>
  <c r="U121" i="7" s="1"/>
  <c r="V98" i="7"/>
  <c r="X34" i="7"/>
  <c r="X35" i="7" s="1"/>
  <c r="W68" i="7"/>
  <c r="AE18" i="4"/>
  <c r="AF44" i="5" s="1"/>
  <c r="W65" i="7"/>
  <c r="AE49" i="5"/>
  <c r="AE68" i="5"/>
  <c r="F39" i="6" l="1"/>
  <c r="E10" i="9" s="1"/>
  <c r="E5" i="9"/>
  <c r="AE54" i="5"/>
  <c r="AE55" i="5"/>
  <c r="AF53" i="5" s="1"/>
  <c r="AE63" i="5"/>
  <c r="AE50" i="5" s="1"/>
  <c r="AF43" i="5" s="1"/>
  <c r="X44" i="7"/>
  <c r="AE19" i="4"/>
  <c r="AF47" i="5" s="1"/>
  <c r="AF68" i="5" s="1"/>
  <c r="W69" i="7"/>
  <c r="X67" i="7" s="1"/>
  <c r="V90" i="7"/>
  <c r="V92" i="7"/>
  <c r="X36" i="7"/>
  <c r="W74" i="7"/>
  <c r="W75" i="7" s="1"/>
  <c r="X28" i="7"/>
  <c r="X60" i="7"/>
  <c r="AF45" i="5"/>
  <c r="AF46" i="5" s="1"/>
  <c r="X52" i="7"/>
  <c r="AF16" i="4" l="1"/>
  <c r="AE56" i="5"/>
  <c r="AE64" i="5"/>
  <c r="AF48" i="5"/>
  <c r="AF49" i="5" s="1"/>
  <c r="X29" i="7"/>
  <c r="Y25" i="7" s="1"/>
  <c r="X45" i="7"/>
  <c r="X37" i="7"/>
  <c r="Y33" i="7" s="1"/>
  <c r="X53" i="7"/>
  <c r="Y49" i="7" s="1"/>
  <c r="X61" i="7"/>
  <c r="Y57" i="7" s="1"/>
  <c r="W70" i="7"/>
  <c r="W83" i="7" s="1"/>
  <c r="W77" i="7"/>
  <c r="V93" i="7"/>
  <c r="V94" i="7"/>
  <c r="V96" i="7"/>
  <c r="V95" i="7"/>
  <c r="V100" i="7"/>
  <c r="X72" i="7"/>
  <c r="AF18" i="4"/>
  <c r="AG44" i="5" s="1"/>
  <c r="AE58" i="5" l="1"/>
  <c r="AE78" i="5" s="1"/>
  <c r="AG23" i="7" s="1"/>
  <c r="AG87" i="7" s="1"/>
  <c r="AF63" i="5"/>
  <c r="AF64" i="5" s="1"/>
  <c r="AF55" i="5"/>
  <c r="AF54" i="5"/>
  <c r="X62" i="7"/>
  <c r="X63" i="7" s="1"/>
  <c r="W81" i="7"/>
  <c r="W80" i="7"/>
  <c r="W79" i="7"/>
  <c r="W78" i="7"/>
  <c r="W82" i="7"/>
  <c r="W85" i="7"/>
  <c r="Y50" i="7"/>
  <c r="Y51" i="7" s="1"/>
  <c r="W88" i="7"/>
  <c r="W89" i="7" s="1"/>
  <c r="Y26" i="7"/>
  <c r="Y27" i="7" s="1"/>
  <c r="X73" i="7"/>
  <c r="Y34" i="7"/>
  <c r="Y35" i="7" s="1"/>
  <c r="X65" i="7"/>
  <c r="X68" i="7"/>
  <c r="AG45" i="5"/>
  <c r="AG46" i="5" s="1"/>
  <c r="Y41" i="7"/>
  <c r="X46" i="7"/>
  <c r="X47" i="7" s="1"/>
  <c r="AF19" i="4"/>
  <c r="V102" i="7"/>
  <c r="V108" i="7"/>
  <c r="V116" i="7" s="1"/>
  <c r="X38" i="7"/>
  <c r="X39" i="7" s="1"/>
  <c r="X54" i="7"/>
  <c r="X55" i="7" s="1"/>
  <c r="Y58" i="7"/>
  <c r="Y59" i="7" s="1"/>
  <c r="X30" i="7"/>
  <c r="X31" i="7" s="1"/>
  <c r="AF50" i="5" l="1"/>
  <c r="AG43" i="5" s="1"/>
  <c r="AF56" i="5"/>
  <c r="AG53" i="5"/>
  <c r="X74" i="7"/>
  <c r="X75" i="7" s="1"/>
  <c r="V105" i="7"/>
  <c r="V113" i="7" s="1"/>
  <c r="V121" i="7" s="1"/>
  <c r="V107" i="7"/>
  <c r="V115" i="7" s="1"/>
  <c r="V123" i="7" s="1"/>
  <c r="V103" i="7"/>
  <c r="V111" i="7" s="1"/>
  <c r="V119" i="7" s="1"/>
  <c r="V104" i="7"/>
  <c r="V112" i="7" s="1"/>
  <c r="V120" i="7" s="1"/>
  <c r="V106" i="7"/>
  <c r="V114" i="7" s="1"/>
  <c r="V122" i="7" s="1"/>
  <c r="W98" i="7"/>
  <c r="X69" i="7"/>
  <c r="Y67" i="7" s="1"/>
  <c r="Y42" i="7"/>
  <c r="Y43" i="7" s="1"/>
  <c r="Y44" i="7" s="1"/>
  <c r="AG47" i="5"/>
  <c r="AG48" i="5" s="1"/>
  <c r="AG16" i="4"/>
  <c r="AF58" i="5" l="1"/>
  <c r="AF78" i="5" s="1"/>
  <c r="AH23" i="7" s="1"/>
  <c r="AH87" i="7" s="1"/>
  <c r="Y72" i="7"/>
  <c r="Y52" i="7"/>
  <c r="Y60" i="7"/>
  <c r="Y28" i="7"/>
  <c r="W90" i="7"/>
  <c r="W92" i="7"/>
  <c r="AG18" i="4"/>
  <c r="AH44" i="5" s="1"/>
  <c r="X70" i="7"/>
  <c r="X83" i="7" s="1"/>
  <c r="X77" i="7"/>
  <c r="AG49" i="5"/>
  <c r="AG68" i="5"/>
  <c r="Y36" i="7"/>
  <c r="Y61" i="7" l="1"/>
  <c r="Z57" i="7" s="1"/>
  <c r="Z58" i="7" s="1"/>
  <c r="Z59" i="7" s="1"/>
  <c r="AG54" i="5"/>
  <c r="AG55" i="5"/>
  <c r="AH53" i="5" s="1"/>
  <c r="Y45" i="7"/>
  <c r="Z41" i="7" s="1"/>
  <c r="Z42" i="7" s="1"/>
  <c r="Z43" i="7" s="1"/>
  <c r="AG63" i="5"/>
  <c r="AG50" i="5" s="1"/>
  <c r="AH43" i="5" s="1"/>
  <c r="Y29" i="7"/>
  <c r="Z25" i="7" s="1"/>
  <c r="Z26" i="7" s="1"/>
  <c r="Z27" i="7" s="1"/>
  <c r="AG19" i="4"/>
  <c r="AH47" i="5" s="1"/>
  <c r="AH68" i="5" s="1"/>
  <c r="Y37" i="7"/>
  <c r="Z33" i="7" s="1"/>
  <c r="X80" i="7"/>
  <c r="X78" i="7"/>
  <c r="X79" i="7"/>
  <c r="X81" i="7"/>
  <c r="X82" i="7"/>
  <c r="X85" i="7"/>
  <c r="Y53" i="7"/>
  <c r="X88" i="7"/>
  <c r="X89" i="7" s="1"/>
  <c r="AH45" i="5"/>
  <c r="AH46" i="5" s="1"/>
  <c r="W93" i="7"/>
  <c r="W96" i="7"/>
  <c r="W95" i="7"/>
  <c r="W94" i="7"/>
  <c r="W100" i="7"/>
  <c r="AG56" i="5" l="1"/>
  <c r="Y62" i="7"/>
  <c r="Y63" i="7" s="1"/>
  <c r="AG64" i="5"/>
  <c r="Y46" i="7"/>
  <c r="Y47" i="7" s="1"/>
  <c r="Y38" i="7"/>
  <c r="Y39" i="7" s="1"/>
  <c r="Y30" i="7"/>
  <c r="Y31" i="7" s="1"/>
  <c r="AH16" i="4"/>
  <c r="AH18" i="4" s="1"/>
  <c r="AI44" i="5" s="1"/>
  <c r="Z49" i="7"/>
  <c r="Y54" i="7"/>
  <c r="Y55" i="7" s="1"/>
  <c r="Y68" i="7"/>
  <c r="Z34" i="7"/>
  <c r="Z35" i="7" s="1"/>
  <c r="Y65" i="7"/>
  <c r="W102" i="7"/>
  <c r="W108" i="7"/>
  <c r="W116" i="7" s="1"/>
  <c r="AH48" i="5"/>
  <c r="AH49" i="5" s="1"/>
  <c r="X98" i="7"/>
  <c r="Y73" i="7"/>
  <c r="AG58" i="5" l="1"/>
  <c r="AG78" i="5" s="1"/>
  <c r="AI23" i="7" s="1"/>
  <c r="AI87" i="7" s="1"/>
  <c r="AH55" i="5"/>
  <c r="AH54" i="5"/>
  <c r="AH63" i="5"/>
  <c r="AH64" i="5" s="1"/>
  <c r="AH19" i="4"/>
  <c r="X92" i="7"/>
  <c r="X90" i="7"/>
  <c r="Y69" i="7"/>
  <c r="Z67" i="7" s="1"/>
  <c r="AI45" i="5"/>
  <c r="AI46" i="5" s="1"/>
  <c r="W107" i="7"/>
  <c r="W115" i="7" s="1"/>
  <c r="W123" i="7" s="1"/>
  <c r="W105" i="7"/>
  <c r="W113" i="7" s="1"/>
  <c r="W121" i="7" s="1"/>
  <c r="W106" i="7"/>
  <c r="W114" i="7" s="1"/>
  <c r="W122" i="7" s="1"/>
  <c r="W104" i="7"/>
  <c r="W112" i="7" s="1"/>
  <c r="W120" i="7" s="1"/>
  <c r="W103" i="7"/>
  <c r="W111" i="7" s="1"/>
  <c r="W119" i="7" s="1"/>
  <c r="Y74" i="7"/>
  <c r="Y75" i="7" s="1"/>
  <c r="Z50" i="7"/>
  <c r="Z51" i="7" s="1"/>
  <c r="Z28" i="7" s="1"/>
  <c r="AH56" i="5" l="1"/>
  <c r="AH50" i="5"/>
  <c r="AI43" i="5" s="1"/>
  <c r="AI53" i="5"/>
  <c r="Z72" i="7"/>
  <c r="AI47" i="5"/>
  <c r="AI68" i="5" s="1"/>
  <c r="AI16" i="4"/>
  <c r="Z44" i="7"/>
  <c r="Z52" i="7"/>
  <c r="Y70" i="7"/>
  <c r="Y83" i="7" s="1"/>
  <c r="Y77" i="7"/>
  <c r="Z60" i="7"/>
  <c r="Z36" i="7"/>
  <c r="X94" i="7"/>
  <c r="X95" i="7"/>
  <c r="X93" i="7"/>
  <c r="X96" i="7"/>
  <c r="X100" i="7"/>
  <c r="AH58" i="5" l="1"/>
  <c r="AH78" i="5" s="1"/>
  <c r="AJ23" i="7" s="1"/>
  <c r="AJ87" i="7" s="1"/>
  <c r="AI48" i="5"/>
  <c r="AI18" i="4"/>
  <c r="AJ44" i="5" s="1"/>
  <c r="X108" i="7"/>
  <c r="X116" i="7" s="1"/>
  <c r="X102" i="7"/>
  <c r="Y88" i="7"/>
  <c r="Y89" i="7" s="1"/>
  <c r="Z45" i="7"/>
  <c r="Z37" i="7"/>
  <c r="AA33" i="7" s="1"/>
  <c r="Z29" i="7"/>
  <c r="Y82" i="7"/>
  <c r="Y78" i="7"/>
  <c r="Y81" i="7"/>
  <c r="Y80" i="7"/>
  <c r="Y79" i="7"/>
  <c r="Y85" i="7"/>
  <c r="Z61" i="7"/>
  <c r="AA57" i="7" s="1"/>
  <c r="Z53" i="7"/>
  <c r="AI49" i="5" l="1"/>
  <c r="AI63" i="5" s="1"/>
  <c r="AI50" i="5" s="1"/>
  <c r="AJ43" i="5" s="1"/>
  <c r="AJ45" i="5"/>
  <c r="AJ46" i="5"/>
  <c r="AI19" i="4"/>
  <c r="AA49" i="7"/>
  <c r="Z54" i="7"/>
  <c r="Z55" i="7" s="1"/>
  <c r="AA25" i="7"/>
  <c r="Z65" i="7"/>
  <c r="Z68" i="7"/>
  <c r="Z73" i="7"/>
  <c r="Z30" i="7"/>
  <c r="Z31" i="7" s="1"/>
  <c r="AA58" i="7"/>
  <c r="AA59" i="7" s="1"/>
  <c r="AA34" i="7"/>
  <c r="AA35" i="7" s="1"/>
  <c r="Z62" i="7"/>
  <c r="Z38" i="7"/>
  <c r="Z39" i="7" s="1"/>
  <c r="X104" i="7"/>
  <c r="X112" i="7" s="1"/>
  <c r="X120" i="7" s="1"/>
  <c r="X106" i="7"/>
  <c r="X114" i="7" s="1"/>
  <c r="X122" i="7" s="1"/>
  <c r="X107" i="7"/>
  <c r="X115" i="7" s="1"/>
  <c r="X123" i="7" s="1"/>
  <c r="X103" i="7"/>
  <c r="X111" i="7" s="1"/>
  <c r="X119" i="7" s="1"/>
  <c r="X105" i="7"/>
  <c r="X113" i="7" s="1"/>
  <c r="X121" i="7" s="1"/>
  <c r="AA41" i="7"/>
  <c r="Z46" i="7"/>
  <c r="Z47" i="7" s="1"/>
  <c r="Y98" i="7"/>
  <c r="AI64" i="5" l="1"/>
  <c r="AI55" i="5"/>
  <c r="AI56" i="5" s="1"/>
  <c r="AI54" i="5"/>
  <c r="AJ47" i="5"/>
  <c r="AJ68" i="5" s="1"/>
  <c r="AJ16" i="4"/>
  <c r="AA26" i="7"/>
  <c r="AA27" i="7" s="1"/>
  <c r="Z63" i="7"/>
  <c r="Z74" i="7"/>
  <c r="Z75" i="7" s="1"/>
  <c r="Z69" i="7"/>
  <c r="AA67" i="7" s="1"/>
  <c r="Y92" i="7"/>
  <c r="Y90" i="7"/>
  <c r="AA42" i="7"/>
  <c r="AA43" i="7" s="1"/>
  <c r="AA50" i="7"/>
  <c r="AA51" i="7" s="1"/>
  <c r="AI58" i="5" l="1"/>
  <c r="AI78" i="5" s="1"/>
  <c r="AK23" i="7" s="1"/>
  <c r="AK87" i="7" s="1"/>
  <c r="AJ53" i="5"/>
  <c r="AJ48" i="5"/>
  <c r="AJ18" i="4"/>
  <c r="AK44" i="5" s="1"/>
  <c r="AA72" i="7"/>
  <c r="Y93" i="7"/>
  <c r="Y95" i="7"/>
  <c r="Y94" i="7"/>
  <c r="Y96" i="7"/>
  <c r="Y100" i="7"/>
  <c r="Z70" i="7"/>
  <c r="Z83" i="7" s="1"/>
  <c r="Z77" i="7"/>
  <c r="AA36" i="7"/>
  <c r="AA60" i="7"/>
  <c r="AA28" i="7"/>
  <c r="AA44" i="7"/>
  <c r="AA52" i="7"/>
  <c r="AJ49" i="5" l="1"/>
  <c r="AJ19" i="4"/>
  <c r="AK16" i="4" s="1"/>
  <c r="AK18" i="4" s="1"/>
  <c r="AL44" i="5" s="1"/>
  <c r="AK45" i="5"/>
  <c r="AK46" i="5" s="1"/>
  <c r="Z81" i="7"/>
  <c r="Z80" i="7"/>
  <c r="Z79" i="7"/>
  <c r="Z82" i="7"/>
  <c r="Z78" i="7"/>
  <c r="Z85" i="7"/>
  <c r="AA53" i="7"/>
  <c r="AB49" i="7" s="1"/>
  <c r="AA45" i="7"/>
  <c r="AB41" i="7" s="1"/>
  <c r="AA61" i="7"/>
  <c r="AB57" i="7" s="1"/>
  <c r="AA37" i="7"/>
  <c r="AB33" i="7" s="1"/>
  <c r="AA29" i="7"/>
  <c r="AB25" i="7" s="1"/>
  <c r="Z88" i="7"/>
  <c r="Z89" i="7" s="1"/>
  <c r="Y108" i="7"/>
  <c r="Y116" i="7" s="1"/>
  <c r="Y102" i="7"/>
  <c r="AK47" i="5" l="1"/>
  <c r="AK68" i="5" s="1"/>
  <c r="AJ54" i="5"/>
  <c r="AJ55" i="5"/>
  <c r="AJ63" i="5"/>
  <c r="AA54" i="7"/>
  <c r="AA55" i="7" s="1"/>
  <c r="AL45" i="5"/>
  <c r="AL46" i="5" s="1"/>
  <c r="AA73" i="7"/>
  <c r="AA46" i="7"/>
  <c r="AA47" i="7" s="1"/>
  <c r="AK48" i="5"/>
  <c r="AK49" i="5" s="1"/>
  <c r="AK19" i="4"/>
  <c r="AL16" i="4" s="1"/>
  <c r="AA38" i="7"/>
  <c r="AA39" i="7" s="1"/>
  <c r="AA62" i="7"/>
  <c r="AA63" i="7" s="1"/>
  <c r="AA68" i="7"/>
  <c r="AA65" i="7"/>
  <c r="Z98" i="7"/>
  <c r="Y103" i="7"/>
  <c r="Y111" i="7" s="1"/>
  <c r="Y119" i="7" s="1"/>
  <c r="Y107" i="7"/>
  <c r="Y115" i="7" s="1"/>
  <c r="Y123" i="7" s="1"/>
  <c r="Y104" i="7"/>
  <c r="Y112" i="7" s="1"/>
  <c r="Y120" i="7" s="1"/>
  <c r="Y105" i="7"/>
  <c r="Y113" i="7" s="1"/>
  <c r="Y121" i="7" s="1"/>
  <c r="Y106" i="7"/>
  <c r="Y114" i="7" s="1"/>
  <c r="Y122" i="7" s="1"/>
  <c r="AB58" i="7"/>
  <c r="AB59" i="7" s="1"/>
  <c r="AB34" i="7"/>
  <c r="AB35" i="7" s="1"/>
  <c r="AA30" i="7"/>
  <c r="AA31" i="7" s="1"/>
  <c r="AB42" i="7"/>
  <c r="AB43" i="7" s="1"/>
  <c r="AB26" i="7"/>
  <c r="AB27" i="7" s="1"/>
  <c r="AB50" i="7"/>
  <c r="AB51" i="7" s="1"/>
  <c r="AL47" i="5" l="1"/>
  <c r="AL68" i="5" s="1"/>
  <c r="AJ56" i="5"/>
  <c r="AJ58" i="5" s="1"/>
  <c r="AK53" i="5"/>
  <c r="AK54" i="5" s="1"/>
  <c r="AK55" i="5"/>
  <c r="AL48" i="5"/>
  <c r="AJ50" i="5"/>
  <c r="AK43" i="5" s="1"/>
  <c r="AK63" i="5" s="1"/>
  <c r="AJ64" i="5"/>
  <c r="Z90" i="7"/>
  <c r="Z92" i="7"/>
  <c r="AB36" i="7"/>
  <c r="AB44" i="7"/>
  <c r="AB60" i="7"/>
  <c r="AB28" i="7"/>
  <c r="AB52" i="7"/>
  <c r="AA69" i="7"/>
  <c r="AL18" i="4"/>
  <c r="AM44" i="5" s="1"/>
  <c r="AA74" i="7"/>
  <c r="AJ78" i="5" l="1"/>
  <c r="AL23" i="7" s="1"/>
  <c r="AL87" i="7" s="1"/>
  <c r="AK56" i="5"/>
  <c r="AK58" i="5" s="1"/>
  <c r="AL53" i="5"/>
  <c r="AL49" i="5"/>
  <c r="AL19" i="4"/>
  <c r="AM47" i="5" s="1"/>
  <c r="AM68" i="5" s="1"/>
  <c r="AK64" i="5"/>
  <c r="AK50" i="5"/>
  <c r="AL43" i="5" s="1"/>
  <c r="AM45" i="5"/>
  <c r="AM46" i="5" s="1"/>
  <c r="AB37" i="7"/>
  <c r="AC33" i="7" s="1"/>
  <c r="AB45" i="7"/>
  <c r="AC41" i="7" s="1"/>
  <c r="AB29" i="7"/>
  <c r="AC25" i="7" s="1"/>
  <c r="AB53" i="7"/>
  <c r="AC49" i="7" s="1"/>
  <c r="AB61" i="7"/>
  <c r="AC57" i="7" s="1"/>
  <c r="AA70" i="7"/>
  <c r="AA77" i="7"/>
  <c r="AB67" i="7"/>
  <c r="Z93" i="7"/>
  <c r="Z94" i="7"/>
  <c r="Z96" i="7"/>
  <c r="Z95" i="7"/>
  <c r="Z100" i="7"/>
  <c r="AA75" i="7"/>
  <c r="AB72" i="7"/>
  <c r="AM16" i="4" l="1"/>
  <c r="AL63" i="5"/>
  <c r="AL50" i="5" s="1"/>
  <c r="AM43" i="5" s="1"/>
  <c r="AK78" i="5"/>
  <c r="AM23" i="7" s="1"/>
  <c r="AM87" i="7" s="1"/>
  <c r="AL54" i="5"/>
  <c r="AL55" i="5"/>
  <c r="AL56" i="5" s="1"/>
  <c r="AB62" i="7"/>
  <c r="AB63" i="7" s="1"/>
  <c r="AB54" i="7"/>
  <c r="AB55" i="7" s="1"/>
  <c r="AM18" i="4"/>
  <c r="AN44" i="5" s="1"/>
  <c r="AB65" i="7"/>
  <c r="AB38" i="7"/>
  <c r="AB39" i="7" s="1"/>
  <c r="AB73" i="7"/>
  <c r="AB46" i="7"/>
  <c r="AB47" i="7" s="1"/>
  <c r="AC26" i="7"/>
  <c r="AC27" i="7" s="1"/>
  <c r="AC34" i="7"/>
  <c r="AC35" i="7" s="1"/>
  <c r="Z108" i="7"/>
  <c r="Z116" i="7" s="1"/>
  <c r="Z102" i="7"/>
  <c r="AA83" i="7"/>
  <c r="AB30" i="7"/>
  <c r="AB31" i="7" s="1"/>
  <c r="AM48" i="5"/>
  <c r="AM49" i="5" s="1"/>
  <c r="AC58" i="7"/>
  <c r="AC59" i="7" s="1"/>
  <c r="AB68" i="7"/>
  <c r="AC42" i="7"/>
  <c r="AC43" i="7" s="1"/>
  <c r="AA82" i="7"/>
  <c r="AA81" i="7"/>
  <c r="AA79" i="7"/>
  <c r="AA80" i="7"/>
  <c r="AA78" i="7"/>
  <c r="AC50" i="7"/>
  <c r="AC51" i="7" s="1"/>
  <c r="AL64" i="5" l="1"/>
  <c r="AM53" i="5"/>
  <c r="AM54" i="5" s="1"/>
  <c r="AL58" i="5"/>
  <c r="AM55" i="5"/>
  <c r="AM56" i="5" s="1"/>
  <c r="AB74" i="7"/>
  <c r="AB75" i="7" s="1"/>
  <c r="AN45" i="5"/>
  <c r="AN46" i="5" s="1"/>
  <c r="AM19" i="4"/>
  <c r="AA88" i="7"/>
  <c r="AA89" i="7" s="1"/>
  <c r="AM63" i="5"/>
  <c r="AC36" i="7"/>
  <c r="AC44" i="7"/>
  <c r="AC60" i="7"/>
  <c r="AC28" i="7"/>
  <c r="AC52" i="7"/>
  <c r="AA85" i="7"/>
  <c r="Z105" i="7"/>
  <c r="Z113" i="7" s="1"/>
  <c r="Z121" i="7" s="1"/>
  <c r="Z107" i="7"/>
  <c r="Z115" i="7" s="1"/>
  <c r="Z123" i="7" s="1"/>
  <c r="Z106" i="7"/>
  <c r="Z114" i="7" s="1"/>
  <c r="Z122" i="7" s="1"/>
  <c r="Z104" i="7"/>
  <c r="Z112" i="7" s="1"/>
  <c r="Z120" i="7" s="1"/>
  <c r="Z103" i="7"/>
  <c r="Z111" i="7" s="1"/>
  <c r="Z119" i="7" s="1"/>
  <c r="AB69" i="7"/>
  <c r="AL78" i="5" l="1"/>
  <c r="AN23" i="7" s="1"/>
  <c r="AN87" i="7" s="1"/>
  <c r="AN53" i="5"/>
  <c r="AM58" i="5"/>
  <c r="AC72" i="7"/>
  <c r="AB70" i="7"/>
  <c r="AB83" i="7" s="1"/>
  <c r="AB77" i="7"/>
  <c r="AC67" i="7"/>
  <c r="AC53" i="7"/>
  <c r="AD49" i="7" s="1"/>
  <c r="AC45" i="7"/>
  <c r="AD41" i="7" s="1"/>
  <c r="AC29" i="7"/>
  <c r="AD25" i="7" s="1"/>
  <c r="AC61" i="7"/>
  <c r="AD57" i="7" s="1"/>
  <c r="AC37" i="7"/>
  <c r="AD33" i="7" s="1"/>
  <c r="AN47" i="5"/>
  <c r="AN48" i="5" s="1"/>
  <c r="AN16" i="4"/>
  <c r="AA98" i="7"/>
  <c r="AM50" i="5"/>
  <c r="AN43" i="5" s="1"/>
  <c r="AM64" i="5"/>
  <c r="AM78" i="5" l="1"/>
  <c r="AO23" i="7" s="1"/>
  <c r="AO87" i="7" s="1"/>
  <c r="AC62" i="7"/>
  <c r="AC63" i="7" s="1"/>
  <c r="AC65" i="7"/>
  <c r="AC30" i="7"/>
  <c r="AC31" i="7" s="1"/>
  <c r="AC54" i="7"/>
  <c r="AC55" i="7" s="1"/>
  <c r="AC73" i="7"/>
  <c r="AC38" i="7"/>
  <c r="AC39" i="7" s="1"/>
  <c r="AD26" i="7"/>
  <c r="AD27" i="7" s="1"/>
  <c r="AN49" i="5"/>
  <c r="AN63" i="5" s="1"/>
  <c r="AN68" i="5"/>
  <c r="AD58" i="7"/>
  <c r="AD59" i="7" s="1"/>
  <c r="AD42" i="7"/>
  <c r="AD43" i="7" s="1"/>
  <c r="AB79" i="7"/>
  <c r="AB80" i="7"/>
  <c r="AB78" i="7"/>
  <c r="AB82" i="7"/>
  <c r="AB81" i="7"/>
  <c r="AB85" i="7"/>
  <c r="AN18" i="4"/>
  <c r="AO44" i="5" s="1"/>
  <c r="AD34" i="7"/>
  <c r="AD35" i="7" s="1"/>
  <c r="AA90" i="7"/>
  <c r="AA92" i="7"/>
  <c r="AC68" i="7"/>
  <c r="AC46" i="7"/>
  <c r="AC47" i="7" s="1"/>
  <c r="AD50" i="7"/>
  <c r="AD51" i="7" s="1"/>
  <c r="AB88" i="7"/>
  <c r="AB89" i="7" s="1"/>
  <c r="AN54" i="5" l="1"/>
  <c r="AN55" i="5"/>
  <c r="AN56" i="5" s="1"/>
  <c r="AB98" i="7"/>
  <c r="AN50" i="5"/>
  <c r="AO43" i="5" s="1"/>
  <c r="AN64" i="5"/>
  <c r="AC69" i="7"/>
  <c r="AA95" i="7"/>
  <c r="AA96" i="7"/>
  <c r="AA93" i="7"/>
  <c r="AA94" i="7"/>
  <c r="AA100" i="7"/>
  <c r="AC74" i="7"/>
  <c r="AC75" i="7" s="1"/>
  <c r="AD60" i="7"/>
  <c r="AD52" i="7"/>
  <c r="AD36" i="7"/>
  <c r="AD44" i="7"/>
  <c r="AD28" i="7"/>
  <c r="AO45" i="5"/>
  <c r="AO46" i="5" s="1"/>
  <c r="AN19" i="4"/>
  <c r="AO53" i="5" l="1"/>
  <c r="AN58" i="5"/>
  <c r="AN78" i="5" s="1"/>
  <c r="AP23" i="7" s="1"/>
  <c r="AP87" i="7" s="1"/>
  <c r="AO47" i="5"/>
  <c r="AO48" i="5" s="1"/>
  <c r="AO16" i="4"/>
  <c r="AD72" i="7"/>
  <c r="AC70" i="7"/>
  <c r="AC83" i="7" s="1"/>
  <c r="AC77" i="7"/>
  <c r="AD61" i="7"/>
  <c r="AE57" i="7" s="1"/>
  <c r="AD45" i="7"/>
  <c r="AE41" i="7" s="1"/>
  <c r="AD29" i="7"/>
  <c r="AE25" i="7" s="1"/>
  <c r="AD37" i="7"/>
  <c r="AE33" i="7" s="1"/>
  <c r="AD53" i="7"/>
  <c r="AE49" i="7" s="1"/>
  <c r="AB92" i="7"/>
  <c r="AB90" i="7"/>
  <c r="AA108" i="7"/>
  <c r="AA116" i="7" s="1"/>
  <c r="AA102" i="7"/>
  <c r="AD67" i="7"/>
  <c r="AD38" i="7" l="1"/>
  <c r="AD39" i="7" s="1"/>
  <c r="AA104" i="7"/>
  <c r="AA112" i="7" s="1"/>
  <c r="AA120" i="7" s="1"/>
  <c r="AA106" i="7"/>
  <c r="AA114" i="7" s="1"/>
  <c r="AA122" i="7" s="1"/>
  <c r="AA105" i="7"/>
  <c r="AA113" i="7" s="1"/>
  <c r="AA121" i="7" s="1"/>
  <c r="AA107" i="7"/>
  <c r="AA115" i="7" s="1"/>
  <c r="AA123" i="7" s="1"/>
  <c r="AA103" i="7"/>
  <c r="AA111" i="7" s="1"/>
  <c r="AA119" i="7" s="1"/>
  <c r="AE58" i="7"/>
  <c r="AE59" i="7" s="1"/>
  <c r="AD65" i="7"/>
  <c r="AC88" i="7"/>
  <c r="AC89" i="7" s="1"/>
  <c r="AD68" i="7"/>
  <c r="AE26" i="7"/>
  <c r="AE27" i="7" s="1"/>
  <c r="AE42" i="7"/>
  <c r="AE43" i="7" s="1"/>
  <c r="AD62" i="7"/>
  <c r="AB96" i="7"/>
  <c r="AB95" i="7"/>
  <c r="AB93" i="7"/>
  <c r="AB94" i="7"/>
  <c r="AB100" i="7"/>
  <c r="AD73" i="7"/>
  <c r="AO18" i="4"/>
  <c r="AP44" i="5" s="1"/>
  <c r="AO49" i="5"/>
  <c r="AO68" i="5"/>
  <c r="AD46" i="7"/>
  <c r="AD47" i="7" s="1"/>
  <c r="AC82" i="7"/>
  <c r="AC81" i="7"/>
  <c r="AC79" i="7"/>
  <c r="AC80" i="7"/>
  <c r="AC78" i="7"/>
  <c r="AC85" i="7"/>
  <c r="AE50" i="7"/>
  <c r="AE51" i="7" s="1"/>
  <c r="AD54" i="7"/>
  <c r="AD55" i="7" s="1"/>
  <c r="AE34" i="7"/>
  <c r="AE35" i="7" s="1"/>
  <c r="AD30" i="7"/>
  <c r="AD31" i="7" s="1"/>
  <c r="AO54" i="5" l="1"/>
  <c r="AO55" i="5"/>
  <c r="AO63" i="5"/>
  <c r="AO50" i="5" s="1"/>
  <c r="AP43" i="5" s="1"/>
  <c r="AD69" i="7"/>
  <c r="AE67" i="7" s="1"/>
  <c r="AB108" i="7"/>
  <c r="AB116" i="7" s="1"/>
  <c r="AB102" i="7"/>
  <c r="AD74" i="7"/>
  <c r="AD75" i="7" s="1"/>
  <c r="AP45" i="5"/>
  <c r="G28" i="6"/>
  <c r="AE44" i="7"/>
  <c r="AE28" i="7"/>
  <c r="AE36" i="7"/>
  <c r="AE52" i="7"/>
  <c r="AE60" i="7"/>
  <c r="AC98" i="7"/>
  <c r="AO19" i="4"/>
  <c r="AD63" i="7"/>
  <c r="AO64" i="5" l="1"/>
  <c r="AO56" i="5"/>
  <c r="AO58" i="5" s="1"/>
  <c r="AP53" i="5"/>
  <c r="AD70" i="7"/>
  <c r="AD83" i="7" s="1"/>
  <c r="AD88" i="7" s="1"/>
  <c r="AD89" i="7" s="1"/>
  <c r="AD77" i="7"/>
  <c r="AD78" i="7" s="1"/>
  <c r="AE72" i="7"/>
  <c r="AB107" i="7"/>
  <c r="AB115" i="7" s="1"/>
  <c r="AB123" i="7" s="1"/>
  <c r="AB104" i="7"/>
  <c r="AB112" i="7" s="1"/>
  <c r="AB120" i="7" s="1"/>
  <c r="AB106" i="7"/>
  <c r="AB114" i="7" s="1"/>
  <c r="AB122" i="7" s="1"/>
  <c r="AB105" i="7"/>
  <c r="AB113" i="7" s="1"/>
  <c r="AB121" i="7" s="1"/>
  <c r="AB103" i="7"/>
  <c r="AB111" i="7" s="1"/>
  <c r="AB119" i="7" s="1"/>
  <c r="AP47" i="5"/>
  <c r="AP48" i="5" s="1"/>
  <c r="AP16" i="4"/>
  <c r="AP46" i="5"/>
  <c r="AC92" i="7"/>
  <c r="AC90" i="7"/>
  <c r="AE29" i="7"/>
  <c r="AF25" i="7" s="1"/>
  <c r="AE37" i="7"/>
  <c r="AF33" i="7" s="1"/>
  <c r="AE53" i="7"/>
  <c r="AF49" i="7" s="1"/>
  <c r="AE61" i="7"/>
  <c r="AE45" i="7"/>
  <c r="AF41" i="7" s="1"/>
  <c r="AO78" i="5" l="1"/>
  <c r="AQ23" i="7" s="1"/>
  <c r="AQ87" i="7" s="1"/>
  <c r="AD85" i="7"/>
  <c r="AD98" i="7" s="1"/>
  <c r="AD90" i="7" s="1"/>
  <c r="AD80" i="7"/>
  <c r="AD79" i="7"/>
  <c r="AD82" i="7"/>
  <c r="AD81" i="7"/>
  <c r="AE73" i="7"/>
  <c r="AE38" i="7"/>
  <c r="AE39" i="7" s="1"/>
  <c r="AP49" i="5"/>
  <c r="G33" i="6" s="1"/>
  <c r="G29" i="6"/>
  <c r="AP68" i="5"/>
  <c r="AE68" i="7"/>
  <c r="AE46" i="7"/>
  <c r="AE47" i="7" s="1"/>
  <c r="AE65" i="7"/>
  <c r="AE30" i="7"/>
  <c r="AE31" i="7" s="1"/>
  <c r="AP18" i="4"/>
  <c r="AQ44" i="5" s="1"/>
  <c r="AF50" i="7"/>
  <c r="AF51" i="7" s="1"/>
  <c r="AF34" i="7"/>
  <c r="AF35" i="7" s="1"/>
  <c r="AC93" i="7"/>
  <c r="AC94" i="7"/>
  <c r="AC96" i="7"/>
  <c r="AC95" i="7"/>
  <c r="AC100" i="7"/>
  <c r="AE54" i="7"/>
  <c r="AE55" i="7" s="1"/>
  <c r="AF42" i="7"/>
  <c r="AF43" i="7" s="1"/>
  <c r="AF26" i="7"/>
  <c r="AF27" i="7" s="1"/>
  <c r="AF57" i="7"/>
  <c r="AE62" i="7"/>
  <c r="AP55" i="5" l="1"/>
  <c r="AQ53" i="5" s="1"/>
  <c r="AP54" i="5"/>
  <c r="AD92" i="7"/>
  <c r="AD95" i="7" s="1"/>
  <c r="AP19" i="4"/>
  <c r="G31" i="6"/>
  <c r="G30" i="6"/>
  <c r="AE63" i="7"/>
  <c r="AC102" i="7"/>
  <c r="AC108" i="7"/>
  <c r="AC116" i="7" s="1"/>
  <c r="AP63" i="5"/>
  <c r="AF58" i="7"/>
  <c r="AF59" i="7" s="1"/>
  <c r="AF52" i="7" s="1"/>
  <c r="AQ45" i="5"/>
  <c r="AQ46" i="5" s="1"/>
  <c r="AE69" i="7"/>
  <c r="AF67" i="7" s="1"/>
  <c r="AE74" i="7"/>
  <c r="AP56" i="5" l="1"/>
  <c r="AD100" i="7"/>
  <c r="AD102" i="7" s="1"/>
  <c r="AD93" i="7"/>
  <c r="AD96" i="7"/>
  <c r="AD94" i="7"/>
  <c r="AQ47" i="5"/>
  <c r="AQ68" i="5" s="1"/>
  <c r="AQ16" i="4"/>
  <c r="AQ18" i="4" s="1"/>
  <c r="AR44" i="5" s="1"/>
  <c r="AR45" i="5" s="1"/>
  <c r="AF60" i="7"/>
  <c r="AP64" i="5"/>
  <c r="AP50" i="5"/>
  <c r="AQ43" i="5" s="1"/>
  <c r="AF28" i="7"/>
  <c r="AC104" i="7"/>
  <c r="AC112" i="7" s="1"/>
  <c r="AC120" i="7" s="1"/>
  <c r="AC106" i="7"/>
  <c r="AC114" i="7" s="1"/>
  <c r="AC122" i="7" s="1"/>
  <c r="AC107" i="7"/>
  <c r="AC115" i="7" s="1"/>
  <c r="AC123" i="7" s="1"/>
  <c r="AC103" i="7"/>
  <c r="AC111" i="7" s="1"/>
  <c r="AC119" i="7" s="1"/>
  <c r="AC105" i="7"/>
  <c r="AC113" i="7" s="1"/>
  <c r="AC121" i="7" s="1"/>
  <c r="AE75" i="7"/>
  <c r="AF72" i="7"/>
  <c r="AE70" i="7"/>
  <c r="AE77" i="7"/>
  <c r="AF44" i="7"/>
  <c r="G37" i="6"/>
  <c r="F8" i="9" s="1"/>
  <c r="BD20" i="10" s="1"/>
  <c r="AF36" i="7"/>
  <c r="AD108" i="7" l="1"/>
  <c r="AD116" i="7" s="1"/>
  <c r="AQ19" i="4"/>
  <c r="AR47" i="5" s="1"/>
  <c r="AP58" i="5"/>
  <c r="AP78" i="5" s="1"/>
  <c r="AR23" i="7" s="1"/>
  <c r="AR87" i="7" s="1"/>
  <c r="G34" i="6"/>
  <c r="G35" i="6" s="1"/>
  <c r="F5" i="9" s="1"/>
  <c r="AQ48" i="5"/>
  <c r="AQ49" i="5" s="1"/>
  <c r="AQ55" i="5" s="1"/>
  <c r="AR46" i="5"/>
  <c r="AE83" i="7"/>
  <c r="AE88" i="7" s="1"/>
  <c r="AE89" i="7" s="1"/>
  <c r="AD103" i="7"/>
  <c r="AD111" i="7" s="1"/>
  <c r="AD105" i="7"/>
  <c r="AD113" i="7" s="1"/>
  <c r="AD121" i="7" s="1"/>
  <c r="AD106" i="7"/>
  <c r="AD114" i="7" s="1"/>
  <c r="AD122" i="7" s="1"/>
  <c r="AD104" i="7"/>
  <c r="AD112" i="7" s="1"/>
  <c r="AD120" i="7" s="1"/>
  <c r="AD107" i="7"/>
  <c r="AD115" i="7" s="1"/>
  <c r="AD123" i="7" s="1"/>
  <c r="AE81" i="7"/>
  <c r="AE80" i="7"/>
  <c r="AE79" i="7"/>
  <c r="AE82" i="7"/>
  <c r="AE78" i="7"/>
  <c r="AF45" i="7"/>
  <c r="AG41" i="7" s="1"/>
  <c r="AF37" i="7"/>
  <c r="AG33" i="7" s="1"/>
  <c r="AF61" i="7"/>
  <c r="AF53" i="7"/>
  <c r="AF29" i="7"/>
  <c r="AG25" i="7" s="1"/>
  <c r="AD119" i="7" l="1"/>
  <c r="AR16" i="4"/>
  <c r="G39" i="6"/>
  <c r="F10" i="9" s="1"/>
  <c r="AQ63" i="5"/>
  <c r="AQ50" i="5" s="1"/>
  <c r="AR43" i="5" s="1"/>
  <c r="AQ54" i="5"/>
  <c r="AQ56" i="5"/>
  <c r="AR53" i="5"/>
  <c r="AE85" i="7"/>
  <c r="AE98" i="7" s="1"/>
  <c r="AF30" i="7"/>
  <c r="AF31" i="7" s="1"/>
  <c r="AF38" i="7"/>
  <c r="AF39" i="7" s="1"/>
  <c r="AF65" i="7"/>
  <c r="AG57" i="7"/>
  <c r="AF62" i="7"/>
  <c r="AF46" i="7"/>
  <c r="AF47" i="7" s="1"/>
  <c r="AR68" i="5"/>
  <c r="AG34" i="7"/>
  <c r="AG35" i="7" s="1"/>
  <c r="AG42" i="7"/>
  <c r="AG43" i="7" s="1"/>
  <c r="AF68" i="7"/>
  <c r="AF73" i="7"/>
  <c r="AR18" i="4"/>
  <c r="AS44" i="5" s="1"/>
  <c r="AG26" i="7"/>
  <c r="AG27" i="7" s="1"/>
  <c r="AG49" i="7"/>
  <c r="AF54" i="7"/>
  <c r="AF55" i="7" s="1"/>
  <c r="AR48" i="5"/>
  <c r="AQ64" i="5" l="1"/>
  <c r="AQ58" i="5"/>
  <c r="AR49" i="5"/>
  <c r="AR63" i="5" s="1"/>
  <c r="AG50" i="7"/>
  <c r="AG51" i="7" s="1"/>
  <c r="AF69" i="7"/>
  <c r="AG67" i="7" s="1"/>
  <c r="AF63" i="7"/>
  <c r="AG58" i="7"/>
  <c r="AG59" i="7" s="1"/>
  <c r="AR19" i="4"/>
  <c r="AS45" i="5"/>
  <c r="AS46" i="5" s="1"/>
  <c r="AE90" i="7"/>
  <c r="AE92" i="7"/>
  <c r="AF74" i="7"/>
  <c r="AF75" i="7" s="1"/>
  <c r="AQ78" i="5" l="1"/>
  <c r="AS23" i="7" s="1"/>
  <c r="AS87" i="7" s="1"/>
  <c r="AR54" i="5"/>
  <c r="AR55" i="5"/>
  <c r="AR56" i="5" s="1"/>
  <c r="AG36" i="7"/>
  <c r="AG28" i="7"/>
  <c r="AG44" i="7"/>
  <c r="AG60" i="7"/>
  <c r="AG52" i="7"/>
  <c r="AR64" i="5"/>
  <c r="AR50" i="5"/>
  <c r="AS43" i="5" s="1"/>
  <c r="AS47" i="5"/>
  <c r="AS48" i="5" s="1"/>
  <c r="AS16" i="4"/>
  <c r="AF70" i="7"/>
  <c r="AF83" i="7" s="1"/>
  <c r="AF77" i="7"/>
  <c r="AG72" i="7"/>
  <c r="AE94" i="7"/>
  <c r="AE95" i="7"/>
  <c r="AE93" i="7"/>
  <c r="AE96" i="7"/>
  <c r="AE100" i="7"/>
  <c r="AS53" i="5" l="1"/>
  <c r="AR58" i="5"/>
  <c r="AR78" i="5" s="1"/>
  <c r="AT23" i="7" s="1"/>
  <c r="AT87" i="7" s="1"/>
  <c r="AG53" i="7"/>
  <c r="AG54" i="7" s="1"/>
  <c r="AG55" i="7" s="1"/>
  <c r="AG61" i="7"/>
  <c r="AH57" i="7" s="1"/>
  <c r="AH58" i="7" s="1"/>
  <c r="AH59" i="7" s="1"/>
  <c r="AG29" i="7"/>
  <c r="AH25" i="7" s="1"/>
  <c r="AH26" i="7" s="1"/>
  <c r="AH27" i="7" s="1"/>
  <c r="AG45" i="7"/>
  <c r="AH41" i="7" s="1"/>
  <c r="AH42" i="7" s="1"/>
  <c r="AH43" i="7" s="1"/>
  <c r="AG37" i="7"/>
  <c r="AH33" i="7" s="1"/>
  <c r="AH34" i="7" s="1"/>
  <c r="AH35" i="7" s="1"/>
  <c r="AF80" i="7"/>
  <c r="AF82" i="7"/>
  <c r="AF79" i="7"/>
  <c r="AF78" i="7"/>
  <c r="AF81" i="7"/>
  <c r="AF85" i="7"/>
  <c r="AF88" i="7"/>
  <c r="AF89" i="7" s="1"/>
  <c r="AS18" i="4"/>
  <c r="AT44" i="5" s="1"/>
  <c r="AE108" i="7"/>
  <c r="AE116" i="7" s="1"/>
  <c r="AE102" i="7"/>
  <c r="AS49" i="5"/>
  <c r="AS68" i="5"/>
  <c r="AS54" i="5" l="1"/>
  <c r="AG30" i="7"/>
  <c r="AG31" i="7" s="1"/>
  <c r="AH49" i="7"/>
  <c r="AH50" i="7" s="1"/>
  <c r="AH51" i="7" s="1"/>
  <c r="AH36" i="7" s="1"/>
  <c r="AG62" i="7"/>
  <c r="AG63" i="7" s="1"/>
  <c r="AS55" i="5"/>
  <c r="AG46" i="7"/>
  <c r="AG47" i="7" s="1"/>
  <c r="AS63" i="5"/>
  <c r="AS50" i="5" s="1"/>
  <c r="AT43" i="5" s="1"/>
  <c r="AG68" i="7"/>
  <c r="AG38" i="7"/>
  <c r="AG39" i="7" s="1"/>
  <c r="AG73" i="7"/>
  <c r="AG65" i="7"/>
  <c r="AE103" i="7"/>
  <c r="AE111" i="7" s="1"/>
  <c r="AE119" i="7" s="1"/>
  <c r="AE105" i="7"/>
  <c r="AE113" i="7" s="1"/>
  <c r="AE121" i="7" s="1"/>
  <c r="AE106" i="7"/>
  <c r="AE114" i="7" s="1"/>
  <c r="AE122" i="7" s="1"/>
  <c r="AE104" i="7"/>
  <c r="AE112" i="7" s="1"/>
  <c r="AE120" i="7" s="1"/>
  <c r="AE107" i="7"/>
  <c r="AE115" i="7" s="1"/>
  <c r="AE123" i="7" s="1"/>
  <c r="AS19" i="4"/>
  <c r="AF98" i="7"/>
  <c r="AT45" i="5"/>
  <c r="AT46" i="5" s="1"/>
  <c r="AH28" i="7" l="1"/>
  <c r="AH60" i="7"/>
  <c r="AH52" i="7"/>
  <c r="AS56" i="5"/>
  <c r="AH44" i="7"/>
  <c r="AS64" i="5"/>
  <c r="AT53" i="5"/>
  <c r="AG74" i="7"/>
  <c r="AG75" i="7" s="1"/>
  <c r="AG69" i="7"/>
  <c r="AH67" i="7" s="1"/>
  <c r="AT47" i="5"/>
  <c r="AT48" i="5" s="1"/>
  <c r="AT16" i="4"/>
  <c r="AF90" i="7"/>
  <c r="AF92" i="7"/>
  <c r="AH61" i="7" l="1"/>
  <c r="AI57" i="7" s="1"/>
  <c r="AI58" i="7" s="1"/>
  <c r="AI59" i="7" s="1"/>
  <c r="AS58" i="5"/>
  <c r="AS78" i="5" s="1"/>
  <c r="AU23" i="7" s="1"/>
  <c r="AU87" i="7" s="1"/>
  <c r="AH45" i="7"/>
  <c r="AI41" i="7" s="1"/>
  <c r="AI42" i="7" s="1"/>
  <c r="AI43" i="7" s="1"/>
  <c r="AH53" i="7"/>
  <c r="AI49" i="7" s="1"/>
  <c r="AI50" i="7" s="1"/>
  <c r="AI51" i="7" s="1"/>
  <c r="AH29" i="7"/>
  <c r="AI25" i="7" s="1"/>
  <c r="AH37" i="7"/>
  <c r="AI33" i="7" s="1"/>
  <c r="AI34" i="7" s="1"/>
  <c r="AI35" i="7" s="1"/>
  <c r="AG70" i="7"/>
  <c r="AG83" i="7" s="1"/>
  <c r="AG88" i="7" s="1"/>
  <c r="AG89" i="7" s="1"/>
  <c r="AH72" i="7"/>
  <c r="AG77" i="7"/>
  <c r="AG79" i="7" s="1"/>
  <c r="AF94" i="7"/>
  <c r="AF95" i="7"/>
  <c r="AF93" i="7"/>
  <c r="AF96" i="7"/>
  <c r="AF100" i="7"/>
  <c r="AT49" i="5"/>
  <c r="AT68" i="5"/>
  <c r="AT18" i="4"/>
  <c r="AU44" i="5" s="1"/>
  <c r="AH62" i="7" l="1"/>
  <c r="AH63" i="7" s="1"/>
  <c r="AH46" i="7"/>
  <c r="AH47" i="7" s="1"/>
  <c r="AH54" i="7"/>
  <c r="AH55" i="7" s="1"/>
  <c r="AH30" i="7"/>
  <c r="AH31" i="7" s="1"/>
  <c r="AH68" i="7"/>
  <c r="AH73" i="7"/>
  <c r="AG85" i="7"/>
  <c r="AG98" i="7" s="1"/>
  <c r="AG82" i="7"/>
  <c r="AH38" i="7"/>
  <c r="AH39" i="7" s="1"/>
  <c r="AG81" i="7"/>
  <c r="AG80" i="7"/>
  <c r="AG78" i="7"/>
  <c r="AH65" i="7"/>
  <c r="AT54" i="5"/>
  <c r="AT55" i="5"/>
  <c r="AT19" i="4"/>
  <c r="AU47" i="5" s="1"/>
  <c r="AU68" i="5" s="1"/>
  <c r="AF108" i="7"/>
  <c r="AF116" i="7" s="1"/>
  <c r="AF102" i="7"/>
  <c r="AT63" i="5"/>
  <c r="AU45" i="5"/>
  <c r="AU46" i="5" s="1"/>
  <c r="AI26" i="7"/>
  <c r="AI27" i="7" s="1"/>
  <c r="AU16" i="4" l="1"/>
  <c r="AU18" i="4" s="1"/>
  <c r="AV44" i="5" s="1"/>
  <c r="AH69" i="7"/>
  <c r="AI67" i="7" s="1"/>
  <c r="AH74" i="7"/>
  <c r="AH75" i="7" s="1"/>
  <c r="AT56" i="5"/>
  <c r="AU53" i="5"/>
  <c r="AU19" i="4"/>
  <c r="AV47" i="5" s="1"/>
  <c r="AV68" i="5" s="1"/>
  <c r="AU48" i="5"/>
  <c r="AU49" i="5" s="1"/>
  <c r="AG92" i="7"/>
  <c r="AG90" i="7"/>
  <c r="AI44" i="7"/>
  <c r="AI60" i="7"/>
  <c r="AI52" i="7"/>
  <c r="AI36" i="7"/>
  <c r="AI28" i="7"/>
  <c r="AT50" i="5"/>
  <c r="AU43" i="5" s="1"/>
  <c r="AT64" i="5"/>
  <c r="AF103" i="7"/>
  <c r="AF111" i="7" s="1"/>
  <c r="AF119" i="7" s="1"/>
  <c r="E8" i="8" s="1"/>
  <c r="E10" i="8" s="1"/>
  <c r="AF105" i="7"/>
  <c r="AF113" i="7" s="1"/>
  <c r="AF121" i="7" s="1"/>
  <c r="E30" i="8" s="1"/>
  <c r="E32" i="8" s="1"/>
  <c r="AF107" i="7"/>
  <c r="AF115" i="7" s="1"/>
  <c r="AF123" i="7" s="1"/>
  <c r="E52" i="8" s="1"/>
  <c r="E54" i="8" s="1"/>
  <c r="AF104" i="7"/>
  <c r="AF112" i="7" s="1"/>
  <c r="AF120" i="7" s="1"/>
  <c r="E19" i="8" s="1"/>
  <c r="E21" i="8" s="1"/>
  <c r="AF106" i="7"/>
  <c r="AF114" i="7" s="1"/>
  <c r="AF122" i="7" s="1"/>
  <c r="E41" i="8" s="1"/>
  <c r="E43" i="8" s="1"/>
  <c r="AV16" i="4" l="1"/>
  <c r="AV45" i="5"/>
  <c r="AV48" i="5" s="1"/>
  <c r="AV49" i="5" s="1"/>
  <c r="AH70" i="7"/>
  <c r="AH83" i="7" s="1"/>
  <c r="AH88" i="7" s="1"/>
  <c r="AH89" i="7" s="1"/>
  <c r="AT58" i="5"/>
  <c r="AT78" i="5" s="1"/>
  <c r="AV23" i="7" s="1"/>
  <c r="AV87" i="7" s="1"/>
  <c r="AI72" i="7"/>
  <c r="AH77" i="7"/>
  <c r="AH79" i="7" s="1"/>
  <c r="AU55" i="5"/>
  <c r="AU54" i="5"/>
  <c r="AG94" i="7"/>
  <c r="AG95" i="7"/>
  <c r="AG96" i="7"/>
  <c r="AG93" i="7"/>
  <c r="AG100" i="7"/>
  <c r="AI37" i="7"/>
  <c r="AJ33" i="7" s="1"/>
  <c r="AI45" i="7"/>
  <c r="AJ41" i="7" s="1"/>
  <c r="AI29" i="7"/>
  <c r="AJ25" i="7" s="1"/>
  <c r="AI53" i="7"/>
  <c r="AJ49" i="7" s="1"/>
  <c r="AI61" i="7"/>
  <c r="AJ57" i="7" s="1"/>
  <c r="AV18" i="4"/>
  <c r="AW44" i="5" s="1"/>
  <c r="AU63" i="5"/>
  <c r="AV46" i="5" l="1"/>
  <c r="AH80" i="7"/>
  <c r="AH78" i="7"/>
  <c r="AH81" i="7"/>
  <c r="AH82" i="7"/>
  <c r="AH85" i="7"/>
  <c r="AH98" i="7" s="1"/>
  <c r="AU56" i="5"/>
  <c r="AU58" i="5" s="1"/>
  <c r="AV55" i="5"/>
  <c r="AV56" i="5" s="1"/>
  <c r="AV53" i="5"/>
  <c r="AV54" i="5" s="1"/>
  <c r="AI46" i="7"/>
  <c r="AI47" i="7" s="1"/>
  <c r="AI38" i="7"/>
  <c r="AI39" i="7" s="1"/>
  <c r="AI30" i="7"/>
  <c r="AI31" i="7" s="1"/>
  <c r="AI73" i="7"/>
  <c r="AW45" i="5"/>
  <c r="AW46" i="5" s="1"/>
  <c r="AV19" i="4"/>
  <c r="AI68" i="7"/>
  <c r="AJ26" i="7"/>
  <c r="AJ27" i="7" s="1"/>
  <c r="AI62" i="7"/>
  <c r="AJ42" i="7"/>
  <c r="AJ43" i="7" s="1"/>
  <c r="AJ58" i="7"/>
  <c r="AJ59" i="7" s="1"/>
  <c r="AI54" i="7"/>
  <c r="AI55" i="7" s="1"/>
  <c r="AU50" i="5"/>
  <c r="AV43" i="5" s="1"/>
  <c r="AU64" i="5"/>
  <c r="AJ34" i="7"/>
  <c r="AJ35" i="7" s="1"/>
  <c r="AG108" i="7"/>
  <c r="AG116" i="7" s="1"/>
  <c r="AG102" i="7"/>
  <c r="AJ50" i="7"/>
  <c r="AJ51" i="7" s="1"/>
  <c r="AI65" i="7"/>
  <c r="AU78" i="5" l="1"/>
  <c r="AW23" i="7" s="1"/>
  <c r="AW87" i="7" s="1"/>
  <c r="AW53" i="5"/>
  <c r="AV58" i="5"/>
  <c r="AV63" i="5"/>
  <c r="AI69" i="7"/>
  <c r="AJ67" i="7" s="1"/>
  <c r="AW47" i="5"/>
  <c r="AW16" i="4"/>
  <c r="AG107" i="7"/>
  <c r="AG115" i="7" s="1"/>
  <c r="AG123" i="7" s="1"/>
  <c r="AG104" i="7"/>
  <c r="AG112" i="7" s="1"/>
  <c r="AG120" i="7" s="1"/>
  <c r="AG103" i="7"/>
  <c r="AG111" i="7" s="1"/>
  <c r="AG119" i="7" s="1"/>
  <c r="AG105" i="7"/>
  <c r="AG113" i="7" s="1"/>
  <c r="AG121" i="7" s="1"/>
  <c r="AG106" i="7"/>
  <c r="AG114" i="7" s="1"/>
  <c r="AG122" i="7" s="1"/>
  <c r="AH90" i="7"/>
  <c r="AH92" i="7"/>
  <c r="AI74" i="7"/>
  <c r="AI63" i="7"/>
  <c r="AJ60" i="7"/>
  <c r="AJ36" i="7"/>
  <c r="AJ44" i="7"/>
  <c r="AJ52" i="7"/>
  <c r="AJ28" i="7"/>
  <c r="AJ37" i="7" l="1"/>
  <c r="AK33" i="7" s="1"/>
  <c r="AJ53" i="7"/>
  <c r="AK49" i="7" s="1"/>
  <c r="AJ61" i="7"/>
  <c r="AK57" i="7" s="1"/>
  <c r="AJ45" i="7"/>
  <c r="AK41" i="7" s="1"/>
  <c r="AJ29" i="7"/>
  <c r="AK25" i="7" s="1"/>
  <c r="AW18" i="4"/>
  <c r="AX44" i="5" s="1"/>
  <c r="AW68" i="5"/>
  <c r="AI70" i="7"/>
  <c r="AI77" i="7"/>
  <c r="AI75" i="7"/>
  <c r="AJ72" i="7"/>
  <c r="AH96" i="7"/>
  <c r="AH94" i="7"/>
  <c r="AH93" i="7"/>
  <c r="AH95" i="7"/>
  <c r="AH100" i="7"/>
  <c r="AW48" i="5"/>
  <c r="AV64" i="5"/>
  <c r="AV78" i="5" s="1"/>
  <c r="AX23" i="7" s="1"/>
  <c r="AV50" i="5"/>
  <c r="AW43" i="5" s="1"/>
  <c r="AJ38" i="7" l="1"/>
  <c r="AJ39" i="7" s="1"/>
  <c r="AW49" i="5"/>
  <c r="AW63" i="5" s="1"/>
  <c r="AJ54" i="7"/>
  <c r="AJ55" i="7" s="1"/>
  <c r="AI81" i="7"/>
  <c r="AI82" i="7"/>
  <c r="AI80" i="7"/>
  <c r="AI78" i="7"/>
  <c r="AI79" i="7"/>
  <c r="AJ46" i="7"/>
  <c r="AJ47" i="7" s="1"/>
  <c r="AJ73" i="7"/>
  <c r="AH108" i="7"/>
  <c r="AH116" i="7" s="1"/>
  <c r="AH102" i="7"/>
  <c r="AI83" i="7"/>
  <c r="AI85" i="7" s="1"/>
  <c r="AK26" i="7"/>
  <c r="AK27" i="7" s="1"/>
  <c r="AJ68" i="7"/>
  <c r="AX87" i="7"/>
  <c r="AK42" i="7"/>
  <c r="AK43" i="7" s="1"/>
  <c r="AJ30" i="7"/>
  <c r="AJ31" i="7" s="1"/>
  <c r="AK58" i="7"/>
  <c r="AK59" i="7" s="1"/>
  <c r="AK50" i="7"/>
  <c r="AK51" i="7" s="1"/>
  <c r="AX45" i="5"/>
  <c r="AX46" i="5" s="1"/>
  <c r="AK34" i="7"/>
  <c r="AK35" i="7" s="1"/>
  <c r="AJ62" i="7"/>
  <c r="AW19" i="4"/>
  <c r="AJ65" i="7"/>
  <c r="AW54" i="5" l="1"/>
  <c r="AW55" i="5"/>
  <c r="AW56" i="5" s="1"/>
  <c r="AJ74" i="7"/>
  <c r="AJ75" i="7" s="1"/>
  <c r="AX47" i="5"/>
  <c r="AX16" i="4"/>
  <c r="AK52" i="7"/>
  <c r="AK28" i="7"/>
  <c r="AK60" i="7"/>
  <c r="AK36" i="7"/>
  <c r="AK44" i="7"/>
  <c r="AJ69" i="7"/>
  <c r="AK67" i="7" s="1"/>
  <c r="AI88" i="7"/>
  <c r="AI89" i="7" s="1"/>
  <c r="AI98" i="7" s="1"/>
  <c r="AH104" i="7"/>
  <c r="AH112" i="7" s="1"/>
  <c r="AH120" i="7" s="1"/>
  <c r="AH107" i="7"/>
  <c r="AH115" i="7" s="1"/>
  <c r="AH123" i="7" s="1"/>
  <c r="AH106" i="7"/>
  <c r="AH114" i="7" s="1"/>
  <c r="AH122" i="7" s="1"/>
  <c r="AH105" i="7"/>
  <c r="AH113" i="7" s="1"/>
  <c r="AH121" i="7" s="1"/>
  <c r="AH103" i="7"/>
  <c r="AH111" i="7" s="1"/>
  <c r="AH119" i="7" s="1"/>
  <c r="AW50" i="5"/>
  <c r="AX43" i="5" s="1"/>
  <c r="AW64" i="5"/>
  <c r="AJ63" i="7"/>
  <c r="AX53" i="5" l="1"/>
  <c r="AW58" i="5"/>
  <c r="AW78" i="5" s="1"/>
  <c r="AY23" i="7" s="1"/>
  <c r="AY87" i="7" s="1"/>
  <c r="AK72" i="7"/>
  <c r="AI90" i="7"/>
  <c r="AI92" i="7"/>
  <c r="AX68" i="5"/>
  <c r="AJ70" i="7"/>
  <c r="AJ83" i="7" s="1"/>
  <c r="AJ77" i="7"/>
  <c r="AX48" i="5"/>
  <c r="AX18" i="4"/>
  <c r="AY44" i="5" s="1"/>
  <c r="AK45" i="7"/>
  <c r="AL41" i="7" s="1"/>
  <c r="AK37" i="7"/>
  <c r="AL33" i="7" s="1"/>
  <c r="AK29" i="7"/>
  <c r="AL25" i="7" s="1"/>
  <c r="AK53" i="7"/>
  <c r="AL49" i="7" s="1"/>
  <c r="AK61" i="7"/>
  <c r="AL57" i="7" s="1"/>
  <c r="AX19" i="4" l="1"/>
  <c r="AY47" i="5" s="1"/>
  <c r="AX49" i="5"/>
  <c r="AK54" i="7"/>
  <c r="AK55" i="7" s="1"/>
  <c r="AK30" i="7"/>
  <c r="AK31" i="7" s="1"/>
  <c r="AK62" i="7"/>
  <c r="AK63" i="7" s="1"/>
  <c r="AK38" i="7"/>
  <c r="AK39" i="7" s="1"/>
  <c r="AK68" i="7"/>
  <c r="AJ79" i="7"/>
  <c r="AJ78" i="7"/>
  <c r="AJ80" i="7"/>
  <c r="AJ82" i="7"/>
  <c r="AJ81" i="7"/>
  <c r="AJ85" i="7"/>
  <c r="AL58" i="7"/>
  <c r="AL59" i="7" s="1"/>
  <c r="AL50" i="7"/>
  <c r="AL51" i="7" s="1"/>
  <c r="AK73" i="7"/>
  <c r="AJ88" i="7"/>
  <c r="AJ89" i="7" s="1"/>
  <c r="AL26" i="7"/>
  <c r="AL27" i="7" s="1"/>
  <c r="AL34" i="7"/>
  <c r="AL35" i="7" s="1"/>
  <c r="AL42" i="7"/>
  <c r="AL43" i="7" s="1"/>
  <c r="AI96" i="7"/>
  <c r="AI94" i="7"/>
  <c r="AI95" i="7"/>
  <c r="AI93" i="7"/>
  <c r="AI100" i="7"/>
  <c r="AY16" i="4"/>
  <c r="AK65" i="7"/>
  <c r="AY68" i="5"/>
  <c r="AY45" i="5"/>
  <c r="AY46" i="5" s="1"/>
  <c r="AK46" i="7"/>
  <c r="AK47" i="7" s="1"/>
  <c r="AX54" i="5" l="1"/>
  <c r="AX55" i="5"/>
  <c r="AX56" i="5" s="1"/>
  <c r="AX63" i="5"/>
  <c r="AY48" i="5"/>
  <c r="AY49" i="5" s="1"/>
  <c r="AK69" i="7"/>
  <c r="AK74" i="7"/>
  <c r="AK75" i="7" s="1"/>
  <c r="AY18" i="4"/>
  <c r="AZ44" i="5" s="1"/>
  <c r="AL60" i="7"/>
  <c r="AL52" i="7"/>
  <c r="AL28" i="7"/>
  <c r="AL44" i="7"/>
  <c r="AL36" i="7"/>
  <c r="AJ98" i="7"/>
  <c r="AI108" i="7"/>
  <c r="AI116" i="7" s="1"/>
  <c r="AI102" i="7"/>
  <c r="AY53" i="5" l="1"/>
  <c r="AY54" i="5" s="1"/>
  <c r="AX58" i="5"/>
  <c r="AY55" i="5"/>
  <c r="AY56" i="5" s="1"/>
  <c r="AX64" i="5"/>
  <c r="AX50" i="5"/>
  <c r="AY43" i="5" s="1"/>
  <c r="AY63" i="5" s="1"/>
  <c r="AL72" i="7"/>
  <c r="AY19" i="4"/>
  <c r="AZ47" i="5" s="1"/>
  <c r="AZ68" i="5" s="1"/>
  <c r="AI106" i="7"/>
  <c r="AI114" i="7" s="1"/>
  <c r="AI122" i="7" s="1"/>
  <c r="AI104" i="7"/>
  <c r="AI112" i="7" s="1"/>
  <c r="AI120" i="7" s="1"/>
  <c r="AI103" i="7"/>
  <c r="AI111" i="7" s="1"/>
  <c r="AI119" i="7" s="1"/>
  <c r="AI105" i="7"/>
  <c r="AI113" i="7" s="1"/>
  <c r="AI121" i="7" s="1"/>
  <c r="AI107" i="7"/>
  <c r="AI115" i="7" s="1"/>
  <c r="AI123" i="7" s="1"/>
  <c r="AL29" i="7"/>
  <c r="AM25" i="7" s="1"/>
  <c r="AL53" i="7"/>
  <c r="AM49" i="7" s="1"/>
  <c r="AL61" i="7"/>
  <c r="AM57" i="7" s="1"/>
  <c r="AL37" i="7"/>
  <c r="AM33" i="7" s="1"/>
  <c r="AL45" i="7"/>
  <c r="AM41" i="7" s="1"/>
  <c r="AJ90" i="7"/>
  <c r="AJ92" i="7"/>
  <c r="AK70" i="7"/>
  <c r="AK83" i="7" s="1"/>
  <c r="AK77" i="7"/>
  <c r="AL67" i="7"/>
  <c r="AZ45" i="5"/>
  <c r="AZ46" i="5" s="1"/>
  <c r="AZ16" i="4" l="1"/>
  <c r="AX78" i="5"/>
  <c r="AZ23" i="7" s="1"/>
  <c r="AZ87" i="7" s="1"/>
  <c r="AZ53" i="5"/>
  <c r="AY58" i="5"/>
  <c r="AL38" i="7"/>
  <c r="AL39" i="7" s="1"/>
  <c r="AL62" i="7"/>
  <c r="AL63" i="7" s="1"/>
  <c r="AL54" i="7"/>
  <c r="AL55" i="7" s="1"/>
  <c r="AM26" i="7"/>
  <c r="AM27" i="7" s="1"/>
  <c r="AL30" i="7"/>
  <c r="AL31" i="7" s="1"/>
  <c r="AZ18" i="4"/>
  <c r="BA44" i="5" s="1"/>
  <c r="AM50" i="7"/>
  <c r="AM51" i="7" s="1"/>
  <c r="AY64" i="5"/>
  <c r="AY50" i="5"/>
  <c r="AZ43" i="5" s="1"/>
  <c r="AL68" i="7"/>
  <c r="AM42" i="7"/>
  <c r="AM43" i="7" s="1"/>
  <c r="AL65" i="7"/>
  <c r="AZ48" i="5"/>
  <c r="AZ49" i="5" s="1"/>
  <c r="AK78" i="7"/>
  <c r="AK79" i="7"/>
  <c r="AK80" i="7"/>
  <c r="AK81" i="7"/>
  <c r="AK82" i="7"/>
  <c r="AK85" i="7"/>
  <c r="AM34" i="7"/>
  <c r="AM35" i="7" s="1"/>
  <c r="AK88" i="7"/>
  <c r="AK89" i="7" s="1"/>
  <c r="AJ93" i="7"/>
  <c r="AJ94" i="7"/>
  <c r="AJ95" i="7"/>
  <c r="AJ96" i="7"/>
  <c r="AJ100" i="7"/>
  <c r="AL73" i="7"/>
  <c r="AM58" i="7"/>
  <c r="AM59" i="7" s="1"/>
  <c r="AL46" i="7"/>
  <c r="AL47" i="7" s="1"/>
  <c r="AY78" i="5" l="1"/>
  <c r="BA23" i="7" s="1"/>
  <c r="BA87" i="7" s="1"/>
  <c r="AZ55" i="5"/>
  <c r="AZ54" i="5"/>
  <c r="AK98" i="7"/>
  <c r="AL69" i="7"/>
  <c r="AM52" i="7"/>
  <c r="AM36" i="7"/>
  <c r="AM28" i="7"/>
  <c r="AM44" i="7"/>
  <c r="AM60" i="7"/>
  <c r="BA45" i="5"/>
  <c r="BA46" i="5" s="1"/>
  <c r="AL74" i="7"/>
  <c r="AL75" i="7" s="1"/>
  <c r="AJ108" i="7"/>
  <c r="AJ116" i="7" s="1"/>
  <c r="AJ102" i="7"/>
  <c r="AZ63" i="5"/>
  <c r="AZ19" i="4"/>
  <c r="AZ56" i="5" l="1"/>
  <c r="AZ58" i="5" s="1"/>
  <c r="BA53" i="5"/>
  <c r="AM72" i="7"/>
  <c r="AJ104" i="7"/>
  <c r="AJ112" i="7" s="1"/>
  <c r="AJ120" i="7" s="1"/>
  <c r="AJ103" i="7"/>
  <c r="AJ111" i="7" s="1"/>
  <c r="AJ119" i="7" s="1"/>
  <c r="AJ106" i="7"/>
  <c r="AJ114" i="7" s="1"/>
  <c r="AJ122" i="7" s="1"/>
  <c r="AJ105" i="7"/>
  <c r="AJ113" i="7" s="1"/>
  <c r="AJ121" i="7" s="1"/>
  <c r="AJ107" i="7"/>
  <c r="AJ115" i="7" s="1"/>
  <c r="AJ123" i="7" s="1"/>
  <c r="AL70" i="7"/>
  <c r="AL83" i="7" s="1"/>
  <c r="AL77" i="7"/>
  <c r="AM67" i="7"/>
  <c r="AM37" i="7"/>
  <c r="AN33" i="7" s="1"/>
  <c r="AM29" i="7"/>
  <c r="AN25" i="7" s="1"/>
  <c r="AM45" i="7"/>
  <c r="AN41" i="7" s="1"/>
  <c r="AM61" i="7"/>
  <c r="AN57" i="7" s="1"/>
  <c r="AM53" i="7"/>
  <c r="AN49" i="7" s="1"/>
  <c r="BA47" i="5"/>
  <c r="BA48" i="5" s="1"/>
  <c r="BA16" i="4"/>
  <c r="AK90" i="7"/>
  <c r="AK92" i="7"/>
  <c r="AZ50" i="5"/>
  <c r="BA43" i="5" s="1"/>
  <c r="AZ64" i="5"/>
  <c r="AZ78" i="5" l="1"/>
  <c r="BB23" i="7" s="1"/>
  <c r="BB87" i="7" s="1"/>
  <c r="AM38" i="7"/>
  <c r="AM39" i="7" s="1"/>
  <c r="AM46" i="7"/>
  <c r="AM47" i="7" s="1"/>
  <c r="AM54" i="7"/>
  <c r="AM55" i="7" s="1"/>
  <c r="AN26" i="7"/>
  <c r="AN27" i="7" s="1"/>
  <c r="AL82" i="7"/>
  <c r="AL78" i="7"/>
  <c r="AL80" i="7"/>
  <c r="AL81" i="7"/>
  <c r="AL79" i="7"/>
  <c r="AL85" i="7"/>
  <c r="AM65" i="7"/>
  <c r="AN34" i="7"/>
  <c r="AN35" i="7" s="1"/>
  <c r="AL88" i="7"/>
  <c r="AL89" i="7" s="1"/>
  <c r="AM73" i="7"/>
  <c r="BA49" i="5"/>
  <c r="BA68" i="5"/>
  <c r="BA18" i="4"/>
  <c r="BB44" i="5" s="1"/>
  <c r="AN50" i="7"/>
  <c r="AN51" i="7" s="1"/>
  <c r="AM68" i="7"/>
  <c r="AN58" i="7"/>
  <c r="AN59" i="7" s="1"/>
  <c r="AM30" i="7"/>
  <c r="AM31" i="7" s="1"/>
  <c r="AK94" i="7"/>
  <c r="AK95" i="7"/>
  <c r="AK96" i="7"/>
  <c r="AK93" i="7"/>
  <c r="AK100" i="7"/>
  <c r="AM62" i="7"/>
  <c r="AN42" i="7"/>
  <c r="AN43" i="7" s="1"/>
  <c r="BA54" i="5" l="1"/>
  <c r="BA55" i="5"/>
  <c r="BA63" i="5"/>
  <c r="BA64" i="5" s="1"/>
  <c r="AM69" i="7"/>
  <c r="AM70" i="7" s="1"/>
  <c r="AL98" i="7"/>
  <c r="BA19" i="4"/>
  <c r="AM63" i="7"/>
  <c r="AK108" i="7"/>
  <c r="AK116" i="7" s="1"/>
  <c r="AK102" i="7"/>
  <c r="AM74" i="7"/>
  <c r="AM75" i="7" s="1"/>
  <c r="BB45" i="5"/>
  <c r="H28" i="6"/>
  <c r="AN52" i="7"/>
  <c r="AN60" i="7"/>
  <c r="AN44" i="7"/>
  <c r="AN36" i="7"/>
  <c r="AN28" i="7"/>
  <c r="BA56" i="5" l="1"/>
  <c r="BA58" i="5" s="1"/>
  <c r="BA78" i="5" s="1"/>
  <c r="BC23" i="7" s="1"/>
  <c r="BC87" i="7" s="1"/>
  <c r="BB53" i="5"/>
  <c r="BA50" i="5"/>
  <c r="BB43" i="5" s="1"/>
  <c r="AN72" i="7"/>
  <c r="AN67" i="7"/>
  <c r="AM77" i="7"/>
  <c r="AM78" i="7" s="1"/>
  <c r="AK106" i="7"/>
  <c r="AK114" i="7" s="1"/>
  <c r="AK122" i="7" s="1"/>
  <c r="AK107" i="7"/>
  <c r="AK115" i="7" s="1"/>
  <c r="AK123" i="7" s="1"/>
  <c r="AK105" i="7"/>
  <c r="AK113" i="7" s="1"/>
  <c r="AK121" i="7" s="1"/>
  <c r="AK104" i="7"/>
  <c r="AK112" i="7" s="1"/>
  <c r="AK120" i="7" s="1"/>
  <c r="AK103" i="7"/>
  <c r="AK111" i="7" s="1"/>
  <c r="AK119" i="7" s="1"/>
  <c r="AL90" i="7"/>
  <c r="AL92" i="7"/>
  <c r="BB46" i="5"/>
  <c r="AN45" i="7"/>
  <c r="AO41" i="7" s="1"/>
  <c r="AN37" i="7"/>
  <c r="AO33" i="7" s="1"/>
  <c r="AN29" i="7"/>
  <c r="AO25" i="7" s="1"/>
  <c r="AN53" i="7"/>
  <c r="AO49" i="7" s="1"/>
  <c r="AN61" i="7"/>
  <c r="BB47" i="5"/>
  <c r="BB48" i="5" s="1"/>
  <c r="BB16" i="4"/>
  <c r="AM83" i="7"/>
  <c r="AM80" i="7" l="1"/>
  <c r="AM79" i="7"/>
  <c r="AM81" i="7"/>
  <c r="AM82" i="7"/>
  <c r="AN38" i="7"/>
  <c r="AN39" i="7" s="1"/>
  <c r="AN30" i="7"/>
  <c r="AN31" i="7" s="1"/>
  <c r="AN46" i="7"/>
  <c r="AN47" i="7" s="1"/>
  <c r="BB18" i="4"/>
  <c r="BC44" i="5" s="1"/>
  <c r="AN73" i="7"/>
  <c r="AO42" i="7"/>
  <c r="AO43" i="7" s="1"/>
  <c r="BB49" i="5"/>
  <c r="BB63" i="5" s="1"/>
  <c r="H29" i="6"/>
  <c r="BB68" i="5"/>
  <c r="AO57" i="7"/>
  <c r="AN62" i="7"/>
  <c r="AN68" i="7"/>
  <c r="AN54" i="7"/>
  <c r="AN55" i="7" s="1"/>
  <c r="AL93" i="7"/>
  <c r="AL95" i="7"/>
  <c r="AL94" i="7"/>
  <c r="AL96" i="7"/>
  <c r="AL100" i="7"/>
  <c r="AM88" i="7"/>
  <c r="AM89" i="7" s="1"/>
  <c r="AM85" i="7"/>
  <c r="AO50" i="7"/>
  <c r="AO51" i="7" s="1"/>
  <c r="AO26" i="7"/>
  <c r="AO27" i="7" s="1"/>
  <c r="AN65" i="7"/>
  <c r="AO34" i="7"/>
  <c r="AO35" i="7" s="1"/>
  <c r="BB55" i="5" l="1"/>
  <c r="BB54" i="5"/>
  <c r="BB64" i="5"/>
  <c r="BB50" i="5"/>
  <c r="BC43" i="5" s="1"/>
  <c r="BC45" i="5"/>
  <c r="BC46" i="5" s="1"/>
  <c r="AN63" i="7"/>
  <c r="AN74" i="7"/>
  <c r="AN75" i="7" s="1"/>
  <c r="AL102" i="7"/>
  <c r="AL108" i="7"/>
  <c r="AL116" i="7" s="1"/>
  <c r="AO58" i="7"/>
  <c r="AO59" i="7" s="1"/>
  <c r="AO52" i="7" s="1"/>
  <c r="BB19" i="4"/>
  <c r="AM98" i="7"/>
  <c r="H31" i="6"/>
  <c r="H30" i="6"/>
  <c r="AN69" i="7"/>
  <c r="AO67" i="7" s="1"/>
  <c r="H33" i="6"/>
  <c r="BB56" i="5" l="1"/>
  <c r="BC53" i="5"/>
  <c r="AO28" i="7"/>
  <c r="AO72" i="7"/>
  <c r="AO44" i="7"/>
  <c r="AO60" i="7"/>
  <c r="AN70" i="7"/>
  <c r="AN83" i="7" s="1"/>
  <c r="AN77" i="7"/>
  <c r="BC47" i="5"/>
  <c r="BC48" i="5" s="1"/>
  <c r="BC16" i="4"/>
  <c r="AO36" i="7"/>
  <c r="AL105" i="7"/>
  <c r="AL113" i="7" s="1"/>
  <c r="AL121" i="7" s="1"/>
  <c r="AL104" i="7"/>
  <c r="AL112" i="7" s="1"/>
  <c r="AL120" i="7" s="1"/>
  <c r="AL106" i="7"/>
  <c r="AL114" i="7" s="1"/>
  <c r="AL122" i="7" s="1"/>
  <c r="AL107" i="7"/>
  <c r="AL115" i="7" s="1"/>
  <c r="AL123" i="7" s="1"/>
  <c r="AL103" i="7"/>
  <c r="AL111" i="7" s="1"/>
  <c r="AL119" i="7" s="1"/>
  <c r="H37" i="6"/>
  <c r="G8" i="9" s="1"/>
  <c r="BE20" i="10" s="1"/>
  <c r="AM90" i="7"/>
  <c r="AM92" i="7"/>
  <c r="BB58" i="5" l="1"/>
  <c r="BB78" i="5" s="1"/>
  <c r="BD23" i="7" s="1"/>
  <c r="BD87" i="7" s="1"/>
  <c r="H34" i="6"/>
  <c r="H35" i="6" s="1"/>
  <c r="AO45" i="7"/>
  <c r="AP41" i="7" s="1"/>
  <c r="AP42" i="7" s="1"/>
  <c r="AP43" i="7" s="1"/>
  <c r="AO37" i="7"/>
  <c r="AP33" i="7" s="1"/>
  <c r="AP34" i="7" s="1"/>
  <c r="AP35" i="7" s="1"/>
  <c r="AM93" i="7"/>
  <c r="AM96" i="7"/>
  <c r="AM94" i="7"/>
  <c r="AM95" i="7"/>
  <c r="AM100" i="7"/>
  <c r="AN81" i="7"/>
  <c r="AN82" i="7"/>
  <c r="AN80" i="7"/>
  <c r="AN79" i="7"/>
  <c r="AN78" i="7"/>
  <c r="AN85" i="7"/>
  <c r="AO61" i="7"/>
  <c r="AO29" i="7"/>
  <c r="AO53" i="7"/>
  <c r="BC18" i="4"/>
  <c r="BD44" i="5" s="1"/>
  <c r="AN88" i="7"/>
  <c r="AN89" i="7" s="1"/>
  <c r="BC49" i="5"/>
  <c r="BC68" i="5"/>
  <c r="H39" i="6" l="1"/>
  <c r="G10" i="9" s="1"/>
  <c r="G5" i="9"/>
  <c r="BC54" i="5"/>
  <c r="BC55" i="5"/>
  <c r="AO46" i="7"/>
  <c r="AO47" i="7" s="1"/>
  <c r="AO38" i="7"/>
  <c r="AO39" i="7" s="1"/>
  <c r="BC19" i="4"/>
  <c r="AP57" i="7"/>
  <c r="AO62" i="7"/>
  <c r="AP49" i="7"/>
  <c r="AO54" i="7"/>
  <c r="AO55" i="7" s="1"/>
  <c r="BC63" i="5"/>
  <c r="AP25" i="7"/>
  <c r="AO73" i="7"/>
  <c r="AO68" i="7"/>
  <c r="AO65" i="7"/>
  <c r="AO30" i="7"/>
  <c r="AO31" i="7" s="1"/>
  <c r="AN98" i="7"/>
  <c r="AM102" i="7"/>
  <c r="AM108" i="7"/>
  <c r="AM116" i="7" s="1"/>
  <c r="BD45" i="5"/>
  <c r="BD46" i="5" s="1"/>
  <c r="BC56" i="5" l="1"/>
  <c r="BD53" i="5"/>
  <c r="BD47" i="5"/>
  <c r="BD68" i="5" s="1"/>
  <c r="BD16" i="4"/>
  <c r="BD18" i="4" s="1"/>
  <c r="BE44" i="5" s="1"/>
  <c r="BD19" i="4"/>
  <c r="BE47" i="5" s="1"/>
  <c r="AP50" i="7"/>
  <c r="AP51" i="7" s="1"/>
  <c r="AO69" i="7"/>
  <c r="AO74" i="7"/>
  <c r="AO75" i="7" s="1"/>
  <c r="AP26" i="7"/>
  <c r="AP27" i="7" s="1"/>
  <c r="AO63" i="7"/>
  <c r="AM104" i="7"/>
  <c r="AM112" i="7" s="1"/>
  <c r="AM120" i="7" s="1"/>
  <c r="AM107" i="7"/>
  <c r="AM115" i="7" s="1"/>
  <c r="AM123" i="7" s="1"/>
  <c r="AM103" i="7"/>
  <c r="AM111" i="7" s="1"/>
  <c r="AM119" i="7" s="1"/>
  <c r="AM106" i="7"/>
  <c r="AM114" i="7" s="1"/>
  <c r="AM122" i="7" s="1"/>
  <c r="AM105" i="7"/>
  <c r="AM113" i="7" s="1"/>
  <c r="AM121" i="7" s="1"/>
  <c r="AN90" i="7"/>
  <c r="AN92" i="7"/>
  <c r="BC50" i="5"/>
  <c r="BD43" i="5" s="1"/>
  <c r="BC64" i="5"/>
  <c r="AP58" i="7"/>
  <c r="AP59" i="7" s="1"/>
  <c r="BD48" i="5" l="1"/>
  <c r="BD49" i="5" s="1"/>
  <c r="BC58" i="5"/>
  <c r="BC78" i="5" s="1"/>
  <c r="BE23" i="7" s="1"/>
  <c r="BE87" i="7" s="1"/>
  <c r="BE68" i="5"/>
  <c r="BE45" i="5"/>
  <c r="BE46" i="5" s="1"/>
  <c r="BE16" i="4"/>
  <c r="BE18" i="4" s="1"/>
  <c r="BF44" i="5" s="1"/>
  <c r="AP28" i="7"/>
  <c r="AP52" i="7"/>
  <c r="AP60" i="7"/>
  <c r="AP36" i="7"/>
  <c r="AP44" i="7"/>
  <c r="AO70" i="7"/>
  <c r="AO83" i="7" s="1"/>
  <c r="AO77" i="7"/>
  <c r="AP72" i="7"/>
  <c r="AN96" i="7"/>
  <c r="AN95" i="7"/>
  <c r="AN93" i="7"/>
  <c r="AN94" i="7"/>
  <c r="AN100" i="7"/>
  <c r="AP67" i="7"/>
  <c r="BD55" i="5" l="1"/>
  <c r="BD56" i="5" s="1"/>
  <c r="BD54" i="5"/>
  <c r="BD63" i="5"/>
  <c r="BD50" i="5" s="1"/>
  <c r="BE43" i="5" s="1"/>
  <c r="BE48" i="5"/>
  <c r="BE49" i="5" s="1"/>
  <c r="AP61" i="7"/>
  <c r="AQ57" i="7" s="1"/>
  <c r="AP45" i="7"/>
  <c r="AQ41" i="7" s="1"/>
  <c r="AP29" i="7"/>
  <c r="AQ25" i="7" s="1"/>
  <c r="AP53" i="7"/>
  <c r="AQ49" i="7" s="1"/>
  <c r="AP37" i="7"/>
  <c r="AQ33" i="7" s="1"/>
  <c r="BF45" i="5"/>
  <c r="BF46" i="5" s="1"/>
  <c r="AO80" i="7"/>
  <c r="AO78" i="7"/>
  <c r="AO82" i="7"/>
  <c r="AO81" i="7"/>
  <c r="AO79" i="7"/>
  <c r="AO85" i="7"/>
  <c r="AN102" i="7"/>
  <c r="AN108" i="7"/>
  <c r="AN116" i="7" s="1"/>
  <c r="AO88" i="7"/>
  <c r="AO89" i="7" s="1"/>
  <c r="BE19" i="4"/>
  <c r="BE53" i="5" l="1"/>
  <c r="BE54" i="5" s="1"/>
  <c r="BE55" i="5"/>
  <c r="BE56" i="5" s="1"/>
  <c r="BE58" i="5" s="1"/>
  <c r="BD64" i="5"/>
  <c r="BD58" i="5"/>
  <c r="AP38" i="7"/>
  <c r="AP39" i="7" s="1"/>
  <c r="AP46" i="7"/>
  <c r="AP47" i="7" s="1"/>
  <c r="AP54" i="7"/>
  <c r="AP55" i="7" s="1"/>
  <c r="AP30" i="7"/>
  <c r="AP31" i="7" s="1"/>
  <c r="AQ42" i="7"/>
  <c r="AQ43" i="7" s="1"/>
  <c r="AQ58" i="7"/>
  <c r="AQ59" i="7" s="1"/>
  <c r="BE63" i="5"/>
  <c r="AP62" i="7"/>
  <c r="AQ34" i="7"/>
  <c r="AQ35" i="7" s="1"/>
  <c r="AP73" i="7"/>
  <c r="AP65" i="7"/>
  <c r="AP68" i="7"/>
  <c r="AN103" i="7"/>
  <c r="AN111" i="7" s="1"/>
  <c r="AN119" i="7" s="1"/>
  <c r="AN107" i="7"/>
  <c r="AN115" i="7" s="1"/>
  <c r="AN123" i="7" s="1"/>
  <c r="AN105" i="7"/>
  <c r="AN113" i="7" s="1"/>
  <c r="AN121" i="7" s="1"/>
  <c r="AN104" i="7"/>
  <c r="AN112" i="7" s="1"/>
  <c r="AN120" i="7" s="1"/>
  <c r="AN106" i="7"/>
  <c r="AN114" i="7" s="1"/>
  <c r="AN122" i="7" s="1"/>
  <c r="AQ50" i="7"/>
  <c r="AQ51" i="7" s="1"/>
  <c r="BF47" i="5"/>
  <c r="BF48" i="5" s="1"/>
  <c r="BF16" i="4"/>
  <c r="AO98" i="7"/>
  <c r="AQ26" i="7"/>
  <c r="AQ27" i="7" s="1"/>
  <c r="BF53" i="5" l="1"/>
  <c r="BD78" i="5"/>
  <c r="BF23" i="7" s="1"/>
  <c r="BF87" i="7" s="1"/>
  <c r="BF18" i="4"/>
  <c r="BG44" i="5" s="1"/>
  <c r="BE64" i="5"/>
  <c r="BE78" i="5" s="1"/>
  <c r="BG23" i="7" s="1"/>
  <c r="BE50" i="5"/>
  <c r="BF43" i="5" s="1"/>
  <c r="AP74" i="7"/>
  <c r="AP75" i="7" s="1"/>
  <c r="BF49" i="5"/>
  <c r="BF68" i="5"/>
  <c r="AP69" i="7"/>
  <c r="AQ67" i="7" s="1"/>
  <c r="AP63" i="7"/>
  <c r="AQ44" i="7"/>
  <c r="AQ60" i="7"/>
  <c r="AQ52" i="7"/>
  <c r="AQ28" i="7"/>
  <c r="AQ36" i="7"/>
  <c r="AO90" i="7"/>
  <c r="AO92" i="7"/>
  <c r="BF54" i="5" l="1"/>
  <c r="BF55" i="5"/>
  <c r="AQ72" i="7"/>
  <c r="AQ45" i="7"/>
  <c r="AR41" i="7" s="1"/>
  <c r="AQ61" i="7"/>
  <c r="AR57" i="7" s="1"/>
  <c r="AQ37" i="7"/>
  <c r="AR33" i="7" s="1"/>
  <c r="AQ29" i="7"/>
  <c r="AR25" i="7" s="1"/>
  <c r="AQ53" i="7"/>
  <c r="AR49" i="7" s="1"/>
  <c r="AP70" i="7"/>
  <c r="AP83" i="7" s="1"/>
  <c r="AP77" i="7"/>
  <c r="BG45" i="5"/>
  <c r="BG46" i="5" s="1"/>
  <c r="BF63" i="5"/>
  <c r="AO96" i="7"/>
  <c r="AO94" i="7"/>
  <c r="AO93" i="7"/>
  <c r="AO95" i="7"/>
  <c r="AO100" i="7"/>
  <c r="BF19" i="4"/>
  <c r="BG87" i="7"/>
  <c r="BF56" i="5" l="1"/>
  <c r="BG53" i="5"/>
  <c r="AQ38" i="7"/>
  <c r="AQ39" i="7" s="1"/>
  <c r="AQ62" i="7"/>
  <c r="AQ63" i="7" s="1"/>
  <c r="AQ30" i="7"/>
  <c r="AQ31" i="7" s="1"/>
  <c r="AO102" i="7"/>
  <c r="AO108" i="7"/>
  <c r="AO116" i="7" s="1"/>
  <c r="BF50" i="5"/>
  <c r="BG43" i="5" s="1"/>
  <c r="BF64" i="5"/>
  <c r="AQ65" i="7"/>
  <c r="BG47" i="5"/>
  <c r="BG48" i="5" s="1"/>
  <c r="BG16" i="4"/>
  <c r="AP79" i="7"/>
  <c r="AP81" i="7"/>
  <c r="AP78" i="7"/>
  <c r="AP80" i="7"/>
  <c r="AP82" i="7"/>
  <c r="AP85" i="7"/>
  <c r="AR42" i="7"/>
  <c r="AR43" i="7" s="1"/>
  <c r="AQ68" i="7"/>
  <c r="AP88" i="7"/>
  <c r="AP89" i="7" s="1"/>
  <c r="AQ73" i="7"/>
  <c r="AR50" i="7"/>
  <c r="AR51" i="7" s="1"/>
  <c r="AR26" i="7"/>
  <c r="AR27" i="7" s="1"/>
  <c r="AQ54" i="7"/>
  <c r="AQ55" i="7" s="1"/>
  <c r="AR34" i="7"/>
  <c r="AR35" i="7" s="1"/>
  <c r="AQ46" i="7"/>
  <c r="AQ47" i="7" s="1"/>
  <c r="AR58" i="7"/>
  <c r="AR59" i="7" s="1"/>
  <c r="BF58" i="5" l="1"/>
  <c r="BF78" i="5" s="1"/>
  <c r="BH23" i="7" s="1"/>
  <c r="BH87" i="7" s="1"/>
  <c r="AP98" i="7"/>
  <c r="BG18" i="4"/>
  <c r="BH44" i="5" s="1"/>
  <c r="AQ69" i="7"/>
  <c r="AR67" i="7" s="1"/>
  <c r="AQ74" i="7"/>
  <c r="AQ75" i="7" s="1"/>
  <c r="BG49" i="5"/>
  <c r="BG68" i="5"/>
  <c r="AR60" i="7"/>
  <c r="AR44" i="7"/>
  <c r="AR52" i="7"/>
  <c r="AR36" i="7"/>
  <c r="AR28" i="7"/>
  <c r="AO103" i="7"/>
  <c r="AO111" i="7" s="1"/>
  <c r="AO119" i="7" s="1"/>
  <c r="AO107" i="7"/>
  <c r="AO115" i="7" s="1"/>
  <c r="AO123" i="7" s="1"/>
  <c r="AO104" i="7"/>
  <c r="AO112" i="7" s="1"/>
  <c r="AO120" i="7" s="1"/>
  <c r="AO106" i="7"/>
  <c r="AO114" i="7" s="1"/>
  <c r="AO122" i="7" s="1"/>
  <c r="AO105" i="7"/>
  <c r="AO113" i="7" s="1"/>
  <c r="AO121" i="7" s="1"/>
  <c r="AR72" i="7" l="1"/>
  <c r="BG54" i="5"/>
  <c r="BG55" i="5"/>
  <c r="BG56" i="5" s="1"/>
  <c r="BG63" i="5"/>
  <c r="BG64" i="5" s="1"/>
  <c r="BG19" i="4"/>
  <c r="AP90" i="7"/>
  <c r="AP92" i="7"/>
  <c r="AQ70" i="7"/>
  <c r="AQ83" i="7" s="1"/>
  <c r="AQ77" i="7"/>
  <c r="AR61" i="7"/>
  <c r="AS57" i="7" s="1"/>
  <c r="AR45" i="7"/>
  <c r="AS41" i="7" s="1"/>
  <c r="AR53" i="7"/>
  <c r="AS49" i="7" s="1"/>
  <c r="AR29" i="7"/>
  <c r="AS25" i="7" s="1"/>
  <c r="AR37" i="7"/>
  <c r="AS33" i="7" s="1"/>
  <c r="BH45" i="5"/>
  <c r="BH46" i="5" s="1"/>
  <c r="BH53" i="5" l="1"/>
  <c r="BG58" i="5"/>
  <c r="BG78" i="5" s="1"/>
  <c r="BI23" i="7" s="1"/>
  <c r="BI87" i="7" s="1"/>
  <c r="BG50" i="5"/>
  <c r="BH43" i="5" s="1"/>
  <c r="AR46" i="7"/>
  <c r="AR47" i="7" s="1"/>
  <c r="AR62" i="7"/>
  <c r="AR63" i="7" s="1"/>
  <c r="AR38" i="7"/>
  <c r="AR39" i="7" s="1"/>
  <c r="AR68" i="7"/>
  <c r="AS34" i="7"/>
  <c r="AS35" i="7" s="1"/>
  <c r="BH47" i="5"/>
  <c r="BH48" i="5" s="1"/>
  <c r="BH16" i="4"/>
  <c r="AQ80" i="7"/>
  <c r="AQ82" i="7"/>
  <c r="AQ79" i="7"/>
  <c r="AQ81" i="7"/>
  <c r="AQ78" i="7"/>
  <c r="AQ85" i="7"/>
  <c r="AQ88" i="7"/>
  <c r="AQ89" i="7" s="1"/>
  <c r="AS26" i="7"/>
  <c r="AS27" i="7" s="1"/>
  <c r="AR30" i="7"/>
  <c r="AR31" i="7" s="1"/>
  <c r="AS50" i="7"/>
  <c r="AS51" i="7" s="1"/>
  <c r="AS42" i="7"/>
  <c r="AS43" i="7" s="1"/>
  <c r="AS58" i="7"/>
  <c r="AS59" i="7" s="1"/>
  <c r="AR54" i="7"/>
  <c r="AR55" i="7" s="1"/>
  <c r="AR65" i="7"/>
  <c r="AP94" i="7"/>
  <c r="AP95" i="7"/>
  <c r="AP93" i="7"/>
  <c r="AP96" i="7"/>
  <c r="AP100" i="7"/>
  <c r="AR73" i="7"/>
  <c r="AQ98" i="7" l="1"/>
  <c r="AR69" i="7"/>
  <c r="AS67" i="7" s="1"/>
  <c r="AP108" i="7"/>
  <c r="AP116" i="7" s="1"/>
  <c r="AP102" i="7"/>
  <c r="AS28" i="7"/>
  <c r="AS36" i="7"/>
  <c r="AS44" i="7"/>
  <c r="AS60" i="7"/>
  <c r="AS52" i="7"/>
  <c r="BH18" i="4"/>
  <c r="BI44" i="5" s="1"/>
  <c r="AR74" i="7"/>
  <c r="AR75" i="7" s="1"/>
  <c r="BH49" i="5"/>
  <c r="BH68" i="5"/>
  <c r="BH54" i="5" l="1"/>
  <c r="BH55" i="5"/>
  <c r="BH56" i="5" s="1"/>
  <c r="BH19" i="4"/>
  <c r="BI47" i="5" s="1"/>
  <c r="BI68" i="5" s="1"/>
  <c r="AQ90" i="7"/>
  <c r="AQ92" i="7"/>
  <c r="AP107" i="7"/>
  <c r="AP115" i="7" s="1"/>
  <c r="AP123" i="7" s="1"/>
  <c r="AP103" i="7"/>
  <c r="AP111" i="7" s="1"/>
  <c r="AP119" i="7" s="1"/>
  <c r="AP106" i="7"/>
  <c r="AP114" i="7" s="1"/>
  <c r="AP122" i="7" s="1"/>
  <c r="AP104" i="7"/>
  <c r="AP112" i="7" s="1"/>
  <c r="AP120" i="7" s="1"/>
  <c r="AP105" i="7"/>
  <c r="AP113" i="7" s="1"/>
  <c r="AP121" i="7" s="1"/>
  <c r="AS72" i="7"/>
  <c r="AR70" i="7"/>
  <c r="AR83" i="7" s="1"/>
  <c r="AR77" i="7"/>
  <c r="BH63" i="5"/>
  <c r="BI45" i="5"/>
  <c r="BI46" i="5" s="1"/>
  <c r="AS45" i="7"/>
  <c r="AT41" i="7" s="1"/>
  <c r="AS37" i="7"/>
  <c r="AT33" i="7" s="1"/>
  <c r="AS61" i="7"/>
  <c r="AT57" i="7" s="1"/>
  <c r="AS53" i="7"/>
  <c r="AT49" i="7" s="1"/>
  <c r="AS29" i="7"/>
  <c r="AT25" i="7" s="1"/>
  <c r="BI16" i="4" l="1"/>
  <c r="BI53" i="5"/>
  <c r="BH58" i="5"/>
  <c r="BI48" i="5"/>
  <c r="BI49" i="5" s="1"/>
  <c r="AT50" i="7"/>
  <c r="AT51" i="7" s="1"/>
  <c r="BI18" i="4"/>
  <c r="BJ44" i="5" s="1"/>
  <c r="AS54" i="7"/>
  <c r="AS55" i="7" s="1"/>
  <c r="AT58" i="7"/>
  <c r="AT59" i="7" s="1"/>
  <c r="AS62" i="7"/>
  <c r="BH50" i="5"/>
  <c r="BI43" i="5" s="1"/>
  <c r="BH64" i="5"/>
  <c r="AQ95" i="7"/>
  <c r="AQ93" i="7"/>
  <c r="AQ96" i="7"/>
  <c r="AQ94" i="7"/>
  <c r="AQ100" i="7"/>
  <c r="AS73" i="7"/>
  <c r="AS68" i="7"/>
  <c r="AS38" i="7"/>
  <c r="AS39" i="7" s="1"/>
  <c r="AR78" i="7"/>
  <c r="AR80" i="7"/>
  <c r="AR81" i="7"/>
  <c r="AR82" i="7"/>
  <c r="AR79" i="7"/>
  <c r="AR85" i="7"/>
  <c r="AT34" i="7"/>
  <c r="AT35" i="7" s="1"/>
  <c r="AT42" i="7"/>
  <c r="AT43" i="7" s="1"/>
  <c r="AS65" i="7"/>
  <c r="AS46" i="7"/>
  <c r="AS47" i="7" s="1"/>
  <c r="AT26" i="7"/>
  <c r="AT27" i="7" s="1"/>
  <c r="AS30" i="7"/>
  <c r="AS31" i="7" s="1"/>
  <c r="AR88" i="7"/>
  <c r="AR89" i="7" s="1"/>
  <c r="BH78" i="5" l="1"/>
  <c r="BJ23" i="7" s="1"/>
  <c r="BJ87" i="7" s="1"/>
  <c r="BI55" i="5"/>
  <c r="BI54" i="5"/>
  <c r="AS74" i="7"/>
  <c r="AS75" i="7" s="1"/>
  <c r="BI63" i="5"/>
  <c r="AT60" i="7"/>
  <c r="AT28" i="7"/>
  <c r="AT44" i="7"/>
  <c r="AT52" i="7"/>
  <c r="AT36" i="7"/>
  <c r="AS69" i="7"/>
  <c r="AT67" i="7" s="1"/>
  <c r="BI19" i="4"/>
  <c r="AR98" i="7"/>
  <c r="BJ45" i="5"/>
  <c r="BJ46" i="5" s="1"/>
  <c r="AQ108" i="7"/>
  <c r="AQ116" i="7" s="1"/>
  <c r="AQ102" i="7"/>
  <c r="AS63" i="7"/>
  <c r="BI56" i="5" l="1"/>
  <c r="BI58" i="5" s="1"/>
  <c r="BJ53" i="5"/>
  <c r="AT72" i="7"/>
  <c r="AR90" i="7"/>
  <c r="AR92" i="7"/>
  <c r="AT53" i="7"/>
  <c r="AU49" i="7" s="1"/>
  <c r="AT61" i="7"/>
  <c r="AT29" i="7"/>
  <c r="AU25" i="7" s="1"/>
  <c r="AT37" i="7"/>
  <c r="AU33" i="7" s="1"/>
  <c r="AT45" i="7"/>
  <c r="AU41" i="7" s="1"/>
  <c r="AS77" i="7"/>
  <c r="AS70" i="7"/>
  <c r="AS83" i="7" s="1"/>
  <c r="BJ47" i="5"/>
  <c r="BJ16" i="4"/>
  <c r="AQ105" i="7"/>
  <c r="AQ113" i="7" s="1"/>
  <c r="AQ121" i="7" s="1"/>
  <c r="AQ104" i="7"/>
  <c r="AQ112" i="7" s="1"/>
  <c r="AQ120" i="7" s="1"/>
  <c r="AQ107" i="7"/>
  <c r="AQ115" i="7" s="1"/>
  <c r="AQ123" i="7" s="1"/>
  <c r="AQ106" i="7"/>
  <c r="AQ114" i="7" s="1"/>
  <c r="AQ122" i="7" s="1"/>
  <c r="AQ103" i="7"/>
  <c r="AQ111" i="7" s="1"/>
  <c r="AQ119" i="7" s="1"/>
  <c r="BI64" i="5"/>
  <c r="BI50" i="5"/>
  <c r="BJ43" i="5" s="1"/>
  <c r="BI78" i="5" l="1"/>
  <c r="BK23" i="7" s="1"/>
  <c r="BK87" i="7" s="1"/>
  <c r="AT30" i="7"/>
  <c r="AT31" i="7" s="1"/>
  <c r="AT54" i="7"/>
  <c r="AT55" i="7" s="1"/>
  <c r="AT73" i="7"/>
  <c r="AS88" i="7"/>
  <c r="AS89" i="7" s="1"/>
  <c r="BJ18" i="4"/>
  <c r="BK44" i="5" s="1"/>
  <c r="AT38" i="7"/>
  <c r="AT39" i="7" s="1"/>
  <c r="AT68" i="7"/>
  <c r="BJ68" i="5"/>
  <c r="AU57" i="7"/>
  <c r="AT62" i="7"/>
  <c r="BJ48" i="5"/>
  <c r="AS82" i="7"/>
  <c r="AS80" i="7"/>
  <c r="AS81" i="7"/>
  <c r="AS79" i="7"/>
  <c r="AS78" i="7"/>
  <c r="AS85" i="7"/>
  <c r="AT46" i="7"/>
  <c r="AT47" i="7" s="1"/>
  <c r="AR96" i="7"/>
  <c r="AR94" i="7"/>
  <c r="AR95" i="7"/>
  <c r="AR93" i="7"/>
  <c r="AR100" i="7"/>
  <c r="AU50" i="7"/>
  <c r="AU51" i="7" s="1"/>
  <c r="AU42" i="7"/>
  <c r="AU43" i="7" s="1"/>
  <c r="AU34" i="7"/>
  <c r="AU35" i="7" s="1"/>
  <c r="AU26" i="7"/>
  <c r="AU27" i="7" s="1"/>
  <c r="AT65" i="7"/>
  <c r="BJ19" i="4" l="1"/>
  <c r="BK47" i="5" s="1"/>
  <c r="BK68" i="5" s="1"/>
  <c r="AR108" i="7"/>
  <c r="AR116" i="7" s="1"/>
  <c r="AR102" i="7"/>
  <c r="BK45" i="5"/>
  <c r="BK46" i="5" s="1"/>
  <c r="AS98" i="7"/>
  <c r="AU58" i="7"/>
  <c r="AU59" i="7" s="1"/>
  <c r="AU28" i="7" s="1"/>
  <c r="AT69" i="7"/>
  <c r="AT63" i="7"/>
  <c r="BJ49" i="5"/>
  <c r="AT74" i="7"/>
  <c r="AT75" i="7" s="1"/>
  <c r="BJ54" i="5" l="1"/>
  <c r="BJ55" i="5"/>
  <c r="BJ56" i="5" s="1"/>
  <c r="BJ63" i="5"/>
  <c r="BJ64" i="5" s="1"/>
  <c r="BK16" i="4"/>
  <c r="BK18" i="4" s="1"/>
  <c r="BL44" i="5" s="1"/>
  <c r="AU52" i="7"/>
  <c r="AU36" i="7"/>
  <c r="AU44" i="7"/>
  <c r="AU72" i="7"/>
  <c r="AR104" i="7"/>
  <c r="AR112" i="7" s="1"/>
  <c r="AR120" i="7" s="1"/>
  <c r="F19" i="8" s="1"/>
  <c r="F21" i="8" s="1"/>
  <c r="AR107" i="7"/>
  <c r="AR115" i="7" s="1"/>
  <c r="AR123" i="7" s="1"/>
  <c r="F52" i="8" s="1"/>
  <c r="F54" i="8" s="1"/>
  <c r="AR105" i="7"/>
  <c r="AR113" i="7" s="1"/>
  <c r="AR121" i="7" s="1"/>
  <c r="F30" i="8" s="1"/>
  <c r="F32" i="8" s="1"/>
  <c r="AR103" i="7"/>
  <c r="AR111" i="7" s="1"/>
  <c r="AR119" i="7" s="1"/>
  <c r="F8" i="8" s="1"/>
  <c r="F10" i="8" s="1"/>
  <c r="AR106" i="7"/>
  <c r="AR114" i="7" s="1"/>
  <c r="AR122" i="7" s="1"/>
  <c r="F41" i="8" s="1"/>
  <c r="F43" i="8" s="1"/>
  <c r="AS90" i="7"/>
  <c r="AS92" i="7"/>
  <c r="AT70" i="7"/>
  <c r="AT83" i="7" s="1"/>
  <c r="AT77" i="7"/>
  <c r="AU60" i="7"/>
  <c r="AU67" i="7"/>
  <c r="BK48" i="5"/>
  <c r="BK49" i="5" s="1"/>
  <c r="BK53" i="5" l="1"/>
  <c r="BK54" i="5" s="1"/>
  <c r="BJ58" i="5"/>
  <c r="BJ78" i="5" s="1"/>
  <c r="BL23" i="7" s="1"/>
  <c r="BL87" i="7" s="1"/>
  <c r="BK55" i="5"/>
  <c r="BJ50" i="5"/>
  <c r="BK43" i="5" s="1"/>
  <c r="BK63" i="5" s="1"/>
  <c r="BK19" i="4"/>
  <c r="BL47" i="5" s="1"/>
  <c r="BL68" i="5" s="1"/>
  <c r="AU61" i="7"/>
  <c r="AV57" i="7" s="1"/>
  <c r="AV58" i="7" s="1"/>
  <c r="AV59" i="7" s="1"/>
  <c r="BL45" i="5"/>
  <c r="BL46" i="5" s="1"/>
  <c r="AU53" i="7"/>
  <c r="AU37" i="7"/>
  <c r="AU29" i="7"/>
  <c r="AT82" i="7"/>
  <c r="AT81" i="7"/>
  <c r="AT80" i="7"/>
  <c r="AT79" i="7"/>
  <c r="AT78" i="7"/>
  <c r="AT85" i="7"/>
  <c r="AU45" i="7"/>
  <c r="AT88" i="7"/>
  <c r="AT89" i="7" s="1"/>
  <c r="AS95" i="7"/>
  <c r="AS96" i="7"/>
  <c r="AS94" i="7"/>
  <c r="AS93" i="7"/>
  <c r="AS100" i="7"/>
  <c r="BL16" i="4" l="1"/>
  <c r="BK56" i="5"/>
  <c r="BK58" i="5" s="1"/>
  <c r="BL53" i="5"/>
  <c r="AU62" i="7"/>
  <c r="AU63" i="7" s="1"/>
  <c r="BL48" i="5"/>
  <c r="BL49" i="5" s="1"/>
  <c r="AV41" i="7"/>
  <c r="AU46" i="7"/>
  <c r="AU47" i="7" s="1"/>
  <c r="AV49" i="7"/>
  <c r="AU54" i="7"/>
  <c r="AU55" i="7" s="1"/>
  <c r="AV25" i="7"/>
  <c r="AU30" i="7"/>
  <c r="AU31" i="7" s="1"/>
  <c r="AU65" i="7"/>
  <c r="AU68" i="7"/>
  <c r="AU73" i="7"/>
  <c r="BK50" i="5"/>
  <c r="BL43" i="5" s="1"/>
  <c r="BK64" i="5"/>
  <c r="AV33" i="7"/>
  <c r="AU38" i="7"/>
  <c r="AU39" i="7" s="1"/>
  <c r="BL18" i="4"/>
  <c r="BM44" i="5" s="1"/>
  <c r="AS108" i="7"/>
  <c r="AS116" i="7" s="1"/>
  <c r="AS102" i="7"/>
  <c r="AT98" i="7"/>
  <c r="BK78" i="5" l="1"/>
  <c r="BM23" i="7" s="1"/>
  <c r="BM87" i="7" s="1"/>
  <c r="BL55" i="5"/>
  <c r="BL54" i="5"/>
  <c r="AV34" i="7"/>
  <c r="AV35" i="7" s="1"/>
  <c r="AV26" i="7"/>
  <c r="AV27" i="7" s="1"/>
  <c r="AV42" i="7"/>
  <c r="AV43" i="7" s="1"/>
  <c r="AU69" i="7"/>
  <c r="AV67" i="7" s="1"/>
  <c r="BL63" i="5"/>
  <c r="AU74" i="7"/>
  <c r="AU75" i="7" s="1"/>
  <c r="AT90" i="7"/>
  <c r="AT92" i="7"/>
  <c r="BM45" i="5"/>
  <c r="BM46" i="5" s="1"/>
  <c r="BL19" i="4"/>
  <c r="AS104" i="7"/>
  <c r="AS112" i="7" s="1"/>
  <c r="AS120" i="7" s="1"/>
  <c r="AS106" i="7"/>
  <c r="AS114" i="7" s="1"/>
  <c r="AS122" i="7" s="1"/>
  <c r="AS105" i="7"/>
  <c r="AS113" i="7" s="1"/>
  <c r="AS121" i="7" s="1"/>
  <c r="AS103" i="7"/>
  <c r="AS111" i="7" s="1"/>
  <c r="AS119" i="7" s="1"/>
  <c r="AS107" i="7"/>
  <c r="AS115" i="7" s="1"/>
  <c r="AS123" i="7" s="1"/>
  <c r="AV50" i="7"/>
  <c r="AV51" i="7" s="1"/>
  <c r="BL56" i="5" l="1"/>
  <c r="BL58" i="5" s="1"/>
  <c r="BM53" i="5"/>
  <c r="BL50" i="5"/>
  <c r="BM43" i="5" s="1"/>
  <c r="BL64" i="5"/>
  <c r="AU70" i="7"/>
  <c r="AU83" i="7" s="1"/>
  <c r="AU77" i="7"/>
  <c r="BM47" i="5"/>
  <c r="BM16" i="4"/>
  <c r="AV72" i="7"/>
  <c r="AV60" i="7"/>
  <c r="AV44" i="7"/>
  <c r="AV28" i="7"/>
  <c r="AV36" i="7"/>
  <c r="AV52" i="7"/>
  <c r="AT94" i="7"/>
  <c r="AT95" i="7"/>
  <c r="AT96" i="7"/>
  <c r="AT93" i="7"/>
  <c r="AT100" i="7"/>
  <c r="BL78" i="5" l="1"/>
  <c r="BN23" i="7" s="1"/>
  <c r="BM18" i="4"/>
  <c r="BN44" i="5" s="1"/>
  <c r="AV61" i="7"/>
  <c r="AW57" i="7" s="1"/>
  <c r="AV37" i="7"/>
  <c r="AW33" i="7" s="1"/>
  <c r="AV45" i="7"/>
  <c r="AW41" i="7" s="1"/>
  <c r="AV53" i="7"/>
  <c r="AW49" i="7" s="1"/>
  <c r="AV29" i="7"/>
  <c r="AW25" i="7" s="1"/>
  <c r="AU82" i="7"/>
  <c r="AU80" i="7"/>
  <c r="AU81" i="7"/>
  <c r="AU79" i="7"/>
  <c r="AU78" i="7"/>
  <c r="AU85" i="7"/>
  <c r="BM68" i="5"/>
  <c r="BN87" i="7"/>
  <c r="BM48" i="5"/>
  <c r="AU88" i="7"/>
  <c r="AU89" i="7" s="1"/>
  <c r="AT108" i="7"/>
  <c r="AT116" i="7" s="1"/>
  <c r="AT102" i="7"/>
  <c r="BM19" i="4" l="1"/>
  <c r="BN47" i="5" s="1"/>
  <c r="I29" i="6" s="1"/>
  <c r="I31" i="6" s="1"/>
  <c r="AV62" i="7"/>
  <c r="AV63" i="7" s="1"/>
  <c r="AV38" i="7"/>
  <c r="AV39" i="7" s="1"/>
  <c r="AW50" i="7"/>
  <c r="AW51" i="7" s="1"/>
  <c r="BN45" i="5"/>
  <c r="I28" i="6"/>
  <c r="BM49" i="5"/>
  <c r="AU98" i="7"/>
  <c r="AW58" i="7"/>
  <c r="AW59" i="7" s="1"/>
  <c r="AV68" i="7"/>
  <c r="AW34" i="7"/>
  <c r="AW35" i="7" s="1"/>
  <c r="AV65" i="7"/>
  <c r="AT104" i="7"/>
  <c r="AT112" i="7" s="1"/>
  <c r="AT120" i="7" s="1"/>
  <c r="AT105" i="7"/>
  <c r="AT113" i="7" s="1"/>
  <c r="AT121" i="7" s="1"/>
  <c r="AT103" i="7"/>
  <c r="AT111" i="7" s="1"/>
  <c r="AT119" i="7" s="1"/>
  <c r="AT107" i="7"/>
  <c r="AT115" i="7" s="1"/>
  <c r="AT123" i="7" s="1"/>
  <c r="AT106" i="7"/>
  <c r="AT114" i="7" s="1"/>
  <c r="AT122" i="7" s="1"/>
  <c r="AV46" i="7"/>
  <c r="AV47" i="7" s="1"/>
  <c r="AV73" i="7"/>
  <c r="AV54" i="7"/>
  <c r="AV55" i="7" s="1"/>
  <c r="AW42" i="7"/>
  <c r="AW43" i="7" s="1"/>
  <c r="AW26" i="7"/>
  <c r="AW27" i="7" s="1"/>
  <c r="AV30" i="7"/>
  <c r="AV31" i="7" s="1"/>
  <c r="BN68" i="5" l="1"/>
  <c r="BN16" i="4"/>
  <c r="BN46" i="5"/>
  <c r="BM54" i="5"/>
  <c r="BM55" i="5"/>
  <c r="BM56" i="5" s="1"/>
  <c r="BM63" i="5"/>
  <c r="BM50" i="5" s="1"/>
  <c r="BN43" i="5" s="1"/>
  <c r="I30" i="6"/>
  <c r="I37" i="6" s="1"/>
  <c r="H8" i="9" s="1"/>
  <c r="BF20" i="10" s="1"/>
  <c r="AW44" i="7"/>
  <c r="AW28" i="7"/>
  <c r="AW36" i="7"/>
  <c r="AW52" i="7"/>
  <c r="AW60" i="7"/>
  <c r="AU92" i="7"/>
  <c r="AU90" i="7"/>
  <c r="BN18" i="4"/>
  <c r="BO44" i="5" s="1"/>
  <c r="BN48" i="5"/>
  <c r="BN49" i="5" s="1"/>
  <c r="AV69" i="7"/>
  <c r="AV74" i="7"/>
  <c r="AV75" i="7" s="1"/>
  <c r="I33" i="6" l="1"/>
  <c r="BM64" i="5"/>
  <c r="BN53" i="5"/>
  <c r="BN54" i="5" s="1"/>
  <c r="BM58" i="5"/>
  <c r="BN55" i="5"/>
  <c r="BN56" i="5" s="1"/>
  <c r="I34" i="6" s="1"/>
  <c r="AW72" i="7"/>
  <c r="BN19" i="4"/>
  <c r="BN63" i="5"/>
  <c r="AV77" i="7"/>
  <c r="AV70" i="7"/>
  <c r="AV83" i="7" s="1"/>
  <c r="AW67" i="7"/>
  <c r="AU94" i="7"/>
  <c r="AU96" i="7"/>
  <c r="AU93" i="7"/>
  <c r="AU95" i="7"/>
  <c r="AU100" i="7"/>
  <c r="AW53" i="7"/>
  <c r="AX49" i="7" s="1"/>
  <c r="AW29" i="7"/>
  <c r="AX25" i="7" s="1"/>
  <c r="AW61" i="7"/>
  <c r="AX57" i="7" s="1"/>
  <c r="AW37" i="7"/>
  <c r="AX33" i="7" s="1"/>
  <c r="AW45" i="7"/>
  <c r="AX41" i="7" s="1"/>
  <c r="BO45" i="5"/>
  <c r="BO46" i="5" s="1"/>
  <c r="I35" i="6" l="1"/>
  <c r="H5" i="9" s="1"/>
  <c r="BM78" i="5"/>
  <c r="BO23" i="7" s="1"/>
  <c r="BO87" i="7" s="1"/>
  <c r="BO53" i="5"/>
  <c r="BN58" i="5"/>
  <c r="BO47" i="5"/>
  <c r="BO68" i="5" s="1"/>
  <c r="BO16" i="4"/>
  <c r="BO18" i="4" s="1"/>
  <c r="BP44" i="5" s="1"/>
  <c r="BP45" i="5" s="1"/>
  <c r="AW54" i="7"/>
  <c r="AW55" i="7" s="1"/>
  <c r="AW38" i="7"/>
  <c r="AW39" i="7" s="1"/>
  <c r="AW73" i="7"/>
  <c r="AW62" i="7"/>
  <c r="AW63" i="7" s="1"/>
  <c r="AW30" i="7"/>
  <c r="AW31" i="7" s="1"/>
  <c r="AW65" i="7"/>
  <c r="AW68" i="7"/>
  <c r="BN50" i="5"/>
  <c r="BO43" i="5" s="1"/>
  <c r="BN64" i="5"/>
  <c r="AV81" i="7"/>
  <c r="AV82" i="7"/>
  <c r="AV80" i="7"/>
  <c r="AV78" i="7"/>
  <c r="AV79" i="7"/>
  <c r="AV85" i="7"/>
  <c r="AX42" i="7"/>
  <c r="AX43" i="7" s="1"/>
  <c r="AW46" i="7"/>
  <c r="AW47" i="7" s="1"/>
  <c r="AV88" i="7"/>
  <c r="AV89" i="7" s="1"/>
  <c r="AX58" i="7"/>
  <c r="AX59" i="7" s="1"/>
  <c r="AU108" i="7"/>
  <c r="AU116" i="7" s="1"/>
  <c r="AU102" i="7"/>
  <c r="AX34" i="7"/>
  <c r="AX35" i="7" s="1"/>
  <c r="AX26" i="7"/>
  <c r="AX27" i="7" s="1"/>
  <c r="AX50" i="7"/>
  <c r="AX51" i="7" s="1"/>
  <c r="BO19" i="4" l="1"/>
  <c r="I39" i="6"/>
  <c r="H10" i="9" s="1"/>
  <c r="BO48" i="5"/>
  <c r="BO49" i="5" s="1"/>
  <c r="BO55" i="5" s="1"/>
  <c r="BN78" i="5"/>
  <c r="BP23" i="7" s="1"/>
  <c r="BP87" i="7" s="1"/>
  <c r="BP46" i="5"/>
  <c r="AW69" i="7"/>
  <c r="AX67" i="7" s="1"/>
  <c r="AW74" i="7"/>
  <c r="AV98" i="7"/>
  <c r="AX44" i="7"/>
  <c r="AX52" i="7"/>
  <c r="AX60" i="7"/>
  <c r="AX28" i="7"/>
  <c r="AX36" i="7"/>
  <c r="AU103" i="7"/>
  <c r="AU111" i="7" s="1"/>
  <c r="AU119" i="7" s="1"/>
  <c r="AU105" i="7"/>
  <c r="AU113" i="7" s="1"/>
  <c r="AU121" i="7" s="1"/>
  <c r="AU106" i="7"/>
  <c r="AU114" i="7" s="1"/>
  <c r="AU122" i="7" s="1"/>
  <c r="AU107" i="7"/>
  <c r="AU115" i="7" s="1"/>
  <c r="AU123" i="7" s="1"/>
  <c r="AU104" i="7"/>
  <c r="AU112" i="7" s="1"/>
  <c r="AU120" i="7" s="1"/>
  <c r="BP47" i="5"/>
  <c r="BP16" i="4"/>
  <c r="BO63" i="5" l="1"/>
  <c r="BO64" i="5" s="1"/>
  <c r="BO54" i="5"/>
  <c r="BO56" i="5"/>
  <c r="AW70" i="7"/>
  <c r="BP53" i="5"/>
  <c r="AW77" i="7"/>
  <c r="AW82" i="7" s="1"/>
  <c r="BP68" i="5"/>
  <c r="AV90" i="7"/>
  <c r="AV92" i="7"/>
  <c r="BP18" i="4"/>
  <c r="BQ44" i="5" s="1"/>
  <c r="AX53" i="7"/>
  <c r="AY49" i="7" s="1"/>
  <c r="AX37" i="7"/>
  <c r="AY33" i="7" s="1"/>
  <c r="AX29" i="7"/>
  <c r="AY25" i="7" s="1"/>
  <c r="AX61" i="7"/>
  <c r="AY57" i="7" s="1"/>
  <c r="AX45" i="7"/>
  <c r="AY41" i="7" s="1"/>
  <c r="BP48" i="5"/>
  <c r="AW75" i="7"/>
  <c r="AX72" i="7"/>
  <c r="BO50" i="5" l="1"/>
  <c r="BP43" i="5" s="1"/>
  <c r="BO58" i="5"/>
  <c r="BO78" i="5" s="1"/>
  <c r="BQ23" i="7" s="1"/>
  <c r="BQ87" i="7" s="1"/>
  <c r="AW83" i="7"/>
  <c r="AW88" i="7" s="1"/>
  <c r="AW89" i="7" s="1"/>
  <c r="AW79" i="7"/>
  <c r="AW81" i="7"/>
  <c r="AW78" i="7"/>
  <c r="AW80" i="7"/>
  <c r="AX62" i="7"/>
  <c r="AX63" i="7" s="1"/>
  <c r="AX30" i="7"/>
  <c r="AX31" i="7" s="1"/>
  <c r="AX38" i="7"/>
  <c r="AX39" i="7" s="1"/>
  <c r="BP19" i="4"/>
  <c r="BQ47" i="5" s="1"/>
  <c r="BQ68" i="5" s="1"/>
  <c r="AX46" i="7"/>
  <c r="AX47" i="7" s="1"/>
  <c r="AX68" i="7"/>
  <c r="AV93" i="7"/>
  <c r="AV96" i="7"/>
  <c r="AV94" i="7"/>
  <c r="AV95" i="7"/>
  <c r="AV100" i="7"/>
  <c r="AY58" i="7"/>
  <c r="AY59" i="7" s="1"/>
  <c r="AY50" i="7"/>
  <c r="AY51" i="7" s="1"/>
  <c r="AX54" i="7"/>
  <c r="AX55" i="7" s="1"/>
  <c r="AX65" i="7"/>
  <c r="AY26" i="7"/>
  <c r="AY27" i="7" s="1"/>
  <c r="AY42" i="7"/>
  <c r="AY43" i="7" s="1"/>
  <c r="AX73" i="7"/>
  <c r="AY34" i="7"/>
  <c r="AY35" i="7" s="1"/>
  <c r="BQ45" i="5"/>
  <c r="BQ46" i="5" s="1"/>
  <c r="BP49" i="5"/>
  <c r="BQ16" i="4" l="1"/>
  <c r="AW85" i="7"/>
  <c r="BP54" i="5"/>
  <c r="BP55" i="5"/>
  <c r="BP63" i="5"/>
  <c r="BP64" i="5" s="1"/>
  <c r="AX74" i="7"/>
  <c r="AX75" i="7" s="1"/>
  <c r="AX69" i="7"/>
  <c r="AY67" i="7" s="1"/>
  <c r="AY44" i="7"/>
  <c r="AY28" i="7"/>
  <c r="AY52" i="7"/>
  <c r="AY36" i="7"/>
  <c r="AY60" i="7"/>
  <c r="AW98" i="7"/>
  <c r="BQ18" i="4"/>
  <c r="BR44" i="5" s="1"/>
  <c r="AV108" i="7"/>
  <c r="AV116" i="7" s="1"/>
  <c r="AV102" i="7"/>
  <c r="BQ48" i="5"/>
  <c r="BQ49" i="5" s="1"/>
  <c r="BP56" i="5" l="1"/>
  <c r="BQ55" i="5"/>
  <c r="BR53" i="5" s="1"/>
  <c r="BQ53" i="5"/>
  <c r="BQ54" i="5" s="1"/>
  <c r="BP50" i="5"/>
  <c r="BQ43" i="5" s="1"/>
  <c r="BQ63" i="5" s="1"/>
  <c r="AY72" i="7"/>
  <c r="BQ19" i="4"/>
  <c r="BR47" i="5" s="1"/>
  <c r="BR68" i="5" s="1"/>
  <c r="AV103" i="7"/>
  <c r="AV111" i="7" s="1"/>
  <c r="AV119" i="7" s="1"/>
  <c r="AV105" i="7"/>
  <c r="AV113" i="7" s="1"/>
  <c r="AV121" i="7" s="1"/>
  <c r="AV107" i="7"/>
  <c r="AV115" i="7" s="1"/>
  <c r="AV123" i="7" s="1"/>
  <c r="AV106" i="7"/>
  <c r="AV114" i="7" s="1"/>
  <c r="AV122" i="7" s="1"/>
  <c r="AV104" i="7"/>
  <c r="AV112" i="7" s="1"/>
  <c r="AV120" i="7" s="1"/>
  <c r="AX70" i="7"/>
  <c r="AX83" i="7" s="1"/>
  <c r="AX77" i="7"/>
  <c r="AY45" i="7"/>
  <c r="AZ41" i="7" s="1"/>
  <c r="AY29" i="7"/>
  <c r="AZ25" i="7" s="1"/>
  <c r="AY61" i="7"/>
  <c r="AZ57" i="7" s="1"/>
  <c r="AY53" i="7"/>
  <c r="AZ49" i="7" s="1"/>
  <c r="AY37" i="7"/>
  <c r="AZ33" i="7" s="1"/>
  <c r="AW90" i="7"/>
  <c r="AW92" i="7"/>
  <c r="BR45" i="5"/>
  <c r="BR46" i="5" s="1"/>
  <c r="BR16" i="4" l="1"/>
  <c r="BP58" i="5"/>
  <c r="BP78" i="5" s="1"/>
  <c r="BR23" i="7" s="1"/>
  <c r="BR87" i="7" s="1"/>
  <c r="BQ56" i="5"/>
  <c r="BQ58" i="5" s="1"/>
  <c r="AY62" i="7"/>
  <c r="AY63" i="7" s="1"/>
  <c r="AY30" i="7"/>
  <c r="AY31" i="7" s="1"/>
  <c r="AY46" i="7"/>
  <c r="AY47" i="7" s="1"/>
  <c r="AY54" i="7"/>
  <c r="AY55" i="7" s="1"/>
  <c r="BR48" i="5"/>
  <c r="BR49" i="5" s="1"/>
  <c r="AW93" i="7"/>
  <c r="AW95" i="7"/>
  <c r="AW94" i="7"/>
  <c r="AW96" i="7"/>
  <c r="AW100" i="7"/>
  <c r="AY65" i="7"/>
  <c r="AZ34" i="7"/>
  <c r="AZ35" i="7" s="1"/>
  <c r="AY68" i="7"/>
  <c r="AZ58" i="7"/>
  <c r="AZ59" i="7" s="1"/>
  <c r="AX78" i="7"/>
  <c r="AX80" i="7"/>
  <c r="AX79" i="7"/>
  <c r="AX81" i="7"/>
  <c r="AX82" i="7"/>
  <c r="AX85" i="7"/>
  <c r="BR18" i="4"/>
  <c r="BS44" i="5" s="1"/>
  <c r="AY38" i="7"/>
  <c r="AY39" i="7" s="1"/>
  <c r="AZ26" i="7"/>
  <c r="AZ27" i="7" s="1"/>
  <c r="AX88" i="7"/>
  <c r="AX89" i="7" s="1"/>
  <c r="AZ50" i="7"/>
  <c r="AZ51" i="7" s="1"/>
  <c r="AY73" i="7"/>
  <c r="AZ42" i="7"/>
  <c r="AZ43" i="7" s="1"/>
  <c r="BQ50" i="5"/>
  <c r="BR43" i="5" s="1"/>
  <c r="BQ64" i="5"/>
  <c r="BQ78" i="5" l="1"/>
  <c r="BS23" i="7" s="1"/>
  <c r="BS87" i="7" s="1"/>
  <c r="BR55" i="5"/>
  <c r="BR54" i="5"/>
  <c r="AW102" i="7"/>
  <c r="AW108" i="7"/>
  <c r="AW116" i="7" s="1"/>
  <c r="BS45" i="5"/>
  <c r="BS46" i="5" s="1"/>
  <c r="AY74" i="7"/>
  <c r="AY75" i="7" s="1"/>
  <c r="AZ60" i="7"/>
  <c r="AZ36" i="7"/>
  <c r="AZ52" i="7"/>
  <c r="AZ28" i="7"/>
  <c r="AZ44" i="7"/>
  <c r="BR19" i="4"/>
  <c r="AY69" i="7"/>
  <c r="AX98" i="7"/>
  <c r="BR63" i="5"/>
  <c r="BR56" i="5" l="1"/>
  <c r="BS53" i="5"/>
  <c r="AZ37" i="7"/>
  <c r="BA33" i="7" s="1"/>
  <c r="AZ53" i="7"/>
  <c r="BA49" i="7" s="1"/>
  <c r="AZ29" i="7"/>
  <c r="BA25" i="7" s="1"/>
  <c r="AZ45" i="7"/>
  <c r="BA41" i="7" s="1"/>
  <c r="AZ61" i="7"/>
  <c r="BA57" i="7" s="1"/>
  <c r="AY77" i="7"/>
  <c r="AY70" i="7"/>
  <c r="AY83" i="7" s="1"/>
  <c r="AW104" i="7"/>
  <c r="AW112" i="7" s="1"/>
  <c r="AW120" i="7" s="1"/>
  <c r="AW105" i="7"/>
  <c r="AW113" i="7" s="1"/>
  <c r="AW121" i="7" s="1"/>
  <c r="AW106" i="7"/>
  <c r="AW114" i="7" s="1"/>
  <c r="AW122" i="7" s="1"/>
  <c r="AW103" i="7"/>
  <c r="AW111" i="7" s="1"/>
  <c r="AW119" i="7" s="1"/>
  <c r="AW107" i="7"/>
  <c r="AW115" i="7" s="1"/>
  <c r="AW123" i="7" s="1"/>
  <c r="AX90" i="7"/>
  <c r="AX92" i="7"/>
  <c r="BS47" i="5"/>
  <c r="BS16" i="4"/>
  <c r="AZ72" i="7"/>
  <c r="AZ67" i="7"/>
  <c r="BR64" i="5"/>
  <c r="BR50" i="5"/>
  <c r="BS43" i="5" s="1"/>
  <c r="BR58" i="5" l="1"/>
  <c r="BR78" i="5" s="1"/>
  <c r="BT23" i="7" s="1"/>
  <c r="BT87" i="7" s="1"/>
  <c r="AZ38" i="7"/>
  <c r="AZ39" i="7" s="1"/>
  <c r="AZ65" i="7"/>
  <c r="AZ54" i="7"/>
  <c r="AZ55" i="7" s="1"/>
  <c r="AZ68" i="7"/>
  <c r="AZ30" i="7"/>
  <c r="AZ31" i="7" s="1"/>
  <c r="AY88" i="7"/>
  <c r="AY89" i="7" s="1"/>
  <c r="AZ73" i="7"/>
  <c r="BA26" i="7"/>
  <c r="BA27" i="7" s="1"/>
  <c r="BA58" i="7"/>
  <c r="BA59" i="7" s="1"/>
  <c r="BS18" i="4"/>
  <c r="BT44" i="5" s="1"/>
  <c r="BA42" i="7"/>
  <c r="BA43" i="7" s="1"/>
  <c r="AZ46" i="7"/>
  <c r="AZ47" i="7" s="1"/>
  <c r="BA50" i="7"/>
  <c r="BA51" i="7" s="1"/>
  <c r="AY78" i="7"/>
  <c r="AY80" i="7"/>
  <c r="AY82" i="7"/>
  <c r="AY81" i="7"/>
  <c r="AY79" i="7"/>
  <c r="AY85" i="7"/>
  <c r="BS68" i="5"/>
  <c r="AX96" i="7"/>
  <c r="AX95" i="7"/>
  <c r="AX93" i="7"/>
  <c r="AX94" i="7"/>
  <c r="AX100" i="7"/>
  <c r="AZ62" i="7"/>
  <c r="BA34" i="7"/>
  <c r="BA35" i="7" s="1"/>
  <c r="BS48" i="5"/>
  <c r="AZ69" i="7" l="1"/>
  <c r="BA67" i="7" s="1"/>
  <c r="AZ74" i="7"/>
  <c r="AZ75" i="7" s="1"/>
  <c r="BS49" i="5"/>
  <c r="BS63" i="5" s="1"/>
  <c r="AY98" i="7"/>
  <c r="BT45" i="5"/>
  <c r="BT46" i="5" s="1"/>
  <c r="BS19" i="4"/>
  <c r="BA52" i="7"/>
  <c r="BA28" i="7"/>
  <c r="BA36" i="7"/>
  <c r="BA44" i="7"/>
  <c r="BA60" i="7"/>
  <c r="AZ63" i="7"/>
  <c r="AX102" i="7"/>
  <c r="AX108" i="7"/>
  <c r="AX116" i="7" s="1"/>
  <c r="AZ70" i="7" l="1"/>
  <c r="AZ77" i="7"/>
  <c r="AZ80" i="7" s="1"/>
  <c r="AZ83" i="7"/>
  <c r="AZ88" i="7" s="1"/>
  <c r="AZ89" i="7" s="1"/>
  <c r="BA72" i="7"/>
  <c r="BS54" i="5"/>
  <c r="BS55" i="5"/>
  <c r="BS56" i="5" s="1"/>
  <c r="BT47" i="5"/>
  <c r="BT48" i="5" s="1"/>
  <c r="BT16" i="4"/>
  <c r="BS50" i="5"/>
  <c r="BT43" i="5" s="1"/>
  <c r="BS64" i="5"/>
  <c r="BA61" i="7"/>
  <c r="BA37" i="7"/>
  <c r="BB33" i="7" s="1"/>
  <c r="BA45" i="7"/>
  <c r="BB41" i="7" s="1"/>
  <c r="BA53" i="7"/>
  <c r="BB49" i="7" s="1"/>
  <c r="BA29" i="7"/>
  <c r="BB25" i="7" s="1"/>
  <c r="AY92" i="7"/>
  <c r="AY90" i="7"/>
  <c r="AX106" i="7"/>
  <c r="AX114" i="7" s="1"/>
  <c r="AX122" i="7" s="1"/>
  <c r="AX103" i="7"/>
  <c r="AX111" i="7" s="1"/>
  <c r="AX119" i="7" s="1"/>
  <c r="AX107" i="7"/>
  <c r="AX115" i="7" s="1"/>
  <c r="AX123" i="7" s="1"/>
  <c r="AX105" i="7"/>
  <c r="AX113" i="7" s="1"/>
  <c r="AX121" i="7" s="1"/>
  <c r="AX104" i="7"/>
  <c r="AX112" i="7" s="1"/>
  <c r="AX120" i="7" s="1"/>
  <c r="AZ81" i="7"/>
  <c r="AZ79" i="7"/>
  <c r="AZ82" i="7" l="1"/>
  <c r="AZ78" i="7"/>
  <c r="AZ85" i="7"/>
  <c r="AZ98" i="7" s="1"/>
  <c r="BT53" i="5"/>
  <c r="BS58" i="5"/>
  <c r="BS78" i="5" s="1"/>
  <c r="BU23" i="7" s="1"/>
  <c r="BU87" i="7" s="1"/>
  <c r="BA30" i="7"/>
  <c r="BA31" i="7" s="1"/>
  <c r="BA54" i="7"/>
  <c r="BA55" i="7" s="1"/>
  <c r="BA38" i="7"/>
  <c r="BA39" i="7" s="1"/>
  <c r="BB42" i="7"/>
  <c r="BB43" i="7" s="1"/>
  <c r="BT18" i="4"/>
  <c r="BU44" i="5" s="1"/>
  <c r="BB34" i="7"/>
  <c r="BB35" i="7" s="1"/>
  <c r="BB57" i="7"/>
  <c r="BA62" i="7"/>
  <c r="BA65" i="7"/>
  <c r="BT49" i="5"/>
  <c r="BT68" i="5"/>
  <c r="AY95" i="7"/>
  <c r="AY94" i="7"/>
  <c r="AY96" i="7"/>
  <c r="AY93" i="7"/>
  <c r="AY100" i="7"/>
  <c r="BA46" i="7"/>
  <c r="BA47" i="7" s="1"/>
  <c r="BA73" i="7"/>
  <c r="BB26" i="7"/>
  <c r="BB27" i="7" s="1"/>
  <c r="BA68" i="7"/>
  <c r="BB50" i="7"/>
  <c r="BB51" i="7" s="1"/>
  <c r="BT54" i="5" l="1"/>
  <c r="BT55" i="5"/>
  <c r="BU53" i="5" s="1"/>
  <c r="BT63" i="5"/>
  <c r="BT64" i="5" s="1"/>
  <c r="BT19" i="4"/>
  <c r="BA74" i="7"/>
  <c r="BA75" i="7" s="1"/>
  <c r="AY108" i="7"/>
  <c r="AY116" i="7" s="1"/>
  <c r="AY102" i="7"/>
  <c r="BU45" i="5"/>
  <c r="BU46" i="5" s="1"/>
  <c r="AZ92" i="7"/>
  <c r="AZ90" i="7"/>
  <c r="BA63" i="7"/>
  <c r="BB58" i="7"/>
  <c r="BB59" i="7" s="1"/>
  <c r="BB60" i="7" s="1"/>
  <c r="BA69" i="7"/>
  <c r="BB67" i="7" s="1"/>
  <c r="BT50" i="5" l="1"/>
  <c r="BU43" i="5" s="1"/>
  <c r="BT56" i="5"/>
  <c r="BT58" i="5" s="1"/>
  <c r="BT78" i="5" s="1"/>
  <c r="BV23" i="7" s="1"/>
  <c r="BV87" i="7" s="1"/>
  <c r="BB52" i="7"/>
  <c r="BU47" i="5"/>
  <c r="BU68" i="5" s="1"/>
  <c r="BU16" i="4"/>
  <c r="BU18" i="4" s="1"/>
  <c r="BV44" i="5" s="1"/>
  <c r="BV45" i="5" s="1"/>
  <c r="BB72" i="7"/>
  <c r="BB28" i="7"/>
  <c r="BB36" i="7"/>
  <c r="BA70" i="7"/>
  <c r="BA83" i="7" s="1"/>
  <c r="BA77" i="7"/>
  <c r="AZ96" i="7"/>
  <c r="AZ93" i="7"/>
  <c r="AZ94" i="7"/>
  <c r="AZ95" i="7"/>
  <c r="AZ100" i="7"/>
  <c r="AY103" i="7"/>
  <c r="AY111" i="7" s="1"/>
  <c r="AY119" i="7" s="1"/>
  <c r="AY107" i="7"/>
  <c r="AY115" i="7" s="1"/>
  <c r="AY123" i="7" s="1"/>
  <c r="AY104" i="7"/>
  <c r="AY112" i="7" s="1"/>
  <c r="AY120" i="7" s="1"/>
  <c r="AY106" i="7"/>
  <c r="AY114" i="7" s="1"/>
  <c r="AY122" i="7" s="1"/>
  <c r="AY105" i="7"/>
  <c r="AY113" i="7" s="1"/>
  <c r="AY121" i="7" s="1"/>
  <c r="BB44" i="7"/>
  <c r="BU19" i="4" l="1"/>
  <c r="BU48" i="5"/>
  <c r="BV46" i="5"/>
  <c r="BV47" i="5"/>
  <c r="BV16" i="4"/>
  <c r="BB61" i="7"/>
  <c r="BA88" i="7"/>
  <c r="BA89" i="7" s="1"/>
  <c r="BB29" i="7"/>
  <c r="BB45" i="7"/>
  <c r="BC41" i="7" s="1"/>
  <c r="BA81" i="7"/>
  <c r="BA82" i="7"/>
  <c r="BA80" i="7"/>
  <c r="BA78" i="7"/>
  <c r="BA79" i="7"/>
  <c r="BA85" i="7"/>
  <c r="AZ108" i="7"/>
  <c r="AZ116" i="7" s="1"/>
  <c r="AZ102" i="7"/>
  <c r="BB37" i="7"/>
  <c r="BC33" i="7" s="1"/>
  <c r="BB53" i="7"/>
  <c r="BU49" i="5" l="1"/>
  <c r="BU63" i="5" s="1"/>
  <c r="BU50" i="5" s="1"/>
  <c r="BV43" i="5" s="1"/>
  <c r="BB38" i="7"/>
  <c r="BB39" i="7" s="1"/>
  <c r="BV68" i="5"/>
  <c r="BV18" i="4"/>
  <c r="BW44" i="5" s="1"/>
  <c r="BC34" i="7"/>
  <c r="BC35" i="7" s="1"/>
  <c r="BC57" i="7"/>
  <c r="BB62" i="7"/>
  <c r="AZ106" i="7"/>
  <c r="AZ114" i="7" s="1"/>
  <c r="AZ122" i="7" s="1"/>
  <c r="AZ104" i="7"/>
  <c r="AZ112" i="7" s="1"/>
  <c r="AZ120" i="7" s="1"/>
  <c r="AZ103" i="7"/>
  <c r="AZ111" i="7" s="1"/>
  <c r="AZ119" i="7" s="1"/>
  <c r="AZ107" i="7"/>
  <c r="AZ115" i="7" s="1"/>
  <c r="AZ123" i="7" s="1"/>
  <c r="AZ105" i="7"/>
  <c r="AZ113" i="7" s="1"/>
  <c r="AZ121" i="7" s="1"/>
  <c r="BC42" i="7"/>
  <c r="BC43" i="7" s="1"/>
  <c r="BC25" i="7"/>
  <c r="BB30" i="7"/>
  <c r="BB31" i="7" s="1"/>
  <c r="BB65" i="7"/>
  <c r="BB68" i="7"/>
  <c r="BB73" i="7"/>
  <c r="BC49" i="7"/>
  <c r="BB54" i="7"/>
  <c r="BB55" i="7" s="1"/>
  <c r="BA98" i="7"/>
  <c r="BB46" i="7"/>
  <c r="BB47" i="7" s="1"/>
  <c r="BV48" i="5"/>
  <c r="BU64" i="5" l="1"/>
  <c r="BU55" i="5"/>
  <c r="BU56" i="5" s="1"/>
  <c r="BU58" i="5" s="1"/>
  <c r="BU54" i="5"/>
  <c r="BV19" i="4"/>
  <c r="BW47" i="5" s="1"/>
  <c r="BW68" i="5" s="1"/>
  <c r="BC26" i="7"/>
  <c r="BC27" i="7" s="1"/>
  <c r="BB63" i="7"/>
  <c r="BB74" i="7"/>
  <c r="BB75" i="7" s="1"/>
  <c r="BC58" i="7"/>
  <c r="BC59" i="7" s="1"/>
  <c r="BB69" i="7"/>
  <c r="BC67" i="7" s="1"/>
  <c r="BC50" i="7"/>
  <c r="BC51" i="7" s="1"/>
  <c r="BV49" i="5"/>
  <c r="BA90" i="7"/>
  <c r="BA92" i="7"/>
  <c r="BW45" i="5"/>
  <c r="BW46" i="5" s="1"/>
  <c r="BW16" i="4" l="1"/>
  <c r="BV53" i="5"/>
  <c r="BV54" i="5" s="1"/>
  <c r="BU78" i="5"/>
  <c r="BW23" i="7" s="1"/>
  <c r="BW87" i="7" s="1"/>
  <c r="BV55" i="5"/>
  <c r="BV56" i="5" s="1"/>
  <c r="BC72" i="7"/>
  <c r="BC60" i="7"/>
  <c r="BC52" i="7"/>
  <c r="BC44" i="7"/>
  <c r="BC36" i="7"/>
  <c r="BC28" i="7"/>
  <c r="BW48" i="5"/>
  <c r="BW49" i="5" s="1"/>
  <c r="BW18" i="4"/>
  <c r="BX44" i="5" s="1"/>
  <c r="BV63" i="5"/>
  <c r="BA93" i="7"/>
  <c r="BA96" i="7"/>
  <c r="BA94" i="7"/>
  <c r="BA95" i="7"/>
  <c r="BA100" i="7"/>
  <c r="BB70" i="7"/>
  <c r="BB83" i="7" s="1"/>
  <c r="BB77" i="7"/>
  <c r="BW53" i="5" l="1"/>
  <c r="BW54" i="5" s="1"/>
  <c r="BV58" i="5"/>
  <c r="BW55" i="5"/>
  <c r="BW56" i="5" s="1"/>
  <c r="BX45" i="5"/>
  <c r="BX46" i="5" s="1"/>
  <c r="BA108" i="7"/>
  <c r="BA116" i="7" s="1"/>
  <c r="BA102" i="7"/>
  <c r="BC45" i="7"/>
  <c r="BD41" i="7" s="1"/>
  <c r="BC53" i="7"/>
  <c r="BD49" i="7" s="1"/>
  <c r="BC37" i="7"/>
  <c r="BD33" i="7" s="1"/>
  <c r="BC61" i="7"/>
  <c r="BD57" i="7" s="1"/>
  <c r="BC29" i="7"/>
  <c r="BD25" i="7" s="1"/>
  <c r="BV64" i="5"/>
  <c r="BV50" i="5"/>
  <c r="BW43" i="5" s="1"/>
  <c r="BW19" i="4"/>
  <c r="BB79" i="7"/>
  <c r="BB81" i="7"/>
  <c r="BB82" i="7"/>
  <c r="BB80" i="7"/>
  <c r="BB78" i="7"/>
  <c r="BB85" i="7"/>
  <c r="BB88" i="7"/>
  <c r="BB89" i="7" s="1"/>
  <c r="BV78" i="5" l="1"/>
  <c r="BX23" i="7" s="1"/>
  <c r="BX87" i="7" s="1"/>
  <c r="BX53" i="5"/>
  <c r="BW58" i="5"/>
  <c r="BD58" i="7"/>
  <c r="BD59" i="7" s="1"/>
  <c r="BA107" i="7"/>
  <c r="BA115" i="7" s="1"/>
  <c r="BA123" i="7" s="1"/>
  <c r="BA103" i="7"/>
  <c r="BA111" i="7" s="1"/>
  <c r="BA119" i="7" s="1"/>
  <c r="BA105" i="7"/>
  <c r="BA113" i="7" s="1"/>
  <c r="BA121" i="7" s="1"/>
  <c r="BA106" i="7"/>
  <c r="BA114" i="7" s="1"/>
  <c r="BA122" i="7" s="1"/>
  <c r="BA104" i="7"/>
  <c r="BA112" i="7" s="1"/>
  <c r="BA120" i="7" s="1"/>
  <c r="BC30" i="7"/>
  <c r="BC31" i="7" s="1"/>
  <c r="BX47" i="5"/>
  <c r="BX16" i="4"/>
  <c r="BC65" i="7"/>
  <c r="BD26" i="7"/>
  <c r="BD27" i="7" s="1"/>
  <c r="BD50" i="7"/>
  <c r="BD51" i="7" s="1"/>
  <c r="BD42" i="7"/>
  <c r="BD43" i="7" s="1"/>
  <c r="BC68" i="7"/>
  <c r="BW63" i="5"/>
  <c r="BD34" i="7"/>
  <c r="BD35" i="7" s="1"/>
  <c r="BC54" i="7"/>
  <c r="BC55" i="7" s="1"/>
  <c r="BC38" i="7"/>
  <c r="BC39" i="7" s="1"/>
  <c r="BC46" i="7"/>
  <c r="BC47" i="7" s="1"/>
  <c r="BC62" i="7"/>
  <c r="BB98" i="7"/>
  <c r="BC73" i="7"/>
  <c r="BC69" i="7" l="1"/>
  <c r="BD67" i="7" s="1"/>
  <c r="BC74" i="7"/>
  <c r="BC75" i="7" s="1"/>
  <c r="BX68" i="5"/>
  <c r="BD60" i="7"/>
  <c r="BD44" i="7"/>
  <c r="BD28" i="7"/>
  <c r="BD36" i="7"/>
  <c r="BD52" i="7"/>
  <c r="BX18" i="4"/>
  <c r="BY44" i="5" s="1"/>
  <c r="BB90" i="7"/>
  <c r="BB92" i="7"/>
  <c r="BC63" i="7"/>
  <c r="BW50" i="5"/>
  <c r="BX43" i="5" s="1"/>
  <c r="BW64" i="5"/>
  <c r="BW78" i="5" s="1"/>
  <c r="BY23" i="7" s="1"/>
  <c r="BX48" i="5"/>
  <c r="BB95" i="7" l="1"/>
  <c r="BB96" i="7"/>
  <c r="BB94" i="7"/>
  <c r="BB93" i="7"/>
  <c r="BB100" i="7"/>
  <c r="BD53" i="7"/>
  <c r="BE49" i="7" s="1"/>
  <c r="BD29" i="7"/>
  <c r="BE25" i="7" s="1"/>
  <c r="BD37" i="7"/>
  <c r="BE33" i="7" s="1"/>
  <c r="BD61" i="7"/>
  <c r="BD45" i="7"/>
  <c r="BE41" i="7" s="1"/>
  <c r="BX19" i="4"/>
  <c r="BD72" i="7"/>
  <c r="BY87" i="7"/>
  <c r="BY45" i="5"/>
  <c r="BY46" i="5" s="1"/>
  <c r="BX49" i="5"/>
  <c r="BC70" i="7"/>
  <c r="BC83" i="7" s="1"/>
  <c r="BC77" i="7"/>
  <c r="BX54" i="5" l="1"/>
  <c r="BX55" i="5"/>
  <c r="BY53" i="5" s="1"/>
  <c r="BX63" i="5"/>
  <c r="BX50" i="5" s="1"/>
  <c r="BY43" i="5" s="1"/>
  <c r="BD46" i="7"/>
  <c r="BD47" i="7" s="1"/>
  <c r="BC78" i="7"/>
  <c r="BC81" i="7"/>
  <c r="BC82" i="7"/>
  <c r="BC79" i="7"/>
  <c r="BC80" i="7"/>
  <c r="BC85" i="7"/>
  <c r="BE57" i="7"/>
  <c r="BD62" i="7"/>
  <c r="BD30" i="7"/>
  <c r="BD31" i="7" s="1"/>
  <c r="BY47" i="5"/>
  <c r="BY16" i="4"/>
  <c r="BE50" i="7"/>
  <c r="BE51" i="7" s="1"/>
  <c r="BD38" i="7"/>
  <c r="BD39" i="7" s="1"/>
  <c r="BC88" i="7"/>
  <c r="BC89" i="7" s="1"/>
  <c r="BB108" i="7"/>
  <c r="BB116" i="7" s="1"/>
  <c r="BB102" i="7"/>
  <c r="BD65" i="7"/>
  <c r="BD73" i="7"/>
  <c r="BE34" i="7"/>
  <c r="BE35" i="7" s="1"/>
  <c r="BE26" i="7"/>
  <c r="BE27" i="7" s="1"/>
  <c r="BD54" i="7"/>
  <c r="BD55" i="7" s="1"/>
  <c r="BE42" i="7"/>
  <c r="BE43" i="7" s="1"/>
  <c r="BD68" i="7"/>
  <c r="BX64" i="5" l="1"/>
  <c r="BX56" i="5"/>
  <c r="BX58" i="5" s="1"/>
  <c r="BD74" i="7"/>
  <c r="BD75" i="7" s="1"/>
  <c r="BY68" i="5"/>
  <c r="BY18" i="4"/>
  <c r="BZ44" i="5" s="1"/>
  <c r="BC98" i="7"/>
  <c r="BY48" i="5"/>
  <c r="BB104" i="7"/>
  <c r="BB112" i="7" s="1"/>
  <c r="BB120" i="7" s="1"/>
  <c r="BB106" i="7"/>
  <c r="BB114" i="7" s="1"/>
  <c r="BB122" i="7" s="1"/>
  <c r="BB107" i="7"/>
  <c r="BB115" i="7" s="1"/>
  <c r="BB123" i="7" s="1"/>
  <c r="BB105" i="7"/>
  <c r="BB113" i="7" s="1"/>
  <c r="BB121" i="7" s="1"/>
  <c r="BB103" i="7"/>
  <c r="BB111" i="7" s="1"/>
  <c r="BB119" i="7" s="1"/>
  <c r="BD63" i="7"/>
  <c r="BD69" i="7"/>
  <c r="BE58" i="7"/>
  <c r="BE59" i="7" s="1"/>
  <c r="BE44" i="7" s="1"/>
  <c r="BX78" i="5" l="1"/>
  <c r="BZ23" i="7" s="1"/>
  <c r="BZ87" i="7" s="1"/>
  <c r="BE72" i="7"/>
  <c r="BY19" i="4"/>
  <c r="BE36" i="7"/>
  <c r="BE60" i="7"/>
  <c r="BE52" i="7"/>
  <c r="BE28" i="7"/>
  <c r="BZ45" i="5"/>
  <c r="J28" i="6"/>
  <c r="BY49" i="5"/>
  <c r="BC90" i="7"/>
  <c r="BC92" i="7"/>
  <c r="BD70" i="7"/>
  <c r="BD83" i="7" s="1"/>
  <c r="BD77" i="7"/>
  <c r="BE67" i="7"/>
  <c r="BY54" i="5" l="1"/>
  <c r="BY55" i="5"/>
  <c r="BY56" i="5" s="1"/>
  <c r="BE53" i="7"/>
  <c r="BF49" i="7" s="1"/>
  <c r="BF50" i="7" s="1"/>
  <c r="BF51" i="7" s="1"/>
  <c r="BE29" i="7"/>
  <c r="BF25" i="7" s="1"/>
  <c r="BF26" i="7" s="1"/>
  <c r="BF27" i="7" s="1"/>
  <c r="BE45" i="7"/>
  <c r="BF41" i="7" s="1"/>
  <c r="BF42" i="7" s="1"/>
  <c r="BF43" i="7" s="1"/>
  <c r="BE61" i="7"/>
  <c r="BF57" i="7" s="1"/>
  <c r="BF58" i="7" s="1"/>
  <c r="BF59" i="7" s="1"/>
  <c r="BZ47" i="5"/>
  <c r="BZ48" i="5" s="1"/>
  <c r="BZ16" i="4"/>
  <c r="BE37" i="7"/>
  <c r="BF33" i="7" s="1"/>
  <c r="BF34" i="7" s="1"/>
  <c r="BF35" i="7" s="1"/>
  <c r="BC95" i="7"/>
  <c r="BC96" i="7"/>
  <c r="BC93" i="7"/>
  <c r="BC94" i="7"/>
  <c r="BC100" i="7"/>
  <c r="BD82" i="7"/>
  <c r="BD79" i="7"/>
  <c r="BD81" i="7"/>
  <c r="BD80" i="7"/>
  <c r="BD78" i="7"/>
  <c r="BD85" i="7"/>
  <c r="BY63" i="5"/>
  <c r="BD88" i="7"/>
  <c r="BD89" i="7" s="1"/>
  <c r="BZ46" i="5"/>
  <c r="BZ53" i="5" l="1"/>
  <c r="BY58" i="5"/>
  <c r="BE54" i="7"/>
  <c r="BE55" i="7" s="1"/>
  <c r="BE30" i="7"/>
  <c r="BE31" i="7" s="1"/>
  <c r="BZ49" i="5"/>
  <c r="J33" i="6" s="1"/>
  <c r="BE46" i="7"/>
  <c r="BE47" i="7" s="1"/>
  <c r="BE73" i="7"/>
  <c r="BE68" i="7"/>
  <c r="BE62" i="7"/>
  <c r="BE63" i="7" s="1"/>
  <c r="BZ18" i="4"/>
  <c r="CA44" i="5" s="1"/>
  <c r="J29" i="6"/>
  <c r="BZ68" i="5"/>
  <c r="BE65" i="7"/>
  <c r="BE38" i="7"/>
  <c r="BE39" i="7" s="1"/>
  <c r="BC108" i="7"/>
  <c r="BC116" i="7" s="1"/>
  <c r="BC102" i="7"/>
  <c r="BF36" i="7"/>
  <c r="BF44" i="7"/>
  <c r="BF52" i="7"/>
  <c r="BF60" i="7"/>
  <c r="BF28" i="7"/>
  <c r="BD98" i="7"/>
  <c r="BY50" i="5"/>
  <c r="BZ43" i="5" s="1"/>
  <c r="BY64" i="5"/>
  <c r="BY78" i="5" l="1"/>
  <c r="CA23" i="7" s="1"/>
  <c r="CA87" i="7" s="1"/>
  <c r="BZ55" i="5"/>
  <c r="BZ54" i="5"/>
  <c r="BE74" i="7"/>
  <c r="BE75" i="7" s="1"/>
  <c r="BE69" i="7"/>
  <c r="J31" i="6"/>
  <c r="J30" i="6"/>
  <c r="CA45" i="5"/>
  <c r="CA46" i="5" s="1"/>
  <c r="BZ19" i="4"/>
  <c r="BF37" i="7"/>
  <c r="BG33" i="7" s="1"/>
  <c r="BF45" i="7"/>
  <c r="BG41" i="7" s="1"/>
  <c r="BF61" i="7"/>
  <c r="BF29" i="7"/>
  <c r="BG25" i="7" s="1"/>
  <c r="BF53" i="7"/>
  <c r="BG49" i="7" s="1"/>
  <c r="BD92" i="7"/>
  <c r="BD90" i="7"/>
  <c r="BZ63" i="5"/>
  <c r="BC104" i="7"/>
  <c r="BC112" i="7" s="1"/>
  <c r="BC120" i="7" s="1"/>
  <c r="BC106" i="7"/>
  <c r="BC114" i="7" s="1"/>
  <c r="BC122" i="7" s="1"/>
  <c r="BC103" i="7"/>
  <c r="BC111" i="7" s="1"/>
  <c r="BC119" i="7" s="1"/>
  <c r="BC105" i="7"/>
  <c r="BC113" i="7" s="1"/>
  <c r="BC121" i="7" s="1"/>
  <c r="BC107" i="7"/>
  <c r="BC115" i="7" s="1"/>
  <c r="BC123" i="7" s="1"/>
  <c r="BZ56" i="5" l="1"/>
  <c r="BF72" i="7"/>
  <c r="BE77" i="7"/>
  <c r="BE78" i="7" s="1"/>
  <c r="CA53" i="5"/>
  <c r="CA47" i="5"/>
  <c r="CA68" i="5" s="1"/>
  <c r="CA16" i="4"/>
  <c r="J37" i="6"/>
  <c r="I8" i="9" s="1"/>
  <c r="BG20" i="10" s="1"/>
  <c r="BE70" i="7"/>
  <c r="BE83" i="7" s="1"/>
  <c r="BF67" i="7"/>
  <c r="BF73" i="7"/>
  <c r="BF54" i="7"/>
  <c r="BF55" i="7" s="1"/>
  <c r="BG42" i="7"/>
  <c r="BG43" i="7" s="1"/>
  <c r="BG34" i="7"/>
  <c r="BG35" i="7" s="1"/>
  <c r="BZ50" i="5"/>
  <c r="CA43" i="5" s="1"/>
  <c r="BZ64" i="5"/>
  <c r="BF65" i="7"/>
  <c r="BF38" i="7"/>
  <c r="BF39" i="7" s="1"/>
  <c r="BD93" i="7"/>
  <c r="BD96" i="7"/>
  <c r="BD95" i="7"/>
  <c r="BD94" i="7"/>
  <c r="BD100" i="7"/>
  <c r="BG50" i="7"/>
  <c r="BG51" i="7" s="1"/>
  <c r="BF68" i="7"/>
  <c r="BF46" i="7"/>
  <c r="BF47" i="7" s="1"/>
  <c r="BG26" i="7"/>
  <c r="BG27" i="7" s="1"/>
  <c r="BF30" i="7"/>
  <c r="BF31" i="7" s="1"/>
  <c r="BG57" i="7"/>
  <c r="BF62" i="7"/>
  <c r="BZ58" i="5" l="1"/>
  <c r="BZ78" i="5" s="1"/>
  <c r="CB23" i="7" s="1"/>
  <c r="CB87" i="7" s="1"/>
  <c r="J34" i="6"/>
  <c r="J35" i="6" s="1"/>
  <c r="I5" i="9" s="1"/>
  <c r="BE80" i="7"/>
  <c r="BE82" i="7"/>
  <c r="BE79" i="7"/>
  <c r="BE81" i="7"/>
  <c r="CA48" i="5"/>
  <c r="CA49" i="5" s="1"/>
  <c r="CA54" i="5" s="1"/>
  <c r="BE85" i="7"/>
  <c r="BF74" i="7"/>
  <c r="BF75" i="7" s="1"/>
  <c r="BE88" i="7"/>
  <c r="BE89" i="7" s="1"/>
  <c r="CA18" i="4"/>
  <c r="CB44" i="5" s="1"/>
  <c r="BF69" i="7"/>
  <c r="BG67" i="7" s="1"/>
  <c r="BF63" i="7"/>
  <c r="BG58" i="7"/>
  <c r="BG59" i="7" s="1"/>
  <c r="BG36" i="7" s="1"/>
  <c r="BD102" i="7"/>
  <c r="BD108" i="7"/>
  <c r="BD116" i="7" s="1"/>
  <c r="J39" i="6" l="1"/>
  <c r="I10" i="9" s="1"/>
  <c r="CA55" i="5"/>
  <c r="CB53" i="5" s="1"/>
  <c r="BE98" i="7"/>
  <c r="BE90" i="7" s="1"/>
  <c r="CA63" i="5"/>
  <c r="CA50" i="5" s="1"/>
  <c r="CB43" i="5" s="1"/>
  <c r="BG72" i="7"/>
  <c r="CA19" i="4"/>
  <c r="CB47" i="5" s="1"/>
  <c r="CB68" i="5" s="1"/>
  <c r="BG52" i="7"/>
  <c r="CB45" i="5"/>
  <c r="CB46" i="5" s="1"/>
  <c r="BG28" i="7"/>
  <c r="BG44" i="7"/>
  <c r="BD104" i="7"/>
  <c r="BD112" i="7" s="1"/>
  <c r="BD120" i="7" s="1"/>
  <c r="G19" i="8" s="1"/>
  <c r="G21" i="8" s="1"/>
  <c r="BD107" i="7"/>
  <c r="BD115" i="7" s="1"/>
  <c r="BD123" i="7" s="1"/>
  <c r="G52" i="8" s="1"/>
  <c r="G54" i="8" s="1"/>
  <c r="BD106" i="7"/>
  <c r="BD114" i="7" s="1"/>
  <c r="BD122" i="7" s="1"/>
  <c r="G41" i="8" s="1"/>
  <c r="G43" i="8" s="1"/>
  <c r="BD103" i="7"/>
  <c r="BD111" i="7" s="1"/>
  <c r="BD119" i="7" s="1"/>
  <c r="G8" i="8" s="1"/>
  <c r="G10" i="8" s="1"/>
  <c r="BD105" i="7"/>
  <c r="BD113" i="7" s="1"/>
  <c r="BD121" i="7" s="1"/>
  <c r="G30" i="8" s="1"/>
  <c r="G32" i="8" s="1"/>
  <c r="BF70" i="7"/>
  <c r="BF83" i="7" s="1"/>
  <c r="BF77" i="7"/>
  <c r="BG60" i="7"/>
  <c r="CB16" i="4" l="1"/>
  <c r="CB18" i="4" s="1"/>
  <c r="CC44" i="5" s="1"/>
  <c r="CB19" i="4"/>
  <c r="CC47" i="5" s="1"/>
  <c r="BE92" i="7"/>
  <c r="BE95" i="7" s="1"/>
  <c r="CA56" i="5"/>
  <c r="CA58" i="5" s="1"/>
  <c r="CA64" i="5"/>
  <c r="CB48" i="5"/>
  <c r="CB49" i="5" s="1"/>
  <c r="BG37" i="7"/>
  <c r="BG38" i="7" s="1"/>
  <c r="BG39" i="7" s="1"/>
  <c r="CC45" i="5"/>
  <c r="BG61" i="7"/>
  <c r="BH57" i="7" s="1"/>
  <c r="BH58" i="7" s="1"/>
  <c r="BH59" i="7" s="1"/>
  <c r="BG29" i="7"/>
  <c r="BG45" i="7"/>
  <c r="BH41" i="7" s="1"/>
  <c r="BH42" i="7" s="1"/>
  <c r="BH43" i="7" s="1"/>
  <c r="BF88" i="7"/>
  <c r="BF89" i="7" s="1"/>
  <c r="BG53" i="7"/>
  <c r="BF79" i="7"/>
  <c r="BF81" i="7"/>
  <c r="BF80" i="7"/>
  <c r="BF78" i="7"/>
  <c r="BF82" i="7"/>
  <c r="BF85" i="7"/>
  <c r="CC16" i="4" l="1"/>
  <c r="CC46" i="5"/>
  <c r="BE94" i="7"/>
  <c r="BE100" i="7"/>
  <c r="BE108" i="7" s="1"/>
  <c r="BE116" i="7" s="1"/>
  <c r="BE96" i="7"/>
  <c r="BE93" i="7"/>
  <c r="CA78" i="5"/>
  <c r="CC23" i="7" s="1"/>
  <c r="CC87" i="7" s="1"/>
  <c r="CB55" i="5"/>
  <c r="CB54" i="5"/>
  <c r="BH33" i="7"/>
  <c r="BH34" i="7" s="1"/>
  <c r="BH35" i="7" s="1"/>
  <c r="CB63" i="5"/>
  <c r="CB50" i="5" s="1"/>
  <c r="CC43" i="5" s="1"/>
  <c r="BG68" i="7"/>
  <c r="BG62" i="7"/>
  <c r="BG63" i="7" s="1"/>
  <c r="BG73" i="7"/>
  <c r="BG46" i="7"/>
  <c r="BG47" i="7" s="1"/>
  <c r="BH25" i="7"/>
  <c r="BH26" i="7" s="1"/>
  <c r="BH27" i="7" s="1"/>
  <c r="BG30" i="7"/>
  <c r="BG31" i="7" s="1"/>
  <c r="CC18" i="4"/>
  <c r="CD44" i="5" s="1"/>
  <c r="BF98" i="7"/>
  <c r="BH49" i="7"/>
  <c r="BG54" i="7"/>
  <c r="BG55" i="7" s="1"/>
  <c r="BG65" i="7"/>
  <c r="CC68" i="5"/>
  <c r="CC48" i="5"/>
  <c r="BE102" i="7" l="1"/>
  <c r="BE104" i="7" s="1"/>
  <c r="BE112" i="7" s="1"/>
  <c r="BE120" i="7" s="1"/>
  <c r="CB56" i="5"/>
  <c r="CC53" i="5"/>
  <c r="CB64" i="5"/>
  <c r="CC49" i="5"/>
  <c r="BG74" i="7"/>
  <c r="BG75" i="7" s="1"/>
  <c r="CD45" i="5"/>
  <c r="CD46" i="5" s="1"/>
  <c r="BG69" i="7"/>
  <c r="BH50" i="7"/>
  <c r="BH51" i="7" s="1"/>
  <c r="BH28" i="7" s="1"/>
  <c r="BF90" i="7"/>
  <c r="BF92" i="7"/>
  <c r="CC19" i="4"/>
  <c r="BE107" i="7" l="1"/>
  <c r="BE115" i="7" s="1"/>
  <c r="BE123" i="7" s="1"/>
  <c r="BE103" i="7"/>
  <c r="BE111" i="7" s="1"/>
  <c r="BE119" i="7" s="1"/>
  <c r="BE105" i="7"/>
  <c r="BE113" i="7" s="1"/>
  <c r="BE121" i="7" s="1"/>
  <c r="BE106" i="7"/>
  <c r="BE114" i="7" s="1"/>
  <c r="BE122" i="7" s="1"/>
  <c r="CB58" i="5"/>
  <c r="CB78" i="5" s="1"/>
  <c r="CD23" i="7" s="1"/>
  <c r="CD87" i="7" s="1"/>
  <c r="CC54" i="5"/>
  <c r="CC63" i="5"/>
  <c r="CC50" i="5" s="1"/>
  <c r="CD43" i="5" s="1"/>
  <c r="CC55" i="5"/>
  <c r="BH72" i="7"/>
  <c r="CD47" i="5"/>
  <c r="CD48" i="5" s="1"/>
  <c r="CD16" i="4"/>
  <c r="BH44" i="7"/>
  <c r="BF94" i="7"/>
  <c r="BF96" i="7"/>
  <c r="BF95" i="7"/>
  <c r="BF93" i="7"/>
  <c r="BF100" i="7"/>
  <c r="BG70" i="7"/>
  <c r="BG83" i="7" s="1"/>
  <c r="BG77" i="7"/>
  <c r="BH67" i="7"/>
  <c r="BH52" i="7"/>
  <c r="BH36" i="7"/>
  <c r="BH60" i="7"/>
  <c r="CC64" i="5" l="1"/>
  <c r="CC56" i="5"/>
  <c r="CD53" i="5"/>
  <c r="BG78" i="7"/>
  <c r="BG79" i="7"/>
  <c r="BG81" i="7"/>
  <c r="BG80" i="7"/>
  <c r="BG82" i="7"/>
  <c r="BG85" i="7"/>
  <c r="BG88" i="7"/>
  <c r="BG89" i="7" s="1"/>
  <c r="CD18" i="4"/>
  <c r="CE44" i="5" s="1"/>
  <c r="BF108" i="7"/>
  <c r="BF116" i="7" s="1"/>
  <c r="BF102" i="7"/>
  <c r="CD49" i="5"/>
  <c r="CD68" i="5"/>
  <c r="BH29" i="7"/>
  <c r="BH61" i="7"/>
  <c r="BI57" i="7" s="1"/>
  <c r="BH53" i="7"/>
  <c r="BI49" i="7" s="1"/>
  <c r="BH37" i="7"/>
  <c r="BI33" i="7" s="1"/>
  <c r="BH45" i="7"/>
  <c r="BI41" i="7" s="1"/>
  <c r="CC58" i="5" l="1"/>
  <c r="CC78" i="5" s="1"/>
  <c r="CE23" i="7" s="1"/>
  <c r="CE87" i="7" s="1"/>
  <c r="CD54" i="5"/>
  <c r="CD55" i="5"/>
  <c r="CE53" i="5" s="1"/>
  <c r="CD63" i="5"/>
  <c r="CD50" i="5" s="1"/>
  <c r="CE43" i="5" s="1"/>
  <c r="CD19" i="4"/>
  <c r="BH38" i="7"/>
  <c r="BH39" i="7" s="1"/>
  <c r="BH62" i="7"/>
  <c r="BF103" i="7"/>
  <c r="BF111" i="7" s="1"/>
  <c r="BF119" i="7" s="1"/>
  <c r="BF106" i="7"/>
  <c r="BF114" i="7" s="1"/>
  <c r="BF122" i="7" s="1"/>
  <c r="BF104" i="7"/>
  <c r="BF112" i="7" s="1"/>
  <c r="BF120" i="7" s="1"/>
  <c r="BF105" i="7"/>
  <c r="BF113" i="7" s="1"/>
  <c r="BF121" i="7" s="1"/>
  <c r="BF107" i="7"/>
  <c r="BF115" i="7" s="1"/>
  <c r="BF123" i="7" s="1"/>
  <c r="BI25" i="7"/>
  <c r="BH73" i="7"/>
  <c r="BH68" i="7"/>
  <c r="BH65" i="7"/>
  <c r="BH30" i="7"/>
  <c r="BH31" i="7" s="1"/>
  <c r="BI50" i="7"/>
  <c r="BI51" i="7" s="1"/>
  <c r="BG98" i="7"/>
  <c r="BH46" i="7"/>
  <c r="BH47" i="7" s="1"/>
  <c r="CE45" i="5"/>
  <c r="CE46" i="5" s="1"/>
  <c r="BH54" i="7"/>
  <c r="BH55" i="7" s="1"/>
  <c r="BI58" i="7"/>
  <c r="BI59" i="7" s="1"/>
  <c r="BI42" i="7"/>
  <c r="BI43" i="7" s="1"/>
  <c r="BI34" i="7"/>
  <c r="BI35" i="7" s="1"/>
  <c r="CD64" i="5" l="1"/>
  <c r="CD56" i="5"/>
  <c r="CE47" i="5"/>
  <c r="CE68" i="5" s="1"/>
  <c r="CE16" i="4"/>
  <c r="BH69" i="7"/>
  <c r="BG90" i="7"/>
  <c r="BG92" i="7"/>
  <c r="BH63" i="7"/>
  <c r="BH74" i="7"/>
  <c r="BH75" i="7" s="1"/>
  <c r="BI26" i="7"/>
  <c r="BI27" i="7" s="1"/>
  <c r="CD58" i="5" l="1"/>
  <c r="CD78" i="5" s="1"/>
  <c r="CF23" i="7" s="1"/>
  <c r="CF87" i="7" s="1"/>
  <c r="CE48" i="5"/>
  <c r="CE18" i="4"/>
  <c r="CF44" i="5" s="1"/>
  <c r="BI72" i="7"/>
  <c r="BG96" i="7"/>
  <c r="BG95" i="7"/>
  <c r="BG94" i="7"/>
  <c r="BG93" i="7"/>
  <c r="BG100" i="7"/>
  <c r="BI60" i="7"/>
  <c r="BI52" i="7"/>
  <c r="BI44" i="7"/>
  <c r="BI36" i="7"/>
  <c r="BI28" i="7"/>
  <c r="BH77" i="7"/>
  <c r="BH70" i="7"/>
  <c r="BH83" i="7" s="1"/>
  <c r="BI67" i="7"/>
  <c r="CE49" i="5" l="1"/>
  <c r="CE54" i="5" s="1"/>
  <c r="CF45" i="5"/>
  <c r="CF46" i="5" s="1"/>
  <c r="CE19" i="4"/>
  <c r="BG102" i="7"/>
  <c r="BG108" i="7"/>
  <c r="BG116" i="7" s="1"/>
  <c r="BH88" i="7"/>
  <c r="BH89" i="7" s="1"/>
  <c r="BH82" i="7"/>
  <c r="BH78" i="7"/>
  <c r="BH81" i="7"/>
  <c r="BH80" i="7"/>
  <c r="BH79" i="7"/>
  <c r="BH85" i="7"/>
  <c r="BI53" i="7"/>
  <c r="BJ49" i="7" s="1"/>
  <c r="BI61" i="7"/>
  <c r="BJ57" i="7" s="1"/>
  <c r="BI45" i="7"/>
  <c r="BJ41" i="7" s="1"/>
  <c r="BI29" i="7"/>
  <c r="BJ25" i="7" s="1"/>
  <c r="BI37" i="7"/>
  <c r="BJ33" i="7" s="1"/>
  <c r="CE63" i="5" l="1"/>
  <c r="CE50" i="5" s="1"/>
  <c r="CF43" i="5" s="1"/>
  <c r="CE55" i="5"/>
  <c r="CE56" i="5" s="1"/>
  <c r="CF47" i="5"/>
  <c r="CF68" i="5" s="1"/>
  <c r="CF16" i="4"/>
  <c r="BI38" i="7"/>
  <c r="BI39" i="7" s="1"/>
  <c r="BJ42" i="7"/>
  <c r="BJ43" i="7" s="1"/>
  <c r="BI65" i="7"/>
  <c r="BI68" i="7"/>
  <c r="BI46" i="7"/>
  <c r="BI47" i="7" s="1"/>
  <c r="BJ50" i="7"/>
  <c r="BJ51" i="7" s="1"/>
  <c r="BI73" i="7"/>
  <c r="BI54" i="7"/>
  <c r="BI55" i="7" s="1"/>
  <c r="BJ34" i="7"/>
  <c r="BJ35" i="7" s="1"/>
  <c r="BJ58" i="7"/>
  <c r="BJ59" i="7" s="1"/>
  <c r="BI62" i="7"/>
  <c r="BH98" i="7"/>
  <c r="BG104" i="7"/>
  <c r="BG112" i="7" s="1"/>
  <c r="BG120" i="7" s="1"/>
  <c r="BG106" i="7"/>
  <c r="BG114" i="7" s="1"/>
  <c r="BG122" i="7" s="1"/>
  <c r="BG105" i="7"/>
  <c r="BG113" i="7" s="1"/>
  <c r="BG121" i="7" s="1"/>
  <c r="BG103" i="7"/>
  <c r="BG111" i="7" s="1"/>
  <c r="BG119" i="7" s="1"/>
  <c r="BG107" i="7"/>
  <c r="BG115" i="7" s="1"/>
  <c r="BG123" i="7" s="1"/>
  <c r="BJ26" i="7"/>
  <c r="BJ27" i="7" s="1"/>
  <c r="BI30" i="7"/>
  <c r="BI31" i="7" s="1"/>
  <c r="CE58" i="5" l="1"/>
  <c r="CE64" i="5"/>
  <c r="CF53" i="5"/>
  <c r="CF18" i="4"/>
  <c r="CG44" i="5" s="1"/>
  <c r="CF48" i="5"/>
  <c r="BI74" i="7"/>
  <c r="BI75" i="7" s="1"/>
  <c r="BJ60" i="7"/>
  <c r="BJ36" i="7"/>
  <c r="BJ28" i="7"/>
  <c r="BJ52" i="7"/>
  <c r="BJ44" i="7"/>
  <c r="BI69" i="7"/>
  <c r="BJ67" i="7" s="1"/>
  <c r="BH92" i="7"/>
  <c r="BH90" i="7"/>
  <c r="BI63" i="7"/>
  <c r="CF19" i="4" l="1"/>
  <c r="CG47" i="5" s="1"/>
  <c r="CG68" i="5" s="1"/>
  <c r="CE78" i="5"/>
  <c r="CG23" i="7" s="1"/>
  <c r="CG87" i="7" s="1"/>
  <c r="CF49" i="5"/>
  <c r="CG16" i="4"/>
  <c r="CG45" i="5"/>
  <c r="CG46" i="5" s="1"/>
  <c r="BJ53" i="7"/>
  <c r="BK49" i="7" s="1"/>
  <c r="BJ29" i="7"/>
  <c r="BK25" i="7" s="1"/>
  <c r="BJ61" i="7"/>
  <c r="BJ37" i="7"/>
  <c r="BK33" i="7" s="1"/>
  <c r="BJ45" i="7"/>
  <c r="BK41" i="7" s="1"/>
  <c r="BH94" i="7"/>
  <c r="BH96" i="7"/>
  <c r="BH95" i="7"/>
  <c r="BH93" i="7"/>
  <c r="BH100" i="7"/>
  <c r="BJ72" i="7"/>
  <c r="BI70" i="7"/>
  <c r="BI83" i="7" s="1"/>
  <c r="BI77" i="7"/>
  <c r="CG48" i="5" l="1"/>
  <c r="CG49" i="5" s="1"/>
  <c r="CF54" i="5"/>
  <c r="CF55" i="5"/>
  <c r="CF63" i="5"/>
  <c r="CF50" i="5" s="1"/>
  <c r="CG43" i="5" s="1"/>
  <c r="CG18" i="4"/>
  <c r="CH44" i="5" s="1"/>
  <c r="BJ46" i="7"/>
  <c r="BJ47" i="7" s="1"/>
  <c r="BJ38" i="7"/>
  <c r="BJ39" i="7" s="1"/>
  <c r="BK26" i="7"/>
  <c r="BK27" i="7" s="1"/>
  <c r="BJ65" i="7"/>
  <c r="BK57" i="7"/>
  <c r="BJ62" i="7"/>
  <c r="BJ68" i="7"/>
  <c r="BK50" i="7"/>
  <c r="BK51" i="7" s="1"/>
  <c r="BK42" i="7"/>
  <c r="BK43" i="7" s="1"/>
  <c r="BJ73" i="7"/>
  <c r="BH102" i="7"/>
  <c r="BH108" i="7"/>
  <c r="BH116" i="7" s="1"/>
  <c r="BI81" i="7"/>
  <c r="BI78" i="7"/>
  <c r="BI82" i="7"/>
  <c r="BI80" i="7"/>
  <c r="BI79" i="7"/>
  <c r="BI85" i="7"/>
  <c r="BI88" i="7"/>
  <c r="BI89" i="7" s="1"/>
  <c r="BJ54" i="7"/>
  <c r="BJ55" i="7" s="1"/>
  <c r="BK34" i="7"/>
  <c r="BK35" i="7" s="1"/>
  <c r="BJ30" i="7"/>
  <c r="BJ31" i="7" s="1"/>
  <c r="CF56" i="5" l="1"/>
  <c r="CF58" i="5" s="1"/>
  <c r="CG53" i="5"/>
  <c r="CG54" i="5" s="1"/>
  <c r="CG55" i="5"/>
  <c r="CG56" i="5" s="1"/>
  <c r="CF64" i="5"/>
  <c r="CH45" i="5"/>
  <c r="CH46" i="5" s="1"/>
  <c r="CG19" i="4"/>
  <c r="CG63" i="5"/>
  <c r="BJ74" i="7"/>
  <c r="BJ75" i="7" s="1"/>
  <c r="BJ63" i="7"/>
  <c r="BH104" i="7"/>
  <c r="BH112" i="7" s="1"/>
  <c r="BH120" i="7" s="1"/>
  <c r="BH105" i="7"/>
  <c r="BH113" i="7" s="1"/>
  <c r="BH121" i="7" s="1"/>
  <c r="BH106" i="7"/>
  <c r="BH114" i="7" s="1"/>
  <c r="BH122" i="7" s="1"/>
  <c r="BH103" i="7"/>
  <c r="BH111" i="7" s="1"/>
  <c r="BH119" i="7" s="1"/>
  <c r="BH107" i="7"/>
  <c r="BH115" i="7" s="1"/>
  <c r="BH123" i="7" s="1"/>
  <c r="BK58" i="7"/>
  <c r="BK59" i="7" s="1"/>
  <c r="BK44" i="7" s="1"/>
  <c r="BI98" i="7"/>
  <c r="BJ69" i="7"/>
  <c r="BK67" i="7" s="1"/>
  <c r="CF78" i="5" l="1"/>
  <c r="CH23" i="7" s="1"/>
  <c r="CH87" i="7" s="1"/>
  <c r="CH53" i="5"/>
  <c r="CG58" i="5"/>
  <c r="CG50" i="5"/>
  <c r="CH43" i="5" s="1"/>
  <c r="CG64" i="5"/>
  <c r="CH47" i="5"/>
  <c r="CH68" i="5" s="1"/>
  <c r="CH16" i="4"/>
  <c r="BK72" i="7"/>
  <c r="BJ70" i="7"/>
  <c r="BJ83" i="7" s="1"/>
  <c r="BJ77" i="7"/>
  <c r="BK36" i="7"/>
  <c r="BI92" i="7"/>
  <c r="BI90" i="7"/>
  <c r="BK28" i="7"/>
  <c r="BK52" i="7"/>
  <c r="BK60" i="7"/>
  <c r="CG78" i="5" l="1"/>
  <c r="CI23" i="7" s="1"/>
  <c r="CI87" i="7" s="1"/>
  <c r="CH18" i="4"/>
  <c r="CI44" i="5" s="1"/>
  <c r="CH19" i="4"/>
  <c r="CI47" i="5" s="1"/>
  <c r="CH48" i="5"/>
  <c r="BK45" i="7"/>
  <c r="BK61" i="7"/>
  <c r="BL57" i="7" s="1"/>
  <c r="BK37" i="7"/>
  <c r="BL33" i="7" s="1"/>
  <c r="BK29" i="7"/>
  <c r="BL25" i="7" s="1"/>
  <c r="BK53" i="7"/>
  <c r="BL49" i="7" s="1"/>
  <c r="BJ82" i="7"/>
  <c r="BJ81" i="7"/>
  <c r="BJ80" i="7"/>
  <c r="BJ78" i="7"/>
  <c r="BJ79" i="7"/>
  <c r="BJ85" i="7"/>
  <c r="BJ88" i="7"/>
  <c r="BJ89" i="7" s="1"/>
  <c r="BI96" i="7"/>
  <c r="BI94" i="7"/>
  <c r="BI93" i="7"/>
  <c r="BI95" i="7"/>
  <c r="BI100" i="7"/>
  <c r="BK62" i="7" l="1"/>
  <c r="CH49" i="5"/>
  <c r="CI16" i="4"/>
  <c r="CI68" i="5"/>
  <c r="CI45" i="5"/>
  <c r="CI46" i="5" s="1"/>
  <c r="BK38" i="7"/>
  <c r="BK39" i="7" s="1"/>
  <c r="BK54" i="7"/>
  <c r="BK55" i="7" s="1"/>
  <c r="BK65" i="7"/>
  <c r="BL34" i="7"/>
  <c r="BL35" i="7" s="1"/>
  <c r="BL58" i="7"/>
  <c r="BL59" i="7" s="1"/>
  <c r="BL50" i="7"/>
  <c r="BL51" i="7" s="1"/>
  <c r="BK68" i="7"/>
  <c r="BL41" i="7"/>
  <c r="BK46" i="7"/>
  <c r="BK47" i="7" s="1"/>
  <c r="BK73" i="7"/>
  <c r="BK63" i="7"/>
  <c r="BI108" i="7"/>
  <c r="BI116" i="7" s="1"/>
  <c r="BI102" i="7"/>
  <c r="BJ98" i="7"/>
  <c r="BL26" i="7"/>
  <c r="BL27" i="7" s="1"/>
  <c r="BK30" i="7"/>
  <c r="BK31" i="7" s="1"/>
  <c r="CH54" i="5" l="1"/>
  <c r="CH55" i="5"/>
  <c r="CI53" i="5" s="1"/>
  <c r="CH63" i="5"/>
  <c r="CH50" i="5" s="1"/>
  <c r="CI43" i="5" s="1"/>
  <c r="CI48" i="5"/>
  <c r="CI49" i="5" s="1"/>
  <c r="CI18" i="4"/>
  <c r="CJ44" i="5" s="1"/>
  <c r="BK74" i="7"/>
  <c r="BK75" i="7" s="1"/>
  <c r="BL42" i="7"/>
  <c r="BL43" i="7" s="1"/>
  <c r="BL44" i="7" s="1"/>
  <c r="BJ90" i="7"/>
  <c r="BJ92" i="7"/>
  <c r="BI103" i="7"/>
  <c r="BI111" i="7" s="1"/>
  <c r="BI119" i="7" s="1"/>
  <c r="BI106" i="7"/>
  <c r="BI114" i="7" s="1"/>
  <c r="BI122" i="7" s="1"/>
  <c r="BI105" i="7"/>
  <c r="BI113" i="7" s="1"/>
  <c r="BI121" i="7" s="1"/>
  <c r="BI104" i="7"/>
  <c r="BI112" i="7" s="1"/>
  <c r="BI120" i="7" s="1"/>
  <c r="BI107" i="7"/>
  <c r="BI115" i="7" s="1"/>
  <c r="BI123" i="7" s="1"/>
  <c r="BK69" i="7"/>
  <c r="BL67" i="7" s="1"/>
  <c r="CH56" i="5" l="1"/>
  <c r="CH58" i="5" s="1"/>
  <c r="CH64" i="5"/>
  <c r="CI54" i="5"/>
  <c r="CI55" i="5"/>
  <c r="CJ53" i="5" s="1"/>
  <c r="CI63" i="5"/>
  <c r="CI64" i="5" s="1"/>
  <c r="CI19" i="4"/>
  <c r="BL72" i="7"/>
  <c r="CJ45" i="5"/>
  <c r="CJ46" i="5" s="1"/>
  <c r="BL52" i="7"/>
  <c r="BJ95" i="7"/>
  <c r="BJ93" i="7"/>
  <c r="BJ94" i="7"/>
  <c r="BJ96" i="7"/>
  <c r="BJ100" i="7"/>
  <c r="BK77" i="7"/>
  <c r="BK70" i="7"/>
  <c r="BK83" i="7" s="1"/>
  <c r="BL36" i="7"/>
  <c r="BL28" i="7"/>
  <c r="BL60" i="7"/>
  <c r="CH78" i="5" l="1"/>
  <c r="CJ23" i="7" s="1"/>
  <c r="CJ87" i="7" s="1"/>
  <c r="CI56" i="5"/>
  <c r="CI58" i="5" s="1"/>
  <c r="CI78" i="5" s="1"/>
  <c r="CK23" i="7" s="1"/>
  <c r="CK87" i="7" s="1"/>
  <c r="CI50" i="5"/>
  <c r="CJ43" i="5" s="1"/>
  <c r="CJ47" i="5"/>
  <c r="CJ68" i="5" s="1"/>
  <c r="CJ16" i="4"/>
  <c r="BK88" i="7"/>
  <c r="BK89" i="7" s="1"/>
  <c r="BJ102" i="7"/>
  <c r="BJ108" i="7"/>
  <c r="BJ116" i="7" s="1"/>
  <c r="BL61" i="7"/>
  <c r="BM57" i="7" s="1"/>
  <c r="BL53" i="7"/>
  <c r="BL37" i="7"/>
  <c r="BM33" i="7" s="1"/>
  <c r="BL45" i="7"/>
  <c r="BL29" i="7"/>
  <c r="BM25" i="7" s="1"/>
  <c r="BK81" i="7"/>
  <c r="BK79" i="7"/>
  <c r="BK78" i="7"/>
  <c r="BK80" i="7"/>
  <c r="BK82" i="7"/>
  <c r="BK85" i="7"/>
  <c r="CJ18" i="4" l="1"/>
  <c r="CK44" i="5" s="1"/>
  <c r="CJ48" i="5"/>
  <c r="BL38" i="7"/>
  <c r="BL39" i="7" s="1"/>
  <c r="BL68" i="7"/>
  <c r="BM49" i="7"/>
  <c r="BL54" i="7"/>
  <c r="BL55" i="7" s="1"/>
  <c r="BM58" i="7"/>
  <c r="BM59" i="7" s="1"/>
  <c r="BL65" i="7"/>
  <c r="BL73" i="7"/>
  <c r="BL30" i="7"/>
  <c r="BL31" i="7" s="1"/>
  <c r="BJ104" i="7"/>
  <c r="BJ112" i="7" s="1"/>
  <c r="BJ120" i="7" s="1"/>
  <c r="BJ103" i="7"/>
  <c r="BJ111" i="7" s="1"/>
  <c r="BJ119" i="7" s="1"/>
  <c r="BJ105" i="7"/>
  <c r="BJ113" i="7" s="1"/>
  <c r="BJ121" i="7" s="1"/>
  <c r="BJ106" i="7"/>
  <c r="BJ114" i="7" s="1"/>
  <c r="BJ122" i="7" s="1"/>
  <c r="BJ107" i="7"/>
  <c r="BJ115" i="7" s="1"/>
  <c r="BJ123" i="7" s="1"/>
  <c r="BM41" i="7"/>
  <c r="BL46" i="7"/>
  <c r="BL47" i="7" s="1"/>
  <c r="BL62" i="7"/>
  <c r="BM26" i="7"/>
  <c r="BM27" i="7" s="1"/>
  <c r="BK98" i="7"/>
  <c r="BM34" i="7"/>
  <c r="BM35" i="7" s="1"/>
  <c r="CJ49" i="5" l="1"/>
  <c r="CK45" i="5"/>
  <c r="CK46" i="5" s="1"/>
  <c r="CJ19" i="4"/>
  <c r="BL69" i="7"/>
  <c r="BL70" i="7" s="1"/>
  <c r="BM42" i="7"/>
  <c r="BM43" i="7" s="1"/>
  <c r="BL74" i="7"/>
  <c r="BL75" i="7" s="1"/>
  <c r="BK92" i="7"/>
  <c r="BK90" i="7"/>
  <c r="BL63" i="7"/>
  <c r="BM50" i="7"/>
  <c r="BM51" i="7" s="1"/>
  <c r="CJ54" i="5" l="1"/>
  <c r="CJ55" i="5"/>
  <c r="CJ56" i="5" s="1"/>
  <c r="CJ63" i="5"/>
  <c r="CJ64" i="5" s="1"/>
  <c r="BM60" i="7"/>
  <c r="CK47" i="5"/>
  <c r="CK48" i="5" s="1"/>
  <c r="CK49" i="5" s="1"/>
  <c r="CK16" i="4"/>
  <c r="BM67" i="7"/>
  <c r="BL83" i="7"/>
  <c r="BL88" i="7" s="1"/>
  <c r="BL89" i="7" s="1"/>
  <c r="BM36" i="7"/>
  <c r="BM72" i="7"/>
  <c r="BM44" i="7"/>
  <c r="BL77" i="7"/>
  <c r="BM52" i="7"/>
  <c r="BK95" i="7"/>
  <c r="BK96" i="7"/>
  <c r="BK94" i="7"/>
  <c r="BK93" i="7"/>
  <c r="BK100" i="7"/>
  <c r="BM28" i="7"/>
  <c r="CK53" i="5" l="1"/>
  <c r="CK54" i="5" s="1"/>
  <c r="CJ58" i="5"/>
  <c r="CJ78" i="5" s="1"/>
  <c r="CL23" i="7" s="1"/>
  <c r="CL87" i="7" s="1"/>
  <c r="CK55" i="5"/>
  <c r="CK56" i="5" s="1"/>
  <c r="CJ50" i="5"/>
  <c r="CK43" i="5" s="1"/>
  <c r="CK63" i="5" s="1"/>
  <c r="CK18" i="4"/>
  <c r="CL44" i="5" s="1"/>
  <c r="CK68" i="5"/>
  <c r="BM45" i="7"/>
  <c r="BN41" i="7" s="1"/>
  <c r="BM37" i="7"/>
  <c r="BM61" i="7"/>
  <c r="BM29" i="7"/>
  <c r="BN25" i="7" s="1"/>
  <c r="BM53" i="7"/>
  <c r="BN49" i="7" s="1"/>
  <c r="BK108" i="7"/>
  <c r="BK116" i="7" s="1"/>
  <c r="BK102" i="7"/>
  <c r="BL78" i="7"/>
  <c r="BL82" i="7"/>
  <c r="BL79" i="7"/>
  <c r="BL80" i="7"/>
  <c r="BL81" i="7"/>
  <c r="BL85" i="7"/>
  <c r="CK19" i="4" l="1"/>
  <c r="CL47" i="5" s="1"/>
  <c r="K29" i="6" s="1"/>
  <c r="K31" i="6" s="1"/>
  <c r="CL53" i="5"/>
  <c r="CK58" i="5"/>
  <c r="CK50" i="5"/>
  <c r="CL43" i="5" s="1"/>
  <c r="CK64" i="5"/>
  <c r="K28" i="6"/>
  <c r="CL45" i="5"/>
  <c r="BM68" i="7"/>
  <c r="BM30" i="7"/>
  <c r="BM31" i="7" s="1"/>
  <c r="BN57" i="7"/>
  <c r="BM62" i="7"/>
  <c r="BN33" i="7"/>
  <c r="BM38" i="7"/>
  <c r="BM39" i="7" s="1"/>
  <c r="BM65" i="7"/>
  <c r="BM46" i="7"/>
  <c r="BM47" i="7" s="1"/>
  <c r="BN50" i="7"/>
  <c r="BN51" i="7" s="1"/>
  <c r="BK105" i="7"/>
  <c r="BK113" i="7" s="1"/>
  <c r="BK121" i="7" s="1"/>
  <c r="BK103" i="7"/>
  <c r="BK111" i="7" s="1"/>
  <c r="BK119" i="7" s="1"/>
  <c r="BK106" i="7"/>
  <c r="BK114" i="7" s="1"/>
  <c r="BK122" i="7" s="1"/>
  <c r="BK107" i="7"/>
  <c r="BK115" i="7" s="1"/>
  <c r="BK123" i="7" s="1"/>
  <c r="BK104" i="7"/>
  <c r="BK112" i="7" s="1"/>
  <c r="BK120" i="7" s="1"/>
  <c r="BN42" i="7"/>
  <c r="BN43" i="7" s="1"/>
  <c r="BL98" i="7"/>
  <c r="BN26" i="7"/>
  <c r="BN27" i="7" s="1"/>
  <c r="BM73" i="7"/>
  <c r="BM54" i="7"/>
  <c r="BM55" i="7" s="1"/>
  <c r="CL68" i="5" l="1"/>
  <c r="CL16" i="4"/>
  <c r="CL18" i="4" s="1"/>
  <c r="CM44" i="5" s="1"/>
  <c r="K30" i="6"/>
  <c r="K37" i="6" s="1"/>
  <c r="J8" i="9" s="1"/>
  <c r="BH20" i="10" s="1"/>
  <c r="CK78" i="5"/>
  <c r="CM23" i="7" s="1"/>
  <c r="CM87" i="7" s="1"/>
  <c r="CL48" i="5"/>
  <c r="CL49" i="5" s="1"/>
  <c r="CL46" i="5"/>
  <c r="BM63" i="7"/>
  <c r="BM74" i="7"/>
  <c r="BM75" i="7" s="1"/>
  <c r="BN58" i="7"/>
  <c r="BN59" i="7" s="1"/>
  <c r="BL90" i="7"/>
  <c r="BL92" i="7"/>
  <c r="BN34" i="7"/>
  <c r="BN35" i="7" s="1"/>
  <c r="BM69" i="7"/>
  <c r="CL55" i="5" l="1"/>
  <c r="CL54" i="5"/>
  <c r="CL19" i="4"/>
  <c r="CM47" i="5" s="1"/>
  <c r="CM68" i="5" s="1"/>
  <c r="BN52" i="7"/>
  <c r="K33" i="6"/>
  <c r="CL63" i="5"/>
  <c r="CM45" i="5"/>
  <c r="CM46" i="5" s="1"/>
  <c r="BL96" i="7"/>
  <c r="BL94" i="7"/>
  <c r="BL93" i="7"/>
  <c r="BL95" i="7"/>
  <c r="BL100" i="7"/>
  <c r="BN36" i="7"/>
  <c r="BN28" i="7"/>
  <c r="BN60" i="7"/>
  <c r="BN44" i="7"/>
  <c r="BN72" i="7"/>
  <c r="BM70" i="7"/>
  <c r="BM83" i="7" s="1"/>
  <c r="BM77" i="7"/>
  <c r="BN67" i="7"/>
  <c r="CL56" i="5" l="1"/>
  <c r="CM53" i="5"/>
  <c r="CM16" i="4"/>
  <c r="CM18" i="4" s="1"/>
  <c r="CN44" i="5" s="1"/>
  <c r="CM48" i="5"/>
  <c r="CM49" i="5" s="1"/>
  <c r="CL50" i="5"/>
  <c r="CM43" i="5" s="1"/>
  <c r="CL64" i="5"/>
  <c r="BM88" i="7"/>
  <c r="BM89" i="7" s="1"/>
  <c r="BM79" i="7"/>
  <c r="BM82" i="7"/>
  <c r="BM78" i="7"/>
  <c r="BM80" i="7"/>
  <c r="BM81" i="7"/>
  <c r="BM85" i="7"/>
  <c r="BN37" i="7"/>
  <c r="BO33" i="7" s="1"/>
  <c r="BN53" i="7"/>
  <c r="BN29" i="7"/>
  <c r="BO25" i="7" s="1"/>
  <c r="BN61" i="7"/>
  <c r="BO57" i="7" s="1"/>
  <c r="BN45" i="7"/>
  <c r="BO41" i="7" s="1"/>
  <c r="BL108" i="7"/>
  <c r="BL116" i="7" s="1"/>
  <c r="BL102" i="7"/>
  <c r="CL58" i="5" l="1"/>
  <c r="CL78" i="5" s="1"/>
  <c r="CN23" i="7" s="1"/>
  <c r="CN87" i="7" s="1"/>
  <c r="K34" i="6"/>
  <c r="K35" i="6" s="1"/>
  <c r="J5" i="9" s="1"/>
  <c r="CM55" i="5"/>
  <c r="CM54" i="5"/>
  <c r="CM63" i="5"/>
  <c r="CM64" i="5" s="1"/>
  <c r="BN30" i="7"/>
  <c r="BN31" i="7" s="1"/>
  <c r="CM19" i="4"/>
  <c r="CN16" i="4" s="1"/>
  <c r="CN45" i="5"/>
  <c r="CN46" i="5" s="1"/>
  <c r="BN46" i="7"/>
  <c r="BN47" i="7" s="1"/>
  <c r="BN65" i="7"/>
  <c r="BO34" i="7"/>
  <c r="BO35" i="7" s="1"/>
  <c r="BL105" i="7"/>
  <c r="BL113" i="7" s="1"/>
  <c r="BL121" i="7" s="1"/>
  <c r="BL103" i="7"/>
  <c r="BL111" i="7" s="1"/>
  <c r="BL119" i="7" s="1"/>
  <c r="BL107" i="7"/>
  <c r="BL115" i="7" s="1"/>
  <c r="BL123" i="7" s="1"/>
  <c r="BL106" i="7"/>
  <c r="BL114" i="7" s="1"/>
  <c r="BL122" i="7" s="1"/>
  <c r="BL104" i="7"/>
  <c r="BL112" i="7" s="1"/>
  <c r="BL120" i="7" s="1"/>
  <c r="BO42" i="7"/>
  <c r="BO43" i="7" s="1"/>
  <c r="BO58" i="7"/>
  <c r="BO59" i="7" s="1"/>
  <c r="BN73" i="7"/>
  <c r="BN68" i="7"/>
  <c r="BN38" i="7"/>
  <c r="BN39" i="7" s="1"/>
  <c r="BM98" i="7"/>
  <c r="BO26" i="7"/>
  <c r="BO27" i="7" s="1"/>
  <c r="BO49" i="7"/>
  <c r="BN54" i="7"/>
  <c r="BN55" i="7" s="1"/>
  <c r="BN62" i="7"/>
  <c r="CN47" i="5" l="1"/>
  <c r="CN68" i="5" s="1"/>
  <c r="K39" i="6"/>
  <c r="J10" i="9" s="1"/>
  <c r="CM56" i="5"/>
  <c r="CM50" i="5"/>
  <c r="CN43" i="5" s="1"/>
  <c r="CN53" i="5"/>
  <c r="CN48" i="5"/>
  <c r="CN18" i="4"/>
  <c r="CO44" i="5" s="1"/>
  <c r="BO50" i="7"/>
  <c r="BO51" i="7" s="1"/>
  <c r="BO28" i="7" s="1"/>
  <c r="BN63" i="7"/>
  <c r="BN69" i="7"/>
  <c r="BO67" i="7" s="1"/>
  <c r="BM92" i="7"/>
  <c r="BM90" i="7"/>
  <c r="BN74" i="7"/>
  <c r="BN75" i="7" s="1"/>
  <c r="CM58" i="5" l="1"/>
  <c r="CM78" i="5" s="1"/>
  <c r="CO23" i="7" s="1"/>
  <c r="CO87" i="7" s="1"/>
  <c r="CN49" i="5"/>
  <c r="BO36" i="7"/>
  <c r="BO60" i="7"/>
  <c r="BO52" i="7"/>
  <c r="BO44" i="7"/>
  <c r="CO45" i="5"/>
  <c r="CO46" i="5" s="1"/>
  <c r="CN19" i="4"/>
  <c r="BO72" i="7"/>
  <c r="BM94" i="7"/>
  <c r="BM93" i="7"/>
  <c r="BM95" i="7"/>
  <c r="BM96" i="7"/>
  <c r="BM100" i="7"/>
  <c r="BN77" i="7"/>
  <c r="BN70" i="7"/>
  <c r="BN83" i="7" s="1"/>
  <c r="CN54" i="5" l="1"/>
  <c r="CN55" i="5"/>
  <c r="CN56" i="5" s="1"/>
  <c r="CN63" i="5"/>
  <c r="CN64" i="5" s="1"/>
  <c r="BO37" i="7"/>
  <c r="BO38" i="7" s="1"/>
  <c r="BO39" i="7" s="1"/>
  <c r="BO45" i="7"/>
  <c r="BP41" i="7" s="1"/>
  <c r="BP42" i="7" s="1"/>
  <c r="BP43" i="7" s="1"/>
  <c r="BO53" i="7"/>
  <c r="BP49" i="7" s="1"/>
  <c r="BP50" i="7" s="1"/>
  <c r="BP51" i="7" s="1"/>
  <c r="BO29" i="7"/>
  <c r="BP25" i="7" s="1"/>
  <c r="BP26" i="7" s="1"/>
  <c r="BP27" i="7" s="1"/>
  <c r="BO61" i="7"/>
  <c r="BP57" i="7" s="1"/>
  <c r="CO47" i="5"/>
  <c r="CO68" i="5" s="1"/>
  <c r="CO16" i="4"/>
  <c r="BN88" i="7"/>
  <c r="BN89" i="7" s="1"/>
  <c r="BN80" i="7"/>
  <c r="BN81" i="7"/>
  <c r="BN78" i="7"/>
  <c r="BN79" i="7"/>
  <c r="BN82" i="7"/>
  <c r="BN85" i="7"/>
  <c r="BM108" i="7"/>
  <c r="BM116" i="7" s="1"/>
  <c r="BM102" i="7"/>
  <c r="CO53" i="5" l="1"/>
  <c r="CN58" i="5"/>
  <c r="CN78" i="5" s="1"/>
  <c r="CP23" i="7" s="1"/>
  <c r="CP87" i="7" s="1"/>
  <c r="CN50" i="5"/>
  <c r="CO43" i="5" s="1"/>
  <c r="BO46" i="7"/>
  <c r="BO47" i="7" s="1"/>
  <c r="BO54" i="7"/>
  <c r="BO55" i="7" s="1"/>
  <c r="BP33" i="7"/>
  <c r="BP34" i="7" s="1"/>
  <c r="BP35" i="7" s="1"/>
  <c r="BO73" i="7"/>
  <c r="BO68" i="7"/>
  <c r="BO65" i="7"/>
  <c r="BO62" i="7"/>
  <c r="BO63" i="7" s="1"/>
  <c r="BO30" i="7"/>
  <c r="BO31" i="7" s="1"/>
  <c r="CO18" i="4"/>
  <c r="CP44" i="5" s="1"/>
  <c r="CO48" i="5"/>
  <c r="BM105" i="7"/>
  <c r="BM113" i="7" s="1"/>
  <c r="BM121" i="7" s="1"/>
  <c r="BM104" i="7"/>
  <c r="BM112" i="7" s="1"/>
  <c r="BM120" i="7" s="1"/>
  <c r="BM106" i="7"/>
  <c r="BM114" i="7" s="1"/>
  <c r="BM122" i="7" s="1"/>
  <c r="BM103" i="7"/>
  <c r="BM111" i="7" s="1"/>
  <c r="BM119" i="7" s="1"/>
  <c r="BM107" i="7"/>
  <c r="BM115" i="7" s="1"/>
  <c r="BM123" i="7" s="1"/>
  <c r="BN98" i="7"/>
  <c r="BP58" i="7"/>
  <c r="BP59" i="7" s="1"/>
  <c r="CO19" i="4" l="1"/>
  <c r="CP47" i="5" s="1"/>
  <c r="CP68" i="5" s="1"/>
  <c r="BO74" i="7"/>
  <c r="BP72" i="7" s="1"/>
  <c r="BO69" i="7"/>
  <c r="BP67" i="7" s="1"/>
  <c r="CP16" i="4"/>
  <c r="CP18" i="4"/>
  <c r="CQ44" i="5" s="1"/>
  <c r="CO49" i="5"/>
  <c r="CP45" i="5"/>
  <c r="CP46" i="5" s="1"/>
  <c r="BP28" i="7"/>
  <c r="BP44" i="7"/>
  <c r="BP52" i="7"/>
  <c r="BP36" i="7"/>
  <c r="BP60" i="7"/>
  <c r="BN90" i="7"/>
  <c r="BN92" i="7"/>
  <c r="BO70" i="7" l="1"/>
  <c r="BO77" i="7"/>
  <c r="BO78" i="7" s="1"/>
  <c r="CP48" i="5"/>
  <c r="CP49" i="5" s="1"/>
  <c r="CO54" i="5"/>
  <c r="CO55" i="5"/>
  <c r="BO75" i="7"/>
  <c r="CO63" i="5"/>
  <c r="CO50" i="5" s="1"/>
  <c r="CP43" i="5" s="1"/>
  <c r="CQ45" i="5"/>
  <c r="CQ46" i="5" s="1"/>
  <c r="CP19" i="4"/>
  <c r="BP53" i="7"/>
  <c r="BQ49" i="7" s="1"/>
  <c r="BP29" i="7"/>
  <c r="BQ25" i="7" s="1"/>
  <c r="BP45" i="7"/>
  <c r="BQ41" i="7" s="1"/>
  <c r="BP37" i="7"/>
  <c r="BQ33" i="7" s="1"/>
  <c r="BP61" i="7"/>
  <c r="BQ57" i="7" s="1"/>
  <c r="BN96" i="7"/>
  <c r="BN95" i="7"/>
  <c r="BN94" i="7"/>
  <c r="BN93" i="7"/>
  <c r="BN100" i="7"/>
  <c r="BO83" i="7" l="1"/>
  <c r="BO85" i="7" s="1"/>
  <c r="BO80" i="7"/>
  <c r="BO79" i="7"/>
  <c r="BO81" i="7"/>
  <c r="BO82" i="7"/>
  <c r="CO56" i="5"/>
  <c r="CP53" i="5"/>
  <c r="CP54" i="5" s="1"/>
  <c r="CP55" i="5"/>
  <c r="BO88" i="7"/>
  <c r="BO89" i="7" s="1"/>
  <c r="CO64" i="5"/>
  <c r="CQ47" i="5"/>
  <c r="CQ16" i="4"/>
  <c r="CQ18" i="4" s="1"/>
  <c r="CR44" i="5" s="1"/>
  <c r="CR45" i="5" s="1"/>
  <c r="CP63" i="5"/>
  <c r="BP38" i="7"/>
  <c r="BP39" i="7" s="1"/>
  <c r="BP54" i="7"/>
  <c r="BP55" i="7" s="1"/>
  <c r="BQ42" i="7"/>
  <c r="BQ43" i="7" s="1"/>
  <c r="BP73" i="7"/>
  <c r="BQ50" i="7"/>
  <c r="BQ51" i="7" s="1"/>
  <c r="BP65" i="7"/>
  <c r="BQ26" i="7"/>
  <c r="BQ27" i="7" s="1"/>
  <c r="BP46" i="7"/>
  <c r="BP47" i="7" s="1"/>
  <c r="BQ58" i="7"/>
  <c r="BQ59" i="7" s="1"/>
  <c r="BP68" i="7"/>
  <c r="BP62" i="7"/>
  <c r="BN108" i="7"/>
  <c r="BN116" i="7" s="1"/>
  <c r="BN102" i="7"/>
  <c r="BQ34" i="7"/>
  <c r="BQ35" i="7" s="1"/>
  <c r="BP30" i="7"/>
  <c r="BP31" i="7" s="1"/>
  <c r="CQ19" i="4" l="1"/>
  <c r="CO58" i="5"/>
  <c r="CO78" i="5" s="1"/>
  <c r="CQ23" i="7" s="1"/>
  <c r="CQ87" i="7" s="1"/>
  <c r="BO98" i="7"/>
  <c r="BO90" i="7" s="1"/>
  <c r="CP56" i="5"/>
  <c r="CP58" i="5" s="1"/>
  <c r="CQ53" i="5"/>
  <c r="CR46" i="5"/>
  <c r="CQ68" i="5"/>
  <c r="CQ48" i="5"/>
  <c r="CP64" i="5"/>
  <c r="CP50" i="5"/>
  <c r="CQ43" i="5" s="1"/>
  <c r="CR47" i="5"/>
  <c r="CR48" i="5" s="1"/>
  <c r="CR16" i="4"/>
  <c r="BN107" i="7"/>
  <c r="BN115" i="7" s="1"/>
  <c r="BN123" i="7" s="1"/>
  <c r="BN106" i="7"/>
  <c r="BN114" i="7" s="1"/>
  <c r="BN122" i="7" s="1"/>
  <c r="BN105" i="7"/>
  <c r="BN113" i="7" s="1"/>
  <c r="BN121" i="7" s="1"/>
  <c r="BN103" i="7"/>
  <c r="BN111" i="7" s="1"/>
  <c r="BN119" i="7" s="1"/>
  <c r="BN104" i="7"/>
  <c r="BN112" i="7" s="1"/>
  <c r="BN120" i="7" s="1"/>
  <c r="BP63" i="7"/>
  <c r="BQ44" i="7"/>
  <c r="BQ36" i="7"/>
  <c r="BQ60" i="7"/>
  <c r="BQ28" i="7"/>
  <c r="BQ52" i="7"/>
  <c r="BP74" i="7"/>
  <c r="BP75" i="7" s="1"/>
  <c r="BP69" i="7"/>
  <c r="BQ67" i="7" s="1"/>
  <c r="BO92" i="7" l="1"/>
  <c r="BO93" i="7" s="1"/>
  <c r="CP78" i="5"/>
  <c r="CR23" i="7" s="1"/>
  <c r="CR87" i="7" s="1"/>
  <c r="CQ49" i="5"/>
  <c r="BQ72" i="7"/>
  <c r="BQ45" i="7"/>
  <c r="BR41" i="7" s="1"/>
  <c r="BQ61" i="7"/>
  <c r="BR57" i="7" s="1"/>
  <c r="BQ53" i="7"/>
  <c r="BR49" i="7" s="1"/>
  <c r="BQ37" i="7"/>
  <c r="BR33" i="7" s="1"/>
  <c r="BQ29" i="7"/>
  <c r="BR25" i="7" s="1"/>
  <c r="CR18" i="4"/>
  <c r="CS44" i="5" s="1"/>
  <c r="CR49" i="5"/>
  <c r="CR68" i="5"/>
  <c r="BP70" i="7"/>
  <c r="BP83" i="7" s="1"/>
  <c r="BP77" i="7"/>
  <c r="BO100" i="7" l="1"/>
  <c r="BO102" i="7" s="1"/>
  <c r="BO95" i="7"/>
  <c r="BO96" i="7"/>
  <c r="BO94" i="7"/>
  <c r="CQ54" i="5"/>
  <c r="CQ55" i="5"/>
  <c r="CQ56" i="5" s="1"/>
  <c r="CQ63" i="5"/>
  <c r="CQ50" i="5" s="1"/>
  <c r="CR43" i="5" s="1"/>
  <c r="CR63" i="5" s="1"/>
  <c r="CR64" i="5" s="1"/>
  <c r="BQ46" i="7"/>
  <c r="BQ47" i="7" s="1"/>
  <c r="BQ62" i="7"/>
  <c r="BQ63" i="7" s="1"/>
  <c r="BR26" i="7"/>
  <c r="BR27" i="7" s="1"/>
  <c r="BQ73" i="7"/>
  <c r="CR19" i="4"/>
  <c r="BP78" i="7"/>
  <c r="BP80" i="7"/>
  <c r="BP79" i="7"/>
  <c r="BP81" i="7"/>
  <c r="BP82" i="7"/>
  <c r="BP85" i="7"/>
  <c r="BQ38" i="7"/>
  <c r="BQ39" i="7" s="1"/>
  <c r="BR42" i="7"/>
  <c r="BR43" i="7" s="1"/>
  <c r="CS45" i="5"/>
  <c r="CS46" i="5" s="1"/>
  <c r="BR50" i="7"/>
  <c r="BR51" i="7" s="1"/>
  <c r="BR58" i="7"/>
  <c r="BR59" i="7" s="1"/>
  <c r="BQ65" i="7"/>
  <c r="BR34" i="7"/>
  <c r="BR35" i="7" s="1"/>
  <c r="BQ30" i="7"/>
  <c r="BQ31" i="7" s="1"/>
  <c r="BO108" i="7"/>
  <c r="BO116" i="7" s="1"/>
  <c r="BP88" i="7"/>
  <c r="BP89" i="7" s="1"/>
  <c r="BQ54" i="7"/>
  <c r="BQ55" i="7" s="1"/>
  <c r="BQ68" i="7"/>
  <c r="CR55" i="5" l="1"/>
  <c r="CS53" i="5" s="1"/>
  <c r="CQ58" i="5"/>
  <c r="CR53" i="5"/>
  <c r="CR54" i="5" s="1"/>
  <c r="CQ64" i="5"/>
  <c r="CR50" i="5"/>
  <c r="CS43" i="5" s="1"/>
  <c r="BQ69" i="7"/>
  <c r="BR67" i="7" s="1"/>
  <c r="BR52" i="7"/>
  <c r="BR28" i="7"/>
  <c r="BR60" i="7"/>
  <c r="BR44" i="7"/>
  <c r="BR36" i="7"/>
  <c r="BP98" i="7"/>
  <c r="CS47" i="5"/>
  <c r="CS48" i="5" s="1"/>
  <c r="CS16" i="4"/>
  <c r="BQ74" i="7"/>
  <c r="BQ75" i="7" s="1"/>
  <c r="BO106" i="7"/>
  <c r="BO114" i="7" s="1"/>
  <c r="BO122" i="7" s="1"/>
  <c r="BO103" i="7"/>
  <c r="BO111" i="7" s="1"/>
  <c r="BO119" i="7" s="1"/>
  <c r="BO107" i="7"/>
  <c r="BO115" i="7" s="1"/>
  <c r="BO123" i="7" s="1"/>
  <c r="BO105" i="7"/>
  <c r="BO113" i="7" s="1"/>
  <c r="BO121" i="7" s="1"/>
  <c r="BO104" i="7"/>
  <c r="BO112" i="7" s="1"/>
  <c r="BO120" i="7" s="1"/>
  <c r="CR56" i="5" l="1"/>
  <c r="CR58" i="5" s="1"/>
  <c r="CR78" i="5" s="1"/>
  <c r="CT23" i="7" s="1"/>
  <c r="CT87" i="7" s="1"/>
  <c r="CQ78" i="5"/>
  <c r="CS23" i="7" s="1"/>
  <c r="CS87" i="7" s="1"/>
  <c r="BR72" i="7"/>
  <c r="BP90" i="7"/>
  <c r="BP92" i="7"/>
  <c r="BQ70" i="7"/>
  <c r="BQ83" i="7" s="1"/>
  <c r="BQ77" i="7"/>
  <c r="CS18" i="4"/>
  <c r="CT44" i="5" s="1"/>
  <c r="CS49" i="5"/>
  <c r="CS68" i="5"/>
  <c r="BR37" i="7"/>
  <c r="BS33" i="7" s="1"/>
  <c r="BR29" i="7"/>
  <c r="BS25" i="7" s="1"/>
  <c r="BR61" i="7"/>
  <c r="BS57" i="7" s="1"/>
  <c r="BR53" i="7"/>
  <c r="BS49" i="7" s="1"/>
  <c r="BR45" i="7"/>
  <c r="BS41" i="7" s="1"/>
  <c r="CS54" i="5" l="1"/>
  <c r="CS55" i="5"/>
  <c r="CS56" i="5" s="1"/>
  <c r="CS19" i="4"/>
  <c r="CT47" i="5" s="1"/>
  <c r="CT68" i="5" s="1"/>
  <c r="BR30" i="7"/>
  <c r="BR31" i="7" s="1"/>
  <c r="BS42" i="7"/>
  <c r="BS43" i="7" s="1"/>
  <c r="CT45" i="5"/>
  <c r="CT46" i="5" s="1"/>
  <c r="BS58" i="7"/>
  <c r="BS59" i="7" s="1"/>
  <c r="BQ79" i="7"/>
  <c r="BQ78" i="7"/>
  <c r="BQ82" i="7"/>
  <c r="BQ81" i="7"/>
  <c r="BQ80" i="7"/>
  <c r="BQ85" i="7"/>
  <c r="BQ88" i="7"/>
  <c r="BQ89" i="7" s="1"/>
  <c r="CS63" i="5"/>
  <c r="BS26" i="7"/>
  <c r="BS27" i="7" s="1"/>
  <c r="BS34" i="7"/>
  <c r="BS35" i="7" s="1"/>
  <c r="BR65" i="7"/>
  <c r="BS50" i="7"/>
  <c r="BS51" i="7" s="1"/>
  <c r="BP96" i="7"/>
  <c r="BP95" i="7"/>
  <c r="BP93" i="7"/>
  <c r="BP94" i="7"/>
  <c r="BP100" i="7"/>
  <c r="BR54" i="7"/>
  <c r="BR55" i="7" s="1"/>
  <c r="BR46" i="7"/>
  <c r="BR47" i="7" s="1"/>
  <c r="BR62" i="7"/>
  <c r="BR68" i="7"/>
  <c r="BR73" i="7"/>
  <c r="BR38" i="7"/>
  <c r="BR39" i="7" s="1"/>
  <c r="CT16" i="4" l="1"/>
  <c r="CT53" i="5"/>
  <c r="CS58" i="5"/>
  <c r="CT18" i="4"/>
  <c r="CU44" i="5" s="1"/>
  <c r="BS60" i="7"/>
  <c r="BS52" i="7"/>
  <c r="BS28" i="7"/>
  <c r="BS36" i="7"/>
  <c r="BS44" i="7"/>
  <c r="BR69" i="7"/>
  <c r="BS67" i="7" s="1"/>
  <c r="BP108" i="7"/>
  <c r="BP116" i="7" s="1"/>
  <c r="BP102" i="7"/>
  <c r="BQ98" i="7"/>
  <c r="CT48" i="5"/>
  <c r="CT49" i="5" s="1"/>
  <c r="BR74" i="7"/>
  <c r="BR75" i="7" s="1"/>
  <c r="BR63" i="7"/>
  <c r="CS50" i="5"/>
  <c r="CT43" i="5" s="1"/>
  <c r="CS64" i="5"/>
  <c r="CS78" i="5" l="1"/>
  <c r="CU23" i="7" s="1"/>
  <c r="CU87" i="7" s="1"/>
  <c r="CT55" i="5"/>
  <c r="CT54" i="5"/>
  <c r="BS72" i="7"/>
  <c r="BR70" i="7"/>
  <c r="BR83" i="7" s="1"/>
  <c r="BR77" i="7"/>
  <c r="BS29" i="7"/>
  <c r="BT25" i="7" s="1"/>
  <c r="BS37" i="7"/>
  <c r="BT33" i="7" s="1"/>
  <c r="BS53" i="7"/>
  <c r="BT49" i="7" s="1"/>
  <c r="BS45" i="7"/>
  <c r="BT41" i="7" s="1"/>
  <c r="BS61" i="7"/>
  <c r="BQ90" i="7"/>
  <c r="BQ92" i="7"/>
  <c r="CU45" i="5"/>
  <c r="CU46" i="5" s="1"/>
  <c r="CT63" i="5"/>
  <c r="BP105" i="7"/>
  <c r="BP113" i="7" s="1"/>
  <c r="BP121" i="7" s="1"/>
  <c r="H30" i="8" s="1"/>
  <c r="H32" i="8" s="1"/>
  <c r="BP103" i="7"/>
  <c r="BP111" i="7" s="1"/>
  <c r="BP119" i="7" s="1"/>
  <c r="H8" i="8" s="1"/>
  <c r="H10" i="8" s="1"/>
  <c r="BP104" i="7"/>
  <c r="BP112" i="7" s="1"/>
  <c r="BP120" i="7" s="1"/>
  <c r="H19" i="8" s="1"/>
  <c r="H21" i="8" s="1"/>
  <c r="BP107" i="7"/>
  <c r="BP115" i="7" s="1"/>
  <c r="BP123" i="7" s="1"/>
  <c r="H52" i="8" s="1"/>
  <c r="H54" i="8" s="1"/>
  <c r="BP106" i="7"/>
  <c r="BP114" i="7" s="1"/>
  <c r="BP122" i="7" s="1"/>
  <c r="H41" i="8" s="1"/>
  <c r="H43" i="8" s="1"/>
  <c r="CT19" i="4"/>
  <c r="CT56" i="5" l="1"/>
  <c r="CT58" i="5" s="1"/>
  <c r="CU53" i="5"/>
  <c r="BS54" i="7"/>
  <c r="BS55" i="7" s="1"/>
  <c r="BS38" i="7"/>
  <c r="BS39" i="7" s="1"/>
  <c r="BS30" i="7"/>
  <c r="BS31" i="7" s="1"/>
  <c r="BS68" i="7"/>
  <c r="CT64" i="5"/>
  <c r="CT50" i="5"/>
  <c r="CU43" i="5" s="1"/>
  <c r="BT50" i="7"/>
  <c r="BT51" i="7" s="1"/>
  <c r="BQ96" i="7"/>
  <c r="BQ93" i="7"/>
  <c r="BQ95" i="7"/>
  <c r="BQ94" i="7"/>
  <c r="BQ100" i="7"/>
  <c r="BS73" i="7"/>
  <c r="BR80" i="7"/>
  <c r="BR81" i="7"/>
  <c r="BR82" i="7"/>
  <c r="BR78" i="7"/>
  <c r="BR79" i="7"/>
  <c r="BR85" i="7"/>
  <c r="BR88" i="7"/>
  <c r="BR89" i="7" s="1"/>
  <c r="BT57" i="7"/>
  <c r="BS62" i="7"/>
  <c r="BT42" i="7"/>
  <c r="BT43" i="7" s="1"/>
  <c r="BT34" i="7"/>
  <c r="BT35" i="7" s="1"/>
  <c r="BT26" i="7"/>
  <c r="BT27" i="7" s="1"/>
  <c r="BS46" i="7"/>
  <c r="BS47" i="7" s="1"/>
  <c r="CU47" i="5"/>
  <c r="CU48" i="5" s="1"/>
  <c r="CU16" i="4"/>
  <c r="BS65" i="7"/>
  <c r="CT78" i="5" l="1"/>
  <c r="CV23" i="7" s="1"/>
  <c r="CV87" i="7" s="1"/>
  <c r="BS74" i="7"/>
  <c r="BS75" i="7" s="1"/>
  <c r="BS63" i="7"/>
  <c r="BT58" i="7"/>
  <c r="BT59" i="7" s="1"/>
  <c r="BT36" i="7" s="1"/>
  <c r="BR98" i="7"/>
  <c r="CU18" i="4"/>
  <c r="CV44" i="5" s="1"/>
  <c r="BQ108" i="7"/>
  <c r="BQ116" i="7" s="1"/>
  <c r="BQ102" i="7"/>
  <c r="CU49" i="5"/>
  <c r="CU68" i="5"/>
  <c r="BS69" i="7"/>
  <c r="CU54" i="5" l="1"/>
  <c r="CU55" i="5"/>
  <c r="CV53" i="5" s="1"/>
  <c r="BT72" i="7"/>
  <c r="CU19" i="4"/>
  <c r="CV47" i="5" s="1"/>
  <c r="CV68" i="5" s="1"/>
  <c r="BR90" i="7"/>
  <c r="BR92" i="7"/>
  <c r="BT60" i="7"/>
  <c r="BT28" i="7"/>
  <c r="CU63" i="5"/>
  <c r="BQ103" i="7"/>
  <c r="BQ111" i="7" s="1"/>
  <c r="BQ119" i="7" s="1"/>
  <c r="BQ104" i="7"/>
  <c r="BQ112" i="7" s="1"/>
  <c r="BQ120" i="7" s="1"/>
  <c r="BQ107" i="7"/>
  <c r="BQ115" i="7" s="1"/>
  <c r="BQ123" i="7" s="1"/>
  <c r="BQ105" i="7"/>
  <c r="BQ113" i="7" s="1"/>
  <c r="BQ121" i="7" s="1"/>
  <c r="BQ106" i="7"/>
  <c r="BQ114" i="7" s="1"/>
  <c r="BQ122" i="7" s="1"/>
  <c r="BS70" i="7"/>
  <c r="BS83" i="7" s="1"/>
  <c r="BS77" i="7"/>
  <c r="BT67" i="7"/>
  <c r="BT52" i="7"/>
  <c r="BT44" i="7"/>
  <c r="CV45" i="5"/>
  <c r="CV46" i="5" s="1"/>
  <c r="CU56" i="5" l="1"/>
  <c r="CU58" i="5" s="1"/>
  <c r="CV16" i="4"/>
  <c r="CU50" i="5"/>
  <c r="CV43" i="5" s="1"/>
  <c r="CU64" i="5"/>
  <c r="BS78" i="7"/>
  <c r="BS80" i="7"/>
  <c r="BS82" i="7"/>
  <c r="BS81" i="7"/>
  <c r="BS79" i="7"/>
  <c r="BS85" i="7"/>
  <c r="BS88" i="7"/>
  <c r="BS89" i="7" s="1"/>
  <c r="BT29" i="7"/>
  <c r="BU25" i="7" s="1"/>
  <c r="BT61" i="7"/>
  <c r="BU57" i="7" s="1"/>
  <c r="BT45" i="7"/>
  <c r="BU41" i="7" s="1"/>
  <c r="BT37" i="7"/>
  <c r="BT53" i="7"/>
  <c r="BU49" i="7" s="1"/>
  <c r="BR93" i="7"/>
  <c r="BR96" i="7"/>
  <c r="BR95" i="7"/>
  <c r="BR94" i="7"/>
  <c r="BR100" i="7"/>
  <c r="CV48" i="5"/>
  <c r="CV49" i="5" s="1"/>
  <c r="CU78" i="5" l="1"/>
  <c r="CW23" i="7" s="1"/>
  <c r="CW87" i="7" s="1"/>
  <c r="CV55" i="5"/>
  <c r="CV54" i="5"/>
  <c r="CV18" i="4"/>
  <c r="CW44" i="5" s="1"/>
  <c r="BT65" i="7"/>
  <c r="BT30" i="7"/>
  <c r="BT31" i="7" s="1"/>
  <c r="BT62" i="7"/>
  <c r="BT63" i="7" s="1"/>
  <c r="BT54" i="7"/>
  <c r="BT55" i="7" s="1"/>
  <c r="BT73" i="7"/>
  <c r="BU42" i="7"/>
  <c r="BU43" i="7" s="1"/>
  <c r="BT46" i="7"/>
  <c r="BT47" i="7" s="1"/>
  <c r="BU26" i="7"/>
  <c r="BU27" i="7" s="1"/>
  <c r="BS98" i="7"/>
  <c r="BU50" i="7"/>
  <c r="BU51" i="7" s="1"/>
  <c r="BT68" i="7"/>
  <c r="BR108" i="7"/>
  <c r="BR116" i="7" s="1"/>
  <c r="BR102" i="7"/>
  <c r="BU58" i="7"/>
  <c r="BU59" i="7" s="1"/>
  <c r="BU33" i="7"/>
  <c r="BT38" i="7"/>
  <c r="BT39" i="7" s="1"/>
  <c r="CV63" i="5"/>
  <c r="CV19" i="4" l="1"/>
  <c r="CV56" i="5"/>
  <c r="CV58" i="5" s="1"/>
  <c r="CW53" i="5"/>
  <c r="BT74" i="7"/>
  <c r="BT75" i="7" s="1"/>
  <c r="CW47" i="5"/>
  <c r="CW68" i="5" s="1"/>
  <c r="CW16" i="4"/>
  <c r="CW18" i="4" s="1"/>
  <c r="CX44" i="5" s="1"/>
  <c r="CX45" i="5" s="1"/>
  <c r="CW45" i="5"/>
  <c r="CW46" i="5" s="1"/>
  <c r="BR107" i="7"/>
  <c r="BR115" i="7" s="1"/>
  <c r="BR123" i="7" s="1"/>
  <c r="BR105" i="7"/>
  <c r="BR113" i="7" s="1"/>
  <c r="BR121" i="7" s="1"/>
  <c r="BR104" i="7"/>
  <c r="BR112" i="7" s="1"/>
  <c r="BR120" i="7" s="1"/>
  <c r="BR103" i="7"/>
  <c r="BR111" i="7" s="1"/>
  <c r="BR119" i="7" s="1"/>
  <c r="BR106" i="7"/>
  <c r="BR114" i="7" s="1"/>
  <c r="BR122" i="7" s="1"/>
  <c r="CV50" i="5"/>
  <c r="CW43" i="5" s="1"/>
  <c r="CV64" i="5"/>
  <c r="BT69" i="7"/>
  <c r="BU67" i="7" s="1"/>
  <c r="BS90" i="7"/>
  <c r="BS92" i="7"/>
  <c r="BU34" i="7"/>
  <c r="BU35" i="7" s="1"/>
  <c r="BU44" i="7" s="1"/>
  <c r="CV78" i="5" l="1"/>
  <c r="CX23" i="7" s="1"/>
  <c r="CX87" i="7" s="1"/>
  <c r="BU72" i="7"/>
  <c r="CW19" i="4"/>
  <c r="CX47" i="5" s="1"/>
  <c r="CX48" i="5" s="1"/>
  <c r="L28" i="6"/>
  <c r="CW48" i="5"/>
  <c r="CW49" i="5" s="1"/>
  <c r="BS94" i="7"/>
  <c r="BS95" i="7"/>
  <c r="BS96" i="7"/>
  <c r="BS93" i="7"/>
  <c r="BS100" i="7"/>
  <c r="CX16" i="4"/>
  <c r="BU28" i="7"/>
  <c r="BU52" i="7"/>
  <c r="BU60" i="7"/>
  <c r="CX46" i="5"/>
  <c r="BT70" i="7"/>
  <c r="BT83" i="7" s="1"/>
  <c r="BT77" i="7"/>
  <c r="BU36" i="7"/>
  <c r="CW55" i="5" l="1"/>
  <c r="CW54" i="5"/>
  <c r="CW63" i="5"/>
  <c r="CW64" i="5" s="1"/>
  <c r="CX49" i="5"/>
  <c r="L33" i="6" s="1"/>
  <c r="L29" i="6"/>
  <c r="CX68" i="5"/>
  <c r="BT79" i="7"/>
  <c r="BT80" i="7"/>
  <c r="BT81" i="7"/>
  <c r="BT78" i="7"/>
  <c r="BT82" i="7"/>
  <c r="BT85" i="7"/>
  <c r="BS102" i="7"/>
  <c r="BS108" i="7"/>
  <c r="BS116" i="7" s="1"/>
  <c r="BT88" i="7"/>
  <c r="BT89" i="7" s="1"/>
  <c r="BU37" i="7"/>
  <c r="BV33" i="7" s="1"/>
  <c r="BU29" i="7"/>
  <c r="BV25" i="7" s="1"/>
  <c r="BU53" i="7"/>
  <c r="BV49" i="7" s="1"/>
  <c r="BU61" i="7"/>
  <c r="BV57" i="7" s="1"/>
  <c r="BU45" i="7"/>
  <c r="CX18" i="4"/>
  <c r="CY44" i="5" s="1"/>
  <c r="CW56" i="5" l="1"/>
  <c r="CW58" i="5" s="1"/>
  <c r="CW78" i="5" s="1"/>
  <c r="CY23" i="7" s="1"/>
  <c r="CY87" i="7" s="1"/>
  <c r="CX55" i="5"/>
  <c r="CY53" i="5" s="1"/>
  <c r="CX53" i="5"/>
  <c r="CX54" i="5" s="1"/>
  <c r="CW50" i="5"/>
  <c r="CX43" i="5" s="1"/>
  <c r="CX63" i="5" s="1"/>
  <c r="BU54" i="7"/>
  <c r="BU55" i="7" s="1"/>
  <c r="BU62" i="7"/>
  <c r="BU63" i="7" s="1"/>
  <c r="BU30" i="7"/>
  <c r="BU31" i="7" s="1"/>
  <c r="BU73" i="7"/>
  <c r="BU68" i="7"/>
  <c r="BS106" i="7"/>
  <c r="BS114" i="7" s="1"/>
  <c r="BS122" i="7" s="1"/>
  <c r="BS103" i="7"/>
  <c r="BS111" i="7" s="1"/>
  <c r="BS119" i="7" s="1"/>
  <c r="BS107" i="7"/>
  <c r="BS115" i="7" s="1"/>
  <c r="BS123" i="7" s="1"/>
  <c r="BS105" i="7"/>
  <c r="BS113" i="7" s="1"/>
  <c r="BS121" i="7" s="1"/>
  <c r="BS104" i="7"/>
  <c r="BS112" i="7" s="1"/>
  <c r="BS120" i="7" s="1"/>
  <c r="L31" i="6"/>
  <c r="L30" i="6"/>
  <c r="BU65" i="7"/>
  <c r="BV58" i="7"/>
  <c r="BV59" i="7" s="1"/>
  <c r="BV34" i="7"/>
  <c r="BV35" i="7" s="1"/>
  <c r="BV41" i="7"/>
  <c r="BU46" i="7"/>
  <c r="BU47" i="7" s="1"/>
  <c r="BT98" i="7"/>
  <c r="BV50" i="7"/>
  <c r="BV51" i="7" s="1"/>
  <c r="BU38" i="7"/>
  <c r="BU39" i="7" s="1"/>
  <c r="CY45" i="5"/>
  <c r="CY46" i="5" s="1"/>
  <c r="CX19" i="4"/>
  <c r="BV26" i="7"/>
  <c r="BV27" i="7" s="1"/>
  <c r="CX56" i="5" l="1"/>
  <c r="CY47" i="5"/>
  <c r="CY48" i="5" s="1"/>
  <c r="CY16" i="4"/>
  <c r="BU69" i="7"/>
  <c r="BV67" i="7" s="1"/>
  <c r="BT90" i="7"/>
  <c r="BT92" i="7"/>
  <c r="CX50" i="5"/>
  <c r="CY43" i="5" s="1"/>
  <c r="CX64" i="5"/>
  <c r="L37" i="6"/>
  <c r="K8" i="9" s="1"/>
  <c r="BI20" i="10" s="1"/>
  <c r="BU74" i="7"/>
  <c r="BU75" i="7" s="1"/>
  <c r="BV42" i="7"/>
  <c r="BV43" i="7" s="1"/>
  <c r="BV52" i="7" s="1"/>
  <c r="CX58" i="5" l="1"/>
  <c r="CX78" i="5" s="1"/>
  <c r="CZ23" i="7" s="1"/>
  <c r="CZ87" i="7" s="1"/>
  <c r="L34" i="6"/>
  <c r="L35" i="6" s="1"/>
  <c r="K5" i="9" s="1"/>
  <c r="BV72" i="7"/>
  <c r="BV28" i="7"/>
  <c r="BV36" i="7"/>
  <c r="BV44" i="7"/>
  <c r="BT94" i="7"/>
  <c r="BT93" i="7"/>
  <c r="BT95" i="7"/>
  <c r="BT96" i="7"/>
  <c r="BT100" i="7"/>
  <c r="CY49" i="5"/>
  <c r="CY68" i="5"/>
  <c r="CY18" i="4"/>
  <c r="CZ44" i="5" s="1"/>
  <c r="BU70" i="7"/>
  <c r="BU83" i="7" s="1"/>
  <c r="BU77" i="7"/>
  <c r="BV60" i="7"/>
  <c r="L39" i="6" l="1"/>
  <c r="K10" i="9" s="1"/>
  <c r="CY54" i="5"/>
  <c r="CY55" i="5"/>
  <c r="CZ53" i="5" s="1"/>
  <c r="BV45" i="7"/>
  <c r="BW41" i="7" s="1"/>
  <c r="BW42" i="7" s="1"/>
  <c r="BW43" i="7" s="1"/>
  <c r="CY63" i="5"/>
  <c r="CY50" i="5" s="1"/>
  <c r="CZ43" i="5" s="1"/>
  <c r="BV61" i="7"/>
  <c r="BW57" i="7" s="1"/>
  <c r="BW58" i="7" s="1"/>
  <c r="BW59" i="7" s="1"/>
  <c r="BV29" i="7"/>
  <c r="BW25" i="7" s="1"/>
  <c r="BW26" i="7" s="1"/>
  <c r="BW27" i="7" s="1"/>
  <c r="CY19" i="4"/>
  <c r="CZ47" i="5" s="1"/>
  <c r="CZ68" i="5" s="1"/>
  <c r="BV37" i="7"/>
  <c r="BW33" i="7" s="1"/>
  <c r="BW34" i="7" s="1"/>
  <c r="BW35" i="7" s="1"/>
  <c r="BV53" i="7"/>
  <c r="BW49" i="7" s="1"/>
  <c r="BW50" i="7" s="1"/>
  <c r="BW51" i="7" s="1"/>
  <c r="BU80" i="7"/>
  <c r="BU82" i="7"/>
  <c r="BU79" i="7"/>
  <c r="BU81" i="7"/>
  <c r="BU78" i="7"/>
  <c r="BU85" i="7"/>
  <c r="BU88" i="7"/>
  <c r="BU89" i="7" s="1"/>
  <c r="CZ45" i="5"/>
  <c r="CZ46" i="5" s="1"/>
  <c r="BT102" i="7"/>
  <c r="BT108" i="7"/>
  <c r="BT116" i="7" s="1"/>
  <c r="CZ16" i="4" l="1"/>
  <c r="CY56" i="5"/>
  <c r="BV46" i="7"/>
  <c r="BV47" i="7" s="1"/>
  <c r="CY64" i="5"/>
  <c r="BV30" i="7"/>
  <c r="BV31" i="7" s="1"/>
  <c r="BV62" i="7"/>
  <c r="BV63" i="7" s="1"/>
  <c r="BV38" i="7"/>
  <c r="BV39" i="7" s="1"/>
  <c r="BV73" i="7"/>
  <c r="BV54" i="7"/>
  <c r="BV55" i="7" s="1"/>
  <c r="BV65" i="7"/>
  <c r="BV68" i="7"/>
  <c r="BU98" i="7"/>
  <c r="BW44" i="7"/>
  <c r="BW28" i="7"/>
  <c r="BW60" i="7"/>
  <c r="BW36" i="7"/>
  <c r="BW52" i="7"/>
  <c r="BT107" i="7"/>
  <c r="BT115" i="7" s="1"/>
  <c r="BT123" i="7" s="1"/>
  <c r="BT103" i="7"/>
  <c r="BT111" i="7" s="1"/>
  <c r="BT119" i="7" s="1"/>
  <c r="BT106" i="7"/>
  <c r="BT114" i="7" s="1"/>
  <c r="BT122" i="7" s="1"/>
  <c r="BT104" i="7"/>
  <c r="BT112" i="7" s="1"/>
  <c r="BT120" i="7" s="1"/>
  <c r="BT105" i="7"/>
  <c r="BT113" i="7" s="1"/>
  <c r="BT121" i="7" s="1"/>
  <c r="CZ18" i="4"/>
  <c r="DA44" i="5" s="1"/>
  <c r="CZ48" i="5"/>
  <c r="CZ49" i="5" s="1"/>
  <c r="CY58" i="5" l="1"/>
  <c r="CY78" i="5" s="1"/>
  <c r="DA23" i="7" s="1"/>
  <c r="DA87" i="7" s="1"/>
  <c r="CZ55" i="5"/>
  <c r="BV74" i="7"/>
  <c r="BV75" i="7" s="1"/>
  <c r="CZ54" i="5"/>
  <c r="BV69" i="7"/>
  <c r="BV70" i="7" s="1"/>
  <c r="CZ63" i="5"/>
  <c r="BW45" i="7"/>
  <c r="BX41" i="7" s="1"/>
  <c r="BW61" i="7"/>
  <c r="BW29" i="7"/>
  <c r="BX25" i="7" s="1"/>
  <c r="BW53" i="7"/>
  <c r="BX49" i="7" s="1"/>
  <c r="BW37" i="7"/>
  <c r="BX33" i="7" s="1"/>
  <c r="BU92" i="7"/>
  <c r="BU90" i="7"/>
  <c r="DA45" i="5"/>
  <c r="DA46" i="5" s="1"/>
  <c r="CZ19" i="4"/>
  <c r="BV83" i="7" l="1"/>
  <c r="BV88" i="7" s="1"/>
  <c r="BV89" i="7" s="1"/>
  <c r="BW72" i="7"/>
  <c r="CZ56" i="5"/>
  <c r="DA53" i="5"/>
  <c r="BW67" i="7"/>
  <c r="BV77" i="7"/>
  <c r="BV82" i="7" s="1"/>
  <c r="BW54" i="7"/>
  <c r="BW55" i="7" s="1"/>
  <c r="BX57" i="7"/>
  <c r="BW62" i="7"/>
  <c r="BU93" i="7"/>
  <c r="BU94" i="7"/>
  <c r="BU95" i="7"/>
  <c r="BU96" i="7"/>
  <c r="BU100" i="7"/>
  <c r="BW68" i="7"/>
  <c r="BW73" i="7"/>
  <c r="BW65" i="7"/>
  <c r="BX42" i="7"/>
  <c r="BX43" i="7" s="1"/>
  <c r="BW46" i="7"/>
  <c r="BW47" i="7" s="1"/>
  <c r="BW38" i="7"/>
  <c r="BW39" i="7" s="1"/>
  <c r="BX50" i="7"/>
  <c r="BX51" i="7" s="1"/>
  <c r="BW30" i="7"/>
  <c r="BW31" i="7" s="1"/>
  <c r="BX34" i="7"/>
  <c r="BX35" i="7" s="1"/>
  <c r="DA47" i="5"/>
  <c r="DA16" i="4"/>
  <c r="BX26" i="7"/>
  <c r="BX27" i="7" s="1"/>
  <c r="CZ64" i="5"/>
  <c r="CZ50" i="5"/>
  <c r="DA43" i="5" s="1"/>
  <c r="CZ58" i="5" l="1"/>
  <c r="CZ78" i="5" s="1"/>
  <c r="DB23" i="7" s="1"/>
  <c r="DB87" i="7" s="1"/>
  <c r="BV85" i="7"/>
  <c r="BV98" i="7" s="1"/>
  <c r="BV79" i="7"/>
  <c r="BV81" i="7"/>
  <c r="BV80" i="7"/>
  <c r="BV78" i="7"/>
  <c r="BW69" i="7"/>
  <c r="BX67" i="7" s="1"/>
  <c r="BW74" i="7"/>
  <c r="BW75" i="7" s="1"/>
  <c r="DA68" i="5"/>
  <c r="BU108" i="7"/>
  <c r="BU116" i="7" s="1"/>
  <c r="BU102" i="7"/>
  <c r="BW63" i="7"/>
  <c r="DA18" i="4"/>
  <c r="DB44" i="5" s="1"/>
  <c r="DA48" i="5"/>
  <c r="BX58" i="7"/>
  <c r="BX59" i="7" s="1"/>
  <c r="BX60" i="7" s="1"/>
  <c r="BW70" i="7" l="1"/>
  <c r="BW83" i="7" s="1"/>
  <c r="BW88" i="7" s="1"/>
  <c r="BW89" i="7" s="1"/>
  <c r="BW77" i="7"/>
  <c r="BW79" i="7" s="1"/>
  <c r="BX72" i="7"/>
  <c r="DA49" i="5"/>
  <c r="BX28" i="7"/>
  <c r="BX44" i="7"/>
  <c r="BU107" i="7"/>
  <c r="BU115" i="7" s="1"/>
  <c r="BU123" i="7" s="1"/>
  <c r="BU104" i="7"/>
  <c r="BU112" i="7" s="1"/>
  <c r="BU120" i="7" s="1"/>
  <c r="BU106" i="7"/>
  <c r="BU114" i="7" s="1"/>
  <c r="BU122" i="7" s="1"/>
  <c r="BU103" i="7"/>
  <c r="BU111" i="7" s="1"/>
  <c r="BU119" i="7" s="1"/>
  <c r="BU105" i="7"/>
  <c r="BU113" i="7" s="1"/>
  <c r="BU121" i="7" s="1"/>
  <c r="BX52" i="7"/>
  <c r="BV92" i="7"/>
  <c r="BV90" i="7"/>
  <c r="DB45" i="5"/>
  <c r="DB46" i="5" s="1"/>
  <c r="DA19" i="4"/>
  <c r="BX36" i="7"/>
  <c r="BW82" i="7" l="1"/>
  <c r="BW80" i="7"/>
  <c r="DA54" i="5"/>
  <c r="DA55" i="5"/>
  <c r="BW81" i="7"/>
  <c r="BW78" i="7"/>
  <c r="BW85" i="7"/>
  <c r="BW98" i="7" s="1"/>
  <c r="DA63" i="5"/>
  <c r="DA64" i="5" s="1"/>
  <c r="BX53" i="7"/>
  <c r="BY49" i="7" s="1"/>
  <c r="BY50" i="7" s="1"/>
  <c r="BY51" i="7" s="1"/>
  <c r="BX29" i="7"/>
  <c r="BX45" i="7"/>
  <c r="BY41" i="7" s="1"/>
  <c r="BV94" i="7"/>
  <c r="BV93" i="7"/>
  <c r="BV96" i="7"/>
  <c r="BV95" i="7"/>
  <c r="BV100" i="7"/>
  <c r="DB47" i="5"/>
  <c r="DB48" i="5" s="1"/>
  <c r="DB16" i="4"/>
  <c r="BX37" i="7"/>
  <c r="BY33" i="7" s="1"/>
  <c r="BX61" i="7"/>
  <c r="DA56" i="5" l="1"/>
  <c r="DB53" i="5"/>
  <c r="DA50" i="5"/>
  <c r="DB43" i="5" s="1"/>
  <c r="BX54" i="7"/>
  <c r="BX55" i="7" s="1"/>
  <c r="BX46" i="7"/>
  <c r="BX47" i="7" s="1"/>
  <c r="BY34" i="7"/>
  <c r="BY35" i="7" s="1"/>
  <c r="DB49" i="5"/>
  <c r="DB68" i="5"/>
  <c r="BX38" i="7"/>
  <c r="BX39" i="7" s="1"/>
  <c r="DB18" i="4"/>
  <c r="DC44" i="5" s="1"/>
  <c r="BV108" i="7"/>
  <c r="BV116" i="7" s="1"/>
  <c r="BV102" i="7"/>
  <c r="BY42" i="7"/>
  <c r="BY43" i="7" s="1"/>
  <c r="BY25" i="7"/>
  <c r="BX30" i="7"/>
  <c r="BX31" i="7" s="1"/>
  <c r="BX73" i="7"/>
  <c r="BX65" i="7"/>
  <c r="BX68" i="7"/>
  <c r="BW92" i="7"/>
  <c r="BW90" i="7"/>
  <c r="BY57" i="7"/>
  <c r="BX62" i="7"/>
  <c r="DA58" i="5" l="1"/>
  <c r="DA78" i="5" s="1"/>
  <c r="DC23" i="7" s="1"/>
  <c r="DC87" i="7" s="1"/>
  <c r="DB54" i="5"/>
  <c r="DB55" i="5"/>
  <c r="DC53" i="5" s="1"/>
  <c r="DB63" i="5"/>
  <c r="DB64" i="5" s="1"/>
  <c r="DB19" i="4"/>
  <c r="DC47" i="5" s="1"/>
  <c r="DC68" i="5" s="1"/>
  <c r="BX69" i="7"/>
  <c r="BY67" i="7" s="1"/>
  <c r="BV105" i="7"/>
  <c r="BV113" i="7" s="1"/>
  <c r="BV121" i="7" s="1"/>
  <c r="BV106" i="7"/>
  <c r="BV114" i="7" s="1"/>
  <c r="BV122" i="7" s="1"/>
  <c r="BV107" i="7"/>
  <c r="BV115" i="7" s="1"/>
  <c r="BV123" i="7" s="1"/>
  <c r="BV103" i="7"/>
  <c r="BV111" i="7" s="1"/>
  <c r="BV119" i="7" s="1"/>
  <c r="BV104" i="7"/>
  <c r="BV112" i="7" s="1"/>
  <c r="BV120" i="7" s="1"/>
  <c r="DC45" i="5"/>
  <c r="DC46" i="5" s="1"/>
  <c r="BY58" i="7"/>
  <c r="BY59" i="7" s="1"/>
  <c r="BX74" i="7"/>
  <c r="BX75" i="7" s="1"/>
  <c r="BW95" i="7"/>
  <c r="BW94" i="7"/>
  <c r="BW96" i="7"/>
  <c r="BW93" i="7"/>
  <c r="BW100" i="7"/>
  <c r="BY26" i="7"/>
  <c r="BY27" i="7" s="1"/>
  <c r="BX63" i="7"/>
  <c r="DC16" i="4" l="1"/>
  <c r="DB56" i="5"/>
  <c r="DB50" i="5"/>
  <c r="DC43" i="5" s="1"/>
  <c r="BY72" i="7"/>
  <c r="DC18" i="4"/>
  <c r="DD44" i="5" s="1"/>
  <c r="BX70" i="7"/>
  <c r="BX83" i="7" s="1"/>
  <c r="BX77" i="7"/>
  <c r="BW102" i="7"/>
  <c r="BW108" i="7"/>
  <c r="BW116" i="7" s="1"/>
  <c r="BY60" i="7"/>
  <c r="BY44" i="7"/>
  <c r="BY52" i="7"/>
  <c r="BY28" i="7"/>
  <c r="BY36" i="7"/>
  <c r="DC48" i="5"/>
  <c r="DC49" i="5" s="1"/>
  <c r="DB58" i="5" l="1"/>
  <c r="DB78" i="5" s="1"/>
  <c r="DD23" i="7" s="1"/>
  <c r="DD87" i="7" s="1"/>
  <c r="DC55" i="5"/>
  <c r="DC54" i="5"/>
  <c r="DC63" i="5"/>
  <c r="DC64" i="5" s="1"/>
  <c r="BX88" i="7"/>
  <c r="BX89" i="7" s="1"/>
  <c r="DD45" i="5"/>
  <c r="DD46" i="5" s="1"/>
  <c r="BX81" i="7"/>
  <c r="BX78" i="7"/>
  <c r="BX82" i="7"/>
  <c r="BX79" i="7"/>
  <c r="BX80" i="7"/>
  <c r="BX85" i="7"/>
  <c r="BY37" i="7"/>
  <c r="BZ33" i="7" s="1"/>
  <c r="BY61" i="7"/>
  <c r="BZ57" i="7" s="1"/>
  <c r="BY45" i="7"/>
  <c r="BZ41" i="7" s="1"/>
  <c r="BY29" i="7"/>
  <c r="BZ25" i="7" s="1"/>
  <c r="BY53" i="7"/>
  <c r="BZ49" i="7" s="1"/>
  <c r="BW105" i="7"/>
  <c r="BW113" i="7" s="1"/>
  <c r="BW121" i="7" s="1"/>
  <c r="BW104" i="7"/>
  <c r="BW112" i="7" s="1"/>
  <c r="BW120" i="7" s="1"/>
  <c r="BW106" i="7"/>
  <c r="BW114" i="7" s="1"/>
  <c r="BW122" i="7" s="1"/>
  <c r="BW103" i="7"/>
  <c r="BW111" i="7" s="1"/>
  <c r="BW119" i="7" s="1"/>
  <c r="BW107" i="7"/>
  <c r="BW115" i="7" s="1"/>
  <c r="BW123" i="7" s="1"/>
  <c r="DC19" i="4"/>
  <c r="DC50" i="5" l="1"/>
  <c r="DD43" i="5" s="1"/>
  <c r="DC56" i="5"/>
  <c r="DD53" i="5"/>
  <c r="BY73" i="7"/>
  <c r="BZ42" i="7"/>
  <c r="BZ43" i="7" s="1"/>
  <c r="BX98" i="7"/>
  <c r="BZ58" i="7"/>
  <c r="BZ59" i="7" s="1"/>
  <c r="BZ26" i="7"/>
  <c r="BZ27" i="7" s="1"/>
  <c r="BY62" i="7"/>
  <c r="BZ50" i="7"/>
  <c r="BZ51" i="7" s="1"/>
  <c r="BY30" i="7"/>
  <c r="BY31" i="7" s="1"/>
  <c r="DD47" i="5"/>
  <c r="DD48" i="5" s="1"/>
  <c r="DD16" i="4"/>
  <c r="BZ34" i="7"/>
  <c r="BZ35" i="7" s="1"/>
  <c r="BY54" i="7"/>
  <c r="BY55" i="7" s="1"/>
  <c r="BY65" i="7"/>
  <c r="BY38" i="7"/>
  <c r="BY39" i="7" s="1"/>
  <c r="BY68" i="7"/>
  <c r="BY46" i="7"/>
  <c r="BY47" i="7" s="1"/>
  <c r="DC58" i="5" l="1"/>
  <c r="DC78" i="5" s="1"/>
  <c r="DE23" i="7" s="1"/>
  <c r="DE87" i="7" s="1"/>
  <c r="BY63" i="7"/>
  <c r="BY69" i="7"/>
  <c r="BZ60" i="7"/>
  <c r="BZ36" i="7"/>
  <c r="BZ28" i="7"/>
  <c r="BZ52" i="7"/>
  <c r="BZ44" i="7"/>
  <c r="BX90" i="7"/>
  <c r="BX92" i="7"/>
  <c r="DD49" i="5"/>
  <c r="DD68" i="5"/>
  <c r="BY74" i="7"/>
  <c r="BY75" i="7" s="1"/>
  <c r="DD18" i="4"/>
  <c r="DE44" i="5" s="1"/>
  <c r="DD54" i="5" l="1"/>
  <c r="DD55" i="5"/>
  <c r="DE53" i="5" s="1"/>
  <c r="DD63" i="5"/>
  <c r="DD50" i="5" s="1"/>
  <c r="DE43" i="5" s="1"/>
  <c r="BZ72" i="7"/>
  <c r="DD19" i="4"/>
  <c r="BX93" i="7"/>
  <c r="BX94" i="7"/>
  <c r="BX96" i="7"/>
  <c r="BX95" i="7"/>
  <c r="BX100" i="7"/>
  <c r="BY70" i="7"/>
  <c r="BY83" i="7" s="1"/>
  <c r="BY77" i="7"/>
  <c r="BZ67" i="7"/>
  <c r="BZ61" i="7"/>
  <c r="BZ45" i="7"/>
  <c r="CA41" i="7" s="1"/>
  <c r="BZ29" i="7"/>
  <c r="CA25" i="7" s="1"/>
  <c r="BZ53" i="7"/>
  <c r="CA49" i="7" s="1"/>
  <c r="BZ37" i="7"/>
  <c r="CA33" i="7" s="1"/>
  <c r="DE45" i="5"/>
  <c r="DE46" i="5" s="1"/>
  <c r="DD56" i="5" l="1"/>
  <c r="DD58" i="5" s="1"/>
  <c r="DD64" i="5"/>
  <c r="BZ30" i="7"/>
  <c r="BZ31" i="7" s="1"/>
  <c r="DE47" i="5"/>
  <c r="DE68" i="5" s="1"/>
  <c r="DE16" i="4"/>
  <c r="BZ38" i="7"/>
  <c r="BZ39" i="7" s="1"/>
  <c r="CA26" i="7"/>
  <c r="CA27" i="7" s="1"/>
  <c r="BZ46" i="7"/>
  <c r="BZ47" i="7" s="1"/>
  <c r="BY78" i="7"/>
  <c r="BY80" i="7"/>
  <c r="BY79" i="7"/>
  <c r="BY81" i="7"/>
  <c r="BY82" i="7"/>
  <c r="BY85" i="7"/>
  <c r="BY88" i="7"/>
  <c r="BY89" i="7" s="1"/>
  <c r="BZ73" i="7"/>
  <c r="BX108" i="7"/>
  <c r="BX116" i="7" s="1"/>
  <c r="BX102" i="7"/>
  <c r="CA42" i="7"/>
  <c r="CA43" i="7" s="1"/>
  <c r="CA57" i="7"/>
  <c r="BZ62" i="7"/>
  <c r="BZ65" i="7"/>
  <c r="CA34" i="7"/>
  <c r="CA35" i="7" s="1"/>
  <c r="BZ68" i="7"/>
  <c r="BZ54" i="7"/>
  <c r="BZ55" i="7" s="1"/>
  <c r="CA50" i="7"/>
  <c r="CA51" i="7" s="1"/>
  <c r="DD78" i="5" l="1"/>
  <c r="DF23" i="7" s="1"/>
  <c r="DF87" i="7" s="1"/>
  <c r="DE48" i="5"/>
  <c r="DE18" i="4"/>
  <c r="DF44" i="5" s="1"/>
  <c r="BZ69" i="7"/>
  <c r="BZ70" i="7" s="1"/>
  <c r="BY98" i="7"/>
  <c r="BZ74" i="7"/>
  <c r="BZ75" i="7" s="1"/>
  <c r="BZ63" i="7"/>
  <c r="CA58" i="7"/>
  <c r="CA59" i="7" s="1"/>
  <c r="CA60" i="7" s="1"/>
  <c r="BX104" i="7"/>
  <c r="BX112" i="7" s="1"/>
  <c r="BX120" i="7" s="1"/>
  <c r="BX106" i="7"/>
  <c r="BX114" i="7" s="1"/>
  <c r="BX122" i="7" s="1"/>
  <c r="BX107" i="7"/>
  <c r="BX115" i="7" s="1"/>
  <c r="BX123" i="7" s="1"/>
  <c r="BX103" i="7"/>
  <c r="BX111" i="7" s="1"/>
  <c r="BX119" i="7" s="1"/>
  <c r="BX105" i="7"/>
  <c r="BX113" i="7" s="1"/>
  <c r="BX121" i="7" s="1"/>
  <c r="DE49" i="5" l="1"/>
  <c r="DE63" i="5" s="1"/>
  <c r="DE50" i="5" s="1"/>
  <c r="DF43" i="5" s="1"/>
  <c r="CA67" i="7"/>
  <c r="DE19" i="4"/>
  <c r="DF47" i="5" s="1"/>
  <c r="DF68" i="5" s="1"/>
  <c r="CA28" i="7"/>
  <c r="DF45" i="5"/>
  <c r="DF46" i="5" s="1"/>
  <c r="CA36" i="7"/>
  <c r="CA44" i="7"/>
  <c r="CA72" i="7"/>
  <c r="BY90" i="7"/>
  <c r="BY92" i="7"/>
  <c r="BZ77" i="7"/>
  <c r="CA52" i="7"/>
  <c r="BZ83" i="7"/>
  <c r="DF16" i="4" l="1"/>
  <c r="DF18" i="4" s="1"/>
  <c r="DG44" i="5" s="1"/>
  <c r="DE64" i="5"/>
  <c r="DE54" i="5"/>
  <c r="DE55" i="5"/>
  <c r="DF53" i="5" s="1"/>
  <c r="CA61" i="7"/>
  <c r="CB57" i="7" s="1"/>
  <c r="CB58" i="7" s="1"/>
  <c r="CB59" i="7" s="1"/>
  <c r="DF19" i="4"/>
  <c r="DG16" i="4" s="1"/>
  <c r="DG45" i="5"/>
  <c r="DG46" i="5" s="1"/>
  <c r="DF48" i="5"/>
  <c r="CA53" i="7"/>
  <c r="CB49" i="7" s="1"/>
  <c r="CB50" i="7" s="1"/>
  <c r="CB51" i="7" s="1"/>
  <c r="BZ81" i="7"/>
  <c r="BZ79" i="7"/>
  <c r="BZ80" i="7"/>
  <c r="BZ82" i="7"/>
  <c r="BZ78" i="7"/>
  <c r="BZ85" i="7"/>
  <c r="BZ88" i="7"/>
  <c r="BZ89" i="7" s="1"/>
  <c r="BY96" i="7"/>
  <c r="BY95" i="7"/>
  <c r="BY93" i="7"/>
  <c r="BY94" i="7"/>
  <c r="BY100" i="7"/>
  <c r="CA29" i="7"/>
  <c r="CA45" i="7"/>
  <c r="CA37" i="7"/>
  <c r="DG47" i="5" l="1"/>
  <c r="DG48" i="5" s="1"/>
  <c r="DG49" i="5" s="1"/>
  <c r="DE56" i="5"/>
  <c r="DE58" i="5" s="1"/>
  <c r="DE78" i="5" s="1"/>
  <c r="DG23" i="7" s="1"/>
  <c r="DG87" i="7" s="1"/>
  <c r="CA62" i="7"/>
  <c r="CA63" i="7" s="1"/>
  <c r="DF49" i="5"/>
  <c r="CA54" i="7"/>
  <c r="CA55" i="7" s="1"/>
  <c r="BZ98" i="7"/>
  <c r="CB41" i="7"/>
  <c r="CA46" i="7"/>
  <c r="CA47" i="7" s="1"/>
  <c r="CB25" i="7"/>
  <c r="CA73" i="7"/>
  <c r="CA30" i="7"/>
  <c r="CA31" i="7" s="1"/>
  <c r="CA68" i="7"/>
  <c r="CA65" i="7"/>
  <c r="BY108" i="7"/>
  <c r="BY116" i="7" s="1"/>
  <c r="BY102" i="7"/>
  <c r="DG18" i="4"/>
  <c r="DH44" i="5" s="1"/>
  <c r="CB33" i="7"/>
  <c r="CA38" i="7"/>
  <c r="CA39" i="7" s="1"/>
  <c r="DG68" i="5"/>
  <c r="DF54" i="5" l="1"/>
  <c r="DF55" i="5"/>
  <c r="DF56" i="5" s="1"/>
  <c r="DF63" i="5"/>
  <c r="DF50" i="5" s="1"/>
  <c r="DG43" i="5" s="1"/>
  <c r="DG63" i="5" s="1"/>
  <c r="BZ92" i="7"/>
  <c r="BZ90" i="7"/>
  <c r="DH45" i="5"/>
  <c r="DH46" i="5" s="1"/>
  <c r="DG19" i="4"/>
  <c r="CB42" i="7"/>
  <c r="CB43" i="7" s="1"/>
  <c r="CA69" i="7"/>
  <c r="CB67" i="7" s="1"/>
  <c r="CB34" i="7"/>
  <c r="CB35" i="7" s="1"/>
  <c r="CA74" i="7"/>
  <c r="CA75" i="7" s="1"/>
  <c r="BY105" i="7"/>
  <c r="BY113" i="7" s="1"/>
  <c r="BY121" i="7" s="1"/>
  <c r="BY103" i="7"/>
  <c r="BY111" i="7" s="1"/>
  <c r="BY119" i="7" s="1"/>
  <c r="BY104" i="7"/>
  <c r="BY112" i="7" s="1"/>
  <c r="BY120" i="7" s="1"/>
  <c r="BY107" i="7"/>
  <c r="BY115" i="7" s="1"/>
  <c r="BY123" i="7" s="1"/>
  <c r="BY106" i="7"/>
  <c r="BY114" i="7" s="1"/>
  <c r="BY122" i="7" s="1"/>
  <c r="CB26" i="7"/>
  <c r="CB27" i="7" s="1"/>
  <c r="DF64" i="5" l="1"/>
  <c r="DG55" i="5"/>
  <c r="DG56" i="5" s="1"/>
  <c r="DF58" i="5"/>
  <c r="DG53" i="5"/>
  <c r="DG54" i="5" s="1"/>
  <c r="DG64" i="5"/>
  <c r="DG50" i="5"/>
  <c r="DH43" i="5" s="1"/>
  <c r="CB44" i="7"/>
  <c r="CB28" i="7"/>
  <c r="CB36" i="7"/>
  <c r="CB60" i="7"/>
  <c r="CB52" i="7"/>
  <c r="CA70" i="7"/>
  <c r="CA83" i="7" s="1"/>
  <c r="CA77" i="7"/>
  <c r="CB72" i="7"/>
  <c r="BZ96" i="7"/>
  <c r="BZ93" i="7"/>
  <c r="BZ95" i="7"/>
  <c r="BZ94" i="7"/>
  <c r="BZ100" i="7"/>
  <c r="DH47" i="5"/>
  <c r="DH16" i="4"/>
  <c r="DF78" i="5" l="1"/>
  <c r="DH23" i="7" s="1"/>
  <c r="DH87" i="7" s="1"/>
  <c r="DG58" i="5"/>
  <c r="DG78" i="5" s="1"/>
  <c r="DI23" i="7" s="1"/>
  <c r="DI87" i="7" s="1"/>
  <c r="DH53" i="5"/>
  <c r="DH18" i="4"/>
  <c r="DI44" i="5" s="1"/>
  <c r="CA88" i="7"/>
  <c r="CA89" i="7" s="1"/>
  <c r="CB37" i="7"/>
  <c r="CC33" i="7" s="1"/>
  <c r="CB61" i="7"/>
  <c r="CC57" i="7" s="1"/>
  <c r="CB45" i="7"/>
  <c r="CC41" i="7" s="1"/>
  <c r="CB53" i="7"/>
  <c r="CC49" i="7" s="1"/>
  <c r="CB29" i="7"/>
  <c r="CC25" i="7" s="1"/>
  <c r="DH68" i="5"/>
  <c r="BZ102" i="7"/>
  <c r="BZ108" i="7"/>
  <c r="BZ116" i="7" s="1"/>
  <c r="DH48" i="5"/>
  <c r="CA78" i="7"/>
  <c r="CA80" i="7"/>
  <c r="CA81" i="7"/>
  <c r="CA82" i="7"/>
  <c r="CA79" i="7"/>
  <c r="CA85" i="7"/>
  <c r="DH49" i="5" l="1"/>
  <c r="DH54" i="5" s="1"/>
  <c r="CB30" i="7"/>
  <c r="CB31" i="7" s="1"/>
  <c r="DH19" i="4"/>
  <c r="CB62" i="7"/>
  <c r="CB63" i="7" s="1"/>
  <c r="CB65" i="7"/>
  <c r="DI45" i="5"/>
  <c r="DI46" i="5" s="1"/>
  <c r="BZ103" i="7"/>
  <c r="BZ111" i="7" s="1"/>
  <c r="BZ119" i="7" s="1"/>
  <c r="BZ105" i="7"/>
  <c r="BZ113" i="7" s="1"/>
  <c r="BZ121" i="7" s="1"/>
  <c r="BZ106" i="7"/>
  <c r="BZ114" i="7" s="1"/>
  <c r="BZ122" i="7" s="1"/>
  <c r="BZ107" i="7"/>
  <c r="BZ115" i="7" s="1"/>
  <c r="BZ123" i="7" s="1"/>
  <c r="BZ104" i="7"/>
  <c r="BZ112" i="7" s="1"/>
  <c r="BZ120" i="7" s="1"/>
  <c r="CC26" i="7"/>
  <c r="CC27" i="7" s="1"/>
  <c r="CC50" i="7"/>
  <c r="CC51" i="7" s="1"/>
  <c r="CC42" i="7"/>
  <c r="CC43" i="7" s="1"/>
  <c r="CB73" i="7"/>
  <c r="CB68" i="7"/>
  <c r="CB46" i="7"/>
  <c r="CB47" i="7" s="1"/>
  <c r="CC58" i="7"/>
  <c r="CC59" i="7" s="1"/>
  <c r="CA98" i="7"/>
  <c r="CC34" i="7"/>
  <c r="CC35" i="7" s="1"/>
  <c r="CB38" i="7"/>
  <c r="CB39" i="7" s="1"/>
  <c r="CB54" i="7"/>
  <c r="CB55" i="7" s="1"/>
  <c r="DH63" i="5" l="1"/>
  <c r="DH64" i="5" s="1"/>
  <c r="DH55" i="5"/>
  <c r="DH56" i="5" s="1"/>
  <c r="DH58" i="5" s="1"/>
  <c r="DI47" i="5"/>
  <c r="DI68" i="5" s="1"/>
  <c r="DI16" i="4"/>
  <c r="CB69" i="7"/>
  <c r="CC67" i="7" s="1"/>
  <c r="CA90" i="7"/>
  <c r="CA92" i="7"/>
  <c r="CC28" i="7"/>
  <c r="CC52" i="7"/>
  <c r="CC36" i="7"/>
  <c r="CC60" i="7"/>
  <c r="CC44" i="7"/>
  <c r="CB74" i="7"/>
  <c r="CB75" i="7" s="1"/>
  <c r="DH50" i="5" l="1"/>
  <c r="DI43" i="5" s="1"/>
  <c r="DI53" i="5"/>
  <c r="DH78" i="5"/>
  <c r="DJ23" i="7" s="1"/>
  <c r="DJ87" i="7" s="1"/>
  <c r="DI48" i="5"/>
  <c r="CC72" i="7"/>
  <c r="DI18" i="4"/>
  <c r="DJ44" i="5" s="1"/>
  <c r="CA95" i="7"/>
  <c r="CA93" i="7"/>
  <c r="CA94" i="7"/>
  <c r="CA96" i="7"/>
  <c r="CA100" i="7"/>
  <c r="CC29" i="7"/>
  <c r="CD25" i="7" s="1"/>
  <c r="CC45" i="7"/>
  <c r="CD41" i="7" s="1"/>
  <c r="CC61" i="7"/>
  <c r="CD57" i="7" s="1"/>
  <c r="CC53" i="7"/>
  <c r="CD49" i="7" s="1"/>
  <c r="CC37" i="7"/>
  <c r="CD33" i="7" s="1"/>
  <c r="CB70" i="7"/>
  <c r="CB83" i="7" s="1"/>
  <c r="CB77" i="7"/>
  <c r="DI49" i="5" l="1"/>
  <c r="DJ45" i="5"/>
  <c r="M28" i="6"/>
  <c r="DI19" i="4"/>
  <c r="CC38" i="7"/>
  <c r="CC39" i="7" s="1"/>
  <c r="CC54" i="7"/>
  <c r="CC55" i="7" s="1"/>
  <c r="CC62" i="7"/>
  <c r="CC63" i="7" s="1"/>
  <c r="CB88" i="7"/>
  <c r="CB89" i="7" s="1"/>
  <c r="CD50" i="7"/>
  <c r="CD51" i="7" s="1"/>
  <c r="CD58" i="7"/>
  <c r="CD59" i="7" s="1"/>
  <c r="CD42" i="7"/>
  <c r="CD43" i="7" s="1"/>
  <c r="CD26" i="7"/>
  <c r="CD27" i="7" s="1"/>
  <c r="CC30" i="7"/>
  <c r="CC31" i="7" s="1"/>
  <c r="CC73" i="7"/>
  <c r="CC65" i="7"/>
  <c r="CA108" i="7"/>
  <c r="CA116" i="7" s="1"/>
  <c r="CA102" i="7"/>
  <c r="CB82" i="7"/>
  <c r="CB80" i="7"/>
  <c r="CB78" i="7"/>
  <c r="CB79" i="7"/>
  <c r="CB81" i="7"/>
  <c r="CB85" i="7"/>
  <c r="CC46" i="7"/>
  <c r="CC47" i="7" s="1"/>
  <c r="CD34" i="7"/>
  <c r="CD35" i="7" s="1"/>
  <c r="CC68" i="7"/>
  <c r="DI54" i="5" l="1"/>
  <c r="DI55" i="5"/>
  <c r="DJ53" i="5" s="1"/>
  <c r="DI63" i="5"/>
  <c r="DI64" i="5" s="1"/>
  <c r="DJ47" i="5"/>
  <c r="DJ48" i="5" s="1"/>
  <c r="DJ16" i="4"/>
  <c r="DJ46" i="5"/>
  <c r="CD36" i="7"/>
  <c r="CD28" i="7"/>
  <c r="CD44" i="7"/>
  <c r="CD60" i="7"/>
  <c r="CD52" i="7"/>
  <c r="CC69" i="7"/>
  <c r="CD67" i="7" s="1"/>
  <c r="CA103" i="7"/>
  <c r="CA111" i="7" s="1"/>
  <c r="CA119" i="7" s="1"/>
  <c r="CA106" i="7"/>
  <c r="CA114" i="7" s="1"/>
  <c r="CA122" i="7" s="1"/>
  <c r="CA105" i="7"/>
  <c r="CA113" i="7" s="1"/>
  <c r="CA121" i="7" s="1"/>
  <c r="CA107" i="7"/>
  <c r="CA115" i="7" s="1"/>
  <c r="CA123" i="7" s="1"/>
  <c r="CA104" i="7"/>
  <c r="CA112" i="7" s="1"/>
  <c r="CA120" i="7" s="1"/>
  <c r="CB98" i="7"/>
  <c r="CC74" i="7"/>
  <c r="CC75" i="7" s="1"/>
  <c r="DI56" i="5" l="1"/>
  <c r="DI58" i="5" s="1"/>
  <c r="DI78" i="5" s="1"/>
  <c r="DK23" i="7" s="1"/>
  <c r="DK87" i="7" s="1"/>
  <c r="DI50" i="5"/>
  <c r="DJ43" i="5" s="1"/>
  <c r="DJ49" i="5"/>
  <c r="M33" i="6" s="1"/>
  <c r="DJ18" i="4"/>
  <c r="DK44" i="5" s="1"/>
  <c r="M29" i="6"/>
  <c r="DJ68" i="5"/>
  <c r="CD72" i="7"/>
  <c r="CD29" i="7"/>
  <c r="CE25" i="7" s="1"/>
  <c r="CD37" i="7"/>
  <c r="CE33" i="7" s="1"/>
  <c r="CD53" i="7"/>
  <c r="CE49" i="7" s="1"/>
  <c r="CD45" i="7"/>
  <c r="CE41" i="7" s="1"/>
  <c r="CD61" i="7"/>
  <c r="CE57" i="7" s="1"/>
  <c r="CB92" i="7"/>
  <c r="CB90" i="7"/>
  <c r="CC70" i="7"/>
  <c r="CC83" i="7" s="1"/>
  <c r="CC77" i="7"/>
  <c r="DJ19" i="4" l="1"/>
  <c r="DK47" i="5" s="1"/>
  <c r="DJ63" i="5"/>
  <c r="DJ64" i="5" s="1"/>
  <c r="DJ55" i="5"/>
  <c r="DK53" i="5" s="1"/>
  <c r="DJ54" i="5"/>
  <c r="DK16" i="4"/>
  <c r="DK18" i="4" s="1"/>
  <c r="DL44" i="5" s="1"/>
  <c r="DL45" i="5" s="1"/>
  <c r="M31" i="6"/>
  <c r="M30" i="6"/>
  <c r="M37" i="6" s="1"/>
  <c r="L8" i="9" s="1"/>
  <c r="BJ20" i="10" s="1"/>
  <c r="DK45" i="5"/>
  <c r="DK46" i="5" s="1"/>
  <c r="DK68" i="5"/>
  <c r="CD38" i="7"/>
  <c r="CD39" i="7" s="1"/>
  <c r="CD65" i="7"/>
  <c r="CD73" i="7"/>
  <c r="CD30" i="7"/>
  <c r="CD31" i="7" s="1"/>
  <c r="CB93" i="7"/>
  <c r="CB95" i="7"/>
  <c r="CB96" i="7"/>
  <c r="CB94" i="7"/>
  <c r="CB100" i="7"/>
  <c r="CD62" i="7"/>
  <c r="CC81" i="7"/>
  <c r="CC78" i="7"/>
  <c r="CC79" i="7"/>
  <c r="CC82" i="7"/>
  <c r="CC80" i="7"/>
  <c r="CC85" i="7"/>
  <c r="CD68" i="7"/>
  <c r="CC88" i="7"/>
  <c r="CC89" i="7" s="1"/>
  <c r="CE50" i="7"/>
  <c r="CE51" i="7" s="1"/>
  <c r="CE58" i="7"/>
  <c r="CE59" i="7" s="1"/>
  <c r="CD54" i="7"/>
  <c r="CD55" i="7" s="1"/>
  <c r="CE42" i="7"/>
  <c r="CE43" i="7" s="1"/>
  <c r="CE34" i="7"/>
  <c r="CE35" i="7" s="1"/>
  <c r="CE26" i="7"/>
  <c r="CE27" i="7" s="1"/>
  <c r="CD46" i="7"/>
  <c r="CD47" i="7" s="1"/>
  <c r="DJ50" i="5" l="1"/>
  <c r="DK43" i="5" s="1"/>
  <c r="DJ56" i="5"/>
  <c r="DK48" i="5"/>
  <c r="DK49" i="5" s="1"/>
  <c r="DK19" i="4"/>
  <c r="DL47" i="5" s="1"/>
  <c r="DL68" i="5" s="1"/>
  <c r="DL46" i="5"/>
  <c r="CD74" i="7"/>
  <c r="CD75" i="7" s="1"/>
  <c r="CD69" i="7"/>
  <c r="CE67" i="7" s="1"/>
  <c r="CD63" i="7"/>
  <c r="CC98" i="7"/>
  <c r="CB108" i="7"/>
  <c r="CB116" i="7" s="1"/>
  <c r="CB102" i="7"/>
  <c r="CE28" i="7"/>
  <c r="CE60" i="7"/>
  <c r="CE52" i="7"/>
  <c r="CE44" i="7"/>
  <c r="CE36" i="7"/>
  <c r="DK63" i="5" l="1"/>
  <c r="DK64" i="5" s="1"/>
  <c r="DJ58" i="5"/>
  <c r="DJ78" i="5" s="1"/>
  <c r="DL23" i="7" s="1"/>
  <c r="DL87" i="7" s="1"/>
  <c r="M34" i="6"/>
  <c r="M35" i="6" s="1"/>
  <c r="L5" i="9" s="1"/>
  <c r="DL48" i="5"/>
  <c r="DL49" i="5" s="1"/>
  <c r="DK55" i="5"/>
  <c r="DL53" i="5" s="1"/>
  <c r="DK54" i="5"/>
  <c r="DL16" i="4"/>
  <c r="DL18" i="4" s="1"/>
  <c r="DM44" i="5" s="1"/>
  <c r="DM45" i="5" s="1"/>
  <c r="CE72" i="7"/>
  <c r="CB105" i="7"/>
  <c r="CB113" i="7" s="1"/>
  <c r="CB121" i="7" s="1"/>
  <c r="I30" i="8" s="1"/>
  <c r="I32" i="8" s="1"/>
  <c r="CB103" i="7"/>
  <c r="CB111" i="7" s="1"/>
  <c r="CB119" i="7" s="1"/>
  <c r="I8" i="8" s="1"/>
  <c r="I10" i="8" s="1"/>
  <c r="CB104" i="7"/>
  <c r="CB112" i="7" s="1"/>
  <c r="CB120" i="7" s="1"/>
  <c r="I19" i="8" s="1"/>
  <c r="I21" i="8" s="1"/>
  <c r="CB106" i="7"/>
  <c r="CB114" i="7" s="1"/>
  <c r="CB122" i="7" s="1"/>
  <c r="I41" i="8" s="1"/>
  <c r="I43" i="8" s="1"/>
  <c r="CB107" i="7"/>
  <c r="CB115" i="7" s="1"/>
  <c r="CB123" i="7" s="1"/>
  <c r="I52" i="8" s="1"/>
  <c r="I54" i="8" s="1"/>
  <c r="CD70" i="7"/>
  <c r="CD83" i="7" s="1"/>
  <c r="CD77" i="7"/>
  <c r="CC90" i="7"/>
  <c r="CC92" i="7"/>
  <c r="CE61" i="7"/>
  <c r="CF57" i="7" s="1"/>
  <c r="CE37" i="7"/>
  <c r="CF33" i="7" s="1"/>
  <c r="CE53" i="7"/>
  <c r="CF49" i="7" s="1"/>
  <c r="CE45" i="7"/>
  <c r="CF41" i="7" s="1"/>
  <c r="CE29" i="7"/>
  <c r="CF25" i="7" s="1"/>
  <c r="DK50" i="5" l="1"/>
  <c r="DL43" i="5" s="1"/>
  <c r="DL63" i="5" s="1"/>
  <c r="DL64" i="5" s="1"/>
  <c r="DL19" i="4"/>
  <c r="DM47" i="5" s="1"/>
  <c r="DM48" i="5" s="1"/>
  <c r="M39" i="6"/>
  <c r="L10" i="9" s="1"/>
  <c r="DK56" i="5"/>
  <c r="DK58" i="5" s="1"/>
  <c r="DL54" i="5"/>
  <c r="DL55" i="5"/>
  <c r="DM53" i="5" s="1"/>
  <c r="DM46" i="5"/>
  <c r="CE54" i="7"/>
  <c r="CE55" i="7" s="1"/>
  <c r="CE46" i="7"/>
  <c r="CE47" i="7" s="1"/>
  <c r="CC93" i="7"/>
  <c r="CC96" i="7"/>
  <c r="CC94" i="7"/>
  <c r="CC95" i="7"/>
  <c r="CC100" i="7"/>
  <c r="CF34" i="7"/>
  <c r="CF35" i="7" s="1"/>
  <c r="CF58" i="7"/>
  <c r="CF59" i="7" s="1"/>
  <c r="CE65" i="7"/>
  <c r="CE68" i="7"/>
  <c r="CF26" i="7"/>
  <c r="CF27" i="7" s="1"/>
  <c r="CE73" i="7"/>
  <c r="DM16" i="4"/>
  <c r="CF42" i="7"/>
  <c r="CF43" i="7" s="1"/>
  <c r="CE30" i="7"/>
  <c r="CE31" i="7" s="1"/>
  <c r="CE38" i="7"/>
  <c r="CE39" i="7" s="1"/>
  <c r="CD82" i="7"/>
  <c r="CD81" i="7"/>
  <c r="CD78" i="7"/>
  <c r="CD80" i="7"/>
  <c r="CD79" i="7"/>
  <c r="CD85" i="7"/>
  <c r="CF50" i="7"/>
  <c r="CF51" i="7" s="1"/>
  <c r="CD88" i="7"/>
  <c r="CD89" i="7" s="1"/>
  <c r="CE62" i="7"/>
  <c r="DK78" i="5" l="1"/>
  <c r="DM23" i="7" s="1"/>
  <c r="DM87" i="7" s="1"/>
  <c r="DL56" i="5"/>
  <c r="DL58" i="5" s="1"/>
  <c r="DL78" i="5" s="1"/>
  <c r="DN23" i="7" s="1"/>
  <c r="DN87" i="7" s="1"/>
  <c r="DL50" i="5"/>
  <c r="DM43" i="5" s="1"/>
  <c r="CE63" i="7"/>
  <c r="DM18" i="4"/>
  <c r="DN44" i="5" s="1"/>
  <c r="DM49" i="5"/>
  <c r="DM54" i="5" s="1"/>
  <c r="DM68" i="5"/>
  <c r="CF28" i="7"/>
  <c r="CF52" i="7"/>
  <c r="CF36" i="7"/>
  <c r="CF60" i="7"/>
  <c r="CF44" i="7"/>
  <c r="CD98" i="7"/>
  <c r="CE74" i="7"/>
  <c r="CE75" i="7" s="1"/>
  <c r="CE69" i="7"/>
  <c r="CC108" i="7"/>
  <c r="CC116" i="7" s="1"/>
  <c r="CC102" i="7"/>
  <c r="DM55" i="5" l="1"/>
  <c r="DN53" i="5" s="1"/>
  <c r="DM63" i="5"/>
  <c r="DM64" i="5" s="1"/>
  <c r="CF72" i="7"/>
  <c r="CC107" i="7"/>
  <c r="CC115" i="7" s="1"/>
  <c r="CC123" i="7" s="1"/>
  <c r="CC104" i="7"/>
  <c r="CC112" i="7" s="1"/>
  <c r="CC120" i="7" s="1"/>
  <c r="CC105" i="7"/>
  <c r="CC113" i="7" s="1"/>
  <c r="CC121" i="7" s="1"/>
  <c r="CC106" i="7"/>
  <c r="CC114" i="7" s="1"/>
  <c r="CC122" i="7" s="1"/>
  <c r="CC103" i="7"/>
  <c r="CC111" i="7" s="1"/>
  <c r="CC119" i="7" s="1"/>
  <c r="DN45" i="5"/>
  <c r="DN46" i="5" s="1"/>
  <c r="CE70" i="7"/>
  <c r="CE83" i="7" s="1"/>
  <c r="CE77" i="7"/>
  <c r="CF67" i="7"/>
  <c r="CD90" i="7"/>
  <c r="CD92" i="7"/>
  <c r="CF45" i="7"/>
  <c r="CG41" i="7" s="1"/>
  <c r="CF61" i="7"/>
  <c r="CF37" i="7"/>
  <c r="CG33" i="7" s="1"/>
  <c r="CF29" i="7"/>
  <c r="CG25" i="7" s="1"/>
  <c r="CF53" i="7"/>
  <c r="CG49" i="7" s="1"/>
  <c r="DM19" i="4"/>
  <c r="DM50" i="5" l="1"/>
  <c r="DN43" i="5" s="1"/>
  <c r="DM56" i="5"/>
  <c r="CF68" i="7"/>
  <c r="CD95" i="7"/>
  <c r="CD94" i="7"/>
  <c r="CD93" i="7"/>
  <c r="CD96" i="7"/>
  <c r="CD100" i="7"/>
  <c r="CF73" i="7"/>
  <c r="CG26" i="7"/>
  <c r="CG27" i="7" s="1"/>
  <c r="CF38" i="7"/>
  <c r="CF39" i="7" s="1"/>
  <c r="CG57" i="7"/>
  <c r="CF62" i="7"/>
  <c r="CG42" i="7"/>
  <c r="CG43" i="7" s="1"/>
  <c r="CE79" i="7"/>
  <c r="CE81" i="7"/>
  <c r="CE78" i="7"/>
  <c r="CE80" i="7"/>
  <c r="CE82" i="7"/>
  <c r="CE85" i="7"/>
  <c r="CF65" i="7"/>
  <c r="CE88" i="7"/>
  <c r="CE89" i="7" s="1"/>
  <c r="CF46" i="7"/>
  <c r="CF47" i="7" s="1"/>
  <c r="CG50" i="7"/>
  <c r="CG51" i="7" s="1"/>
  <c r="CG34" i="7"/>
  <c r="CG35" i="7" s="1"/>
  <c r="DN47" i="5"/>
  <c r="DN48" i="5" s="1"/>
  <c r="DN16" i="4"/>
  <c r="CF30" i="7"/>
  <c r="CF31" i="7" s="1"/>
  <c r="CF54" i="7"/>
  <c r="CF55" i="7" s="1"/>
  <c r="DM58" i="5" l="1"/>
  <c r="DM78" i="5" s="1"/>
  <c r="DO23" i="7" s="1"/>
  <c r="DO87" i="7" s="1"/>
  <c r="CE98" i="7"/>
  <c r="CF74" i="7"/>
  <c r="CF75" i="7" s="1"/>
  <c r="DN18" i="4"/>
  <c r="DO44" i="5" s="1"/>
  <c r="CG58" i="7"/>
  <c r="CG59" i="7" s="1"/>
  <c r="CG44" i="7" s="1"/>
  <c r="CF63" i="7"/>
  <c r="CF69" i="7"/>
  <c r="DN49" i="5"/>
  <c r="DN68" i="5"/>
  <c r="CD108" i="7"/>
  <c r="CD116" i="7" s="1"/>
  <c r="CD102" i="7"/>
  <c r="DN54" i="5" l="1"/>
  <c r="DN55" i="5"/>
  <c r="DO53" i="5" s="1"/>
  <c r="DN63" i="5"/>
  <c r="DN64" i="5" s="1"/>
  <c r="CG36" i="7"/>
  <c r="CG60" i="7"/>
  <c r="CG72" i="7"/>
  <c r="DO45" i="5"/>
  <c r="DO46" i="5" s="1"/>
  <c r="CE92" i="7"/>
  <c r="CE90" i="7"/>
  <c r="CG52" i="7"/>
  <c r="DN19" i="4"/>
  <c r="CD104" i="7"/>
  <c r="CD112" i="7" s="1"/>
  <c r="CD120" i="7" s="1"/>
  <c r="CD106" i="7"/>
  <c r="CD114" i="7" s="1"/>
  <c r="CD122" i="7" s="1"/>
  <c r="CD103" i="7"/>
  <c r="CD111" i="7" s="1"/>
  <c r="CD119" i="7" s="1"/>
  <c r="CD105" i="7"/>
  <c r="CD113" i="7" s="1"/>
  <c r="CD121" i="7" s="1"/>
  <c r="CD107" i="7"/>
  <c r="CD115" i="7" s="1"/>
  <c r="CD123" i="7" s="1"/>
  <c r="CF77" i="7"/>
  <c r="CF70" i="7"/>
  <c r="CF83" i="7" s="1"/>
  <c r="CG67" i="7"/>
  <c r="CG28" i="7"/>
  <c r="DN56" i="5" l="1"/>
  <c r="DN50" i="5"/>
  <c r="DO43" i="5" s="1"/>
  <c r="CF82" i="7"/>
  <c r="CF80" i="7"/>
  <c r="CF78" i="7"/>
  <c r="CF79" i="7"/>
  <c r="CF81" i="7"/>
  <c r="CF85" i="7"/>
  <c r="DO47" i="5"/>
  <c r="DO48" i="5" s="1"/>
  <c r="DO16" i="4"/>
  <c r="CG37" i="7"/>
  <c r="CG53" i="7"/>
  <c r="CH49" i="7" s="1"/>
  <c r="CG61" i="7"/>
  <c r="CH57" i="7" s="1"/>
  <c r="CG45" i="7"/>
  <c r="CG29" i="7"/>
  <c r="CH25" i="7" s="1"/>
  <c r="CE95" i="7"/>
  <c r="CE96" i="7"/>
  <c r="CE94" i="7"/>
  <c r="CE93" i="7"/>
  <c r="CE100" i="7"/>
  <c r="CF88" i="7"/>
  <c r="CF89" i="7" s="1"/>
  <c r="DN58" i="5" l="1"/>
  <c r="DN78" i="5" s="1"/>
  <c r="DP23" i="7" s="1"/>
  <c r="DP87" i="7" s="1"/>
  <c r="CG30" i="7"/>
  <c r="CG31" i="7" s="1"/>
  <c r="CH58" i="7"/>
  <c r="CH59" i="7" s="1"/>
  <c r="CH50" i="7"/>
  <c r="CH51" i="7" s="1"/>
  <c r="CF98" i="7"/>
  <c r="CH33" i="7"/>
  <c r="CG38" i="7"/>
  <c r="CG39" i="7" s="1"/>
  <c r="CG54" i="7"/>
  <c r="CG55" i="7" s="1"/>
  <c r="CG62" i="7"/>
  <c r="CG65" i="7"/>
  <c r="CG68" i="7"/>
  <c r="CH26" i="7"/>
  <c r="CH27" i="7" s="1"/>
  <c r="CE108" i="7"/>
  <c r="CE116" i="7" s="1"/>
  <c r="CE102" i="7"/>
  <c r="CH41" i="7"/>
  <c r="CG46" i="7"/>
  <c r="CG47" i="7" s="1"/>
  <c r="CG73" i="7"/>
  <c r="DO18" i="4"/>
  <c r="DP44" i="5" s="1"/>
  <c r="DO49" i="5"/>
  <c r="DO68" i="5"/>
  <c r="DO54" i="5" l="1"/>
  <c r="DO55" i="5"/>
  <c r="DO56" i="5" s="1"/>
  <c r="CH42" i="7"/>
  <c r="CH43" i="7" s="1"/>
  <c r="CG74" i="7"/>
  <c r="CG75" i="7" s="1"/>
  <c r="CF90" i="7"/>
  <c r="CF92" i="7"/>
  <c r="CG69" i="7"/>
  <c r="CH67" i="7" s="1"/>
  <c r="DO63" i="5"/>
  <c r="CE103" i="7"/>
  <c r="CE111" i="7" s="1"/>
  <c r="CE119" i="7" s="1"/>
  <c r="CE107" i="7"/>
  <c r="CE115" i="7" s="1"/>
  <c r="CE123" i="7" s="1"/>
  <c r="CE104" i="7"/>
  <c r="CE112" i="7" s="1"/>
  <c r="CE120" i="7" s="1"/>
  <c r="CE105" i="7"/>
  <c r="CE113" i="7" s="1"/>
  <c r="CE121" i="7" s="1"/>
  <c r="CE106" i="7"/>
  <c r="CE114" i="7" s="1"/>
  <c r="CE122" i="7" s="1"/>
  <c r="CH34" i="7"/>
  <c r="CH35" i="7" s="1"/>
  <c r="DP45" i="5"/>
  <c r="DP46" i="5" s="1"/>
  <c r="CG63" i="7"/>
  <c r="DO19" i="4"/>
  <c r="CH28" i="7" l="1"/>
  <c r="DP53" i="5"/>
  <c r="DO58" i="5"/>
  <c r="CH52" i="7"/>
  <c r="CH44" i="7"/>
  <c r="CH72" i="7"/>
  <c r="CF94" i="7"/>
  <c r="CF96" i="7"/>
  <c r="CF93" i="7"/>
  <c r="CF95" i="7"/>
  <c r="CF100" i="7"/>
  <c r="CH60" i="7"/>
  <c r="DO50" i="5"/>
  <c r="DP43" i="5" s="1"/>
  <c r="DO64" i="5"/>
  <c r="DP47" i="5"/>
  <c r="DP48" i="5" s="1"/>
  <c r="DP16" i="4"/>
  <c r="CH36" i="7"/>
  <c r="CG77" i="7"/>
  <c r="CG70" i="7"/>
  <c r="CG83" i="7" s="1"/>
  <c r="DO78" i="5" l="1"/>
  <c r="DQ23" i="7" s="1"/>
  <c r="DQ87" i="7" s="1"/>
  <c r="CH29" i="7"/>
  <c r="CG88" i="7"/>
  <c r="CG89" i="7" s="1"/>
  <c r="DP18" i="4"/>
  <c r="DQ44" i="5" s="1"/>
  <c r="CG82" i="7"/>
  <c r="CG81" i="7"/>
  <c r="CG79" i="7"/>
  <c r="CG78" i="7"/>
  <c r="CG80" i="7"/>
  <c r="CG85" i="7"/>
  <c r="CH53" i="7"/>
  <c r="DP49" i="5"/>
  <c r="DP68" i="5"/>
  <c r="CF108" i="7"/>
  <c r="CF116" i="7" s="1"/>
  <c r="CF102" i="7"/>
  <c r="CH37" i="7"/>
  <c r="CI33" i="7" s="1"/>
  <c r="CH61" i="7"/>
  <c r="CI57" i="7" s="1"/>
  <c r="CH45" i="7"/>
  <c r="DP54" i="5" l="1"/>
  <c r="DP55" i="5"/>
  <c r="DQ53" i="5" s="1"/>
  <c r="DP63" i="5"/>
  <c r="DP50" i="5" s="1"/>
  <c r="DQ43" i="5" s="1"/>
  <c r="CH62" i="7"/>
  <c r="CH63" i="7" s="1"/>
  <c r="DQ45" i="5"/>
  <c r="DQ46" i="5" s="1"/>
  <c r="CG98" i="7"/>
  <c r="CI49" i="7"/>
  <c r="CH54" i="7"/>
  <c r="CH55" i="7" s="1"/>
  <c r="CI34" i="7"/>
  <c r="CI35" i="7" s="1"/>
  <c r="CH38" i="7"/>
  <c r="CH39" i="7" s="1"/>
  <c r="CI25" i="7"/>
  <c r="CH73" i="7"/>
  <c r="CH65" i="7"/>
  <c r="CH68" i="7"/>
  <c r="CH30" i="7"/>
  <c r="CH31" i="7" s="1"/>
  <c r="CF105" i="7"/>
  <c r="CF113" i="7" s="1"/>
  <c r="CF121" i="7" s="1"/>
  <c r="CF107" i="7"/>
  <c r="CF115" i="7" s="1"/>
  <c r="CF123" i="7" s="1"/>
  <c r="CF106" i="7"/>
  <c r="CF114" i="7" s="1"/>
  <c r="CF122" i="7" s="1"/>
  <c r="CF104" i="7"/>
  <c r="CF112" i="7" s="1"/>
  <c r="CF120" i="7" s="1"/>
  <c r="CF103" i="7"/>
  <c r="CF111" i="7" s="1"/>
  <c r="CF119" i="7" s="1"/>
  <c r="DP19" i="4"/>
  <c r="CI41" i="7"/>
  <c r="CH46" i="7"/>
  <c r="CH47" i="7" s="1"/>
  <c r="CI58" i="7"/>
  <c r="CI59" i="7" s="1"/>
  <c r="DP64" i="5" l="1"/>
  <c r="DP56" i="5"/>
  <c r="DP58" i="5" s="1"/>
  <c r="CH69" i="7"/>
  <c r="CI67" i="7" s="1"/>
  <c r="CG90" i="7"/>
  <c r="CG92" i="7"/>
  <c r="CI42" i="7"/>
  <c r="CI43" i="7" s="1"/>
  <c r="DQ47" i="5"/>
  <c r="DQ16" i="4"/>
  <c r="CH74" i="7"/>
  <c r="CH75" i="7" s="1"/>
  <c r="CI26" i="7"/>
  <c r="CI27" i="7" s="1"/>
  <c r="CI50" i="7"/>
  <c r="CI51" i="7" s="1"/>
  <c r="DP78" i="5" l="1"/>
  <c r="DR23" i="7" s="1"/>
  <c r="DR87" i="7" s="1"/>
  <c r="CI52" i="7"/>
  <c r="CI36" i="7"/>
  <c r="CI60" i="7"/>
  <c r="CI28" i="7"/>
  <c r="CI44" i="7"/>
  <c r="DQ68" i="5"/>
  <c r="CI72" i="7"/>
  <c r="DQ48" i="5"/>
  <c r="DQ18" i="4"/>
  <c r="DR44" i="5" s="1"/>
  <c r="CG95" i="7"/>
  <c r="CG94" i="7"/>
  <c r="CG93" i="7"/>
  <c r="CG96" i="7"/>
  <c r="CG100" i="7"/>
  <c r="CH70" i="7"/>
  <c r="CH83" i="7" s="1"/>
  <c r="CH77" i="7"/>
  <c r="DQ19" i="4" l="1"/>
  <c r="CH88" i="7"/>
  <c r="CH89" i="7" s="1"/>
  <c r="CI61" i="7"/>
  <c r="CJ57" i="7" s="1"/>
  <c r="CI53" i="7"/>
  <c r="CJ49" i="7" s="1"/>
  <c r="CI45" i="7"/>
  <c r="CJ41" i="7" s="1"/>
  <c r="CI37" i="7"/>
  <c r="CJ33" i="7" s="1"/>
  <c r="CI29" i="7"/>
  <c r="CJ25" i="7" s="1"/>
  <c r="CH78" i="7"/>
  <c r="CH80" i="7"/>
  <c r="CH79" i="7"/>
  <c r="CH81" i="7"/>
  <c r="CH82" i="7"/>
  <c r="CH85" i="7"/>
  <c r="CG102" i="7"/>
  <c r="CG108" i="7"/>
  <c r="CG116" i="7" s="1"/>
  <c r="DQ49" i="5"/>
  <c r="DR45" i="5"/>
  <c r="DR46" i="5" s="1"/>
  <c r="DQ54" i="5" l="1"/>
  <c r="DQ55" i="5"/>
  <c r="DQ56" i="5" s="1"/>
  <c r="DQ63" i="5"/>
  <c r="DQ64" i="5" s="1"/>
  <c r="CI46" i="7"/>
  <c r="CI47" i="7" s="1"/>
  <c r="CI38" i="7"/>
  <c r="CI39" i="7" s="1"/>
  <c r="CI73" i="7"/>
  <c r="CI54" i="7"/>
  <c r="CI55" i="7" s="1"/>
  <c r="CI62" i="7"/>
  <c r="CI63" i="7" s="1"/>
  <c r="CI68" i="7"/>
  <c r="CG105" i="7"/>
  <c r="CG113" i="7" s="1"/>
  <c r="CG121" i="7" s="1"/>
  <c r="CG104" i="7"/>
  <c r="CG112" i="7" s="1"/>
  <c r="CG120" i="7" s="1"/>
  <c r="CG107" i="7"/>
  <c r="CG115" i="7" s="1"/>
  <c r="CG123" i="7" s="1"/>
  <c r="CG106" i="7"/>
  <c r="CG114" i="7" s="1"/>
  <c r="CG122" i="7" s="1"/>
  <c r="CG103" i="7"/>
  <c r="CG111" i="7" s="1"/>
  <c r="CG119" i="7" s="1"/>
  <c r="CI65" i="7"/>
  <c r="CH98" i="7"/>
  <c r="CI30" i="7"/>
  <c r="CI31" i="7" s="1"/>
  <c r="CJ34" i="7"/>
  <c r="CJ35" i="7" s="1"/>
  <c r="CJ42" i="7"/>
  <c r="CJ43" i="7" s="1"/>
  <c r="CJ26" i="7"/>
  <c r="CJ27" i="7" s="1"/>
  <c r="CJ50" i="7"/>
  <c r="CJ51" i="7" s="1"/>
  <c r="CJ58" i="7"/>
  <c r="CJ59" i="7" s="1"/>
  <c r="DR47" i="5"/>
  <c r="DR48" i="5" s="1"/>
  <c r="DR16" i="4"/>
  <c r="DQ50" i="5" l="1"/>
  <c r="DR43" i="5" s="1"/>
  <c r="DR53" i="5"/>
  <c r="DQ58" i="5"/>
  <c r="DQ78" i="5" s="1"/>
  <c r="DS23" i="7" s="1"/>
  <c r="DS87" i="7" s="1"/>
  <c r="CI74" i="7"/>
  <c r="CJ72" i="7" s="1"/>
  <c r="CJ44" i="7"/>
  <c r="CJ60" i="7"/>
  <c r="CJ28" i="7"/>
  <c r="CJ52" i="7"/>
  <c r="CJ36" i="7"/>
  <c r="CH90" i="7"/>
  <c r="CH92" i="7"/>
  <c r="CI69" i="7"/>
  <c r="CJ67" i="7" s="1"/>
  <c r="DR49" i="5"/>
  <c r="DR68" i="5"/>
  <c r="DR18" i="4"/>
  <c r="DS44" i="5" s="1"/>
  <c r="DR54" i="5" l="1"/>
  <c r="CI75" i="7"/>
  <c r="DR55" i="5"/>
  <c r="DS53" i="5" s="1"/>
  <c r="DR63" i="5"/>
  <c r="DR64" i="5" s="1"/>
  <c r="DR19" i="4"/>
  <c r="DS47" i="5" s="1"/>
  <c r="DS68" i="5" s="1"/>
  <c r="DS45" i="5"/>
  <c r="DS46" i="5" s="1"/>
  <c r="CJ61" i="7"/>
  <c r="CK57" i="7" s="1"/>
  <c r="CJ53" i="7"/>
  <c r="CK49" i="7" s="1"/>
  <c r="CJ37" i="7"/>
  <c r="CK33" i="7" s="1"/>
  <c r="CJ45" i="7"/>
  <c r="CK41" i="7" s="1"/>
  <c r="CJ29" i="7"/>
  <c r="CK25" i="7" s="1"/>
  <c r="CH94" i="7"/>
  <c r="CH95" i="7"/>
  <c r="CH96" i="7"/>
  <c r="CH93" i="7"/>
  <c r="CH100" i="7"/>
  <c r="CI70" i="7"/>
  <c r="CI77" i="7"/>
  <c r="CI83" i="7" l="1"/>
  <c r="CI85" i="7" s="1"/>
  <c r="DR56" i="5"/>
  <c r="DR58" i="5" s="1"/>
  <c r="DR78" i="5" s="1"/>
  <c r="DT23" i="7" s="1"/>
  <c r="DT87" i="7" s="1"/>
  <c r="DR50" i="5"/>
  <c r="DS43" i="5" s="1"/>
  <c r="DS16" i="4"/>
  <c r="DS18" i="4" s="1"/>
  <c r="DT44" i="5" s="1"/>
  <c r="CJ62" i="7"/>
  <c r="CJ63" i="7" s="1"/>
  <c r="CJ73" i="7"/>
  <c r="CI80" i="7"/>
  <c r="CI81" i="7"/>
  <c r="CI78" i="7"/>
  <c r="CI79" i="7"/>
  <c r="CI82" i="7"/>
  <c r="CK26" i="7"/>
  <c r="CK27" i="7" s="1"/>
  <c r="CJ68" i="7"/>
  <c r="CK34" i="7"/>
  <c r="CK35" i="7" s="1"/>
  <c r="DS48" i="5"/>
  <c r="DS49" i="5" s="1"/>
  <c r="CJ46" i="7"/>
  <c r="CJ47" i="7" s="1"/>
  <c r="CK58" i="7"/>
  <c r="CK59" i="7" s="1"/>
  <c r="CH108" i="7"/>
  <c r="CH116" i="7" s="1"/>
  <c r="CH102" i="7"/>
  <c r="CJ54" i="7"/>
  <c r="CJ55" i="7" s="1"/>
  <c r="CJ65" i="7"/>
  <c r="CK42" i="7"/>
  <c r="CK43" i="7" s="1"/>
  <c r="CK50" i="7"/>
  <c r="CK51" i="7" s="1"/>
  <c r="CJ38" i="7"/>
  <c r="CJ39" i="7" s="1"/>
  <c r="CJ30" i="7"/>
  <c r="CJ31" i="7" s="1"/>
  <c r="CI88" i="7" l="1"/>
  <c r="CI89" i="7" s="1"/>
  <c r="CI98" i="7" s="1"/>
  <c r="DS19" i="4"/>
  <c r="DS55" i="5"/>
  <c r="DS54" i="5"/>
  <c r="DT45" i="5"/>
  <c r="DT46" i="5" s="1"/>
  <c r="DT47" i="5"/>
  <c r="DT16" i="4"/>
  <c r="CH105" i="7"/>
  <c r="CH113" i="7" s="1"/>
  <c r="CH121" i="7" s="1"/>
  <c r="CH107" i="7"/>
  <c r="CH115" i="7" s="1"/>
  <c r="CH123" i="7" s="1"/>
  <c r="CH106" i="7"/>
  <c r="CH114" i="7" s="1"/>
  <c r="CH122" i="7" s="1"/>
  <c r="CH104" i="7"/>
  <c r="CH112" i="7" s="1"/>
  <c r="CH120" i="7" s="1"/>
  <c r="CH103" i="7"/>
  <c r="CH111" i="7" s="1"/>
  <c r="CH119" i="7" s="1"/>
  <c r="CK52" i="7"/>
  <c r="CK60" i="7"/>
  <c r="CK44" i="7"/>
  <c r="CK28" i="7"/>
  <c r="CK36" i="7"/>
  <c r="DS63" i="5"/>
  <c r="CJ69" i="7"/>
  <c r="CK67" i="7" s="1"/>
  <c r="CJ74" i="7"/>
  <c r="DS56" i="5" l="1"/>
  <c r="DS58" i="5" s="1"/>
  <c r="DT53" i="5"/>
  <c r="DT48" i="5"/>
  <c r="CJ70" i="7"/>
  <c r="CJ77" i="7"/>
  <c r="CK61" i="7"/>
  <c r="CL57" i="7" s="1"/>
  <c r="CK45" i="7"/>
  <c r="CL41" i="7" s="1"/>
  <c r="CK29" i="7"/>
  <c r="CL25" i="7" s="1"/>
  <c r="CK53" i="7"/>
  <c r="CL49" i="7" s="1"/>
  <c r="CK37" i="7"/>
  <c r="CL33" i="7" s="1"/>
  <c r="CJ75" i="7"/>
  <c r="CK72" i="7"/>
  <c r="DT18" i="4"/>
  <c r="DU44" i="5" s="1"/>
  <c r="DS50" i="5"/>
  <c r="DT43" i="5" s="1"/>
  <c r="DS64" i="5"/>
  <c r="CI92" i="7"/>
  <c r="CI90" i="7"/>
  <c r="DT68" i="5"/>
  <c r="DS78" i="5" l="1"/>
  <c r="DU23" i="7" s="1"/>
  <c r="DU87" i="7" s="1"/>
  <c r="DT49" i="5"/>
  <c r="DT54" i="5" s="1"/>
  <c r="CK54" i="7"/>
  <c r="CK55" i="7" s="1"/>
  <c r="CK73" i="7"/>
  <c r="CK68" i="7"/>
  <c r="CK62" i="7"/>
  <c r="CK63" i="7" s="1"/>
  <c r="CK30" i="7"/>
  <c r="CK31" i="7" s="1"/>
  <c r="CK38" i="7"/>
  <c r="CK39" i="7" s="1"/>
  <c r="CK65" i="7"/>
  <c r="DT19" i="4"/>
  <c r="CL26" i="7"/>
  <c r="CL27" i="7" s="1"/>
  <c r="CJ80" i="7"/>
  <c r="CJ79" i="7"/>
  <c r="CJ82" i="7"/>
  <c r="CJ81" i="7"/>
  <c r="CJ78" i="7"/>
  <c r="CL34" i="7"/>
  <c r="CL35" i="7" s="1"/>
  <c r="CL50" i="7"/>
  <c r="CL51" i="7" s="1"/>
  <c r="CL42" i="7"/>
  <c r="CL43" i="7" s="1"/>
  <c r="CJ83" i="7"/>
  <c r="CJ85" i="7" s="1"/>
  <c r="DU45" i="5"/>
  <c r="DU46" i="5" s="1"/>
  <c r="CI95" i="7"/>
  <c r="CI93" i="7"/>
  <c r="CI96" i="7"/>
  <c r="CI94" i="7"/>
  <c r="CI100" i="7"/>
  <c r="CK46" i="7"/>
  <c r="CK47" i="7" s="1"/>
  <c r="CL58" i="7"/>
  <c r="CL59" i="7" s="1"/>
  <c r="DT63" i="5" l="1"/>
  <c r="DT50" i="5" s="1"/>
  <c r="DU43" i="5" s="1"/>
  <c r="DT55" i="5"/>
  <c r="DT56" i="5" s="1"/>
  <c r="CK74" i="7"/>
  <c r="CK75" i="7" s="1"/>
  <c r="CI108" i="7"/>
  <c r="CI116" i="7" s="1"/>
  <c r="CI102" i="7"/>
  <c r="CJ88" i="7"/>
  <c r="CJ89" i="7" s="1"/>
  <c r="CJ98" i="7" s="1"/>
  <c r="CL52" i="7"/>
  <c r="CL28" i="7"/>
  <c r="CL44" i="7"/>
  <c r="CL36" i="7"/>
  <c r="CL60" i="7"/>
  <c r="DU47" i="5"/>
  <c r="DU48" i="5" s="1"/>
  <c r="DU16" i="4"/>
  <c r="CK69" i="7"/>
  <c r="CL72" i="7" l="1"/>
  <c r="DT64" i="5"/>
  <c r="DU53" i="5"/>
  <c r="DT58" i="5"/>
  <c r="CJ90" i="7"/>
  <c r="CJ92" i="7"/>
  <c r="CK70" i="7"/>
  <c r="CK83" i="7" s="1"/>
  <c r="CK77" i="7"/>
  <c r="CL67" i="7"/>
  <c r="CI107" i="7"/>
  <c r="CI115" i="7" s="1"/>
  <c r="CI123" i="7" s="1"/>
  <c r="CI103" i="7"/>
  <c r="CI111" i="7" s="1"/>
  <c r="CI119" i="7" s="1"/>
  <c r="CI106" i="7"/>
  <c r="CI114" i="7" s="1"/>
  <c r="CI122" i="7" s="1"/>
  <c r="CI104" i="7"/>
  <c r="CI112" i="7" s="1"/>
  <c r="CI120" i="7" s="1"/>
  <c r="CI105" i="7"/>
  <c r="CI113" i="7" s="1"/>
  <c r="CI121" i="7" s="1"/>
  <c r="CL53" i="7"/>
  <c r="CM49" i="7" s="1"/>
  <c r="CL37" i="7"/>
  <c r="CM33" i="7" s="1"/>
  <c r="CL45" i="7"/>
  <c r="CM41" i="7" s="1"/>
  <c r="CL61" i="7"/>
  <c r="CM57" i="7" s="1"/>
  <c r="CL29" i="7"/>
  <c r="CM25" i="7" s="1"/>
  <c r="DU18" i="4"/>
  <c r="DV44" i="5" s="1"/>
  <c r="DU49" i="5"/>
  <c r="DU68" i="5"/>
  <c r="DT78" i="5" l="1"/>
  <c r="DV23" i="7" s="1"/>
  <c r="DV87" i="7" s="1"/>
  <c r="DU54" i="5"/>
  <c r="DU55" i="5"/>
  <c r="DU56" i="5" s="1"/>
  <c r="DU63" i="5"/>
  <c r="DU50" i="5" s="1"/>
  <c r="DV43" i="5" s="1"/>
  <c r="CL62" i="7"/>
  <c r="CL63" i="7" s="1"/>
  <c r="CL73" i="7"/>
  <c r="CL65" i="7"/>
  <c r="CL38" i="7"/>
  <c r="CL39" i="7" s="1"/>
  <c r="CL46" i="7"/>
  <c r="CL47" i="7" s="1"/>
  <c r="CJ93" i="7"/>
  <c r="CJ94" i="7"/>
  <c r="CJ96" i="7"/>
  <c r="CJ95" i="7"/>
  <c r="CJ100" i="7"/>
  <c r="CL30" i="7"/>
  <c r="CL31" i="7" s="1"/>
  <c r="DU19" i="4"/>
  <c r="CM50" i="7"/>
  <c r="CM51" i="7" s="1"/>
  <c r="CL54" i="7"/>
  <c r="CL55" i="7" s="1"/>
  <c r="CL68" i="7"/>
  <c r="CK80" i="7"/>
  <c r="CK82" i="7"/>
  <c r="CK78" i="7"/>
  <c r="CK81" i="7"/>
  <c r="CK79" i="7"/>
  <c r="CK85" i="7"/>
  <c r="CM58" i="7"/>
  <c r="CM59" i="7" s="1"/>
  <c r="CK88" i="7"/>
  <c r="CK89" i="7" s="1"/>
  <c r="CM26" i="7"/>
  <c r="CM27" i="7" s="1"/>
  <c r="CM42" i="7"/>
  <c r="CM43" i="7" s="1"/>
  <c r="DV45" i="5"/>
  <c r="N28" i="6"/>
  <c r="CM34" i="7"/>
  <c r="CM35" i="7" s="1"/>
  <c r="DV46" i="5" l="1"/>
  <c r="DV53" i="5"/>
  <c r="DU58" i="5"/>
  <c r="CL74" i="7"/>
  <c r="CL75" i="7" s="1"/>
  <c r="DU64" i="5"/>
  <c r="CL69" i="7"/>
  <c r="CL70" i="7" s="1"/>
  <c r="DV47" i="5"/>
  <c r="DV48" i="5" s="1"/>
  <c r="DV16" i="4"/>
  <c r="CM52" i="7"/>
  <c r="CM36" i="7"/>
  <c r="CM28" i="7"/>
  <c r="CM44" i="7"/>
  <c r="CM60" i="7"/>
  <c r="CK98" i="7"/>
  <c r="CJ102" i="7"/>
  <c r="CJ108" i="7"/>
  <c r="CJ116" i="7" s="1"/>
  <c r="DU78" i="5" l="1"/>
  <c r="DW23" i="7" s="1"/>
  <c r="DW87" i="7" s="1"/>
  <c r="CL83" i="7"/>
  <c r="CL88" i="7" s="1"/>
  <c r="CL89" i="7" s="1"/>
  <c r="CM72" i="7"/>
  <c r="CM67" i="7"/>
  <c r="CL77" i="7"/>
  <c r="DV49" i="5"/>
  <c r="N29" i="6"/>
  <c r="DV68" i="5"/>
  <c r="CJ105" i="7"/>
  <c r="CJ113" i="7" s="1"/>
  <c r="CJ121" i="7" s="1"/>
  <c r="CJ104" i="7"/>
  <c r="CJ112" i="7" s="1"/>
  <c r="CJ120" i="7" s="1"/>
  <c r="CJ107" i="7"/>
  <c r="CJ115" i="7" s="1"/>
  <c r="CJ123" i="7" s="1"/>
  <c r="CJ106" i="7"/>
  <c r="CJ114" i="7" s="1"/>
  <c r="CJ122" i="7" s="1"/>
  <c r="CJ103" i="7"/>
  <c r="CJ111" i="7" s="1"/>
  <c r="CJ119" i="7" s="1"/>
  <c r="DV18" i="4"/>
  <c r="DW44" i="5" s="1"/>
  <c r="CM61" i="7"/>
  <c r="CN57" i="7" s="1"/>
  <c r="CM37" i="7"/>
  <c r="CN33" i="7" s="1"/>
  <c r="CM29" i="7"/>
  <c r="CN25" i="7" s="1"/>
  <c r="CM53" i="7"/>
  <c r="CN49" i="7" s="1"/>
  <c r="CM45" i="7"/>
  <c r="CN41" i="7" s="1"/>
  <c r="CK90" i="7"/>
  <c r="CK92" i="7"/>
  <c r="CL85" i="7" l="1"/>
  <c r="CL98" i="7" s="1"/>
  <c r="CL81" i="7"/>
  <c r="CL82" i="7"/>
  <c r="CL78" i="7"/>
  <c r="CL80" i="7"/>
  <c r="CL79" i="7"/>
  <c r="DV54" i="5"/>
  <c r="DV55" i="5"/>
  <c r="DV56" i="5" s="1"/>
  <c r="N34" i="6" s="1"/>
  <c r="DV19" i="4"/>
  <c r="DW47" i="5" s="1"/>
  <c r="DW68" i="5" s="1"/>
  <c r="CM54" i="7"/>
  <c r="CM55" i="7" s="1"/>
  <c r="CK95" i="7"/>
  <c r="CK94" i="7"/>
  <c r="CK96" i="7"/>
  <c r="CK93" i="7"/>
  <c r="CK100" i="7"/>
  <c r="CN42" i="7"/>
  <c r="CN43" i="7" s="1"/>
  <c r="CM30" i="7"/>
  <c r="CM31" i="7" s="1"/>
  <c r="CN50" i="7"/>
  <c r="CN51" i="7" s="1"/>
  <c r="N31" i="6"/>
  <c r="N30" i="6"/>
  <c r="CN26" i="7"/>
  <c r="CN27" i="7" s="1"/>
  <c r="CN34" i="7"/>
  <c r="CN35" i="7" s="1"/>
  <c r="CM46" i="7"/>
  <c r="CM47" i="7" s="1"/>
  <c r="DW16" i="4"/>
  <c r="N33" i="6"/>
  <c r="DV63" i="5"/>
  <c r="CM68" i="7"/>
  <c r="CN58" i="7"/>
  <c r="CN59" i="7" s="1"/>
  <c r="CM65" i="7"/>
  <c r="CM38" i="7"/>
  <c r="CM39" i="7" s="1"/>
  <c r="CM73" i="7"/>
  <c r="CM62" i="7"/>
  <c r="DW46" i="5"/>
  <c r="DW45" i="5"/>
  <c r="N35" i="6" l="1"/>
  <c r="M5" i="9" s="1"/>
  <c r="DW53" i="5"/>
  <c r="DV58" i="5"/>
  <c r="CK108" i="7"/>
  <c r="CK116" i="7" s="1"/>
  <c r="CK102" i="7"/>
  <c r="DW18" i="4"/>
  <c r="DX44" i="5" s="1"/>
  <c r="DW48" i="5"/>
  <c r="DW49" i="5" s="1"/>
  <c r="CM63" i="7"/>
  <c r="CL90" i="7"/>
  <c r="CL92" i="7"/>
  <c r="CM74" i="7"/>
  <c r="CM75" i="7" s="1"/>
  <c r="CM69" i="7"/>
  <c r="CN67" i="7" s="1"/>
  <c r="N37" i="6"/>
  <c r="M8" i="9" s="1"/>
  <c r="BK20" i="10" s="1"/>
  <c r="DV64" i="5"/>
  <c r="DV50" i="5"/>
  <c r="DW43" i="5" s="1"/>
  <c r="CN36" i="7"/>
  <c r="CN60" i="7"/>
  <c r="CN44" i="7"/>
  <c r="CN52" i="7"/>
  <c r="CN28" i="7"/>
  <c r="DV78" i="5" l="1"/>
  <c r="DX23" i="7" s="1"/>
  <c r="DX87" i="7" s="1"/>
  <c r="DW55" i="5"/>
  <c r="DW54" i="5"/>
  <c r="CN72" i="7"/>
  <c r="DX46" i="5"/>
  <c r="DX45" i="5"/>
  <c r="DW19" i="4"/>
  <c r="DW63" i="5"/>
  <c r="CM70" i="7"/>
  <c r="CM83" i="7" s="1"/>
  <c r="CM77" i="7"/>
  <c r="CN45" i="7"/>
  <c r="CO41" i="7" s="1"/>
  <c r="CN37" i="7"/>
  <c r="CO33" i="7" s="1"/>
  <c r="CN29" i="7"/>
  <c r="CO25" i="7" s="1"/>
  <c r="CN61" i="7"/>
  <c r="CN53" i="7"/>
  <c r="CO49" i="7" s="1"/>
  <c r="CK107" i="7"/>
  <c r="CK115" i="7" s="1"/>
  <c r="CK123" i="7" s="1"/>
  <c r="CK104" i="7"/>
  <c r="CK112" i="7" s="1"/>
  <c r="CK120" i="7" s="1"/>
  <c r="CK103" i="7"/>
  <c r="CK111" i="7" s="1"/>
  <c r="CK119" i="7" s="1"/>
  <c r="CK105" i="7"/>
  <c r="CK113" i="7" s="1"/>
  <c r="CK121" i="7" s="1"/>
  <c r="CK106" i="7"/>
  <c r="CK114" i="7" s="1"/>
  <c r="CK122" i="7" s="1"/>
  <c r="CL96" i="7"/>
  <c r="CL94" i="7"/>
  <c r="CL95" i="7"/>
  <c r="CL93" i="7"/>
  <c r="CL100" i="7"/>
  <c r="N39" i="6"/>
  <c r="M10" i="9" s="1"/>
  <c r="DW56" i="5" l="1"/>
  <c r="DX53" i="5"/>
  <c r="CN54" i="7"/>
  <c r="CN55" i="7" s="1"/>
  <c r="D55" i="7" s="1"/>
  <c r="CO57" i="7"/>
  <c r="CN62" i="7"/>
  <c r="CN30" i="7"/>
  <c r="CN31" i="7" s="1"/>
  <c r="D31" i="7" s="1"/>
  <c r="DW64" i="5"/>
  <c r="DW50" i="5"/>
  <c r="DX43" i="5" s="1"/>
  <c r="CN38" i="7"/>
  <c r="CN39" i="7" s="1"/>
  <c r="D39" i="7" s="1"/>
  <c r="CO26" i="7"/>
  <c r="CO27" i="7" s="1"/>
  <c r="CM80" i="7"/>
  <c r="CM81" i="7"/>
  <c r="CM79" i="7"/>
  <c r="CM78" i="7"/>
  <c r="CM82" i="7"/>
  <c r="CM85" i="7"/>
  <c r="DX47" i="5"/>
  <c r="DX48" i="5" s="1"/>
  <c r="DX16" i="4"/>
  <c r="CN46" i="7"/>
  <c r="CN47" i="7" s="1"/>
  <c r="D47" i="7" s="1"/>
  <c r="CO34" i="7"/>
  <c r="CO35" i="7" s="1"/>
  <c r="CM88" i="7"/>
  <c r="CM89" i="7" s="1"/>
  <c r="CL108" i="7"/>
  <c r="CL116" i="7" s="1"/>
  <c r="CL102" i="7"/>
  <c r="CO42" i="7"/>
  <c r="CO43" i="7" s="1"/>
  <c r="CN65" i="7"/>
  <c r="CN73" i="7"/>
  <c r="CN68" i="7"/>
  <c r="CO50" i="7"/>
  <c r="CO51" i="7" s="1"/>
  <c r="DW58" i="5" l="1"/>
  <c r="DW78" i="5" s="1"/>
  <c r="DY23" i="7" s="1"/>
  <c r="DY87" i="7" s="1"/>
  <c r="CM98" i="7"/>
  <c r="DX18" i="4"/>
  <c r="DY44" i="5" s="1"/>
  <c r="CN74" i="7"/>
  <c r="CN75" i="7" s="1"/>
  <c r="DX49" i="5"/>
  <c r="DX68" i="5"/>
  <c r="CN63" i="7"/>
  <c r="D63" i="7" s="1"/>
  <c r="CL107" i="7"/>
  <c r="CL115" i="7" s="1"/>
  <c r="CL123" i="7" s="1"/>
  <c r="CL103" i="7"/>
  <c r="CL111" i="7" s="1"/>
  <c r="CL119" i="7" s="1"/>
  <c r="CL104" i="7"/>
  <c r="CL112" i="7" s="1"/>
  <c r="CL120" i="7" s="1"/>
  <c r="CL105" i="7"/>
  <c r="CL113" i="7" s="1"/>
  <c r="CL121" i="7" s="1"/>
  <c r="CL106" i="7"/>
  <c r="CL114" i="7" s="1"/>
  <c r="CL122" i="7" s="1"/>
  <c r="CN69" i="7"/>
  <c r="CO67" i="7" s="1"/>
  <c r="CO58" i="7"/>
  <c r="CO59" i="7" s="1"/>
  <c r="CO60" i="7" s="1"/>
  <c r="DX54" i="5" l="1"/>
  <c r="DX55" i="5"/>
  <c r="DY53" i="5" s="1"/>
  <c r="DX63" i="5"/>
  <c r="DX64" i="5" s="1"/>
  <c r="DX19" i="4"/>
  <c r="DY47" i="5" s="1"/>
  <c r="DY68" i="5" s="1"/>
  <c r="CO36" i="7"/>
  <c r="CO52" i="7"/>
  <c r="CN77" i="7"/>
  <c r="CN70" i="7"/>
  <c r="CN83" i="7" s="1"/>
  <c r="CO72" i="7"/>
  <c r="CO28" i="7"/>
  <c r="CO44" i="7"/>
  <c r="CM92" i="7"/>
  <c r="CM90" i="7"/>
  <c r="DY46" i="5"/>
  <c r="DY45" i="5"/>
  <c r="DY16" i="4" l="1"/>
  <c r="DX56" i="5"/>
  <c r="DX50" i="5"/>
  <c r="DY43" i="5" s="1"/>
  <c r="CO61" i="7"/>
  <c r="CO37" i="7"/>
  <c r="CP33" i="7" s="1"/>
  <c r="CO53" i="7"/>
  <c r="CP49" i="7" s="1"/>
  <c r="CO29" i="7"/>
  <c r="CP25" i="7" s="1"/>
  <c r="CO45" i="7"/>
  <c r="CP41" i="7" s="1"/>
  <c r="DY18" i="4"/>
  <c r="DZ44" i="5" s="1"/>
  <c r="CN88" i="7"/>
  <c r="CN89" i="7" s="1"/>
  <c r="CM95" i="7"/>
  <c r="CM94" i="7"/>
  <c r="CM93" i="7"/>
  <c r="CM96" i="7"/>
  <c r="CM100" i="7"/>
  <c r="CN81" i="7"/>
  <c r="CN79" i="7"/>
  <c r="CN78" i="7"/>
  <c r="CN82" i="7"/>
  <c r="CN80" i="7"/>
  <c r="CN85" i="7"/>
  <c r="DY48" i="5"/>
  <c r="DY49" i="5" s="1"/>
  <c r="DX58" i="5" l="1"/>
  <c r="DX78" i="5" s="1"/>
  <c r="DZ23" i="7" s="1"/>
  <c r="DZ87" i="7" s="1"/>
  <c r="DY55" i="5"/>
  <c r="DY54" i="5"/>
  <c r="CO68" i="7"/>
  <c r="CO38" i="7"/>
  <c r="CO39" i="7" s="1"/>
  <c r="CO46" i="7"/>
  <c r="CO47" i="7" s="1"/>
  <c r="CO54" i="7"/>
  <c r="CO55" i="7" s="1"/>
  <c r="CO73" i="7"/>
  <c r="CO30" i="7"/>
  <c r="CO31" i="7" s="1"/>
  <c r="DZ46" i="5"/>
  <c r="DZ45" i="5"/>
  <c r="CP57" i="7"/>
  <c r="CO62" i="7"/>
  <c r="DY19" i="4"/>
  <c r="CO65" i="7"/>
  <c r="CP42" i="7"/>
  <c r="CP43" i="7" s="1"/>
  <c r="CN98" i="7"/>
  <c r="CM108" i="7"/>
  <c r="CM116" i="7" s="1"/>
  <c r="CM102" i="7"/>
  <c r="CP26" i="7"/>
  <c r="CP27" i="7" s="1"/>
  <c r="CP50" i="7"/>
  <c r="CP51" i="7" s="1"/>
  <c r="CP34" i="7"/>
  <c r="CP35" i="7" s="1"/>
  <c r="DY63" i="5"/>
  <c r="CO69" i="7" l="1"/>
  <c r="CO70" i="7" s="1"/>
  <c r="DY56" i="5"/>
  <c r="DZ53" i="5"/>
  <c r="DY64" i="5"/>
  <c r="DY50" i="5"/>
  <c r="DZ43" i="5" s="1"/>
  <c r="CN92" i="7"/>
  <c r="CN90" i="7"/>
  <c r="CO63" i="7"/>
  <c r="CM106" i="7"/>
  <c r="CM114" i="7" s="1"/>
  <c r="CM122" i="7" s="1"/>
  <c r="CM103" i="7"/>
  <c r="CM111" i="7" s="1"/>
  <c r="CM119" i="7" s="1"/>
  <c r="CM105" i="7"/>
  <c r="CM113" i="7" s="1"/>
  <c r="CM121" i="7" s="1"/>
  <c r="CM107" i="7"/>
  <c r="CM115" i="7" s="1"/>
  <c r="CM123" i="7" s="1"/>
  <c r="CM104" i="7"/>
  <c r="CM112" i="7" s="1"/>
  <c r="CM120" i="7" s="1"/>
  <c r="DZ47" i="5"/>
  <c r="DZ48" i="5" s="1"/>
  <c r="DZ16" i="4"/>
  <c r="CP58" i="7"/>
  <c r="CP59" i="7" s="1"/>
  <c r="CP36" i="7" s="1"/>
  <c r="CO74" i="7"/>
  <c r="DY58" i="5" l="1"/>
  <c r="DY78" i="5" s="1"/>
  <c r="EA23" i="7" s="1"/>
  <c r="EA87" i="7" s="1"/>
  <c r="CP67" i="7"/>
  <c r="CO77" i="7"/>
  <c r="CO81" i="7" s="1"/>
  <c r="CP44" i="7"/>
  <c r="CP60" i="7"/>
  <c r="CP28" i="7"/>
  <c r="CP52" i="7"/>
  <c r="DZ18" i="4"/>
  <c r="EA44" i="5" s="1"/>
  <c r="CO75" i="7"/>
  <c r="CO83" i="7" s="1"/>
  <c r="CP72" i="7"/>
  <c r="DZ49" i="5"/>
  <c r="DZ68" i="5"/>
  <c r="CN94" i="7"/>
  <c r="CN95" i="7"/>
  <c r="CN93" i="7"/>
  <c r="CN96" i="7"/>
  <c r="CN100" i="7"/>
  <c r="CO79" i="7" l="1"/>
  <c r="CO78" i="7"/>
  <c r="CO82" i="7"/>
  <c r="CO80" i="7"/>
  <c r="CP45" i="7"/>
  <c r="CQ41" i="7" s="1"/>
  <c r="CQ42" i="7" s="1"/>
  <c r="CQ43" i="7" s="1"/>
  <c r="DZ54" i="5"/>
  <c r="DZ55" i="5"/>
  <c r="DZ63" i="5"/>
  <c r="DZ64" i="5" s="1"/>
  <c r="DZ19" i="4"/>
  <c r="EA47" i="5" s="1"/>
  <c r="EA68" i="5" s="1"/>
  <c r="CP61" i="7"/>
  <c r="CQ57" i="7" s="1"/>
  <c r="CQ58" i="7" s="1"/>
  <c r="CQ59" i="7" s="1"/>
  <c r="CP29" i="7"/>
  <c r="CQ25" i="7" s="1"/>
  <c r="CQ26" i="7" s="1"/>
  <c r="CQ27" i="7" s="1"/>
  <c r="CO88" i="7"/>
  <c r="CO89" i="7" s="1"/>
  <c r="CO85" i="7"/>
  <c r="CN108" i="7"/>
  <c r="CN116" i="7" s="1"/>
  <c r="CN102" i="7"/>
  <c r="CP37" i="7"/>
  <c r="EA46" i="5"/>
  <c r="EA45" i="5"/>
  <c r="CP53" i="7"/>
  <c r="CQ49" i="7" s="1"/>
  <c r="EA16" i="4" l="1"/>
  <c r="DZ56" i="5"/>
  <c r="CP46" i="7"/>
  <c r="CP47" i="7" s="1"/>
  <c r="EA53" i="5"/>
  <c r="DZ50" i="5"/>
  <c r="EA43" i="5" s="1"/>
  <c r="CP62" i="7"/>
  <c r="CP63" i="7" s="1"/>
  <c r="CP54" i="7"/>
  <c r="CP55" i="7" s="1"/>
  <c r="CP68" i="7"/>
  <c r="CP73" i="7"/>
  <c r="CP30" i="7"/>
  <c r="CP31" i="7" s="1"/>
  <c r="CO98" i="7"/>
  <c r="CQ50" i="7"/>
  <c r="CQ51" i="7" s="1"/>
  <c r="CQ33" i="7"/>
  <c r="CP38" i="7"/>
  <c r="CP39" i="7" s="1"/>
  <c r="CN104" i="7"/>
  <c r="CN112" i="7" s="1"/>
  <c r="CN120" i="7" s="1"/>
  <c r="J19" i="8" s="1"/>
  <c r="J21" i="8" s="1"/>
  <c r="CN103" i="7"/>
  <c r="CN111" i="7" s="1"/>
  <c r="CN119" i="7" s="1"/>
  <c r="J8" i="8" s="1"/>
  <c r="J10" i="8" s="1"/>
  <c r="CN105" i="7"/>
  <c r="CN113" i="7" s="1"/>
  <c r="CN121" i="7" s="1"/>
  <c r="J30" i="8" s="1"/>
  <c r="J32" i="8" s="1"/>
  <c r="CN107" i="7"/>
  <c r="CN115" i="7" s="1"/>
  <c r="CN123" i="7" s="1"/>
  <c r="J52" i="8" s="1"/>
  <c r="J54" i="8" s="1"/>
  <c r="CN106" i="7"/>
  <c r="CN114" i="7" s="1"/>
  <c r="CN122" i="7" s="1"/>
  <c r="J41" i="8" s="1"/>
  <c r="J43" i="8" s="1"/>
  <c r="EA18" i="4"/>
  <c r="EB44" i="5" s="1"/>
  <c r="CP65" i="7"/>
  <c r="EA48" i="5"/>
  <c r="EA49" i="5" s="1"/>
  <c r="DZ58" i="5" l="1"/>
  <c r="DZ78" i="5" s="1"/>
  <c r="EB23" i="7" s="1"/>
  <c r="EB87" i="7" s="1"/>
  <c r="EA55" i="5"/>
  <c r="EA54" i="5"/>
  <c r="EA63" i="5"/>
  <c r="EA64" i="5" s="1"/>
  <c r="CO92" i="7"/>
  <c r="CO90" i="7"/>
  <c r="EB46" i="5"/>
  <c r="EB45" i="5"/>
  <c r="EA19" i="4"/>
  <c r="CQ34" i="7"/>
  <c r="CQ35" i="7" s="1"/>
  <c r="CP69" i="7"/>
  <c r="CP74" i="7"/>
  <c r="EA56" i="5" l="1"/>
  <c r="EB53" i="5"/>
  <c r="EA50" i="5"/>
  <c r="EB43" i="5" s="1"/>
  <c r="CQ28" i="7"/>
  <c r="CQ44" i="7"/>
  <c r="CQ52" i="7"/>
  <c r="CQ36" i="7"/>
  <c r="CQ60" i="7"/>
  <c r="EB47" i="5"/>
  <c r="EB48" i="5" s="1"/>
  <c r="EB16" i="4"/>
  <c r="CP75" i="7"/>
  <c r="CQ72" i="7"/>
  <c r="CP70" i="7"/>
  <c r="CP77" i="7"/>
  <c r="CQ67" i="7"/>
  <c r="CO93" i="7"/>
  <c r="CO96" i="7"/>
  <c r="CO95" i="7"/>
  <c r="CO94" i="7"/>
  <c r="CO100" i="7"/>
  <c r="EA58" i="5" l="1"/>
  <c r="EA78" i="5" s="1"/>
  <c r="EC23" i="7" s="1"/>
  <c r="EC87" i="7" s="1"/>
  <c r="CP83" i="7"/>
  <c r="CP85" i="7" s="1"/>
  <c r="CP80" i="7"/>
  <c r="CP78" i="7"/>
  <c r="CP82" i="7"/>
  <c r="CP81" i="7"/>
  <c r="CP79" i="7"/>
  <c r="CQ53" i="7"/>
  <c r="CR49" i="7" s="1"/>
  <c r="CQ45" i="7"/>
  <c r="CR41" i="7" s="1"/>
  <c r="CQ29" i="7"/>
  <c r="CR25" i="7" s="1"/>
  <c r="CQ61" i="7"/>
  <c r="CR57" i="7" s="1"/>
  <c r="CQ37" i="7"/>
  <c r="CR33" i="7" s="1"/>
  <c r="EB18" i="4"/>
  <c r="EC44" i="5" s="1"/>
  <c r="CO108" i="7"/>
  <c r="CO116" i="7" s="1"/>
  <c r="CO102" i="7"/>
  <c r="EB49" i="5"/>
  <c r="EB68" i="5"/>
  <c r="CP88" i="7" l="1"/>
  <c r="CP89" i="7" s="1"/>
  <c r="CP98" i="7" s="1"/>
  <c r="EB54" i="5"/>
  <c r="EB55" i="5"/>
  <c r="EB56" i="5" s="1"/>
  <c r="EB63" i="5"/>
  <c r="EB50" i="5" s="1"/>
  <c r="EC43" i="5" s="1"/>
  <c r="CQ38" i="7"/>
  <c r="CQ39" i="7" s="1"/>
  <c r="CQ30" i="7"/>
  <c r="CQ31" i="7" s="1"/>
  <c r="CQ62" i="7"/>
  <c r="CQ63" i="7" s="1"/>
  <c r="CR42" i="7"/>
  <c r="CR43" i="7" s="1"/>
  <c r="CO106" i="7"/>
  <c r="CO114" i="7" s="1"/>
  <c r="CO122" i="7" s="1"/>
  <c r="CO103" i="7"/>
  <c r="CO111" i="7" s="1"/>
  <c r="CO119" i="7" s="1"/>
  <c r="CO107" i="7"/>
  <c r="CO115" i="7" s="1"/>
  <c r="CO123" i="7" s="1"/>
  <c r="CO104" i="7"/>
  <c r="CO112" i="7" s="1"/>
  <c r="CO120" i="7" s="1"/>
  <c r="CO105" i="7"/>
  <c r="CO113" i="7" s="1"/>
  <c r="CO121" i="7" s="1"/>
  <c r="CQ65" i="7"/>
  <c r="CR50" i="7"/>
  <c r="CR51" i="7" s="1"/>
  <c r="EC46" i="5"/>
  <c r="EC45" i="5"/>
  <c r="CQ46" i="7"/>
  <c r="CQ47" i="7" s="1"/>
  <c r="CQ68" i="7"/>
  <c r="CR34" i="7"/>
  <c r="CR35" i="7" s="1"/>
  <c r="CQ73" i="7"/>
  <c r="EB19" i="4"/>
  <c r="CQ54" i="7"/>
  <c r="CQ55" i="7" s="1"/>
  <c r="CR58" i="7"/>
  <c r="CR59" i="7" s="1"/>
  <c r="CR26" i="7"/>
  <c r="CR27" i="7" s="1"/>
  <c r="EC53" i="5" l="1"/>
  <c r="EB58" i="5"/>
  <c r="EB64" i="5"/>
  <c r="EC47" i="5"/>
  <c r="EC48" i="5" s="1"/>
  <c r="EC16" i="4"/>
  <c r="CQ69" i="7"/>
  <c r="CR67" i="7" s="1"/>
  <c r="CR44" i="7"/>
  <c r="CR60" i="7"/>
  <c r="CR36" i="7"/>
  <c r="CR28" i="7"/>
  <c r="CR52" i="7"/>
  <c r="CP90" i="7"/>
  <c r="CP92" i="7"/>
  <c r="CQ74" i="7"/>
  <c r="CQ75" i="7" s="1"/>
  <c r="EB78" i="5" l="1"/>
  <c r="ED23" i="7" s="1"/>
  <c r="ED87" i="7" s="1"/>
  <c r="CP95" i="7"/>
  <c r="CP93" i="7"/>
  <c r="CP96" i="7"/>
  <c r="CP94" i="7"/>
  <c r="CP100" i="7"/>
  <c r="EC18" i="4"/>
  <c r="ED44" i="5" s="1"/>
  <c r="EC49" i="5"/>
  <c r="EC68" i="5"/>
  <c r="CQ70" i="7"/>
  <c r="CQ83" i="7" s="1"/>
  <c r="CQ77" i="7"/>
  <c r="CR72" i="7"/>
  <c r="CR45" i="7"/>
  <c r="CS41" i="7" s="1"/>
  <c r="CR61" i="7"/>
  <c r="CS57" i="7" s="1"/>
  <c r="CR29" i="7"/>
  <c r="CS25" i="7" s="1"/>
  <c r="CR53" i="7"/>
  <c r="CS49" i="7" s="1"/>
  <c r="CR37" i="7"/>
  <c r="CS33" i="7" s="1"/>
  <c r="EC54" i="5" l="1"/>
  <c r="EC55" i="5"/>
  <c r="EC56" i="5" s="1"/>
  <c r="CR46" i="7"/>
  <c r="CR47" i="7" s="1"/>
  <c r="CR30" i="7"/>
  <c r="CR31" i="7" s="1"/>
  <c r="CS34" i="7"/>
  <c r="CS35" i="7" s="1"/>
  <c r="CS58" i="7"/>
  <c r="CS59" i="7" s="1"/>
  <c r="CR73" i="7"/>
  <c r="CS50" i="7"/>
  <c r="CS51" i="7" s="1"/>
  <c r="EC63" i="5"/>
  <c r="CR62" i="7"/>
  <c r="CR38" i="7"/>
  <c r="CR39" i="7" s="1"/>
  <c r="CS26" i="7"/>
  <c r="CS27" i="7" s="1"/>
  <c r="CS42" i="7"/>
  <c r="CS43" i="7" s="1"/>
  <c r="CR65" i="7"/>
  <c r="CQ80" i="7"/>
  <c r="CQ81" i="7"/>
  <c r="CQ79" i="7"/>
  <c r="CQ78" i="7"/>
  <c r="CQ82" i="7"/>
  <c r="CQ85" i="7"/>
  <c r="CP102" i="7"/>
  <c r="CP108" i="7"/>
  <c r="CP116" i="7" s="1"/>
  <c r="CR54" i="7"/>
  <c r="CR55" i="7" s="1"/>
  <c r="ED46" i="5"/>
  <c r="ED45" i="5"/>
  <c r="CR68" i="7"/>
  <c r="CQ88" i="7"/>
  <c r="CQ89" i="7" s="1"/>
  <c r="EC19" i="4"/>
  <c r="ED53" i="5" l="1"/>
  <c r="EC58" i="5"/>
  <c r="CR74" i="7"/>
  <c r="CR75" i="7" s="1"/>
  <c r="CR63" i="7"/>
  <c r="ED47" i="5"/>
  <c r="ED16" i="4"/>
  <c r="CQ98" i="7"/>
  <c r="CR69" i="7"/>
  <c r="CS67" i="7" s="1"/>
  <c r="CS36" i="7"/>
  <c r="CS28" i="7"/>
  <c r="CS52" i="7"/>
  <c r="CS44" i="7"/>
  <c r="CS60" i="7"/>
  <c r="EC64" i="5"/>
  <c r="EC50" i="5"/>
  <c r="ED43" i="5" s="1"/>
  <c r="CP107" i="7"/>
  <c r="CP115" i="7" s="1"/>
  <c r="CP123" i="7" s="1"/>
  <c r="CP103" i="7"/>
  <c r="CP111" i="7" s="1"/>
  <c r="CP119" i="7" s="1"/>
  <c r="CP105" i="7"/>
  <c r="CP113" i="7" s="1"/>
  <c r="CP121" i="7" s="1"/>
  <c r="CP106" i="7"/>
  <c r="CP114" i="7" s="1"/>
  <c r="CP122" i="7" s="1"/>
  <c r="CP104" i="7"/>
  <c r="CP112" i="7" s="1"/>
  <c r="CP120" i="7" s="1"/>
  <c r="EC78" i="5" l="1"/>
  <c r="EE23" i="7" s="1"/>
  <c r="EE87" i="7" s="1"/>
  <c r="CS72" i="7"/>
  <c r="ED68" i="5"/>
  <c r="ED18" i="4"/>
  <c r="EE44" i="5" s="1"/>
  <c r="CS53" i="7"/>
  <c r="CT49" i="7" s="1"/>
  <c r="CS45" i="7"/>
  <c r="CT41" i="7" s="1"/>
  <c r="CS37" i="7"/>
  <c r="CT33" i="7" s="1"/>
  <c r="CS61" i="7"/>
  <c r="CT57" i="7" s="1"/>
  <c r="CS29" i="7"/>
  <c r="CT25" i="7" s="1"/>
  <c r="CQ90" i="7"/>
  <c r="CQ92" i="7"/>
  <c r="CR70" i="7"/>
  <c r="CR83" i="7" s="1"/>
  <c r="CR77" i="7"/>
  <c r="ED48" i="5"/>
  <c r="CS62" i="7" l="1"/>
  <c r="CS63" i="7" s="1"/>
  <c r="CS46" i="7"/>
  <c r="CS47" i="7" s="1"/>
  <c r="CS65" i="7"/>
  <c r="CS38" i="7"/>
  <c r="CS39" i="7" s="1"/>
  <c r="ED49" i="5"/>
  <c r="EE46" i="5"/>
  <c r="EE45" i="5"/>
  <c r="CT50" i="7"/>
  <c r="CT51" i="7" s="1"/>
  <c r="ED19" i="4"/>
  <c r="CS54" i="7"/>
  <c r="CS55" i="7" s="1"/>
  <c r="CQ96" i="7"/>
  <c r="CQ95" i="7"/>
  <c r="CQ94" i="7"/>
  <c r="CQ93" i="7"/>
  <c r="CQ100" i="7"/>
  <c r="CS73" i="7"/>
  <c r="CR78" i="7"/>
  <c r="CR82" i="7"/>
  <c r="CR79" i="7"/>
  <c r="CR80" i="7"/>
  <c r="CR81" i="7"/>
  <c r="CR85" i="7"/>
  <c r="CR88" i="7"/>
  <c r="CR89" i="7" s="1"/>
  <c r="CS68" i="7"/>
  <c r="CT26" i="7"/>
  <c r="CT27" i="7" s="1"/>
  <c r="CT58" i="7"/>
  <c r="CT59" i="7" s="1"/>
  <c r="CS30" i="7"/>
  <c r="CS31" i="7" s="1"/>
  <c r="CT34" i="7"/>
  <c r="CT35" i="7" s="1"/>
  <c r="CT42" i="7"/>
  <c r="CT43" i="7" s="1"/>
  <c r="ED54" i="5" l="1"/>
  <c r="ED55" i="5"/>
  <c r="EE53" i="5" s="1"/>
  <c r="ED63" i="5"/>
  <c r="ED64" i="5" s="1"/>
  <c r="CQ108" i="7"/>
  <c r="CQ116" i="7" s="1"/>
  <c r="CQ102" i="7"/>
  <c r="CR98" i="7"/>
  <c r="EE47" i="5"/>
  <c r="EE48" i="5" s="1"/>
  <c r="EE16" i="4"/>
  <c r="CS69" i="7"/>
  <c r="CT67" i="7" s="1"/>
  <c r="CT52" i="7"/>
  <c r="CT60" i="7"/>
  <c r="CT36" i="7"/>
  <c r="CT28" i="7"/>
  <c r="CT44" i="7"/>
  <c r="CS74" i="7"/>
  <c r="CS75" i="7" s="1"/>
  <c r="ED56" i="5" l="1"/>
  <c r="ED58" i="5" s="1"/>
  <c r="ED78" i="5" s="1"/>
  <c r="EF23" i="7" s="1"/>
  <c r="EF87" i="7" s="1"/>
  <c r="ED50" i="5"/>
  <c r="EE43" i="5" s="1"/>
  <c r="EE18" i="4"/>
  <c r="EF44" i="5" s="1"/>
  <c r="CQ104" i="7"/>
  <c r="CQ112" i="7" s="1"/>
  <c r="CQ120" i="7" s="1"/>
  <c r="CQ106" i="7"/>
  <c r="CQ114" i="7" s="1"/>
  <c r="CQ122" i="7" s="1"/>
  <c r="CQ107" i="7"/>
  <c r="CQ115" i="7" s="1"/>
  <c r="CQ123" i="7" s="1"/>
  <c r="CQ105" i="7"/>
  <c r="CQ113" i="7" s="1"/>
  <c r="CQ121" i="7" s="1"/>
  <c r="CQ103" i="7"/>
  <c r="CQ111" i="7" s="1"/>
  <c r="CQ119" i="7" s="1"/>
  <c r="CT45" i="7"/>
  <c r="CU41" i="7" s="1"/>
  <c r="CT29" i="7"/>
  <c r="CU25" i="7" s="1"/>
  <c r="CT53" i="7"/>
  <c r="CU49" i="7" s="1"/>
  <c r="CT37" i="7"/>
  <c r="CU33" i="7" s="1"/>
  <c r="CT61" i="7"/>
  <c r="CU57" i="7" s="1"/>
  <c r="CR92" i="7"/>
  <c r="CR90" i="7"/>
  <c r="CS70" i="7"/>
  <c r="CS83" i="7" s="1"/>
  <c r="CS77" i="7"/>
  <c r="EE49" i="5"/>
  <c r="EE54" i="5" s="1"/>
  <c r="EE68" i="5"/>
  <c r="CT72" i="7"/>
  <c r="EE55" i="5" l="1"/>
  <c r="EE56" i="5" s="1"/>
  <c r="EE19" i="4"/>
  <c r="EF47" i="5" s="1"/>
  <c r="EF68" i="5" s="1"/>
  <c r="CT38" i="7"/>
  <c r="CT39" i="7" s="1"/>
  <c r="CT30" i="7"/>
  <c r="CT31" i="7" s="1"/>
  <c r="CT46" i="7"/>
  <c r="CT47" i="7" s="1"/>
  <c r="CT65" i="7"/>
  <c r="CT68" i="7"/>
  <c r="CS88" i="7"/>
  <c r="CS89" i="7" s="1"/>
  <c r="EE63" i="5"/>
  <c r="CU50" i="7"/>
  <c r="CU51" i="7" s="1"/>
  <c r="CT54" i="7"/>
  <c r="CT55" i="7" s="1"/>
  <c r="CT62" i="7"/>
  <c r="CU26" i="7"/>
  <c r="CU27" i="7" s="1"/>
  <c r="EF16" i="4"/>
  <c r="CR95" i="7"/>
  <c r="CR96" i="7"/>
  <c r="CR93" i="7"/>
  <c r="CR94" i="7"/>
  <c r="CR100" i="7"/>
  <c r="CS78" i="7"/>
  <c r="CS81" i="7"/>
  <c r="CS82" i="7"/>
  <c r="CS79" i="7"/>
  <c r="CS80" i="7"/>
  <c r="CS85" i="7"/>
  <c r="CU58" i="7"/>
  <c r="CU59" i="7" s="1"/>
  <c r="CT73" i="7"/>
  <c r="CU34" i="7"/>
  <c r="CU35" i="7" s="1"/>
  <c r="CU42" i="7"/>
  <c r="CU43" i="7" s="1"/>
  <c r="EF46" i="5"/>
  <c r="EF45" i="5"/>
  <c r="EF53" i="5" l="1"/>
  <c r="EE58" i="5"/>
  <c r="CT69" i="7"/>
  <c r="CT70" i="7" s="1"/>
  <c r="CT74" i="7"/>
  <c r="CT75" i="7" s="1"/>
  <c r="EF48" i="5"/>
  <c r="EF49" i="5" s="1"/>
  <c r="CS98" i="7"/>
  <c r="EE50" i="5"/>
  <c r="EF43" i="5" s="1"/>
  <c r="EE64" i="5"/>
  <c r="EF18" i="4"/>
  <c r="EG44" i="5" s="1"/>
  <c r="CT63" i="7"/>
  <c r="CU60" i="7"/>
  <c r="CU52" i="7"/>
  <c r="CU36" i="7"/>
  <c r="CU44" i="7"/>
  <c r="CU28" i="7"/>
  <c r="CR102" i="7"/>
  <c r="CR108" i="7"/>
  <c r="CR116" i="7" s="1"/>
  <c r="EE78" i="5" l="1"/>
  <c r="EG23" i="7" s="1"/>
  <c r="EG87" i="7" s="1"/>
  <c r="EF55" i="5"/>
  <c r="EF54" i="5"/>
  <c r="CT83" i="7"/>
  <c r="CT88" i="7" s="1"/>
  <c r="CT89" i="7" s="1"/>
  <c r="CU67" i="7"/>
  <c r="CU72" i="7"/>
  <c r="CT77" i="7"/>
  <c r="CT80" i="7" s="1"/>
  <c r="EG46" i="5"/>
  <c r="EG45" i="5"/>
  <c r="CU61" i="7"/>
  <c r="CV57" i="7" s="1"/>
  <c r="CU29" i="7"/>
  <c r="CV25" i="7" s="1"/>
  <c r="CU45" i="7"/>
  <c r="CV41" i="7" s="1"/>
  <c r="CU37" i="7"/>
  <c r="CV33" i="7" s="1"/>
  <c r="CU53" i="7"/>
  <c r="CV49" i="7" s="1"/>
  <c r="CR107" i="7"/>
  <c r="CR115" i="7" s="1"/>
  <c r="CR123" i="7" s="1"/>
  <c r="CR106" i="7"/>
  <c r="CR114" i="7" s="1"/>
  <c r="CR122" i="7" s="1"/>
  <c r="CR105" i="7"/>
  <c r="CR113" i="7" s="1"/>
  <c r="CR121" i="7" s="1"/>
  <c r="CR104" i="7"/>
  <c r="CR112" i="7" s="1"/>
  <c r="CR120" i="7" s="1"/>
  <c r="CR103" i="7"/>
  <c r="CR111" i="7" s="1"/>
  <c r="CR119" i="7" s="1"/>
  <c r="EF19" i="4"/>
  <c r="EF63" i="5"/>
  <c r="CS92" i="7"/>
  <c r="CS90" i="7"/>
  <c r="EF56" i="5" l="1"/>
  <c r="EF58" i="5" s="1"/>
  <c r="EG53" i="5"/>
  <c r="CT79" i="7"/>
  <c r="CT82" i="7"/>
  <c r="CT85" i="7"/>
  <c r="CT98" i="7" s="1"/>
  <c r="CT78" i="7"/>
  <c r="CT81" i="7"/>
  <c r="CU54" i="7"/>
  <c r="CU55" i="7" s="1"/>
  <c r="CU30" i="7"/>
  <c r="CU31" i="7" s="1"/>
  <c r="EG47" i="5"/>
  <c r="EG48" i="5" s="1"/>
  <c r="EG16" i="4"/>
  <c r="CV50" i="7"/>
  <c r="CV51" i="7" s="1"/>
  <c r="CU68" i="7"/>
  <c r="CV34" i="7"/>
  <c r="CV35" i="7" s="1"/>
  <c r="CV42" i="7"/>
  <c r="CV43" i="7" s="1"/>
  <c r="CV26" i="7"/>
  <c r="CV27" i="7" s="1"/>
  <c r="CS93" i="7"/>
  <c r="CS94" i="7"/>
  <c r="CS95" i="7"/>
  <c r="CS96" i="7"/>
  <c r="CS100" i="7"/>
  <c r="CV58" i="7"/>
  <c r="CV59" i="7" s="1"/>
  <c r="CU38" i="7"/>
  <c r="CU39" i="7" s="1"/>
  <c r="CU65" i="7"/>
  <c r="CU62" i="7"/>
  <c r="EF50" i="5"/>
  <c r="EG43" i="5" s="1"/>
  <c r="EF64" i="5"/>
  <c r="CU73" i="7"/>
  <c r="CU46" i="7"/>
  <c r="CU47" i="7" s="1"/>
  <c r="EF78" i="5" l="1"/>
  <c r="EH23" i="7" s="1"/>
  <c r="EH87" i="7" s="1"/>
  <c r="CS108" i="7"/>
  <c r="CS116" i="7" s="1"/>
  <c r="CS102" i="7"/>
  <c r="CU74" i="7"/>
  <c r="CU75" i="7" s="1"/>
  <c r="CV60" i="7"/>
  <c r="CV44" i="7"/>
  <c r="CV36" i="7"/>
  <c r="CV52" i="7"/>
  <c r="CV28" i="7"/>
  <c r="CU69" i="7"/>
  <c r="CU63" i="7"/>
  <c r="CT90" i="7"/>
  <c r="CT92" i="7"/>
  <c r="EG18" i="4"/>
  <c r="EH44" i="5" s="1"/>
  <c r="EG49" i="5"/>
  <c r="EG68" i="5"/>
  <c r="EG54" i="5" l="1"/>
  <c r="EG55" i="5"/>
  <c r="EH53" i="5" s="1"/>
  <c r="EG63" i="5"/>
  <c r="EG64" i="5" s="1"/>
  <c r="EG19" i="4"/>
  <c r="CV37" i="7"/>
  <c r="CW33" i="7" s="1"/>
  <c r="CV29" i="7"/>
  <c r="CW25" i="7" s="1"/>
  <c r="CV53" i="7"/>
  <c r="CW49" i="7" s="1"/>
  <c r="CV61" i="7"/>
  <c r="CV45" i="7"/>
  <c r="CW41" i="7" s="1"/>
  <c r="CV72" i="7"/>
  <c r="CT95" i="7"/>
  <c r="CT93" i="7"/>
  <c r="CT96" i="7"/>
  <c r="CT94" i="7"/>
  <c r="CT100" i="7"/>
  <c r="EH45" i="5"/>
  <c r="O28" i="6"/>
  <c r="CU77" i="7"/>
  <c r="CU70" i="7"/>
  <c r="CU83" i="7" s="1"/>
  <c r="CS106" i="7"/>
  <c r="CS114" i="7" s="1"/>
  <c r="CS122" i="7" s="1"/>
  <c r="CS104" i="7"/>
  <c r="CS112" i="7" s="1"/>
  <c r="CS120" i="7" s="1"/>
  <c r="CS103" i="7"/>
  <c r="CS111" i="7" s="1"/>
  <c r="CS119" i="7" s="1"/>
  <c r="CS105" i="7"/>
  <c r="CS113" i="7" s="1"/>
  <c r="CS121" i="7" s="1"/>
  <c r="CS107" i="7"/>
  <c r="CS115" i="7" s="1"/>
  <c r="CS123" i="7" s="1"/>
  <c r="CV67" i="7"/>
  <c r="EG56" i="5" l="1"/>
  <c r="EG58" i="5" s="1"/>
  <c r="EG78" i="5" s="1"/>
  <c r="EI23" i="7" s="1"/>
  <c r="EI87" i="7" s="1"/>
  <c r="EG50" i="5"/>
  <c r="EH43" i="5" s="1"/>
  <c r="EH47" i="5"/>
  <c r="EH48" i="5" s="1"/>
  <c r="EH16" i="4"/>
  <c r="EH18" i="4" s="1"/>
  <c r="EI44" i="5" s="1"/>
  <c r="EI45" i="5" s="1"/>
  <c r="CV54" i="7"/>
  <c r="CV55" i="7" s="1"/>
  <c r="CV30" i="7"/>
  <c r="CV31" i="7" s="1"/>
  <c r="CV46" i="7"/>
  <c r="CV47" i="7" s="1"/>
  <c r="CV73" i="7"/>
  <c r="CU79" i="7"/>
  <c r="CU78" i="7"/>
  <c r="CU80" i="7"/>
  <c r="CU82" i="7"/>
  <c r="CU81" i="7"/>
  <c r="CU85" i="7"/>
  <c r="CW26" i="7"/>
  <c r="CW27" i="7" s="1"/>
  <c r="CW34" i="7"/>
  <c r="CW35" i="7" s="1"/>
  <c r="CV65" i="7"/>
  <c r="CW42" i="7"/>
  <c r="CW43" i="7" s="1"/>
  <c r="CV68" i="7"/>
  <c r="CW57" i="7"/>
  <c r="CV62" i="7"/>
  <c r="EH46" i="5"/>
  <c r="CV38" i="7"/>
  <c r="CV39" i="7" s="1"/>
  <c r="CU88" i="7"/>
  <c r="CU89" i="7" s="1"/>
  <c r="CT108" i="7"/>
  <c r="CT116" i="7" s="1"/>
  <c r="CT102" i="7"/>
  <c r="CW50" i="7"/>
  <c r="CW51" i="7" s="1"/>
  <c r="EH19" i="4" l="1"/>
  <c r="EH49" i="5"/>
  <c r="EH54" i="5" s="1"/>
  <c r="EI46" i="5"/>
  <c r="O29" i="6"/>
  <c r="EH68" i="5"/>
  <c r="CV74" i="7"/>
  <c r="CV75" i="7" s="1"/>
  <c r="CV69" i="7"/>
  <c r="CV70" i="7" s="1"/>
  <c r="EI47" i="5"/>
  <c r="EI48" i="5" s="1"/>
  <c r="EI16" i="4"/>
  <c r="CT105" i="7"/>
  <c r="CT113" i="7" s="1"/>
  <c r="CT121" i="7" s="1"/>
  <c r="CT107" i="7"/>
  <c r="CT115" i="7" s="1"/>
  <c r="CT123" i="7" s="1"/>
  <c r="CT103" i="7"/>
  <c r="CT111" i="7" s="1"/>
  <c r="CT119" i="7" s="1"/>
  <c r="CT106" i="7"/>
  <c r="CT114" i="7" s="1"/>
  <c r="CT122" i="7" s="1"/>
  <c r="CT104" i="7"/>
  <c r="CT112" i="7" s="1"/>
  <c r="CT120" i="7" s="1"/>
  <c r="CU98" i="7"/>
  <c r="CV63" i="7"/>
  <c r="CW58" i="7"/>
  <c r="CW59" i="7" s="1"/>
  <c r="CW44" i="7" s="1"/>
  <c r="O33" i="6" l="1"/>
  <c r="EH63" i="5"/>
  <c r="EH50" i="5" s="1"/>
  <c r="EI43" i="5" s="1"/>
  <c r="EH55" i="5"/>
  <c r="EI53" i="5" s="1"/>
  <c r="CV83" i="7"/>
  <c r="CV88" i="7" s="1"/>
  <c r="CV89" i="7" s="1"/>
  <c r="CV77" i="7"/>
  <c r="CV78" i="7" s="1"/>
  <c r="O31" i="6"/>
  <c r="O30" i="6"/>
  <c r="O37" i="6" s="1"/>
  <c r="N8" i="9" s="1"/>
  <c r="BL20" i="10" s="1"/>
  <c r="CW67" i="7"/>
  <c r="CW72" i="7"/>
  <c r="CW36" i="7"/>
  <c r="EI18" i="4"/>
  <c r="EJ44" i="5" s="1"/>
  <c r="EI49" i="5"/>
  <c r="EI68" i="5"/>
  <c r="CU90" i="7"/>
  <c r="CU92" i="7"/>
  <c r="CW52" i="7"/>
  <c r="CW60" i="7"/>
  <c r="CW28" i="7"/>
  <c r="EH64" i="5" l="1"/>
  <c r="EH56" i="5"/>
  <c r="CV81" i="7"/>
  <c r="CV82" i="7"/>
  <c r="EI55" i="5"/>
  <c r="EI54" i="5"/>
  <c r="CV80" i="7"/>
  <c r="CV79" i="7"/>
  <c r="CV85" i="7"/>
  <c r="CV98" i="7" s="1"/>
  <c r="CU95" i="7"/>
  <c r="CU96" i="7"/>
  <c r="CU93" i="7"/>
  <c r="CU94" i="7"/>
  <c r="CU100" i="7"/>
  <c r="EI63" i="5"/>
  <c r="EI19" i="4"/>
  <c r="EJ46" i="5"/>
  <c r="EJ45" i="5"/>
  <c r="CW61" i="7"/>
  <c r="CX57" i="7" s="1"/>
  <c r="CW37" i="7"/>
  <c r="CW29" i="7"/>
  <c r="CX25" i="7" s="1"/>
  <c r="CW53" i="7"/>
  <c r="CX49" i="7" s="1"/>
  <c r="CW45" i="7"/>
  <c r="EH58" i="5" l="1"/>
  <c r="EH78" i="5" s="1"/>
  <c r="EJ23" i="7" s="1"/>
  <c r="EJ87" i="7" s="1"/>
  <c r="O34" i="6"/>
  <c r="O35" i="6" s="1"/>
  <c r="N5" i="9" s="1"/>
  <c r="EI56" i="5"/>
  <c r="EJ53" i="5"/>
  <c r="CV90" i="7"/>
  <c r="CV92" i="7"/>
  <c r="CV96" i="7" s="1"/>
  <c r="CW73" i="7"/>
  <c r="CW30" i="7"/>
  <c r="CW31" i="7" s="1"/>
  <c r="CW68" i="7"/>
  <c r="CX41" i="7"/>
  <c r="CW46" i="7"/>
  <c r="CW47" i="7" s="1"/>
  <c r="CX50" i="7"/>
  <c r="CX51" i="7" s="1"/>
  <c r="EI64" i="5"/>
  <c r="EI50" i="5"/>
  <c r="EJ43" i="5" s="1"/>
  <c r="CX58" i="7"/>
  <c r="CX59" i="7" s="1"/>
  <c r="CW65" i="7"/>
  <c r="CW62" i="7"/>
  <c r="EJ47" i="5"/>
  <c r="EJ16" i="4"/>
  <c r="CX26" i="7"/>
  <c r="CX27" i="7" s="1"/>
  <c r="CX33" i="7"/>
  <c r="CW38" i="7"/>
  <c r="CW39" i="7" s="1"/>
  <c r="CW54" i="7"/>
  <c r="CW55" i="7" s="1"/>
  <c r="CU102" i="7"/>
  <c r="CU108" i="7"/>
  <c r="CU116" i="7" s="1"/>
  <c r="O39" i="6" l="1"/>
  <c r="N10" i="9" s="1"/>
  <c r="EI58" i="5"/>
  <c r="EI78" i="5" s="1"/>
  <c r="EK23" i="7" s="1"/>
  <c r="EK87" i="7" s="1"/>
  <c r="CV95" i="7"/>
  <c r="CV100" i="7"/>
  <c r="CV108" i="7" s="1"/>
  <c r="CV116" i="7" s="1"/>
  <c r="CV93" i="7"/>
  <c r="CV94" i="7"/>
  <c r="CW74" i="7"/>
  <c r="CW75" i="7" s="1"/>
  <c r="CX34" i="7"/>
  <c r="CX35" i="7" s="1"/>
  <c r="CW69" i="7"/>
  <c r="CX42" i="7"/>
  <c r="CX43" i="7" s="1"/>
  <c r="EJ68" i="5"/>
  <c r="EJ48" i="5"/>
  <c r="EJ18" i="4"/>
  <c r="EK44" i="5" s="1"/>
  <c r="CU106" i="7"/>
  <c r="CU114" i="7" s="1"/>
  <c r="CU122" i="7" s="1"/>
  <c r="CU107" i="7"/>
  <c r="CU115" i="7" s="1"/>
  <c r="CU123" i="7" s="1"/>
  <c r="CU103" i="7"/>
  <c r="CU111" i="7" s="1"/>
  <c r="CU119" i="7" s="1"/>
  <c r="CU104" i="7"/>
  <c r="CU112" i="7" s="1"/>
  <c r="CU120" i="7" s="1"/>
  <c r="CU105" i="7"/>
  <c r="CU113" i="7" s="1"/>
  <c r="CU121" i="7" s="1"/>
  <c r="CW63" i="7"/>
  <c r="CV102" i="7" l="1"/>
  <c r="CV106" i="7" s="1"/>
  <c r="CV114" i="7" s="1"/>
  <c r="CV122" i="7" s="1"/>
  <c r="CX72" i="7"/>
  <c r="CX44" i="7"/>
  <c r="CX36" i="7"/>
  <c r="CX28" i="7"/>
  <c r="CX60" i="7"/>
  <c r="EJ49" i="5"/>
  <c r="EJ19" i="4"/>
  <c r="CW70" i="7"/>
  <c r="CW83" i="7" s="1"/>
  <c r="CW77" i="7"/>
  <c r="EK46" i="5"/>
  <c r="EK45" i="5"/>
  <c r="CX52" i="7"/>
  <c r="CX67" i="7"/>
  <c r="CV105" i="7" l="1"/>
  <c r="CV113" i="7" s="1"/>
  <c r="CV121" i="7" s="1"/>
  <c r="CV103" i="7"/>
  <c r="CV111" i="7" s="1"/>
  <c r="CV119" i="7" s="1"/>
  <c r="CV107" i="7"/>
  <c r="CV115" i="7" s="1"/>
  <c r="CV123" i="7" s="1"/>
  <c r="CV104" i="7"/>
  <c r="CV112" i="7" s="1"/>
  <c r="CV120" i="7" s="1"/>
  <c r="EJ54" i="5"/>
  <c r="EJ55" i="5"/>
  <c r="EK53" i="5" s="1"/>
  <c r="EJ63" i="5"/>
  <c r="EJ64" i="5" s="1"/>
  <c r="CX45" i="7"/>
  <c r="CX29" i="7"/>
  <c r="CX61" i="7"/>
  <c r="CX53" i="7"/>
  <c r="CY49" i="7" s="1"/>
  <c r="EK47" i="5"/>
  <c r="EK48" i="5" s="1"/>
  <c r="EK16" i="4"/>
  <c r="CW79" i="7"/>
  <c r="CW80" i="7"/>
  <c r="CW81" i="7"/>
  <c r="CW78" i="7"/>
  <c r="CW82" i="7"/>
  <c r="CW85" i="7"/>
  <c r="CW88" i="7"/>
  <c r="CW89" i="7" s="1"/>
  <c r="CX37" i="7"/>
  <c r="EJ56" i="5" l="1"/>
  <c r="EJ50" i="5"/>
  <c r="EK43" i="5" s="1"/>
  <c r="CW98" i="7"/>
  <c r="CY41" i="7"/>
  <c r="CX46" i="7"/>
  <c r="CX47" i="7" s="1"/>
  <c r="CY57" i="7"/>
  <c r="CX62" i="7"/>
  <c r="CY25" i="7"/>
  <c r="CX30" i="7"/>
  <c r="CX31" i="7" s="1"/>
  <c r="CX68" i="7"/>
  <c r="CX73" i="7"/>
  <c r="CX65" i="7"/>
  <c r="EK49" i="5"/>
  <c r="EK54" i="5" s="1"/>
  <c r="EK68" i="5"/>
  <c r="CY33" i="7"/>
  <c r="CX38" i="7"/>
  <c r="CX39" i="7" s="1"/>
  <c r="EK18" i="4"/>
  <c r="EL44" i="5" s="1"/>
  <c r="CY50" i="7"/>
  <c r="CY51" i="7" s="1"/>
  <c r="CX54" i="7"/>
  <c r="CX55" i="7" s="1"/>
  <c r="EJ58" i="5" l="1"/>
  <c r="EJ78" i="5" s="1"/>
  <c r="EL23" i="7" s="1"/>
  <c r="EL87" i="7" s="1"/>
  <c r="EK55" i="5"/>
  <c r="EK56" i="5" s="1"/>
  <c r="EK63" i="5"/>
  <c r="EK50" i="5" s="1"/>
  <c r="EL43" i="5" s="1"/>
  <c r="CY42" i="7"/>
  <c r="CY43" i="7" s="1"/>
  <c r="EL46" i="5"/>
  <c r="EL45" i="5"/>
  <c r="CY26" i="7"/>
  <c r="CY27" i="7" s="1"/>
  <c r="CY58" i="7"/>
  <c r="CY59" i="7" s="1"/>
  <c r="CX74" i="7"/>
  <c r="CX75" i="7" s="1"/>
  <c r="CW90" i="7"/>
  <c r="CW92" i="7"/>
  <c r="EK19" i="4"/>
  <c r="CX63" i="7"/>
  <c r="CY34" i="7"/>
  <c r="CY35" i="7" s="1"/>
  <c r="CX69" i="7"/>
  <c r="CY67" i="7" s="1"/>
  <c r="EL53" i="5" l="1"/>
  <c r="EK58" i="5"/>
  <c r="EK64" i="5"/>
  <c r="CY72" i="7"/>
  <c r="CW94" i="7"/>
  <c r="CW93" i="7"/>
  <c r="CW95" i="7"/>
  <c r="CW96" i="7"/>
  <c r="CW100" i="7"/>
  <c r="CX77" i="7"/>
  <c r="CX70" i="7"/>
  <c r="CX83" i="7" s="1"/>
  <c r="CY60" i="7"/>
  <c r="CY36" i="7"/>
  <c r="CY52" i="7"/>
  <c r="CY44" i="7"/>
  <c r="CY28" i="7"/>
  <c r="EL47" i="5"/>
  <c r="EL16" i="4"/>
  <c r="EK78" i="5" l="1"/>
  <c r="EM23" i="7" s="1"/>
  <c r="EM87" i="7" s="1"/>
  <c r="CX80" i="7"/>
  <c r="CX81" i="7"/>
  <c r="CX78" i="7"/>
  <c r="CX79" i="7"/>
  <c r="CX82" i="7"/>
  <c r="CX85" i="7"/>
  <c r="EL68" i="5"/>
  <c r="CW108" i="7"/>
  <c r="CW116" i="7" s="1"/>
  <c r="CW102" i="7"/>
  <c r="CY29" i="7"/>
  <c r="CZ25" i="7" s="1"/>
  <c r="CY45" i="7"/>
  <c r="CZ41" i="7" s="1"/>
  <c r="CY61" i="7"/>
  <c r="CZ57" i="7" s="1"/>
  <c r="CY53" i="7"/>
  <c r="CZ49" i="7" s="1"/>
  <c r="CY37" i="7"/>
  <c r="CZ33" i="7" s="1"/>
  <c r="EL48" i="5"/>
  <c r="EL18" i="4"/>
  <c r="EM44" i="5" s="1"/>
  <c r="CX88" i="7"/>
  <c r="CX89" i="7" s="1"/>
  <c r="EL49" i="5" l="1"/>
  <c r="EL54" i="5" s="1"/>
  <c r="CY38" i="7"/>
  <c r="CY39" i="7" s="1"/>
  <c r="CY46" i="7"/>
  <c r="CY47" i="7" s="1"/>
  <c r="CY62" i="7"/>
  <c r="CY63" i="7" s="1"/>
  <c r="EM46" i="5"/>
  <c r="EM45" i="5"/>
  <c r="CZ42" i="7"/>
  <c r="CZ43" i="7" s="1"/>
  <c r="CZ26" i="7"/>
  <c r="CZ27" i="7" s="1"/>
  <c r="EL19" i="4"/>
  <c r="CY68" i="7"/>
  <c r="CZ34" i="7"/>
  <c r="CZ35" i="7" s="1"/>
  <c r="CY30" i="7"/>
  <c r="CY31" i="7" s="1"/>
  <c r="CY65" i="7"/>
  <c r="EL63" i="5"/>
  <c r="CY73" i="7"/>
  <c r="CZ50" i="7"/>
  <c r="CZ51" i="7" s="1"/>
  <c r="CZ58" i="7"/>
  <c r="CZ59" i="7" s="1"/>
  <c r="CW106" i="7"/>
  <c r="CW114" i="7" s="1"/>
  <c r="CW122" i="7" s="1"/>
  <c r="CW104" i="7"/>
  <c r="CW112" i="7" s="1"/>
  <c r="CW120" i="7" s="1"/>
  <c r="CW103" i="7"/>
  <c r="CW111" i="7" s="1"/>
  <c r="CW119" i="7" s="1"/>
  <c r="CW105" i="7"/>
  <c r="CW113" i="7" s="1"/>
  <c r="CW121" i="7" s="1"/>
  <c r="CW107" i="7"/>
  <c r="CW115" i="7" s="1"/>
  <c r="CW123" i="7" s="1"/>
  <c r="CX98" i="7"/>
  <c r="CY54" i="7"/>
  <c r="CY55" i="7" s="1"/>
  <c r="EL55" i="5" l="1"/>
  <c r="EL56" i="5" s="1"/>
  <c r="EL58" i="5" s="1"/>
  <c r="CZ52" i="7"/>
  <c r="CZ36" i="7"/>
  <c r="CZ44" i="7"/>
  <c r="CZ60" i="7"/>
  <c r="CZ28" i="7"/>
  <c r="CY74" i="7"/>
  <c r="CY75" i="7" s="1"/>
  <c r="CX92" i="7"/>
  <c r="CX90" i="7"/>
  <c r="EL50" i="5"/>
  <c r="EM43" i="5" s="1"/>
  <c r="EL64" i="5"/>
  <c r="CY69" i="7"/>
  <c r="CZ67" i="7" s="1"/>
  <c r="EM47" i="5"/>
  <c r="EM16" i="4"/>
  <c r="EM53" i="5" l="1"/>
  <c r="EL78" i="5"/>
  <c r="EN23" i="7" s="1"/>
  <c r="EN87" i="7" s="1"/>
  <c r="CZ72" i="7"/>
  <c r="CX95" i="7"/>
  <c r="CX93" i="7"/>
  <c r="CX96" i="7"/>
  <c r="CX94" i="7"/>
  <c r="CX100" i="7"/>
  <c r="EM68" i="5"/>
  <c r="CZ37" i="7"/>
  <c r="DA33" i="7" s="1"/>
  <c r="CZ53" i="7"/>
  <c r="DA49" i="7" s="1"/>
  <c r="CZ29" i="7"/>
  <c r="DA25" i="7" s="1"/>
  <c r="CZ61" i="7"/>
  <c r="DA57" i="7" s="1"/>
  <c r="CZ45" i="7"/>
  <c r="DA41" i="7" s="1"/>
  <c r="EM48" i="5"/>
  <c r="EM18" i="4"/>
  <c r="EN44" i="5" s="1"/>
  <c r="CY77" i="7"/>
  <c r="CY70" i="7"/>
  <c r="CY83" i="7" s="1"/>
  <c r="EM19" i="4" l="1"/>
  <c r="EN47" i="5" s="1"/>
  <c r="EN68" i="5" s="1"/>
  <c r="CZ54" i="7"/>
  <c r="CZ55" i="7" s="1"/>
  <c r="CZ62" i="7"/>
  <c r="CZ63" i="7" s="1"/>
  <c r="EM49" i="5"/>
  <c r="CZ30" i="7"/>
  <c r="CZ31" i="7" s="1"/>
  <c r="CZ46" i="7"/>
  <c r="CZ47" i="7" s="1"/>
  <c r="DA50" i="7"/>
  <c r="DA51" i="7" s="1"/>
  <c r="DA34" i="7"/>
  <c r="DA35" i="7" s="1"/>
  <c r="CY81" i="7"/>
  <c r="CY78" i="7"/>
  <c r="CY80" i="7"/>
  <c r="CY79" i="7"/>
  <c r="CY82" i="7"/>
  <c r="CY85" i="7"/>
  <c r="CZ65" i="7"/>
  <c r="CZ68" i="7"/>
  <c r="CX108" i="7"/>
  <c r="CX116" i="7" s="1"/>
  <c r="CX102" i="7"/>
  <c r="DA42" i="7"/>
  <c r="DA43" i="7" s="1"/>
  <c r="CZ73" i="7"/>
  <c r="EN16" i="4"/>
  <c r="DA58" i="7"/>
  <c r="DA59" i="7" s="1"/>
  <c r="CY88" i="7"/>
  <c r="CY89" i="7" s="1"/>
  <c r="CZ38" i="7"/>
  <c r="CZ39" i="7" s="1"/>
  <c r="EN46" i="5"/>
  <c r="EN45" i="5"/>
  <c r="DA26" i="7"/>
  <c r="DA27" i="7" s="1"/>
  <c r="EM54" i="5" l="1"/>
  <c r="EM55" i="5"/>
  <c r="EN53" i="5" s="1"/>
  <c r="EM63" i="5"/>
  <c r="EM50" i="5" s="1"/>
  <c r="EN43" i="5" s="1"/>
  <c r="CZ74" i="7"/>
  <c r="CZ75" i="7" s="1"/>
  <c r="EN48" i="5"/>
  <c r="EN49" i="5" s="1"/>
  <c r="DA36" i="7"/>
  <c r="DA60" i="7"/>
  <c r="DA52" i="7"/>
  <c r="DA44" i="7"/>
  <c r="DA28" i="7"/>
  <c r="CZ69" i="7"/>
  <c r="DA67" i="7" s="1"/>
  <c r="EN18" i="4"/>
  <c r="EO44" i="5" s="1"/>
  <c r="CY98" i="7"/>
  <c r="CX106" i="7"/>
  <c r="CX114" i="7" s="1"/>
  <c r="CX122" i="7" s="1"/>
  <c r="CX105" i="7"/>
  <c r="CX113" i="7" s="1"/>
  <c r="CX121" i="7" s="1"/>
  <c r="CX107" i="7"/>
  <c r="CX115" i="7" s="1"/>
  <c r="CX123" i="7" s="1"/>
  <c r="CX103" i="7"/>
  <c r="CX111" i="7" s="1"/>
  <c r="CX119" i="7" s="1"/>
  <c r="CX104" i="7"/>
  <c r="CX112" i="7" s="1"/>
  <c r="CX120" i="7" s="1"/>
  <c r="EM64" i="5" l="1"/>
  <c r="EM56" i="5"/>
  <c r="EM58" i="5" s="1"/>
  <c r="EN54" i="5"/>
  <c r="EN55" i="5"/>
  <c r="EO53" i="5" s="1"/>
  <c r="DA72" i="7"/>
  <c r="CY92" i="7"/>
  <c r="CY90" i="7"/>
  <c r="CZ70" i="7"/>
  <c r="CZ83" i="7" s="1"/>
  <c r="CZ77" i="7"/>
  <c r="EO46" i="5"/>
  <c r="EO45" i="5"/>
  <c r="EN19" i="4"/>
  <c r="EN63" i="5"/>
  <c r="DA61" i="7"/>
  <c r="DB57" i="7" s="1"/>
  <c r="DA37" i="7"/>
  <c r="DB33" i="7" s="1"/>
  <c r="DA45" i="7"/>
  <c r="DB41" i="7" s="1"/>
  <c r="DA53" i="7"/>
  <c r="DB49" i="7" s="1"/>
  <c r="DA29" i="7"/>
  <c r="DB25" i="7" s="1"/>
  <c r="EM78" i="5" l="1"/>
  <c r="EO23" i="7" s="1"/>
  <c r="EO87" i="7" s="1"/>
  <c r="EN56" i="5"/>
  <c r="EN58" i="5" s="1"/>
  <c r="DA30" i="7"/>
  <c r="DA31" i="7" s="1"/>
  <c r="DB50" i="7"/>
  <c r="DB51" i="7" s="1"/>
  <c r="CZ82" i="7"/>
  <c r="CZ80" i="7"/>
  <c r="CZ79" i="7"/>
  <c r="CZ78" i="7"/>
  <c r="CZ81" i="7"/>
  <c r="CZ85" i="7"/>
  <c r="DA62" i="7"/>
  <c r="DA38" i="7"/>
  <c r="DA39" i="7" s="1"/>
  <c r="DB42" i="7"/>
  <c r="DB43" i="7" s="1"/>
  <c r="DB58" i="7"/>
  <c r="DB59" i="7" s="1"/>
  <c r="CZ88" i="7"/>
  <c r="CZ89" i="7" s="1"/>
  <c r="EN50" i="5"/>
  <c r="EO43" i="5" s="1"/>
  <c r="EN64" i="5"/>
  <c r="DA65" i="7"/>
  <c r="DA68" i="7"/>
  <c r="DA73" i="7"/>
  <c r="CY96" i="7"/>
  <c r="CY93" i="7"/>
  <c r="CY95" i="7"/>
  <c r="CY94" i="7"/>
  <c r="CY100" i="7"/>
  <c r="DB34" i="7"/>
  <c r="DB35" i="7" s="1"/>
  <c r="EO47" i="5"/>
  <c r="EO48" i="5" s="1"/>
  <c r="EO16" i="4"/>
  <c r="DA46" i="7"/>
  <c r="DA47" i="7" s="1"/>
  <c r="DB26" i="7"/>
  <c r="DB27" i="7" s="1"/>
  <c r="DA54" i="7"/>
  <c r="DA55" i="7" s="1"/>
  <c r="EN78" i="5" l="1"/>
  <c r="EP23" i="7" s="1"/>
  <c r="EP87" i="7" s="1"/>
  <c r="DB36" i="7"/>
  <c r="DB52" i="7"/>
  <c r="DB44" i="7"/>
  <c r="DB60" i="7"/>
  <c r="DB28" i="7"/>
  <c r="DA69" i="7"/>
  <c r="DB67" i="7" s="1"/>
  <c r="CY102" i="7"/>
  <c r="CY108" i="7"/>
  <c r="CY116" i="7" s="1"/>
  <c r="CZ98" i="7"/>
  <c r="EO49" i="5"/>
  <c r="EO68" i="5"/>
  <c r="DA74" i="7"/>
  <c r="DA75" i="7" s="1"/>
  <c r="DA63" i="7"/>
  <c r="EO18" i="4"/>
  <c r="EP44" i="5" s="1"/>
  <c r="EO54" i="5" l="1"/>
  <c r="EO55" i="5"/>
  <c r="EO63" i="5"/>
  <c r="EO64" i="5" s="1"/>
  <c r="DB72" i="7"/>
  <c r="DB37" i="7"/>
  <c r="DC33" i="7" s="1"/>
  <c r="DB45" i="7"/>
  <c r="DC41" i="7" s="1"/>
  <c r="DB29" i="7"/>
  <c r="DC25" i="7" s="1"/>
  <c r="DB53" i="7"/>
  <c r="DC49" i="7" s="1"/>
  <c r="DB61" i="7"/>
  <c r="EP46" i="5"/>
  <c r="EP45" i="5"/>
  <c r="CZ90" i="7"/>
  <c r="CZ92" i="7"/>
  <c r="CY105" i="7"/>
  <c r="CY113" i="7" s="1"/>
  <c r="CY121" i="7" s="1"/>
  <c r="CY104" i="7"/>
  <c r="CY112" i="7" s="1"/>
  <c r="CY120" i="7" s="1"/>
  <c r="CY106" i="7"/>
  <c r="CY114" i="7" s="1"/>
  <c r="CY122" i="7" s="1"/>
  <c r="CY107" i="7"/>
  <c r="CY115" i="7" s="1"/>
  <c r="CY123" i="7" s="1"/>
  <c r="CY103" i="7"/>
  <c r="CY111" i="7" s="1"/>
  <c r="CY119" i="7" s="1"/>
  <c r="EO19" i="4"/>
  <c r="DA70" i="7"/>
  <c r="DA83" i="7" s="1"/>
  <c r="DA77" i="7"/>
  <c r="EO56" i="5" l="1"/>
  <c r="EO58" i="5" s="1"/>
  <c r="EO78" i="5" s="1"/>
  <c r="EQ23" i="7" s="1"/>
  <c r="EQ87" i="7" s="1"/>
  <c r="EP53" i="5"/>
  <c r="EO50" i="5"/>
  <c r="EP43" i="5" s="1"/>
  <c r="DC34" i="7"/>
  <c r="DC35" i="7" s="1"/>
  <c r="DB54" i="7"/>
  <c r="DB55" i="7" s="1"/>
  <c r="DB65" i="7"/>
  <c r="DC26" i="7"/>
  <c r="DC27" i="7" s="1"/>
  <c r="DB38" i="7"/>
  <c r="DB39" i="7" s="1"/>
  <c r="DB73" i="7"/>
  <c r="DB46" i="7"/>
  <c r="DB47" i="7" s="1"/>
  <c r="DA78" i="7"/>
  <c r="DA82" i="7"/>
  <c r="DA79" i="7"/>
  <c r="DA81" i="7"/>
  <c r="DA80" i="7"/>
  <c r="DA85" i="7"/>
  <c r="DA88" i="7"/>
  <c r="DA89" i="7" s="1"/>
  <c r="CZ94" i="7"/>
  <c r="CZ95" i="7"/>
  <c r="CZ96" i="7"/>
  <c r="CZ93" i="7"/>
  <c r="CZ100" i="7"/>
  <c r="DB68" i="7"/>
  <c r="DC50" i="7"/>
  <c r="DC51" i="7" s="1"/>
  <c r="DC42" i="7"/>
  <c r="DC43" i="7" s="1"/>
  <c r="EP47" i="5"/>
  <c r="EP48" i="5" s="1"/>
  <c r="EP16" i="4"/>
  <c r="DC57" i="7"/>
  <c r="DB62" i="7"/>
  <c r="DB30" i="7"/>
  <c r="DB31" i="7" s="1"/>
  <c r="DB74" i="7" l="1"/>
  <c r="DB75" i="7" s="1"/>
  <c r="DB63" i="7"/>
  <c r="DC58" i="7"/>
  <c r="DC59" i="7" s="1"/>
  <c r="DC52" i="7" s="1"/>
  <c r="DB69" i="7"/>
  <c r="DA98" i="7"/>
  <c r="EP49" i="5"/>
  <c r="EP68" i="5"/>
  <c r="EP18" i="4"/>
  <c r="EQ44" i="5" s="1"/>
  <c r="CZ102" i="7"/>
  <c r="CZ108" i="7"/>
  <c r="CZ116" i="7" s="1"/>
  <c r="EP54" i="5" l="1"/>
  <c r="EP55" i="5"/>
  <c r="EQ53" i="5" s="1"/>
  <c r="DC72" i="7"/>
  <c r="EP63" i="5"/>
  <c r="EP64" i="5" s="1"/>
  <c r="DC44" i="7"/>
  <c r="DC28" i="7"/>
  <c r="DC60" i="7"/>
  <c r="DC36" i="7"/>
  <c r="DB70" i="7"/>
  <c r="DB83" i="7" s="1"/>
  <c r="DB77" i="7"/>
  <c r="EQ46" i="5"/>
  <c r="EQ45" i="5"/>
  <c r="EP19" i="4"/>
  <c r="DC67" i="7"/>
  <c r="DA90" i="7"/>
  <c r="DA92" i="7"/>
  <c r="CZ103" i="7"/>
  <c r="CZ111" i="7" s="1"/>
  <c r="CZ119" i="7" s="1"/>
  <c r="K8" i="8" s="1"/>
  <c r="K10" i="8" s="1"/>
  <c r="CZ105" i="7"/>
  <c r="CZ113" i="7" s="1"/>
  <c r="CZ121" i="7" s="1"/>
  <c r="K30" i="8" s="1"/>
  <c r="K32" i="8" s="1"/>
  <c r="CZ107" i="7"/>
  <c r="CZ115" i="7" s="1"/>
  <c r="CZ123" i="7" s="1"/>
  <c r="K52" i="8" s="1"/>
  <c r="K54" i="8" s="1"/>
  <c r="CZ106" i="7"/>
  <c r="CZ114" i="7" s="1"/>
  <c r="CZ122" i="7" s="1"/>
  <c r="K41" i="8" s="1"/>
  <c r="K43" i="8" s="1"/>
  <c r="CZ104" i="7"/>
  <c r="CZ112" i="7" s="1"/>
  <c r="CZ120" i="7" s="1"/>
  <c r="K19" i="8" s="1"/>
  <c r="K21" i="8" s="1"/>
  <c r="EP56" i="5" l="1"/>
  <c r="EP58" i="5" s="1"/>
  <c r="EP78" i="5" s="1"/>
  <c r="ER23" i="7" s="1"/>
  <c r="ER87" i="7" s="1"/>
  <c r="EP50" i="5"/>
  <c r="EQ43" i="5" s="1"/>
  <c r="DC45" i="7"/>
  <c r="DC46" i="7" s="1"/>
  <c r="DC47" i="7" s="1"/>
  <c r="DC37" i="7"/>
  <c r="DD33" i="7" s="1"/>
  <c r="DD34" i="7" s="1"/>
  <c r="DD35" i="7" s="1"/>
  <c r="DC53" i="7"/>
  <c r="DD49" i="7" s="1"/>
  <c r="DD50" i="7" s="1"/>
  <c r="DD51" i="7" s="1"/>
  <c r="DC29" i="7"/>
  <c r="DD25" i="7" s="1"/>
  <c r="DD26" i="7" s="1"/>
  <c r="DD27" i="7" s="1"/>
  <c r="DC61" i="7"/>
  <c r="DD57" i="7" s="1"/>
  <c r="DD58" i="7" s="1"/>
  <c r="DD59" i="7" s="1"/>
  <c r="DB88" i="7"/>
  <c r="DB89" i="7" s="1"/>
  <c r="DB80" i="7"/>
  <c r="DB78" i="7"/>
  <c r="DB82" i="7"/>
  <c r="DB79" i="7"/>
  <c r="DB81" i="7"/>
  <c r="DB85" i="7"/>
  <c r="DA95" i="7"/>
  <c r="DA94" i="7"/>
  <c r="DA93" i="7"/>
  <c r="DA96" i="7"/>
  <c r="DA100" i="7"/>
  <c r="EQ47" i="5"/>
  <c r="EQ48" i="5" s="1"/>
  <c r="EQ16" i="4"/>
  <c r="DD41" i="7" l="1"/>
  <c r="DD42" i="7" s="1"/>
  <c r="DD43" i="7" s="1"/>
  <c r="DD28" i="7" s="1"/>
  <c r="DC38" i="7"/>
  <c r="DC39" i="7" s="1"/>
  <c r="DC54" i="7"/>
  <c r="DC55" i="7" s="1"/>
  <c r="DC62" i="7"/>
  <c r="DC63" i="7" s="1"/>
  <c r="DC30" i="7"/>
  <c r="DC31" i="7" s="1"/>
  <c r="DC68" i="7"/>
  <c r="DC73" i="7"/>
  <c r="DC65" i="7"/>
  <c r="DB98" i="7"/>
  <c r="DA108" i="7"/>
  <c r="DA116" i="7" s="1"/>
  <c r="DA102" i="7"/>
  <c r="EQ18" i="4"/>
  <c r="ER44" i="5" s="1"/>
  <c r="DD60" i="7"/>
  <c r="EQ49" i="5"/>
  <c r="EQ68" i="5"/>
  <c r="DD44" i="7" l="1"/>
  <c r="DD52" i="7"/>
  <c r="DD36" i="7"/>
  <c r="EQ54" i="5"/>
  <c r="EQ55" i="5"/>
  <c r="EQ56" i="5" s="1"/>
  <c r="DC69" i="7"/>
  <c r="DD67" i="7" s="1"/>
  <c r="DC74" i="7"/>
  <c r="DC75" i="7" s="1"/>
  <c r="EQ63" i="5"/>
  <c r="EQ50" i="5" s="1"/>
  <c r="ER43" i="5" s="1"/>
  <c r="DB90" i="7"/>
  <c r="DB92" i="7"/>
  <c r="EQ19" i="4"/>
  <c r="ER46" i="5"/>
  <c r="ER45" i="5"/>
  <c r="DA105" i="7"/>
  <c r="DA113" i="7" s="1"/>
  <c r="DA121" i="7" s="1"/>
  <c r="DA104" i="7"/>
  <c r="DA112" i="7" s="1"/>
  <c r="DA120" i="7" s="1"/>
  <c r="DA107" i="7"/>
  <c r="DA115" i="7" s="1"/>
  <c r="DA123" i="7" s="1"/>
  <c r="DA106" i="7"/>
  <c r="DA114" i="7" s="1"/>
  <c r="DA122" i="7" s="1"/>
  <c r="DA103" i="7"/>
  <c r="DA111" i="7" s="1"/>
  <c r="DA119" i="7" s="1"/>
  <c r="DD45" i="7" l="1"/>
  <c r="DE41" i="7" s="1"/>
  <c r="DE42" i="7" s="1"/>
  <c r="DE43" i="7" s="1"/>
  <c r="DD61" i="7"/>
  <c r="DE57" i="7" s="1"/>
  <c r="DE58" i="7" s="1"/>
  <c r="DE59" i="7" s="1"/>
  <c r="DD37" i="7"/>
  <c r="DE33" i="7" s="1"/>
  <c r="DE34" i="7" s="1"/>
  <c r="DE35" i="7" s="1"/>
  <c r="DD53" i="7"/>
  <c r="DE49" i="7" s="1"/>
  <c r="DE50" i="7" s="1"/>
  <c r="DE51" i="7" s="1"/>
  <c r="DD29" i="7"/>
  <c r="DE25" i="7" s="1"/>
  <c r="DE26" i="7" s="1"/>
  <c r="DE27" i="7" s="1"/>
  <c r="DC70" i="7"/>
  <c r="DC83" i="7" s="1"/>
  <c r="DC88" i="7" s="1"/>
  <c r="DC89" i="7" s="1"/>
  <c r="ER53" i="5"/>
  <c r="EQ58" i="5"/>
  <c r="DD72" i="7"/>
  <c r="DC77" i="7"/>
  <c r="DC78" i="7" s="1"/>
  <c r="EQ64" i="5"/>
  <c r="ER47" i="5"/>
  <c r="ER16" i="4"/>
  <c r="DB94" i="7"/>
  <c r="DB93" i="7"/>
  <c r="DB96" i="7"/>
  <c r="DB95" i="7"/>
  <c r="DB100" i="7"/>
  <c r="DD46" i="7"/>
  <c r="DD47" i="7" s="1"/>
  <c r="DD62" i="7" l="1"/>
  <c r="DD63" i="7" s="1"/>
  <c r="DD38" i="7"/>
  <c r="DD39" i="7" s="1"/>
  <c r="DD30" i="7"/>
  <c r="DD31" i="7" s="1"/>
  <c r="DD54" i="7"/>
  <c r="DD55" i="7" s="1"/>
  <c r="DD73" i="7"/>
  <c r="DD65" i="7"/>
  <c r="DD68" i="7"/>
  <c r="EQ78" i="5"/>
  <c r="ES23" i="7" s="1"/>
  <c r="ES87" i="7" s="1"/>
  <c r="DC80" i="7"/>
  <c r="DC85" i="7"/>
  <c r="DC98" i="7" s="1"/>
  <c r="DC82" i="7"/>
  <c r="DC81" i="7"/>
  <c r="DC79" i="7"/>
  <c r="ER68" i="5"/>
  <c r="DB108" i="7"/>
  <c r="DB116" i="7" s="1"/>
  <c r="DB102" i="7"/>
  <c r="ER18" i="4"/>
  <c r="ES44" i="5" s="1"/>
  <c r="ER48" i="5"/>
  <c r="DE36" i="7"/>
  <c r="DE60" i="7"/>
  <c r="DE44" i="7"/>
  <c r="DE52" i="7"/>
  <c r="DE28" i="7"/>
  <c r="DD74" i="7" l="1"/>
  <c r="DD75" i="7" s="1"/>
  <c r="DD69" i="7"/>
  <c r="DE67" i="7" s="1"/>
  <c r="ER19" i="4"/>
  <c r="ES47" i="5" s="1"/>
  <c r="ES68" i="5" s="1"/>
  <c r="ES46" i="5"/>
  <c r="ES45" i="5"/>
  <c r="DC90" i="7"/>
  <c r="DC92" i="7"/>
  <c r="DB104" i="7"/>
  <c r="DB112" i="7" s="1"/>
  <c r="DB120" i="7" s="1"/>
  <c r="DB107" i="7"/>
  <c r="DB115" i="7" s="1"/>
  <c r="DB123" i="7" s="1"/>
  <c r="DB106" i="7"/>
  <c r="DB114" i="7" s="1"/>
  <c r="DB122" i="7" s="1"/>
  <c r="DB105" i="7"/>
  <c r="DB113" i="7" s="1"/>
  <c r="DB121" i="7" s="1"/>
  <c r="DB103" i="7"/>
  <c r="DB111" i="7" s="1"/>
  <c r="DB119" i="7" s="1"/>
  <c r="DE61" i="7"/>
  <c r="DF57" i="7" s="1"/>
  <c r="DE29" i="7"/>
  <c r="DF25" i="7" s="1"/>
  <c r="DE45" i="7"/>
  <c r="DF41" i="7" s="1"/>
  <c r="DE53" i="7"/>
  <c r="DF49" i="7" s="1"/>
  <c r="DE37" i="7"/>
  <c r="DF33" i="7" s="1"/>
  <c r="ER49" i="5"/>
  <c r="ES16" i="4" l="1"/>
  <c r="DD70" i="7"/>
  <c r="DD83" i="7" s="1"/>
  <c r="DD77" i="7"/>
  <c r="DD79" i="7" s="1"/>
  <c r="DE72" i="7"/>
  <c r="ER54" i="5"/>
  <c r="ER55" i="5"/>
  <c r="ES53" i="5" s="1"/>
  <c r="ER63" i="5"/>
  <c r="ER50" i="5" s="1"/>
  <c r="ES43" i="5" s="1"/>
  <c r="DE46" i="7"/>
  <c r="DE47" i="7" s="1"/>
  <c r="DE54" i="7"/>
  <c r="DE55" i="7" s="1"/>
  <c r="DE38" i="7"/>
  <c r="DE39" i="7" s="1"/>
  <c r="DE68" i="7"/>
  <c r="DF58" i="7"/>
  <c r="DF59" i="7" s="1"/>
  <c r="DE62" i="7"/>
  <c r="DE65" i="7"/>
  <c r="DD88" i="7"/>
  <c r="DD89" i="7" s="1"/>
  <c r="DE30" i="7"/>
  <c r="DE31" i="7" s="1"/>
  <c r="ES48" i="5"/>
  <c r="ES49" i="5" s="1"/>
  <c r="ES18" i="4"/>
  <c r="ET44" i="5" s="1"/>
  <c r="DF34" i="7"/>
  <c r="DF35" i="7" s="1"/>
  <c r="DF50" i="7"/>
  <c r="DF51" i="7" s="1"/>
  <c r="DE73" i="7"/>
  <c r="DF42" i="7"/>
  <c r="DF43" i="7" s="1"/>
  <c r="DF26" i="7"/>
  <c r="DF27" i="7" s="1"/>
  <c r="DC93" i="7"/>
  <c r="DC96" i="7"/>
  <c r="DC94" i="7"/>
  <c r="DC95" i="7"/>
  <c r="DC100" i="7"/>
  <c r="DD78" i="7" l="1"/>
  <c r="DD85" i="7"/>
  <c r="DD81" i="7"/>
  <c r="DD82" i="7"/>
  <c r="DD80" i="7"/>
  <c r="ER56" i="5"/>
  <c r="ER58" i="5" s="1"/>
  <c r="ES54" i="5"/>
  <c r="ES55" i="5"/>
  <c r="ET53" i="5" s="1"/>
  <c r="ER64" i="5"/>
  <c r="DE69" i="7"/>
  <c r="DF67" i="7" s="1"/>
  <c r="ES19" i="4"/>
  <c r="ET47" i="5" s="1"/>
  <c r="P29" i="6" s="1"/>
  <c r="P31" i="6" s="1"/>
  <c r="DE74" i="7"/>
  <c r="DE75" i="7" s="1"/>
  <c r="ET45" i="5"/>
  <c r="P28" i="6"/>
  <c r="ES63" i="5"/>
  <c r="DD98" i="7"/>
  <c r="DC108" i="7"/>
  <c r="DC116" i="7" s="1"/>
  <c r="DC102" i="7"/>
  <c r="DE63" i="7"/>
  <c r="DF36" i="7"/>
  <c r="DF28" i="7"/>
  <c r="DF44" i="7"/>
  <c r="DF60" i="7"/>
  <c r="DF52" i="7"/>
  <c r="ET16" i="4" l="1"/>
  <c r="ER78" i="5"/>
  <c r="ET23" i="7" s="1"/>
  <c r="ET87" i="7" s="1"/>
  <c r="ES56" i="5"/>
  <c r="ES58" i="5" s="1"/>
  <c r="ET46" i="5"/>
  <c r="DE70" i="7"/>
  <c r="DE83" i="7" s="1"/>
  <c r="DE77" i="7"/>
  <c r="DE80" i="7" s="1"/>
  <c r="ET68" i="5"/>
  <c r="DF72" i="7"/>
  <c r="P30" i="6"/>
  <c r="P37" i="6" s="1"/>
  <c r="O8" i="9" s="1"/>
  <c r="BM20" i="10" s="1"/>
  <c r="ES64" i="5"/>
  <c r="ES50" i="5"/>
  <c r="ET43" i="5" s="1"/>
  <c r="DF53" i="7"/>
  <c r="DG49" i="7" s="1"/>
  <c r="DF45" i="7"/>
  <c r="DG41" i="7" s="1"/>
  <c r="DF61" i="7"/>
  <c r="DG57" i="7" s="1"/>
  <c r="DF37" i="7"/>
  <c r="DG33" i="7" s="1"/>
  <c r="DF29" i="7"/>
  <c r="DG25" i="7" s="1"/>
  <c r="DC104" i="7"/>
  <c r="DC112" i="7" s="1"/>
  <c r="DC120" i="7" s="1"/>
  <c r="DC107" i="7"/>
  <c r="DC115" i="7" s="1"/>
  <c r="DC123" i="7" s="1"/>
  <c r="DC103" i="7"/>
  <c r="DC111" i="7" s="1"/>
  <c r="DC119" i="7" s="1"/>
  <c r="DC106" i="7"/>
  <c r="DC114" i="7" s="1"/>
  <c r="DC122" i="7" s="1"/>
  <c r="DC105" i="7"/>
  <c r="DC113" i="7" s="1"/>
  <c r="DC121" i="7" s="1"/>
  <c r="ET18" i="4"/>
  <c r="EU44" i="5" s="1"/>
  <c r="DD90" i="7"/>
  <c r="DD92" i="7"/>
  <c r="ET48" i="5"/>
  <c r="ET49" i="5" s="1"/>
  <c r="P33" i="6" l="1"/>
  <c r="DE85" i="7"/>
  <c r="DE81" i="7"/>
  <c r="DE79" i="7"/>
  <c r="DE82" i="7"/>
  <c r="ES78" i="5"/>
  <c r="EU23" i="7" s="1"/>
  <c r="EU87" i="7" s="1"/>
  <c r="DE78" i="7"/>
  <c r="ET55" i="5"/>
  <c r="EU53" i="5" s="1"/>
  <c r="ET54" i="5"/>
  <c r="DE88" i="7"/>
  <c r="DE89" i="7" s="1"/>
  <c r="DF38" i="7"/>
  <c r="DF39" i="7" s="1"/>
  <c r="DF65" i="7"/>
  <c r="DF46" i="7"/>
  <c r="DF47" i="7" s="1"/>
  <c r="DG34" i="7"/>
  <c r="DG35" i="7" s="1"/>
  <c r="ET63" i="5"/>
  <c r="ET19" i="4"/>
  <c r="DF54" i="7"/>
  <c r="DF55" i="7" s="1"/>
  <c r="DF30" i="7"/>
  <c r="DF31" i="7" s="1"/>
  <c r="EU46" i="5"/>
  <c r="EU45" i="5"/>
  <c r="DG58" i="7"/>
  <c r="DG59" i="7" s="1"/>
  <c r="DD96" i="7"/>
  <c r="DD95" i="7"/>
  <c r="DD93" i="7"/>
  <c r="DD94" i="7"/>
  <c r="DD100" i="7"/>
  <c r="DG50" i="7"/>
  <c r="DG51" i="7" s="1"/>
  <c r="DF68" i="7"/>
  <c r="DG42" i="7"/>
  <c r="DG43" i="7" s="1"/>
  <c r="DG26" i="7"/>
  <c r="DG27" i="7" s="1"/>
  <c r="DF73" i="7"/>
  <c r="DF62" i="7"/>
  <c r="DE98" i="7" l="1"/>
  <c r="DE92" i="7" s="1"/>
  <c r="DE95" i="7" s="1"/>
  <c r="ET56" i="5"/>
  <c r="DF74" i="7"/>
  <c r="DF75" i="7" s="1"/>
  <c r="DD108" i="7"/>
  <c r="DD116" i="7" s="1"/>
  <c r="DD102" i="7"/>
  <c r="DF69" i="7"/>
  <c r="DG67" i="7" s="1"/>
  <c r="DG44" i="7"/>
  <c r="DG28" i="7"/>
  <c r="DG60" i="7"/>
  <c r="DG36" i="7"/>
  <c r="DG52" i="7"/>
  <c r="DF63" i="7"/>
  <c r="ET50" i="5"/>
  <c r="EU43" i="5" s="1"/>
  <c r="ET64" i="5"/>
  <c r="EU47" i="5"/>
  <c r="EU48" i="5" s="1"/>
  <c r="EU16" i="4"/>
  <c r="DE100" i="7" l="1"/>
  <c r="DE108" i="7" s="1"/>
  <c r="DE116" i="7" s="1"/>
  <c r="DE93" i="7"/>
  <c r="DE96" i="7"/>
  <c r="DE94" i="7"/>
  <c r="DE90" i="7"/>
  <c r="ET58" i="5"/>
  <c r="ET78" i="5" s="1"/>
  <c r="EV23" i="7" s="1"/>
  <c r="EV87" i="7" s="1"/>
  <c r="P34" i="6"/>
  <c r="P35" i="6" s="1"/>
  <c r="O5" i="9" s="1"/>
  <c r="DG53" i="7"/>
  <c r="DH49" i="7" s="1"/>
  <c r="DG45" i="7"/>
  <c r="DH41" i="7" s="1"/>
  <c r="DG29" i="7"/>
  <c r="DH25" i="7" s="1"/>
  <c r="DG61" i="7"/>
  <c r="DH57" i="7" s="1"/>
  <c r="DG37" i="7"/>
  <c r="DH33" i="7" s="1"/>
  <c r="EU49" i="5"/>
  <c r="EU68" i="5"/>
  <c r="EU18" i="4"/>
  <c r="EV44" i="5" s="1"/>
  <c r="DD103" i="7"/>
  <c r="DD111" i="7" s="1"/>
  <c r="DD119" i="7" s="1"/>
  <c r="DD105" i="7"/>
  <c r="DD113" i="7" s="1"/>
  <c r="DD121" i="7" s="1"/>
  <c r="DD106" i="7"/>
  <c r="DD114" i="7" s="1"/>
  <c r="DD122" i="7" s="1"/>
  <c r="DD104" i="7"/>
  <c r="DD112" i="7" s="1"/>
  <c r="DD120" i="7" s="1"/>
  <c r="DD107" i="7"/>
  <c r="DD115" i="7" s="1"/>
  <c r="DD123" i="7" s="1"/>
  <c r="DF77" i="7"/>
  <c r="DF70" i="7"/>
  <c r="DF83" i="7" s="1"/>
  <c r="DG72" i="7"/>
  <c r="DE102" i="7" l="1"/>
  <c r="DE105" i="7" s="1"/>
  <c r="DE113" i="7" s="1"/>
  <c r="DE121" i="7" s="1"/>
  <c r="P39" i="6"/>
  <c r="O10" i="9" s="1"/>
  <c r="EU54" i="5"/>
  <c r="EU55" i="5"/>
  <c r="EU56" i="5" s="1"/>
  <c r="EU63" i="5"/>
  <c r="EU50" i="5" s="1"/>
  <c r="EV43" i="5" s="1"/>
  <c r="DG62" i="7"/>
  <c r="DG63" i="7" s="1"/>
  <c r="DG73" i="7"/>
  <c r="DG46" i="7"/>
  <c r="DG47" i="7" s="1"/>
  <c r="DG54" i="7"/>
  <c r="DG55" i="7" s="1"/>
  <c r="DG30" i="7"/>
  <c r="DG31" i="7" s="1"/>
  <c r="DF82" i="7"/>
  <c r="DF79" i="7"/>
  <c r="DF80" i="7"/>
  <c r="DF81" i="7"/>
  <c r="DF78" i="7"/>
  <c r="DF85" i="7"/>
  <c r="EV46" i="5"/>
  <c r="EV45" i="5"/>
  <c r="DE103" i="7"/>
  <c r="DE111" i="7" s="1"/>
  <c r="DE119" i="7" s="1"/>
  <c r="DE106" i="7"/>
  <c r="DE114" i="7" s="1"/>
  <c r="DE122" i="7" s="1"/>
  <c r="DF88" i="7"/>
  <c r="DF89" i="7" s="1"/>
  <c r="DG68" i="7"/>
  <c r="DG38" i="7"/>
  <c r="DG39" i="7" s="1"/>
  <c r="DH34" i="7"/>
  <c r="DH35" i="7" s="1"/>
  <c r="DH58" i="7"/>
  <c r="DH59" i="7" s="1"/>
  <c r="EU19" i="4"/>
  <c r="DH50" i="7"/>
  <c r="DH51" i="7" s="1"/>
  <c r="DH26" i="7"/>
  <c r="DH27" i="7" s="1"/>
  <c r="DH42" i="7"/>
  <c r="DH43" i="7" s="1"/>
  <c r="DG65" i="7"/>
  <c r="DE104" i="7" l="1"/>
  <c r="DE112" i="7" s="1"/>
  <c r="DE120" i="7" s="1"/>
  <c r="DE107" i="7"/>
  <c r="DE115" i="7" s="1"/>
  <c r="DE123" i="7" s="1"/>
  <c r="EV53" i="5"/>
  <c r="EU58" i="5"/>
  <c r="EU64" i="5"/>
  <c r="DH28" i="7"/>
  <c r="DH44" i="7"/>
  <c r="DH52" i="7"/>
  <c r="DH36" i="7"/>
  <c r="DH60" i="7"/>
  <c r="EV47" i="5"/>
  <c r="EV48" i="5" s="1"/>
  <c r="EV16" i="4"/>
  <c r="DG69" i="7"/>
  <c r="DH67" i="7" s="1"/>
  <c r="DF98" i="7"/>
  <c r="DG74" i="7"/>
  <c r="EU78" i="5" l="1"/>
  <c r="EW23" i="7" s="1"/>
  <c r="EW87" i="7" s="1"/>
  <c r="DF90" i="7"/>
  <c r="DF92" i="7"/>
  <c r="DG75" i="7"/>
  <c r="DH72" i="7"/>
  <c r="DH45" i="7"/>
  <c r="DI41" i="7" s="1"/>
  <c r="DH53" i="7"/>
  <c r="DI49" i="7" s="1"/>
  <c r="DH37" i="7"/>
  <c r="DI33" i="7" s="1"/>
  <c r="DH29" i="7"/>
  <c r="DI25" i="7" s="1"/>
  <c r="DH61" i="7"/>
  <c r="DI57" i="7" s="1"/>
  <c r="DG70" i="7"/>
  <c r="DG77" i="7"/>
  <c r="EV18" i="4"/>
  <c r="EW44" i="5" s="1"/>
  <c r="EV49" i="5"/>
  <c r="EV68" i="5"/>
  <c r="EV54" i="5" l="1"/>
  <c r="EV55" i="5"/>
  <c r="EV56" i="5" s="1"/>
  <c r="DG83" i="7"/>
  <c r="DG88" i="7" s="1"/>
  <c r="DG89" i="7" s="1"/>
  <c r="DH68" i="7"/>
  <c r="DH54" i="7"/>
  <c r="DH55" i="7" s="1"/>
  <c r="DH65" i="7"/>
  <c r="DH73" i="7"/>
  <c r="DH38" i="7"/>
  <c r="DH39" i="7" s="1"/>
  <c r="DI42" i="7"/>
  <c r="DI43" i="7" s="1"/>
  <c r="EW46" i="5"/>
  <c r="EW45" i="5"/>
  <c r="DI26" i="7"/>
  <c r="DI27" i="7" s="1"/>
  <c r="DH30" i="7"/>
  <c r="DH31" i="7" s="1"/>
  <c r="DI58" i="7"/>
  <c r="DI59" i="7" s="1"/>
  <c r="DF94" i="7"/>
  <c r="DF93" i="7"/>
  <c r="DF96" i="7"/>
  <c r="DF95" i="7"/>
  <c r="DF100" i="7"/>
  <c r="DH62" i="7"/>
  <c r="DI34" i="7"/>
  <c r="DI35" i="7" s="1"/>
  <c r="EV19" i="4"/>
  <c r="DG80" i="7"/>
  <c r="DG81" i="7"/>
  <c r="DG78" i="7"/>
  <c r="DG82" i="7"/>
  <c r="DG79" i="7"/>
  <c r="DI50" i="7"/>
  <c r="DI51" i="7" s="1"/>
  <c r="DH46" i="7"/>
  <c r="DH47" i="7" s="1"/>
  <c r="EV63" i="5"/>
  <c r="EW53" i="5" l="1"/>
  <c r="EV58" i="5"/>
  <c r="DG85" i="7"/>
  <c r="DG98" i="7" s="1"/>
  <c r="DH69" i="7"/>
  <c r="DI67" i="7" s="1"/>
  <c r="DH74" i="7"/>
  <c r="DH75" i="7" s="1"/>
  <c r="DI52" i="7"/>
  <c r="DI44" i="7"/>
  <c r="DI36" i="7"/>
  <c r="DI28" i="7"/>
  <c r="DI60" i="7"/>
  <c r="EV50" i="5"/>
  <c r="EW43" i="5" s="1"/>
  <c r="EV64" i="5"/>
  <c r="EW47" i="5"/>
  <c r="EW48" i="5" s="1"/>
  <c r="EW16" i="4"/>
  <c r="DF108" i="7"/>
  <c r="DF116" i="7" s="1"/>
  <c r="DF102" i="7"/>
  <c r="DH63" i="7"/>
  <c r="EV78" i="5" l="1"/>
  <c r="EX23" i="7" s="1"/>
  <c r="EX87" i="7" s="1"/>
  <c r="DH70" i="7"/>
  <c r="DH83" i="7" s="1"/>
  <c r="DH88" i="7" s="1"/>
  <c r="DH89" i="7" s="1"/>
  <c r="DH77" i="7"/>
  <c r="DH80" i="7" s="1"/>
  <c r="DI72" i="7"/>
  <c r="EW49" i="5"/>
  <c r="EW68" i="5"/>
  <c r="DI61" i="7"/>
  <c r="DI53" i="7"/>
  <c r="DJ49" i="7" s="1"/>
  <c r="DI29" i="7"/>
  <c r="DJ25" i="7" s="1"/>
  <c r="DI45" i="7"/>
  <c r="DJ41" i="7" s="1"/>
  <c r="DI37" i="7"/>
  <c r="DJ33" i="7" s="1"/>
  <c r="DF105" i="7"/>
  <c r="DF113" i="7" s="1"/>
  <c r="DF121" i="7" s="1"/>
  <c r="DF106" i="7"/>
  <c r="DF114" i="7" s="1"/>
  <c r="DF122" i="7" s="1"/>
  <c r="DF104" i="7"/>
  <c r="DF112" i="7" s="1"/>
  <c r="DF120" i="7" s="1"/>
  <c r="DF107" i="7"/>
  <c r="DF115" i="7" s="1"/>
  <c r="DF123" i="7" s="1"/>
  <c r="DF103" i="7"/>
  <c r="DF111" i="7" s="1"/>
  <c r="DF119" i="7" s="1"/>
  <c r="DG92" i="7"/>
  <c r="DG90" i="7"/>
  <c r="EW18" i="4"/>
  <c r="EX44" i="5" s="1"/>
  <c r="DH82" i="7" l="1"/>
  <c r="DH81" i="7"/>
  <c r="DH79" i="7"/>
  <c r="DH78" i="7"/>
  <c r="DH85" i="7"/>
  <c r="DH98" i="7" s="1"/>
  <c r="EW54" i="5"/>
  <c r="EW55" i="5"/>
  <c r="EW63" i="5"/>
  <c r="EW50" i="5" s="1"/>
  <c r="EX43" i="5" s="1"/>
  <c r="DI54" i="7"/>
  <c r="DI55" i="7" s="1"/>
  <c r="DJ42" i="7"/>
  <c r="DJ43" i="7" s="1"/>
  <c r="DJ34" i="7"/>
  <c r="DJ35" i="7" s="1"/>
  <c r="EW19" i="4"/>
  <c r="DG93" i="7"/>
  <c r="DG96" i="7"/>
  <c r="DG95" i="7"/>
  <c r="DG94" i="7"/>
  <c r="DG100" i="7"/>
  <c r="DI30" i="7"/>
  <c r="DI31" i="7" s="1"/>
  <c r="DI38" i="7"/>
  <c r="DI39" i="7" s="1"/>
  <c r="DI68" i="7"/>
  <c r="EX46" i="5"/>
  <c r="EX45" i="5"/>
  <c r="DJ26" i="7"/>
  <c r="DJ27" i="7" s="1"/>
  <c r="DI46" i="7"/>
  <c r="DI47" i="7" s="1"/>
  <c r="DJ50" i="7"/>
  <c r="DJ51" i="7" s="1"/>
  <c r="DJ57" i="7"/>
  <c r="DI62" i="7"/>
  <c r="DI65" i="7"/>
  <c r="DI73" i="7"/>
  <c r="EW56" i="5" l="1"/>
  <c r="EX53" i="5"/>
  <c r="EW64" i="5"/>
  <c r="DH90" i="7"/>
  <c r="DH92" i="7"/>
  <c r="DI74" i="7"/>
  <c r="DI75" i="7" s="1"/>
  <c r="DI63" i="7"/>
  <c r="DG108" i="7"/>
  <c r="DG116" i="7" s="1"/>
  <c r="DG102" i="7"/>
  <c r="DJ58" i="7"/>
  <c r="DJ59" i="7" s="1"/>
  <c r="DJ44" i="7" s="1"/>
  <c r="DI69" i="7"/>
  <c r="DJ67" i="7" s="1"/>
  <c r="EX47" i="5"/>
  <c r="EX48" i="5" s="1"/>
  <c r="EX16" i="4"/>
  <c r="EW58" i="5" l="1"/>
  <c r="EW78" i="5" s="1"/>
  <c r="EY23" i="7" s="1"/>
  <c r="EY87" i="7" s="1"/>
  <c r="DJ72" i="7"/>
  <c r="DJ52" i="7"/>
  <c r="EX18" i="4"/>
  <c r="EY44" i="5" s="1"/>
  <c r="DG106" i="7"/>
  <c r="DG114" i="7" s="1"/>
  <c r="DG122" i="7" s="1"/>
  <c r="DG104" i="7"/>
  <c r="DG112" i="7" s="1"/>
  <c r="DG120" i="7" s="1"/>
  <c r="DG103" i="7"/>
  <c r="DG111" i="7" s="1"/>
  <c r="DG119" i="7" s="1"/>
  <c r="DG107" i="7"/>
  <c r="DG115" i="7" s="1"/>
  <c r="DG123" i="7" s="1"/>
  <c r="DG105" i="7"/>
  <c r="DG113" i="7" s="1"/>
  <c r="DG121" i="7" s="1"/>
  <c r="DI70" i="7"/>
  <c r="DI83" i="7" s="1"/>
  <c r="DI77" i="7"/>
  <c r="DJ28" i="7"/>
  <c r="DH94" i="7"/>
  <c r="DH95" i="7"/>
  <c r="DH96" i="7"/>
  <c r="DH93" i="7"/>
  <c r="DH100" i="7"/>
  <c r="DJ36" i="7"/>
  <c r="EX49" i="5"/>
  <c r="EX68" i="5"/>
  <c r="DJ60" i="7"/>
  <c r="EX54" i="5" l="1"/>
  <c r="EX55" i="5"/>
  <c r="DJ37" i="7"/>
  <c r="DK33" i="7" s="1"/>
  <c r="DJ45" i="7"/>
  <c r="DJ53" i="7"/>
  <c r="DJ29" i="7"/>
  <c r="DK25" i="7" s="1"/>
  <c r="DJ61" i="7"/>
  <c r="DK57" i="7" s="1"/>
  <c r="EX63" i="5"/>
  <c r="EY46" i="5"/>
  <c r="EY45" i="5"/>
  <c r="DI82" i="7"/>
  <c r="DI79" i="7"/>
  <c r="DI80" i="7"/>
  <c r="DI78" i="7"/>
  <c r="DI81" i="7"/>
  <c r="DI85" i="7"/>
  <c r="DH108" i="7"/>
  <c r="DH116" i="7" s="1"/>
  <c r="DH102" i="7"/>
  <c r="DI88" i="7"/>
  <c r="DI89" i="7" s="1"/>
  <c r="EX19" i="4"/>
  <c r="EX56" i="5" l="1"/>
  <c r="EX58" i="5" s="1"/>
  <c r="EY53" i="5"/>
  <c r="DJ38" i="7"/>
  <c r="DJ39" i="7" s="1"/>
  <c r="DJ73" i="7"/>
  <c r="DJ68" i="7"/>
  <c r="EY47" i="5"/>
  <c r="EY48" i="5" s="1"/>
  <c r="EY16" i="4"/>
  <c r="DK26" i="7"/>
  <c r="DK27" i="7" s="1"/>
  <c r="DJ30" i="7"/>
  <c r="DJ31" i="7" s="1"/>
  <c r="DH106" i="7"/>
  <c r="DH114" i="7" s="1"/>
  <c r="DH122" i="7" s="1"/>
  <c r="DH104" i="7"/>
  <c r="DH112" i="7" s="1"/>
  <c r="DH120" i="7" s="1"/>
  <c r="DH103" i="7"/>
  <c r="DH111" i="7" s="1"/>
  <c r="DH119" i="7" s="1"/>
  <c r="DH105" i="7"/>
  <c r="DH113" i="7" s="1"/>
  <c r="DH121" i="7" s="1"/>
  <c r="DH107" i="7"/>
  <c r="DH115" i="7" s="1"/>
  <c r="DH123" i="7" s="1"/>
  <c r="EX64" i="5"/>
  <c r="EX50" i="5"/>
  <c r="EY43" i="5" s="1"/>
  <c r="DJ65" i="7"/>
  <c r="DK49" i="7"/>
  <c r="DJ54" i="7"/>
  <c r="DJ55" i="7" s="1"/>
  <c r="DJ62" i="7"/>
  <c r="DI98" i="7"/>
  <c r="DK58" i="7"/>
  <c r="DK59" i="7" s="1"/>
  <c r="DK41" i="7"/>
  <c r="DJ46" i="7"/>
  <c r="DJ47" i="7" s="1"/>
  <c r="DK34" i="7"/>
  <c r="DK35" i="7" s="1"/>
  <c r="EX78" i="5" l="1"/>
  <c r="EZ23" i="7" s="1"/>
  <c r="EZ87" i="7" s="1"/>
  <c r="DJ74" i="7"/>
  <c r="DJ75" i="7" s="1"/>
  <c r="DJ69" i="7"/>
  <c r="DK67" i="7" s="1"/>
  <c r="DK42" i="7"/>
  <c r="DK43" i="7" s="1"/>
  <c r="DI92" i="7"/>
  <c r="DI90" i="7"/>
  <c r="DK50" i="7"/>
  <c r="DK51" i="7" s="1"/>
  <c r="DJ63" i="7"/>
  <c r="EY18" i="4"/>
  <c r="EZ44" i="5" s="1"/>
  <c r="EY49" i="5"/>
  <c r="EY68" i="5"/>
  <c r="DK72" i="7" l="1"/>
  <c r="DK28" i="7"/>
  <c r="EY54" i="5"/>
  <c r="EY55" i="5"/>
  <c r="EZ53" i="5" s="1"/>
  <c r="DJ77" i="7"/>
  <c r="DJ78" i="7" s="1"/>
  <c r="EY63" i="5"/>
  <c r="EY50" i="5" s="1"/>
  <c r="EZ43" i="5" s="1"/>
  <c r="DK60" i="7"/>
  <c r="DJ70" i="7"/>
  <c r="DJ83" i="7" s="1"/>
  <c r="DI94" i="7"/>
  <c r="DI95" i="7"/>
  <c r="DI96" i="7"/>
  <c r="DI93" i="7"/>
  <c r="DI100" i="7"/>
  <c r="DK36" i="7"/>
  <c r="EZ46" i="5"/>
  <c r="EZ45" i="5"/>
  <c r="DK44" i="7"/>
  <c r="EY19" i="4"/>
  <c r="DK52" i="7"/>
  <c r="DJ80" i="7" l="1"/>
  <c r="EY56" i="5"/>
  <c r="EY58" i="5" s="1"/>
  <c r="DJ81" i="7"/>
  <c r="DJ85" i="7"/>
  <c r="EY64" i="5"/>
  <c r="DJ79" i="7"/>
  <c r="DJ82" i="7"/>
  <c r="DJ88" i="7"/>
  <c r="DJ89" i="7" s="1"/>
  <c r="DK29" i="7"/>
  <c r="DL25" i="7" s="1"/>
  <c r="DK37" i="7"/>
  <c r="DL33" i="7" s="1"/>
  <c r="DK45" i="7"/>
  <c r="DL41" i="7" s="1"/>
  <c r="DK53" i="7"/>
  <c r="DL49" i="7" s="1"/>
  <c r="DK61" i="7"/>
  <c r="EZ47" i="5"/>
  <c r="EZ48" i="5" s="1"/>
  <c r="EZ16" i="4"/>
  <c r="DI108" i="7"/>
  <c r="DI116" i="7" s="1"/>
  <c r="DI102" i="7"/>
  <c r="DJ98" i="7" l="1"/>
  <c r="DJ90" i="7" s="1"/>
  <c r="EY78" i="5"/>
  <c r="FA23" i="7" s="1"/>
  <c r="FA87" i="7" s="1"/>
  <c r="DK30" i="7"/>
  <c r="DK31" i="7" s="1"/>
  <c r="DL42" i="7"/>
  <c r="DL43" i="7" s="1"/>
  <c r="EZ18" i="4"/>
  <c r="FA44" i="5" s="1"/>
  <c r="DK38" i="7"/>
  <c r="DK39" i="7" s="1"/>
  <c r="EZ49" i="5"/>
  <c r="EZ68" i="5"/>
  <c r="DL50" i="7"/>
  <c r="DL51" i="7" s="1"/>
  <c r="DK65" i="7"/>
  <c r="DK68" i="7"/>
  <c r="DL34" i="7"/>
  <c r="DL35" i="7" s="1"/>
  <c r="DL57" i="7"/>
  <c r="DK62" i="7"/>
  <c r="DK54" i="7"/>
  <c r="DK55" i="7" s="1"/>
  <c r="DK73" i="7"/>
  <c r="DI103" i="7"/>
  <c r="DI111" i="7" s="1"/>
  <c r="DI119" i="7" s="1"/>
  <c r="DI104" i="7"/>
  <c r="DI112" i="7" s="1"/>
  <c r="DI120" i="7" s="1"/>
  <c r="DI107" i="7"/>
  <c r="DI115" i="7" s="1"/>
  <c r="DI123" i="7" s="1"/>
  <c r="DI105" i="7"/>
  <c r="DI113" i="7" s="1"/>
  <c r="DI121" i="7" s="1"/>
  <c r="DI106" i="7"/>
  <c r="DI114" i="7" s="1"/>
  <c r="DI122" i="7" s="1"/>
  <c r="DK46" i="7"/>
  <c r="DK47" i="7" s="1"/>
  <c r="DL26" i="7"/>
  <c r="DL27" i="7" s="1"/>
  <c r="DJ92" i="7" l="1"/>
  <c r="DJ100" i="7" s="1"/>
  <c r="EZ54" i="5"/>
  <c r="EZ55" i="5"/>
  <c r="EZ63" i="5"/>
  <c r="EZ64" i="5" s="1"/>
  <c r="EZ19" i="4"/>
  <c r="FA47" i="5" s="1"/>
  <c r="FA68" i="5" s="1"/>
  <c r="FA46" i="5"/>
  <c r="FA45" i="5"/>
  <c r="DK69" i="7"/>
  <c r="DL67" i="7" s="1"/>
  <c r="DK63" i="7"/>
  <c r="DL58" i="7"/>
  <c r="DL59" i="7" s="1"/>
  <c r="DL36" i="7" s="1"/>
  <c r="DK74" i="7"/>
  <c r="DK75" i="7" s="1"/>
  <c r="FA16" i="4" l="1"/>
  <c r="DJ95" i="7"/>
  <c r="DJ96" i="7"/>
  <c r="DJ108" i="7"/>
  <c r="DJ116" i="7" s="1"/>
  <c r="DJ102" i="7"/>
  <c r="DJ106" i="7" s="1"/>
  <c r="DJ94" i="7"/>
  <c r="DJ93" i="7"/>
  <c r="EZ56" i="5"/>
  <c r="EZ58" i="5" s="1"/>
  <c r="EZ78" i="5" s="1"/>
  <c r="FB23" i="7" s="1"/>
  <c r="FB87" i="7" s="1"/>
  <c r="FA53" i="5"/>
  <c r="EZ50" i="5"/>
  <c r="FA43" i="5" s="1"/>
  <c r="DL60" i="7"/>
  <c r="DL72" i="7"/>
  <c r="DL44" i="7"/>
  <c r="DL52" i="7"/>
  <c r="DL28" i="7"/>
  <c r="FA48" i="5"/>
  <c r="FA49" i="5" s="1"/>
  <c r="DK70" i="7"/>
  <c r="DK83" i="7" s="1"/>
  <c r="DK77" i="7"/>
  <c r="FA18" i="4"/>
  <c r="FB44" i="5" s="1"/>
  <c r="DJ104" i="7" l="1"/>
  <c r="DJ105" i="7"/>
  <c r="DJ113" i="7" s="1"/>
  <c r="DJ121" i="7" s="1"/>
  <c r="DJ107" i="7"/>
  <c r="DJ115" i="7" s="1"/>
  <c r="DJ123" i="7" s="1"/>
  <c r="DJ114" i="7"/>
  <c r="DJ122" i="7" s="1"/>
  <c r="DJ112" i="7"/>
  <c r="DJ120" i="7" s="1"/>
  <c r="DJ103" i="7"/>
  <c r="DJ111" i="7" s="1"/>
  <c r="DJ119" i="7" s="1"/>
  <c r="FA55" i="5"/>
  <c r="FA54" i="5"/>
  <c r="DL45" i="7"/>
  <c r="DM41" i="7" s="1"/>
  <c r="DM42" i="7" s="1"/>
  <c r="DM43" i="7" s="1"/>
  <c r="DL37" i="7"/>
  <c r="DM33" i="7" s="1"/>
  <c r="DM34" i="7" s="1"/>
  <c r="DM35" i="7" s="1"/>
  <c r="DL61" i="7"/>
  <c r="DM57" i="7" s="1"/>
  <c r="DM58" i="7" s="1"/>
  <c r="DM59" i="7" s="1"/>
  <c r="DL53" i="7"/>
  <c r="DM49" i="7" s="1"/>
  <c r="DM50" i="7" s="1"/>
  <c r="DM51" i="7" s="1"/>
  <c r="DL29" i="7"/>
  <c r="DM25" i="7" s="1"/>
  <c r="DM26" i="7" s="1"/>
  <c r="DM27" i="7" s="1"/>
  <c r="FA63" i="5"/>
  <c r="FA50" i="5" s="1"/>
  <c r="FB43" i="5" s="1"/>
  <c r="DK78" i="7"/>
  <c r="DK79" i="7"/>
  <c r="DK82" i="7"/>
  <c r="DK81" i="7"/>
  <c r="DK80" i="7"/>
  <c r="DK85" i="7"/>
  <c r="FB46" i="5"/>
  <c r="FB45" i="5"/>
  <c r="DK88" i="7"/>
  <c r="DK89" i="7" s="1"/>
  <c r="FA19" i="4"/>
  <c r="FA56" i="5" l="1"/>
  <c r="FA58" i="5" s="1"/>
  <c r="DL38" i="7"/>
  <c r="DL39" i="7" s="1"/>
  <c r="FB53" i="5"/>
  <c r="DL68" i="7"/>
  <c r="DL46" i="7"/>
  <c r="DL47" i="7" s="1"/>
  <c r="DL54" i="7"/>
  <c r="DL55" i="7" s="1"/>
  <c r="DL62" i="7"/>
  <c r="DL63" i="7" s="1"/>
  <c r="DL30" i="7"/>
  <c r="DL31" i="7" s="1"/>
  <c r="DL73" i="7"/>
  <c r="DL65" i="7"/>
  <c r="FA64" i="5"/>
  <c r="FB47" i="5"/>
  <c r="FB16" i="4"/>
  <c r="DM52" i="7"/>
  <c r="DM28" i="7"/>
  <c r="DM44" i="7"/>
  <c r="DM60" i="7"/>
  <c r="DM36" i="7"/>
  <c r="DK98" i="7"/>
  <c r="FA78" i="5" l="1"/>
  <c r="FC23" i="7" s="1"/>
  <c r="FC87" i="7" s="1"/>
  <c r="DL74" i="7"/>
  <c r="DL75" i="7" s="1"/>
  <c r="DL69" i="7"/>
  <c r="DM67" i="7" s="1"/>
  <c r="DK92" i="7"/>
  <c r="DK90" i="7"/>
  <c r="FB68" i="5"/>
  <c r="DM61" i="7"/>
  <c r="DN57" i="7" s="1"/>
  <c r="DM45" i="7"/>
  <c r="DN41" i="7" s="1"/>
  <c r="DM29" i="7"/>
  <c r="DN25" i="7" s="1"/>
  <c r="DM37" i="7"/>
  <c r="DN33" i="7" s="1"/>
  <c r="DM53" i="7"/>
  <c r="DN49" i="7" s="1"/>
  <c r="FB18" i="4"/>
  <c r="FC44" i="5" s="1"/>
  <c r="FB48" i="5"/>
  <c r="DM72" i="7" l="1"/>
  <c r="DL70" i="7"/>
  <c r="DL83" i="7" s="1"/>
  <c r="DL88" i="7" s="1"/>
  <c r="DL89" i="7" s="1"/>
  <c r="DL77" i="7"/>
  <c r="DL78" i="7" s="1"/>
  <c r="DM62" i="7"/>
  <c r="DM63" i="7" s="1"/>
  <c r="DM46" i="7"/>
  <c r="DM47" i="7" s="1"/>
  <c r="DM30" i="7"/>
  <c r="DM31" i="7" s="1"/>
  <c r="FC46" i="5"/>
  <c r="FC45" i="5"/>
  <c r="DM73" i="7"/>
  <c r="DN50" i="7"/>
  <c r="DN51" i="7" s="1"/>
  <c r="DM68" i="7"/>
  <c r="DM38" i="7"/>
  <c r="DM39" i="7" s="1"/>
  <c r="DN26" i="7"/>
  <c r="DN27" i="7" s="1"/>
  <c r="FB19" i="4"/>
  <c r="DN42" i="7"/>
  <c r="DN43" i="7" s="1"/>
  <c r="DN34" i="7"/>
  <c r="DN35" i="7" s="1"/>
  <c r="DK94" i="7"/>
  <c r="DK93" i="7"/>
  <c r="DK96" i="7"/>
  <c r="DK95" i="7"/>
  <c r="DK100" i="7"/>
  <c r="DN58" i="7"/>
  <c r="DN59" i="7" s="1"/>
  <c r="DM65" i="7"/>
  <c r="FB49" i="5"/>
  <c r="DM54" i="7"/>
  <c r="DM55" i="7" s="1"/>
  <c r="DL82" i="7" l="1"/>
  <c r="DL81" i="7"/>
  <c r="DL80" i="7"/>
  <c r="DL79" i="7"/>
  <c r="DL85" i="7"/>
  <c r="DL98" i="7" s="1"/>
  <c r="FB54" i="5"/>
  <c r="FB55" i="5"/>
  <c r="DK108" i="7"/>
  <c r="DK116" i="7" s="1"/>
  <c r="DK102" i="7"/>
  <c r="FB63" i="5"/>
  <c r="DM74" i="7"/>
  <c r="DM75" i="7" s="1"/>
  <c r="DN60" i="7"/>
  <c r="DN36" i="7"/>
  <c r="DN52" i="7"/>
  <c r="DN28" i="7"/>
  <c r="DN44" i="7"/>
  <c r="DM69" i="7"/>
  <c r="DN67" i="7" s="1"/>
  <c r="FC47" i="5"/>
  <c r="FC16" i="4"/>
  <c r="FB56" i="5" l="1"/>
  <c r="FB58" i="5" s="1"/>
  <c r="FC53" i="5"/>
  <c r="DN72" i="7"/>
  <c r="FC68" i="5"/>
  <c r="DN37" i="7"/>
  <c r="DO33" i="7" s="1"/>
  <c r="DN61" i="7"/>
  <c r="DO57" i="7" s="1"/>
  <c r="DN45" i="7"/>
  <c r="DO41" i="7" s="1"/>
  <c r="DN29" i="7"/>
  <c r="DO25" i="7" s="1"/>
  <c r="DN53" i="7"/>
  <c r="DO49" i="7" s="1"/>
  <c r="DK104" i="7"/>
  <c r="DK112" i="7" s="1"/>
  <c r="DK120" i="7" s="1"/>
  <c r="DK105" i="7"/>
  <c r="DK113" i="7" s="1"/>
  <c r="DK121" i="7" s="1"/>
  <c r="DK106" i="7"/>
  <c r="DK114" i="7" s="1"/>
  <c r="DK122" i="7" s="1"/>
  <c r="DK107" i="7"/>
  <c r="DK115" i="7" s="1"/>
  <c r="DK123" i="7" s="1"/>
  <c r="DK103" i="7"/>
  <c r="DK111" i="7" s="1"/>
  <c r="DK119" i="7" s="1"/>
  <c r="FB50" i="5"/>
  <c r="FC43" i="5" s="1"/>
  <c r="FB64" i="5"/>
  <c r="FC18" i="4"/>
  <c r="FD44" i="5" s="1"/>
  <c r="FC48" i="5"/>
  <c r="DM70" i="7"/>
  <c r="DM83" i="7" s="1"/>
  <c r="DM77" i="7"/>
  <c r="DL90" i="7"/>
  <c r="DL92" i="7"/>
  <c r="FB78" i="5" l="1"/>
  <c r="FD23" i="7" s="1"/>
  <c r="FD87" i="7" s="1"/>
  <c r="DN54" i="7"/>
  <c r="DN55" i="7" s="1"/>
  <c r="DN62" i="7"/>
  <c r="DN63" i="7" s="1"/>
  <c r="DN30" i="7"/>
  <c r="DN31" i="7" s="1"/>
  <c r="DN65" i="7"/>
  <c r="DN46" i="7"/>
  <c r="DN47" i="7" s="1"/>
  <c r="DO42" i="7"/>
  <c r="DO43" i="7" s="1"/>
  <c r="FC19" i="4"/>
  <c r="DM79" i="7"/>
  <c r="DM78" i="7"/>
  <c r="DM81" i="7"/>
  <c r="DM82" i="7"/>
  <c r="DM80" i="7"/>
  <c r="DM85" i="7"/>
  <c r="DN73" i="7"/>
  <c r="DM88" i="7"/>
  <c r="DM89" i="7" s="1"/>
  <c r="DO50" i="7"/>
  <c r="DO51" i="7" s="1"/>
  <c r="DN68" i="7"/>
  <c r="FD46" i="5"/>
  <c r="FD45" i="5"/>
  <c r="DO58" i="7"/>
  <c r="DO59" i="7" s="1"/>
  <c r="DL96" i="7"/>
  <c r="DL94" i="7"/>
  <c r="DL95" i="7"/>
  <c r="DL93" i="7"/>
  <c r="DL100" i="7"/>
  <c r="DO34" i="7"/>
  <c r="DO35" i="7" s="1"/>
  <c r="DN38" i="7"/>
  <c r="DN39" i="7" s="1"/>
  <c r="DO26" i="7"/>
  <c r="DO27" i="7" s="1"/>
  <c r="FC49" i="5"/>
  <c r="FC54" i="5" l="1"/>
  <c r="FC55" i="5"/>
  <c r="FD53" i="5" s="1"/>
  <c r="FC63" i="5"/>
  <c r="FC64" i="5" s="1"/>
  <c r="DN69" i="7"/>
  <c r="DM98" i="7"/>
  <c r="DL108" i="7"/>
  <c r="DL116" i="7" s="1"/>
  <c r="DL102" i="7"/>
  <c r="DO36" i="7"/>
  <c r="DO52" i="7"/>
  <c r="DO60" i="7"/>
  <c r="DO44" i="7"/>
  <c r="DO28" i="7"/>
  <c r="DN74" i="7"/>
  <c r="DN75" i="7" s="1"/>
  <c r="FD47" i="5"/>
  <c r="FD48" i="5" s="1"/>
  <c r="FD16" i="4"/>
  <c r="FC56" i="5" l="1"/>
  <c r="FC58" i="5" s="1"/>
  <c r="FC78" i="5" s="1"/>
  <c r="FE23" i="7" s="1"/>
  <c r="FE87" i="7" s="1"/>
  <c r="FC50" i="5"/>
  <c r="FD43" i="5" s="1"/>
  <c r="DO72" i="7"/>
  <c r="DM90" i="7"/>
  <c r="DM92" i="7"/>
  <c r="DO61" i="7"/>
  <c r="DP57" i="7" s="1"/>
  <c r="DO37" i="7"/>
  <c r="DP33" i="7" s="1"/>
  <c r="DO53" i="7"/>
  <c r="DP49" i="7" s="1"/>
  <c r="DO45" i="7"/>
  <c r="DP41" i="7" s="1"/>
  <c r="DO29" i="7"/>
  <c r="DP25" i="7" s="1"/>
  <c r="DL107" i="7"/>
  <c r="DL115" i="7" s="1"/>
  <c r="DL123" i="7" s="1"/>
  <c r="L52" i="8" s="1"/>
  <c r="L54" i="8" s="1"/>
  <c r="DL104" i="7"/>
  <c r="DL112" i="7" s="1"/>
  <c r="DL120" i="7" s="1"/>
  <c r="L19" i="8" s="1"/>
  <c r="L21" i="8" s="1"/>
  <c r="DL103" i="7"/>
  <c r="DL111" i="7" s="1"/>
  <c r="DL119" i="7" s="1"/>
  <c r="L8" i="8" s="1"/>
  <c r="L10" i="8" s="1"/>
  <c r="DL105" i="7"/>
  <c r="DL113" i="7" s="1"/>
  <c r="DL121" i="7" s="1"/>
  <c r="L30" i="8" s="1"/>
  <c r="L32" i="8" s="1"/>
  <c r="DL106" i="7"/>
  <c r="DL114" i="7" s="1"/>
  <c r="DL122" i="7" s="1"/>
  <c r="L41" i="8" s="1"/>
  <c r="L43" i="8" s="1"/>
  <c r="DN77" i="7"/>
  <c r="DN70" i="7"/>
  <c r="DN83" i="7" s="1"/>
  <c r="DO67" i="7"/>
  <c r="FD18" i="4"/>
  <c r="FE44" i="5" s="1"/>
  <c r="FD49" i="5"/>
  <c r="FD54" i="5" s="1"/>
  <c r="FD68" i="5"/>
  <c r="FD55" i="5" l="1"/>
  <c r="FE53" i="5" s="1"/>
  <c r="FD63" i="5"/>
  <c r="FD50" i="5" s="1"/>
  <c r="FE43" i="5" s="1"/>
  <c r="DO54" i="7"/>
  <c r="DO55" i="7" s="1"/>
  <c r="FD19" i="4"/>
  <c r="DO46" i="7"/>
  <c r="DO47" i="7" s="1"/>
  <c r="DO65" i="7"/>
  <c r="DO73" i="7"/>
  <c r="DP58" i="7"/>
  <c r="DP59" i="7" s="1"/>
  <c r="DO68" i="7"/>
  <c r="DN88" i="7"/>
  <c r="DN89" i="7" s="1"/>
  <c r="DO62" i="7"/>
  <c r="DN79" i="7"/>
  <c r="DN80" i="7"/>
  <c r="DN82" i="7"/>
  <c r="DN78" i="7"/>
  <c r="DN81" i="7"/>
  <c r="DN85" i="7"/>
  <c r="DP26" i="7"/>
  <c r="DP27" i="7" s="1"/>
  <c r="DP42" i="7"/>
  <c r="DP43" i="7" s="1"/>
  <c r="DO30" i="7"/>
  <c r="DO31" i="7" s="1"/>
  <c r="DO38" i="7"/>
  <c r="DO39" i="7" s="1"/>
  <c r="DP50" i="7"/>
  <c r="DP51" i="7" s="1"/>
  <c r="FE46" i="5"/>
  <c r="FE45" i="5"/>
  <c r="DP34" i="7"/>
  <c r="DP35" i="7" s="1"/>
  <c r="DM95" i="7"/>
  <c r="DM96" i="7"/>
  <c r="DM94" i="7"/>
  <c r="DM93" i="7"/>
  <c r="DM100" i="7"/>
  <c r="FD64" i="5" l="1"/>
  <c r="FD56" i="5"/>
  <c r="FD58" i="5" s="1"/>
  <c r="DO74" i="7"/>
  <c r="DO75" i="7" s="1"/>
  <c r="FE47" i="5"/>
  <c r="FE68" i="5" s="1"/>
  <c r="FE16" i="4"/>
  <c r="FE18" i="4" s="1"/>
  <c r="FF44" i="5" s="1"/>
  <c r="FF45" i="5" s="1"/>
  <c r="DO69" i="7"/>
  <c r="DO70" i="7" s="1"/>
  <c r="DN98" i="7"/>
  <c r="DM108" i="7"/>
  <c r="DM116" i="7" s="1"/>
  <c r="DM102" i="7"/>
  <c r="DP52" i="7"/>
  <c r="DP44" i="7"/>
  <c r="DP36" i="7"/>
  <c r="DP60" i="7"/>
  <c r="DP28" i="7"/>
  <c r="DO63" i="7"/>
  <c r="FD78" i="5" l="1"/>
  <c r="FF23" i="7" s="1"/>
  <c r="FF87" i="7" s="1"/>
  <c r="DP72" i="7"/>
  <c r="FE19" i="4"/>
  <c r="FF47" i="5" s="1"/>
  <c r="FF48" i="5" s="1"/>
  <c r="DO83" i="7"/>
  <c r="DO88" i="7" s="1"/>
  <c r="DO89" i="7" s="1"/>
  <c r="DO77" i="7"/>
  <c r="DO82" i="7" s="1"/>
  <c r="FE48" i="5"/>
  <c r="Q28" i="6"/>
  <c r="DP67" i="7"/>
  <c r="DN90" i="7"/>
  <c r="DN92" i="7"/>
  <c r="DM105" i="7"/>
  <c r="DM113" i="7" s="1"/>
  <c r="DM121" i="7" s="1"/>
  <c r="DM106" i="7"/>
  <c r="DM114" i="7" s="1"/>
  <c r="DM122" i="7" s="1"/>
  <c r="DM103" i="7"/>
  <c r="DM111" i="7" s="1"/>
  <c r="DM119" i="7" s="1"/>
  <c r="DM107" i="7"/>
  <c r="DM115" i="7" s="1"/>
  <c r="DM123" i="7" s="1"/>
  <c r="DM104" i="7"/>
  <c r="DM112" i="7" s="1"/>
  <c r="DM120" i="7" s="1"/>
  <c r="FF46" i="5"/>
  <c r="DP29" i="7"/>
  <c r="DQ25" i="7" s="1"/>
  <c r="DP53" i="7"/>
  <c r="DQ49" i="7" s="1"/>
  <c r="DP37" i="7"/>
  <c r="DQ33" i="7" s="1"/>
  <c r="DP61" i="7"/>
  <c r="DP45" i="7"/>
  <c r="DQ41" i="7" s="1"/>
  <c r="FF16" i="4" l="1"/>
  <c r="FF18" i="4" s="1"/>
  <c r="FG44" i="5" s="1"/>
  <c r="FE49" i="5"/>
  <c r="FE54" i="5" s="1"/>
  <c r="DO85" i="7"/>
  <c r="DO98" i="7" s="1"/>
  <c r="DO90" i="7" s="1"/>
  <c r="DO80" i="7"/>
  <c r="DO81" i="7"/>
  <c r="DO79" i="7"/>
  <c r="DO78" i="7"/>
  <c r="DQ34" i="7"/>
  <c r="DQ35" i="7" s="1"/>
  <c r="DQ50" i="7"/>
  <c r="DQ51" i="7" s="1"/>
  <c r="DN94" i="7"/>
  <c r="DN96" i="7"/>
  <c r="DN93" i="7"/>
  <c r="DN95" i="7"/>
  <c r="DN100" i="7"/>
  <c r="DQ26" i="7"/>
  <c r="DQ27" i="7" s="1"/>
  <c r="DP65" i="7"/>
  <c r="FF49" i="5"/>
  <c r="Q29" i="6"/>
  <c r="FF68" i="5"/>
  <c r="DP30" i="7"/>
  <c r="DP31" i="7" s="1"/>
  <c r="DP46" i="7"/>
  <c r="DP47" i="7" s="1"/>
  <c r="DP73" i="7"/>
  <c r="DQ42" i="7"/>
  <c r="DQ43" i="7" s="1"/>
  <c r="DQ57" i="7"/>
  <c r="DP62" i="7"/>
  <c r="DP68" i="7"/>
  <c r="DP38" i="7"/>
  <c r="DP39" i="7" s="1"/>
  <c r="DP54" i="7"/>
  <c r="DP55" i="7" s="1"/>
  <c r="FE63" i="5" l="1"/>
  <c r="FE64" i="5" s="1"/>
  <c r="FE55" i="5"/>
  <c r="FF53" i="5" s="1"/>
  <c r="FF54" i="5" s="1"/>
  <c r="DO92" i="7"/>
  <c r="DO100" i="7" s="1"/>
  <c r="Q33" i="6"/>
  <c r="FF19" i="4"/>
  <c r="FG47" i="5" s="1"/>
  <c r="FG68" i="5" s="1"/>
  <c r="DP63" i="7"/>
  <c r="DN108" i="7"/>
  <c r="DN116" i="7" s="1"/>
  <c r="DN102" i="7"/>
  <c r="DP74" i="7"/>
  <c r="DP75" i="7" s="1"/>
  <c r="DP69" i="7"/>
  <c r="DQ67" i="7" s="1"/>
  <c r="DQ58" i="7"/>
  <c r="DQ59" i="7" s="1"/>
  <c r="DQ44" i="7" s="1"/>
  <c r="Q31" i="6"/>
  <c r="Q30" i="6"/>
  <c r="FG46" i="5"/>
  <c r="FG45" i="5"/>
  <c r="FE50" i="5" l="1"/>
  <c r="FF43" i="5" s="1"/>
  <c r="FF63" i="5" s="1"/>
  <c r="FF50" i="5" s="1"/>
  <c r="FG43" i="5" s="1"/>
  <c r="FG16" i="4"/>
  <c r="FG18" i="4" s="1"/>
  <c r="FH44" i="5" s="1"/>
  <c r="FF55" i="5"/>
  <c r="FF56" i="5" s="1"/>
  <c r="FF58" i="5" s="1"/>
  <c r="FE56" i="5"/>
  <c r="FE58" i="5" s="1"/>
  <c r="FE78" i="5" s="1"/>
  <c r="FG23" i="7" s="1"/>
  <c r="FG87" i="7" s="1"/>
  <c r="DO95" i="7"/>
  <c r="DO93" i="7"/>
  <c r="DO96" i="7"/>
  <c r="DO94" i="7"/>
  <c r="FF64" i="5"/>
  <c r="DQ72" i="7"/>
  <c r="DQ36" i="7"/>
  <c r="DP70" i="7"/>
  <c r="DP83" i="7" s="1"/>
  <c r="DP77" i="7"/>
  <c r="DQ28" i="7"/>
  <c r="DO108" i="7"/>
  <c r="DO116" i="7" s="1"/>
  <c r="DO102" i="7"/>
  <c r="DQ52" i="7"/>
  <c r="FG48" i="5"/>
  <c r="FG49" i="5" s="1"/>
  <c r="DN107" i="7"/>
  <c r="DN115" i="7" s="1"/>
  <c r="DN123" i="7" s="1"/>
  <c r="DN106" i="7"/>
  <c r="DN114" i="7" s="1"/>
  <c r="DN122" i="7" s="1"/>
  <c r="DN103" i="7"/>
  <c r="DN111" i="7" s="1"/>
  <c r="DN119" i="7" s="1"/>
  <c r="DN104" i="7"/>
  <c r="DN112" i="7" s="1"/>
  <c r="DN120" i="7" s="1"/>
  <c r="DN105" i="7"/>
  <c r="DN113" i="7" s="1"/>
  <c r="DN121" i="7" s="1"/>
  <c r="DQ60" i="7"/>
  <c r="Q37" i="6"/>
  <c r="P8" i="9" s="1"/>
  <c r="BN20" i="10" s="1"/>
  <c r="Q34" i="6" l="1"/>
  <c r="Q35" i="6" s="1"/>
  <c r="P5" i="9" s="1"/>
  <c r="FG53" i="5"/>
  <c r="FG54" i="5" s="1"/>
  <c r="FF78" i="5"/>
  <c r="FH23" i="7" s="1"/>
  <c r="FH87" i="7" s="1"/>
  <c r="FG55" i="5"/>
  <c r="FG19" i="4"/>
  <c r="FH47" i="5" s="1"/>
  <c r="FH68" i="5" s="1"/>
  <c r="DO106" i="7"/>
  <c r="DO114" i="7" s="1"/>
  <c r="DO122" i="7" s="1"/>
  <c r="DO103" i="7"/>
  <c r="DO111" i="7" s="1"/>
  <c r="DO119" i="7" s="1"/>
  <c r="DO105" i="7"/>
  <c r="DO113" i="7" s="1"/>
  <c r="DO121" i="7" s="1"/>
  <c r="DO107" i="7"/>
  <c r="DO115" i="7" s="1"/>
  <c r="DO123" i="7" s="1"/>
  <c r="DO104" i="7"/>
  <c r="DO112" i="7" s="1"/>
  <c r="DO120" i="7" s="1"/>
  <c r="DP88" i="7"/>
  <c r="DP89" i="7" s="1"/>
  <c r="DP78" i="7"/>
  <c r="DP79" i="7"/>
  <c r="DP80" i="7"/>
  <c r="DP81" i="7"/>
  <c r="DP82" i="7"/>
  <c r="DP85" i="7"/>
  <c r="FH46" i="5"/>
  <c r="FH45" i="5"/>
  <c r="DQ37" i="7"/>
  <c r="DR33" i="7" s="1"/>
  <c r="DQ53" i="7"/>
  <c r="DR49" i="7" s="1"/>
  <c r="DQ45" i="7"/>
  <c r="DQ61" i="7"/>
  <c r="DR57" i="7" s="1"/>
  <c r="DQ29" i="7"/>
  <c r="DR25" i="7" s="1"/>
  <c r="FG63" i="5"/>
  <c r="FH16" i="4" l="1"/>
  <c r="Q39" i="6"/>
  <c r="P10" i="9" s="1"/>
  <c r="FG56" i="5"/>
  <c r="FH53" i="5"/>
  <c r="DQ54" i="7"/>
  <c r="DQ55" i="7" s="1"/>
  <c r="DR58" i="7"/>
  <c r="DR59" i="7" s="1"/>
  <c r="DR50" i="7"/>
  <c r="DR51" i="7" s="1"/>
  <c r="FG50" i="5"/>
  <c r="FH43" i="5" s="1"/>
  <c r="FG64" i="5"/>
  <c r="DQ38" i="7"/>
  <c r="DQ39" i="7" s="1"/>
  <c r="DQ30" i="7"/>
  <c r="DQ31" i="7" s="1"/>
  <c r="DQ68" i="7"/>
  <c r="DQ73" i="7"/>
  <c r="FH48" i="5"/>
  <c r="FH49" i="5" s="1"/>
  <c r="DR26" i="7"/>
  <c r="DR27" i="7" s="1"/>
  <c r="DP98" i="7"/>
  <c r="FH18" i="4"/>
  <c r="FI44" i="5" s="1"/>
  <c r="DQ62" i="7"/>
  <c r="DR41" i="7"/>
  <c r="DQ46" i="7"/>
  <c r="DQ47" i="7" s="1"/>
  <c r="DR34" i="7"/>
  <c r="DR35" i="7" s="1"/>
  <c r="DQ65" i="7"/>
  <c r="FG58" i="5" l="1"/>
  <c r="FG78" i="5" s="1"/>
  <c r="FI23" i="7" s="1"/>
  <c r="FI87" i="7" s="1"/>
  <c r="FH55" i="5"/>
  <c r="FH54" i="5"/>
  <c r="DQ69" i="7"/>
  <c r="DR67" i="7" s="1"/>
  <c r="DQ74" i="7"/>
  <c r="DQ75" i="7" s="1"/>
  <c r="FH63" i="5"/>
  <c r="FI46" i="5"/>
  <c r="FI45" i="5"/>
  <c r="DP90" i="7"/>
  <c r="DP92" i="7"/>
  <c r="FH19" i="4"/>
  <c r="DR42" i="7"/>
  <c r="DR43" i="7" s="1"/>
  <c r="DR28" i="7" s="1"/>
  <c r="DQ63" i="7"/>
  <c r="FH56" i="5" l="1"/>
  <c r="FI53" i="5"/>
  <c r="DR44" i="7"/>
  <c r="DR52" i="7"/>
  <c r="FI47" i="5"/>
  <c r="FI48" i="5" s="1"/>
  <c r="FI16" i="4"/>
  <c r="FH50" i="5"/>
  <c r="FI43" i="5" s="1"/>
  <c r="FH64" i="5"/>
  <c r="DP95" i="7"/>
  <c r="DP94" i="7"/>
  <c r="DP93" i="7"/>
  <c r="DP96" i="7"/>
  <c r="DP100" i="7"/>
  <c r="DR72" i="7"/>
  <c r="DR36" i="7"/>
  <c r="DR60" i="7"/>
  <c r="DQ70" i="7"/>
  <c r="DQ83" i="7" s="1"/>
  <c r="DQ77" i="7"/>
  <c r="FH58" i="5" l="1"/>
  <c r="FH78" i="5" s="1"/>
  <c r="FJ23" i="7" s="1"/>
  <c r="FJ87" i="7" s="1"/>
  <c r="DR45" i="7"/>
  <c r="DS41" i="7" s="1"/>
  <c r="DS42" i="7" s="1"/>
  <c r="DS43" i="7" s="1"/>
  <c r="DR61" i="7"/>
  <c r="DS57" i="7" s="1"/>
  <c r="DS58" i="7" s="1"/>
  <c r="DS59" i="7" s="1"/>
  <c r="DR29" i="7"/>
  <c r="DS25" i="7" s="1"/>
  <c r="DS26" i="7" s="1"/>
  <c r="DS27" i="7" s="1"/>
  <c r="FI18" i="4"/>
  <c r="FJ44" i="5" s="1"/>
  <c r="DQ88" i="7"/>
  <c r="DQ89" i="7" s="1"/>
  <c r="DP102" i="7"/>
  <c r="DP108" i="7"/>
  <c r="DP116" i="7" s="1"/>
  <c r="DQ82" i="7"/>
  <c r="DQ79" i="7"/>
  <c r="DQ80" i="7"/>
  <c r="DQ81" i="7"/>
  <c r="DQ78" i="7"/>
  <c r="DQ85" i="7"/>
  <c r="FI49" i="5"/>
  <c r="FI68" i="5"/>
  <c r="DR37" i="7"/>
  <c r="DS33" i="7" s="1"/>
  <c r="DR53" i="7"/>
  <c r="DR62" i="7" l="1"/>
  <c r="DR63" i="7" s="1"/>
  <c r="FI54" i="5"/>
  <c r="FI55" i="5"/>
  <c r="FJ53" i="5" s="1"/>
  <c r="DR46" i="7"/>
  <c r="DR47" i="7" s="1"/>
  <c r="FI63" i="5"/>
  <c r="FI50" i="5" s="1"/>
  <c r="FJ43" i="5" s="1"/>
  <c r="FI19" i="4"/>
  <c r="FJ47" i="5" s="1"/>
  <c r="FJ68" i="5" s="1"/>
  <c r="DR68" i="7"/>
  <c r="DR38" i="7"/>
  <c r="DR39" i="7" s="1"/>
  <c r="DR30" i="7"/>
  <c r="DR31" i="7" s="1"/>
  <c r="DS49" i="7"/>
  <c r="DR54" i="7"/>
  <c r="DR55" i="7" s="1"/>
  <c r="DQ98" i="7"/>
  <c r="DR65" i="7"/>
  <c r="DS34" i="7"/>
  <c r="DS35" i="7" s="1"/>
  <c r="DP103" i="7"/>
  <c r="DP111" i="7" s="1"/>
  <c r="DP119" i="7" s="1"/>
  <c r="DP106" i="7"/>
  <c r="DP114" i="7" s="1"/>
  <c r="DP122" i="7" s="1"/>
  <c r="DP105" i="7"/>
  <c r="DP113" i="7" s="1"/>
  <c r="DP121" i="7" s="1"/>
  <c r="DP107" i="7"/>
  <c r="DP115" i="7" s="1"/>
  <c r="DP123" i="7" s="1"/>
  <c r="DP104" i="7"/>
  <c r="DP112" i="7" s="1"/>
  <c r="DP120" i="7" s="1"/>
  <c r="DR73" i="7"/>
  <c r="FJ46" i="5"/>
  <c r="FJ45" i="5"/>
  <c r="FJ16" i="4" l="1"/>
  <c r="FI56" i="5"/>
  <c r="FI64" i="5"/>
  <c r="FJ48" i="5"/>
  <c r="FJ49" i="5" s="1"/>
  <c r="DR74" i="7"/>
  <c r="DR75" i="7" s="1"/>
  <c r="DS50" i="7"/>
  <c r="DS51" i="7" s="1"/>
  <c r="DS60" i="7" s="1"/>
  <c r="FJ18" i="4"/>
  <c r="FK44" i="5" s="1"/>
  <c r="DR69" i="7"/>
  <c r="DQ92" i="7"/>
  <c r="DQ90" i="7"/>
  <c r="FI58" i="5" l="1"/>
  <c r="FI78" i="5" s="1"/>
  <c r="FK23" i="7" s="1"/>
  <c r="FK87" i="7" s="1"/>
  <c r="FJ63" i="5"/>
  <c r="FJ50" i="5" s="1"/>
  <c r="FK43" i="5" s="1"/>
  <c r="FJ55" i="5"/>
  <c r="FJ54" i="5"/>
  <c r="FJ19" i="4"/>
  <c r="FK47" i="5" s="1"/>
  <c r="FK68" i="5" s="1"/>
  <c r="DS72" i="7"/>
  <c r="DS36" i="7"/>
  <c r="DS44" i="7"/>
  <c r="DR70" i="7"/>
  <c r="DR83" i="7" s="1"/>
  <c r="DR77" i="7"/>
  <c r="DS67" i="7"/>
  <c r="DQ94" i="7"/>
  <c r="DQ96" i="7"/>
  <c r="DQ95" i="7"/>
  <c r="DQ93" i="7"/>
  <c r="DQ100" i="7"/>
  <c r="FK45" i="5"/>
  <c r="FK46" i="5"/>
  <c r="DS28" i="7"/>
  <c r="DS52" i="7"/>
  <c r="FK16" i="4" l="1"/>
  <c r="FK18" i="4" s="1"/>
  <c r="FL44" i="5" s="1"/>
  <c r="FJ64" i="5"/>
  <c r="FJ56" i="5"/>
  <c r="FK53" i="5"/>
  <c r="DR88" i="7"/>
  <c r="DR89" i="7" s="1"/>
  <c r="FK48" i="5"/>
  <c r="FK49" i="5" s="1"/>
  <c r="DS37" i="7"/>
  <c r="DT33" i="7" s="1"/>
  <c r="DS45" i="7"/>
  <c r="DT41" i="7" s="1"/>
  <c r="DS29" i="7"/>
  <c r="DT25" i="7" s="1"/>
  <c r="DS53" i="7"/>
  <c r="DT49" i="7" s="1"/>
  <c r="DS61" i="7"/>
  <c r="DQ102" i="7"/>
  <c r="DQ108" i="7"/>
  <c r="DQ116" i="7" s="1"/>
  <c r="DR82" i="7"/>
  <c r="DR79" i="7"/>
  <c r="DR81" i="7"/>
  <c r="DR80" i="7"/>
  <c r="DR78" i="7"/>
  <c r="DR85" i="7"/>
  <c r="FJ58" i="5" l="1"/>
  <c r="FJ78" i="5" s="1"/>
  <c r="FL23" i="7" s="1"/>
  <c r="FL87" i="7" s="1"/>
  <c r="FK55" i="5"/>
  <c r="FK54" i="5"/>
  <c r="DS38" i="7"/>
  <c r="DS39" i="7" s="1"/>
  <c r="DS46" i="7"/>
  <c r="DS47" i="7" s="1"/>
  <c r="DS65" i="7"/>
  <c r="DS73" i="7"/>
  <c r="DR98" i="7"/>
  <c r="FK63" i="5"/>
  <c r="DQ104" i="7"/>
  <c r="DQ112" i="7" s="1"/>
  <c r="DQ120" i="7" s="1"/>
  <c r="DQ103" i="7"/>
  <c r="DQ111" i="7" s="1"/>
  <c r="DQ119" i="7" s="1"/>
  <c r="DQ106" i="7"/>
  <c r="DQ114" i="7" s="1"/>
  <c r="DQ122" i="7" s="1"/>
  <c r="DQ107" i="7"/>
  <c r="DQ115" i="7" s="1"/>
  <c r="DQ123" i="7" s="1"/>
  <c r="DQ105" i="7"/>
  <c r="DQ113" i="7" s="1"/>
  <c r="DQ121" i="7" s="1"/>
  <c r="DT34" i="7"/>
  <c r="DT35" i="7" s="1"/>
  <c r="DT50" i="7"/>
  <c r="DT51" i="7" s="1"/>
  <c r="DS68" i="7"/>
  <c r="FL46" i="5"/>
  <c r="FL45" i="5"/>
  <c r="DT26" i="7"/>
  <c r="DT27" i="7" s="1"/>
  <c r="DS30" i="7"/>
  <c r="DS31" i="7" s="1"/>
  <c r="DT57" i="7"/>
  <c r="DS62" i="7"/>
  <c r="FK19" i="4"/>
  <c r="DT42" i="7"/>
  <c r="DT43" i="7" s="1"/>
  <c r="DS54" i="7"/>
  <c r="DS55" i="7" s="1"/>
  <c r="FK56" i="5" l="1"/>
  <c r="FL53" i="5"/>
  <c r="DS74" i="7"/>
  <c r="DS75" i="7" s="1"/>
  <c r="FL47" i="5"/>
  <c r="FL48" i="5" s="1"/>
  <c r="FL16" i="4"/>
  <c r="DS63" i="7"/>
  <c r="FK50" i="5"/>
  <c r="FL43" i="5" s="1"/>
  <c r="FK64" i="5"/>
  <c r="DS69" i="7"/>
  <c r="DT67" i="7" s="1"/>
  <c r="DT58" i="7"/>
  <c r="DT59" i="7" s="1"/>
  <c r="DT36" i="7" s="1"/>
  <c r="DR90" i="7"/>
  <c r="DR92" i="7"/>
  <c r="FK58" i="5" l="1"/>
  <c r="FK78" i="5" s="1"/>
  <c r="FM23" i="7" s="1"/>
  <c r="FM87" i="7" s="1"/>
  <c r="DT72" i="7"/>
  <c r="DT44" i="7"/>
  <c r="DT60" i="7"/>
  <c r="DR93" i="7"/>
  <c r="DR95" i="7"/>
  <c r="DR94" i="7"/>
  <c r="DR96" i="7"/>
  <c r="DR100" i="7"/>
  <c r="DT28" i="7"/>
  <c r="FL18" i="4"/>
  <c r="FM44" i="5" s="1"/>
  <c r="DS70" i="7"/>
  <c r="DS83" i="7" s="1"/>
  <c r="DS77" i="7"/>
  <c r="DT52" i="7"/>
  <c r="FL49" i="5"/>
  <c r="FL68" i="5"/>
  <c r="FL54" i="5" l="1"/>
  <c r="FL55" i="5"/>
  <c r="FM53" i="5" s="1"/>
  <c r="FL63" i="5"/>
  <c r="FL50" i="5" s="1"/>
  <c r="FM43" i="5" s="1"/>
  <c r="FL19" i="4"/>
  <c r="FM47" i="5" s="1"/>
  <c r="FM68" i="5" s="1"/>
  <c r="DS88" i="7"/>
  <c r="DS89" i="7" s="1"/>
  <c r="DR108" i="7"/>
  <c r="DR116" i="7" s="1"/>
  <c r="DR102" i="7"/>
  <c r="FM46" i="5"/>
  <c r="FM45" i="5"/>
  <c r="DT37" i="7"/>
  <c r="DT61" i="7"/>
  <c r="DU57" i="7" s="1"/>
  <c r="DT45" i="7"/>
  <c r="DT53" i="7"/>
  <c r="DU49" i="7" s="1"/>
  <c r="DT29" i="7"/>
  <c r="DU25" i="7" s="1"/>
  <c r="DS79" i="7"/>
  <c r="DS82" i="7"/>
  <c r="DS80" i="7"/>
  <c r="DS78" i="7"/>
  <c r="DS81" i="7"/>
  <c r="DS85" i="7"/>
  <c r="FM16" i="4" l="1"/>
  <c r="FL64" i="5"/>
  <c r="FL56" i="5"/>
  <c r="FL58" i="5" s="1"/>
  <c r="DT30" i="7"/>
  <c r="DT31" i="7" s="1"/>
  <c r="DS98" i="7"/>
  <c r="DU26" i="7"/>
  <c r="DU27" i="7" s="1"/>
  <c r="DT62" i="7"/>
  <c r="FM18" i="4"/>
  <c r="FN44" i="5" s="1"/>
  <c r="DU33" i="7"/>
  <c r="DT38" i="7"/>
  <c r="DT39" i="7" s="1"/>
  <c r="DT65" i="7"/>
  <c r="DU50" i="7"/>
  <c r="DU51" i="7" s="1"/>
  <c r="DU41" i="7"/>
  <c r="DT46" i="7"/>
  <c r="DT47" i="7" s="1"/>
  <c r="FM48" i="5"/>
  <c r="FM49" i="5" s="1"/>
  <c r="DR103" i="7"/>
  <c r="DR111" i="7" s="1"/>
  <c r="DR119" i="7" s="1"/>
  <c r="DR106" i="7"/>
  <c r="DR114" i="7" s="1"/>
  <c r="DR122" i="7" s="1"/>
  <c r="DR105" i="7"/>
  <c r="DR113" i="7" s="1"/>
  <c r="DR121" i="7" s="1"/>
  <c r="DR107" i="7"/>
  <c r="DR115" i="7" s="1"/>
  <c r="DR123" i="7" s="1"/>
  <c r="DR104" i="7"/>
  <c r="DR112" i="7" s="1"/>
  <c r="DR120" i="7" s="1"/>
  <c r="DU58" i="7"/>
  <c r="DU59" i="7" s="1"/>
  <c r="DT54" i="7"/>
  <c r="DT55" i="7" s="1"/>
  <c r="DT68" i="7"/>
  <c r="DT73" i="7"/>
  <c r="FL78" i="5" l="1"/>
  <c r="FN23" i="7" s="1"/>
  <c r="FN87" i="7" s="1"/>
  <c r="FM55" i="5"/>
  <c r="FM54" i="5"/>
  <c r="FM63" i="5"/>
  <c r="FM50" i="5" s="1"/>
  <c r="FN43" i="5" s="1"/>
  <c r="DU42" i="7"/>
  <c r="DU43" i="7" s="1"/>
  <c r="DU34" i="7"/>
  <c r="DU35" i="7" s="1"/>
  <c r="DT74" i="7"/>
  <c r="DT75" i="7" s="1"/>
  <c r="DT63" i="7"/>
  <c r="FN46" i="5"/>
  <c r="FN45" i="5"/>
  <c r="FM19" i="4"/>
  <c r="DT69" i="7"/>
  <c r="DU67" i="7" s="1"/>
  <c r="DS90" i="7"/>
  <c r="DS92" i="7"/>
  <c r="FM56" i="5" l="1"/>
  <c r="FM58" i="5" s="1"/>
  <c r="FN53" i="5"/>
  <c r="FM64" i="5"/>
  <c r="DU28" i="7"/>
  <c r="DU72" i="7"/>
  <c r="DU44" i="7"/>
  <c r="DU60" i="7"/>
  <c r="DS94" i="7"/>
  <c r="DS96" i="7"/>
  <c r="DS93" i="7"/>
  <c r="DS95" i="7"/>
  <c r="DS100" i="7"/>
  <c r="DT77" i="7"/>
  <c r="DT70" i="7"/>
  <c r="DT83" i="7" s="1"/>
  <c r="FN47" i="5"/>
  <c r="FN16" i="4"/>
  <c r="DU36" i="7"/>
  <c r="DU52" i="7"/>
  <c r="FM78" i="5" l="1"/>
  <c r="FO23" i="7" s="1"/>
  <c r="FO87" i="7" s="1"/>
  <c r="DU45" i="7"/>
  <c r="DV41" i="7" s="1"/>
  <c r="DV42" i="7" s="1"/>
  <c r="DV43" i="7" s="1"/>
  <c r="FN68" i="5"/>
  <c r="DU61" i="7"/>
  <c r="DV57" i="7" s="1"/>
  <c r="DU53" i="7"/>
  <c r="DV49" i="7" s="1"/>
  <c r="FN18" i="4"/>
  <c r="FO44" i="5" s="1"/>
  <c r="DU29" i="7"/>
  <c r="DT88" i="7"/>
  <c r="DT89" i="7" s="1"/>
  <c r="DU37" i="7"/>
  <c r="DV33" i="7" s="1"/>
  <c r="DT81" i="7"/>
  <c r="DT78" i="7"/>
  <c r="DT80" i="7"/>
  <c r="DT82" i="7"/>
  <c r="DT79" i="7"/>
  <c r="DT85" i="7"/>
  <c r="DS108" i="7"/>
  <c r="DS116" i="7" s="1"/>
  <c r="DS102" i="7"/>
  <c r="FN48" i="5"/>
  <c r="DU46" i="7" l="1"/>
  <c r="DU47" i="7" s="1"/>
  <c r="DU62" i="7"/>
  <c r="DU63" i="7" s="1"/>
  <c r="DU54" i="7"/>
  <c r="DU55" i="7" s="1"/>
  <c r="DV34" i="7"/>
  <c r="DV35" i="7" s="1"/>
  <c r="FO46" i="5"/>
  <c r="FO45" i="5"/>
  <c r="DS107" i="7"/>
  <c r="DS115" i="7" s="1"/>
  <c r="DS123" i="7" s="1"/>
  <c r="DS105" i="7"/>
  <c r="DS113" i="7" s="1"/>
  <c r="DS121" i="7" s="1"/>
  <c r="DS106" i="7"/>
  <c r="DS114" i="7" s="1"/>
  <c r="DS122" i="7" s="1"/>
  <c r="DS103" i="7"/>
  <c r="DS111" i="7" s="1"/>
  <c r="DS119" i="7" s="1"/>
  <c r="DS104" i="7"/>
  <c r="DS112" i="7" s="1"/>
  <c r="DS120" i="7" s="1"/>
  <c r="FN19" i="4"/>
  <c r="DV58" i="7"/>
  <c r="DV59" i="7" s="1"/>
  <c r="DU38" i="7"/>
  <c r="DU39" i="7" s="1"/>
  <c r="DT98" i="7"/>
  <c r="DV25" i="7"/>
  <c r="DU73" i="7"/>
  <c r="DU65" i="7"/>
  <c r="DU30" i="7"/>
  <c r="DU31" i="7" s="1"/>
  <c r="DU68" i="7"/>
  <c r="DV50" i="7"/>
  <c r="DV51" i="7" s="1"/>
  <c r="FN49" i="5"/>
  <c r="FN54" i="5" l="1"/>
  <c r="FN55" i="5"/>
  <c r="FN63" i="5"/>
  <c r="FN50" i="5" s="1"/>
  <c r="FO43" i="5" s="1"/>
  <c r="DV26" i="7"/>
  <c r="DV27" i="7" s="1"/>
  <c r="DU74" i="7"/>
  <c r="DU75" i="7" s="1"/>
  <c r="DU69" i="7"/>
  <c r="FO47" i="5"/>
  <c r="FO48" i="5" s="1"/>
  <c r="FO16" i="4"/>
  <c r="DT90" i="7"/>
  <c r="DT92" i="7"/>
  <c r="FN64" i="5" l="1"/>
  <c r="FN56" i="5"/>
  <c r="FN58" i="5" s="1"/>
  <c r="FO53" i="5"/>
  <c r="DV72" i="7"/>
  <c r="DT93" i="7"/>
  <c r="DT94" i="7"/>
  <c r="DT96" i="7"/>
  <c r="DT95" i="7"/>
  <c r="DT100" i="7"/>
  <c r="FO49" i="5"/>
  <c r="FO68" i="5"/>
  <c r="FO18" i="4"/>
  <c r="FP44" i="5" s="1"/>
  <c r="DV36" i="7"/>
  <c r="DV44" i="7"/>
  <c r="DV60" i="7"/>
  <c r="DV28" i="7"/>
  <c r="DV52" i="7"/>
  <c r="DU70" i="7"/>
  <c r="DU83" i="7" s="1"/>
  <c r="DU77" i="7"/>
  <c r="DV67" i="7"/>
  <c r="FN78" i="5" l="1"/>
  <c r="FP23" i="7" s="1"/>
  <c r="FP87" i="7" s="1"/>
  <c r="FO54" i="5"/>
  <c r="FO55" i="5"/>
  <c r="FO56" i="5" s="1"/>
  <c r="FO19" i="4"/>
  <c r="FP47" i="5" s="1"/>
  <c r="FP68" i="5" s="1"/>
  <c r="FP46" i="5"/>
  <c r="FP45" i="5"/>
  <c r="DT108" i="7"/>
  <c r="DT116" i="7" s="1"/>
  <c r="DT102" i="7"/>
  <c r="DU88" i="7"/>
  <c r="DU89" i="7" s="1"/>
  <c r="FO63" i="5"/>
  <c r="DV61" i="7"/>
  <c r="DW57" i="7" s="1"/>
  <c r="DV37" i="7"/>
  <c r="DW33" i="7" s="1"/>
  <c r="DV45" i="7"/>
  <c r="DW41" i="7" s="1"/>
  <c r="DV29" i="7"/>
  <c r="DW25" i="7" s="1"/>
  <c r="DV53" i="7"/>
  <c r="DW49" i="7" s="1"/>
  <c r="DU81" i="7"/>
  <c r="DU79" i="7"/>
  <c r="DU78" i="7"/>
  <c r="DU82" i="7"/>
  <c r="DU80" i="7"/>
  <c r="DU85" i="7"/>
  <c r="FP16" i="4" l="1"/>
  <c r="FP53" i="5"/>
  <c r="FO58" i="5"/>
  <c r="DW26" i="7"/>
  <c r="DW27" i="7" s="1"/>
  <c r="DT103" i="7"/>
  <c r="DT111" i="7" s="1"/>
  <c r="DT119" i="7" s="1"/>
  <c r="DT105" i="7"/>
  <c r="DT113" i="7" s="1"/>
  <c r="DT121" i="7" s="1"/>
  <c r="DT104" i="7"/>
  <c r="DT112" i="7" s="1"/>
  <c r="DT120" i="7" s="1"/>
  <c r="DT107" i="7"/>
  <c r="DT115" i="7" s="1"/>
  <c r="DT123" i="7" s="1"/>
  <c r="DT106" i="7"/>
  <c r="DT114" i="7" s="1"/>
  <c r="DT122" i="7" s="1"/>
  <c r="DW34" i="7"/>
  <c r="DW35" i="7" s="1"/>
  <c r="DV54" i="7"/>
  <c r="DV55" i="7" s="1"/>
  <c r="DV73" i="7"/>
  <c r="DV68" i="7"/>
  <c r="DW50" i="7"/>
  <c r="DW51" i="7" s="1"/>
  <c r="DU98" i="7"/>
  <c r="FP48" i="5"/>
  <c r="FP49" i="5" s="1"/>
  <c r="FP18" i="4"/>
  <c r="FQ44" i="5" s="1"/>
  <c r="DV30" i="7"/>
  <c r="DV31" i="7" s="1"/>
  <c r="DV38" i="7"/>
  <c r="DV39" i="7" s="1"/>
  <c r="DV65" i="7"/>
  <c r="FO50" i="5"/>
  <c r="FP43" i="5" s="1"/>
  <c r="FO64" i="5"/>
  <c r="DV62" i="7"/>
  <c r="DW42" i="7"/>
  <c r="DW43" i="7" s="1"/>
  <c r="DW58" i="7"/>
  <c r="DW59" i="7" s="1"/>
  <c r="DV46" i="7"/>
  <c r="DV47" i="7" s="1"/>
  <c r="FO78" i="5" l="1"/>
  <c r="FQ23" i="7" s="1"/>
  <c r="FQ87" i="7" s="1"/>
  <c r="FP55" i="5"/>
  <c r="FP54" i="5"/>
  <c r="FP19" i="4"/>
  <c r="DV63" i="7"/>
  <c r="DV74" i="7"/>
  <c r="DV75" i="7" s="1"/>
  <c r="FQ46" i="5"/>
  <c r="FQ45" i="5"/>
  <c r="FP63" i="5"/>
  <c r="DV69" i="7"/>
  <c r="DU90" i="7"/>
  <c r="DU92" i="7"/>
  <c r="DW60" i="7"/>
  <c r="DW28" i="7"/>
  <c r="DW36" i="7"/>
  <c r="DW52" i="7"/>
  <c r="DW44" i="7"/>
  <c r="FP56" i="5" l="1"/>
  <c r="FP58" i="5" s="1"/>
  <c r="FQ53" i="5"/>
  <c r="DU95" i="7"/>
  <c r="DU94" i="7"/>
  <c r="DU93" i="7"/>
  <c r="DU96" i="7"/>
  <c r="DU100" i="7"/>
  <c r="DV77" i="7"/>
  <c r="DV70" i="7"/>
  <c r="DV83" i="7" s="1"/>
  <c r="DW67" i="7"/>
  <c r="FP50" i="5"/>
  <c r="FQ43" i="5" s="1"/>
  <c r="FP64" i="5"/>
  <c r="DW61" i="7"/>
  <c r="DX57" i="7" s="1"/>
  <c r="DW37" i="7"/>
  <c r="DX33" i="7" s="1"/>
  <c r="DW53" i="7"/>
  <c r="DX49" i="7" s="1"/>
  <c r="DW29" i="7"/>
  <c r="DX25" i="7" s="1"/>
  <c r="DW45" i="7"/>
  <c r="DX41" i="7" s="1"/>
  <c r="DW72" i="7"/>
  <c r="FQ47" i="5"/>
  <c r="FQ48" i="5" s="1"/>
  <c r="FQ16" i="4"/>
  <c r="FP78" i="5" l="1"/>
  <c r="FR23" i="7" s="1"/>
  <c r="FR87" i="7" s="1"/>
  <c r="DW62" i="7"/>
  <c r="DW63" i="7" s="1"/>
  <c r="DX26" i="7"/>
  <c r="DX27" i="7" s="1"/>
  <c r="FQ18" i="4"/>
  <c r="FR44" i="5" s="1"/>
  <c r="DX58" i="7"/>
  <c r="DX59" i="7" s="1"/>
  <c r="DW54" i="7"/>
  <c r="DW55" i="7" s="1"/>
  <c r="DV88" i="7"/>
  <c r="DV89" i="7" s="1"/>
  <c r="DX50" i="7"/>
  <c r="DX51" i="7" s="1"/>
  <c r="DW65" i="7"/>
  <c r="DW30" i="7"/>
  <c r="DW31" i="7" s="1"/>
  <c r="DX34" i="7"/>
  <c r="DX35" i="7" s="1"/>
  <c r="DW38" i="7"/>
  <c r="DW39" i="7" s="1"/>
  <c r="DV79" i="7"/>
  <c r="DV78" i="7"/>
  <c r="DV82" i="7"/>
  <c r="DV80" i="7"/>
  <c r="DV81" i="7"/>
  <c r="DV85" i="7"/>
  <c r="DW73" i="7"/>
  <c r="DW46" i="7"/>
  <c r="DW47" i="7" s="1"/>
  <c r="FQ49" i="5"/>
  <c r="FQ68" i="5"/>
  <c r="DX42" i="7"/>
  <c r="DX43" i="7" s="1"/>
  <c r="DW68" i="7"/>
  <c r="DU108" i="7"/>
  <c r="DU116" i="7" s="1"/>
  <c r="DU102" i="7"/>
  <c r="FQ54" i="5" l="1"/>
  <c r="FQ55" i="5"/>
  <c r="FR53" i="5" s="1"/>
  <c r="FQ63" i="5"/>
  <c r="FQ64" i="5" s="1"/>
  <c r="DW74" i="7"/>
  <c r="DW75" i="7" s="1"/>
  <c r="FQ19" i="4"/>
  <c r="DX28" i="7"/>
  <c r="DX52" i="7"/>
  <c r="DX36" i="7"/>
  <c r="DX60" i="7"/>
  <c r="DX44" i="7"/>
  <c r="DW69" i="7"/>
  <c r="FR45" i="5"/>
  <c r="R28" i="6"/>
  <c r="DV98" i="7"/>
  <c r="DU103" i="7"/>
  <c r="DU111" i="7" s="1"/>
  <c r="DU119" i="7" s="1"/>
  <c r="DU107" i="7"/>
  <c r="DU115" i="7" s="1"/>
  <c r="DU123" i="7" s="1"/>
  <c r="DU104" i="7"/>
  <c r="DU112" i="7" s="1"/>
  <c r="DU120" i="7" s="1"/>
  <c r="DU105" i="7"/>
  <c r="DU113" i="7" s="1"/>
  <c r="DU121" i="7" s="1"/>
  <c r="DU106" i="7"/>
  <c r="DU114" i="7" s="1"/>
  <c r="DU122" i="7" s="1"/>
  <c r="FQ50" i="5" l="1"/>
  <c r="FR43" i="5" s="1"/>
  <c r="FQ56" i="5"/>
  <c r="FQ58" i="5" s="1"/>
  <c r="FQ78" i="5" s="1"/>
  <c r="FS23" i="7" s="1"/>
  <c r="FS87" i="7" s="1"/>
  <c r="FR46" i="5"/>
  <c r="DX72" i="7"/>
  <c r="DX53" i="7"/>
  <c r="DY49" i="7" s="1"/>
  <c r="DX45" i="7"/>
  <c r="DY41" i="7" s="1"/>
  <c r="DX37" i="7"/>
  <c r="DY33" i="7" s="1"/>
  <c r="DX29" i="7"/>
  <c r="DY25" i="7" s="1"/>
  <c r="DX61" i="7"/>
  <c r="DY57" i="7" s="1"/>
  <c r="FR47" i="5"/>
  <c r="FR48" i="5" s="1"/>
  <c r="FR16" i="4"/>
  <c r="DW77" i="7"/>
  <c r="DW70" i="7"/>
  <c r="DW83" i="7" s="1"/>
  <c r="DX67" i="7"/>
  <c r="DV90" i="7"/>
  <c r="DV92" i="7"/>
  <c r="DX62" i="7" l="1"/>
  <c r="DX30" i="7"/>
  <c r="DX31" i="7" s="1"/>
  <c r="DX54" i="7"/>
  <c r="DX55" i="7" s="1"/>
  <c r="DY34" i="7"/>
  <c r="DY35" i="7" s="1"/>
  <c r="DY50" i="7"/>
  <c r="DY51" i="7" s="1"/>
  <c r="DV96" i="7"/>
  <c r="DV93" i="7"/>
  <c r="DV94" i="7"/>
  <c r="DV95" i="7"/>
  <c r="DV100" i="7"/>
  <c r="DX73" i="7"/>
  <c r="FR49" i="5"/>
  <c r="R29" i="6"/>
  <c r="FR68" i="5"/>
  <c r="DX38" i="7"/>
  <c r="DX39" i="7" s="1"/>
  <c r="DY42" i="7"/>
  <c r="DY43" i="7" s="1"/>
  <c r="DX63" i="7"/>
  <c r="FR18" i="4"/>
  <c r="FS44" i="5" s="1"/>
  <c r="DX65" i="7"/>
  <c r="DX68" i="7"/>
  <c r="DW88" i="7"/>
  <c r="DW89" i="7" s="1"/>
  <c r="DW81" i="7"/>
  <c r="DW78" i="7"/>
  <c r="DW82" i="7"/>
  <c r="DW79" i="7"/>
  <c r="DW80" i="7"/>
  <c r="DW85" i="7"/>
  <c r="DY58" i="7"/>
  <c r="DY59" i="7" s="1"/>
  <c r="DX46" i="7"/>
  <c r="DX47" i="7" s="1"/>
  <c r="DY26" i="7"/>
  <c r="DY27" i="7" s="1"/>
  <c r="DX69" i="7" l="1"/>
  <c r="DX70" i="7" s="1"/>
  <c r="FR54" i="5"/>
  <c r="FR55" i="5"/>
  <c r="FS53" i="5" s="1"/>
  <c r="R33" i="6"/>
  <c r="FR19" i="4"/>
  <c r="FS47" i="5" s="1"/>
  <c r="FS68" i="5" s="1"/>
  <c r="DX74" i="7"/>
  <c r="DX75" i="7" s="1"/>
  <c r="DV108" i="7"/>
  <c r="DV116" i="7" s="1"/>
  <c r="DV102" i="7"/>
  <c r="DW98" i="7"/>
  <c r="DY44" i="7"/>
  <c r="DY28" i="7"/>
  <c r="DY52" i="7"/>
  <c r="DY60" i="7"/>
  <c r="DY36" i="7"/>
  <c r="R31" i="6"/>
  <c r="R30" i="6"/>
  <c r="FS46" i="5"/>
  <c r="FS45" i="5"/>
  <c r="FR63" i="5"/>
  <c r="DY67" i="7" l="1"/>
  <c r="FS16" i="4"/>
  <c r="FS18" i="4" s="1"/>
  <c r="FT44" i="5" s="1"/>
  <c r="FR56" i="5"/>
  <c r="DY72" i="7"/>
  <c r="DX83" i="7"/>
  <c r="DX88" i="7" s="1"/>
  <c r="DX89" i="7" s="1"/>
  <c r="DV107" i="7"/>
  <c r="DV115" i="7" s="1"/>
  <c r="DV123" i="7" s="1"/>
  <c r="DV103" i="7"/>
  <c r="DV111" i="7" s="1"/>
  <c r="DV119" i="7" s="1"/>
  <c r="DV105" i="7"/>
  <c r="DV113" i="7" s="1"/>
  <c r="DV121" i="7" s="1"/>
  <c r="DV104" i="7"/>
  <c r="DV112" i="7" s="1"/>
  <c r="DV120" i="7" s="1"/>
  <c r="DV106" i="7"/>
  <c r="DV114" i="7" s="1"/>
  <c r="DV122" i="7" s="1"/>
  <c r="FR64" i="5"/>
  <c r="FR50" i="5"/>
  <c r="FS43" i="5" s="1"/>
  <c r="FS48" i="5"/>
  <c r="FS49" i="5" s="1"/>
  <c r="DW90" i="7"/>
  <c r="DW92" i="7"/>
  <c r="R37" i="6"/>
  <c r="Q8" i="9" s="1"/>
  <c r="BO20" i="10" s="1"/>
  <c r="DY29" i="7"/>
  <c r="DZ25" i="7" s="1"/>
  <c r="DY53" i="7"/>
  <c r="DZ49" i="7" s="1"/>
  <c r="DY45" i="7"/>
  <c r="DZ41" i="7" s="1"/>
  <c r="DY37" i="7"/>
  <c r="DZ33" i="7" s="1"/>
  <c r="DY61" i="7"/>
  <c r="DZ57" i="7" s="1"/>
  <c r="DX77" i="7"/>
  <c r="FR58" i="5" l="1"/>
  <c r="FR78" i="5" s="1"/>
  <c r="FT23" i="7" s="1"/>
  <c r="FT87" i="7" s="1"/>
  <c r="R34" i="6"/>
  <c r="R35" i="6" s="1"/>
  <c r="FS55" i="5"/>
  <c r="FS54" i="5"/>
  <c r="FS19" i="4"/>
  <c r="FT47" i="5" s="1"/>
  <c r="FT68" i="5" s="1"/>
  <c r="DZ50" i="7"/>
  <c r="DZ51" i="7" s="1"/>
  <c r="DY62" i="7"/>
  <c r="DY65" i="7"/>
  <c r="DY54" i="7"/>
  <c r="DY55" i="7" s="1"/>
  <c r="DY30" i="7"/>
  <c r="DY31" i="7" s="1"/>
  <c r="DZ34" i="7"/>
  <c r="DZ35" i="7" s="1"/>
  <c r="DY73" i="7"/>
  <c r="DZ26" i="7"/>
  <c r="DZ27" i="7" s="1"/>
  <c r="DX78" i="7"/>
  <c r="DX81" i="7"/>
  <c r="DX80" i="7"/>
  <c r="DX79" i="7"/>
  <c r="DX82" i="7"/>
  <c r="DX85" i="7"/>
  <c r="DZ58" i="7"/>
  <c r="DZ59" i="7" s="1"/>
  <c r="DY68" i="7"/>
  <c r="DY38" i="7"/>
  <c r="DY39" i="7" s="1"/>
  <c r="DY46" i="7"/>
  <c r="DY47" i="7" s="1"/>
  <c r="FS63" i="5"/>
  <c r="DZ42" i="7"/>
  <c r="DZ43" i="7" s="1"/>
  <c r="DW93" i="7"/>
  <c r="DW94" i="7"/>
  <c r="DW96" i="7"/>
  <c r="DW95" i="7"/>
  <c r="DW100" i="7"/>
  <c r="FT46" i="5"/>
  <c r="FT45" i="5"/>
  <c r="R39" i="6" l="1"/>
  <c r="Q10" i="9" s="1"/>
  <c r="Q5" i="9"/>
  <c r="FT16" i="4"/>
  <c r="FT18" i="4" s="1"/>
  <c r="FU44" i="5" s="1"/>
  <c r="FS56" i="5"/>
  <c r="FT53" i="5"/>
  <c r="FS64" i="5"/>
  <c r="FS50" i="5"/>
  <c r="FT43" i="5" s="1"/>
  <c r="DY74" i="7"/>
  <c r="DY75" i="7" s="1"/>
  <c r="DX98" i="7"/>
  <c r="DW102" i="7"/>
  <c r="DW108" i="7"/>
  <c r="DW116" i="7" s="1"/>
  <c r="DY63" i="7"/>
  <c r="DY69" i="7"/>
  <c r="DZ67" i="7" s="1"/>
  <c r="FT48" i="5"/>
  <c r="FT49" i="5" s="1"/>
  <c r="DZ28" i="7"/>
  <c r="DZ60" i="7"/>
  <c r="DZ44" i="7"/>
  <c r="DZ52" i="7"/>
  <c r="DZ36" i="7"/>
  <c r="FS58" i="5" l="1"/>
  <c r="FS78" i="5" s="1"/>
  <c r="FU23" i="7" s="1"/>
  <c r="FU87" i="7" s="1"/>
  <c r="FT55" i="5"/>
  <c r="FT54" i="5"/>
  <c r="DZ72" i="7"/>
  <c r="FT19" i="4"/>
  <c r="DY70" i="7"/>
  <c r="DY83" i="7" s="1"/>
  <c r="DY77" i="7"/>
  <c r="DW106" i="7"/>
  <c r="DW114" i="7" s="1"/>
  <c r="DW122" i="7" s="1"/>
  <c r="DW104" i="7"/>
  <c r="DW112" i="7" s="1"/>
  <c r="DW120" i="7" s="1"/>
  <c r="DW105" i="7"/>
  <c r="DW113" i="7" s="1"/>
  <c r="DW121" i="7" s="1"/>
  <c r="DW103" i="7"/>
  <c r="DW111" i="7" s="1"/>
  <c r="DW119" i="7" s="1"/>
  <c r="DW107" i="7"/>
  <c r="DW115" i="7" s="1"/>
  <c r="DW123" i="7" s="1"/>
  <c r="FT63" i="5"/>
  <c r="FU46" i="5"/>
  <c r="FU45" i="5"/>
  <c r="DZ61" i="7"/>
  <c r="DZ29" i="7"/>
  <c r="EA25" i="7" s="1"/>
  <c r="DZ37" i="7"/>
  <c r="EA33" i="7" s="1"/>
  <c r="DZ53" i="7"/>
  <c r="EA49" i="7" s="1"/>
  <c r="DZ45" i="7"/>
  <c r="EA41" i="7" s="1"/>
  <c r="DX90" i="7"/>
  <c r="DX92" i="7"/>
  <c r="FT56" i="5" l="1"/>
  <c r="FU53" i="5"/>
  <c r="DZ38" i="7"/>
  <c r="DZ39" i="7" s="1"/>
  <c r="DZ46" i="7"/>
  <c r="DZ47" i="7" s="1"/>
  <c r="DZ65" i="7"/>
  <c r="DZ30" i="7"/>
  <c r="DZ31" i="7" s="1"/>
  <c r="EA42" i="7"/>
  <c r="EA43" i="7" s="1"/>
  <c r="DY79" i="7"/>
  <c r="DY82" i="7"/>
  <c r="DY80" i="7"/>
  <c r="DY78" i="7"/>
  <c r="DY81" i="7"/>
  <c r="DY85" i="7"/>
  <c r="EA50" i="7"/>
  <c r="EA51" i="7" s="1"/>
  <c r="DZ73" i="7"/>
  <c r="DY88" i="7"/>
  <c r="DY89" i="7" s="1"/>
  <c r="FT64" i="5"/>
  <c r="FT50" i="5"/>
  <c r="FU43" i="5" s="1"/>
  <c r="DZ68" i="7"/>
  <c r="DZ54" i="7"/>
  <c r="DZ55" i="7" s="1"/>
  <c r="EA34" i="7"/>
  <c r="EA35" i="7" s="1"/>
  <c r="EA26" i="7"/>
  <c r="EA27" i="7" s="1"/>
  <c r="DX96" i="7"/>
  <c r="DX94" i="7"/>
  <c r="DX93" i="7"/>
  <c r="DX95" i="7"/>
  <c r="DX100" i="7"/>
  <c r="EA57" i="7"/>
  <c r="DZ62" i="7"/>
  <c r="FU47" i="5"/>
  <c r="FU48" i="5" s="1"/>
  <c r="FU16" i="4"/>
  <c r="FT58" i="5" l="1"/>
  <c r="FT78" i="5" s="1"/>
  <c r="FV23" i="7" s="1"/>
  <c r="FV87" i="7" s="1"/>
  <c r="EA58" i="7"/>
  <c r="EA59" i="7" s="1"/>
  <c r="EA60" i="7" s="1"/>
  <c r="DZ63" i="7"/>
  <c r="DY98" i="7"/>
  <c r="DX102" i="7"/>
  <c r="DX108" i="7"/>
  <c r="DX116" i="7" s="1"/>
  <c r="DZ69" i="7"/>
  <c r="EA67" i="7" s="1"/>
  <c r="FU18" i="4"/>
  <c r="FV44" i="5" s="1"/>
  <c r="DZ74" i="7"/>
  <c r="DZ75" i="7" s="1"/>
  <c r="FU49" i="5"/>
  <c r="FU68" i="5"/>
  <c r="EA36" i="7" l="1"/>
  <c r="FU54" i="5"/>
  <c r="FU55" i="5"/>
  <c r="FU56" i="5" s="1"/>
  <c r="EA28" i="7"/>
  <c r="FU63" i="5"/>
  <c r="FU64" i="5" s="1"/>
  <c r="EA72" i="7"/>
  <c r="FU19" i="4"/>
  <c r="DZ70" i="7"/>
  <c r="DZ83" i="7" s="1"/>
  <c r="DZ77" i="7"/>
  <c r="DX104" i="7"/>
  <c r="DX112" i="7" s="1"/>
  <c r="DX120" i="7" s="1"/>
  <c r="M19" i="8" s="1"/>
  <c r="M21" i="8" s="1"/>
  <c r="DX107" i="7"/>
  <c r="DX115" i="7" s="1"/>
  <c r="DX123" i="7" s="1"/>
  <c r="M52" i="8" s="1"/>
  <c r="M54" i="8" s="1"/>
  <c r="DX103" i="7"/>
  <c r="DX111" i="7" s="1"/>
  <c r="DX119" i="7" s="1"/>
  <c r="M8" i="8" s="1"/>
  <c r="M10" i="8" s="1"/>
  <c r="DX105" i="7"/>
  <c r="DX113" i="7" s="1"/>
  <c r="DX121" i="7" s="1"/>
  <c r="M30" i="8" s="1"/>
  <c r="M32" i="8" s="1"/>
  <c r="DX106" i="7"/>
  <c r="DX114" i="7" s="1"/>
  <c r="DX122" i="7" s="1"/>
  <c r="M41" i="8" s="1"/>
  <c r="M43" i="8" s="1"/>
  <c r="EA52" i="7"/>
  <c r="FV45" i="5"/>
  <c r="FV46" i="5"/>
  <c r="DY92" i="7"/>
  <c r="DY90" i="7"/>
  <c r="EA44" i="7"/>
  <c r="FV53" i="5" l="1"/>
  <c r="FU58" i="5"/>
  <c r="FU78" i="5" s="1"/>
  <c r="FW23" i="7" s="1"/>
  <c r="FW87" i="7" s="1"/>
  <c r="FU50" i="5"/>
  <c r="FV43" i="5" s="1"/>
  <c r="EA61" i="7"/>
  <c r="EB57" i="7" s="1"/>
  <c r="EB58" i="7" s="1"/>
  <c r="EB59" i="7" s="1"/>
  <c r="EA45" i="7"/>
  <c r="EB41" i="7" s="1"/>
  <c r="EB42" i="7" s="1"/>
  <c r="EB43" i="7" s="1"/>
  <c r="DZ78" i="7"/>
  <c r="DZ80" i="7"/>
  <c r="DZ81" i="7"/>
  <c r="DZ79" i="7"/>
  <c r="DZ82" i="7"/>
  <c r="DZ85" i="7"/>
  <c r="DY93" i="7"/>
  <c r="DY96" i="7"/>
  <c r="DY95" i="7"/>
  <c r="DY94" i="7"/>
  <c r="DY100" i="7"/>
  <c r="DZ88" i="7"/>
  <c r="DZ89" i="7" s="1"/>
  <c r="EA37" i="7"/>
  <c r="EA53" i="7"/>
  <c r="EB49" i="7" s="1"/>
  <c r="EA29" i="7"/>
  <c r="FV47" i="5"/>
  <c r="FV48" i="5" s="1"/>
  <c r="FV16" i="4"/>
  <c r="EA62" i="7" l="1"/>
  <c r="EA63" i="7" s="1"/>
  <c r="EA46" i="7"/>
  <c r="EA47" i="7" s="1"/>
  <c r="EA54" i="7"/>
  <c r="EA55" i="7" s="1"/>
  <c r="EB50" i="7"/>
  <c r="EB51" i="7" s="1"/>
  <c r="FV18" i="4"/>
  <c r="FW44" i="5" s="1"/>
  <c r="EB33" i="7"/>
  <c r="EA38" i="7"/>
  <c r="EA39" i="7" s="1"/>
  <c r="FV49" i="5"/>
  <c r="FV68" i="5"/>
  <c r="EB25" i="7"/>
  <c r="EA73" i="7"/>
  <c r="EA68" i="7"/>
  <c r="EA30" i="7"/>
  <c r="EA31" i="7" s="1"/>
  <c r="EA65" i="7"/>
  <c r="DZ98" i="7"/>
  <c r="DY108" i="7"/>
  <c r="DY116" i="7" s="1"/>
  <c r="DY102" i="7"/>
  <c r="FV54" i="5" l="1"/>
  <c r="FV55" i="5"/>
  <c r="FW53" i="5" s="1"/>
  <c r="FV63" i="5"/>
  <c r="FV64" i="5" s="1"/>
  <c r="FV19" i="4"/>
  <c r="FW47" i="5" s="1"/>
  <c r="FW68" i="5" s="1"/>
  <c r="EB26" i="7"/>
  <c r="EB27" i="7" s="1"/>
  <c r="EA69" i="7"/>
  <c r="EB67" i="7" s="1"/>
  <c r="DZ90" i="7"/>
  <c r="DZ92" i="7"/>
  <c r="EB34" i="7"/>
  <c r="EB35" i="7" s="1"/>
  <c r="EA74" i="7"/>
  <c r="EA75" i="7" s="1"/>
  <c r="DY107" i="7"/>
  <c r="DY115" i="7" s="1"/>
  <c r="DY123" i="7" s="1"/>
  <c r="DY106" i="7"/>
  <c r="DY114" i="7" s="1"/>
  <c r="DY122" i="7" s="1"/>
  <c r="DY104" i="7"/>
  <c r="DY112" i="7" s="1"/>
  <c r="DY120" i="7" s="1"/>
  <c r="DY103" i="7"/>
  <c r="DY111" i="7" s="1"/>
  <c r="DY119" i="7" s="1"/>
  <c r="DY105" i="7"/>
  <c r="DY113" i="7" s="1"/>
  <c r="DY121" i="7" s="1"/>
  <c r="FW46" i="5"/>
  <c r="FW45" i="5"/>
  <c r="FW16" i="4" l="1"/>
  <c r="FV50" i="5"/>
  <c r="FW43" i="5" s="1"/>
  <c r="FV56" i="5"/>
  <c r="EB72" i="7"/>
  <c r="FW48" i="5"/>
  <c r="FW49" i="5" s="1"/>
  <c r="EB36" i="7"/>
  <c r="EB44" i="7"/>
  <c r="EB60" i="7"/>
  <c r="EB28" i="7"/>
  <c r="EB52" i="7"/>
  <c r="DZ95" i="7"/>
  <c r="DZ93" i="7"/>
  <c r="DZ96" i="7"/>
  <c r="DZ94" i="7"/>
  <c r="DZ100" i="7"/>
  <c r="FW18" i="4"/>
  <c r="FX44" i="5" s="1"/>
  <c r="EA77" i="7"/>
  <c r="EA70" i="7"/>
  <c r="EA83" i="7" s="1"/>
  <c r="FV58" i="5" l="1"/>
  <c r="FV78" i="5" s="1"/>
  <c r="FX23" i="7" s="1"/>
  <c r="FX87" i="7" s="1"/>
  <c r="FW55" i="5"/>
  <c r="FW54" i="5"/>
  <c r="FW63" i="5"/>
  <c r="FW50" i="5" s="1"/>
  <c r="FX43" i="5" s="1"/>
  <c r="FW19" i="4"/>
  <c r="FX47" i="5" s="1"/>
  <c r="FX68" i="5" s="1"/>
  <c r="EA80" i="7"/>
  <c r="EA81" i="7"/>
  <c r="EA79" i="7"/>
  <c r="EA82" i="7"/>
  <c r="EA78" i="7"/>
  <c r="EA85" i="7"/>
  <c r="EA88" i="7"/>
  <c r="EA89" i="7" s="1"/>
  <c r="FX46" i="5"/>
  <c r="FX45" i="5"/>
  <c r="DZ108" i="7"/>
  <c r="DZ116" i="7" s="1"/>
  <c r="DZ102" i="7"/>
  <c r="EB29" i="7"/>
  <c r="EC25" i="7" s="1"/>
  <c r="EB37" i="7"/>
  <c r="EC33" i="7" s="1"/>
  <c r="EB61" i="7"/>
  <c r="EC57" i="7" s="1"/>
  <c r="EB45" i="7"/>
  <c r="EC41" i="7" s="1"/>
  <c r="EB53" i="7"/>
  <c r="EC49" i="7" s="1"/>
  <c r="FX16" i="4" l="1"/>
  <c r="FW56" i="5"/>
  <c r="FW58" i="5" s="1"/>
  <c r="FX53" i="5"/>
  <c r="FW64" i="5"/>
  <c r="EB46" i="7"/>
  <c r="EB47" i="7" s="1"/>
  <c r="EB30" i="7"/>
  <c r="EB31" i="7" s="1"/>
  <c r="EB68" i="7"/>
  <c r="FX48" i="5"/>
  <c r="FX49" i="5" s="1"/>
  <c r="EC50" i="7"/>
  <c r="EC51" i="7" s="1"/>
  <c r="EB65" i="7"/>
  <c r="EA98" i="7"/>
  <c r="EB73" i="7"/>
  <c r="EC58" i="7"/>
  <c r="EC59" i="7" s="1"/>
  <c r="FX18" i="4"/>
  <c r="FY44" i="5" s="1"/>
  <c r="EC34" i="7"/>
  <c r="EC35" i="7" s="1"/>
  <c r="EC42" i="7"/>
  <c r="EC43" i="7" s="1"/>
  <c r="EB62" i="7"/>
  <c r="EB54" i="7"/>
  <c r="EB55" i="7" s="1"/>
  <c r="EC26" i="7"/>
  <c r="EC27" i="7" s="1"/>
  <c r="DZ105" i="7"/>
  <c r="DZ113" i="7" s="1"/>
  <c r="DZ121" i="7" s="1"/>
  <c r="DZ103" i="7"/>
  <c r="DZ111" i="7" s="1"/>
  <c r="DZ119" i="7" s="1"/>
  <c r="DZ107" i="7"/>
  <c r="DZ115" i="7" s="1"/>
  <c r="DZ123" i="7" s="1"/>
  <c r="DZ104" i="7"/>
  <c r="DZ112" i="7" s="1"/>
  <c r="DZ120" i="7" s="1"/>
  <c r="DZ106" i="7"/>
  <c r="DZ114" i="7" s="1"/>
  <c r="DZ122" i="7" s="1"/>
  <c r="EB38" i="7"/>
  <c r="EB39" i="7" s="1"/>
  <c r="FW78" i="5" l="1"/>
  <c r="FY23" i="7" s="1"/>
  <c r="FY87" i="7" s="1"/>
  <c r="FX55" i="5"/>
  <c r="FX54" i="5"/>
  <c r="FX63" i="5"/>
  <c r="FX50" i="5" s="1"/>
  <c r="FY43" i="5" s="1"/>
  <c r="EB63" i="7"/>
  <c r="EC52" i="7"/>
  <c r="EC36" i="7"/>
  <c r="EC60" i="7"/>
  <c r="EC44" i="7"/>
  <c r="EC28" i="7"/>
  <c r="EB69" i="7"/>
  <c r="EB74" i="7"/>
  <c r="EB75" i="7" s="1"/>
  <c r="FY46" i="5"/>
  <c r="FY45" i="5"/>
  <c r="EA92" i="7"/>
  <c r="EA90" i="7"/>
  <c r="FX19" i="4"/>
  <c r="FX56" i="5" l="1"/>
  <c r="FX58" i="5" s="1"/>
  <c r="FX64" i="5"/>
  <c r="FY53" i="5"/>
  <c r="EC72" i="7"/>
  <c r="EB70" i="7"/>
  <c r="EB83" i="7" s="1"/>
  <c r="EB77" i="7"/>
  <c r="EC67" i="7"/>
  <c r="EA94" i="7"/>
  <c r="EA96" i="7"/>
  <c r="EA93" i="7"/>
  <c r="EA95" i="7"/>
  <c r="EA100" i="7"/>
  <c r="FY47" i="5"/>
  <c r="FY48" i="5" s="1"/>
  <c r="FY16" i="4"/>
  <c r="EC53" i="7"/>
  <c r="ED49" i="7" s="1"/>
  <c r="EC61" i="7"/>
  <c r="EC37" i="7"/>
  <c r="ED33" i="7" s="1"/>
  <c r="EC29" i="7"/>
  <c r="ED25" i="7" s="1"/>
  <c r="EC45" i="7"/>
  <c r="ED41" i="7" s="1"/>
  <c r="FX78" i="5" l="1"/>
  <c r="FZ23" i="7" s="1"/>
  <c r="FZ87" i="7" s="1"/>
  <c r="ED34" i="7"/>
  <c r="ED35" i="7" s="1"/>
  <c r="ED57" i="7"/>
  <c r="EC62" i="7"/>
  <c r="EC46" i="7"/>
  <c r="EC47" i="7" s="1"/>
  <c r="ED50" i="7"/>
  <c r="ED51" i="7" s="1"/>
  <c r="EC65" i="7"/>
  <c r="EC73" i="7"/>
  <c r="EB88" i="7"/>
  <c r="EB89" i="7" s="1"/>
  <c r="FY18" i="4"/>
  <c r="FZ44" i="5" s="1"/>
  <c r="EA108" i="7"/>
  <c r="EA116" i="7" s="1"/>
  <c r="EA102" i="7"/>
  <c r="EC54" i="7"/>
  <c r="EC55" i="7" s="1"/>
  <c r="EC68" i="7"/>
  <c r="FY49" i="5"/>
  <c r="FY68" i="5"/>
  <c r="EB81" i="7"/>
  <c r="EB82" i="7"/>
  <c r="EB80" i="7"/>
  <c r="EB79" i="7"/>
  <c r="EB78" i="7"/>
  <c r="EB85" i="7"/>
  <c r="ED42" i="7"/>
  <c r="ED43" i="7" s="1"/>
  <c r="EC38" i="7"/>
  <c r="EC39" i="7" s="1"/>
  <c r="ED26" i="7"/>
  <c r="ED27" i="7" s="1"/>
  <c r="EC30" i="7"/>
  <c r="EC31" i="7" s="1"/>
  <c r="FY54" i="5" l="1"/>
  <c r="FY55" i="5"/>
  <c r="FZ53" i="5" s="1"/>
  <c r="FY63" i="5"/>
  <c r="FY50" i="5" s="1"/>
  <c r="FZ43" i="5" s="1"/>
  <c r="EC69" i="7"/>
  <c r="ED67" i="7" s="1"/>
  <c r="EA107" i="7"/>
  <c r="EA115" i="7" s="1"/>
  <c r="EA123" i="7" s="1"/>
  <c r="EA106" i="7"/>
  <c r="EA114" i="7" s="1"/>
  <c r="EA122" i="7" s="1"/>
  <c r="EA104" i="7"/>
  <c r="EA112" i="7" s="1"/>
  <c r="EA120" i="7" s="1"/>
  <c r="EA105" i="7"/>
  <c r="EA113" i="7" s="1"/>
  <c r="EA121" i="7" s="1"/>
  <c r="EA103" i="7"/>
  <c r="EA111" i="7" s="1"/>
  <c r="EA119" i="7" s="1"/>
  <c r="ED58" i="7"/>
  <c r="ED59" i="7" s="1"/>
  <c r="ED60" i="7" s="1"/>
  <c r="FZ46" i="5"/>
  <c r="FZ45" i="5"/>
  <c r="FY19" i="4"/>
  <c r="EB98" i="7"/>
  <c r="EC74" i="7"/>
  <c r="EC75" i="7" s="1"/>
  <c r="EC63" i="7"/>
  <c r="FY56" i="5" l="1"/>
  <c r="FY58" i="5" s="1"/>
  <c r="FY64" i="5"/>
  <c r="ED44" i="7"/>
  <c r="ED28" i="7"/>
  <c r="ED52" i="7"/>
  <c r="ED36" i="7"/>
  <c r="EC70" i="7"/>
  <c r="EC83" i="7" s="1"/>
  <c r="EC77" i="7"/>
  <c r="EC82" i="7" s="1"/>
  <c r="EB92" i="7"/>
  <c r="EB90" i="7"/>
  <c r="FZ47" i="5"/>
  <c r="FZ48" i="5" s="1"/>
  <c r="FZ16" i="4"/>
  <c r="ED72" i="7"/>
  <c r="FY78" i="5" l="1"/>
  <c r="GA23" i="7" s="1"/>
  <c r="GA87" i="7" s="1"/>
  <c r="ED53" i="7"/>
  <c r="ED54" i="7" s="1"/>
  <c r="ED55" i="7" s="1"/>
  <c r="ED37" i="7"/>
  <c r="EE33" i="7" s="1"/>
  <c r="EE34" i="7" s="1"/>
  <c r="EE35" i="7" s="1"/>
  <c r="ED61" i="7"/>
  <c r="EE57" i="7" s="1"/>
  <c r="EE58" i="7" s="1"/>
  <c r="EE59" i="7" s="1"/>
  <c r="EC79" i="7"/>
  <c r="ED29" i="7"/>
  <c r="EE25" i="7" s="1"/>
  <c r="EE26" i="7" s="1"/>
  <c r="EE27" i="7" s="1"/>
  <c r="EC80" i="7"/>
  <c r="EC81" i="7"/>
  <c r="ED45" i="7"/>
  <c r="EE41" i="7" s="1"/>
  <c r="EE42" i="7" s="1"/>
  <c r="EE43" i="7" s="1"/>
  <c r="EC78" i="7"/>
  <c r="EC85" i="7"/>
  <c r="EB93" i="7"/>
  <c r="EB94" i="7"/>
  <c r="EB95" i="7"/>
  <c r="EB96" i="7"/>
  <c r="EB100" i="7"/>
  <c r="FZ18" i="4"/>
  <c r="GA44" i="5" s="1"/>
  <c r="EC88" i="7"/>
  <c r="EC89" i="7" s="1"/>
  <c r="FZ49" i="5"/>
  <c r="FZ68" i="5"/>
  <c r="EE49" i="7" l="1"/>
  <c r="EE50" i="7" s="1"/>
  <c r="EE51" i="7" s="1"/>
  <c r="EE28" i="7" s="1"/>
  <c r="ED38" i="7"/>
  <c r="ED39" i="7" s="1"/>
  <c r="FZ54" i="5"/>
  <c r="FZ55" i="5"/>
  <c r="GA53" i="5" s="1"/>
  <c r="FZ63" i="5"/>
  <c r="FZ50" i="5" s="1"/>
  <c r="GA43" i="5" s="1"/>
  <c r="ED62" i="7"/>
  <c r="ED63" i="7" s="1"/>
  <c r="ED65" i="7"/>
  <c r="ED68" i="7"/>
  <c r="ED30" i="7"/>
  <c r="ED31" i="7" s="1"/>
  <c r="ED73" i="7"/>
  <c r="ED46" i="7"/>
  <c r="ED47" i="7" s="1"/>
  <c r="FZ19" i="4"/>
  <c r="GA47" i="5" s="1"/>
  <c r="GA68" i="5" s="1"/>
  <c r="EC98" i="7"/>
  <c r="EC90" i="7" s="1"/>
  <c r="GA45" i="5"/>
  <c r="GA46" i="5" s="1"/>
  <c r="EB102" i="7"/>
  <c r="EB108" i="7"/>
  <c r="EB116" i="7" s="1"/>
  <c r="EE44" i="7" l="1"/>
  <c r="EE52" i="7"/>
  <c r="EE60" i="7"/>
  <c r="EE36" i="7"/>
  <c r="FZ56" i="5"/>
  <c r="FZ58" i="5" s="1"/>
  <c r="FZ64" i="5"/>
  <c r="ED69" i="7"/>
  <c r="EE67" i="7" s="1"/>
  <c r="ED74" i="7"/>
  <c r="ED75" i="7" s="1"/>
  <c r="GA16" i="4"/>
  <c r="GA18" i="4" s="1"/>
  <c r="GB44" i="5" s="1"/>
  <c r="EC92" i="7"/>
  <c r="EC95" i="7" s="1"/>
  <c r="GA48" i="5"/>
  <c r="GA49" i="5" s="1"/>
  <c r="EB106" i="7"/>
  <c r="EB114" i="7" s="1"/>
  <c r="EB122" i="7" s="1"/>
  <c r="EB107" i="7"/>
  <c r="EB115" i="7" s="1"/>
  <c r="EB123" i="7" s="1"/>
  <c r="EB104" i="7"/>
  <c r="EB112" i="7" s="1"/>
  <c r="EB120" i="7" s="1"/>
  <c r="EB105" i="7"/>
  <c r="EB113" i="7" s="1"/>
  <c r="EB121" i="7" s="1"/>
  <c r="EB103" i="7"/>
  <c r="EB111" i="7" s="1"/>
  <c r="EB119" i="7" s="1"/>
  <c r="EE37" i="7" l="1"/>
  <c r="EF33" i="7" s="1"/>
  <c r="EE45" i="7"/>
  <c r="EF41" i="7" s="1"/>
  <c r="EF42" i="7" s="1"/>
  <c r="EF43" i="7" s="1"/>
  <c r="EE61" i="7"/>
  <c r="EF57" i="7" s="1"/>
  <c r="EF58" i="7" s="1"/>
  <c r="EF59" i="7" s="1"/>
  <c r="EE53" i="7"/>
  <c r="EF49" i="7" s="1"/>
  <c r="EF50" i="7" s="1"/>
  <c r="EF51" i="7" s="1"/>
  <c r="EE29" i="7"/>
  <c r="EF25" i="7" s="1"/>
  <c r="EF26" i="7" s="1"/>
  <c r="EF27" i="7" s="1"/>
  <c r="EE72" i="7"/>
  <c r="FZ78" i="5"/>
  <c r="GB23" i="7" s="1"/>
  <c r="GB87" i="7" s="1"/>
  <c r="ED70" i="7"/>
  <c r="ED83" i="7" s="1"/>
  <c r="ED88" i="7" s="1"/>
  <c r="ED89" i="7" s="1"/>
  <c r="GA55" i="5"/>
  <c r="GA54" i="5"/>
  <c r="ED77" i="7"/>
  <c r="ED78" i="7" s="1"/>
  <c r="EC96" i="7"/>
  <c r="EC94" i="7"/>
  <c r="EC93" i="7"/>
  <c r="EC100" i="7"/>
  <c r="EC108" i="7" s="1"/>
  <c r="EC116" i="7" s="1"/>
  <c r="GA63" i="5"/>
  <c r="GA50" i="5" s="1"/>
  <c r="GB43" i="5" s="1"/>
  <c r="EF34" i="7"/>
  <c r="EF35" i="7" s="1"/>
  <c r="GA19" i="4"/>
  <c r="GB45" i="5"/>
  <c r="GB46" i="5" s="1"/>
  <c r="EE46" i="7"/>
  <c r="EE47" i="7" s="1"/>
  <c r="EE38" i="7" l="1"/>
  <c r="EE39" i="7" s="1"/>
  <c r="EE62" i="7"/>
  <c r="EE68" i="7"/>
  <c r="EE30" i="7"/>
  <c r="EE31" i="7" s="1"/>
  <c r="EE54" i="7"/>
  <c r="EE55" i="7" s="1"/>
  <c r="EE65" i="7"/>
  <c r="EE73" i="7"/>
  <c r="GA56" i="5"/>
  <c r="GA58" i="5" s="1"/>
  <c r="ED81" i="7"/>
  <c r="ED80" i="7"/>
  <c r="GB53" i="5"/>
  <c r="ED85" i="7"/>
  <c r="ED98" i="7" s="1"/>
  <c r="ED79" i="7"/>
  <c r="ED82" i="7"/>
  <c r="GA64" i="5"/>
  <c r="EC102" i="7"/>
  <c r="EC103" i="7" s="1"/>
  <c r="EC111" i="7" s="1"/>
  <c r="EC119" i="7" s="1"/>
  <c r="EF44" i="7"/>
  <c r="EF60" i="7"/>
  <c r="EF36" i="7"/>
  <c r="EF52" i="7"/>
  <c r="EF28" i="7"/>
  <c r="EE63" i="7"/>
  <c r="GB47" i="5"/>
  <c r="GB48" i="5" s="1"/>
  <c r="GB16" i="4"/>
  <c r="EE74" i="7" l="1"/>
  <c r="EE75" i="7" s="1"/>
  <c r="EE69" i="7"/>
  <c r="EF67" i="7" s="1"/>
  <c r="GA78" i="5"/>
  <c r="GC23" i="7" s="1"/>
  <c r="GC87" i="7" s="1"/>
  <c r="EC105" i="7"/>
  <c r="EC113" i="7" s="1"/>
  <c r="EC121" i="7" s="1"/>
  <c r="EC104" i="7"/>
  <c r="EC112" i="7" s="1"/>
  <c r="EC120" i="7" s="1"/>
  <c r="EC106" i="7"/>
  <c r="EC114" i="7" s="1"/>
  <c r="EC122" i="7" s="1"/>
  <c r="EC107" i="7"/>
  <c r="EC115" i="7" s="1"/>
  <c r="EC123" i="7" s="1"/>
  <c r="GB49" i="5"/>
  <c r="GB68" i="5"/>
  <c r="GB18" i="4"/>
  <c r="GC44" i="5" s="1"/>
  <c r="EF37" i="7"/>
  <c r="EG33" i="7" s="1"/>
  <c r="EF53" i="7"/>
  <c r="EG49" i="7" s="1"/>
  <c r="EF45" i="7"/>
  <c r="EG41" i="7" s="1"/>
  <c r="EF61" i="7"/>
  <c r="EF29" i="7"/>
  <c r="EG25" i="7" s="1"/>
  <c r="ED90" i="7"/>
  <c r="ED92" i="7"/>
  <c r="EF72" i="7" l="1"/>
  <c r="EE70" i="7"/>
  <c r="EE83" i="7" s="1"/>
  <c r="EE88" i="7" s="1"/>
  <c r="EE89" i="7" s="1"/>
  <c r="EE77" i="7"/>
  <c r="EE78" i="7" s="1"/>
  <c r="GB54" i="5"/>
  <c r="GB55" i="5"/>
  <c r="GB56" i="5" s="1"/>
  <c r="EF38" i="7"/>
  <c r="EF39" i="7" s="1"/>
  <c r="EF54" i="7"/>
  <c r="EF55" i="7" s="1"/>
  <c r="EF46" i="7"/>
  <c r="EF47" i="7" s="1"/>
  <c r="EF68" i="7"/>
  <c r="EG26" i="7"/>
  <c r="EG27" i="7" s="1"/>
  <c r="GC45" i="5"/>
  <c r="GC46" i="5" s="1"/>
  <c r="GB19" i="4"/>
  <c r="GB63" i="5"/>
  <c r="EF73" i="7"/>
  <c r="EG57" i="7"/>
  <c r="EF62" i="7"/>
  <c r="EF30" i="7"/>
  <c r="EF31" i="7" s="1"/>
  <c r="EG42" i="7"/>
  <c r="EG43" i="7" s="1"/>
  <c r="EG50" i="7"/>
  <c r="EG51" i="7" s="1"/>
  <c r="EG34" i="7"/>
  <c r="EG35" i="7" s="1"/>
  <c r="ED96" i="7"/>
  <c r="ED94" i="7"/>
  <c r="ED93" i="7"/>
  <c r="ED95" i="7"/>
  <c r="ED100" i="7"/>
  <c r="EF65" i="7"/>
  <c r="EE79" i="7" l="1"/>
  <c r="EE80" i="7"/>
  <c r="EE82" i="7"/>
  <c r="EE81" i="7"/>
  <c r="EE85" i="7"/>
  <c r="EE98" i="7" s="1"/>
  <c r="GC53" i="5"/>
  <c r="GB58" i="5"/>
  <c r="EF63" i="7"/>
  <c r="EF74" i="7"/>
  <c r="EF75" i="7" s="1"/>
  <c r="EF69" i="7"/>
  <c r="EG67" i="7" s="1"/>
  <c r="EG58" i="7"/>
  <c r="EG59" i="7" s="1"/>
  <c r="EG60" i="7" s="1"/>
  <c r="GB64" i="5"/>
  <c r="GB50" i="5"/>
  <c r="GC43" i="5" s="1"/>
  <c r="ED108" i="7"/>
  <c r="ED116" i="7" s="1"/>
  <c r="ED102" i="7"/>
  <c r="GC47" i="5"/>
  <c r="GC16" i="4"/>
  <c r="GB78" i="5" l="1"/>
  <c r="GD23" i="7" s="1"/>
  <c r="GD87" i="7" s="1"/>
  <c r="EG44" i="7"/>
  <c r="EG52" i="7"/>
  <c r="EG28" i="7"/>
  <c r="EG36" i="7"/>
  <c r="GC18" i="4"/>
  <c r="GD44" i="5" s="1"/>
  <c r="EG72" i="7"/>
  <c r="GC68" i="5"/>
  <c r="EE92" i="7"/>
  <c r="EE90" i="7"/>
  <c r="GC48" i="5"/>
  <c r="ED106" i="7"/>
  <c r="ED114" i="7" s="1"/>
  <c r="ED122" i="7" s="1"/>
  <c r="ED107" i="7"/>
  <c r="ED115" i="7" s="1"/>
  <c r="ED123" i="7" s="1"/>
  <c r="ED105" i="7"/>
  <c r="ED113" i="7" s="1"/>
  <c r="ED121" i="7" s="1"/>
  <c r="ED104" i="7"/>
  <c r="ED112" i="7" s="1"/>
  <c r="ED120" i="7" s="1"/>
  <c r="ED103" i="7"/>
  <c r="ED111" i="7" s="1"/>
  <c r="ED119" i="7" s="1"/>
  <c r="EF70" i="7"/>
  <c r="EF83" i="7" s="1"/>
  <c r="EF77" i="7"/>
  <c r="EG53" i="7" l="1"/>
  <c r="EH49" i="7" s="1"/>
  <c r="EH50" i="7" s="1"/>
  <c r="EH51" i="7" s="1"/>
  <c r="EG29" i="7"/>
  <c r="EH25" i="7" s="1"/>
  <c r="EH26" i="7" s="1"/>
  <c r="EH27" i="7" s="1"/>
  <c r="EG45" i="7"/>
  <c r="EH41" i="7" s="1"/>
  <c r="EH42" i="7" s="1"/>
  <c r="EH43" i="7" s="1"/>
  <c r="EG37" i="7"/>
  <c r="EH33" i="7" s="1"/>
  <c r="EH34" i="7" s="1"/>
  <c r="EH35" i="7" s="1"/>
  <c r="EG61" i="7"/>
  <c r="EH57" i="7" s="1"/>
  <c r="EH58" i="7" s="1"/>
  <c r="EH59" i="7" s="1"/>
  <c r="GC49" i="5"/>
  <c r="EF79" i="7"/>
  <c r="EF78" i="7"/>
  <c r="EF81" i="7"/>
  <c r="EF82" i="7"/>
  <c r="EF80" i="7"/>
  <c r="EF85" i="7"/>
  <c r="EE95" i="7"/>
  <c r="EE94" i="7"/>
  <c r="EE96" i="7"/>
  <c r="EE93" i="7"/>
  <c r="EE100" i="7"/>
  <c r="GC19" i="4"/>
  <c r="EF88" i="7"/>
  <c r="EF89" i="7" s="1"/>
  <c r="GD45" i="5"/>
  <c r="S28" i="6"/>
  <c r="EG54" i="7" l="1"/>
  <c r="EG55" i="7" s="1"/>
  <c r="EG30" i="7"/>
  <c r="EG31" i="7" s="1"/>
  <c r="EG73" i="7"/>
  <c r="EG68" i="7"/>
  <c r="EG46" i="7"/>
  <c r="EG47" i="7" s="1"/>
  <c r="EG65" i="7"/>
  <c r="GC54" i="5"/>
  <c r="GC55" i="5"/>
  <c r="EG38" i="7"/>
  <c r="EG39" i="7" s="1"/>
  <c r="EG62" i="7"/>
  <c r="EG63" i="7" s="1"/>
  <c r="GC63" i="5"/>
  <c r="GC64" i="5" s="1"/>
  <c r="EF98" i="7"/>
  <c r="EH60" i="7"/>
  <c r="EH28" i="7"/>
  <c r="EH44" i="7"/>
  <c r="EH52" i="7"/>
  <c r="EH36" i="7"/>
  <c r="GD46" i="5"/>
  <c r="EE108" i="7"/>
  <c r="EE116" i="7" s="1"/>
  <c r="EE102" i="7"/>
  <c r="GD47" i="5"/>
  <c r="GD16" i="4"/>
  <c r="GD48" i="5" l="1"/>
  <c r="EG74" i="7"/>
  <c r="EG75" i="7" s="1"/>
  <c r="GC56" i="5"/>
  <c r="GC58" i="5" s="1"/>
  <c r="GC78" i="5" s="1"/>
  <c r="GE23" i="7" s="1"/>
  <c r="GE87" i="7" s="1"/>
  <c r="EG69" i="7"/>
  <c r="EH67" i="7" s="1"/>
  <c r="GD53" i="5"/>
  <c r="GC50" i="5"/>
  <c r="GD43" i="5" s="1"/>
  <c r="GD18" i="4"/>
  <c r="GD19" i="4" s="1"/>
  <c r="GE16" i="4" s="1"/>
  <c r="EF92" i="7"/>
  <c r="EF90" i="7"/>
  <c r="EE106" i="7"/>
  <c r="EE114" i="7" s="1"/>
  <c r="EE122" i="7" s="1"/>
  <c r="EE105" i="7"/>
  <c r="EE113" i="7" s="1"/>
  <c r="EE121" i="7" s="1"/>
  <c r="EE104" i="7"/>
  <c r="EE112" i="7" s="1"/>
  <c r="EE120" i="7" s="1"/>
  <c r="EE103" i="7"/>
  <c r="EE111" i="7" s="1"/>
  <c r="EE119" i="7" s="1"/>
  <c r="EE107" i="7"/>
  <c r="EE115" i="7" s="1"/>
  <c r="EE123" i="7" s="1"/>
  <c r="S29" i="6"/>
  <c r="GD68" i="5"/>
  <c r="EH53" i="7"/>
  <c r="EI49" i="7" s="1"/>
  <c r="EH37" i="7"/>
  <c r="EI33" i="7" s="1"/>
  <c r="EH29" i="7"/>
  <c r="EI25" i="7" s="1"/>
  <c r="EH45" i="7"/>
  <c r="EI41" i="7" s="1"/>
  <c r="EH61" i="7"/>
  <c r="GD49" i="5" l="1"/>
  <c r="GE55" i="5"/>
  <c r="GE53" i="5"/>
  <c r="GE54" i="5" s="1"/>
  <c r="GD54" i="5"/>
  <c r="GD63" i="5"/>
  <c r="GD64" i="5" s="1"/>
  <c r="EH72" i="7"/>
  <c r="EG77" i="7"/>
  <c r="EG80" i="7" s="1"/>
  <c r="EG70" i="7"/>
  <c r="EG83" i="7" s="1"/>
  <c r="S26" i="6"/>
  <c r="EH46" i="7"/>
  <c r="EH47" i="7" s="1"/>
  <c r="EH68" i="7"/>
  <c r="GE18" i="4"/>
  <c r="GE19" i="4" s="1"/>
  <c r="GF16" i="4" s="1"/>
  <c r="EI26" i="7"/>
  <c r="EI27" i="7" s="1"/>
  <c r="EI50" i="7"/>
  <c r="EI51" i="7" s="1"/>
  <c r="EH38" i="7"/>
  <c r="EH39" i="7" s="1"/>
  <c r="EI57" i="7"/>
  <c r="EH62" i="7"/>
  <c r="EH65" i="7"/>
  <c r="EF93" i="7"/>
  <c r="EF94" i="7"/>
  <c r="EF95" i="7"/>
  <c r="EF96" i="7"/>
  <c r="EF100" i="7"/>
  <c r="EH73" i="7"/>
  <c r="EI42" i="7"/>
  <c r="EI43" i="7" s="1"/>
  <c r="EH30" i="7"/>
  <c r="EH31" i="7" s="1"/>
  <c r="S31" i="6"/>
  <c r="T31" i="6" s="1"/>
  <c r="U31" i="6" s="1"/>
  <c r="V31" i="6" s="1"/>
  <c r="W31" i="6" s="1"/>
  <c r="X31" i="6" s="1"/>
  <c r="S30" i="6"/>
  <c r="EH54" i="7"/>
  <c r="EH55" i="7" s="1"/>
  <c r="EI34" i="7"/>
  <c r="EI35" i="7" s="1"/>
  <c r="S33" i="6" l="1"/>
  <c r="GD55" i="5"/>
  <c r="GD56" i="5" s="1"/>
  <c r="GD58" i="5" s="1"/>
  <c r="GD78" i="5" s="1"/>
  <c r="GF23" i="7" s="1"/>
  <c r="GF87" i="7" s="1"/>
  <c r="GD50" i="5"/>
  <c r="GE43" i="5" s="1"/>
  <c r="GE63" i="5" s="1"/>
  <c r="GE56" i="5"/>
  <c r="GE58" i="5" s="1"/>
  <c r="GF55" i="5"/>
  <c r="GF53" i="5"/>
  <c r="GF54" i="5" s="1"/>
  <c r="EG79" i="7"/>
  <c r="EG82" i="7"/>
  <c r="EG81" i="7"/>
  <c r="EG78" i="7"/>
  <c r="EG85" i="7"/>
  <c r="EG88" i="7"/>
  <c r="EG89" i="7" s="1"/>
  <c r="R4" i="9"/>
  <c r="S38" i="6"/>
  <c r="R9" i="9" s="1"/>
  <c r="GF18" i="4"/>
  <c r="GF19" i="4" s="1"/>
  <c r="GG16" i="4" s="1"/>
  <c r="S37" i="6"/>
  <c r="R8" i="9" s="1"/>
  <c r="BP20" i="10" s="1"/>
  <c r="EH63" i="7"/>
  <c r="EH74" i="7"/>
  <c r="EH75" i="7" s="1"/>
  <c r="EI58" i="7"/>
  <c r="EI59" i="7" s="1"/>
  <c r="EI28" i="7" s="1"/>
  <c r="EH69" i="7"/>
  <c r="EF108" i="7"/>
  <c r="EF116" i="7" s="1"/>
  <c r="EF102" i="7"/>
  <c r="S34" i="6" l="1"/>
  <c r="S35" i="6" s="1"/>
  <c r="R5" i="9" s="1"/>
  <c r="GF56" i="5"/>
  <c r="GF58" i="5" s="1"/>
  <c r="GG53" i="5"/>
  <c r="GG54" i="5" s="1"/>
  <c r="GG55" i="5"/>
  <c r="EG98" i="7"/>
  <c r="EG90" i="7" s="1"/>
  <c r="EI60" i="7"/>
  <c r="EI36" i="7"/>
  <c r="EI44" i="7"/>
  <c r="EI72" i="7"/>
  <c r="GE50" i="5"/>
  <c r="GF43" i="5" s="1"/>
  <c r="GE64" i="5"/>
  <c r="GE78" i="5" s="1"/>
  <c r="GG23" i="7" s="1"/>
  <c r="EF106" i="7"/>
  <c r="EF114" i="7" s="1"/>
  <c r="EF122" i="7" s="1"/>
  <c r="EF103" i="7"/>
  <c r="EF111" i="7" s="1"/>
  <c r="EF119" i="7" s="1"/>
  <c r="EF105" i="7"/>
  <c r="EF113" i="7" s="1"/>
  <c r="EF121" i="7" s="1"/>
  <c r="EF104" i="7"/>
  <c r="EF112" i="7" s="1"/>
  <c r="EF120" i="7" s="1"/>
  <c r="EF107" i="7"/>
  <c r="EF115" i="7" s="1"/>
  <c r="EF123" i="7" s="1"/>
  <c r="EH77" i="7"/>
  <c r="EH70" i="7"/>
  <c r="EH83" i="7" s="1"/>
  <c r="EI67" i="7"/>
  <c r="EI52" i="7"/>
  <c r="GG18" i="4"/>
  <c r="GG19" i="4" s="1"/>
  <c r="GH16" i="4" s="1"/>
  <c r="S39" i="6" l="1"/>
  <c r="R10" i="9" s="1"/>
  <c r="GG56" i="5"/>
  <c r="GG58" i="5" s="1"/>
  <c r="GH55" i="5"/>
  <c r="GH53" i="5"/>
  <c r="GH54" i="5" s="1"/>
  <c r="EG92" i="7"/>
  <c r="EG95" i="7" s="1"/>
  <c r="EI61" i="7"/>
  <c r="EJ57" i="7" s="1"/>
  <c r="EI37" i="7"/>
  <c r="EJ33" i="7" s="1"/>
  <c r="EJ34" i="7" s="1"/>
  <c r="EJ35" i="7" s="1"/>
  <c r="EI45" i="7"/>
  <c r="EJ41" i="7" s="1"/>
  <c r="EJ42" i="7" s="1"/>
  <c r="EJ43" i="7" s="1"/>
  <c r="EI53" i="7"/>
  <c r="EJ49" i="7" s="1"/>
  <c r="EJ50" i="7" s="1"/>
  <c r="EJ51" i="7" s="1"/>
  <c r="GH18" i="4"/>
  <c r="GH19" i="4" s="1"/>
  <c r="GI16" i="4" s="1"/>
  <c r="GF63" i="5"/>
  <c r="GG87" i="7"/>
  <c r="EH88" i="7"/>
  <c r="EH89" i="7" s="1"/>
  <c r="EH79" i="7"/>
  <c r="EH82" i="7"/>
  <c r="EH78" i="7"/>
  <c r="EH80" i="7"/>
  <c r="EH81" i="7"/>
  <c r="EH85" i="7"/>
  <c r="EI29" i="7"/>
  <c r="EG96" i="7" l="1"/>
  <c r="EG93" i="7"/>
  <c r="EG94" i="7"/>
  <c r="EG100" i="7"/>
  <c r="EG108" i="7" s="1"/>
  <c r="EG116" i="7" s="1"/>
  <c r="GH56" i="5"/>
  <c r="GH58" i="5" s="1"/>
  <c r="GI53" i="5"/>
  <c r="GI54" i="5" s="1"/>
  <c r="GI55" i="5"/>
  <c r="EI62" i="7"/>
  <c r="EI63" i="7" s="1"/>
  <c r="EI38" i="7"/>
  <c r="EI39" i="7" s="1"/>
  <c r="EI46" i="7"/>
  <c r="EI47" i="7" s="1"/>
  <c r="EI54" i="7"/>
  <c r="EI55" i="7" s="1"/>
  <c r="GI18" i="4"/>
  <c r="GI19" i="4" s="1"/>
  <c r="GJ16" i="4" s="1"/>
  <c r="EH98" i="7"/>
  <c r="EJ25" i="7"/>
  <c r="EI68" i="7"/>
  <c r="EI65" i="7"/>
  <c r="EI73" i="7"/>
  <c r="EI30" i="7"/>
  <c r="EI31" i="7" s="1"/>
  <c r="GF50" i="5"/>
  <c r="GG43" i="5" s="1"/>
  <c r="GF64" i="5"/>
  <c r="GF78" i="5" s="1"/>
  <c r="GH23" i="7" s="1"/>
  <c r="EJ58" i="7"/>
  <c r="EJ59" i="7" s="1"/>
  <c r="EG102" i="7" l="1"/>
  <c r="EG106" i="7" s="1"/>
  <c r="EG114" i="7" s="1"/>
  <c r="EG122" i="7" s="1"/>
  <c r="GI56" i="5"/>
  <c r="GI58" i="5" s="1"/>
  <c r="GJ53" i="5"/>
  <c r="GJ54" i="5" s="1"/>
  <c r="GJ55" i="5"/>
  <c r="GJ18" i="4"/>
  <c r="GJ19" i="4" s="1"/>
  <c r="GK16" i="4" s="1"/>
  <c r="GH87" i="7"/>
  <c r="GG63" i="5"/>
  <c r="EH90" i="7"/>
  <c r="EH92" i="7"/>
  <c r="EI74" i="7"/>
  <c r="EI75" i="7" s="1"/>
  <c r="EI69" i="7"/>
  <c r="EJ67" i="7" s="1"/>
  <c r="EG107" i="7"/>
  <c r="EG115" i="7" s="1"/>
  <c r="EG123" i="7" s="1"/>
  <c r="EJ26" i="7"/>
  <c r="EJ27" i="7" s="1"/>
  <c r="EG103" i="7" l="1"/>
  <c r="EG111" i="7" s="1"/>
  <c r="EG119" i="7" s="1"/>
  <c r="EG105" i="7"/>
  <c r="EG113" i="7" s="1"/>
  <c r="EG121" i="7" s="1"/>
  <c r="EG104" i="7"/>
  <c r="EG112" i="7" s="1"/>
  <c r="EG120" i="7" s="1"/>
  <c r="GJ56" i="5"/>
  <c r="GJ58" i="5" s="1"/>
  <c r="GK55" i="5"/>
  <c r="GK53" i="5"/>
  <c r="GK54" i="5" s="1"/>
  <c r="EJ72" i="7"/>
  <c r="GK18" i="4"/>
  <c r="GK19" i="4" s="1"/>
  <c r="GL16" i="4" s="1"/>
  <c r="EI77" i="7"/>
  <c r="EI70" i="7"/>
  <c r="EI83" i="7" s="1"/>
  <c r="EJ44" i="7"/>
  <c r="EJ60" i="7"/>
  <c r="EJ36" i="7"/>
  <c r="EJ28" i="7"/>
  <c r="EJ52" i="7"/>
  <c r="GG50" i="5"/>
  <c r="GH43" i="5" s="1"/>
  <c r="GG64" i="5"/>
  <c r="GG78" i="5" s="1"/>
  <c r="GI23" i="7" s="1"/>
  <c r="EH96" i="7"/>
  <c r="EH95" i="7"/>
  <c r="EH93" i="7"/>
  <c r="EH94" i="7"/>
  <c r="EH100" i="7"/>
  <c r="GK56" i="5" l="1"/>
  <c r="GK58" i="5" s="1"/>
  <c r="GL55" i="5"/>
  <c r="GL53" i="5"/>
  <c r="GL54" i="5" s="1"/>
  <c r="GL18" i="4"/>
  <c r="GL19" i="4" s="1"/>
  <c r="GM16" i="4" s="1"/>
  <c r="EI88" i="7"/>
  <c r="EI89" i="7" s="1"/>
  <c r="EI80" i="7"/>
  <c r="EI79" i="7"/>
  <c r="EI81" i="7"/>
  <c r="EI78" i="7"/>
  <c r="EI82" i="7"/>
  <c r="EI85" i="7"/>
  <c r="GI87" i="7"/>
  <c r="EH102" i="7"/>
  <c r="EH108" i="7"/>
  <c r="EH116" i="7" s="1"/>
  <c r="GH63" i="5"/>
  <c r="EJ29" i="7"/>
  <c r="EK25" i="7" s="1"/>
  <c r="EJ37" i="7"/>
  <c r="EK33" i="7" s="1"/>
  <c r="EJ53" i="7"/>
  <c r="EK49" i="7" s="1"/>
  <c r="EJ61" i="7"/>
  <c r="EK57" i="7" s="1"/>
  <c r="EJ45" i="7"/>
  <c r="EK41" i="7" s="1"/>
  <c r="GL56" i="5" l="1"/>
  <c r="GL58" i="5" s="1"/>
  <c r="GM55" i="5"/>
  <c r="GM53" i="5"/>
  <c r="GM54" i="5" s="1"/>
  <c r="EJ54" i="7"/>
  <c r="EJ55" i="7" s="1"/>
  <c r="EJ62" i="7"/>
  <c r="EJ63" i="7" s="1"/>
  <c r="GM18" i="4"/>
  <c r="GM19" i="4" s="1"/>
  <c r="GN16" i="4" s="1"/>
  <c r="EK34" i="7"/>
  <c r="EK35" i="7" s="1"/>
  <c r="GH50" i="5"/>
  <c r="GI43" i="5" s="1"/>
  <c r="GH64" i="5"/>
  <c r="GH78" i="5" s="1"/>
  <c r="GJ23" i="7" s="1"/>
  <c r="EH106" i="7"/>
  <c r="EH114" i="7" s="1"/>
  <c r="EH122" i="7" s="1"/>
  <c r="EH104" i="7"/>
  <c r="EH112" i="7" s="1"/>
  <c r="EH120" i="7" s="1"/>
  <c r="EH105" i="7"/>
  <c r="EH113" i="7" s="1"/>
  <c r="EH121" i="7" s="1"/>
  <c r="EH107" i="7"/>
  <c r="EH115" i="7" s="1"/>
  <c r="EH123" i="7" s="1"/>
  <c r="EH103" i="7"/>
  <c r="EH111" i="7" s="1"/>
  <c r="EH119" i="7" s="1"/>
  <c r="EJ73" i="7"/>
  <c r="EJ68" i="7"/>
  <c r="EJ38" i="7"/>
  <c r="EJ39" i="7" s="1"/>
  <c r="EJ65" i="7"/>
  <c r="EK42" i="7"/>
  <c r="EK43" i="7" s="1"/>
  <c r="EK58" i="7"/>
  <c r="EK59" i="7" s="1"/>
  <c r="EJ46" i="7"/>
  <c r="EJ47" i="7" s="1"/>
  <c r="EK26" i="7"/>
  <c r="EK27" i="7" s="1"/>
  <c r="EJ30" i="7"/>
  <c r="EJ31" i="7" s="1"/>
  <c r="EK50" i="7"/>
  <c r="EK51" i="7" s="1"/>
  <c r="EI98" i="7"/>
  <c r="GM56" i="5" l="1"/>
  <c r="GM58" i="5" s="1"/>
  <c r="GN55" i="5"/>
  <c r="GN53" i="5"/>
  <c r="GN54" i="5" s="1"/>
  <c r="EJ69" i="7"/>
  <c r="EJ74" i="7"/>
  <c r="EJ75" i="7" s="1"/>
  <c r="EK44" i="7"/>
  <c r="EK52" i="7"/>
  <c r="EK36" i="7"/>
  <c r="EK28" i="7"/>
  <c r="EK60" i="7"/>
  <c r="GI63" i="5"/>
  <c r="GN18" i="4"/>
  <c r="GN19" i="4" s="1"/>
  <c r="GO16" i="4" s="1"/>
  <c r="EI90" i="7"/>
  <c r="EI92" i="7"/>
  <c r="GJ87" i="7"/>
  <c r="GN56" i="5" l="1"/>
  <c r="GN58" i="5" s="1"/>
  <c r="GO53" i="5"/>
  <c r="GO54" i="5" s="1"/>
  <c r="GO55" i="5"/>
  <c r="EK72" i="7"/>
  <c r="GO18" i="4"/>
  <c r="GO19" i="4" s="1"/>
  <c r="GP16" i="4" s="1"/>
  <c r="EI94" i="7"/>
  <c r="EI93" i="7"/>
  <c r="EI96" i="7"/>
  <c r="EI95" i="7"/>
  <c r="EI100" i="7"/>
  <c r="EK53" i="7"/>
  <c r="EL49" i="7" s="1"/>
  <c r="EK45" i="7"/>
  <c r="EL41" i="7" s="1"/>
  <c r="EK29" i="7"/>
  <c r="EL25" i="7" s="1"/>
  <c r="EK61" i="7"/>
  <c r="EL57" i="7" s="1"/>
  <c r="EK37" i="7"/>
  <c r="EL33" i="7" s="1"/>
  <c r="EJ77" i="7"/>
  <c r="EJ70" i="7"/>
  <c r="EJ83" i="7" s="1"/>
  <c r="GI50" i="5"/>
  <c r="GJ43" i="5" s="1"/>
  <c r="GI64" i="5"/>
  <c r="GI78" i="5" s="1"/>
  <c r="GK23" i="7" s="1"/>
  <c r="EK67" i="7"/>
  <c r="GO56" i="5" l="1"/>
  <c r="GO58" i="5" s="1"/>
  <c r="GP53" i="5"/>
  <c r="GP54" i="5" s="1"/>
  <c r="GP55" i="5"/>
  <c r="EK62" i="7"/>
  <c r="EK63" i="7" s="1"/>
  <c r="EK38" i="7"/>
  <c r="EK39" i="7" s="1"/>
  <c r="EK30" i="7"/>
  <c r="EK31" i="7" s="1"/>
  <c r="EL42" i="7"/>
  <c r="EL43" i="7" s="1"/>
  <c r="EK54" i="7"/>
  <c r="EK55" i="7" s="1"/>
  <c r="GP18" i="4"/>
  <c r="GP19" i="4" s="1"/>
  <c r="GQ16" i="4" s="1"/>
  <c r="GJ63" i="5"/>
  <c r="EK46" i="7"/>
  <c r="EK47" i="7" s="1"/>
  <c r="EL50" i="7"/>
  <c r="EL51" i="7" s="1"/>
  <c r="EK65" i="7"/>
  <c r="EJ78" i="7"/>
  <c r="EJ79" i="7"/>
  <c r="EJ80" i="7"/>
  <c r="EJ82" i="7"/>
  <c r="EJ81" i="7"/>
  <c r="EJ85" i="7"/>
  <c r="EL58" i="7"/>
  <c r="EL59" i="7" s="1"/>
  <c r="GK87" i="7"/>
  <c r="EK68" i="7"/>
  <c r="EJ88" i="7"/>
  <c r="EJ89" i="7" s="1"/>
  <c r="EL34" i="7"/>
  <c r="EL35" i="7" s="1"/>
  <c r="EK73" i="7"/>
  <c r="EL26" i="7"/>
  <c r="EL27" i="7" s="1"/>
  <c r="EI108" i="7"/>
  <c r="EI116" i="7" s="1"/>
  <c r="EI102" i="7"/>
  <c r="GP56" i="5" l="1"/>
  <c r="GQ53" i="5"/>
  <c r="GQ54" i="5" s="1"/>
  <c r="GQ55" i="5"/>
  <c r="EK69" i="7"/>
  <c r="EL67" i="7" s="1"/>
  <c r="GQ18" i="4"/>
  <c r="GQ19" i="4"/>
  <c r="GR16" i="4" s="1"/>
  <c r="EK74" i="7"/>
  <c r="EK75" i="7" s="1"/>
  <c r="EI103" i="7"/>
  <c r="EI111" i="7" s="1"/>
  <c r="EI119" i="7" s="1"/>
  <c r="EI104" i="7"/>
  <c r="EI112" i="7" s="1"/>
  <c r="EI120" i="7" s="1"/>
  <c r="EI105" i="7"/>
  <c r="EI113" i="7" s="1"/>
  <c r="EI121" i="7" s="1"/>
  <c r="EI106" i="7"/>
  <c r="EI114" i="7" s="1"/>
  <c r="EI122" i="7" s="1"/>
  <c r="EI107" i="7"/>
  <c r="EI115" i="7" s="1"/>
  <c r="EI123" i="7" s="1"/>
  <c r="EJ98" i="7"/>
  <c r="GJ50" i="5"/>
  <c r="GK43" i="5" s="1"/>
  <c r="GJ64" i="5"/>
  <c r="GJ78" i="5" s="1"/>
  <c r="GL23" i="7" s="1"/>
  <c r="EL28" i="7"/>
  <c r="EL52" i="7"/>
  <c r="EL44" i="7"/>
  <c r="EL60" i="7"/>
  <c r="EL36" i="7"/>
  <c r="GQ56" i="5" l="1"/>
  <c r="GQ58" i="5" s="1"/>
  <c r="GR53" i="5"/>
  <c r="GR54" i="5" s="1"/>
  <c r="GR55" i="5"/>
  <c r="T34" i="6"/>
  <c r="T35" i="6" s="1"/>
  <c r="GP58" i="5"/>
  <c r="EK70" i="7"/>
  <c r="EK83" i="7" s="1"/>
  <c r="EK88" i="7" s="1"/>
  <c r="EK89" i="7" s="1"/>
  <c r="EK77" i="7"/>
  <c r="EK80" i="7" s="1"/>
  <c r="EL72" i="7"/>
  <c r="GR18" i="4"/>
  <c r="GR19" i="4"/>
  <c r="GS16" i="4" s="1"/>
  <c r="GL87" i="7"/>
  <c r="EL45" i="7"/>
  <c r="EM41" i="7" s="1"/>
  <c r="EL37" i="7"/>
  <c r="EM33" i="7" s="1"/>
  <c r="EL53" i="7"/>
  <c r="EM49" i="7" s="1"/>
  <c r="EL29" i="7"/>
  <c r="EM25" i="7" s="1"/>
  <c r="EL61" i="7"/>
  <c r="EM57" i="7" s="1"/>
  <c r="EJ92" i="7"/>
  <c r="EJ90" i="7"/>
  <c r="GK63" i="5"/>
  <c r="S5" i="9" l="1"/>
  <c r="T39" i="6"/>
  <c r="S10" i="9" s="1"/>
  <c r="GR56" i="5"/>
  <c r="GR58" i="5" s="1"/>
  <c r="GS55" i="5"/>
  <c r="GS53" i="5"/>
  <c r="GS54" i="5" s="1"/>
  <c r="EK82" i="7"/>
  <c r="EK79" i="7"/>
  <c r="EK85" i="7"/>
  <c r="EK98" i="7" s="1"/>
  <c r="EK81" i="7"/>
  <c r="EK78" i="7"/>
  <c r="EL62" i="7"/>
  <c r="EL63" i="7" s="1"/>
  <c r="GS18" i="4"/>
  <c r="GS19" i="4" s="1"/>
  <c r="GT16" i="4" s="1"/>
  <c r="GK50" i="5"/>
  <c r="GL43" i="5" s="1"/>
  <c r="GK64" i="5"/>
  <c r="GK78" i="5" s="1"/>
  <c r="GM23" i="7" s="1"/>
  <c r="EL38" i="7"/>
  <c r="EL39" i="7" s="1"/>
  <c r="EM50" i="7"/>
  <c r="EM51" i="7" s="1"/>
  <c r="EM34" i="7"/>
  <c r="EM35" i="7" s="1"/>
  <c r="EM42" i="7"/>
  <c r="EM43" i="7" s="1"/>
  <c r="EL65" i="7"/>
  <c r="EL54" i="7"/>
  <c r="EL55" i="7" s="1"/>
  <c r="EL46" i="7"/>
  <c r="EL47" i="7" s="1"/>
  <c r="EJ93" i="7"/>
  <c r="EJ94" i="7"/>
  <c r="EJ96" i="7"/>
  <c r="EJ95" i="7"/>
  <c r="EJ100" i="7"/>
  <c r="EL30" i="7"/>
  <c r="EL31" i="7" s="1"/>
  <c r="EM26" i="7"/>
  <c r="EM27" i="7" s="1"/>
  <c r="EL68" i="7"/>
  <c r="EM58" i="7"/>
  <c r="EM59" i="7" s="1"/>
  <c r="EL73" i="7"/>
  <c r="GS56" i="5" l="1"/>
  <c r="GS58" i="5" s="1"/>
  <c r="GT53" i="5"/>
  <c r="GT54" i="5" s="1"/>
  <c r="GT55" i="5"/>
  <c r="GT18" i="4"/>
  <c r="GT19" i="4" s="1"/>
  <c r="GU16" i="4" s="1"/>
  <c r="EL74" i="7"/>
  <c r="EL75" i="7" s="1"/>
  <c r="EJ102" i="7"/>
  <c r="EJ108" i="7"/>
  <c r="EJ116" i="7" s="1"/>
  <c r="GL63" i="5"/>
  <c r="EK92" i="7"/>
  <c r="EK90" i="7"/>
  <c r="GM87" i="7"/>
  <c r="EL69" i="7"/>
  <c r="EM67" i="7" s="1"/>
  <c r="EM60" i="7"/>
  <c r="EM52" i="7"/>
  <c r="EM44" i="7"/>
  <c r="EM28" i="7"/>
  <c r="EM36" i="7"/>
  <c r="GT56" i="5" l="1"/>
  <c r="GT58" i="5" s="1"/>
  <c r="GU53" i="5"/>
  <c r="GU54" i="5" s="1"/>
  <c r="GU55" i="5"/>
  <c r="EM72" i="7"/>
  <c r="GU18" i="4"/>
  <c r="GU19" i="4"/>
  <c r="GV16" i="4" s="1"/>
  <c r="GL50" i="5"/>
  <c r="GM43" i="5" s="1"/>
  <c r="GL64" i="5"/>
  <c r="GL78" i="5" s="1"/>
  <c r="GN23" i="7" s="1"/>
  <c r="EM53" i="7"/>
  <c r="EN49" i="7" s="1"/>
  <c r="EM61" i="7"/>
  <c r="EN57" i="7" s="1"/>
  <c r="EM37" i="7"/>
  <c r="EN33" i="7" s="1"/>
  <c r="EM29" i="7"/>
  <c r="EN25" i="7" s="1"/>
  <c r="EM45" i="7"/>
  <c r="EN41" i="7" s="1"/>
  <c r="EJ104" i="7"/>
  <c r="EJ112" i="7" s="1"/>
  <c r="EJ120" i="7" s="1"/>
  <c r="N19" i="8" s="1"/>
  <c r="N21" i="8" s="1"/>
  <c r="EJ103" i="7"/>
  <c r="EJ111" i="7" s="1"/>
  <c r="EJ119" i="7" s="1"/>
  <c r="N8" i="8" s="1"/>
  <c r="N10" i="8" s="1"/>
  <c r="EJ105" i="7"/>
  <c r="EJ113" i="7" s="1"/>
  <c r="EJ121" i="7" s="1"/>
  <c r="N30" i="8" s="1"/>
  <c r="N32" i="8" s="1"/>
  <c r="EJ107" i="7"/>
  <c r="EJ115" i="7" s="1"/>
  <c r="EJ123" i="7" s="1"/>
  <c r="N52" i="8" s="1"/>
  <c r="N54" i="8" s="1"/>
  <c r="EJ106" i="7"/>
  <c r="EJ114" i="7" s="1"/>
  <c r="EJ122" i="7" s="1"/>
  <c r="N41" i="8" s="1"/>
  <c r="N43" i="8" s="1"/>
  <c r="EL70" i="7"/>
  <c r="EL83" i="7" s="1"/>
  <c r="EL77" i="7"/>
  <c r="EK95" i="7"/>
  <c r="EK96" i="7"/>
  <c r="EK94" i="7"/>
  <c r="EK93" i="7"/>
  <c r="EK100" i="7"/>
  <c r="GU56" i="5" l="1"/>
  <c r="GU58" i="5" s="1"/>
  <c r="GV55" i="5"/>
  <c r="GV53" i="5"/>
  <c r="GV54" i="5" s="1"/>
  <c r="EM38" i="7"/>
  <c r="EM39" i="7" s="1"/>
  <c r="EM46" i="7"/>
  <c r="EM47" i="7" s="1"/>
  <c r="EN58" i="7"/>
  <c r="EN59" i="7" s="1"/>
  <c r="GM63" i="5"/>
  <c r="EL88" i="7"/>
  <c r="EL89" i="7" s="1"/>
  <c r="EM65" i="7"/>
  <c r="EM68" i="7"/>
  <c r="EM73" i="7"/>
  <c r="EN50" i="7"/>
  <c r="EN51" i="7" s="1"/>
  <c r="EN42" i="7"/>
  <c r="EN43" i="7" s="1"/>
  <c r="EM30" i="7"/>
  <c r="EM31" i="7" s="1"/>
  <c r="GV18" i="4"/>
  <c r="GV19" i="4" s="1"/>
  <c r="GW16" i="4" s="1"/>
  <c r="EM62" i="7"/>
  <c r="EL81" i="7"/>
  <c r="EL82" i="7"/>
  <c r="EL80" i="7"/>
  <c r="EL79" i="7"/>
  <c r="EL78" i="7"/>
  <c r="EL85" i="7"/>
  <c r="EN26" i="7"/>
  <c r="EN27" i="7" s="1"/>
  <c r="EK102" i="7"/>
  <c r="EK108" i="7"/>
  <c r="EK116" i="7" s="1"/>
  <c r="EM54" i="7"/>
  <c r="EM55" i="7" s="1"/>
  <c r="EN34" i="7"/>
  <c r="EN35" i="7" s="1"/>
  <c r="GN87" i="7"/>
  <c r="GV56" i="5" l="1"/>
  <c r="GV58" i="5" s="1"/>
  <c r="GW55" i="5"/>
  <c r="GW53" i="5"/>
  <c r="GW54" i="5" s="1"/>
  <c r="GW18" i="4"/>
  <c r="GW19" i="4" s="1"/>
  <c r="GX16" i="4" s="1"/>
  <c r="EL98" i="7"/>
  <c r="EM69" i="7"/>
  <c r="EN67" i="7" s="1"/>
  <c r="GM50" i="5"/>
  <c r="GN43" i="5" s="1"/>
  <c r="GM64" i="5"/>
  <c r="GM78" i="5" s="1"/>
  <c r="GO23" i="7" s="1"/>
  <c r="EK103" i="7"/>
  <c r="EK111" i="7" s="1"/>
  <c r="EK119" i="7" s="1"/>
  <c r="EK106" i="7"/>
  <c r="EK114" i="7" s="1"/>
  <c r="EK122" i="7" s="1"/>
  <c r="EK104" i="7"/>
  <c r="EK112" i="7" s="1"/>
  <c r="EK120" i="7" s="1"/>
  <c r="EK107" i="7"/>
  <c r="EK115" i="7" s="1"/>
  <c r="EK123" i="7" s="1"/>
  <c r="EK105" i="7"/>
  <c r="EK113" i="7" s="1"/>
  <c r="EK121" i="7" s="1"/>
  <c r="EM63" i="7"/>
  <c r="EN60" i="7"/>
  <c r="EN44" i="7"/>
  <c r="EN28" i="7"/>
  <c r="EN52" i="7"/>
  <c r="EN36" i="7"/>
  <c r="EM74" i="7"/>
  <c r="EM75" i="7" s="1"/>
  <c r="GW56" i="5" l="1"/>
  <c r="GW58" i="5" s="1"/>
  <c r="GX55" i="5"/>
  <c r="GX53" i="5"/>
  <c r="GX54" i="5" s="1"/>
  <c r="EN72" i="7"/>
  <c r="GO87" i="7"/>
  <c r="EN37" i="7"/>
  <c r="EO33" i="7" s="1"/>
  <c r="EN29" i="7"/>
  <c r="EO25" i="7" s="1"/>
  <c r="EN53" i="7"/>
  <c r="EO49" i="7" s="1"/>
  <c r="EN61" i="7"/>
  <c r="EO57" i="7" s="1"/>
  <c r="EN45" i="7"/>
  <c r="EO41" i="7" s="1"/>
  <c r="EL90" i="7"/>
  <c r="EL92" i="7"/>
  <c r="GN63" i="5"/>
  <c r="GX18" i="4"/>
  <c r="GX19" i="4"/>
  <c r="GY16" i="4" s="1"/>
  <c r="EM77" i="7"/>
  <c r="EM70" i="7"/>
  <c r="EM83" i="7" s="1"/>
  <c r="GX56" i="5" l="1"/>
  <c r="GX58" i="5" s="1"/>
  <c r="GY53" i="5"/>
  <c r="GY54" i="5" s="1"/>
  <c r="GY55" i="5"/>
  <c r="EN62" i="7"/>
  <c r="EN63" i="7" s="1"/>
  <c r="EN46" i="7"/>
  <c r="EN47" i="7" s="1"/>
  <c r="EO50" i="7"/>
  <c r="EO51" i="7" s="1"/>
  <c r="EN54" i="7"/>
  <c r="EN55" i="7" s="1"/>
  <c r="EO26" i="7"/>
  <c r="EO27" i="7" s="1"/>
  <c r="EO34" i="7"/>
  <c r="EO35" i="7" s="1"/>
  <c r="EO58" i="7"/>
  <c r="EO59" i="7" s="1"/>
  <c r="EN30" i="7"/>
  <c r="EN31" i="7" s="1"/>
  <c r="GY18" i="4"/>
  <c r="GY19" i="4" s="1"/>
  <c r="GZ16" i="4" s="1"/>
  <c r="EN73" i="7"/>
  <c r="EL95" i="7"/>
  <c r="EL96" i="7"/>
  <c r="EL94" i="7"/>
  <c r="EL93" i="7"/>
  <c r="EL100" i="7"/>
  <c r="EN65" i="7"/>
  <c r="EN38" i="7"/>
  <c r="EN39" i="7" s="1"/>
  <c r="EN68" i="7"/>
  <c r="EM88" i="7"/>
  <c r="EM89" i="7" s="1"/>
  <c r="EM81" i="7"/>
  <c r="EM82" i="7"/>
  <c r="EM78" i="7"/>
  <c r="EM80" i="7"/>
  <c r="EM79" i="7"/>
  <c r="EM85" i="7"/>
  <c r="GN50" i="5"/>
  <c r="GO43" i="5" s="1"/>
  <c r="GN64" i="5"/>
  <c r="GN78" i="5" s="1"/>
  <c r="GP23" i="7" s="1"/>
  <c r="EO42" i="7"/>
  <c r="EO43" i="7" s="1"/>
  <c r="GY56" i="5" l="1"/>
  <c r="GY58" i="5" s="1"/>
  <c r="GZ53" i="5"/>
  <c r="GZ54" i="5" s="1"/>
  <c r="GZ55" i="5"/>
  <c r="GZ18" i="4"/>
  <c r="GZ19" i="4" s="1"/>
  <c r="HA16" i="4" s="1"/>
  <c r="EL102" i="7"/>
  <c r="EL108" i="7"/>
  <c r="EL116" i="7" s="1"/>
  <c r="EM98" i="7"/>
  <c r="EN69" i="7"/>
  <c r="EO44" i="7"/>
  <c r="EO28" i="7"/>
  <c r="EO36" i="7"/>
  <c r="EO60" i="7"/>
  <c r="EO52" i="7"/>
  <c r="EN74" i="7"/>
  <c r="EN75" i="7" s="1"/>
  <c r="GP87" i="7"/>
  <c r="GO63" i="5"/>
  <c r="GZ56" i="5" l="1"/>
  <c r="GZ58" i="5" s="1"/>
  <c r="HA53" i="5"/>
  <c r="HA54" i="5" s="1"/>
  <c r="HA55" i="5"/>
  <c r="HA18" i="4"/>
  <c r="HA19" i="4" s="1"/>
  <c r="HB16" i="4" s="1"/>
  <c r="EO29" i="7"/>
  <c r="EP25" i="7" s="1"/>
  <c r="EO45" i="7"/>
  <c r="EP41" i="7" s="1"/>
  <c r="EO61" i="7"/>
  <c r="EP57" i="7" s="1"/>
  <c r="EO53" i="7"/>
  <c r="EP49" i="7" s="1"/>
  <c r="EO37" i="7"/>
  <c r="EP33" i="7" s="1"/>
  <c r="EL103" i="7"/>
  <c r="EL111" i="7" s="1"/>
  <c r="EL119" i="7" s="1"/>
  <c r="EL106" i="7"/>
  <c r="EL114" i="7" s="1"/>
  <c r="EL122" i="7" s="1"/>
  <c r="EL105" i="7"/>
  <c r="EL113" i="7" s="1"/>
  <c r="EL121" i="7" s="1"/>
  <c r="EL104" i="7"/>
  <c r="EL112" i="7" s="1"/>
  <c r="EL120" i="7" s="1"/>
  <c r="EL107" i="7"/>
  <c r="EL115" i="7" s="1"/>
  <c r="EL123" i="7" s="1"/>
  <c r="EM90" i="7"/>
  <c r="EM92" i="7"/>
  <c r="GO64" i="5"/>
  <c r="GO78" i="5" s="1"/>
  <c r="GQ23" i="7" s="1"/>
  <c r="GO50" i="5"/>
  <c r="GP43" i="5" s="1"/>
  <c r="EN70" i="7"/>
  <c r="EN83" i="7" s="1"/>
  <c r="EN77" i="7"/>
  <c r="EO72" i="7"/>
  <c r="EO67" i="7"/>
  <c r="HA56" i="5" l="1"/>
  <c r="HA58" i="5" s="1"/>
  <c r="HB53" i="5"/>
  <c r="HB54" i="5" s="1"/>
  <c r="HB55" i="5"/>
  <c r="EO54" i="7"/>
  <c r="EO55" i="7" s="1"/>
  <c r="EO30" i="7"/>
  <c r="EO31" i="7" s="1"/>
  <c r="EN79" i="7"/>
  <c r="EN81" i="7"/>
  <c r="EN82" i="7"/>
  <c r="EN80" i="7"/>
  <c r="EN78" i="7"/>
  <c r="EN85" i="7"/>
  <c r="EM95" i="7"/>
  <c r="EM94" i="7"/>
  <c r="EM93" i="7"/>
  <c r="EM96" i="7"/>
  <c r="EM100" i="7"/>
  <c r="EN88" i="7"/>
  <c r="EN89" i="7" s="1"/>
  <c r="GP63" i="5"/>
  <c r="EP34" i="7"/>
  <c r="EP35" i="7" s="1"/>
  <c r="EP50" i="7"/>
  <c r="EP51" i="7" s="1"/>
  <c r="HB18" i="4"/>
  <c r="HB19" i="4" s="1"/>
  <c r="HC16" i="4" s="1"/>
  <c r="EO38" i="7"/>
  <c r="EO39" i="7" s="1"/>
  <c r="EO65" i="7"/>
  <c r="GQ87" i="7"/>
  <c r="EP26" i="7"/>
  <c r="EP27" i="7" s="1"/>
  <c r="EO62" i="7"/>
  <c r="EO46" i="7"/>
  <c r="EO47" i="7" s="1"/>
  <c r="EO68" i="7"/>
  <c r="EP58" i="7"/>
  <c r="EP59" i="7" s="1"/>
  <c r="EP42" i="7"/>
  <c r="EP43" i="7" s="1"/>
  <c r="EO73" i="7"/>
  <c r="HB56" i="5" l="1"/>
  <c r="HC53" i="5"/>
  <c r="HC54" i="5" s="1"/>
  <c r="HC55" i="5"/>
  <c r="EO74" i="7"/>
  <c r="EO75" i="7" s="1"/>
  <c r="EO69" i="7"/>
  <c r="EO70" i="7" s="1"/>
  <c r="HC18" i="4"/>
  <c r="HC19" i="4"/>
  <c r="HD16" i="4" s="1"/>
  <c r="GP50" i="5"/>
  <c r="GQ43" i="5" s="1"/>
  <c r="GP64" i="5"/>
  <c r="GP78" i="5" s="1"/>
  <c r="GR23" i="7" s="1"/>
  <c r="EN98" i="7"/>
  <c r="EM102" i="7"/>
  <c r="EM108" i="7"/>
  <c r="EM116" i="7" s="1"/>
  <c r="EP60" i="7"/>
  <c r="EP52" i="7"/>
  <c r="EP44" i="7"/>
  <c r="EP28" i="7"/>
  <c r="EP36" i="7"/>
  <c r="EO63" i="7"/>
  <c r="HC56" i="5" l="1"/>
  <c r="HC58" i="5" s="1"/>
  <c r="HD53" i="5"/>
  <c r="HD54" i="5" s="1"/>
  <c r="HD55" i="5"/>
  <c r="U34" i="6"/>
  <c r="U35" i="6" s="1"/>
  <c r="HB58" i="5"/>
  <c r="EP72" i="7"/>
  <c r="EP67" i="7"/>
  <c r="EO77" i="7"/>
  <c r="EO82" i="7" s="1"/>
  <c r="HD18" i="4"/>
  <c r="HD19" i="4" s="1"/>
  <c r="HE16" i="4" s="1"/>
  <c r="EP29" i="7"/>
  <c r="EQ25" i="7" s="1"/>
  <c r="EP37" i="7"/>
  <c r="EQ33" i="7" s="1"/>
  <c r="EP45" i="7"/>
  <c r="EQ41" i="7" s="1"/>
  <c r="EP61" i="7"/>
  <c r="EP53" i="7"/>
  <c r="EQ49" i="7" s="1"/>
  <c r="GR87" i="7"/>
  <c r="EN92" i="7"/>
  <c r="EN90" i="7"/>
  <c r="EM107" i="7"/>
  <c r="EM115" i="7" s="1"/>
  <c r="EM123" i="7" s="1"/>
  <c r="EM104" i="7"/>
  <c r="EM112" i="7" s="1"/>
  <c r="EM120" i="7" s="1"/>
  <c r="EM105" i="7"/>
  <c r="EM113" i="7" s="1"/>
  <c r="EM121" i="7" s="1"/>
  <c r="EM103" i="7"/>
  <c r="EM111" i="7" s="1"/>
  <c r="EM119" i="7" s="1"/>
  <c r="EM106" i="7"/>
  <c r="EM114" i="7" s="1"/>
  <c r="EM122" i="7" s="1"/>
  <c r="GQ63" i="5"/>
  <c r="EO83" i="7"/>
  <c r="HD56" i="5" l="1"/>
  <c r="HD58" i="5" s="1"/>
  <c r="HE55" i="5"/>
  <c r="HE53" i="5"/>
  <c r="HE54" i="5" s="1"/>
  <c r="T5" i="9"/>
  <c r="U39" i="6"/>
  <c r="T10" i="9" s="1"/>
  <c r="EO79" i="7"/>
  <c r="EO81" i="7"/>
  <c r="EO80" i="7"/>
  <c r="EO78" i="7"/>
  <c r="EP38" i="7"/>
  <c r="EP39" i="7" s="1"/>
  <c r="HE18" i="4"/>
  <c r="HE19" i="4" s="1"/>
  <c r="HF16" i="4" s="1"/>
  <c r="EN94" i="7"/>
  <c r="EN95" i="7"/>
  <c r="EN96" i="7"/>
  <c r="EN93" i="7"/>
  <c r="EN100" i="7"/>
  <c r="EQ34" i="7"/>
  <c r="EQ35" i="7" s="1"/>
  <c r="EP54" i="7"/>
  <c r="EP55" i="7" s="1"/>
  <c r="GQ64" i="5"/>
  <c r="GQ78" i="5" s="1"/>
  <c r="GS23" i="7" s="1"/>
  <c r="GQ50" i="5"/>
  <c r="GR43" i="5" s="1"/>
  <c r="EP46" i="7"/>
  <c r="EP47" i="7" s="1"/>
  <c r="EP30" i="7"/>
  <c r="EP31" i="7" s="1"/>
  <c r="EP68" i="7"/>
  <c r="EO88" i="7"/>
  <c r="EO89" i="7" s="1"/>
  <c r="EO85" i="7"/>
  <c r="EQ26" i="7"/>
  <c r="EQ27" i="7" s="1"/>
  <c r="EQ50" i="7"/>
  <c r="EQ51" i="7" s="1"/>
  <c r="EQ57" i="7"/>
  <c r="EP62" i="7"/>
  <c r="EQ42" i="7"/>
  <c r="EQ43" i="7" s="1"/>
  <c r="EP65" i="7"/>
  <c r="EP73" i="7"/>
  <c r="HE56" i="5" l="1"/>
  <c r="HE58" i="5" s="1"/>
  <c r="HF55" i="5"/>
  <c r="HF53" i="5"/>
  <c r="HF54" i="5" s="1"/>
  <c r="HF18" i="4"/>
  <c r="HF19" i="4" s="1"/>
  <c r="HG16" i="4" s="1"/>
  <c r="GR63" i="5"/>
  <c r="EN108" i="7"/>
  <c r="EN116" i="7" s="1"/>
  <c r="EN102" i="7"/>
  <c r="GS87" i="7"/>
  <c r="EP63" i="7"/>
  <c r="EP74" i="7"/>
  <c r="EP75" i="7" s="1"/>
  <c r="EQ58" i="7"/>
  <c r="EQ59" i="7" s="1"/>
  <c r="EQ44" i="7" s="1"/>
  <c r="EP69" i="7"/>
  <c r="EQ67" i="7" s="1"/>
  <c r="EO98" i="7"/>
  <c r="HF56" i="5" l="1"/>
  <c r="HF58" i="5" s="1"/>
  <c r="HG53" i="5"/>
  <c r="HG54" i="5" s="1"/>
  <c r="HG55" i="5"/>
  <c r="EQ36" i="7"/>
  <c r="EQ52" i="7"/>
  <c r="EQ28" i="7"/>
  <c r="EQ60" i="7"/>
  <c r="EQ72" i="7"/>
  <c r="HG18" i="4"/>
  <c r="HG19" i="4" s="1"/>
  <c r="HH16" i="4" s="1"/>
  <c r="EO92" i="7"/>
  <c r="EO90" i="7"/>
  <c r="EP70" i="7"/>
  <c r="EP83" i="7" s="1"/>
  <c r="EP77" i="7"/>
  <c r="GR64" i="5"/>
  <c r="GR78" i="5" s="1"/>
  <c r="GT23" i="7" s="1"/>
  <c r="GR50" i="5"/>
  <c r="GS43" i="5" s="1"/>
  <c r="EN103" i="7"/>
  <c r="EN111" i="7" s="1"/>
  <c r="EN119" i="7" s="1"/>
  <c r="EN106" i="7"/>
  <c r="EN114" i="7" s="1"/>
  <c r="EN122" i="7" s="1"/>
  <c r="EN105" i="7"/>
  <c r="EN113" i="7" s="1"/>
  <c r="EN121" i="7" s="1"/>
  <c r="EN107" i="7"/>
  <c r="EN115" i="7" s="1"/>
  <c r="EN123" i="7" s="1"/>
  <c r="EN104" i="7"/>
  <c r="EN112" i="7" s="1"/>
  <c r="EN120" i="7" s="1"/>
  <c r="HG56" i="5" l="1"/>
  <c r="HG58" i="5" s="1"/>
  <c r="HH53" i="5"/>
  <c r="HH54" i="5" s="1"/>
  <c r="HH55" i="5"/>
  <c r="EQ61" i="7"/>
  <c r="ER57" i="7" s="1"/>
  <c r="ER58" i="7" s="1"/>
  <c r="ER59" i="7" s="1"/>
  <c r="EQ53" i="7"/>
  <c r="ER49" i="7" s="1"/>
  <c r="ER50" i="7" s="1"/>
  <c r="ER51" i="7" s="1"/>
  <c r="EQ29" i="7"/>
  <c r="ER25" i="7" s="1"/>
  <c r="ER26" i="7" s="1"/>
  <c r="ER27" i="7" s="1"/>
  <c r="EQ37" i="7"/>
  <c r="ER33" i="7" s="1"/>
  <c r="ER34" i="7" s="1"/>
  <c r="ER35" i="7" s="1"/>
  <c r="EQ45" i="7"/>
  <c r="ER41" i="7" s="1"/>
  <c r="ER42" i="7" s="1"/>
  <c r="ER43" i="7" s="1"/>
  <c r="HH18" i="4"/>
  <c r="HH19" i="4" s="1"/>
  <c r="HI16" i="4" s="1"/>
  <c r="EO96" i="7"/>
  <c r="EO94" i="7"/>
  <c r="EO95" i="7"/>
  <c r="EO93" i="7"/>
  <c r="EO100" i="7"/>
  <c r="GT87" i="7"/>
  <c r="EP82" i="7"/>
  <c r="EP80" i="7"/>
  <c r="EP79" i="7"/>
  <c r="EP81" i="7"/>
  <c r="EP78" i="7"/>
  <c r="EP85" i="7"/>
  <c r="GS63" i="5"/>
  <c r="EP88" i="7"/>
  <c r="EP89" i="7" s="1"/>
  <c r="HH56" i="5" l="1"/>
  <c r="HH58" i="5" s="1"/>
  <c r="HI55" i="5"/>
  <c r="HI53" i="5"/>
  <c r="HI54" i="5" s="1"/>
  <c r="EQ62" i="7"/>
  <c r="EQ63" i="7" s="1"/>
  <c r="EQ54" i="7"/>
  <c r="EQ55" i="7" s="1"/>
  <c r="EQ30" i="7"/>
  <c r="EQ31" i="7" s="1"/>
  <c r="EQ73" i="7"/>
  <c r="EQ38" i="7"/>
  <c r="EQ39" i="7" s="1"/>
  <c r="EQ65" i="7"/>
  <c r="EQ46" i="7"/>
  <c r="EQ47" i="7" s="1"/>
  <c r="EQ68" i="7"/>
  <c r="ER28" i="7"/>
  <c r="ER60" i="7"/>
  <c r="ER52" i="7"/>
  <c r="ER44" i="7"/>
  <c r="ER36" i="7"/>
  <c r="HI18" i="4"/>
  <c r="HI19" i="4" s="1"/>
  <c r="HJ16" i="4" s="1"/>
  <c r="GS50" i="5"/>
  <c r="GT43" i="5" s="1"/>
  <c r="GS64" i="5"/>
  <c r="GS78" i="5" s="1"/>
  <c r="GU23" i="7" s="1"/>
  <c r="EO102" i="7"/>
  <c r="EO108" i="7"/>
  <c r="EO116" i="7" s="1"/>
  <c r="EP98" i="7"/>
  <c r="HI56" i="5" l="1"/>
  <c r="HI58" i="5" s="1"/>
  <c r="HJ55" i="5"/>
  <c r="HJ53" i="5"/>
  <c r="HJ54" i="5" s="1"/>
  <c r="EQ74" i="7"/>
  <c r="EQ75" i="7" s="1"/>
  <c r="EQ69" i="7"/>
  <c r="ER67" i="7" s="1"/>
  <c r="GU87" i="7"/>
  <c r="HJ18" i="4"/>
  <c r="HJ19" i="4" s="1"/>
  <c r="HK16" i="4" s="1"/>
  <c r="ER37" i="7"/>
  <c r="ES33" i="7" s="1"/>
  <c r="ER45" i="7"/>
  <c r="ES41" i="7" s="1"/>
  <c r="ER61" i="7"/>
  <c r="ES57" i="7" s="1"/>
  <c r="ER53" i="7"/>
  <c r="ES49" i="7" s="1"/>
  <c r="ER29" i="7"/>
  <c r="ES25" i="7" s="1"/>
  <c r="EP92" i="7"/>
  <c r="EP90" i="7"/>
  <c r="GT63" i="5"/>
  <c r="EO103" i="7"/>
  <c r="EO111" i="7" s="1"/>
  <c r="EO119" i="7" s="1"/>
  <c r="EO105" i="7"/>
  <c r="EO113" i="7" s="1"/>
  <c r="EO121" i="7" s="1"/>
  <c r="EO104" i="7"/>
  <c r="EO112" i="7" s="1"/>
  <c r="EO120" i="7" s="1"/>
  <c r="EO107" i="7"/>
  <c r="EO115" i="7" s="1"/>
  <c r="EO123" i="7" s="1"/>
  <c r="EO106" i="7"/>
  <c r="EO114" i="7" s="1"/>
  <c r="EO122" i="7" s="1"/>
  <c r="HJ56" i="5" l="1"/>
  <c r="HJ58" i="5" s="1"/>
  <c r="HK55" i="5"/>
  <c r="HK53" i="5"/>
  <c r="HK54" i="5" s="1"/>
  <c r="ER72" i="7"/>
  <c r="EQ70" i="7"/>
  <c r="EQ83" i="7" s="1"/>
  <c r="EQ88" i="7" s="1"/>
  <c r="EQ89" i="7" s="1"/>
  <c r="EQ77" i="7"/>
  <c r="EQ80" i="7" s="1"/>
  <c r="ER62" i="7"/>
  <c r="ER63" i="7" s="1"/>
  <c r="ER30" i="7"/>
  <c r="ER31" i="7" s="1"/>
  <c r="ER46" i="7"/>
  <c r="ER47" i="7" s="1"/>
  <c r="ER54" i="7"/>
  <c r="ER55" i="7" s="1"/>
  <c r="HK18" i="4"/>
  <c r="HK19" i="4" s="1"/>
  <c r="HL16" i="4" s="1"/>
  <c r="ES34" i="7"/>
  <c r="ES35" i="7" s="1"/>
  <c r="ER65" i="7"/>
  <c r="EP95" i="7"/>
  <c r="EP94" i="7"/>
  <c r="EP93" i="7"/>
  <c r="EP96" i="7"/>
  <c r="EP100" i="7"/>
  <c r="ES42" i="7"/>
  <c r="ES43" i="7" s="1"/>
  <c r="ES26" i="7"/>
  <c r="ES27" i="7" s="1"/>
  <c r="ER73" i="7"/>
  <c r="GT50" i="5"/>
  <c r="GU43" i="5" s="1"/>
  <c r="GT64" i="5"/>
  <c r="GT78" i="5" s="1"/>
  <c r="GV23" i="7" s="1"/>
  <c r="ES50" i="7"/>
  <c r="ES51" i="7" s="1"/>
  <c r="ER68" i="7"/>
  <c r="ER38" i="7"/>
  <c r="ER39" i="7" s="1"/>
  <c r="ES58" i="7"/>
  <c r="ES59" i="7" s="1"/>
  <c r="HK56" i="5" l="1"/>
  <c r="HK58" i="5" s="1"/>
  <c r="HL55" i="5"/>
  <c r="HL53" i="5"/>
  <c r="HL54" i="5" s="1"/>
  <c r="EQ82" i="7"/>
  <c r="EQ79" i="7"/>
  <c r="EQ78" i="7"/>
  <c r="EQ85" i="7"/>
  <c r="EQ98" i="7" s="1"/>
  <c r="EQ81" i="7"/>
  <c r="ER69" i="7"/>
  <c r="ES67" i="7" s="1"/>
  <c r="HL18" i="4"/>
  <c r="HL19" i="4" s="1"/>
  <c r="HM16" i="4" s="1"/>
  <c r="ES44" i="7"/>
  <c r="ES60" i="7"/>
  <c r="ES36" i="7"/>
  <c r="ES28" i="7"/>
  <c r="ES52" i="7"/>
  <c r="GV87" i="7"/>
  <c r="EP102" i="7"/>
  <c r="EP108" i="7"/>
  <c r="EP116" i="7" s="1"/>
  <c r="GU63" i="5"/>
  <c r="ER74" i="7"/>
  <c r="ER75" i="7" s="1"/>
  <c r="HL56" i="5" l="1"/>
  <c r="HL58" i="5" s="1"/>
  <c r="HM53" i="5"/>
  <c r="HM54" i="5" s="1"/>
  <c r="HM55" i="5"/>
  <c r="ER70" i="7"/>
  <c r="ER83" i="7" s="1"/>
  <c r="ER88" i="7" s="1"/>
  <c r="ER89" i="7" s="1"/>
  <c r="ER77" i="7"/>
  <c r="ER78" i="7" s="1"/>
  <c r="ES72" i="7"/>
  <c r="GU64" i="5"/>
  <c r="GU78" i="5" s="1"/>
  <c r="GW23" i="7" s="1"/>
  <c r="GU50" i="5"/>
  <c r="GV43" i="5" s="1"/>
  <c r="ES29" i="7"/>
  <c r="ET25" i="7" s="1"/>
  <c r="ES45" i="7"/>
  <c r="ET41" i="7" s="1"/>
  <c r="ES37" i="7"/>
  <c r="ET33" i="7" s="1"/>
  <c r="ES61" i="7"/>
  <c r="ET57" i="7" s="1"/>
  <c r="ES53" i="7"/>
  <c r="ET49" i="7" s="1"/>
  <c r="HM18" i="4"/>
  <c r="HM19" i="4"/>
  <c r="HN16" i="4" s="1"/>
  <c r="EP104" i="7"/>
  <c r="EP112" i="7" s="1"/>
  <c r="EP120" i="7" s="1"/>
  <c r="EP107" i="7"/>
  <c r="EP115" i="7" s="1"/>
  <c r="EP123" i="7" s="1"/>
  <c r="EP106" i="7"/>
  <c r="EP114" i="7" s="1"/>
  <c r="EP122" i="7" s="1"/>
  <c r="EP103" i="7"/>
  <c r="EP111" i="7" s="1"/>
  <c r="EP119" i="7" s="1"/>
  <c r="EP105" i="7"/>
  <c r="EP113" i="7" s="1"/>
  <c r="EP121" i="7" s="1"/>
  <c r="EQ92" i="7"/>
  <c r="EQ90" i="7"/>
  <c r="HM56" i="5" l="1"/>
  <c r="HM58" i="5" s="1"/>
  <c r="HN55" i="5"/>
  <c r="HN53" i="5"/>
  <c r="HN54" i="5" s="1"/>
  <c r="ER82" i="7"/>
  <c r="ER80" i="7"/>
  <c r="ER81" i="7"/>
  <c r="ER79" i="7"/>
  <c r="ER85" i="7"/>
  <c r="ER98" i="7" s="1"/>
  <c r="ES68" i="7"/>
  <c r="ES30" i="7"/>
  <c r="ES31" i="7" s="1"/>
  <c r="ES46" i="7"/>
  <c r="ES47" i="7" s="1"/>
  <c r="ES38" i="7"/>
  <c r="ES39" i="7" s="1"/>
  <c r="HN18" i="4"/>
  <c r="HN19" i="4"/>
  <c r="HO16" i="4" s="1"/>
  <c r="ES73" i="7"/>
  <c r="ES62" i="7"/>
  <c r="ES65" i="7"/>
  <c r="ET50" i="7"/>
  <c r="ET51" i="7" s="1"/>
  <c r="ET34" i="7"/>
  <c r="ET35" i="7" s="1"/>
  <c r="GV63" i="5"/>
  <c r="ET42" i="7"/>
  <c r="ET43" i="7" s="1"/>
  <c r="GW87" i="7"/>
  <c r="ET58" i="7"/>
  <c r="ET59" i="7" s="1"/>
  <c r="EQ95" i="7"/>
  <c r="EQ93" i="7"/>
  <c r="EQ96" i="7"/>
  <c r="EQ94" i="7"/>
  <c r="EQ100" i="7"/>
  <c r="ES54" i="7"/>
  <c r="ES55" i="7" s="1"/>
  <c r="ET26" i="7"/>
  <c r="ET27" i="7" s="1"/>
  <c r="HN56" i="5" l="1"/>
  <c r="HO53" i="5"/>
  <c r="HO54" i="5" s="1"/>
  <c r="HO55" i="5"/>
  <c r="ES69" i="7"/>
  <c r="ES70" i="7" s="1"/>
  <c r="GV50" i="5"/>
  <c r="GW43" i="5" s="1"/>
  <c r="GV64" i="5"/>
  <c r="GV78" i="5" s="1"/>
  <c r="GX23" i="7" s="1"/>
  <c r="ER90" i="7"/>
  <c r="ER92" i="7"/>
  <c r="HO18" i="4"/>
  <c r="HO19" i="4" s="1"/>
  <c r="HP16" i="4" s="1"/>
  <c r="EQ108" i="7"/>
  <c r="EQ116" i="7" s="1"/>
  <c r="EQ102" i="7"/>
  <c r="ES63" i="7"/>
  <c r="ET44" i="7"/>
  <c r="ET52" i="7"/>
  <c r="ET60" i="7"/>
  <c r="ET28" i="7"/>
  <c r="ET36" i="7"/>
  <c r="ES74" i="7"/>
  <c r="ES75" i="7" s="1"/>
  <c r="HO56" i="5" l="1"/>
  <c r="HO58" i="5" s="1"/>
  <c r="HP53" i="5"/>
  <c r="HP54" i="5" s="1"/>
  <c r="HP55" i="5"/>
  <c r="V34" i="6"/>
  <c r="V35" i="6" s="1"/>
  <c r="HN58" i="5"/>
  <c r="ET67" i="7"/>
  <c r="ET72" i="7"/>
  <c r="EQ106" i="7"/>
  <c r="EQ114" i="7" s="1"/>
  <c r="EQ122" i="7" s="1"/>
  <c r="EQ105" i="7"/>
  <c r="EQ113" i="7" s="1"/>
  <c r="EQ121" i="7" s="1"/>
  <c r="EQ103" i="7"/>
  <c r="EQ111" i="7" s="1"/>
  <c r="EQ119" i="7" s="1"/>
  <c r="EQ104" i="7"/>
  <c r="EQ112" i="7" s="1"/>
  <c r="EQ120" i="7" s="1"/>
  <c r="EQ107" i="7"/>
  <c r="EQ115" i="7" s="1"/>
  <c r="EQ123" i="7" s="1"/>
  <c r="ER93" i="7"/>
  <c r="ER94" i="7"/>
  <c r="ER96" i="7"/>
  <c r="ER95" i="7"/>
  <c r="ER100" i="7"/>
  <c r="GX87" i="7"/>
  <c r="HP18" i="4"/>
  <c r="HP19" i="4" s="1"/>
  <c r="HQ16" i="4" s="1"/>
  <c r="GW63" i="5"/>
  <c r="ES77" i="7"/>
  <c r="ET29" i="7"/>
  <c r="EU25" i="7" s="1"/>
  <c r="ET45" i="7"/>
  <c r="EU41" i="7" s="1"/>
  <c r="ET61" i="7"/>
  <c r="ET37" i="7"/>
  <c r="EU33" i="7" s="1"/>
  <c r="ET53" i="7"/>
  <c r="EU49" i="7" s="1"/>
  <c r="ES83" i="7"/>
  <c r="HP56" i="5" l="1"/>
  <c r="HP58" i="5" s="1"/>
  <c r="HQ53" i="5"/>
  <c r="HQ54" i="5" s="1"/>
  <c r="HQ55" i="5"/>
  <c r="U5" i="9"/>
  <c r="V39" i="6"/>
  <c r="U10" i="9" s="1"/>
  <c r="ET73" i="7"/>
  <c r="EU50" i="7"/>
  <c r="EU51" i="7" s="1"/>
  <c r="ET68" i="7"/>
  <c r="ET54" i="7"/>
  <c r="ET55" i="7" s="1"/>
  <c r="EU57" i="7"/>
  <c r="ET62" i="7"/>
  <c r="EU26" i="7"/>
  <c r="EU27" i="7" s="1"/>
  <c r="HQ18" i="4"/>
  <c r="HQ19" i="4" s="1"/>
  <c r="HR16" i="4" s="1"/>
  <c r="ER108" i="7"/>
  <c r="ER116" i="7" s="1"/>
  <c r="ER102" i="7"/>
  <c r="ES79" i="7"/>
  <c r="ES80" i="7"/>
  <c r="ES81" i="7"/>
  <c r="ES82" i="7"/>
  <c r="ES78" i="7"/>
  <c r="ES85" i="7"/>
  <c r="ES88" i="7"/>
  <c r="ES89" i="7" s="1"/>
  <c r="ET65" i="7"/>
  <c r="GW50" i="5"/>
  <c r="GX43" i="5" s="1"/>
  <c r="GW64" i="5"/>
  <c r="GW78" i="5" s="1"/>
  <c r="GY23" i="7" s="1"/>
  <c r="ET46" i="7"/>
  <c r="ET47" i="7" s="1"/>
  <c r="EU34" i="7"/>
  <c r="EU35" i="7" s="1"/>
  <c r="EU42" i="7"/>
  <c r="EU43" i="7" s="1"/>
  <c r="ET38" i="7"/>
  <c r="ET39" i="7" s="1"/>
  <c r="ET30" i="7"/>
  <c r="ET31" i="7" s="1"/>
  <c r="HQ56" i="5" l="1"/>
  <c r="HQ58" i="5" s="1"/>
  <c r="HR53" i="5"/>
  <c r="HR54" i="5" s="1"/>
  <c r="HR55" i="5"/>
  <c r="HR18" i="4"/>
  <c r="HR19" i="4"/>
  <c r="HS16" i="4" s="1"/>
  <c r="EU58" i="7"/>
  <c r="EU59" i="7" s="1"/>
  <c r="EU60" i="7" s="1"/>
  <c r="GY87" i="7"/>
  <c r="ES98" i="7"/>
  <c r="ET63" i="7"/>
  <c r="ET69" i="7"/>
  <c r="ER107" i="7"/>
  <c r="ER115" i="7" s="1"/>
  <c r="ER123" i="7" s="1"/>
  <c r="ER104" i="7"/>
  <c r="ER112" i="7" s="1"/>
  <c r="ER120" i="7" s="1"/>
  <c r="ER106" i="7"/>
  <c r="ER114" i="7" s="1"/>
  <c r="ER122" i="7" s="1"/>
  <c r="ER105" i="7"/>
  <c r="ER113" i="7" s="1"/>
  <c r="ER121" i="7" s="1"/>
  <c r="ER103" i="7"/>
  <c r="ER111" i="7" s="1"/>
  <c r="ER119" i="7" s="1"/>
  <c r="GX63" i="5"/>
  <c r="ET74" i="7"/>
  <c r="HR56" i="5" l="1"/>
  <c r="HR58" i="5" s="1"/>
  <c r="HS55" i="5"/>
  <c r="HS53" i="5"/>
  <c r="HS54" i="5" s="1"/>
  <c r="ET70" i="7"/>
  <c r="ET77" i="7"/>
  <c r="HS18" i="4"/>
  <c r="HS19" i="4" s="1"/>
  <c r="HT16" i="4" s="1"/>
  <c r="EU67" i="7"/>
  <c r="EU36" i="7"/>
  <c r="EU28" i="7"/>
  <c r="GX50" i="5"/>
  <c r="GY43" i="5" s="1"/>
  <c r="GX64" i="5"/>
  <c r="GX78" i="5" s="1"/>
  <c r="GZ23" i="7" s="1"/>
  <c r="ES90" i="7"/>
  <c r="ES92" i="7"/>
  <c r="EU44" i="7"/>
  <c r="ET75" i="7"/>
  <c r="EU72" i="7"/>
  <c r="EU52" i="7"/>
  <c r="HS56" i="5" l="1"/>
  <c r="HS58" i="5" s="1"/>
  <c r="HT53" i="5"/>
  <c r="HT54" i="5" s="1"/>
  <c r="HT55" i="5"/>
  <c r="HT18" i="4"/>
  <c r="HT19" i="4" s="1"/>
  <c r="HU16" i="4" s="1"/>
  <c r="ES95" i="7"/>
  <c r="ES94" i="7"/>
  <c r="ES93" i="7"/>
  <c r="ES96" i="7"/>
  <c r="ES100" i="7"/>
  <c r="GZ87" i="7"/>
  <c r="GY63" i="5"/>
  <c r="EU53" i="7"/>
  <c r="EV49" i="7" s="1"/>
  <c r="EU45" i="7"/>
  <c r="EV41" i="7" s="1"/>
  <c r="EU37" i="7"/>
  <c r="EV33" i="7" s="1"/>
  <c r="EU61" i="7"/>
  <c r="EU29" i="7"/>
  <c r="EV25" i="7" s="1"/>
  <c r="ET80" i="7"/>
  <c r="ET81" i="7"/>
  <c r="ET79" i="7"/>
  <c r="ET78" i="7"/>
  <c r="ET82" i="7"/>
  <c r="ET83" i="7"/>
  <c r="ET85" i="7" s="1"/>
  <c r="HT56" i="5" l="1"/>
  <c r="HT58" i="5" s="1"/>
  <c r="HU53" i="5"/>
  <c r="HU54" i="5" s="1"/>
  <c r="HU55" i="5"/>
  <c r="EU30" i="7"/>
  <c r="EU31" i="7" s="1"/>
  <c r="HU18" i="4"/>
  <c r="HU19" i="4" s="1"/>
  <c r="HV16" i="4" s="1"/>
  <c r="EV57" i="7"/>
  <c r="EU62" i="7"/>
  <c r="EV26" i="7"/>
  <c r="EV27" i="7" s="1"/>
  <c r="EU68" i="7"/>
  <c r="EV42" i="7"/>
  <c r="EV43" i="7" s="1"/>
  <c r="EU54" i="7"/>
  <c r="EU55" i="7" s="1"/>
  <c r="EV34" i="7"/>
  <c r="EV35" i="7" s="1"/>
  <c r="EV50" i="7"/>
  <c r="EV51" i="7" s="1"/>
  <c r="ET88" i="7"/>
  <c r="ET89" i="7" s="1"/>
  <c r="ET98" i="7" s="1"/>
  <c r="GY50" i="5"/>
  <c r="GZ43" i="5" s="1"/>
  <c r="GY64" i="5"/>
  <c r="GY78" i="5" s="1"/>
  <c r="HA23" i="7" s="1"/>
  <c r="ES102" i="7"/>
  <c r="ES108" i="7"/>
  <c r="ES116" i="7" s="1"/>
  <c r="EU46" i="7"/>
  <c r="EU47" i="7" s="1"/>
  <c r="EU65" i="7"/>
  <c r="EU38" i="7"/>
  <c r="EU39" i="7" s="1"/>
  <c r="EU73" i="7"/>
  <c r="HU56" i="5" l="1"/>
  <c r="HU58" i="5" s="1"/>
  <c r="HV53" i="5"/>
  <c r="HV54" i="5" s="1"/>
  <c r="HV55" i="5"/>
  <c r="ET90" i="7"/>
  <c r="ET92" i="7"/>
  <c r="HV18" i="4"/>
  <c r="HV19" i="4" s="1"/>
  <c r="HW16" i="4" s="1"/>
  <c r="EU74" i="7"/>
  <c r="EU75" i="7" s="1"/>
  <c r="EV58" i="7"/>
  <c r="EV59" i="7" s="1"/>
  <c r="EV60" i="7" s="1"/>
  <c r="EU63" i="7"/>
  <c r="ES107" i="7"/>
  <c r="ES115" i="7" s="1"/>
  <c r="ES123" i="7" s="1"/>
  <c r="ES105" i="7"/>
  <c r="ES113" i="7" s="1"/>
  <c r="ES121" i="7" s="1"/>
  <c r="ES103" i="7"/>
  <c r="ES111" i="7" s="1"/>
  <c r="ES119" i="7" s="1"/>
  <c r="ES104" i="7"/>
  <c r="ES112" i="7" s="1"/>
  <c r="ES120" i="7" s="1"/>
  <c r="ES106" i="7"/>
  <c r="ES114" i="7" s="1"/>
  <c r="ES122" i="7" s="1"/>
  <c r="HA87" i="7"/>
  <c r="GZ63" i="5"/>
  <c r="EU69" i="7"/>
  <c r="EV67" i="7" s="1"/>
  <c r="HV56" i="5" l="1"/>
  <c r="HV58" i="5" s="1"/>
  <c r="HW55" i="5"/>
  <c r="HW53" i="5"/>
  <c r="HW54" i="5" s="1"/>
  <c r="EV28" i="7"/>
  <c r="EV44" i="7"/>
  <c r="EV52" i="7"/>
  <c r="HW18" i="4"/>
  <c r="HW19" i="4" s="1"/>
  <c r="HX16" i="4" s="1"/>
  <c r="EV36" i="7"/>
  <c r="ET93" i="7"/>
  <c r="ET94" i="7"/>
  <c r="ET96" i="7"/>
  <c r="ET95" i="7"/>
  <c r="ET100" i="7"/>
  <c r="GZ50" i="5"/>
  <c r="HA43" i="5" s="1"/>
  <c r="GZ64" i="5"/>
  <c r="GZ78" i="5" s="1"/>
  <c r="HB23" i="7" s="1"/>
  <c r="EU77" i="7"/>
  <c r="EU70" i="7"/>
  <c r="EU83" i="7" s="1"/>
  <c r="EV72" i="7"/>
  <c r="HW56" i="5" l="1"/>
  <c r="HW58" i="5" s="1"/>
  <c r="HX53" i="5"/>
  <c r="HX54" i="5" s="1"/>
  <c r="HX55" i="5"/>
  <c r="EV61" i="7"/>
  <c r="EW57" i="7" s="1"/>
  <c r="EV53" i="7"/>
  <c r="EW49" i="7" s="1"/>
  <c r="EW50" i="7" s="1"/>
  <c r="EW51" i="7" s="1"/>
  <c r="EV29" i="7"/>
  <c r="EW25" i="7" s="1"/>
  <c r="EW26" i="7" s="1"/>
  <c r="EW27" i="7" s="1"/>
  <c r="EV45" i="7"/>
  <c r="EW41" i="7" s="1"/>
  <c r="EW42" i="7" s="1"/>
  <c r="EW43" i="7" s="1"/>
  <c r="HX18" i="4"/>
  <c r="HX19" i="4" s="1"/>
  <c r="HY16" i="4" s="1"/>
  <c r="EU79" i="7"/>
  <c r="EU81" i="7"/>
  <c r="EU78" i="7"/>
  <c r="EU82" i="7"/>
  <c r="EU80" i="7"/>
  <c r="EU85" i="7"/>
  <c r="ET108" i="7"/>
  <c r="ET116" i="7" s="1"/>
  <c r="ET102" i="7"/>
  <c r="HB87" i="7"/>
  <c r="EV37" i="7"/>
  <c r="EU88" i="7"/>
  <c r="EU89" i="7" s="1"/>
  <c r="HA63" i="5"/>
  <c r="HX56" i="5" l="1"/>
  <c r="HX58" i="5" s="1"/>
  <c r="HY55" i="5"/>
  <c r="HY53" i="5"/>
  <c r="HY54" i="5" s="1"/>
  <c r="EV54" i="7"/>
  <c r="EV55" i="7" s="1"/>
  <c r="EV62" i="7"/>
  <c r="EV63" i="7" s="1"/>
  <c r="EV30" i="7"/>
  <c r="EV31" i="7" s="1"/>
  <c r="EV46" i="7"/>
  <c r="EV47" i="7" s="1"/>
  <c r="HY18" i="4"/>
  <c r="HY19" i="4" s="1"/>
  <c r="HZ16" i="4" s="1"/>
  <c r="ET103" i="7"/>
  <c r="ET111" i="7" s="1"/>
  <c r="ET119" i="7" s="1"/>
  <c r="ET107" i="7"/>
  <c r="ET115" i="7" s="1"/>
  <c r="ET123" i="7" s="1"/>
  <c r="ET105" i="7"/>
  <c r="ET113" i="7" s="1"/>
  <c r="ET121" i="7" s="1"/>
  <c r="ET106" i="7"/>
  <c r="ET114" i="7" s="1"/>
  <c r="ET122" i="7" s="1"/>
  <c r="ET104" i="7"/>
  <c r="ET112" i="7" s="1"/>
  <c r="ET120" i="7" s="1"/>
  <c r="EW33" i="7"/>
  <c r="EV73" i="7"/>
  <c r="HA50" i="5"/>
  <c r="HB43" i="5" s="1"/>
  <c r="HA64" i="5"/>
  <c r="HA78" i="5" s="1"/>
  <c r="HC23" i="7" s="1"/>
  <c r="EV68" i="7"/>
  <c r="EW58" i="7"/>
  <c r="EW59" i="7" s="1"/>
  <c r="EV38" i="7"/>
  <c r="EV39" i="7" s="1"/>
  <c r="EV65" i="7"/>
  <c r="EU98" i="7"/>
  <c r="HY56" i="5" l="1"/>
  <c r="HY58" i="5" s="1"/>
  <c r="HZ55" i="5"/>
  <c r="HZ53" i="5"/>
  <c r="HZ54" i="5" s="1"/>
  <c r="HZ18" i="4"/>
  <c r="HZ19" i="4" s="1"/>
  <c r="IA16" i="4" s="1"/>
  <c r="EV74" i="7"/>
  <c r="EV75" i="7" s="1"/>
  <c r="EW34" i="7"/>
  <c r="EW35" i="7" s="1"/>
  <c r="HC87" i="7"/>
  <c r="EU92" i="7"/>
  <c r="EU90" i="7"/>
  <c r="HB63" i="5"/>
  <c r="EV69" i="7"/>
  <c r="EW67" i="7" s="1"/>
  <c r="HZ56" i="5" l="1"/>
  <c r="IA55" i="5"/>
  <c r="IA53" i="5"/>
  <c r="IA54" i="5" s="1"/>
  <c r="EW72" i="7"/>
  <c r="IA18" i="4"/>
  <c r="IA19" i="4" s="1"/>
  <c r="IB16" i="4" s="1"/>
  <c r="EV70" i="7"/>
  <c r="EV83" i="7" s="1"/>
  <c r="EV77" i="7"/>
  <c r="EW28" i="7"/>
  <c r="EW52" i="7"/>
  <c r="EW44" i="7"/>
  <c r="EW60" i="7"/>
  <c r="EW36" i="7"/>
  <c r="HB50" i="5"/>
  <c r="HC43" i="5" s="1"/>
  <c r="HB64" i="5"/>
  <c r="HB78" i="5" s="1"/>
  <c r="HD23" i="7" s="1"/>
  <c r="EU94" i="7"/>
  <c r="EU93" i="7"/>
  <c r="EU96" i="7"/>
  <c r="EU95" i="7"/>
  <c r="EU100" i="7"/>
  <c r="IA56" i="5" l="1"/>
  <c r="IA58" i="5" s="1"/>
  <c r="IB53" i="5"/>
  <c r="IB54" i="5" s="1"/>
  <c r="IB55" i="5"/>
  <c r="W34" i="6"/>
  <c r="W35" i="6" s="1"/>
  <c r="HZ58" i="5"/>
  <c r="IB18" i="4"/>
  <c r="IB19" i="4" s="1"/>
  <c r="IC16" i="4" s="1"/>
  <c r="HD87" i="7"/>
  <c r="EU102" i="7"/>
  <c r="EU108" i="7"/>
  <c r="EU116" i="7" s="1"/>
  <c r="EV88" i="7"/>
  <c r="EV89" i="7" s="1"/>
  <c r="EW53" i="7"/>
  <c r="EX49" i="7" s="1"/>
  <c r="EW29" i="7"/>
  <c r="EX25" i="7" s="1"/>
  <c r="EW45" i="7"/>
  <c r="EX41" i="7" s="1"/>
  <c r="EW61" i="7"/>
  <c r="EX57" i="7" s="1"/>
  <c r="EW37" i="7"/>
  <c r="EX33" i="7" s="1"/>
  <c r="EV80" i="7"/>
  <c r="EV79" i="7"/>
  <c r="EV82" i="7"/>
  <c r="EV81" i="7"/>
  <c r="EV78" i="7"/>
  <c r="EV85" i="7"/>
  <c r="HC63" i="5"/>
  <c r="V5" i="9" l="1"/>
  <c r="W39" i="6"/>
  <c r="V10" i="9" s="1"/>
  <c r="IB56" i="5"/>
  <c r="IB58" i="5" s="1"/>
  <c r="IC55" i="5"/>
  <c r="IC53" i="5"/>
  <c r="IC54" i="5" s="1"/>
  <c r="EW62" i="7"/>
  <c r="EW63" i="7" s="1"/>
  <c r="EW46" i="7"/>
  <c r="EW47" i="7" s="1"/>
  <c r="EW30" i="7"/>
  <c r="EW31" i="7" s="1"/>
  <c r="EW54" i="7"/>
  <c r="EW55" i="7" s="1"/>
  <c r="EW65" i="7"/>
  <c r="IC18" i="4"/>
  <c r="IC19" i="4" s="1"/>
  <c r="ID16" i="4" s="1"/>
  <c r="EW38" i="7"/>
  <c r="EW39" i="7" s="1"/>
  <c r="EX50" i="7"/>
  <c r="EX51" i="7" s="1"/>
  <c r="EX58" i="7"/>
  <c r="EX59" i="7" s="1"/>
  <c r="EU107" i="7"/>
  <c r="EU115" i="7" s="1"/>
  <c r="EU123" i="7" s="1"/>
  <c r="EU104" i="7"/>
  <c r="EU112" i="7" s="1"/>
  <c r="EU120" i="7" s="1"/>
  <c r="EU106" i="7"/>
  <c r="EU114" i="7" s="1"/>
  <c r="EU122" i="7" s="1"/>
  <c r="EU103" i="7"/>
  <c r="EU111" i="7" s="1"/>
  <c r="EU119" i="7" s="1"/>
  <c r="EU105" i="7"/>
  <c r="EU113" i="7" s="1"/>
  <c r="EU121" i="7" s="1"/>
  <c r="EW73" i="7"/>
  <c r="EW68" i="7"/>
  <c r="EV98" i="7"/>
  <c r="EX34" i="7"/>
  <c r="EX35" i="7" s="1"/>
  <c r="HC50" i="5"/>
  <c r="HD43" i="5" s="1"/>
  <c r="HC64" i="5"/>
  <c r="HC78" i="5" s="1"/>
  <c r="HE23" i="7" s="1"/>
  <c r="EX42" i="7"/>
  <c r="EX43" i="7" s="1"/>
  <c r="EX26" i="7"/>
  <c r="EX27" i="7" s="1"/>
  <c r="IC56" i="5" l="1"/>
  <c r="IC58" i="5" s="1"/>
  <c r="ID55" i="5"/>
  <c r="ID53" i="5"/>
  <c r="ID54" i="5" s="1"/>
  <c r="ID18" i="4"/>
  <c r="ID19" i="4" s="1"/>
  <c r="IE16" i="4" s="1"/>
  <c r="EW69" i="7"/>
  <c r="EX67" i="7" s="1"/>
  <c r="EV90" i="7"/>
  <c r="EV92" i="7"/>
  <c r="HE87" i="7"/>
  <c r="HD63" i="5"/>
  <c r="EX36" i="7"/>
  <c r="EX60" i="7"/>
  <c r="EX52" i="7"/>
  <c r="EX44" i="7"/>
  <c r="EX28" i="7"/>
  <c r="EW74" i="7"/>
  <c r="EW75" i="7" s="1"/>
  <c r="ID56" i="5" l="1"/>
  <c r="ID58" i="5" s="1"/>
  <c r="IE53" i="5"/>
  <c r="IE54" i="5" s="1"/>
  <c r="IE55" i="5"/>
  <c r="EX72" i="7"/>
  <c r="IE18" i="4"/>
  <c r="IE19" i="4" s="1"/>
  <c r="IF16" i="4" s="1"/>
  <c r="EV93" i="7"/>
  <c r="EV95" i="7"/>
  <c r="EV94" i="7"/>
  <c r="EV96" i="7"/>
  <c r="EV100" i="7"/>
  <c r="EX45" i="7"/>
  <c r="EY41" i="7" s="1"/>
  <c r="EX53" i="7"/>
  <c r="EY49" i="7" s="1"/>
  <c r="EX29" i="7"/>
  <c r="EY25" i="7" s="1"/>
  <c r="EX61" i="7"/>
  <c r="EY57" i="7" s="1"/>
  <c r="EX37" i="7"/>
  <c r="EY33" i="7" s="1"/>
  <c r="HD50" i="5"/>
  <c r="HE43" i="5" s="1"/>
  <c r="HD64" i="5"/>
  <c r="HD78" i="5" s="1"/>
  <c r="HF23" i="7" s="1"/>
  <c r="EW70" i="7"/>
  <c r="EW83" i="7" s="1"/>
  <c r="EW77" i="7"/>
  <c r="IE56" i="5" l="1"/>
  <c r="IE58" i="5" s="1"/>
  <c r="IF53" i="5"/>
  <c r="IF54" i="5" s="1"/>
  <c r="IF55" i="5"/>
  <c r="EX38" i="7"/>
  <c r="EX39" i="7" s="1"/>
  <c r="EX46" i="7"/>
  <c r="EX47" i="7" s="1"/>
  <c r="EX65" i="7"/>
  <c r="EX68" i="7"/>
  <c r="EX73" i="7"/>
  <c r="EX54" i="7"/>
  <c r="EX55" i="7" s="1"/>
  <c r="EX30" i="7"/>
  <c r="EX31" i="7" s="1"/>
  <c r="HF87" i="7"/>
  <c r="EY42" i="7"/>
  <c r="EY43" i="7" s="1"/>
  <c r="EV108" i="7"/>
  <c r="EV116" i="7" s="1"/>
  <c r="EV102" i="7"/>
  <c r="EX62" i="7"/>
  <c r="EY26" i="7"/>
  <c r="EY27" i="7" s="1"/>
  <c r="HE63" i="5"/>
  <c r="EY34" i="7"/>
  <c r="EY35" i="7" s="1"/>
  <c r="IF18" i="4"/>
  <c r="IF19" i="4" s="1"/>
  <c r="IG16" i="4" s="1"/>
  <c r="EY58" i="7"/>
  <c r="EY59" i="7" s="1"/>
  <c r="EW79" i="7"/>
  <c r="EW78" i="7"/>
  <c r="EW82" i="7"/>
  <c r="EW80" i="7"/>
  <c r="EW81" i="7"/>
  <c r="EW85" i="7"/>
  <c r="EW88" i="7"/>
  <c r="EW89" i="7" s="1"/>
  <c r="EY50" i="7"/>
  <c r="EY51" i="7" s="1"/>
  <c r="IF56" i="5" l="1"/>
  <c r="IF58" i="5" s="1"/>
  <c r="IG55" i="5"/>
  <c r="IG53" i="5"/>
  <c r="IG54" i="5" s="1"/>
  <c r="EX69" i="7"/>
  <c r="EY67" i="7" s="1"/>
  <c r="EX74" i="7"/>
  <c r="EX75" i="7" s="1"/>
  <c r="IG18" i="4"/>
  <c r="IG19" i="4" s="1"/>
  <c r="IH16" i="4" s="1"/>
  <c r="EW98" i="7"/>
  <c r="EY60" i="7"/>
  <c r="EY52" i="7"/>
  <c r="EY28" i="7"/>
  <c r="EY44" i="7"/>
  <c r="EY36" i="7"/>
  <c r="EX63" i="7"/>
  <c r="HE50" i="5"/>
  <c r="HF43" i="5" s="1"/>
  <c r="HE64" i="5"/>
  <c r="HE78" i="5" s="1"/>
  <c r="HG23" i="7" s="1"/>
  <c r="EV107" i="7"/>
  <c r="EV115" i="7" s="1"/>
  <c r="EV123" i="7" s="1"/>
  <c r="O52" i="8" s="1"/>
  <c r="O54" i="8" s="1"/>
  <c r="EV106" i="7"/>
  <c r="EV114" i="7" s="1"/>
  <c r="EV122" i="7" s="1"/>
  <c r="O41" i="8" s="1"/>
  <c r="O43" i="8" s="1"/>
  <c r="EV105" i="7"/>
  <c r="EV113" i="7" s="1"/>
  <c r="EV121" i="7" s="1"/>
  <c r="O30" i="8" s="1"/>
  <c r="O32" i="8" s="1"/>
  <c r="EV103" i="7"/>
  <c r="EV111" i="7" s="1"/>
  <c r="EV119" i="7" s="1"/>
  <c r="O8" i="8" s="1"/>
  <c r="O10" i="8" s="1"/>
  <c r="EV104" i="7"/>
  <c r="EV112" i="7" s="1"/>
  <c r="EV120" i="7" s="1"/>
  <c r="O19" i="8" s="1"/>
  <c r="O21" i="8" s="1"/>
  <c r="IG56" i="5" l="1"/>
  <c r="IG58" i="5" s="1"/>
  <c r="IH53" i="5"/>
  <c r="IH54" i="5" s="1"/>
  <c r="IH55" i="5"/>
  <c r="EX70" i="7"/>
  <c r="EX83" i="7" s="1"/>
  <c r="EY72" i="7"/>
  <c r="EX77" i="7"/>
  <c r="EX79" i="7" s="1"/>
  <c r="EW92" i="7"/>
  <c r="EW90" i="7"/>
  <c r="HG87" i="7"/>
  <c r="HF63" i="5"/>
  <c r="IH18" i="4"/>
  <c r="IH19" i="4" s="1"/>
  <c r="II16" i="4" s="1"/>
  <c r="EY29" i="7"/>
  <c r="EZ25" i="7" s="1"/>
  <c r="EY53" i="7"/>
  <c r="EZ49" i="7" s="1"/>
  <c r="EY45" i="7"/>
  <c r="EZ41" i="7" s="1"/>
  <c r="EY37" i="7"/>
  <c r="EZ33" i="7" s="1"/>
  <c r="EY61" i="7"/>
  <c r="IH56" i="5" l="1"/>
  <c r="IH58" i="5" s="1"/>
  <c r="II53" i="5"/>
  <c r="II54" i="5" s="1"/>
  <c r="II55" i="5"/>
  <c r="EX80" i="7"/>
  <c r="EX78" i="7"/>
  <c r="EX85" i="7"/>
  <c r="EX82" i="7"/>
  <c r="EX81" i="7"/>
  <c r="EX88" i="7"/>
  <c r="EX89" i="7" s="1"/>
  <c r="EY38" i="7"/>
  <c r="EY39" i="7" s="1"/>
  <c r="EY46" i="7"/>
  <c r="EY47" i="7" s="1"/>
  <c r="II18" i="4"/>
  <c r="II19" i="4" s="1"/>
  <c r="IJ16" i="4" s="1"/>
  <c r="EZ26" i="7"/>
  <c r="EZ27" i="7" s="1"/>
  <c r="EZ50" i="7"/>
  <c r="EZ51" i="7" s="1"/>
  <c r="EY68" i="7"/>
  <c r="EY54" i="7"/>
  <c r="EY55" i="7" s="1"/>
  <c r="EW93" i="7"/>
  <c r="EW95" i="7"/>
  <c r="EW96" i="7"/>
  <c r="EW94" i="7"/>
  <c r="EW100" i="7"/>
  <c r="EY65" i="7"/>
  <c r="EY73" i="7"/>
  <c r="EZ57" i="7"/>
  <c r="EY62" i="7"/>
  <c r="EZ34" i="7"/>
  <c r="EZ35" i="7" s="1"/>
  <c r="EY30" i="7"/>
  <c r="EY31" i="7" s="1"/>
  <c r="EZ42" i="7"/>
  <c r="EZ43" i="7" s="1"/>
  <c r="HF50" i="5"/>
  <c r="HG43" i="5" s="1"/>
  <c r="HF64" i="5"/>
  <c r="HF78" i="5" s="1"/>
  <c r="HH23" i="7" s="1"/>
  <c r="II56" i="5" l="1"/>
  <c r="II58" i="5" s="1"/>
  <c r="IJ55" i="5"/>
  <c r="IJ53" i="5"/>
  <c r="IJ54" i="5" s="1"/>
  <c r="EX98" i="7"/>
  <c r="EX92" i="7" s="1"/>
  <c r="EX95" i="7" s="1"/>
  <c r="IJ18" i="4"/>
  <c r="IJ19" i="4"/>
  <c r="IK16" i="4" s="1"/>
  <c r="EY74" i="7"/>
  <c r="EY75" i="7" s="1"/>
  <c r="EY63" i="7"/>
  <c r="EZ58" i="7"/>
  <c r="EZ59" i="7" s="1"/>
  <c r="EZ36" i="7" s="1"/>
  <c r="HH87" i="7"/>
  <c r="EY69" i="7"/>
  <c r="EZ67" i="7" s="1"/>
  <c r="HG63" i="5"/>
  <c r="EW108" i="7"/>
  <c r="EW116" i="7" s="1"/>
  <c r="EW102" i="7"/>
  <c r="IJ56" i="5" l="1"/>
  <c r="IJ58" i="5" s="1"/>
  <c r="IK53" i="5"/>
  <c r="IK54" i="5" s="1"/>
  <c r="IK55" i="5"/>
  <c r="EX96" i="7"/>
  <c r="EX100" i="7"/>
  <c r="EX102" i="7" s="1"/>
  <c r="EX107" i="7" s="1"/>
  <c r="EX115" i="7" s="1"/>
  <c r="EX123" i="7" s="1"/>
  <c r="EX94" i="7"/>
  <c r="EX93" i="7"/>
  <c r="EX90" i="7"/>
  <c r="EZ44" i="7"/>
  <c r="EZ28" i="7"/>
  <c r="EZ60" i="7"/>
  <c r="EZ52" i="7"/>
  <c r="IK18" i="4"/>
  <c r="EW104" i="7"/>
  <c r="EW112" i="7" s="1"/>
  <c r="EW120" i="7" s="1"/>
  <c r="EW107" i="7"/>
  <c r="EW115" i="7" s="1"/>
  <c r="EW123" i="7" s="1"/>
  <c r="EW106" i="7"/>
  <c r="EW114" i="7" s="1"/>
  <c r="EW122" i="7" s="1"/>
  <c r="EW105" i="7"/>
  <c r="EW113" i="7" s="1"/>
  <c r="EW121" i="7" s="1"/>
  <c r="EW103" i="7"/>
  <c r="EW111" i="7" s="1"/>
  <c r="EW119" i="7" s="1"/>
  <c r="EZ72" i="7"/>
  <c r="HG50" i="5"/>
  <c r="HH43" i="5" s="1"/>
  <c r="HG64" i="5"/>
  <c r="HG78" i="5" s="1"/>
  <c r="HI23" i="7" s="1"/>
  <c r="EY77" i="7"/>
  <c r="EY70" i="7"/>
  <c r="EY83" i="7" s="1"/>
  <c r="IK56" i="5" l="1"/>
  <c r="IK58" i="5" s="1"/>
  <c r="IL53" i="5"/>
  <c r="IL54" i="5" s="1"/>
  <c r="IL55" i="5"/>
  <c r="IL56" i="5" s="1"/>
  <c r="EX108" i="7"/>
  <c r="EX116" i="7" s="1"/>
  <c r="EX105" i="7"/>
  <c r="EX113" i="7" s="1"/>
  <c r="EX121" i="7" s="1"/>
  <c r="EX106" i="7"/>
  <c r="EX114" i="7" s="1"/>
  <c r="EX122" i="7" s="1"/>
  <c r="EX103" i="7"/>
  <c r="EX111" i="7" s="1"/>
  <c r="EX104" i="7"/>
  <c r="EX112" i="7" s="1"/>
  <c r="EX120" i="7" s="1"/>
  <c r="EZ61" i="7"/>
  <c r="FA57" i="7" s="1"/>
  <c r="FA58" i="7" s="1"/>
  <c r="FA59" i="7" s="1"/>
  <c r="EZ45" i="7"/>
  <c r="FA41" i="7" s="1"/>
  <c r="FA42" i="7" s="1"/>
  <c r="FA43" i="7" s="1"/>
  <c r="EZ37" i="7"/>
  <c r="FA33" i="7" s="1"/>
  <c r="FA34" i="7" s="1"/>
  <c r="FA35" i="7" s="1"/>
  <c r="IK19" i="4"/>
  <c r="IL16" i="4" s="1"/>
  <c r="EZ29" i="7"/>
  <c r="EZ53" i="7"/>
  <c r="EY88" i="7"/>
  <c r="EY89" i="7" s="1"/>
  <c r="EY80" i="7"/>
  <c r="EY79" i="7"/>
  <c r="EY81" i="7"/>
  <c r="EY82" i="7"/>
  <c r="EY78" i="7"/>
  <c r="EY85" i="7"/>
  <c r="HH63" i="5"/>
  <c r="HI87" i="7"/>
  <c r="X34" i="6" l="1"/>
  <c r="X35" i="6" s="1"/>
  <c r="IL58" i="5"/>
  <c r="IL18" i="4"/>
  <c r="IL19" i="4" s="1"/>
  <c r="IM16" i="4" s="1"/>
  <c r="EX119" i="7"/>
  <c r="EZ62" i="7"/>
  <c r="EZ63" i="7" s="1"/>
  <c r="IM54" i="5"/>
  <c r="EZ68" i="7"/>
  <c r="EZ46" i="7"/>
  <c r="EZ47" i="7" s="1"/>
  <c r="EZ38" i="7"/>
  <c r="EZ39" i="7" s="1"/>
  <c r="EZ73" i="7"/>
  <c r="EZ65" i="7"/>
  <c r="FA49" i="7"/>
  <c r="FA50" i="7" s="1"/>
  <c r="FA51" i="7" s="1"/>
  <c r="EZ54" i="7"/>
  <c r="EZ55" i="7" s="1"/>
  <c r="FA25" i="7"/>
  <c r="FA26" i="7" s="1"/>
  <c r="FA27" i="7" s="1"/>
  <c r="EZ30" i="7"/>
  <c r="EZ31" i="7" s="1"/>
  <c r="EY98" i="7"/>
  <c r="HH50" i="5"/>
  <c r="HI43" i="5" s="1"/>
  <c r="HH64" i="5"/>
  <c r="HH78" i="5" s="1"/>
  <c r="HJ23" i="7" s="1"/>
  <c r="W5" i="9" l="1"/>
  <c r="X39" i="6"/>
  <c r="W10" i="9" s="1"/>
  <c r="IM18" i="4"/>
  <c r="IM19" i="4"/>
  <c r="IN16" i="4"/>
  <c r="IN54" i="5"/>
  <c r="EZ74" i="7"/>
  <c r="FA72" i="7" s="1"/>
  <c r="EZ69" i="7"/>
  <c r="FA67" i="7" s="1"/>
  <c r="FA60" i="7"/>
  <c r="FA28" i="7"/>
  <c r="FA52" i="7"/>
  <c r="FA36" i="7"/>
  <c r="FA44" i="7"/>
  <c r="EY92" i="7"/>
  <c r="EY90" i="7"/>
  <c r="HI63" i="5"/>
  <c r="HJ87" i="7"/>
  <c r="IN18" i="4" l="1"/>
  <c r="IN19" i="4"/>
  <c r="IO16" i="4" s="1"/>
  <c r="EZ75" i="7"/>
  <c r="EZ77" i="7"/>
  <c r="EZ81" i="7" s="1"/>
  <c r="EZ70" i="7"/>
  <c r="FA53" i="7"/>
  <c r="FB49" i="7" s="1"/>
  <c r="FB50" i="7" s="1"/>
  <c r="FB51" i="7" s="1"/>
  <c r="IO54" i="5"/>
  <c r="FA37" i="7"/>
  <c r="FB33" i="7" s="1"/>
  <c r="FB34" i="7" s="1"/>
  <c r="FB35" i="7" s="1"/>
  <c r="FA45" i="7"/>
  <c r="FB41" i="7" s="1"/>
  <c r="FB42" i="7" s="1"/>
  <c r="FB43" i="7" s="1"/>
  <c r="FA29" i="7"/>
  <c r="FB25" i="7" s="1"/>
  <c r="FB26" i="7" s="1"/>
  <c r="FB27" i="7" s="1"/>
  <c r="FA61" i="7"/>
  <c r="FA62" i="7" s="1"/>
  <c r="EY95" i="7"/>
  <c r="EY93" i="7"/>
  <c r="EY96" i="7"/>
  <c r="EY94" i="7"/>
  <c r="EY100" i="7"/>
  <c r="HI64" i="5"/>
  <c r="HI78" i="5" s="1"/>
  <c r="HK23" i="7" s="1"/>
  <c r="HI50" i="5"/>
  <c r="HJ43" i="5" s="1"/>
  <c r="IO18" i="4" l="1"/>
  <c r="IO19" i="4" s="1"/>
  <c r="IP16" i="4" s="1"/>
  <c r="EZ78" i="7"/>
  <c r="EZ83" i="7"/>
  <c r="EZ85" i="7" s="1"/>
  <c r="EZ82" i="7"/>
  <c r="EZ80" i="7"/>
  <c r="EZ79" i="7"/>
  <c r="FA54" i="7"/>
  <c r="FA55" i="7" s="1"/>
  <c r="FA73" i="7"/>
  <c r="IP54" i="5"/>
  <c r="FA38" i="7"/>
  <c r="FA39" i="7" s="1"/>
  <c r="FA46" i="7"/>
  <c r="FA47" i="7" s="1"/>
  <c r="FA65" i="7"/>
  <c r="FB57" i="7"/>
  <c r="FB58" i="7" s="1"/>
  <c r="FB59" i="7" s="1"/>
  <c r="FB52" i="7" s="1"/>
  <c r="FA68" i="7"/>
  <c r="FA30" i="7"/>
  <c r="FA31" i="7" s="1"/>
  <c r="FA63" i="7"/>
  <c r="EY102" i="7"/>
  <c r="EY108" i="7"/>
  <c r="EY116" i="7" s="1"/>
  <c r="HJ63" i="5"/>
  <c r="HK87" i="7"/>
  <c r="IP18" i="4" l="1"/>
  <c r="IP19" i="4"/>
  <c r="IQ16" i="4"/>
  <c r="EZ88" i="7"/>
  <c r="EZ89" i="7" s="1"/>
  <c r="EZ98" i="7" s="1"/>
  <c r="FA74" i="7"/>
  <c r="FA75" i="7" s="1"/>
  <c r="FA69" i="7"/>
  <c r="FB67" i="7" s="1"/>
  <c r="IQ54" i="5"/>
  <c r="FB28" i="7"/>
  <c r="FB44" i="7"/>
  <c r="HJ50" i="5"/>
  <c r="HK43" i="5" s="1"/>
  <c r="HJ64" i="5"/>
  <c r="HJ78" i="5" s="1"/>
  <c r="HL23" i="7" s="1"/>
  <c r="FB36" i="7"/>
  <c r="EY105" i="7"/>
  <c r="EY113" i="7" s="1"/>
  <c r="EY121" i="7" s="1"/>
  <c r="EY106" i="7"/>
  <c r="EY114" i="7" s="1"/>
  <c r="EY122" i="7" s="1"/>
  <c r="EY103" i="7"/>
  <c r="EY111" i="7" s="1"/>
  <c r="EY119" i="7" s="1"/>
  <c r="EY104" i="7"/>
  <c r="EY112" i="7" s="1"/>
  <c r="EY120" i="7" s="1"/>
  <c r="EY107" i="7"/>
  <c r="EY115" i="7" s="1"/>
  <c r="EY123" i="7" s="1"/>
  <c r="FB60" i="7"/>
  <c r="IQ18" i="4" l="1"/>
  <c r="IQ19" i="4"/>
  <c r="IR16" i="4"/>
  <c r="EZ92" i="7"/>
  <c r="EZ95" i="7" s="1"/>
  <c r="EZ90" i="7"/>
  <c r="FA70" i="7"/>
  <c r="FA83" i="7" s="1"/>
  <c r="FA88" i="7" s="1"/>
  <c r="FA89" i="7" s="1"/>
  <c r="FB72" i="7"/>
  <c r="FA77" i="7"/>
  <c r="FA78" i="7" s="1"/>
  <c r="IR54" i="5"/>
  <c r="FB29" i="7"/>
  <c r="FC25" i="7" s="1"/>
  <c r="FB53" i="7"/>
  <c r="HL87" i="7"/>
  <c r="FB61" i="7"/>
  <c r="FC57" i="7" s="1"/>
  <c r="FB37" i="7"/>
  <c r="FC33" i="7" s="1"/>
  <c r="FB45" i="7"/>
  <c r="HK63" i="5"/>
  <c r="EZ93" i="7" l="1"/>
  <c r="IR18" i="4"/>
  <c r="IR19" i="4"/>
  <c r="IS16" i="4" s="1"/>
  <c r="EZ96" i="7"/>
  <c r="EZ100" i="7"/>
  <c r="EZ102" i="7" s="1"/>
  <c r="EZ94" i="7"/>
  <c r="FA79" i="7"/>
  <c r="FA81" i="7"/>
  <c r="FA80" i="7"/>
  <c r="FA82" i="7"/>
  <c r="FA85" i="7"/>
  <c r="FA98" i="7" s="1"/>
  <c r="IS54" i="5"/>
  <c r="FB30" i="7"/>
  <c r="FB31" i="7" s="1"/>
  <c r="FC58" i="7"/>
  <c r="FC59" i="7" s="1"/>
  <c r="FC49" i="7"/>
  <c r="FB54" i="7"/>
  <c r="FB55" i="7" s="1"/>
  <c r="HK50" i="5"/>
  <c r="HL43" i="5" s="1"/>
  <c r="HK64" i="5"/>
  <c r="HK78" i="5" s="1"/>
  <c r="HM23" i="7" s="1"/>
  <c r="FC41" i="7"/>
  <c r="FB46" i="7"/>
  <c r="FB47" i="7" s="1"/>
  <c r="FC34" i="7"/>
  <c r="FC35" i="7" s="1"/>
  <c r="FB38" i="7"/>
  <c r="FB39" i="7" s="1"/>
  <c r="FB73" i="7"/>
  <c r="FB65" i="7"/>
  <c r="FB68" i="7"/>
  <c r="FB62" i="7"/>
  <c r="FC26" i="7"/>
  <c r="FC27" i="7" s="1"/>
  <c r="IS18" i="4" l="1"/>
  <c r="IS19" i="4" s="1"/>
  <c r="IT16" i="4" s="1"/>
  <c r="EZ108" i="7"/>
  <c r="EZ116" i="7" s="1"/>
  <c r="IT54" i="5"/>
  <c r="EZ103" i="7"/>
  <c r="EZ111" i="7" s="1"/>
  <c r="EZ107" i="7"/>
  <c r="EZ115" i="7" s="1"/>
  <c r="EZ123" i="7" s="1"/>
  <c r="EZ104" i="7"/>
  <c r="EZ112" i="7" s="1"/>
  <c r="EZ120" i="7" s="1"/>
  <c r="EZ105" i="7"/>
  <c r="EZ113" i="7" s="1"/>
  <c r="EZ121" i="7" s="1"/>
  <c r="EZ106" i="7"/>
  <c r="EZ114" i="7" s="1"/>
  <c r="EZ122" i="7" s="1"/>
  <c r="FC42" i="7"/>
  <c r="FC43" i="7" s="1"/>
  <c r="FB63" i="7"/>
  <c r="FB69" i="7"/>
  <c r="FC50" i="7"/>
  <c r="FC51" i="7" s="1"/>
  <c r="FA92" i="7"/>
  <c r="FA90" i="7"/>
  <c r="FB74" i="7"/>
  <c r="FB75" i="7" s="1"/>
  <c r="HM87" i="7"/>
  <c r="HL63" i="5"/>
  <c r="EZ119" i="7" l="1"/>
  <c r="IT18" i="4"/>
  <c r="IT19" i="4" s="1"/>
  <c r="IU16" i="4" s="1"/>
  <c r="FC28" i="7"/>
  <c r="IU54" i="5"/>
  <c r="FA93" i="7"/>
  <c r="FA94" i="7"/>
  <c r="FA95" i="7"/>
  <c r="FA96" i="7"/>
  <c r="FA100" i="7"/>
  <c r="FC60" i="7"/>
  <c r="FC44" i="7"/>
  <c r="FB77" i="7"/>
  <c r="FB70" i="7"/>
  <c r="FB83" i="7" s="1"/>
  <c r="FC52" i="7"/>
  <c r="FC72" i="7"/>
  <c r="FC67" i="7"/>
  <c r="HL50" i="5"/>
  <c r="HM43" i="5" s="1"/>
  <c r="HL64" i="5"/>
  <c r="HL78" i="5" s="1"/>
  <c r="HN23" i="7" s="1"/>
  <c r="FC36" i="7"/>
  <c r="IU18" i="4" l="1"/>
  <c r="IU19" i="4"/>
  <c r="IV16" i="4"/>
  <c r="IV54" i="5"/>
  <c r="FC53" i="7"/>
  <c r="FD49" i="7" s="1"/>
  <c r="FD50" i="7" s="1"/>
  <c r="FD51" i="7" s="1"/>
  <c r="FC29" i="7"/>
  <c r="FC61" i="7"/>
  <c r="FD57" i="7" s="1"/>
  <c r="FB82" i="7"/>
  <c r="FB81" i="7"/>
  <c r="FB79" i="7"/>
  <c r="FB78" i="7"/>
  <c r="FB80" i="7"/>
  <c r="FB85" i="7"/>
  <c r="FA108" i="7"/>
  <c r="FA116" i="7" s="1"/>
  <c r="FA102" i="7"/>
  <c r="FB88" i="7"/>
  <c r="FB89" i="7" s="1"/>
  <c r="FC45" i="7"/>
  <c r="FD41" i="7" s="1"/>
  <c r="HN87" i="7"/>
  <c r="HM63" i="5"/>
  <c r="FC37" i="7"/>
  <c r="FD33" i="7" s="1"/>
  <c r="IV18" i="4" l="1"/>
  <c r="IV19" i="4"/>
  <c r="IW16" i="4"/>
  <c r="FC54" i="7"/>
  <c r="FC55" i="7" s="1"/>
  <c r="IW54" i="5"/>
  <c r="FC46" i="7"/>
  <c r="FC47" i="7" s="1"/>
  <c r="FC38" i="7"/>
  <c r="FC39" i="7" s="1"/>
  <c r="FC62" i="7"/>
  <c r="FB98" i="7"/>
  <c r="FD58" i="7"/>
  <c r="FD59" i="7" s="1"/>
  <c r="FD25" i="7"/>
  <c r="FC30" i="7"/>
  <c r="FC31" i="7" s="1"/>
  <c r="FC73" i="7"/>
  <c r="FC65" i="7"/>
  <c r="FC68" i="7"/>
  <c r="FA107" i="7"/>
  <c r="FA115" i="7" s="1"/>
  <c r="FA123" i="7" s="1"/>
  <c r="FA106" i="7"/>
  <c r="FA114" i="7" s="1"/>
  <c r="FA122" i="7" s="1"/>
  <c r="FA103" i="7"/>
  <c r="FA111" i="7" s="1"/>
  <c r="FA119" i="7" s="1"/>
  <c r="FA104" i="7"/>
  <c r="FA112" i="7" s="1"/>
  <c r="FA120" i="7" s="1"/>
  <c r="FA105" i="7"/>
  <c r="FA113" i="7" s="1"/>
  <c r="FA121" i="7" s="1"/>
  <c r="HM50" i="5"/>
  <c r="HN43" i="5" s="1"/>
  <c r="HM64" i="5"/>
  <c r="HM78" i="5" s="1"/>
  <c r="HO23" i="7" s="1"/>
  <c r="FD42" i="7"/>
  <c r="FD43" i="7" s="1"/>
  <c r="FD34" i="7"/>
  <c r="FD35" i="7" s="1"/>
  <c r="IW18" i="4" l="1"/>
  <c r="IW19" i="4"/>
  <c r="IX16" i="4" s="1"/>
  <c r="IX54" i="5"/>
  <c r="FD26" i="7"/>
  <c r="FD27" i="7" s="1"/>
  <c r="HN63" i="5"/>
  <c r="HO87" i="7"/>
  <c r="FC69" i="7"/>
  <c r="FD67" i="7" s="1"/>
  <c r="FC74" i="7"/>
  <c r="FC75" i="7" s="1"/>
  <c r="FB92" i="7"/>
  <c r="FB90" i="7"/>
  <c r="FC63" i="7"/>
  <c r="IX18" i="4" l="1"/>
  <c r="IX19" i="4"/>
  <c r="IY16" i="4" s="1"/>
  <c r="IY54" i="5"/>
  <c r="FD72" i="7"/>
  <c r="FD36" i="7"/>
  <c r="FD28" i="7"/>
  <c r="FD60" i="7"/>
  <c r="FD52" i="7"/>
  <c r="FD44" i="7"/>
  <c r="FB95" i="7"/>
  <c r="FB96" i="7"/>
  <c r="FB93" i="7"/>
  <c r="FB94" i="7"/>
  <c r="FB100" i="7"/>
  <c r="FC77" i="7"/>
  <c r="FC70" i="7"/>
  <c r="FC83" i="7" s="1"/>
  <c r="HN50" i="5"/>
  <c r="HO43" i="5" s="1"/>
  <c r="HN64" i="5"/>
  <c r="HN78" i="5" s="1"/>
  <c r="HP23" i="7" s="1"/>
  <c r="IY18" i="4" l="1"/>
  <c r="IY19" i="4"/>
  <c r="IZ16" i="4" s="1"/>
  <c r="IZ54" i="5"/>
  <c r="FC88" i="7"/>
  <c r="FC89" i="7" s="1"/>
  <c r="FC79" i="7"/>
  <c r="FC80" i="7"/>
  <c r="FC81" i="7"/>
  <c r="FC78" i="7"/>
  <c r="FC82" i="7"/>
  <c r="FC85" i="7"/>
  <c r="FB102" i="7"/>
  <c r="FB108" i="7"/>
  <c r="FB116" i="7" s="1"/>
  <c r="HP87" i="7"/>
  <c r="FD61" i="7"/>
  <c r="FE57" i="7" s="1"/>
  <c r="FD37" i="7"/>
  <c r="FE33" i="7" s="1"/>
  <c r="FD45" i="7"/>
  <c r="FE41" i="7" s="1"/>
  <c r="FD53" i="7"/>
  <c r="FE49" i="7" s="1"/>
  <c r="FD29" i="7"/>
  <c r="FE25" i="7" s="1"/>
  <c r="HO63" i="5"/>
  <c r="IZ18" i="4" l="1"/>
  <c r="IZ19" i="4"/>
  <c r="JA16" i="4" s="1"/>
  <c r="JA54" i="5"/>
  <c r="FD54" i="7"/>
  <c r="FD55" i="7" s="1"/>
  <c r="FE42" i="7"/>
  <c r="FE43" i="7" s="1"/>
  <c r="FB107" i="7"/>
  <c r="FB115" i="7" s="1"/>
  <c r="FB123" i="7" s="1"/>
  <c r="FB104" i="7"/>
  <c r="FB112" i="7" s="1"/>
  <c r="FB120" i="7" s="1"/>
  <c r="FB106" i="7"/>
  <c r="FB114" i="7" s="1"/>
  <c r="FB122" i="7" s="1"/>
  <c r="FB105" i="7"/>
  <c r="FB113" i="7" s="1"/>
  <c r="FB121" i="7" s="1"/>
  <c r="FB103" i="7"/>
  <c r="FB111" i="7" s="1"/>
  <c r="FB119" i="7" s="1"/>
  <c r="FD38" i="7"/>
  <c r="FD39" i="7" s="1"/>
  <c r="FD62" i="7"/>
  <c r="FE34" i="7"/>
  <c r="FE35" i="7" s="1"/>
  <c r="FC98" i="7"/>
  <c r="FE26" i="7"/>
  <c r="FE27" i="7" s="1"/>
  <c r="FD68" i="7"/>
  <c r="FE58" i="7"/>
  <c r="FE59" i="7" s="1"/>
  <c r="FD65" i="7"/>
  <c r="FD73" i="7"/>
  <c r="HO50" i="5"/>
  <c r="HP43" i="5" s="1"/>
  <c r="HO64" i="5"/>
  <c r="HO78" i="5" s="1"/>
  <c r="HQ23" i="7" s="1"/>
  <c r="FE50" i="7"/>
  <c r="FE51" i="7" s="1"/>
  <c r="FD30" i="7"/>
  <c r="FD31" i="7" s="1"/>
  <c r="FD46" i="7"/>
  <c r="FD47" i="7" s="1"/>
  <c r="JA18" i="4" l="1"/>
  <c r="JA19" i="4"/>
  <c r="JB16" i="4" s="1"/>
  <c r="JB54" i="5"/>
  <c r="FE60" i="7"/>
  <c r="FE44" i="7"/>
  <c r="FE36" i="7"/>
  <c r="FE52" i="7"/>
  <c r="FE28" i="7"/>
  <c r="HP63" i="5"/>
  <c r="HQ87" i="7"/>
  <c r="FD63" i="7"/>
  <c r="FD69" i="7"/>
  <c r="FD74" i="7"/>
  <c r="FD75" i="7" s="1"/>
  <c r="FC90" i="7"/>
  <c r="FC92" i="7"/>
  <c r="JB18" i="4" l="1"/>
  <c r="JB19" i="4"/>
  <c r="JC16" i="4"/>
  <c r="JC54" i="5"/>
  <c r="FD70" i="7"/>
  <c r="FD83" i="7" s="1"/>
  <c r="FD77" i="7"/>
  <c r="HP50" i="5"/>
  <c r="HQ43" i="5" s="1"/>
  <c r="HP64" i="5"/>
  <c r="HP78" i="5" s="1"/>
  <c r="HR23" i="7" s="1"/>
  <c r="FC95" i="7"/>
  <c r="FC96" i="7"/>
  <c r="FC93" i="7"/>
  <c r="FC94" i="7"/>
  <c r="FC100" i="7"/>
  <c r="FE37" i="7"/>
  <c r="FF33" i="7" s="1"/>
  <c r="FE53" i="7"/>
  <c r="FF49" i="7" s="1"/>
  <c r="FE61" i="7"/>
  <c r="FE45" i="7"/>
  <c r="FF41" i="7" s="1"/>
  <c r="FE29" i="7"/>
  <c r="FF25" i="7" s="1"/>
  <c r="FE72" i="7"/>
  <c r="FE67" i="7"/>
  <c r="JC18" i="4" l="1"/>
  <c r="JC19" i="4"/>
  <c r="JD16" i="4" s="1"/>
  <c r="JD54" i="5"/>
  <c r="FE68" i="7"/>
  <c r="FE38" i="7"/>
  <c r="FE39" i="7" s="1"/>
  <c r="FE73" i="7"/>
  <c r="FF57" i="7"/>
  <c r="FE62" i="7"/>
  <c r="FE54" i="7"/>
  <c r="FE55" i="7" s="1"/>
  <c r="FE30" i="7"/>
  <c r="FE31" i="7" s="1"/>
  <c r="HR87" i="7"/>
  <c r="FF50" i="7"/>
  <c r="FF51" i="7" s="1"/>
  <c r="FD82" i="7"/>
  <c r="FD79" i="7"/>
  <c r="FD80" i="7"/>
  <c r="FD81" i="7"/>
  <c r="FD78" i="7"/>
  <c r="FD85" i="7"/>
  <c r="FF26" i="7"/>
  <c r="FF27" i="7" s="1"/>
  <c r="FF34" i="7"/>
  <c r="FF35" i="7" s="1"/>
  <c r="FC102" i="7"/>
  <c r="FC108" i="7"/>
  <c r="FC116" i="7" s="1"/>
  <c r="FD88" i="7"/>
  <c r="FD89" i="7" s="1"/>
  <c r="FF42" i="7"/>
  <c r="FF43" i="7" s="1"/>
  <c r="HQ63" i="5"/>
  <c r="FE46" i="7"/>
  <c r="FE47" i="7" s="1"/>
  <c r="FE65" i="7"/>
  <c r="JD18" i="4" l="1"/>
  <c r="JD19" i="4"/>
  <c r="JE16" i="4" s="1"/>
  <c r="JE54" i="5"/>
  <c r="FC106" i="7"/>
  <c r="FC114" i="7" s="1"/>
  <c r="FC122" i="7" s="1"/>
  <c r="FC103" i="7"/>
  <c r="FC111" i="7" s="1"/>
  <c r="FC119" i="7" s="1"/>
  <c r="FC104" i="7"/>
  <c r="FC112" i="7" s="1"/>
  <c r="FC120" i="7" s="1"/>
  <c r="FC105" i="7"/>
  <c r="FC113" i="7" s="1"/>
  <c r="FC121" i="7" s="1"/>
  <c r="FC107" i="7"/>
  <c r="FC115" i="7" s="1"/>
  <c r="FC123" i="7" s="1"/>
  <c r="FF58" i="7"/>
  <c r="FF59" i="7" s="1"/>
  <c r="HQ64" i="5"/>
  <c r="HQ78" i="5" s="1"/>
  <c r="HS23" i="7" s="1"/>
  <c r="HQ50" i="5"/>
  <c r="HR43" i="5" s="1"/>
  <c r="FE63" i="7"/>
  <c r="FD98" i="7"/>
  <c r="FE69" i="7"/>
  <c r="FE74" i="7"/>
  <c r="JE18" i="4" l="1"/>
  <c r="JE19" i="4"/>
  <c r="JF16" i="4" s="1"/>
  <c r="JF54" i="5"/>
  <c r="FE70" i="7"/>
  <c r="FE77" i="7"/>
  <c r="FF67" i="7"/>
  <c r="FF44" i="7"/>
  <c r="FF28" i="7"/>
  <c r="FE75" i="7"/>
  <c r="FF72" i="7"/>
  <c r="FF52" i="7"/>
  <c r="FF36" i="7"/>
  <c r="HR63" i="5"/>
  <c r="FD92" i="7"/>
  <c r="FD90" i="7"/>
  <c r="HS87" i="7"/>
  <c r="FF60" i="7"/>
  <c r="JF18" i="4" l="1"/>
  <c r="JF19" i="4"/>
  <c r="JG16" i="4" s="1"/>
  <c r="JG54" i="5"/>
  <c r="FF61" i="7"/>
  <c r="FG57" i="7" s="1"/>
  <c r="FF45" i="7"/>
  <c r="FG41" i="7" s="1"/>
  <c r="FF53" i="7"/>
  <c r="FG49" i="7" s="1"/>
  <c r="FF29" i="7"/>
  <c r="FG25" i="7" s="1"/>
  <c r="FF37" i="7"/>
  <c r="FG33" i="7" s="1"/>
  <c r="FD94" i="7"/>
  <c r="FD93" i="7"/>
  <c r="FD96" i="7"/>
  <c r="FD95" i="7"/>
  <c r="FD100" i="7"/>
  <c r="FE82" i="7"/>
  <c r="FE78" i="7"/>
  <c r="FE80" i="7"/>
  <c r="FE81" i="7"/>
  <c r="FE79" i="7"/>
  <c r="HR50" i="5"/>
  <c r="HS43" i="5" s="1"/>
  <c r="HR64" i="5"/>
  <c r="HR78" i="5" s="1"/>
  <c r="HT23" i="7" s="1"/>
  <c r="FE83" i="7"/>
  <c r="FE85" i="7" s="1"/>
  <c r="JG18" i="4" l="1"/>
  <c r="JG19" i="4"/>
  <c r="JH16" i="4" s="1"/>
  <c r="JH54" i="5"/>
  <c r="FF38" i="7"/>
  <c r="FF39" i="7" s="1"/>
  <c r="FF46" i="7"/>
  <c r="FF47" i="7" s="1"/>
  <c r="FF30" i="7"/>
  <c r="FF31" i="7" s="1"/>
  <c r="FG42" i="7"/>
  <c r="FG43" i="7" s="1"/>
  <c r="FG58" i="7"/>
  <c r="FG59" i="7" s="1"/>
  <c r="FG50" i="7"/>
  <c r="FG51" i="7" s="1"/>
  <c r="FD108" i="7"/>
  <c r="FD116" i="7" s="1"/>
  <c r="FD102" i="7"/>
  <c r="FF54" i="7"/>
  <c r="FF55" i="7" s="1"/>
  <c r="FF62" i="7"/>
  <c r="FG34" i="7"/>
  <c r="FG35" i="7" s="1"/>
  <c r="FF73" i="7"/>
  <c r="FF65" i="7"/>
  <c r="HT87" i="7"/>
  <c r="FE88" i="7"/>
  <c r="FE89" i="7" s="1"/>
  <c r="FE98" i="7" s="1"/>
  <c r="HS63" i="5"/>
  <c r="FG26" i="7"/>
  <c r="FG27" i="7" s="1"/>
  <c r="FF68" i="7"/>
  <c r="JH18" i="4" l="1"/>
  <c r="JH19" i="4"/>
  <c r="JI16" i="4" s="1"/>
  <c r="JI54" i="5"/>
  <c r="FE90" i="7"/>
  <c r="FE92" i="7"/>
  <c r="HS50" i="5"/>
  <c r="HT43" i="5" s="1"/>
  <c r="HS64" i="5"/>
  <c r="HS78" i="5" s="1"/>
  <c r="HU23" i="7" s="1"/>
  <c r="FG36" i="7"/>
  <c r="FG60" i="7"/>
  <c r="FG52" i="7"/>
  <c r="FG28" i="7"/>
  <c r="FG44" i="7"/>
  <c r="FD106" i="7"/>
  <c r="FD114" i="7" s="1"/>
  <c r="FD122" i="7" s="1"/>
  <c r="FD104" i="7"/>
  <c r="FD112" i="7" s="1"/>
  <c r="FD120" i="7" s="1"/>
  <c r="FD103" i="7"/>
  <c r="FD111" i="7" s="1"/>
  <c r="FD119" i="7" s="1"/>
  <c r="FD105" i="7"/>
  <c r="FD113" i="7" s="1"/>
  <c r="FD121" i="7" s="1"/>
  <c r="FD107" i="7"/>
  <c r="FD115" i="7" s="1"/>
  <c r="FD123" i="7" s="1"/>
  <c r="FF63" i="7"/>
  <c r="FF74" i="7"/>
  <c r="FF75" i="7" s="1"/>
  <c r="FF69" i="7"/>
  <c r="FG67" i="7" s="1"/>
  <c r="JI18" i="4" l="1"/>
  <c r="JI19" i="4"/>
  <c r="JJ16" i="4" s="1"/>
  <c r="JJ54" i="5"/>
  <c r="HU87" i="7"/>
  <c r="FE96" i="7"/>
  <c r="FE94" i="7"/>
  <c r="FE95" i="7"/>
  <c r="FE93" i="7"/>
  <c r="FE100" i="7"/>
  <c r="FG72" i="7"/>
  <c r="HT63" i="5"/>
  <c r="FF77" i="7"/>
  <c r="FF70" i="7"/>
  <c r="FF83" i="7" s="1"/>
  <c r="FG61" i="7"/>
  <c r="FH57" i="7" s="1"/>
  <c r="FG29" i="7"/>
  <c r="FH25" i="7" s="1"/>
  <c r="FG37" i="7"/>
  <c r="FH33" i="7" s="1"/>
  <c r="FG53" i="7"/>
  <c r="FH49" i="7" s="1"/>
  <c r="FG45" i="7"/>
  <c r="FH41" i="7" s="1"/>
  <c r="JJ18" i="4" l="1"/>
  <c r="JJ19" i="4" s="1"/>
  <c r="JK16" i="4" s="1"/>
  <c r="JK54" i="5"/>
  <c r="FG46" i="7"/>
  <c r="FG47" i="7" s="1"/>
  <c r="FG54" i="7"/>
  <c r="FG55" i="7" s="1"/>
  <c r="FH34" i="7"/>
  <c r="FH35" i="7" s="1"/>
  <c r="FF88" i="7"/>
  <c r="FF89" i="7" s="1"/>
  <c r="FG62" i="7"/>
  <c r="FG65" i="7"/>
  <c r="HT50" i="5"/>
  <c r="HU43" i="5" s="1"/>
  <c r="HT64" i="5"/>
  <c r="HT78" i="5" s="1"/>
  <c r="HV23" i="7" s="1"/>
  <c r="FH26" i="7"/>
  <c r="FH27" i="7" s="1"/>
  <c r="FF80" i="7"/>
  <c r="FF81" i="7"/>
  <c r="FF78" i="7"/>
  <c r="FF82" i="7"/>
  <c r="FF79" i="7"/>
  <c r="FF85" i="7"/>
  <c r="FH58" i="7"/>
  <c r="FH59" i="7" s="1"/>
  <c r="FG73" i="7"/>
  <c r="FE102" i="7"/>
  <c r="FE108" i="7"/>
  <c r="FE116" i="7" s="1"/>
  <c r="FH42" i="7"/>
  <c r="FH43" i="7" s="1"/>
  <c r="FG68" i="7"/>
  <c r="FH50" i="7"/>
  <c r="FH51" i="7" s="1"/>
  <c r="FG30" i="7"/>
  <c r="FG31" i="7" s="1"/>
  <c r="FG38" i="7"/>
  <c r="FG39" i="7" s="1"/>
  <c r="JK18" i="4" l="1"/>
  <c r="JK19" i="4" s="1"/>
  <c r="JL16" i="4" s="1"/>
  <c r="JL54" i="5"/>
  <c r="FG74" i="7"/>
  <c r="FG75" i="7" s="1"/>
  <c r="HU63" i="5"/>
  <c r="FE106" i="7"/>
  <c r="FE114" i="7" s="1"/>
  <c r="FE122" i="7" s="1"/>
  <c r="FE104" i="7"/>
  <c r="FE112" i="7" s="1"/>
  <c r="FE120" i="7" s="1"/>
  <c r="FE107" i="7"/>
  <c r="FE115" i="7" s="1"/>
  <c r="FE123" i="7" s="1"/>
  <c r="FE105" i="7"/>
  <c r="FE113" i="7" s="1"/>
  <c r="FE121" i="7" s="1"/>
  <c r="FE103" i="7"/>
  <c r="FE111" i="7" s="1"/>
  <c r="FE119" i="7" s="1"/>
  <c r="FH60" i="7"/>
  <c r="FH52" i="7"/>
  <c r="FH44" i="7"/>
  <c r="FH36" i="7"/>
  <c r="FH28" i="7"/>
  <c r="FG69" i="7"/>
  <c r="FH67" i="7" s="1"/>
  <c r="FF98" i="7"/>
  <c r="FG63" i="7"/>
  <c r="HV87" i="7"/>
  <c r="JL18" i="4" l="1"/>
  <c r="JL19" i="4" s="1"/>
  <c r="JM16" i="4" s="1"/>
  <c r="JM54" i="5"/>
  <c r="FH72" i="7"/>
  <c r="HU64" i="5"/>
  <c r="HU78" i="5" s="1"/>
  <c r="HW23" i="7" s="1"/>
  <c r="HU50" i="5"/>
  <c r="HV43" i="5" s="1"/>
  <c r="FF90" i="7"/>
  <c r="FF92" i="7"/>
  <c r="FH29" i="7"/>
  <c r="FI25" i="7" s="1"/>
  <c r="FH37" i="7"/>
  <c r="FI33" i="7" s="1"/>
  <c r="FH45" i="7"/>
  <c r="FI41" i="7" s="1"/>
  <c r="FH61" i="7"/>
  <c r="FI57" i="7" s="1"/>
  <c r="FH53" i="7"/>
  <c r="FI49" i="7" s="1"/>
  <c r="FG77" i="7"/>
  <c r="FG70" i="7"/>
  <c r="FG83" i="7" s="1"/>
  <c r="JM18" i="4" l="1"/>
  <c r="JM19" i="4"/>
  <c r="JN16" i="4"/>
  <c r="JN54" i="5"/>
  <c r="FH38" i="7"/>
  <c r="FH39" i="7" s="1"/>
  <c r="FH62" i="7"/>
  <c r="FH63" i="7" s="1"/>
  <c r="FH68" i="7"/>
  <c r="FH73" i="7"/>
  <c r="FH54" i="7"/>
  <c r="FH55" i="7" s="1"/>
  <c r="FI50" i="7"/>
  <c r="FI51" i="7" s="1"/>
  <c r="FG88" i="7"/>
  <c r="FG89" i="7" s="1"/>
  <c r="FI42" i="7"/>
  <c r="FI43" i="7" s="1"/>
  <c r="FH46" i="7"/>
  <c r="FH47" i="7" s="1"/>
  <c r="HV63" i="5"/>
  <c r="FG78" i="7"/>
  <c r="FG80" i="7"/>
  <c r="FG81" i="7"/>
  <c r="FG82" i="7"/>
  <c r="FG79" i="7"/>
  <c r="FG85" i="7"/>
  <c r="FI34" i="7"/>
  <c r="FI35" i="7" s="1"/>
  <c r="FI58" i="7"/>
  <c r="FI59" i="7" s="1"/>
  <c r="HW87" i="7"/>
  <c r="FF95" i="7"/>
  <c r="FF94" i="7"/>
  <c r="FF93" i="7"/>
  <c r="FF96" i="7"/>
  <c r="FF100" i="7"/>
  <c r="FI26" i="7"/>
  <c r="FI27" i="7" s="1"/>
  <c r="FH65" i="7"/>
  <c r="FH30" i="7"/>
  <c r="FH31" i="7" s="1"/>
  <c r="JN18" i="4" l="1"/>
  <c r="JN19" i="4"/>
  <c r="JO16" i="4"/>
  <c r="JO54" i="5"/>
  <c r="FH74" i="7"/>
  <c r="FH75" i="7" s="1"/>
  <c r="FH69" i="7"/>
  <c r="FI67" i="7" s="1"/>
  <c r="FG98" i="7"/>
  <c r="FI44" i="7"/>
  <c r="FI28" i="7"/>
  <c r="FI52" i="7"/>
  <c r="FI36" i="7"/>
  <c r="FI60" i="7"/>
  <c r="HV64" i="5"/>
  <c r="HV78" i="5" s="1"/>
  <c r="HX23" i="7" s="1"/>
  <c r="HV50" i="5"/>
  <c r="HW43" i="5" s="1"/>
  <c r="FF102" i="7"/>
  <c r="FF108" i="7"/>
  <c r="FF116" i="7" s="1"/>
  <c r="JO18" i="4" l="1"/>
  <c r="JP44" i="5" s="1"/>
  <c r="JO19" i="4"/>
  <c r="JP16" i="4" s="1"/>
  <c r="FI37" i="7"/>
  <c r="FJ33" i="7" s="1"/>
  <c r="FI61" i="7"/>
  <c r="FJ57" i="7" s="1"/>
  <c r="FI53" i="7"/>
  <c r="FJ49" i="7" s="1"/>
  <c r="FI45" i="7"/>
  <c r="FJ41" i="7" s="1"/>
  <c r="FI29" i="7"/>
  <c r="FJ25" i="7" s="1"/>
  <c r="HW63" i="5"/>
  <c r="FH70" i="7"/>
  <c r="FH83" i="7" s="1"/>
  <c r="FH77" i="7"/>
  <c r="HX87" i="7"/>
  <c r="FI72" i="7"/>
  <c r="FF105" i="7"/>
  <c r="FF113" i="7" s="1"/>
  <c r="FF121" i="7" s="1"/>
  <c r="FF104" i="7"/>
  <c r="FF112" i="7" s="1"/>
  <c r="FF120" i="7" s="1"/>
  <c r="FF103" i="7"/>
  <c r="FF111" i="7" s="1"/>
  <c r="FF119" i="7" s="1"/>
  <c r="FF107" i="7"/>
  <c r="FF115" i="7" s="1"/>
  <c r="FF123" i="7" s="1"/>
  <c r="FF106" i="7"/>
  <c r="FF114" i="7" s="1"/>
  <c r="FF122" i="7" s="1"/>
  <c r="FG92" i="7"/>
  <c r="FG90" i="7"/>
  <c r="JP18" i="4" l="1"/>
  <c r="JP19" i="4"/>
  <c r="JQ16" i="4" s="1"/>
  <c r="JP45" i="5"/>
  <c r="JP46" i="5"/>
  <c r="JP68" i="5"/>
  <c r="AA28" i="6"/>
  <c r="AA30" i="6" s="1"/>
  <c r="AA37" i="6" s="1"/>
  <c r="Z8" i="9" s="1"/>
  <c r="JQ54" i="5"/>
  <c r="FI54" i="7"/>
  <c r="FI55" i="7" s="1"/>
  <c r="FI62" i="7"/>
  <c r="FI63" i="7" s="1"/>
  <c r="FI46" i="7"/>
  <c r="FI47" i="7" s="1"/>
  <c r="FI30" i="7"/>
  <c r="FI31" i="7" s="1"/>
  <c r="FJ58" i="7"/>
  <c r="FJ59" i="7" s="1"/>
  <c r="FI65" i="7"/>
  <c r="FH88" i="7"/>
  <c r="FH89" i="7" s="1"/>
  <c r="FJ34" i="7"/>
  <c r="FJ35" i="7" s="1"/>
  <c r="FG96" i="7"/>
  <c r="FG94" i="7"/>
  <c r="FG93" i="7"/>
  <c r="FG95" i="7"/>
  <c r="FG100" i="7"/>
  <c r="FJ26" i="7"/>
  <c r="FJ27" i="7" s="1"/>
  <c r="FI68" i="7"/>
  <c r="FI38" i="7"/>
  <c r="FI39" i="7" s="1"/>
  <c r="FJ42" i="7"/>
  <c r="FJ43" i="7" s="1"/>
  <c r="HW50" i="5"/>
  <c r="HX43" i="5" s="1"/>
  <c r="HW64" i="5"/>
  <c r="HW78" i="5" s="1"/>
  <c r="HY23" i="7" s="1"/>
  <c r="FI73" i="7"/>
  <c r="FH80" i="7"/>
  <c r="FH79" i="7"/>
  <c r="FH81" i="7"/>
  <c r="FH78" i="7"/>
  <c r="FH82" i="7"/>
  <c r="FH85" i="7"/>
  <c r="FJ50" i="7"/>
  <c r="FJ51" i="7" s="1"/>
  <c r="JQ18" i="4" l="1"/>
  <c r="JQ19" i="4"/>
  <c r="JR16" i="4"/>
  <c r="JP48" i="5"/>
  <c r="JP49" i="5" s="1"/>
  <c r="JP54" i="5" s="1"/>
  <c r="JR54" i="5"/>
  <c r="HY87" i="7"/>
  <c r="FG108" i="7"/>
  <c r="FG116" i="7" s="1"/>
  <c r="FG102" i="7"/>
  <c r="FH98" i="7"/>
  <c r="FI74" i="7"/>
  <c r="FI75" i="7" s="1"/>
  <c r="HX63" i="5"/>
  <c r="FJ52" i="7"/>
  <c r="FJ44" i="7"/>
  <c r="FJ28" i="7"/>
  <c r="FJ60" i="7"/>
  <c r="FJ36" i="7"/>
  <c r="FI69" i="7"/>
  <c r="FJ67" i="7" s="1"/>
  <c r="JP58" i="5" l="1"/>
  <c r="JR18" i="4"/>
  <c r="JR19" i="4" s="1"/>
  <c r="JS16" i="4" s="1"/>
  <c r="AA33" i="6"/>
  <c r="JS54" i="5"/>
  <c r="FH92" i="7"/>
  <c r="FH90" i="7"/>
  <c r="FG105" i="7"/>
  <c r="FG113" i="7" s="1"/>
  <c r="FG121" i="7" s="1"/>
  <c r="FG107" i="7"/>
  <c r="FG115" i="7" s="1"/>
  <c r="FG123" i="7" s="1"/>
  <c r="FG104" i="7"/>
  <c r="FG112" i="7" s="1"/>
  <c r="FG120" i="7" s="1"/>
  <c r="FG103" i="7"/>
  <c r="FG111" i="7" s="1"/>
  <c r="FG119" i="7" s="1"/>
  <c r="FG106" i="7"/>
  <c r="FG114" i="7" s="1"/>
  <c r="FG122" i="7" s="1"/>
  <c r="HX50" i="5"/>
  <c r="HY43" i="5" s="1"/>
  <c r="HX64" i="5"/>
  <c r="HX78" i="5" s="1"/>
  <c r="HZ23" i="7" s="1"/>
  <c r="FJ53" i="7"/>
  <c r="FK49" i="7" s="1"/>
  <c r="FJ45" i="7"/>
  <c r="FK41" i="7" s="1"/>
  <c r="FJ61" i="7"/>
  <c r="FK57" i="7" s="1"/>
  <c r="FJ37" i="7"/>
  <c r="FK33" i="7" s="1"/>
  <c r="FJ29" i="7"/>
  <c r="FK25" i="7" s="1"/>
  <c r="FI70" i="7"/>
  <c r="FI83" i="7" s="1"/>
  <c r="FI77" i="7"/>
  <c r="FJ72" i="7"/>
  <c r="JS18" i="4" l="1"/>
  <c r="JS19" i="4"/>
  <c r="JT16" i="4" s="1"/>
  <c r="JT54" i="5"/>
  <c r="FJ38" i="7"/>
  <c r="FJ39" i="7" s="1"/>
  <c r="FI88" i="7"/>
  <c r="FI89" i="7" s="1"/>
  <c r="FJ73" i="7"/>
  <c r="FK34" i="7"/>
  <c r="FK35" i="7" s="1"/>
  <c r="FI78" i="7"/>
  <c r="FI80" i="7"/>
  <c r="FI82" i="7"/>
  <c r="FI79" i="7"/>
  <c r="FI81" i="7"/>
  <c r="FI85" i="7"/>
  <c r="FJ30" i="7"/>
  <c r="FJ31" i="7" s="1"/>
  <c r="FK42" i="7"/>
  <c r="FK43" i="7" s="1"/>
  <c r="FH95" i="7"/>
  <c r="FH93" i="7"/>
  <c r="FH96" i="7"/>
  <c r="FH94" i="7"/>
  <c r="FH100" i="7"/>
  <c r="FK26" i="7"/>
  <c r="FK27" i="7" s="1"/>
  <c r="FK58" i="7"/>
  <c r="FK59" i="7" s="1"/>
  <c r="FJ62" i="7"/>
  <c r="FK50" i="7"/>
  <c r="FK51" i="7" s="1"/>
  <c r="FJ54" i="7"/>
  <c r="FJ55" i="7" s="1"/>
  <c r="FJ68" i="7"/>
  <c r="HZ87" i="7"/>
  <c r="HY63" i="5"/>
  <c r="FJ46" i="7"/>
  <c r="FJ47" i="7" s="1"/>
  <c r="FJ65" i="7"/>
  <c r="JT18" i="4" l="1"/>
  <c r="JT19" i="4"/>
  <c r="JU16" i="4" s="1"/>
  <c r="JU54" i="5"/>
  <c r="FJ74" i="7"/>
  <c r="FJ75" i="7" s="1"/>
  <c r="FK36" i="7"/>
  <c r="FK52" i="7"/>
  <c r="FK28" i="7"/>
  <c r="FK44" i="7"/>
  <c r="FK60" i="7"/>
  <c r="FJ63" i="7"/>
  <c r="FJ69" i="7"/>
  <c r="FK67" i="7" s="1"/>
  <c r="FH108" i="7"/>
  <c r="FH116" i="7" s="1"/>
  <c r="FH102" i="7"/>
  <c r="FI98" i="7"/>
  <c r="HY50" i="5"/>
  <c r="HZ43" i="5" s="1"/>
  <c r="HY64" i="5"/>
  <c r="HY78" i="5" s="1"/>
  <c r="IA23" i="7" s="1"/>
  <c r="JU18" i="4" l="1"/>
  <c r="JU19" i="4"/>
  <c r="JV16" i="4" s="1"/>
  <c r="JV54" i="5"/>
  <c r="FK72" i="7"/>
  <c r="FJ77" i="7"/>
  <c r="FJ70" i="7"/>
  <c r="FJ83" i="7" s="1"/>
  <c r="FK61" i="7"/>
  <c r="FL57" i="7" s="1"/>
  <c r="FK37" i="7"/>
  <c r="FL33" i="7" s="1"/>
  <c r="FK29" i="7"/>
  <c r="FL25" i="7" s="1"/>
  <c r="FK45" i="7"/>
  <c r="FL41" i="7" s="1"/>
  <c r="FK53" i="7"/>
  <c r="FL49" i="7" s="1"/>
  <c r="FI90" i="7"/>
  <c r="FI92" i="7"/>
  <c r="IA87" i="7"/>
  <c r="HZ63" i="5"/>
  <c r="FH107" i="7"/>
  <c r="FH115" i="7" s="1"/>
  <c r="FH123" i="7" s="1"/>
  <c r="P52" i="8" s="1"/>
  <c r="P54" i="8" s="1"/>
  <c r="FH104" i="7"/>
  <c r="FH112" i="7" s="1"/>
  <c r="FH120" i="7" s="1"/>
  <c r="P19" i="8" s="1"/>
  <c r="P21" i="8" s="1"/>
  <c r="FH105" i="7"/>
  <c r="FH113" i="7" s="1"/>
  <c r="FH121" i="7" s="1"/>
  <c r="P30" i="8" s="1"/>
  <c r="P32" i="8" s="1"/>
  <c r="FH103" i="7"/>
  <c r="FH111" i="7" s="1"/>
  <c r="FH119" i="7" s="1"/>
  <c r="P8" i="8" s="1"/>
  <c r="P10" i="8" s="1"/>
  <c r="FH106" i="7"/>
  <c r="FH114" i="7" s="1"/>
  <c r="FH122" i="7" s="1"/>
  <c r="P41" i="8" s="1"/>
  <c r="P43" i="8" s="1"/>
  <c r="JV18" i="4" l="1"/>
  <c r="JW44" i="5" s="1"/>
  <c r="FK46" i="7"/>
  <c r="FK47" i="7" s="1"/>
  <c r="FK62" i="7"/>
  <c r="FK63" i="7" s="1"/>
  <c r="FK65" i="7"/>
  <c r="FK54" i="7"/>
  <c r="FK55" i="7" s="1"/>
  <c r="FL34" i="7"/>
  <c r="FL35" i="7" s="1"/>
  <c r="FK38" i="7"/>
  <c r="FK39" i="7" s="1"/>
  <c r="FL58" i="7"/>
  <c r="FL59" i="7" s="1"/>
  <c r="FK73" i="7"/>
  <c r="FJ88" i="7"/>
  <c r="FJ89" i="7" s="1"/>
  <c r="HZ50" i="5"/>
  <c r="IA43" i="5" s="1"/>
  <c r="HZ64" i="5"/>
  <c r="HZ78" i="5" s="1"/>
  <c r="IB23" i="7" s="1"/>
  <c r="FL50" i="7"/>
  <c r="FL51" i="7" s="1"/>
  <c r="FI96" i="7"/>
  <c r="FI95" i="7"/>
  <c r="FI93" i="7"/>
  <c r="FI94" i="7"/>
  <c r="FI100" i="7"/>
  <c r="FK68" i="7"/>
  <c r="FL42" i="7"/>
  <c r="FL43" i="7" s="1"/>
  <c r="FK30" i="7"/>
  <c r="FK31" i="7" s="1"/>
  <c r="FJ82" i="7"/>
  <c r="FJ80" i="7"/>
  <c r="FJ81" i="7"/>
  <c r="FJ78" i="7"/>
  <c r="FJ79" i="7"/>
  <c r="FJ85" i="7"/>
  <c r="FL26" i="7"/>
  <c r="FL27" i="7" s="1"/>
  <c r="JV19" i="4" l="1"/>
  <c r="JW16" i="4" s="1"/>
  <c r="JW45" i="5"/>
  <c r="JW48" i="5" s="1"/>
  <c r="JW46" i="5"/>
  <c r="JW68" i="5"/>
  <c r="AB28" i="6"/>
  <c r="AB30" i="6" s="1"/>
  <c r="AB37" i="6" s="1"/>
  <c r="AA8" i="9" s="1"/>
  <c r="JX54" i="5"/>
  <c r="FI102" i="7"/>
  <c r="FI108" i="7"/>
  <c r="FI116" i="7" s="1"/>
  <c r="FK69" i="7"/>
  <c r="FL67" i="7" s="1"/>
  <c r="FL44" i="7"/>
  <c r="FL28" i="7"/>
  <c r="FL36" i="7"/>
  <c r="FL52" i="7"/>
  <c r="FL60" i="7"/>
  <c r="IB87" i="7"/>
  <c r="IA63" i="5"/>
  <c r="FJ98" i="7"/>
  <c r="FK74" i="7"/>
  <c r="FK75" i="7" s="1"/>
  <c r="JW58" i="5" l="1"/>
  <c r="JW49" i="5"/>
  <c r="AB33" i="6" s="1"/>
  <c r="JW18" i="4"/>
  <c r="JW19" i="4" s="1"/>
  <c r="JX16" i="4" s="1"/>
  <c r="JY54" i="5"/>
  <c r="FL72" i="7"/>
  <c r="IA50" i="5"/>
  <c r="IB43" i="5" s="1"/>
  <c r="IA64" i="5"/>
  <c r="IA78" i="5" s="1"/>
  <c r="IC23" i="7" s="1"/>
  <c r="FJ92" i="7"/>
  <c r="FJ90" i="7"/>
  <c r="FI105" i="7"/>
  <c r="FI113" i="7" s="1"/>
  <c r="FI121" i="7" s="1"/>
  <c r="FI107" i="7"/>
  <c r="FI115" i="7" s="1"/>
  <c r="FI123" i="7" s="1"/>
  <c r="FI104" i="7"/>
  <c r="FI112" i="7" s="1"/>
  <c r="FI120" i="7" s="1"/>
  <c r="FI106" i="7"/>
  <c r="FI114" i="7" s="1"/>
  <c r="FI122" i="7" s="1"/>
  <c r="FI103" i="7"/>
  <c r="FI111" i="7" s="1"/>
  <c r="FI119" i="7" s="1"/>
  <c r="FL53" i="7"/>
  <c r="FM49" i="7" s="1"/>
  <c r="FL45" i="7"/>
  <c r="FM41" i="7" s="1"/>
  <c r="FL29" i="7"/>
  <c r="FM25" i="7" s="1"/>
  <c r="FL61" i="7"/>
  <c r="FM57" i="7" s="1"/>
  <c r="FL37" i="7"/>
  <c r="FM33" i="7" s="1"/>
  <c r="FK77" i="7"/>
  <c r="FK70" i="7"/>
  <c r="FK83" i="7" s="1"/>
  <c r="JW54" i="5" l="1"/>
  <c r="JX18" i="4"/>
  <c r="JX19" i="4"/>
  <c r="JY16" i="4" s="1"/>
  <c r="JZ54" i="5"/>
  <c r="FL30" i="7"/>
  <c r="FL31" i="7" s="1"/>
  <c r="FL46" i="7"/>
  <c r="FL47" i="7" s="1"/>
  <c r="FM42" i="7"/>
  <c r="FM43" i="7" s="1"/>
  <c r="FL65" i="7"/>
  <c r="FJ94" i="7"/>
  <c r="FJ93" i="7"/>
  <c r="FJ96" i="7"/>
  <c r="FJ95" i="7"/>
  <c r="FJ100" i="7"/>
  <c r="FL68" i="7"/>
  <c r="FM50" i="7"/>
  <c r="FM51" i="7" s="1"/>
  <c r="IC87" i="7"/>
  <c r="FK80" i="7"/>
  <c r="FK79" i="7"/>
  <c r="FK82" i="7"/>
  <c r="FK78" i="7"/>
  <c r="FK81" i="7"/>
  <c r="FK85" i="7"/>
  <c r="FM34" i="7"/>
  <c r="FM35" i="7" s="1"/>
  <c r="FL62" i="7"/>
  <c r="IB63" i="5"/>
  <c r="FK88" i="7"/>
  <c r="FK89" i="7" s="1"/>
  <c r="FL38" i="7"/>
  <c r="FL39" i="7" s="1"/>
  <c r="FL73" i="7"/>
  <c r="FM58" i="7"/>
  <c r="FM59" i="7" s="1"/>
  <c r="FL54" i="7"/>
  <c r="FL55" i="7" s="1"/>
  <c r="FM26" i="7"/>
  <c r="FM27" i="7" s="1"/>
  <c r="JY18" i="4" l="1"/>
  <c r="JY19" i="4"/>
  <c r="JZ16" i="4" s="1"/>
  <c r="KA54" i="5"/>
  <c r="FK98" i="7"/>
  <c r="IB64" i="5"/>
  <c r="IB78" i="5" s="1"/>
  <c r="ID23" i="7" s="1"/>
  <c r="IB50" i="5"/>
  <c r="IC43" i="5" s="1"/>
  <c r="FL63" i="7"/>
  <c r="FM60" i="7"/>
  <c r="FM36" i="7"/>
  <c r="FM44" i="7"/>
  <c r="FM28" i="7"/>
  <c r="FM52" i="7"/>
  <c r="FL69" i="7"/>
  <c r="FL74" i="7"/>
  <c r="FL75" i="7" s="1"/>
  <c r="FJ102" i="7"/>
  <c r="FJ108" i="7"/>
  <c r="FJ116" i="7" s="1"/>
  <c r="JZ18" i="4" l="1"/>
  <c r="JZ19" i="4"/>
  <c r="KA16" i="4" s="1"/>
  <c r="KB54" i="5"/>
  <c r="ID87" i="7"/>
  <c r="FJ106" i="7"/>
  <c r="FJ114" i="7" s="1"/>
  <c r="FJ122" i="7" s="1"/>
  <c r="FJ104" i="7"/>
  <c r="FJ112" i="7" s="1"/>
  <c r="FJ120" i="7" s="1"/>
  <c r="FJ107" i="7"/>
  <c r="FJ115" i="7" s="1"/>
  <c r="FJ123" i="7" s="1"/>
  <c r="FJ103" i="7"/>
  <c r="FJ111" i="7" s="1"/>
  <c r="FJ119" i="7" s="1"/>
  <c r="FJ105" i="7"/>
  <c r="FJ113" i="7" s="1"/>
  <c r="FJ121" i="7" s="1"/>
  <c r="IC63" i="5"/>
  <c r="FL70" i="7"/>
  <c r="FL83" i="7" s="1"/>
  <c r="FL77" i="7"/>
  <c r="FM37" i="7"/>
  <c r="FN33" i="7" s="1"/>
  <c r="FM29" i="7"/>
  <c r="FN25" i="7" s="1"/>
  <c r="FM45" i="7"/>
  <c r="FN41" i="7" s="1"/>
  <c r="FM61" i="7"/>
  <c r="FN57" i="7" s="1"/>
  <c r="FM53" i="7"/>
  <c r="FN49" i="7" s="1"/>
  <c r="FM72" i="7"/>
  <c r="FM67" i="7"/>
  <c r="FK92" i="7"/>
  <c r="FK90" i="7"/>
  <c r="KA18" i="4" l="1"/>
  <c r="KA19" i="4"/>
  <c r="KB16" i="4"/>
  <c r="KC54" i="5"/>
  <c r="FN42" i="7"/>
  <c r="FN43" i="7" s="1"/>
  <c r="FM54" i="7"/>
  <c r="FM55" i="7" s="1"/>
  <c r="FM46" i="7"/>
  <c r="FM47" i="7" s="1"/>
  <c r="FM73" i="7"/>
  <c r="FL81" i="7"/>
  <c r="FL80" i="7"/>
  <c r="FL82" i="7"/>
  <c r="FL78" i="7"/>
  <c r="FL79" i="7"/>
  <c r="FL85" i="7"/>
  <c r="FM62" i="7"/>
  <c r="FN34" i="7"/>
  <c r="FN35" i="7" s="1"/>
  <c r="FM38" i="7"/>
  <c r="FM39" i="7" s="1"/>
  <c r="FN50" i="7"/>
  <c r="FN51" i="7" s="1"/>
  <c r="FN58" i="7"/>
  <c r="FN59" i="7" s="1"/>
  <c r="FM68" i="7"/>
  <c r="FN26" i="7"/>
  <c r="FN27" i="7" s="1"/>
  <c r="FM65" i="7"/>
  <c r="IC50" i="5"/>
  <c r="ID43" i="5" s="1"/>
  <c r="IC64" i="5"/>
  <c r="IC78" i="5" s="1"/>
  <c r="IE23" i="7" s="1"/>
  <c r="FK95" i="7"/>
  <c r="FK93" i="7"/>
  <c r="FK94" i="7"/>
  <c r="FK96" i="7"/>
  <c r="FK100" i="7"/>
  <c r="FL88" i="7"/>
  <c r="FL89" i="7" s="1"/>
  <c r="FM30" i="7"/>
  <c r="FM31" i="7" s="1"/>
  <c r="KB18" i="4" l="1"/>
  <c r="KB19" i="4"/>
  <c r="KC16" i="4"/>
  <c r="KD54" i="5"/>
  <c r="FM69" i="7"/>
  <c r="FN67" i="7" s="1"/>
  <c r="FM74" i="7"/>
  <c r="IE87" i="7"/>
  <c r="FM63" i="7"/>
  <c r="ID63" i="5"/>
  <c r="FK102" i="7"/>
  <c r="FK108" i="7"/>
  <c r="FK116" i="7" s="1"/>
  <c r="FL98" i="7"/>
  <c r="FN44" i="7"/>
  <c r="FN60" i="7"/>
  <c r="FN28" i="7"/>
  <c r="FN52" i="7"/>
  <c r="FN36" i="7"/>
  <c r="KC18" i="4" l="1"/>
  <c r="KC19" i="4"/>
  <c r="KD16" i="4"/>
  <c r="FM70" i="7"/>
  <c r="FM77" i="7"/>
  <c r="FM78" i="7" s="1"/>
  <c r="FM75" i="7"/>
  <c r="FN72" i="7"/>
  <c r="KE54" i="5"/>
  <c r="ID50" i="5"/>
  <c r="IE43" i="5" s="1"/>
  <c r="ID64" i="5"/>
  <c r="ID78" i="5" s="1"/>
  <c r="IF23" i="7" s="1"/>
  <c r="FN37" i="7"/>
  <c r="FO33" i="7" s="1"/>
  <c r="FN61" i="7"/>
  <c r="FO57" i="7" s="1"/>
  <c r="FN53" i="7"/>
  <c r="FO49" i="7" s="1"/>
  <c r="FN29" i="7"/>
  <c r="FO25" i="7" s="1"/>
  <c r="FN45" i="7"/>
  <c r="FO41" i="7" s="1"/>
  <c r="FL92" i="7"/>
  <c r="FL90" i="7"/>
  <c r="FK104" i="7"/>
  <c r="FK112" i="7" s="1"/>
  <c r="FK120" i="7" s="1"/>
  <c r="FK103" i="7"/>
  <c r="FK111" i="7" s="1"/>
  <c r="FK119" i="7" s="1"/>
  <c r="FK107" i="7"/>
  <c r="FK115" i="7" s="1"/>
  <c r="FK123" i="7" s="1"/>
  <c r="FK105" i="7"/>
  <c r="FK113" i="7" s="1"/>
  <c r="FK121" i="7" s="1"/>
  <c r="FK106" i="7"/>
  <c r="FK114" i="7" s="1"/>
  <c r="FK122" i="7" s="1"/>
  <c r="KD18" i="4" l="1"/>
  <c r="KD19" i="4"/>
  <c r="KE16" i="4" s="1"/>
  <c r="FM82" i="7"/>
  <c r="FM81" i="7"/>
  <c r="FM83" i="7"/>
  <c r="FM88" i="7" s="1"/>
  <c r="FM89" i="7" s="1"/>
  <c r="FM79" i="7"/>
  <c r="FM80" i="7"/>
  <c r="KF54" i="5"/>
  <c r="FN30" i="7"/>
  <c r="FN31" i="7" s="1"/>
  <c r="FO42" i="7"/>
  <c r="FO43" i="7" s="1"/>
  <c r="FN54" i="7"/>
  <c r="FN55" i="7" s="1"/>
  <c r="FN68" i="7"/>
  <c r="IF87" i="7"/>
  <c r="FO34" i="7"/>
  <c r="FO35" i="7" s="1"/>
  <c r="FN62" i="7"/>
  <c r="FN46" i="7"/>
  <c r="FN47" i="7" s="1"/>
  <c r="FO58" i="7"/>
  <c r="FO59" i="7" s="1"/>
  <c r="FN65" i="7"/>
  <c r="FO26" i="7"/>
  <c r="FO27" i="7" s="1"/>
  <c r="FO50" i="7"/>
  <c r="FO51" i="7" s="1"/>
  <c r="IE63" i="5"/>
  <c r="FL93" i="7"/>
  <c r="FL94" i="7"/>
  <c r="FL96" i="7"/>
  <c r="FL95" i="7"/>
  <c r="FL100" i="7"/>
  <c r="FN38" i="7"/>
  <c r="FN39" i="7" s="1"/>
  <c r="FN73" i="7"/>
  <c r="FM85" i="7" l="1"/>
  <c r="KE18" i="4"/>
  <c r="KE19" i="4" s="1"/>
  <c r="KF16" i="4" s="1"/>
  <c r="KG54" i="5"/>
  <c r="FN74" i="7"/>
  <c r="FN75" i="7" s="1"/>
  <c r="FN63" i="7"/>
  <c r="FN69" i="7"/>
  <c r="FO67" i="7" s="1"/>
  <c r="FO60" i="7"/>
  <c r="FO28" i="7"/>
  <c r="FO44" i="7"/>
  <c r="FO36" i="7"/>
  <c r="FO52" i="7"/>
  <c r="FL102" i="7"/>
  <c r="FL108" i="7"/>
  <c r="FL116" i="7" s="1"/>
  <c r="FM98" i="7"/>
  <c r="IE50" i="5"/>
  <c r="IF43" i="5" s="1"/>
  <c r="IE64" i="5"/>
  <c r="IE78" i="5" s="1"/>
  <c r="IG23" i="7" s="1"/>
  <c r="KF18" i="4" l="1"/>
  <c r="KF19" i="4"/>
  <c r="KG16" i="4" s="1"/>
  <c r="KH54" i="5"/>
  <c r="FO72" i="7"/>
  <c r="IF63" i="5"/>
  <c r="FL103" i="7"/>
  <c r="FL111" i="7" s="1"/>
  <c r="FL119" i="7" s="1"/>
  <c r="FL106" i="7"/>
  <c r="FL114" i="7" s="1"/>
  <c r="FL122" i="7" s="1"/>
  <c r="FL107" i="7"/>
  <c r="FL115" i="7" s="1"/>
  <c r="FL123" i="7" s="1"/>
  <c r="FL105" i="7"/>
  <c r="FL113" i="7" s="1"/>
  <c r="FL121" i="7" s="1"/>
  <c r="FL104" i="7"/>
  <c r="FL112" i="7" s="1"/>
  <c r="FL120" i="7" s="1"/>
  <c r="FO61" i="7"/>
  <c r="FO53" i="7"/>
  <c r="FP49" i="7" s="1"/>
  <c r="FO37" i="7"/>
  <c r="FP33" i="7" s="1"/>
  <c r="FO29" i="7"/>
  <c r="FP25" i="7" s="1"/>
  <c r="FO45" i="7"/>
  <c r="FP41" i="7" s="1"/>
  <c r="FN77" i="7"/>
  <c r="FN70" i="7"/>
  <c r="FN83" i="7" s="1"/>
  <c r="FM90" i="7"/>
  <c r="FM92" i="7"/>
  <c r="IG87" i="7"/>
  <c r="KG18" i="4" l="1"/>
  <c r="KG19" i="4" s="1"/>
  <c r="KH16" i="4" s="1"/>
  <c r="KI54" i="5"/>
  <c r="FO73" i="7"/>
  <c r="FO68" i="7"/>
  <c r="FP26" i="7"/>
  <c r="FP27" i="7" s="1"/>
  <c r="FP50" i="7"/>
  <c r="FP51" i="7" s="1"/>
  <c r="FO46" i="7"/>
  <c r="FO47" i="7" s="1"/>
  <c r="FN88" i="7"/>
  <c r="FN89" i="7" s="1"/>
  <c r="FN79" i="7"/>
  <c r="FN82" i="7"/>
  <c r="FN80" i="7"/>
  <c r="FN78" i="7"/>
  <c r="FN81" i="7"/>
  <c r="FN85" i="7"/>
  <c r="FO30" i="7"/>
  <c r="FO31" i="7" s="1"/>
  <c r="IF50" i="5"/>
  <c r="IG43" i="5" s="1"/>
  <c r="IF64" i="5"/>
  <c r="IF78" i="5" s="1"/>
  <c r="IH23" i="7" s="1"/>
  <c r="FO54" i="7"/>
  <c r="FO55" i="7" s="1"/>
  <c r="FP42" i="7"/>
  <c r="FP43" i="7" s="1"/>
  <c r="FM93" i="7"/>
  <c r="FM95" i="7"/>
  <c r="FM94" i="7"/>
  <c r="FM96" i="7"/>
  <c r="FM100" i="7"/>
  <c r="FP34" i="7"/>
  <c r="FP35" i="7" s="1"/>
  <c r="FP57" i="7"/>
  <c r="FO62" i="7"/>
  <c r="FO38" i="7"/>
  <c r="FO39" i="7" s="1"/>
  <c r="FO65" i="7"/>
  <c r="KH18" i="4" l="1"/>
  <c r="KH19" i="4"/>
  <c r="KI16" i="4" s="1"/>
  <c r="KJ54" i="5"/>
  <c r="FP58" i="7"/>
  <c r="FP59" i="7" s="1"/>
  <c r="FP36" i="7" s="1"/>
  <c r="IH87" i="7"/>
  <c r="FO74" i="7"/>
  <c r="FM108" i="7"/>
  <c r="FM116" i="7" s="1"/>
  <c r="FM102" i="7"/>
  <c r="IG63" i="5"/>
  <c r="FN98" i="7"/>
  <c r="FO63" i="7"/>
  <c r="FO69" i="7"/>
  <c r="KI18" i="4" l="1"/>
  <c r="KI19" i="4"/>
  <c r="KJ16" i="4" s="1"/>
  <c r="FP44" i="7"/>
  <c r="FP60" i="7"/>
  <c r="FP52" i="7"/>
  <c r="FP28" i="7"/>
  <c r="KK54" i="5"/>
  <c r="FN90" i="7"/>
  <c r="FN92" i="7"/>
  <c r="FO77" i="7"/>
  <c r="FO70" i="7"/>
  <c r="FP67" i="7"/>
  <c r="IG50" i="5"/>
  <c r="IH43" i="5" s="1"/>
  <c r="IG64" i="5"/>
  <c r="IG78" i="5" s="1"/>
  <c r="II23" i="7" s="1"/>
  <c r="FO75" i="7"/>
  <c r="FP72" i="7"/>
  <c r="FM106" i="7"/>
  <c r="FM114" i="7" s="1"/>
  <c r="FM122" i="7" s="1"/>
  <c r="FM104" i="7"/>
  <c r="FM112" i="7" s="1"/>
  <c r="FM120" i="7" s="1"/>
  <c r="FM105" i="7"/>
  <c r="FM113" i="7" s="1"/>
  <c r="FM121" i="7" s="1"/>
  <c r="FM107" i="7"/>
  <c r="FM115" i="7" s="1"/>
  <c r="FM123" i="7" s="1"/>
  <c r="FM103" i="7"/>
  <c r="FM111" i="7" s="1"/>
  <c r="FM119" i="7" s="1"/>
  <c r="KJ18" i="4" l="1"/>
  <c r="KJ19" i="4"/>
  <c r="KK16" i="4" s="1"/>
  <c r="FP29" i="7"/>
  <c r="FQ25" i="7" s="1"/>
  <c r="FQ26" i="7" s="1"/>
  <c r="FQ27" i="7" s="1"/>
  <c r="FP37" i="7"/>
  <c r="FQ33" i="7" s="1"/>
  <c r="FQ34" i="7" s="1"/>
  <c r="FQ35" i="7" s="1"/>
  <c r="FP45" i="7"/>
  <c r="FQ41" i="7" s="1"/>
  <c r="FQ42" i="7" s="1"/>
  <c r="FQ43" i="7" s="1"/>
  <c r="FP53" i="7"/>
  <c r="FQ49" i="7" s="1"/>
  <c r="FQ50" i="7" s="1"/>
  <c r="FQ51" i="7" s="1"/>
  <c r="FP61" i="7"/>
  <c r="FQ57" i="7" s="1"/>
  <c r="FQ58" i="7" s="1"/>
  <c r="FQ59" i="7" s="1"/>
  <c r="FO83" i="7"/>
  <c r="FO88" i="7" s="1"/>
  <c r="FO89" i="7" s="1"/>
  <c r="KL54" i="5"/>
  <c r="FO82" i="7"/>
  <c r="FO78" i="7"/>
  <c r="FO79" i="7"/>
  <c r="FO80" i="7"/>
  <c r="FO81" i="7"/>
  <c r="II87" i="7"/>
  <c r="FN96" i="7"/>
  <c r="FN95" i="7"/>
  <c r="FN93" i="7"/>
  <c r="FN94" i="7"/>
  <c r="FN100" i="7"/>
  <c r="IH63" i="5"/>
  <c r="KK18" i="4" l="1"/>
  <c r="KK19" i="4"/>
  <c r="KL16" i="4" s="1"/>
  <c r="FP30" i="7"/>
  <c r="FP31" i="7" s="1"/>
  <c r="FP38" i="7"/>
  <c r="FP39" i="7" s="1"/>
  <c r="FP46" i="7"/>
  <c r="FP47" i="7" s="1"/>
  <c r="FP73" i="7"/>
  <c r="FO85" i="7"/>
  <c r="FO98" i="7" s="1"/>
  <c r="FP62" i="7"/>
  <c r="FP63" i="7" s="1"/>
  <c r="FP68" i="7"/>
  <c r="FP54" i="7"/>
  <c r="FP55" i="7" s="1"/>
  <c r="FP65" i="7"/>
  <c r="KM54" i="5"/>
  <c r="FQ28" i="7"/>
  <c r="FQ60" i="7"/>
  <c r="FQ44" i="7"/>
  <c r="FQ52" i="7"/>
  <c r="FQ36" i="7"/>
  <c r="FN102" i="7"/>
  <c r="FN108" i="7"/>
  <c r="FN116" i="7" s="1"/>
  <c r="IH50" i="5"/>
  <c r="II43" i="5" s="1"/>
  <c r="IH64" i="5"/>
  <c r="IH78" i="5" s="1"/>
  <c r="IJ23" i="7" s="1"/>
  <c r="KL18" i="4" l="1"/>
  <c r="KL19" i="4"/>
  <c r="KM16" i="4" s="1"/>
  <c r="FP69" i="7"/>
  <c r="FP70" i="7" s="1"/>
  <c r="FP74" i="7"/>
  <c r="FP75" i="7" s="1"/>
  <c r="KN54" i="5"/>
  <c r="FO92" i="7"/>
  <c r="FO90" i="7"/>
  <c r="II63" i="5"/>
  <c r="FN103" i="7"/>
  <c r="FN111" i="7" s="1"/>
  <c r="FN119" i="7" s="1"/>
  <c r="FN106" i="7"/>
  <c r="FN114" i="7" s="1"/>
  <c r="FN122" i="7" s="1"/>
  <c r="FN104" i="7"/>
  <c r="FN112" i="7" s="1"/>
  <c r="FN120" i="7" s="1"/>
  <c r="FN107" i="7"/>
  <c r="FN115" i="7" s="1"/>
  <c r="FN123" i="7" s="1"/>
  <c r="FN105" i="7"/>
  <c r="FN113" i="7" s="1"/>
  <c r="FN121" i="7" s="1"/>
  <c r="IJ87" i="7"/>
  <c r="FQ45" i="7"/>
  <c r="FR41" i="7" s="1"/>
  <c r="FQ61" i="7"/>
  <c r="FR57" i="7" s="1"/>
  <c r="FQ29" i="7"/>
  <c r="FR25" i="7" s="1"/>
  <c r="FQ37" i="7"/>
  <c r="FR33" i="7" s="1"/>
  <c r="FQ53" i="7"/>
  <c r="FR49" i="7" s="1"/>
  <c r="KM18" i="4" l="1"/>
  <c r="KM19" i="4"/>
  <c r="KN16" i="4"/>
  <c r="FP77" i="7"/>
  <c r="FP82" i="7" s="1"/>
  <c r="FP83" i="7"/>
  <c r="FP88" i="7" s="1"/>
  <c r="FP89" i="7" s="1"/>
  <c r="FQ67" i="7"/>
  <c r="FQ72" i="7"/>
  <c r="KO54" i="5"/>
  <c r="FQ54" i="7"/>
  <c r="FQ55" i="7" s="1"/>
  <c r="FR26" i="7"/>
  <c r="FR27" i="7" s="1"/>
  <c r="FR34" i="7"/>
  <c r="FR35" i="7" s="1"/>
  <c r="FQ68" i="7"/>
  <c r="FQ65" i="7"/>
  <c r="FQ62" i="7"/>
  <c r="II64" i="5"/>
  <c r="II78" i="5" s="1"/>
  <c r="IK23" i="7" s="1"/>
  <c r="II50" i="5"/>
  <c r="IJ43" i="5" s="1"/>
  <c r="FQ30" i="7"/>
  <c r="FQ31" i="7" s="1"/>
  <c r="FQ38" i="7"/>
  <c r="FQ39" i="7" s="1"/>
  <c r="FO93" i="7"/>
  <c r="FO94" i="7"/>
  <c r="FO95" i="7"/>
  <c r="FO96" i="7"/>
  <c r="FO100" i="7"/>
  <c r="FR58" i="7"/>
  <c r="FR59" i="7" s="1"/>
  <c r="FR42" i="7"/>
  <c r="FR43" i="7" s="1"/>
  <c r="FQ46" i="7"/>
  <c r="FQ47" i="7" s="1"/>
  <c r="FR50" i="7"/>
  <c r="FR51" i="7" s="1"/>
  <c r="FQ73" i="7"/>
  <c r="FP79" i="7" l="1"/>
  <c r="KN18" i="4"/>
  <c r="KN19" i="4"/>
  <c r="KO16" i="4"/>
  <c r="FP81" i="7"/>
  <c r="FP80" i="7"/>
  <c r="FP78" i="7"/>
  <c r="FP85" i="7"/>
  <c r="FP98" i="7" s="1"/>
  <c r="FP90" i="7" s="1"/>
  <c r="KP54" i="5"/>
  <c r="FO108" i="7"/>
  <c r="FO116" i="7" s="1"/>
  <c r="FO102" i="7"/>
  <c r="FR36" i="7"/>
  <c r="FR52" i="7"/>
  <c r="FR44" i="7"/>
  <c r="FR60" i="7"/>
  <c r="FR28" i="7"/>
  <c r="FQ74" i="7"/>
  <c r="FQ75" i="7" s="1"/>
  <c r="FQ63" i="7"/>
  <c r="IJ63" i="5"/>
  <c r="FQ69" i="7"/>
  <c r="FR67" i="7" s="1"/>
  <c r="IK87" i="7"/>
  <c r="KO18" i="4" l="1"/>
  <c r="KO19" i="4"/>
  <c r="KP16" i="4" s="1"/>
  <c r="FP92" i="7"/>
  <c r="KQ54" i="5"/>
  <c r="IJ50" i="5"/>
  <c r="IK43" i="5" s="1"/>
  <c r="IJ64" i="5"/>
  <c r="IJ78" i="5" s="1"/>
  <c r="IL23" i="7" s="1"/>
  <c r="FR72" i="7"/>
  <c r="FR45" i="7"/>
  <c r="FS41" i="7" s="1"/>
  <c r="FR61" i="7"/>
  <c r="FR29" i="7"/>
  <c r="FS25" i="7" s="1"/>
  <c r="FR53" i="7"/>
  <c r="FS49" i="7" s="1"/>
  <c r="FR37" i="7"/>
  <c r="FS33" i="7" s="1"/>
  <c r="FQ77" i="7"/>
  <c r="FQ70" i="7"/>
  <c r="FQ83" i="7" s="1"/>
  <c r="FO103" i="7"/>
  <c r="FO111" i="7" s="1"/>
  <c r="FO119" i="7" s="1"/>
  <c r="FO104" i="7"/>
  <c r="FO112" i="7" s="1"/>
  <c r="FO120" i="7" s="1"/>
  <c r="FO105" i="7"/>
  <c r="FO113" i="7" s="1"/>
  <c r="FO121" i="7" s="1"/>
  <c r="FO107" i="7"/>
  <c r="FO115" i="7" s="1"/>
  <c r="FO123" i="7" s="1"/>
  <c r="FO106" i="7"/>
  <c r="FO114" i="7" s="1"/>
  <c r="FO122" i="7" s="1"/>
  <c r="KP18" i="4" l="1"/>
  <c r="KP19" i="4"/>
  <c r="KQ16" i="4" s="1"/>
  <c r="FP100" i="7"/>
  <c r="FP96" i="7"/>
  <c r="FP95" i="7"/>
  <c r="FP93" i="7"/>
  <c r="FP94" i="7"/>
  <c r="KR54" i="5"/>
  <c r="FR54" i="7"/>
  <c r="FR55" i="7" s="1"/>
  <c r="FQ88" i="7"/>
  <c r="FQ89" i="7" s="1"/>
  <c r="FR65" i="7"/>
  <c r="FR73" i="7"/>
  <c r="FR38" i="7"/>
  <c r="FR39" i="7" s="1"/>
  <c r="FR30" i="7"/>
  <c r="FR31" i="7" s="1"/>
  <c r="IL87" i="7"/>
  <c r="FS42" i="7"/>
  <c r="FS43" i="7" s="1"/>
  <c r="FQ82" i="7"/>
  <c r="FQ78" i="7"/>
  <c r="FQ80" i="7"/>
  <c r="FQ79" i="7"/>
  <c r="FQ81" i="7"/>
  <c r="FQ85" i="7"/>
  <c r="FR46" i="7"/>
  <c r="FR47" i="7" s="1"/>
  <c r="FS26" i="7"/>
  <c r="FS27" i="7" s="1"/>
  <c r="IK63" i="5"/>
  <c r="FR68" i="7"/>
  <c r="FS34" i="7"/>
  <c r="FS35" i="7" s="1"/>
  <c r="FS50" i="7"/>
  <c r="FS51" i="7" s="1"/>
  <c r="FS57" i="7"/>
  <c r="FR62" i="7"/>
  <c r="KQ18" i="4" l="1"/>
  <c r="KQ19" i="4"/>
  <c r="KR16" i="4" s="1"/>
  <c r="FP108" i="7"/>
  <c r="FP116" i="7" s="1"/>
  <c r="FP102" i="7"/>
  <c r="KS54" i="5"/>
  <c r="FR74" i="7"/>
  <c r="FR75" i="7" s="1"/>
  <c r="FR69" i="7"/>
  <c r="FS67" i="7" s="1"/>
  <c r="FR63" i="7"/>
  <c r="IK50" i="5"/>
  <c r="IL43" i="5" s="1"/>
  <c r="IK64" i="5"/>
  <c r="IK78" i="5" s="1"/>
  <c r="IM23" i="7" s="1"/>
  <c r="FS58" i="7"/>
  <c r="FS59" i="7" s="1"/>
  <c r="FS60" i="7" s="1"/>
  <c r="FQ98" i="7"/>
  <c r="KR18" i="4" l="1"/>
  <c r="KR19" i="4"/>
  <c r="KS16" i="4"/>
  <c r="FP103" i="7"/>
  <c r="FP111" i="7" s="1"/>
  <c r="FP119" i="7" s="1"/>
  <c r="FP105" i="7"/>
  <c r="FP113" i="7" s="1"/>
  <c r="FP121" i="7" s="1"/>
  <c r="FP107" i="7"/>
  <c r="FP115" i="7" s="1"/>
  <c r="FP123" i="7" s="1"/>
  <c r="FP104" i="7"/>
  <c r="FP112" i="7" s="1"/>
  <c r="FP120" i="7" s="1"/>
  <c r="FP106" i="7"/>
  <c r="FP114" i="7" s="1"/>
  <c r="FP122" i="7" s="1"/>
  <c r="FS72" i="7"/>
  <c r="IL63" i="5"/>
  <c r="FR70" i="7"/>
  <c r="FR83" i="7" s="1"/>
  <c r="FR77" i="7"/>
  <c r="FS28" i="7"/>
  <c r="FQ92" i="7"/>
  <c r="FQ90" i="7"/>
  <c r="FS52" i="7"/>
  <c r="IM87" i="7"/>
  <c r="FS36" i="7"/>
  <c r="FS44" i="7"/>
  <c r="KS18" i="4" l="1"/>
  <c r="KS19" i="4" s="1"/>
  <c r="KU54" i="5"/>
  <c r="FS53" i="7"/>
  <c r="FT49" i="7" s="1"/>
  <c r="FS37" i="7"/>
  <c r="FT33" i="7" s="1"/>
  <c r="FS29" i="7"/>
  <c r="FT25" i="7" s="1"/>
  <c r="FS61" i="7"/>
  <c r="FS45" i="7"/>
  <c r="FT41" i="7" s="1"/>
  <c r="FR88" i="7"/>
  <c r="FR89" i="7" s="1"/>
  <c r="FR78" i="7"/>
  <c r="FR82" i="7"/>
  <c r="FR79" i="7"/>
  <c r="FR81" i="7"/>
  <c r="FR80" i="7"/>
  <c r="FR85" i="7"/>
  <c r="IL50" i="5"/>
  <c r="IM43" i="5" s="1"/>
  <c r="IL64" i="5"/>
  <c r="IL78" i="5" s="1"/>
  <c r="IN23" i="7" s="1"/>
  <c r="FQ93" i="7"/>
  <c r="FQ95" i="7"/>
  <c r="FQ96" i="7"/>
  <c r="FQ94" i="7"/>
  <c r="FQ100" i="7"/>
  <c r="KT44" i="5" l="1"/>
  <c r="H8" i="4"/>
  <c r="FS54" i="7"/>
  <c r="FS55" i="7" s="1"/>
  <c r="FS38" i="7"/>
  <c r="FS39" i="7" s="1"/>
  <c r="KV54" i="5"/>
  <c r="FS65" i="7"/>
  <c r="FS30" i="7"/>
  <c r="FS31" i="7" s="1"/>
  <c r="IN87" i="7"/>
  <c r="FR98" i="7"/>
  <c r="FT26" i="7"/>
  <c r="FT27" i="7" s="1"/>
  <c r="FT42" i="7"/>
  <c r="FT43" i="7" s="1"/>
  <c r="FT34" i="7"/>
  <c r="FT35" i="7" s="1"/>
  <c r="FS46" i="7"/>
  <c r="FS47" i="7" s="1"/>
  <c r="IM63" i="5"/>
  <c r="FS73" i="7"/>
  <c r="FS68" i="7"/>
  <c r="FQ108" i="7"/>
  <c r="FQ116" i="7" s="1"/>
  <c r="FQ102" i="7"/>
  <c r="FT57" i="7"/>
  <c r="FS62" i="7"/>
  <c r="FT50" i="7"/>
  <c r="FT51" i="7" s="1"/>
  <c r="KT45" i="5" l="1"/>
  <c r="KT48" i="5" s="1"/>
  <c r="AC28" i="6"/>
  <c r="AC30" i="6" s="1"/>
  <c r="AC37" i="6" s="1"/>
  <c r="AB8" i="9" s="1"/>
  <c r="KT46" i="5"/>
  <c r="KT68" i="5"/>
  <c r="KW54" i="5"/>
  <c r="FS63" i="7"/>
  <c r="IM50" i="5"/>
  <c r="IN43" i="5" s="1"/>
  <c r="IM64" i="5"/>
  <c r="IM78" i="5" s="1"/>
  <c r="IO23" i="7" s="1"/>
  <c r="FT58" i="7"/>
  <c r="FT59" i="7" s="1"/>
  <c r="FT44" i="7" s="1"/>
  <c r="FR90" i="7"/>
  <c r="FR92" i="7"/>
  <c r="FS74" i="7"/>
  <c r="FS75" i="7" s="1"/>
  <c r="FQ105" i="7"/>
  <c r="FQ113" i="7" s="1"/>
  <c r="FQ121" i="7" s="1"/>
  <c r="FQ103" i="7"/>
  <c r="FQ111" i="7" s="1"/>
  <c r="FQ119" i="7" s="1"/>
  <c r="FQ104" i="7"/>
  <c r="FQ112" i="7" s="1"/>
  <c r="FQ120" i="7" s="1"/>
  <c r="FQ106" i="7"/>
  <c r="FQ114" i="7" s="1"/>
  <c r="FQ122" i="7" s="1"/>
  <c r="FQ107" i="7"/>
  <c r="FQ115" i="7" s="1"/>
  <c r="FQ123" i="7" s="1"/>
  <c r="FS69" i="7"/>
  <c r="FT67" i="7" s="1"/>
  <c r="KT58" i="5" l="1"/>
  <c r="KT49" i="5"/>
  <c r="AC33" i="6" s="1"/>
  <c r="KX54" i="5"/>
  <c r="FT60" i="7"/>
  <c r="FT72" i="7"/>
  <c r="FT36" i="7"/>
  <c r="FT28" i="7"/>
  <c r="IO87" i="7"/>
  <c r="FS70" i="7"/>
  <c r="FS83" i="7" s="1"/>
  <c r="FS77" i="7"/>
  <c r="FR94" i="7"/>
  <c r="FR95" i="7"/>
  <c r="FR96" i="7"/>
  <c r="FR93" i="7"/>
  <c r="FR100" i="7"/>
  <c r="IN63" i="5"/>
  <c r="FT52" i="7"/>
  <c r="KT54" i="5" l="1"/>
  <c r="KY54" i="5"/>
  <c r="FT37" i="7"/>
  <c r="FT38" i="7" s="1"/>
  <c r="FT39" i="7" s="1"/>
  <c r="FT53" i="7"/>
  <c r="FU49" i="7" s="1"/>
  <c r="FU50" i="7" s="1"/>
  <c r="FU51" i="7" s="1"/>
  <c r="FT61" i="7"/>
  <c r="FU57" i="7" s="1"/>
  <c r="FU58" i="7" s="1"/>
  <c r="FU59" i="7" s="1"/>
  <c r="FT45" i="7"/>
  <c r="FU41" i="7" s="1"/>
  <c r="FU42" i="7" s="1"/>
  <c r="FU43" i="7" s="1"/>
  <c r="FT29" i="7"/>
  <c r="FS80" i="7"/>
  <c r="FS82" i="7"/>
  <c r="FS79" i="7"/>
  <c r="FS81" i="7"/>
  <c r="FS78" i="7"/>
  <c r="FS85" i="7"/>
  <c r="IN50" i="5"/>
  <c r="IO43" i="5" s="1"/>
  <c r="IN64" i="5"/>
  <c r="IN78" i="5" s="1"/>
  <c r="IP23" i="7" s="1"/>
  <c r="FS88" i="7"/>
  <c r="FS89" i="7" s="1"/>
  <c r="FR102" i="7"/>
  <c r="FR108" i="7"/>
  <c r="FR116" i="7" s="1"/>
  <c r="FT73" i="7" l="1"/>
  <c r="FU33" i="7"/>
  <c r="FU34" i="7" s="1"/>
  <c r="FU35" i="7" s="1"/>
  <c r="KZ54" i="5"/>
  <c r="FT62" i="7"/>
  <c r="FT63" i="7" s="1"/>
  <c r="FT54" i="7"/>
  <c r="FT55" i="7" s="1"/>
  <c r="FU25" i="7"/>
  <c r="FU26" i="7" s="1"/>
  <c r="FU27" i="7" s="1"/>
  <c r="FT30" i="7"/>
  <c r="FT31" i="7" s="1"/>
  <c r="FT46" i="7"/>
  <c r="FT47" i="7" s="1"/>
  <c r="FT65" i="7"/>
  <c r="FT74" i="7" s="1"/>
  <c r="FT75" i="7" s="1"/>
  <c r="FT68" i="7"/>
  <c r="FR105" i="7"/>
  <c r="FR113" i="7" s="1"/>
  <c r="FR121" i="7" s="1"/>
  <c r="FR104" i="7"/>
  <c r="FR112" i="7" s="1"/>
  <c r="FR120" i="7" s="1"/>
  <c r="FR103" i="7"/>
  <c r="FR111" i="7" s="1"/>
  <c r="FR119" i="7" s="1"/>
  <c r="FR106" i="7"/>
  <c r="FR114" i="7" s="1"/>
  <c r="FR122" i="7" s="1"/>
  <c r="FR107" i="7"/>
  <c r="FR115" i="7" s="1"/>
  <c r="FR123" i="7" s="1"/>
  <c r="IP87" i="7"/>
  <c r="IO63" i="5"/>
  <c r="FS98" i="7"/>
  <c r="LA54" i="5" l="1"/>
  <c r="FU36" i="7"/>
  <c r="FT69" i="7"/>
  <c r="FU67" i="7" s="1"/>
  <c r="FU72" i="7"/>
  <c r="FU60" i="7"/>
  <c r="FU52" i="7"/>
  <c r="FU44" i="7"/>
  <c r="FS90" i="7"/>
  <c r="FS92" i="7"/>
  <c r="IO50" i="5"/>
  <c r="IP43" i="5" s="1"/>
  <c r="IO64" i="5"/>
  <c r="IO78" i="5" s="1"/>
  <c r="IQ23" i="7" s="1"/>
  <c r="FU28" i="7"/>
  <c r="LB54" i="5" l="1"/>
  <c r="FT77" i="7"/>
  <c r="FT82" i="7" s="1"/>
  <c r="FT70" i="7"/>
  <c r="FT83" i="7" s="1"/>
  <c r="FT88" i="7" s="1"/>
  <c r="FT89" i="7" s="1"/>
  <c r="FS93" i="7"/>
  <c r="FS96" i="7"/>
  <c r="FS95" i="7"/>
  <c r="FS94" i="7"/>
  <c r="FS100" i="7"/>
  <c r="IQ87" i="7"/>
  <c r="FU37" i="7"/>
  <c r="FU45" i="7"/>
  <c r="FU53" i="7"/>
  <c r="FU61" i="7"/>
  <c r="FU29" i="7"/>
  <c r="FV25" i="7" s="1"/>
  <c r="FT78" i="7"/>
  <c r="IP63" i="5"/>
  <c r="FT79" i="7" l="1"/>
  <c r="FT85" i="7"/>
  <c r="FT98" i="7" s="1"/>
  <c r="FT81" i="7"/>
  <c r="FT80" i="7"/>
  <c r="LC54" i="5"/>
  <c r="FV33" i="7"/>
  <c r="FU38" i="7"/>
  <c r="FU39" i="7" s="1"/>
  <c r="FU68" i="7"/>
  <c r="FV41" i="7"/>
  <c r="FU46" i="7"/>
  <c r="FU47" i="7" s="1"/>
  <c r="IP50" i="5"/>
  <c r="IQ43" i="5" s="1"/>
  <c r="IP64" i="5"/>
  <c r="IP78" i="5" s="1"/>
  <c r="IR23" i="7" s="1"/>
  <c r="FV57" i="7"/>
  <c r="FU62" i="7"/>
  <c r="FU30" i="7"/>
  <c r="FU31" i="7" s="1"/>
  <c r="FS108" i="7"/>
  <c r="FS116" i="7" s="1"/>
  <c r="FS102" i="7"/>
  <c r="FU65" i="7"/>
  <c r="FV26" i="7"/>
  <c r="FV27" i="7" s="1"/>
  <c r="FU73" i="7"/>
  <c r="FV49" i="7"/>
  <c r="FU54" i="7"/>
  <c r="FU55" i="7" s="1"/>
  <c r="LD54" i="5" l="1"/>
  <c r="FS106" i="7"/>
  <c r="FS114" i="7" s="1"/>
  <c r="FS122" i="7" s="1"/>
  <c r="FS104" i="7"/>
  <c r="FS112" i="7" s="1"/>
  <c r="FS120" i="7" s="1"/>
  <c r="FS103" i="7"/>
  <c r="FS111" i="7" s="1"/>
  <c r="FS119" i="7" s="1"/>
  <c r="FS107" i="7"/>
  <c r="FS115" i="7" s="1"/>
  <c r="FS123" i="7" s="1"/>
  <c r="FS105" i="7"/>
  <c r="FS113" i="7" s="1"/>
  <c r="FS121" i="7" s="1"/>
  <c r="FV50" i="7"/>
  <c r="FV51" i="7" s="1"/>
  <c r="FU63" i="7"/>
  <c r="FV42" i="7"/>
  <c r="FV43" i="7" s="1"/>
  <c r="FV58" i="7"/>
  <c r="FV59" i="7" s="1"/>
  <c r="FU69" i="7"/>
  <c r="FV67" i="7" s="1"/>
  <c r="IQ63" i="5"/>
  <c r="IR87" i="7"/>
  <c r="FT92" i="7"/>
  <c r="FT90" i="7"/>
  <c r="FU74" i="7"/>
  <c r="FU75" i="7" s="1"/>
  <c r="FV34" i="7"/>
  <c r="FV35" i="7" s="1"/>
  <c r="LE54" i="5" l="1"/>
  <c r="FV52" i="7"/>
  <c r="FV72" i="7"/>
  <c r="IQ64" i="5"/>
  <c r="IQ78" i="5" s="1"/>
  <c r="IS23" i="7" s="1"/>
  <c r="IQ50" i="5"/>
  <c r="IR43" i="5" s="1"/>
  <c r="FV36" i="7"/>
  <c r="FT93" i="7"/>
  <c r="FT96" i="7"/>
  <c r="FT95" i="7"/>
  <c r="FT94" i="7"/>
  <c r="FT100" i="7"/>
  <c r="FU70" i="7"/>
  <c r="FU83" i="7" s="1"/>
  <c r="FU77" i="7"/>
  <c r="FV44" i="7"/>
  <c r="FV60" i="7"/>
  <c r="FV28" i="7"/>
  <c r="LF54" i="5" l="1"/>
  <c r="FU80" i="7"/>
  <c r="FU82" i="7"/>
  <c r="FU78" i="7"/>
  <c r="FU79" i="7"/>
  <c r="FU81" i="7"/>
  <c r="FU85" i="7"/>
  <c r="FV29" i="7"/>
  <c r="FW25" i="7" s="1"/>
  <c r="FV61" i="7"/>
  <c r="FW57" i="7" s="1"/>
  <c r="FV45" i="7"/>
  <c r="FW41" i="7" s="1"/>
  <c r="FV53" i="7"/>
  <c r="FV37" i="7"/>
  <c r="FW33" i="7" s="1"/>
  <c r="FT108" i="7"/>
  <c r="FT116" i="7" s="1"/>
  <c r="FT102" i="7"/>
  <c r="IR63" i="5"/>
  <c r="IS87" i="7"/>
  <c r="FU88" i="7"/>
  <c r="FU89" i="7" s="1"/>
  <c r="FV46" i="7" l="1"/>
  <c r="FV47" i="7" s="1"/>
  <c r="LG54" i="5"/>
  <c r="IR50" i="5"/>
  <c r="IS43" i="5" s="1"/>
  <c r="IR64" i="5"/>
  <c r="IR78" i="5" s="1"/>
  <c r="IT23" i="7" s="1"/>
  <c r="FW26" i="7"/>
  <c r="FW27" i="7" s="1"/>
  <c r="FT106" i="7"/>
  <c r="FT114" i="7" s="1"/>
  <c r="FT122" i="7" s="1"/>
  <c r="Q41" i="8" s="1"/>
  <c r="Q43" i="8" s="1"/>
  <c r="FT103" i="7"/>
  <c r="FT111" i="7" s="1"/>
  <c r="FT119" i="7" s="1"/>
  <c r="Q8" i="8" s="1"/>
  <c r="Q10" i="8" s="1"/>
  <c r="FT107" i="7"/>
  <c r="FT115" i="7" s="1"/>
  <c r="FT123" i="7" s="1"/>
  <c r="Q52" i="8" s="1"/>
  <c r="Q54" i="8" s="1"/>
  <c r="FT105" i="7"/>
  <c r="FT113" i="7" s="1"/>
  <c r="FT121" i="7" s="1"/>
  <c r="Q30" i="8" s="1"/>
  <c r="Q32" i="8" s="1"/>
  <c r="FT104" i="7"/>
  <c r="FT112" i="7" s="1"/>
  <c r="FT120" i="7" s="1"/>
  <c r="Q19" i="8" s="1"/>
  <c r="Q21" i="8" s="1"/>
  <c r="FV65" i="7"/>
  <c r="FW34" i="7"/>
  <c r="FW35" i="7" s="1"/>
  <c r="FW42" i="7"/>
  <c r="FW43" i="7" s="1"/>
  <c r="FV30" i="7"/>
  <c r="FV31" i="7" s="1"/>
  <c r="FV62" i="7"/>
  <c r="FV73" i="7"/>
  <c r="FW49" i="7"/>
  <c r="FV54" i="7"/>
  <c r="FV55" i="7" s="1"/>
  <c r="FV38" i="7"/>
  <c r="FV39" i="7" s="1"/>
  <c r="FU98" i="7"/>
  <c r="FV68" i="7"/>
  <c r="FW58" i="7"/>
  <c r="FW59" i="7" s="1"/>
  <c r="LH54" i="5" l="1"/>
  <c r="FV69" i="7"/>
  <c r="FW67" i="7" s="1"/>
  <c r="IT87" i="7"/>
  <c r="FW50" i="7"/>
  <c r="FW51" i="7" s="1"/>
  <c r="FW44" i="7" s="1"/>
  <c r="FU90" i="7"/>
  <c r="FU92" i="7"/>
  <c r="FV74" i="7"/>
  <c r="FV75" i="7" s="1"/>
  <c r="FV63" i="7"/>
  <c r="IS63" i="5"/>
  <c r="LI54" i="5" l="1"/>
  <c r="FW60" i="7"/>
  <c r="FW28" i="7"/>
  <c r="FW36" i="7"/>
  <c r="FV70" i="7"/>
  <c r="FV83" i="7" s="1"/>
  <c r="FV77" i="7"/>
  <c r="FU94" i="7"/>
  <c r="FU93" i="7"/>
  <c r="FU96" i="7"/>
  <c r="FU95" i="7"/>
  <c r="FU100" i="7"/>
  <c r="FW72" i="7"/>
  <c r="IS50" i="5"/>
  <c r="IT43" i="5" s="1"/>
  <c r="IS64" i="5"/>
  <c r="IS78" i="5" s="1"/>
  <c r="IU23" i="7" s="1"/>
  <c r="FW52" i="7"/>
  <c r="LJ54" i="5" l="1"/>
  <c r="FV79" i="7"/>
  <c r="FV78" i="7"/>
  <c r="FV81" i="7"/>
  <c r="FV80" i="7"/>
  <c r="FV82" i="7"/>
  <c r="FV85" i="7"/>
  <c r="FU102" i="7"/>
  <c r="FU108" i="7"/>
  <c r="FU116" i="7" s="1"/>
  <c r="FW61" i="7"/>
  <c r="FV88" i="7"/>
  <c r="FV89" i="7" s="1"/>
  <c r="IU87" i="7"/>
  <c r="FW37" i="7"/>
  <c r="IT63" i="5"/>
  <c r="FW29" i="7"/>
  <c r="FW45" i="7"/>
  <c r="FW53" i="7"/>
  <c r="FX49" i="7" s="1"/>
  <c r="LK54" i="5" l="1"/>
  <c r="IT50" i="5"/>
  <c r="IU43" i="5" s="1"/>
  <c r="IT64" i="5"/>
  <c r="IT78" i="5" s="1"/>
  <c r="IV23" i="7" s="1"/>
  <c r="FV98" i="7"/>
  <c r="FX57" i="7"/>
  <c r="FW62" i="7"/>
  <c r="FX50" i="7"/>
  <c r="FX51" i="7" s="1"/>
  <c r="FX25" i="7"/>
  <c r="FW30" i="7"/>
  <c r="FW31" i="7" s="1"/>
  <c r="FW65" i="7"/>
  <c r="FW73" i="7"/>
  <c r="FW68" i="7"/>
  <c r="FX41" i="7"/>
  <c r="FW46" i="7"/>
  <c r="FW47" i="7" s="1"/>
  <c r="FX33" i="7"/>
  <c r="FW38" i="7"/>
  <c r="FW39" i="7" s="1"/>
  <c r="FU107" i="7"/>
  <c r="FU115" i="7" s="1"/>
  <c r="FU123" i="7" s="1"/>
  <c r="FU106" i="7"/>
  <c r="FU114" i="7" s="1"/>
  <c r="FU122" i="7" s="1"/>
  <c r="FU103" i="7"/>
  <c r="FU111" i="7" s="1"/>
  <c r="FU119" i="7" s="1"/>
  <c r="FU105" i="7"/>
  <c r="FU113" i="7" s="1"/>
  <c r="FU121" i="7" s="1"/>
  <c r="FU104" i="7"/>
  <c r="FU112" i="7" s="1"/>
  <c r="FU120" i="7" s="1"/>
  <c r="FW54" i="7"/>
  <c r="FW55" i="7" s="1"/>
  <c r="LL54" i="5" l="1"/>
  <c r="FW69" i="7"/>
  <c r="FX67" i="7" s="1"/>
  <c r="FV92" i="7"/>
  <c r="FV90" i="7"/>
  <c r="FW74" i="7"/>
  <c r="FW75" i="7" s="1"/>
  <c r="IV87" i="7"/>
  <c r="FX58" i="7"/>
  <c r="FX59" i="7" s="1"/>
  <c r="FX42" i="7"/>
  <c r="FX43" i="7" s="1"/>
  <c r="FX26" i="7"/>
  <c r="FX27" i="7" s="1"/>
  <c r="FX34" i="7"/>
  <c r="FX35" i="7" s="1"/>
  <c r="FW63" i="7"/>
  <c r="IU63" i="5"/>
  <c r="LM54" i="5" l="1"/>
  <c r="FV95" i="7"/>
  <c r="FV96" i="7"/>
  <c r="FV94" i="7"/>
  <c r="FV93" i="7"/>
  <c r="FV100" i="7"/>
  <c r="IU64" i="5"/>
  <c r="IU78" i="5" s="1"/>
  <c r="IW23" i="7" s="1"/>
  <c r="IU50" i="5"/>
  <c r="IV43" i="5" s="1"/>
  <c r="FX28" i="7"/>
  <c r="FX52" i="7"/>
  <c r="FX36" i="7"/>
  <c r="FX60" i="7"/>
  <c r="FX44" i="7"/>
  <c r="FX72" i="7"/>
  <c r="FW70" i="7"/>
  <c r="FW83" i="7" s="1"/>
  <c r="FW77" i="7"/>
  <c r="LN54" i="5" l="1"/>
  <c r="FX29" i="7"/>
  <c r="FY25" i="7" s="1"/>
  <c r="FX61" i="7"/>
  <c r="FY57" i="7" s="1"/>
  <c r="FX53" i="7"/>
  <c r="FY49" i="7" s="1"/>
  <c r="FX37" i="7"/>
  <c r="FY33" i="7" s="1"/>
  <c r="FX45" i="7"/>
  <c r="FY41" i="7" s="1"/>
  <c r="IW87" i="7"/>
  <c r="FV102" i="7"/>
  <c r="FV108" i="7"/>
  <c r="FV116" i="7" s="1"/>
  <c r="FW88" i="7"/>
  <c r="FW89" i="7" s="1"/>
  <c r="FW81" i="7"/>
  <c r="FW78" i="7"/>
  <c r="FW79" i="7"/>
  <c r="FW80" i="7"/>
  <c r="FW82" i="7"/>
  <c r="FW85" i="7"/>
  <c r="IV63" i="5"/>
  <c r="LO54" i="5" l="1"/>
  <c r="FX38" i="7"/>
  <c r="FX39" i="7" s="1"/>
  <c r="FX46" i="7"/>
  <c r="FX47" i="7" s="1"/>
  <c r="FY26" i="7"/>
  <c r="FY27" i="7" s="1"/>
  <c r="FX54" i="7"/>
  <c r="FX55" i="7" s="1"/>
  <c r="FX65" i="7"/>
  <c r="FX68" i="7"/>
  <c r="FW98" i="7"/>
  <c r="FY58" i="7"/>
  <c r="FY59" i="7" s="1"/>
  <c r="FX62" i="7"/>
  <c r="FY42" i="7"/>
  <c r="FY43" i="7" s="1"/>
  <c r="FY50" i="7"/>
  <c r="FY51" i="7" s="1"/>
  <c r="IV50" i="5"/>
  <c r="IW43" i="5" s="1"/>
  <c r="IV64" i="5"/>
  <c r="IV78" i="5" s="1"/>
  <c r="IX23" i="7" s="1"/>
  <c r="FV106" i="7"/>
  <c r="FV114" i="7" s="1"/>
  <c r="FV122" i="7" s="1"/>
  <c r="FV105" i="7"/>
  <c r="FV113" i="7" s="1"/>
  <c r="FV121" i="7" s="1"/>
  <c r="FV107" i="7"/>
  <c r="FV115" i="7" s="1"/>
  <c r="FV123" i="7" s="1"/>
  <c r="FV103" i="7"/>
  <c r="FV111" i="7" s="1"/>
  <c r="FV119" i="7" s="1"/>
  <c r="FV104" i="7"/>
  <c r="FV112" i="7" s="1"/>
  <c r="FV120" i="7" s="1"/>
  <c r="FX73" i="7"/>
  <c r="FY34" i="7"/>
  <c r="FY35" i="7" s="1"/>
  <c r="FX30" i="7"/>
  <c r="FX31" i="7" s="1"/>
  <c r="LP54" i="5" l="1"/>
  <c r="FX69" i="7"/>
  <c r="IX87" i="7"/>
  <c r="FW92" i="7"/>
  <c r="FW90" i="7"/>
  <c r="FX74" i="7"/>
  <c r="FX75" i="7" s="1"/>
  <c r="FY52" i="7"/>
  <c r="FY36" i="7"/>
  <c r="FY60" i="7"/>
  <c r="FY28" i="7"/>
  <c r="FY44" i="7"/>
  <c r="FX63" i="7"/>
  <c r="IW63" i="5"/>
  <c r="LQ54" i="5" l="1"/>
  <c r="FY72" i="7"/>
  <c r="FX77" i="7"/>
  <c r="FX70" i="7"/>
  <c r="FX83" i="7" s="1"/>
  <c r="FY45" i="7"/>
  <c r="FZ41" i="7" s="1"/>
  <c r="FY37" i="7"/>
  <c r="FZ33" i="7" s="1"/>
  <c r="FY61" i="7"/>
  <c r="FY29" i="7"/>
  <c r="FZ25" i="7" s="1"/>
  <c r="FY53" i="7"/>
  <c r="FZ49" i="7" s="1"/>
  <c r="IW50" i="5"/>
  <c r="IX43" i="5" s="1"/>
  <c r="IW64" i="5"/>
  <c r="IW78" i="5" s="1"/>
  <c r="IY23" i="7" s="1"/>
  <c r="FY67" i="7"/>
  <c r="FW96" i="7"/>
  <c r="FW93" i="7"/>
  <c r="FW95" i="7"/>
  <c r="FW94" i="7"/>
  <c r="FW100" i="7"/>
  <c r="LR54" i="5" l="1"/>
  <c r="FY54" i="7"/>
  <c r="FY55" i="7" s="1"/>
  <c r="FW102" i="7"/>
  <c r="FW108" i="7"/>
  <c r="FW116" i="7" s="1"/>
  <c r="FX88" i="7"/>
  <c r="FX89" i="7" s="1"/>
  <c r="FZ42" i="7"/>
  <c r="FZ43" i="7" s="1"/>
  <c r="FX80" i="7"/>
  <c r="FX78" i="7"/>
  <c r="FX81" i="7"/>
  <c r="FX79" i="7"/>
  <c r="FX82" i="7"/>
  <c r="FX85" i="7"/>
  <c r="FY73" i="7"/>
  <c r="FY65" i="7"/>
  <c r="IX63" i="5"/>
  <c r="FY38" i="7"/>
  <c r="FY39" i="7" s="1"/>
  <c r="FY30" i="7"/>
  <c r="FY31" i="7" s="1"/>
  <c r="FZ34" i="7"/>
  <c r="FZ35" i="7" s="1"/>
  <c r="IY87" i="7"/>
  <c r="FZ50" i="7"/>
  <c r="FZ51" i="7" s="1"/>
  <c r="FY68" i="7"/>
  <c r="FZ26" i="7"/>
  <c r="FZ27" i="7" s="1"/>
  <c r="FY46" i="7"/>
  <c r="FY47" i="7" s="1"/>
  <c r="FZ57" i="7"/>
  <c r="FY62" i="7"/>
  <c r="LS54" i="5" l="1"/>
  <c r="FY69" i="7"/>
  <c r="FY70" i="7" s="1"/>
  <c r="FX98" i="7"/>
  <c r="IX64" i="5"/>
  <c r="IX78" i="5" s="1"/>
  <c r="IZ23" i="7" s="1"/>
  <c r="IX50" i="5"/>
  <c r="IY43" i="5" s="1"/>
  <c r="FY63" i="7"/>
  <c r="FZ58" i="7"/>
  <c r="FZ59" i="7" s="1"/>
  <c r="FZ36" i="7" s="1"/>
  <c r="FY74" i="7"/>
  <c r="FY75" i="7" s="1"/>
  <c r="FW107" i="7"/>
  <c r="FW115" i="7" s="1"/>
  <c r="FW123" i="7" s="1"/>
  <c r="FW106" i="7"/>
  <c r="FW114" i="7" s="1"/>
  <c r="FW122" i="7" s="1"/>
  <c r="FW104" i="7"/>
  <c r="FW112" i="7" s="1"/>
  <c r="FW120" i="7" s="1"/>
  <c r="FW103" i="7"/>
  <c r="FW111" i="7" s="1"/>
  <c r="FW119" i="7" s="1"/>
  <c r="FW105" i="7"/>
  <c r="FW113" i="7" s="1"/>
  <c r="FW121" i="7" s="1"/>
  <c r="LT54" i="5" l="1"/>
  <c r="FZ67" i="7"/>
  <c r="FZ60" i="7"/>
  <c r="FZ52" i="7"/>
  <c r="FZ44" i="7"/>
  <c r="FZ28" i="7"/>
  <c r="FZ72" i="7"/>
  <c r="FX92" i="7"/>
  <c r="FX90" i="7"/>
  <c r="IY63" i="5"/>
  <c r="FY77" i="7"/>
  <c r="IZ87" i="7"/>
  <c r="FY83" i="7"/>
  <c r="LU54" i="5" l="1"/>
  <c r="FZ53" i="7"/>
  <c r="GA49" i="7" s="1"/>
  <c r="GA50" i="7" s="1"/>
  <c r="GA51" i="7" s="1"/>
  <c r="FZ29" i="7"/>
  <c r="GA25" i="7" s="1"/>
  <c r="GA26" i="7" s="1"/>
  <c r="GA27" i="7" s="1"/>
  <c r="FZ37" i="7"/>
  <c r="GA33" i="7" s="1"/>
  <c r="GA34" i="7" s="1"/>
  <c r="GA35" i="7" s="1"/>
  <c r="FZ61" i="7"/>
  <c r="FZ62" i="7" s="1"/>
  <c r="FZ45" i="7"/>
  <c r="GA41" i="7" s="1"/>
  <c r="GA42" i="7" s="1"/>
  <c r="GA43" i="7" s="1"/>
  <c r="FY88" i="7"/>
  <c r="FY89" i="7" s="1"/>
  <c r="FY81" i="7"/>
  <c r="FY78" i="7"/>
  <c r="FY82" i="7"/>
  <c r="FY79" i="7"/>
  <c r="FY80" i="7"/>
  <c r="FY85" i="7"/>
  <c r="FX93" i="7"/>
  <c r="FX96" i="7"/>
  <c r="FX95" i="7"/>
  <c r="FX94" i="7"/>
  <c r="FX100" i="7"/>
  <c r="IY50" i="5"/>
  <c r="IZ43" i="5" s="1"/>
  <c r="IY64" i="5"/>
  <c r="IY78" i="5" s="1"/>
  <c r="JA23" i="7" s="1"/>
  <c r="FZ30" i="7" l="1"/>
  <c r="FZ31" i="7" s="1"/>
  <c r="FZ54" i="7"/>
  <c r="FZ55" i="7" s="1"/>
  <c r="FZ38" i="7"/>
  <c r="FZ39" i="7" s="1"/>
  <c r="LV54" i="5"/>
  <c r="FZ73" i="7"/>
  <c r="GA57" i="7"/>
  <c r="GA58" i="7" s="1"/>
  <c r="GA59" i="7" s="1"/>
  <c r="GA52" i="7" s="1"/>
  <c r="FZ46" i="7"/>
  <c r="FZ47" i="7" s="1"/>
  <c r="FZ65" i="7"/>
  <c r="FZ68" i="7"/>
  <c r="IZ63" i="5"/>
  <c r="FZ63" i="7"/>
  <c r="FY98" i="7"/>
  <c r="FX108" i="7"/>
  <c r="FX116" i="7" s="1"/>
  <c r="FX102" i="7"/>
  <c r="JA87" i="7"/>
  <c r="FZ69" i="7" l="1"/>
  <c r="GA67" i="7" s="1"/>
  <c r="LW54" i="5"/>
  <c r="FZ74" i="7"/>
  <c r="FZ75" i="7" s="1"/>
  <c r="GA44" i="7"/>
  <c r="GA28" i="7"/>
  <c r="GA60" i="7"/>
  <c r="FY90" i="7"/>
  <c r="FY92" i="7"/>
  <c r="IZ50" i="5"/>
  <c r="JA43" i="5" s="1"/>
  <c r="IZ64" i="5"/>
  <c r="IZ78" i="5" s="1"/>
  <c r="JB23" i="7" s="1"/>
  <c r="FZ70" i="7"/>
  <c r="FX107" i="7"/>
  <c r="FX115" i="7" s="1"/>
  <c r="FX123" i="7" s="1"/>
  <c r="FX105" i="7"/>
  <c r="FX113" i="7" s="1"/>
  <c r="FX121" i="7" s="1"/>
  <c r="FX104" i="7"/>
  <c r="FX112" i="7" s="1"/>
  <c r="FX120" i="7" s="1"/>
  <c r="FX106" i="7"/>
  <c r="FX114" i="7" s="1"/>
  <c r="FX122" i="7" s="1"/>
  <c r="FX103" i="7"/>
  <c r="FX111" i="7" s="1"/>
  <c r="FX119" i="7" s="1"/>
  <c r="GA36" i="7"/>
  <c r="FZ83" i="7" l="1"/>
  <c r="FZ88" i="7" s="1"/>
  <c r="FZ89" i="7" s="1"/>
  <c r="LX54" i="5"/>
  <c r="GA61" i="7"/>
  <c r="GA62" i="7" s="1"/>
  <c r="FZ77" i="7"/>
  <c r="FZ78" i="7" s="1"/>
  <c r="GA72" i="7"/>
  <c r="GA29" i="7"/>
  <c r="GB25" i="7" s="1"/>
  <c r="GB26" i="7" s="1"/>
  <c r="GB27" i="7" s="1"/>
  <c r="JB87" i="7"/>
  <c r="GA37" i="7"/>
  <c r="GB33" i="7" s="1"/>
  <c r="GA53" i="7"/>
  <c r="JA63" i="5"/>
  <c r="FY93" i="7"/>
  <c r="FY95" i="7"/>
  <c r="FY94" i="7"/>
  <c r="FY96" i="7"/>
  <c r="FY100" i="7"/>
  <c r="GA45" i="7"/>
  <c r="FZ82" i="7" l="1"/>
  <c r="FZ81" i="7"/>
  <c r="FZ80" i="7"/>
  <c r="GB57" i="7"/>
  <c r="GB58" i="7" s="1"/>
  <c r="GB59" i="7" s="1"/>
  <c r="LY54" i="5"/>
  <c r="FZ79" i="7"/>
  <c r="FZ85" i="7"/>
  <c r="FZ98" i="7" s="1"/>
  <c r="GA30" i="7"/>
  <c r="GA31" i="7" s="1"/>
  <c r="GA68" i="7"/>
  <c r="GB41" i="7"/>
  <c r="GA46" i="7"/>
  <c r="GA47" i="7" s="1"/>
  <c r="FY102" i="7"/>
  <c r="FY108" i="7"/>
  <c r="FY116" i="7" s="1"/>
  <c r="GB49" i="7"/>
  <c r="GA54" i="7"/>
  <c r="GA55" i="7" s="1"/>
  <c r="GA38" i="7"/>
  <c r="GA39" i="7" s="1"/>
  <c r="GA65" i="7"/>
  <c r="GB34" i="7"/>
  <c r="GB35" i="7" s="1"/>
  <c r="GA73" i="7"/>
  <c r="JA50" i="5"/>
  <c r="JB43" i="5" s="1"/>
  <c r="JA64" i="5"/>
  <c r="JA78" i="5" s="1"/>
  <c r="JC23" i="7" s="1"/>
  <c r="GA63" i="7"/>
  <c r="LZ54" i="5" l="1"/>
  <c r="JC87" i="7"/>
  <c r="FY106" i="7"/>
  <c r="FY114" i="7" s="1"/>
  <c r="FY122" i="7" s="1"/>
  <c r="FY105" i="7"/>
  <c r="FY113" i="7" s="1"/>
  <c r="FY121" i="7" s="1"/>
  <c r="FY103" i="7"/>
  <c r="FY111" i="7" s="1"/>
  <c r="FY119" i="7" s="1"/>
  <c r="FY104" i="7"/>
  <c r="FY112" i="7" s="1"/>
  <c r="FY120" i="7" s="1"/>
  <c r="FY107" i="7"/>
  <c r="FY115" i="7" s="1"/>
  <c r="FY123" i="7" s="1"/>
  <c r="FZ90" i="7"/>
  <c r="FZ92" i="7"/>
  <c r="GA69" i="7"/>
  <c r="JB63" i="5"/>
  <c r="GA74" i="7"/>
  <c r="GA75" i="7" s="1"/>
  <c r="GB42" i="7"/>
  <c r="GB43" i="7" s="1"/>
  <c r="GB50" i="7"/>
  <c r="GB51" i="7" s="1"/>
  <c r="MA54" i="5" l="1"/>
  <c r="GB72" i="7"/>
  <c r="GB60" i="7"/>
  <c r="GB36" i="7"/>
  <c r="GB52" i="7"/>
  <c r="JB50" i="5"/>
  <c r="JC43" i="5" s="1"/>
  <c r="JB64" i="5"/>
  <c r="JB78" i="5" s="1"/>
  <c r="JD23" i="7" s="1"/>
  <c r="FZ94" i="7"/>
  <c r="FZ95" i="7"/>
  <c r="FZ96" i="7"/>
  <c r="FZ93" i="7"/>
  <c r="FZ100" i="7"/>
  <c r="GB28" i="7"/>
  <c r="GA70" i="7"/>
  <c r="GA83" i="7" s="1"/>
  <c r="GA77" i="7"/>
  <c r="GB67" i="7"/>
  <c r="GB44" i="7"/>
  <c r="MB54" i="5" l="1"/>
  <c r="JD87" i="7"/>
  <c r="FZ108" i="7"/>
  <c r="FZ116" i="7" s="1"/>
  <c r="FZ102" i="7"/>
  <c r="GA80" i="7"/>
  <c r="GA82" i="7"/>
  <c r="GA78" i="7"/>
  <c r="GA79" i="7"/>
  <c r="GA81" i="7"/>
  <c r="GA85" i="7"/>
  <c r="GB29" i="7"/>
  <c r="GC25" i="7" s="1"/>
  <c r="GB61" i="7"/>
  <c r="GB53" i="7"/>
  <c r="GB37" i="7"/>
  <c r="GB45" i="7"/>
  <c r="GC41" i="7" s="1"/>
  <c r="JC63" i="5"/>
  <c r="GA88" i="7"/>
  <c r="GA89" i="7" s="1"/>
  <c r="MC54" i="5" l="1"/>
  <c r="GB68" i="7"/>
  <c r="GB30" i="7"/>
  <c r="GB31" i="7" s="1"/>
  <c r="GC42" i="7"/>
  <c r="GC43" i="7" s="1"/>
  <c r="GC49" i="7"/>
  <c r="GB54" i="7"/>
  <c r="GB55" i="7" s="1"/>
  <c r="JC64" i="5"/>
  <c r="JC78" i="5" s="1"/>
  <c r="JE23" i="7" s="1"/>
  <c r="JC50" i="5"/>
  <c r="JD43" i="5" s="1"/>
  <c r="GC57" i="7"/>
  <c r="GB62" i="7"/>
  <c r="GB73" i="7"/>
  <c r="GC33" i="7"/>
  <c r="GB38" i="7"/>
  <c r="GB39" i="7" s="1"/>
  <c r="FZ106" i="7"/>
  <c r="FZ114" i="7" s="1"/>
  <c r="FZ122" i="7" s="1"/>
  <c r="FZ105" i="7"/>
  <c r="FZ113" i="7" s="1"/>
  <c r="FZ121" i="7" s="1"/>
  <c r="FZ104" i="7"/>
  <c r="FZ112" i="7" s="1"/>
  <c r="FZ120" i="7" s="1"/>
  <c r="FZ107" i="7"/>
  <c r="FZ115" i="7" s="1"/>
  <c r="FZ123" i="7" s="1"/>
  <c r="FZ103" i="7"/>
  <c r="FZ111" i="7" s="1"/>
  <c r="FZ119" i="7" s="1"/>
  <c r="GC26" i="7"/>
  <c r="GC27" i="7" s="1"/>
  <c r="GA98" i="7"/>
  <c r="GB46" i="7"/>
  <c r="GB47" i="7" s="1"/>
  <c r="GB65" i="7"/>
  <c r="GB69" i="7" l="1"/>
  <c r="GB70" i="7" s="1"/>
  <c r="MD54" i="5"/>
  <c r="GA92" i="7"/>
  <c r="GA90" i="7"/>
  <c r="GB74" i="7"/>
  <c r="GB75" i="7" s="1"/>
  <c r="GB63" i="7"/>
  <c r="GC50" i="7"/>
  <c r="GC51" i="7" s="1"/>
  <c r="JD63" i="5"/>
  <c r="GC34" i="7"/>
  <c r="GC35" i="7" s="1"/>
  <c r="JE87" i="7"/>
  <c r="GC58" i="7"/>
  <c r="GC59" i="7" s="1"/>
  <c r="GC67" i="7" l="1"/>
  <c r="ME54" i="5"/>
  <c r="GC36" i="7"/>
  <c r="GC72" i="7"/>
  <c r="GC52" i="7"/>
  <c r="GB77" i="7"/>
  <c r="GB80" i="7" s="1"/>
  <c r="GC28" i="7"/>
  <c r="GC60" i="7"/>
  <c r="JD50" i="5"/>
  <c r="JE43" i="5" s="1"/>
  <c r="JD64" i="5"/>
  <c r="JD78" i="5" s="1"/>
  <c r="JF23" i="7" s="1"/>
  <c r="GA94" i="7"/>
  <c r="GA95" i="7"/>
  <c r="GA96" i="7"/>
  <c r="GA93" i="7"/>
  <c r="GA100" i="7"/>
  <c r="GC44" i="7"/>
  <c r="GB83" i="7"/>
  <c r="MF54" i="5" l="1"/>
  <c r="GB78" i="7"/>
  <c r="GB82" i="7"/>
  <c r="GB79" i="7"/>
  <c r="GB81" i="7"/>
  <c r="JE63" i="5"/>
  <c r="GA108" i="7"/>
  <c r="GA116" i="7" s="1"/>
  <c r="GA102" i="7"/>
  <c r="GC29" i="7"/>
  <c r="GD25" i="7" s="1"/>
  <c r="GC61" i="7"/>
  <c r="GD57" i="7" s="1"/>
  <c r="GC45" i="7"/>
  <c r="GD41" i="7" s="1"/>
  <c r="GC53" i="7"/>
  <c r="GC37" i="7"/>
  <c r="JF87" i="7"/>
  <c r="GB88" i="7"/>
  <c r="GB89" i="7" s="1"/>
  <c r="GB85" i="7"/>
  <c r="MG54" i="5" l="1"/>
  <c r="GD58" i="7"/>
  <c r="GD59" i="7" s="1"/>
  <c r="GA105" i="7"/>
  <c r="GA113" i="7" s="1"/>
  <c r="GA121" i="7" s="1"/>
  <c r="GA106" i="7"/>
  <c r="GA114" i="7" s="1"/>
  <c r="GA122" i="7" s="1"/>
  <c r="GA107" i="7"/>
  <c r="GA115" i="7" s="1"/>
  <c r="GA123" i="7" s="1"/>
  <c r="GA103" i="7"/>
  <c r="GA111" i="7" s="1"/>
  <c r="GA119" i="7" s="1"/>
  <c r="GA104" i="7"/>
  <c r="GA112" i="7" s="1"/>
  <c r="GA120" i="7" s="1"/>
  <c r="GC62" i="7"/>
  <c r="GB98" i="7"/>
  <c r="GC65" i="7"/>
  <c r="GD33" i="7"/>
  <c r="GC38" i="7"/>
  <c r="GC39" i="7" s="1"/>
  <c r="GD26" i="7"/>
  <c r="GD27" i="7" s="1"/>
  <c r="JE50" i="5"/>
  <c r="JF43" i="5" s="1"/>
  <c r="JE64" i="5"/>
  <c r="JE78" i="5" s="1"/>
  <c r="JG23" i="7" s="1"/>
  <c r="GC68" i="7"/>
  <c r="GC73" i="7"/>
  <c r="GD49" i="7"/>
  <c r="GC54" i="7"/>
  <c r="GC55" i="7" s="1"/>
  <c r="GC30" i="7"/>
  <c r="GC31" i="7" s="1"/>
  <c r="GD42" i="7"/>
  <c r="GD43" i="7" s="1"/>
  <c r="GC46" i="7"/>
  <c r="GC47" i="7" s="1"/>
  <c r="MH54" i="5" l="1"/>
  <c r="JF63" i="5"/>
  <c r="GD34" i="7"/>
  <c r="GD35" i="7" s="1"/>
  <c r="GD50" i="7"/>
  <c r="GD51" i="7" s="1"/>
  <c r="JG87" i="7"/>
  <c r="GC63" i="7"/>
  <c r="GC74" i="7"/>
  <c r="GC75" i="7" s="1"/>
  <c r="GC69" i="7"/>
  <c r="GB92" i="7"/>
  <c r="GB90" i="7"/>
  <c r="MI54" i="5" l="1"/>
  <c r="GD44" i="7"/>
  <c r="GD72" i="7"/>
  <c r="GC77" i="7"/>
  <c r="GC70" i="7"/>
  <c r="GC83" i="7" s="1"/>
  <c r="GD28" i="7"/>
  <c r="GD60" i="7"/>
  <c r="GD36" i="7"/>
  <c r="GB95" i="7"/>
  <c r="GB96" i="7"/>
  <c r="GB94" i="7"/>
  <c r="GB93" i="7"/>
  <c r="GB100" i="7"/>
  <c r="GD52" i="7"/>
  <c r="GD67" i="7"/>
  <c r="JF64" i="5"/>
  <c r="JF78" i="5" s="1"/>
  <c r="JH23" i="7" s="1"/>
  <c r="JF50" i="5"/>
  <c r="JG43" i="5" s="1"/>
  <c r="MJ54" i="5" l="1"/>
  <c r="GD61" i="7"/>
  <c r="GE57" i="7" s="1"/>
  <c r="GD37" i="7"/>
  <c r="GE33" i="7" s="1"/>
  <c r="GD53" i="7"/>
  <c r="GE49" i="7" s="1"/>
  <c r="GD45" i="7"/>
  <c r="GD29" i="7"/>
  <c r="GE25" i="7" s="1"/>
  <c r="JH87" i="7"/>
  <c r="GC88" i="7"/>
  <c r="GC89" i="7" s="1"/>
  <c r="JG63" i="5"/>
  <c r="GC82" i="7"/>
  <c r="GC80" i="7"/>
  <c r="GC81" i="7"/>
  <c r="GC79" i="7"/>
  <c r="GC78" i="7"/>
  <c r="GC85" i="7"/>
  <c r="GB108" i="7"/>
  <c r="GB116" i="7" s="1"/>
  <c r="GB102" i="7"/>
  <c r="MK54" i="5" l="1"/>
  <c r="GD38" i="7"/>
  <c r="GD39" i="7" s="1"/>
  <c r="GD54" i="7"/>
  <c r="GD55" i="7" s="1"/>
  <c r="GD73" i="7"/>
  <c r="GD62" i="7"/>
  <c r="GD68" i="7"/>
  <c r="GE41" i="7"/>
  <c r="GD46" i="7"/>
  <c r="GD47" i="7" s="1"/>
  <c r="GE58" i="7"/>
  <c r="GE59" i="7" s="1"/>
  <c r="GE26" i="7"/>
  <c r="GE27" i="7" s="1"/>
  <c r="GB106" i="7"/>
  <c r="GB114" i="7" s="1"/>
  <c r="GB122" i="7" s="1"/>
  <c r="GB103" i="7"/>
  <c r="GB111" i="7" s="1"/>
  <c r="GB119" i="7" s="1"/>
  <c r="GB104" i="7"/>
  <c r="GB112" i="7" s="1"/>
  <c r="GB120" i="7" s="1"/>
  <c r="GB107" i="7"/>
  <c r="GB115" i="7" s="1"/>
  <c r="GB123" i="7" s="1"/>
  <c r="GB105" i="7"/>
  <c r="GB113" i="7" s="1"/>
  <c r="GB121" i="7" s="1"/>
  <c r="GD65" i="7"/>
  <c r="GC98" i="7"/>
  <c r="JG50" i="5"/>
  <c r="JH43" i="5" s="1"/>
  <c r="JG64" i="5"/>
  <c r="JG78" i="5" s="1"/>
  <c r="JI23" i="7" s="1"/>
  <c r="GD30" i="7"/>
  <c r="GD31" i="7" s="1"/>
  <c r="GE50" i="7"/>
  <c r="GE51" i="7" s="1"/>
  <c r="GE34" i="7"/>
  <c r="GE35" i="7" s="1"/>
  <c r="GD74" i="7" l="1"/>
  <c r="GD75" i="7" s="1"/>
  <c r="ML54" i="5"/>
  <c r="JH63" i="5"/>
  <c r="JI87" i="7"/>
  <c r="GE42" i="7"/>
  <c r="GE43" i="7" s="1"/>
  <c r="GE60" i="7" s="1"/>
  <c r="GC90" i="7"/>
  <c r="GC92" i="7"/>
  <c r="GD69" i="7"/>
  <c r="GE67" i="7" s="1"/>
  <c r="GD63" i="7"/>
  <c r="GE72" i="7" l="1"/>
  <c r="MM54" i="5"/>
  <c r="GE44" i="7"/>
  <c r="GE52" i="7"/>
  <c r="GE36" i="7"/>
  <c r="GE28" i="7"/>
  <c r="GC94" i="7"/>
  <c r="GC96" i="7"/>
  <c r="GC93" i="7"/>
  <c r="GC95" i="7"/>
  <c r="GC100" i="7"/>
  <c r="JH64" i="5"/>
  <c r="JH78" i="5" s="1"/>
  <c r="JJ23" i="7" s="1"/>
  <c r="JH50" i="5"/>
  <c r="JI43" i="5" s="1"/>
  <c r="GD70" i="7"/>
  <c r="GD83" i="7" s="1"/>
  <c r="GD77" i="7"/>
  <c r="MN54" i="5" l="1"/>
  <c r="JJ87" i="7"/>
  <c r="GD88" i="7"/>
  <c r="GD89" i="7" s="1"/>
  <c r="GD79" i="7"/>
  <c r="GD78" i="7"/>
  <c r="GD80" i="7"/>
  <c r="GD82" i="7"/>
  <c r="GD81" i="7"/>
  <c r="GD85" i="7"/>
  <c r="GC108" i="7"/>
  <c r="GC116" i="7" s="1"/>
  <c r="GC102" i="7"/>
  <c r="JI63" i="5"/>
  <c r="GE61" i="7"/>
  <c r="GE45" i="7"/>
  <c r="GE53" i="7"/>
  <c r="GE29" i="7"/>
  <c r="GF25" i="7" s="1"/>
  <c r="GE37" i="7"/>
  <c r="GF33" i="7" s="1"/>
  <c r="MO54" i="5" l="1"/>
  <c r="GF34" i="7"/>
  <c r="GF35" i="7" s="1"/>
  <c r="GC107" i="7"/>
  <c r="GC115" i="7" s="1"/>
  <c r="GC123" i="7" s="1"/>
  <c r="GC103" i="7"/>
  <c r="GC111" i="7" s="1"/>
  <c r="GC119" i="7" s="1"/>
  <c r="GC105" i="7"/>
  <c r="GC113" i="7" s="1"/>
  <c r="GC121" i="7" s="1"/>
  <c r="GC104" i="7"/>
  <c r="GC112" i="7" s="1"/>
  <c r="GC120" i="7" s="1"/>
  <c r="GC106" i="7"/>
  <c r="GC114" i="7" s="1"/>
  <c r="GC122" i="7" s="1"/>
  <c r="GE73" i="7"/>
  <c r="GD98" i="7"/>
  <c r="JI50" i="5"/>
  <c r="JJ43" i="5" s="1"/>
  <c r="JI64" i="5"/>
  <c r="JI78" i="5" s="1"/>
  <c r="JK23" i="7" s="1"/>
  <c r="GF49" i="7"/>
  <c r="GE54" i="7"/>
  <c r="GE55" i="7" s="1"/>
  <c r="GE65" i="7"/>
  <c r="GF26" i="7"/>
  <c r="GF27" i="7" s="1"/>
  <c r="GE30" i="7"/>
  <c r="GE31" i="7" s="1"/>
  <c r="GF41" i="7"/>
  <c r="GE46" i="7"/>
  <c r="GE47" i="7" s="1"/>
  <c r="GF57" i="7"/>
  <c r="GE62" i="7"/>
  <c r="GE38" i="7"/>
  <c r="GE39" i="7" s="1"/>
  <c r="GE68" i="7"/>
  <c r="MP54" i="5" l="1"/>
  <c r="GF50" i="7"/>
  <c r="GF51" i="7" s="1"/>
  <c r="GF42" i="7"/>
  <c r="GF43" i="7" s="1"/>
  <c r="GE69" i="7"/>
  <c r="GF67" i="7" s="1"/>
  <c r="JK87" i="7"/>
  <c r="JJ63" i="5"/>
  <c r="GE63" i="7"/>
  <c r="GD92" i="7"/>
  <c r="GD90" i="7"/>
  <c r="GF58" i="7"/>
  <c r="GF59" i="7" s="1"/>
  <c r="GE74" i="7"/>
  <c r="GE75" i="7" s="1"/>
  <c r="MQ54" i="5" l="1"/>
  <c r="GF60" i="7"/>
  <c r="GF72" i="7"/>
  <c r="GF44" i="7"/>
  <c r="GF52" i="7"/>
  <c r="GF36" i="7"/>
  <c r="JJ50" i="5"/>
  <c r="JK43" i="5" s="1"/>
  <c r="JJ64" i="5"/>
  <c r="JJ78" i="5" s="1"/>
  <c r="JL23" i="7" s="1"/>
  <c r="GD95" i="7"/>
  <c r="GD96" i="7"/>
  <c r="GD94" i="7"/>
  <c r="GD93" i="7"/>
  <c r="GD100" i="7"/>
  <c r="GE70" i="7"/>
  <c r="GE83" i="7" s="1"/>
  <c r="GE77" i="7"/>
  <c r="GF28" i="7"/>
  <c r="MR54" i="5" l="1"/>
  <c r="JK63" i="5"/>
  <c r="GF37" i="7"/>
  <c r="GF29" i="7"/>
  <c r="GG25" i="7" s="1"/>
  <c r="GF53" i="7"/>
  <c r="GF61" i="7"/>
  <c r="GF45" i="7"/>
  <c r="JL87" i="7"/>
  <c r="GE81" i="7"/>
  <c r="GE80" i="7"/>
  <c r="GE82" i="7"/>
  <c r="GE79" i="7"/>
  <c r="GE78" i="7"/>
  <c r="GE85" i="7"/>
  <c r="GE88" i="7"/>
  <c r="GE89" i="7" s="1"/>
  <c r="GD102" i="7"/>
  <c r="GD108" i="7"/>
  <c r="GD116" i="7" s="1"/>
  <c r="MS54" i="5" l="1"/>
  <c r="GG57" i="7"/>
  <c r="GF62" i="7"/>
  <c r="GG26" i="7"/>
  <c r="GG27" i="7" s="1"/>
  <c r="GD105" i="7"/>
  <c r="GD113" i="7" s="1"/>
  <c r="GD121" i="7" s="1"/>
  <c r="GD104" i="7"/>
  <c r="GD112" i="7" s="1"/>
  <c r="GD120" i="7" s="1"/>
  <c r="GD106" i="7"/>
  <c r="GD114" i="7" s="1"/>
  <c r="GD122" i="7" s="1"/>
  <c r="GD103" i="7"/>
  <c r="GD111" i="7" s="1"/>
  <c r="GD119" i="7" s="1"/>
  <c r="GD107" i="7"/>
  <c r="GD115" i="7" s="1"/>
  <c r="GD123" i="7" s="1"/>
  <c r="GG49" i="7"/>
  <c r="GF54" i="7"/>
  <c r="GF55" i="7" s="1"/>
  <c r="JK50" i="5"/>
  <c r="JL43" i="5" s="1"/>
  <c r="JK64" i="5"/>
  <c r="JK78" i="5" s="1"/>
  <c r="JM23" i="7" s="1"/>
  <c r="GF65" i="7"/>
  <c r="GF30" i="7"/>
  <c r="GF31" i="7" s="1"/>
  <c r="GF68" i="7"/>
  <c r="GG33" i="7"/>
  <c r="GF38" i="7"/>
  <c r="GF39" i="7" s="1"/>
  <c r="GE98" i="7"/>
  <c r="GG41" i="7"/>
  <c r="GF46" i="7"/>
  <c r="GF47" i="7" s="1"/>
  <c r="GF73" i="7"/>
  <c r="MT54" i="5" l="1"/>
  <c r="GG34" i="7"/>
  <c r="GG35" i="7" s="1"/>
  <c r="JL63" i="5"/>
  <c r="GF63" i="7"/>
  <c r="JM87" i="7"/>
  <c r="GG50" i="7"/>
  <c r="GG51" i="7" s="1"/>
  <c r="GF74" i="7"/>
  <c r="GF75" i="7" s="1"/>
  <c r="GG42" i="7"/>
  <c r="GG43" i="7" s="1"/>
  <c r="GF69" i="7"/>
  <c r="GG67" i="7" s="1"/>
  <c r="GE92" i="7"/>
  <c r="GE90" i="7"/>
  <c r="GG58" i="7"/>
  <c r="GG59" i="7" s="1"/>
  <c r="MU54" i="5" l="1"/>
  <c r="GG60" i="7"/>
  <c r="GG36" i="7"/>
  <c r="GG52" i="7"/>
  <c r="GE93" i="7"/>
  <c r="GE95" i="7"/>
  <c r="GE96" i="7"/>
  <c r="GE94" i="7"/>
  <c r="GE100" i="7"/>
  <c r="GG28" i="7"/>
  <c r="GF77" i="7"/>
  <c r="GF70" i="7"/>
  <c r="GF83" i="7" s="1"/>
  <c r="GG72" i="7"/>
  <c r="JL50" i="5"/>
  <c r="JM43" i="5" s="1"/>
  <c r="JL64" i="5"/>
  <c r="JL78" i="5" s="1"/>
  <c r="JN23" i="7" s="1"/>
  <c r="GG44" i="7"/>
  <c r="GG45" i="7" l="1"/>
  <c r="GH41" i="7" s="1"/>
  <c r="GH42" i="7" s="1"/>
  <c r="GH43" i="7" s="1"/>
  <c r="GG37" i="7"/>
  <c r="GH33" i="7" s="1"/>
  <c r="GH34" i="7" s="1"/>
  <c r="GH35" i="7" s="1"/>
  <c r="GG29" i="7"/>
  <c r="GH25" i="7" s="1"/>
  <c r="GG53" i="7"/>
  <c r="GH49" i="7" s="1"/>
  <c r="GH50" i="7" s="1"/>
  <c r="GH51" i="7" s="1"/>
  <c r="GG61" i="7"/>
  <c r="GH57" i="7" s="1"/>
  <c r="GH58" i="7" s="1"/>
  <c r="GH59" i="7" s="1"/>
  <c r="MV54" i="5"/>
  <c r="GE108" i="7"/>
  <c r="GE116" i="7" s="1"/>
  <c r="GE102" i="7"/>
  <c r="JM63" i="5"/>
  <c r="JN87" i="7"/>
  <c r="GF88" i="7"/>
  <c r="GF89" i="7" s="1"/>
  <c r="GF81" i="7"/>
  <c r="GF80" i="7"/>
  <c r="GF79" i="7"/>
  <c r="GF82" i="7"/>
  <c r="GF78" i="7"/>
  <c r="GF85" i="7"/>
  <c r="GG46" i="7" l="1"/>
  <c r="GG47" i="7" s="1"/>
  <c r="GG38" i="7"/>
  <c r="GG39" i="7" s="1"/>
  <c r="GG30" i="7"/>
  <c r="GG31" i="7" s="1"/>
  <c r="GG68" i="7"/>
  <c r="GG73" i="7"/>
  <c r="GG65" i="7"/>
  <c r="GG54" i="7"/>
  <c r="GG55" i="7" s="1"/>
  <c r="GH26" i="7"/>
  <c r="GH27" i="7" s="1"/>
  <c r="GH28" i="7" s="1"/>
  <c r="GG62" i="7"/>
  <c r="GG63" i="7" s="1"/>
  <c r="MW54" i="5"/>
  <c r="GE106" i="7"/>
  <c r="GE114" i="7" s="1"/>
  <c r="GE122" i="7" s="1"/>
  <c r="GE103" i="7"/>
  <c r="GE111" i="7" s="1"/>
  <c r="GE119" i="7" s="1"/>
  <c r="GE107" i="7"/>
  <c r="GE115" i="7" s="1"/>
  <c r="GE123" i="7" s="1"/>
  <c r="GE104" i="7"/>
  <c r="GE112" i="7" s="1"/>
  <c r="GE120" i="7" s="1"/>
  <c r="GE105" i="7"/>
  <c r="GE113" i="7" s="1"/>
  <c r="GE121" i="7" s="1"/>
  <c r="GF98" i="7"/>
  <c r="JM50" i="5"/>
  <c r="JN43" i="5" s="1"/>
  <c r="JM64" i="5"/>
  <c r="JM78" i="5" s="1"/>
  <c r="JO23" i="7" s="1"/>
  <c r="GG69" i="7" l="1"/>
  <c r="GH67" i="7" s="1"/>
  <c r="GG74" i="7"/>
  <c r="GG75" i="7" s="1"/>
  <c r="GH44" i="7"/>
  <c r="GH36" i="7"/>
  <c r="GH52" i="7"/>
  <c r="GH60" i="7"/>
  <c r="MX54" i="5"/>
  <c r="JO87" i="7"/>
  <c r="GF90" i="7"/>
  <c r="GF92" i="7"/>
  <c r="JN63" i="5"/>
  <c r="GH72" i="7" l="1"/>
  <c r="GG77" i="7"/>
  <c r="GG79" i="7" s="1"/>
  <c r="GG70" i="7"/>
  <c r="GG83" i="7" s="1"/>
  <c r="GG88" i="7" s="1"/>
  <c r="GG89" i="7" s="1"/>
  <c r="GH53" i="7"/>
  <c r="GI49" i="7" s="1"/>
  <c r="GI50" i="7" s="1"/>
  <c r="GI51" i="7" s="1"/>
  <c r="GH61" i="7"/>
  <c r="GH29" i="7"/>
  <c r="GH37" i="7"/>
  <c r="GH45" i="7"/>
  <c r="MY54" i="5"/>
  <c r="JN50" i="5"/>
  <c r="JO43" i="5" s="1"/>
  <c r="JN64" i="5"/>
  <c r="JN78" i="5" s="1"/>
  <c r="JP23" i="7" s="1"/>
  <c r="GF95" i="7"/>
  <c r="GF93" i="7"/>
  <c r="GF96" i="7"/>
  <c r="GF94" i="7"/>
  <c r="GF100" i="7"/>
  <c r="GG82" i="7" l="1"/>
  <c r="GG85" i="7"/>
  <c r="GG98" i="7" s="1"/>
  <c r="GG78" i="7"/>
  <c r="GG81" i="7"/>
  <c r="GG80" i="7"/>
  <c r="GH54" i="7"/>
  <c r="GH55" i="7" s="1"/>
  <c r="GI25" i="7"/>
  <c r="GH73" i="7"/>
  <c r="GH65" i="7"/>
  <c r="GH30" i="7"/>
  <c r="GH31" i="7" s="1"/>
  <c r="GH68" i="7"/>
  <c r="GI41" i="7"/>
  <c r="GI42" i="7" s="1"/>
  <c r="GI43" i="7" s="1"/>
  <c r="GH46" i="7"/>
  <c r="GH47" i="7" s="1"/>
  <c r="GI33" i="7"/>
  <c r="GI34" i="7" s="1"/>
  <c r="GI35" i="7" s="1"/>
  <c r="GH38" i="7"/>
  <c r="GH39" i="7" s="1"/>
  <c r="GI57" i="7"/>
  <c r="GI58" i="7" s="1"/>
  <c r="GI59" i="7" s="1"/>
  <c r="GH62" i="7"/>
  <c r="GH63" i="7" s="1"/>
  <c r="MZ54" i="5"/>
  <c r="JP87" i="7"/>
  <c r="GF102" i="7"/>
  <c r="GF108" i="7"/>
  <c r="GF116" i="7" s="1"/>
  <c r="JO63" i="5"/>
  <c r="GH69" i="7" l="1"/>
  <c r="GH70" i="7" s="1"/>
  <c r="GH74" i="7"/>
  <c r="GI26" i="7"/>
  <c r="GI27" i="7" s="1"/>
  <c r="NA54" i="5"/>
  <c r="GG92" i="7"/>
  <c r="GG90" i="7"/>
  <c r="GF103" i="7"/>
  <c r="GF111" i="7" s="1"/>
  <c r="GF119" i="7" s="1"/>
  <c r="R8" i="8" s="1"/>
  <c r="R10" i="8" s="1"/>
  <c r="GF105" i="7"/>
  <c r="GF113" i="7" s="1"/>
  <c r="GF121" i="7" s="1"/>
  <c r="R30" i="8" s="1"/>
  <c r="R32" i="8" s="1"/>
  <c r="GF104" i="7"/>
  <c r="GF112" i="7" s="1"/>
  <c r="GF120" i="7" s="1"/>
  <c r="R19" i="8" s="1"/>
  <c r="R21" i="8" s="1"/>
  <c r="GF107" i="7"/>
  <c r="GF115" i="7" s="1"/>
  <c r="GF123" i="7" s="1"/>
  <c r="R52" i="8" s="1"/>
  <c r="R54" i="8" s="1"/>
  <c r="GF106" i="7"/>
  <c r="GF114" i="7" s="1"/>
  <c r="GF122" i="7" s="1"/>
  <c r="R41" i="8" s="1"/>
  <c r="R43" i="8" s="1"/>
  <c r="JO50" i="5"/>
  <c r="JP43" i="5" s="1"/>
  <c r="JO64" i="5"/>
  <c r="JO78" i="5" s="1"/>
  <c r="JQ23" i="7" s="1"/>
  <c r="GI67" i="7" l="1"/>
  <c r="GI52" i="7"/>
  <c r="GI36" i="7"/>
  <c r="GI44" i="7"/>
  <c r="GI28" i="7"/>
  <c r="GI60" i="7"/>
  <c r="GI72" i="7"/>
  <c r="GH75" i="7"/>
  <c r="GH83" i="7" s="1"/>
  <c r="GH88" i="7" s="1"/>
  <c r="GH89" i="7" s="1"/>
  <c r="GH77" i="7"/>
  <c r="NB54" i="5"/>
  <c r="JP63" i="5"/>
  <c r="GG96" i="7"/>
  <c r="GG95" i="7"/>
  <c r="GG93" i="7"/>
  <c r="GG94" i="7"/>
  <c r="GG100" i="7"/>
  <c r="JQ87" i="7"/>
  <c r="GI53" i="7" l="1"/>
  <c r="GJ49" i="7" s="1"/>
  <c r="GJ50" i="7" s="1"/>
  <c r="GJ51" i="7" s="1"/>
  <c r="GI61" i="7"/>
  <c r="GJ57" i="7" s="1"/>
  <c r="GJ58" i="7" s="1"/>
  <c r="GJ59" i="7" s="1"/>
  <c r="GI29" i="7"/>
  <c r="GJ25" i="7" s="1"/>
  <c r="GI45" i="7"/>
  <c r="GJ41" i="7" s="1"/>
  <c r="GJ42" i="7" s="1"/>
  <c r="GJ43" i="7" s="1"/>
  <c r="GI37" i="7"/>
  <c r="GJ33" i="7" s="1"/>
  <c r="GJ34" i="7" s="1"/>
  <c r="GJ35" i="7" s="1"/>
  <c r="GH81" i="7"/>
  <c r="GH78" i="7"/>
  <c r="GH79" i="7"/>
  <c r="GH82" i="7"/>
  <c r="GH85" i="7"/>
  <c r="GH98" i="7" s="1"/>
  <c r="GH92" i="7" s="1"/>
  <c r="GH80" i="7"/>
  <c r="GG108" i="7"/>
  <c r="GG116" i="7" s="1"/>
  <c r="GG102" i="7"/>
  <c r="JP50" i="5"/>
  <c r="JQ43" i="5" s="1"/>
  <c r="JP64" i="5"/>
  <c r="JP78" i="5" s="1"/>
  <c r="JR23" i="7" s="1"/>
  <c r="GH90" i="7" l="1"/>
  <c r="GI65" i="7"/>
  <c r="GI54" i="7"/>
  <c r="GI55" i="7" s="1"/>
  <c r="GI38" i="7"/>
  <c r="GI39" i="7" s="1"/>
  <c r="GI68" i="7"/>
  <c r="GI73" i="7"/>
  <c r="GI46" i="7"/>
  <c r="GI47" i="7" s="1"/>
  <c r="GI62" i="7"/>
  <c r="GJ26" i="7"/>
  <c r="GJ27" i="7" s="1"/>
  <c r="GI30" i="7"/>
  <c r="GI31" i="7" s="1"/>
  <c r="GH96" i="7"/>
  <c r="GH93" i="7"/>
  <c r="GH94" i="7"/>
  <c r="GH95" i="7"/>
  <c r="GH100" i="7"/>
  <c r="JQ63" i="5"/>
  <c r="GG103" i="7"/>
  <c r="GG111" i="7" s="1"/>
  <c r="GG119" i="7" s="1"/>
  <c r="GG105" i="7"/>
  <c r="GG113" i="7" s="1"/>
  <c r="GG121" i="7" s="1"/>
  <c r="GG104" i="7"/>
  <c r="GG112" i="7" s="1"/>
  <c r="GG120" i="7" s="1"/>
  <c r="GG107" i="7"/>
  <c r="GG115" i="7" s="1"/>
  <c r="GG123" i="7" s="1"/>
  <c r="GG106" i="7"/>
  <c r="GG114" i="7" s="1"/>
  <c r="GG122" i="7" s="1"/>
  <c r="JR87" i="7"/>
  <c r="GI69" i="7" l="1"/>
  <c r="GJ67" i="7" s="1"/>
  <c r="GI63" i="7"/>
  <c r="GJ44" i="7"/>
  <c r="GJ52" i="7"/>
  <c r="GJ28" i="7"/>
  <c r="GJ36" i="7"/>
  <c r="GJ60" i="7"/>
  <c r="GI74" i="7"/>
  <c r="GI75" i="7" s="1"/>
  <c r="JQ50" i="5"/>
  <c r="JR43" i="5" s="1"/>
  <c r="JQ64" i="5"/>
  <c r="JQ78" i="5" s="1"/>
  <c r="JS23" i="7" s="1"/>
  <c r="GH102" i="7"/>
  <c r="GH108" i="7"/>
  <c r="GH116" i="7" s="1"/>
  <c r="GI70" i="7" l="1"/>
  <c r="GI83" i="7" s="1"/>
  <c r="GJ37" i="7"/>
  <c r="GK33" i="7" s="1"/>
  <c r="GK34" i="7" s="1"/>
  <c r="GK35" i="7" s="1"/>
  <c r="GJ29" i="7"/>
  <c r="GK25" i="7" s="1"/>
  <c r="GJ61" i="7"/>
  <c r="GK57" i="7" s="1"/>
  <c r="GK58" i="7" s="1"/>
  <c r="GK59" i="7" s="1"/>
  <c r="GJ45" i="7"/>
  <c r="GK41" i="7" s="1"/>
  <c r="GK42" i="7" s="1"/>
  <c r="GK43" i="7" s="1"/>
  <c r="GJ53" i="7"/>
  <c r="GK49" i="7" s="1"/>
  <c r="GK50" i="7" s="1"/>
  <c r="GK51" i="7" s="1"/>
  <c r="GJ72" i="7"/>
  <c r="GI77" i="7"/>
  <c r="JS87" i="7"/>
  <c r="JR63" i="5"/>
  <c r="GH104" i="7"/>
  <c r="GH112" i="7" s="1"/>
  <c r="GH120" i="7" s="1"/>
  <c r="GH105" i="7"/>
  <c r="GH113" i="7" s="1"/>
  <c r="GH121" i="7" s="1"/>
  <c r="GH103" i="7"/>
  <c r="GH111" i="7" s="1"/>
  <c r="GH119" i="7" s="1"/>
  <c r="GH106" i="7"/>
  <c r="GH114" i="7" s="1"/>
  <c r="GH122" i="7" s="1"/>
  <c r="GH107" i="7"/>
  <c r="GH115" i="7" s="1"/>
  <c r="GH123" i="7" s="1"/>
  <c r="GJ54" i="7" l="1"/>
  <c r="GJ55" i="7" s="1"/>
  <c r="GJ46" i="7"/>
  <c r="GJ47" i="7" s="1"/>
  <c r="GJ30" i="7"/>
  <c r="GJ31" i="7" s="1"/>
  <c r="GI81" i="7"/>
  <c r="GI79" i="7"/>
  <c r="GI82" i="7"/>
  <c r="GI78" i="7"/>
  <c r="GI80" i="7"/>
  <c r="GJ65" i="7"/>
  <c r="GJ38" i="7"/>
  <c r="GJ39" i="7" s="1"/>
  <c r="GJ73" i="7"/>
  <c r="GJ62" i="7"/>
  <c r="GJ68" i="7"/>
  <c r="GK26" i="7"/>
  <c r="GK27" i="7" s="1"/>
  <c r="GI85" i="7"/>
  <c r="GI88" i="7"/>
  <c r="GI89" i="7" s="1"/>
  <c r="JR50" i="5"/>
  <c r="JS43" i="5" s="1"/>
  <c r="JR64" i="5"/>
  <c r="JR78" i="5" s="1"/>
  <c r="JT23" i="7" s="1"/>
  <c r="GI98" i="7" l="1"/>
  <c r="GI92" i="7" s="1"/>
  <c r="GI100" i="7" s="1"/>
  <c r="GJ74" i="7"/>
  <c r="GJ75" i="7" s="1"/>
  <c r="GJ69" i="7"/>
  <c r="GK44" i="7"/>
  <c r="GK28" i="7"/>
  <c r="GK52" i="7"/>
  <c r="GK36" i="7"/>
  <c r="GK60" i="7"/>
  <c r="GJ63" i="7"/>
  <c r="JS63" i="5"/>
  <c r="JT87" i="7"/>
  <c r="GI90" i="7" l="1"/>
  <c r="GK72" i="7"/>
  <c r="GK67" i="7"/>
  <c r="GJ70" i="7"/>
  <c r="GJ83" i="7" s="1"/>
  <c r="GJ88" i="7" s="1"/>
  <c r="GJ89" i="7" s="1"/>
  <c r="GJ77" i="7"/>
  <c r="GI94" i="7"/>
  <c r="GI95" i="7"/>
  <c r="GI96" i="7"/>
  <c r="GI93" i="7"/>
  <c r="GI102" i="7"/>
  <c r="GI108" i="7"/>
  <c r="GI116" i="7" s="1"/>
  <c r="GK45" i="7"/>
  <c r="GL41" i="7" s="1"/>
  <c r="GL42" i="7" s="1"/>
  <c r="GL43" i="7" s="1"/>
  <c r="GK37" i="7"/>
  <c r="GL33" i="7" s="1"/>
  <c r="GL34" i="7" s="1"/>
  <c r="GL35" i="7" s="1"/>
  <c r="GK53" i="7"/>
  <c r="GL49" i="7" s="1"/>
  <c r="GL50" i="7" s="1"/>
  <c r="GL51" i="7" s="1"/>
  <c r="GK29" i="7"/>
  <c r="GL25" i="7" s="1"/>
  <c r="GK61" i="7"/>
  <c r="JS50" i="5"/>
  <c r="JT43" i="5" s="1"/>
  <c r="JS64" i="5"/>
  <c r="JS78" i="5" s="1"/>
  <c r="JU23" i="7" s="1"/>
  <c r="GK30" i="7" l="1"/>
  <c r="GK31" i="7" s="1"/>
  <c r="GK38" i="7"/>
  <c r="GK39" i="7" s="1"/>
  <c r="GK54" i="7"/>
  <c r="GK55" i="7" s="1"/>
  <c r="GK73" i="7"/>
  <c r="GI104" i="7"/>
  <c r="GI112" i="7" s="1"/>
  <c r="GI120" i="7" s="1"/>
  <c r="GI107" i="7"/>
  <c r="GI115" i="7" s="1"/>
  <c r="GI123" i="7" s="1"/>
  <c r="GI103" i="7"/>
  <c r="GI111" i="7" s="1"/>
  <c r="GI119" i="7" s="1"/>
  <c r="GI105" i="7"/>
  <c r="GI113" i="7" s="1"/>
  <c r="GI121" i="7" s="1"/>
  <c r="GI106" i="7"/>
  <c r="GI114" i="7" s="1"/>
  <c r="GI122" i="7" s="1"/>
  <c r="GJ78" i="7"/>
  <c r="GJ82" i="7"/>
  <c r="GJ81" i="7"/>
  <c r="GJ79" i="7"/>
  <c r="GJ80" i="7"/>
  <c r="GJ85" i="7"/>
  <c r="GL57" i="7"/>
  <c r="GL58" i="7" s="1"/>
  <c r="GL59" i="7" s="1"/>
  <c r="GK62" i="7"/>
  <c r="GK63" i="7" s="1"/>
  <c r="GK65" i="7"/>
  <c r="GL26" i="7"/>
  <c r="GL27" i="7" s="1"/>
  <c r="GK46" i="7"/>
  <c r="GK47" i="7" s="1"/>
  <c r="GK68" i="7"/>
  <c r="JU87" i="7"/>
  <c r="JT63" i="5"/>
  <c r="GK69" i="7" l="1"/>
  <c r="GK70" i="7" s="1"/>
  <c r="GJ98" i="7"/>
  <c r="GK74" i="7"/>
  <c r="GK75" i="7" s="1"/>
  <c r="GL36" i="7"/>
  <c r="GL44" i="7"/>
  <c r="GL28" i="7"/>
  <c r="GL60" i="7"/>
  <c r="GL52" i="7"/>
  <c r="JT50" i="5"/>
  <c r="JU43" i="5" s="1"/>
  <c r="JT64" i="5"/>
  <c r="JT78" i="5" s="1"/>
  <c r="JV23" i="7" s="1"/>
  <c r="GL67" i="7" l="1"/>
  <c r="GL72" i="7"/>
  <c r="GK77" i="7"/>
  <c r="GK79" i="7" s="1"/>
  <c r="GL29" i="7"/>
  <c r="GM25" i="7" s="1"/>
  <c r="GJ90" i="7"/>
  <c r="GJ92" i="7"/>
  <c r="GL61" i="7"/>
  <c r="GM57" i="7" s="1"/>
  <c r="GM58" i="7" s="1"/>
  <c r="GM59" i="7" s="1"/>
  <c r="GL45" i="7"/>
  <c r="GM41" i="7" s="1"/>
  <c r="GM42" i="7" s="1"/>
  <c r="GM43" i="7" s="1"/>
  <c r="GL37" i="7"/>
  <c r="GM33" i="7" s="1"/>
  <c r="GM34" i="7" s="1"/>
  <c r="GM35" i="7" s="1"/>
  <c r="GL53" i="7"/>
  <c r="GM49" i="7" s="1"/>
  <c r="GM50" i="7" s="1"/>
  <c r="GM51" i="7" s="1"/>
  <c r="GK83" i="7"/>
  <c r="JV87" i="7"/>
  <c r="JU63" i="5"/>
  <c r="GK82" i="7" l="1"/>
  <c r="GK78" i="7"/>
  <c r="GK81" i="7"/>
  <c r="GK80" i="7"/>
  <c r="GL46" i="7"/>
  <c r="GL47" i="7" s="1"/>
  <c r="GL38" i="7"/>
  <c r="GL39" i="7" s="1"/>
  <c r="GL54" i="7"/>
  <c r="GL55" i="7" s="1"/>
  <c r="GM26" i="7"/>
  <c r="GM27" i="7" s="1"/>
  <c r="GJ94" i="7"/>
  <c r="GJ96" i="7"/>
  <c r="GJ95" i="7"/>
  <c r="GJ93" i="7"/>
  <c r="GJ100" i="7"/>
  <c r="GL65" i="7"/>
  <c r="GL30" i="7"/>
  <c r="GL31" i="7" s="1"/>
  <c r="GK85" i="7"/>
  <c r="GK88" i="7"/>
  <c r="GK89" i="7" s="1"/>
  <c r="GL68" i="7"/>
  <c r="GL73" i="7"/>
  <c r="GL62" i="7"/>
  <c r="JU50" i="5"/>
  <c r="JV43" i="5" s="1"/>
  <c r="JU64" i="5"/>
  <c r="JU78" i="5" s="1"/>
  <c r="JW23" i="7" s="1"/>
  <c r="GK98" i="7" l="1"/>
  <c r="GM44" i="7"/>
  <c r="GM28" i="7"/>
  <c r="GM36" i="7"/>
  <c r="GM60" i="7"/>
  <c r="GM52" i="7"/>
  <c r="GL63" i="7"/>
  <c r="GL74" i="7"/>
  <c r="GL75" i="7" s="1"/>
  <c r="GJ108" i="7"/>
  <c r="GJ116" i="7" s="1"/>
  <c r="GJ102" i="7"/>
  <c r="GL69" i="7"/>
  <c r="JW87" i="7"/>
  <c r="JV63" i="5"/>
  <c r="GJ107" i="7" l="1"/>
  <c r="GJ115" i="7" s="1"/>
  <c r="GJ123" i="7" s="1"/>
  <c r="GJ104" i="7"/>
  <c r="GJ112" i="7" s="1"/>
  <c r="GJ120" i="7" s="1"/>
  <c r="GJ103" i="7"/>
  <c r="GJ111" i="7" s="1"/>
  <c r="GJ119" i="7" s="1"/>
  <c r="GJ105" i="7"/>
  <c r="GJ113" i="7" s="1"/>
  <c r="GJ121" i="7" s="1"/>
  <c r="GJ106" i="7"/>
  <c r="GJ114" i="7" s="1"/>
  <c r="GJ122" i="7" s="1"/>
  <c r="GM72" i="7"/>
  <c r="GM67" i="7"/>
  <c r="GL70" i="7"/>
  <c r="GL83" i="7" s="1"/>
  <c r="GL88" i="7" s="1"/>
  <c r="GL89" i="7" s="1"/>
  <c r="GL77" i="7"/>
  <c r="GM45" i="7"/>
  <c r="GN41" i="7" s="1"/>
  <c r="GN42" i="7" s="1"/>
  <c r="GN43" i="7" s="1"/>
  <c r="GM37" i="7"/>
  <c r="GN33" i="7" s="1"/>
  <c r="GN34" i="7" s="1"/>
  <c r="GN35" i="7" s="1"/>
  <c r="GM61" i="7"/>
  <c r="GN57" i="7" s="1"/>
  <c r="GM29" i="7"/>
  <c r="GN25" i="7" s="1"/>
  <c r="GM53" i="7"/>
  <c r="GN49" i="7" s="1"/>
  <c r="GN50" i="7" s="1"/>
  <c r="GN51" i="7" s="1"/>
  <c r="GK90" i="7"/>
  <c r="GK92" i="7"/>
  <c r="JV50" i="5"/>
  <c r="JW43" i="5" s="1"/>
  <c r="JV64" i="5"/>
  <c r="JV78" i="5" s="1"/>
  <c r="JX23" i="7" s="1"/>
  <c r="GM30" i="7" l="1"/>
  <c r="GM31" i="7" s="1"/>
  <c r="GN58" i="7"/>
  <c r="GN59" i="7" s="1"/>
  <c r="GM38" i="7"/>
  <c r="GM39" i="7" s="1"/>
  <c r="GM46" i="7"/>
  <c r="GM47" i="7" s="1"/>
  <c r="GL80" i="7"/>
  <c r="GL78" i="7"/>
  <c r="GL81" i="7"/>
  <c r="GL79" i="7"/>
  <c r="GL82" i="7"/>
  <c r="GL85" i="7"/>
  <c r="GK95" i="7"/>
  <c r="GK96" i="7"/>
  <c r="GK94" i="7"/>
  <c r="GK93" i="7"/>
  <c r="GK100" i="7"/>
  <c r="GM68" i="7"/>
  <c r="GM65" i="7"/>
  <c r="GM73" i="7"/>
  <c r="GM62" i="7"/>
  <c r="GN26" i="7"/>
  <c r="GN27" i="7" s="1"/>
  <c r="GM54" i="7"/>
  <c r="GM55" i="7" s="1"/>
  <c r="JW63" i="5"/>
  <c r="JX87" i="7"/>
  <c r="GM69" i="7" l="1"/>
  <c r="GM74" i="7"/>
  <c r="GM75" i="7" s="1"/>
  <c r="GK108" i="7"/>
  <c r="GK116" i="7" s="1"/>
  <c r="GK102" i="7"/>
  <c r="GN36" i="7"/>
  <c r="GN44" i="7"/>
  <c r="GN60" i="7"/>
  <c r="GN28" i="7"/>
  <c r="GN52" i="7"/>
  <c r="GL98" i="7"/>
  <c r="GM63" i="7"/>
  <c r="JW50" i="5"/>
  <c r="JX43" i="5" s="1"/>
  <c r="JW64" i="5"/>
  <c r="JW78" i="5" s="1"/>
  <c r="JY23" i="7" s="1"/>
  <c r="GK106" i="7" l="1"/>
  <c r="GK114" i="7" s="1"/>
  <c r="GK122" i="7" s="1"/>
  <c r="GK105" i="7"/>
  <c r="GK113" i="7" s="1"/>
  <c r="GK121" i="7" s="1"/>
  <c r="GK107" i="7"/>
  <c r="GK115" i="7" s="1"/>
  <c r="GK123" i="7" s="1"/>
  <c r="GK103" i="7"/>
  <c r="GK111" i="7" s="1"/>
  <c r="GK119" i="7" s="1"/>
  <c r="GK104" i="7"/>
  <c r="GK112" i="7" s="1"/>
  <c r="GK120" i="7" s="1"/>
  <c r="GM70" i="7"/>
  <c r="GM83" i="7" s="1"/>
  <c r="GM88" i="7" s="1"/>
  <c r="GM89" i="7" s="1"/>
  <c r="GM77" i="7"/>
  <c r="GL92" i="7"/>
  <c r="GL90" i="7"/>
  <c r="GN61" i="7"/>
  <c r="GN37" i="7"/>
  <c r="GO33" i="7" s="1"/>
  <c r="GO34" i="7" s="1"/>
  <c r="GO35" i="7" s="1"/>
  <c r="GN29" i="7"/>
  <c r="GO25" i="7" s="1"/>
  <c r="GN53" i="7"/>
  <c r="GO49" i="7" s="1"/>
  <c r="GO50" i="7" s="1"/>
  <c r="GO51" i="7" s="1"/>
  <c r="GN45" i="7"/>
  <c r="GO41" i="7" s="1"/>
  <c r="GO42" i="7" s="1"/>
  <c r="GO43" i="7" s="1"/>
  <c r="GN72" i="7"/>
  <c r="GN67" i="7"/>
  <c r="JX63" i="5"/>
  <c r="JY87" i="7"/>
  <c r="GN46" i="7" l="1"/>
  <c r="GN47" i="7" s="1"/>
  <c r="GN65" i="7"/>
  <c r="GN73" i="7"/>
  <c r="GN68" i="7"/>
  <c r="GN30" i="7"/>
  <c r="GN31" i="7" s="1"/>
  <c r="GN38" i="7"/>
  <c r="GN39" i="7" s="1"/>
  <c r="GO57" i="7"/>
  <c r="GO58" i="7" s="1"/>
  <c r="GO59" i="7" s="1"/>
  <c r="GN62" i="7"/>
  <c r="GM81" i="7"/>
  <c r="GM82" i="7"/>
  <c r="GM79" i="7"/>
  <c r="GM80" i="7"/>
  <c r="GM78" i="7"/>
  <c r="GM85" i="7"/>
  <c r="GO26" i="7"/>
  <c r="GO27" i="7" s="1"/>
  <c r="GN54" i="7"/>
  <c r="GN55" i="7" s="1"/>
  <c r="GL93" i="7"/>
  <c r="GL94" i="7"/>
  <c r="GL95" i="7"/>
  <c r="GL96" i="7"/>
  <c r="GL100" i="7"/>
  <c r="JX50" i="5"/>
  <c r="JY43" i="5" s="1"/>
  <c r="JX64" i="5"/>
  <c r="JX78" i="5" s="1"/>
  <c r="JZ23" i="7" s="1"/>
  <c r="GN74" i="7" l="1"/>
  <c r="GN75" i="7" s="1"/>
  <c r="GN69" i="7"/>
  <c r="GO67" i="7" s="1"/>
  <c r="GO52" i="7"/>
  <c r="GO44" i="7"/>
  <c r="GO28" i="7"/>
  <c r="GO36" i="7"/>
  <c r="GO60" i="7"/>
  <c r="GL108" i="7"/>
  <c r="GL116" i="7" s="1"/>
  <c r="GL102" i="7"/>
  <c r="GM98" i="7"/>
  <c r="GN63" i="7"/>
  <c r="JY63" i="5"/>
  <c r="JZ87" i="7"/>
  <c r="GN77" i="7" l="1"/>
  <c r="GN79" i="7" s="1"/>
  <c r="GN70" i="7"/>
  <c r="GN83" i="7" s="1"/>
  <c r="GN88" i="7" s="1"/>
  <c r="GN89" i="7" s="1"/>
  <c r="GO72" i="7"/>
  <c r="GO45" i="7"/>
  <c r="GP41" i="7" s="1"/>
  <c r="GP42" i="7" s="1"/>
  <c r="GP43" i="7" s="1"/>
  <c r="GO53" i="7"/>
  <c r="GL103" i="7"/>
  <c r="GL111" i="7" s="1"/>
  <c r="GL119" i="7" s="1"/>
  <c r="GL107" i="7"/>
  <c r="GL115" i="7" s="1"/>
  <c r="GL123" i="7" s="1"/>
  <c r="GL106" i="7"/>
  <c r="GL114" i="7" s="1"/>
  <c r="GL122" i="7" s="1"/>
  <c r="GL105" i="7"/>
  <c r="GL113" i="7" s="1"/>
  <c r="GL121" i="7" s="1"/>
  <c r="GL104" i="7"/>
  <c r="GL112" i="7" s="1"/>
  <c r="GL120" i="7" s="1"/>
  <c r="GO61" i="7"/>
  <c r="GP57" i="7" s="1"/>
  <c r="GP58" i="7" s="1"/>
  <c r="GP59" i="7" s="1"/>
  <c r="GO29" i="7"/>
  <c r="GP25" i="7" s="1"/>
  <c r="GM92" i="7"/>
  <c r="GM90" i="7"/>
  <c r="GO37" i="7"/>
  <c r="GP33" i="7" s="1"/>
  <c r="GP34" i="7" s="1"/>
  <c r="GP35" i="7" s="1"/>
  <c r="JY50" i="5"/>
  <c r="JZ43" i="5" s="1"/>
  <c r="JY64" i="5"/>
  <c r="JY78" i="5" s="1"/>
  <c r="KA23" i="7" s="1"/>
  <c r="GN85" i="7" l="1"/>
  <c r="GN98" i="7" s="1"/>
  <c r="GN82" i="7"/>
  <c r="GN81" i="7"/>
  <c r="GN80" i="7"/>
  <c r="GN78" i="7"/>
  <c r="GO46" i="7"/>
  <c r="GO47" i="7" s="1"/>
  <c r="GO73" i="7"/>
  <c r="GO38" i="7"/>
  <c r="GO39" i="7" s="1"/>
  <c r="GP26" i="7"/>
  <c r="GP27" i="7" s="1"/>
  <c r="GO30" i="7"/>
  <c r="GO31" i="7" s="1"/>
  <c r="GO68" i="7"/>
  <c r="GO65" i="7"/>
  <c r="GP49" i="7"/>
  <c r="GP50" i="7" s="1"/>
  <c r="GP51" i="7" s="1"/>
  <c r="GO54" i="7"/>
  <c r="GO55" i="7" s="1"/>
  <c r="GM96" i="7"/>
  <c r="GM95" i="7"/>
  <c r="GM93" i="7"/>
  <c r="GM94" i="7"/>
  <c r="GM100" i="7"/>
  <c r="GO62" i="7"/>
  <c r="GO63" i="7" s="1"/>
  <c r="KA87" i="7"/>
  <c r="JZ63" i="5"/>
  <c r="GN92" i="7" l="1"/>
  <c r="GN90" i="7"/>
  <c r="GO69" i="7"/>
  <c r="GP67" i="7" s="1"/>
  <c r="GM108" i="7"/>
  <c r="GM116" i="7" s="1"/>
  <c r="GM102" i="7"/>
  <c r="GP36" i="7"/>
  <c r="GP44" i="7"/>
  <c r="GP52" i="7"/>
  <c r="GP28" i="7"/>
  <c r="GP60" i="7"/>
  <c r="GO74" i="7"/>
  <c r="JZ64" i="5"/>
  <c r="JZ78" i="5" s="1"/>
  <c r="KB23" i="7" s="1"/>
  <c r="JZ50" i="5"/>
  <c r="KA43" i="5" s="1"/>
  <c r="GM105" i="7" l="1"/>
  <c r="GM113" i="7" s="1"/>
  <c r="GM121" i="7" s="1"/>
  <c r="GM103" i="7"/>
  <c r="GM111" i="7" s="1"/>
  <c r="GM119" i="7" s="1"/>
  <c r="GM107" i="7"/>
  <c r="GM115" i="7" s="1"/>
  <c r="GM123" i="7" s="1"/>
  <c r="GM104" i="7"/>
  <c r="GM112" i="7" s="1"/>
  <c r="GM120" i="7" s="1"/>
  <c r="GM106" i="7"/>
  <c r="GM114" i="7" s="1"/>
  <c r="GM122" i="7" s="1"/>
  <c r="GP53" i="7"/>
  <c r="GQ49" i="7" s="1"/>
  <c r="GQ50" i="7" s="1"/>
  <c r="GQ51" i="7" s="1"/>
  <c r="GP45" i="7"/>
  <c r="GQ41" i="7" s="1"/>
  <c r="GQ42" i="7" s="1"/>
  <c r="GQ43" i="7" s="1"/>
  <c r="GN96" i="7"/>
  <c r="GN95" i="7"/>
  <c r="GN93" i="7"/>
  <c r="GN94" i="7"/>
  <c r="GN100" i="7"/>
  <c r="GO75" i="7"/>
  <c r="GP72" i="7"/>
  <c r="GP37" i="7"/>
  <c r="GQ33" i="7" s="1"/>
  <c r="GQ34" i="7" s="1"/>
  <c r="GQ35" i="7" s="1"/>
  <c r="GP61" i="7"/>
  <c r="GQ57" i="7" s="1"/>
  <c r="GQ58" i="7" s="1"/>
  <c r="GQ59" i="7" s="1"/>
  <c r="GP29" i="7"/>
  <c r="GQ25" i="7" s="1"/>
  <c r="GO70" i="7"/>
  <c r="GO77" i="7"/>
  <c r="KA63" i="5"/>
  <c r="KB87" i="7"/>
  <c r="GP62" i="7" l="1"/>
  <c r="GO83" i="7"/>
  <c r="GO88" i="7" s="1"/>
  <c r="GO89" i="7" s="1"/>
  <c r="GP30" i="7"/>
  <c r="GP31" i="7" s="1"/>
  <c r="GO82" i="7"/>
  <c r="GO80" i="7"/>
  <c r="GO79" i="7"/>
  <c r="GO81" i="7"/>
  <c r="GO78" i="7"/>
  <c r="GP73" i="7"/>
  <c r="GP54" i="7"/>
  <c r="GP55" i="7" s="1"/>
  <c r="GP38" i="7"/>
  <c r="GP39" i="7" s="1"/>
  <c r="GP65" i="7"/>
  <c r="GP68" i="7"/>
  <c r="GP46" i="7"/>
  <c r="GP47" i="7" s="1"/>
  <c r="GP63" i="7"/>
  <c r="GQ26" i="7"/>
  <c r="GQ27" i="7" s="1"/>
  <c r="GN102" i="7"/>
  <c r="GN108" i="7"/>
  <c r="GN116" i="7" s="1"/>
  <c r="KA64" i="5"/>
  <c r="KA78" i="5" s="1"/>
  <c r="KC23" i="7" s="1"/>
  <c r="KA50" i="5"/>
  <c r="KB43" i="5" s="1"/>
  <c r="GO85" i="7" l="1"/>
  <c r="GO98" i="7" s="1"/>
  <c r="GP69" i="7"/>
  <c r="GQ67" i="7" s="1"/>
  <c r="GP74" i="7"/>
  <c r="GP75" i="7" s="1"/>
  <c r="GN107" i="7"/>
  <c r="GN115" i="7" s="1"/>
  <c r="GN123" i="7" s="1"/>
  <c r="GN103" i="7"/>
  <c r="GN111" i="7" s="1"/>
  <c r="GN119" i="7" s="1"/>
  <c r="GN105" i="7"/>
  <c r="GN113" i="7" s="1"/>
  <c r="GN121" i="7" s="1"/>
  <c r="GN106" i="7"/>
  <c r="GN114" i="7" s="1"/>
  <c r="GN122" i="7" s="1"/>
  <c r="GN104" i="7"/>
  <c r="GN112" i="7" s="1"/>
  <c r="GN120" i="7" s="1"/>
  <c r="GQ60" i="7"/>
  <c r="GQ28" i="7"/>
  <c r="GQ44" i="7"/>
  <c r="GQ36" i="7"/>
  <c r="GQ52" i="7"/>
  <c r="KB63" i="5"/>
  <c r="KC87" i="7"/>
  <c r="GP70" i="7" l="1"/>
  <c r="GP83" i="7" s="1"/>
  <c r="GP88" i="7" s="1"/>
  <c r="GP89" i="7" s="1"/>
  <c r="GP77" i="7"/>
  <c r="GP80" i="7" s="1"/>
  <c r="GQ72" i="7"/>
  <c r="GQ61" i="7"/>
  <c r="GR57" i="7" s="1"/>
  <c r="GR58" i="7" s="1"/>
  <c r="GR59" i="7" s="1"/>
  <c r="GQ29" i="7"/>
  <c r="GR25" i="7" s="1"/>
  <c r="GQ37" i="7"/>
  <c r="GR33" i="7" s="1"/>
  <c r="GR34" i="7" s="1"/>
  <c r="GR35" i="7" s="1"/>
  <c r="GQ45" i="7"/>
  <c r="GR41" i="7" s="1"/>
  <c r="GR42" i="7" s="1"/>
  <c r="GR43" i="7" s="1"/>
  <c r="GQ53" i="7"/>
  <c r="GR49" i="7" s="1"/>
  <c r="GR50" i="7" s="1"/>
  <c r="GR51" i="7" s="1"/>
  <c r="GO90" i="7"/>
  <c r="GO92" i="7"/>
  <c r="KB50" i="5"/>
  <c r="KC43" i="5" s="1"/>
  <c r="KB64" i="5"/>
  <c r="KB78" i="5" s="1"/>
  <c r="KD23" i="7" s="1"/>
  <c r="GP78" i="7" l="1"/>
  <c r="GP79" i="7"/>
  <c r="GP81" i="7"/>
  <c r="GP82" i="7"/>
  <c r="GP85" i="7"/>
  <c r="GP98" i="7" s="1"/>
  <c r="GP90" i="7" s="1"/>
  <c r="GQ54" i="7"/>
  <c r="GQ55" i="7" s="1"/>
  <c r="GQ38" i="7"/>
  <c r="GQ39" i="7" s="1"/>
  <c r="GQ68" i="7"/>
  <c r="GR26" i="7"/>
  <c r="GR27" i="7" s="1"/>
  <c r="GQ62" i="7"/>
  <c r="GQ65" i="7"/>
  <c r="GO95" i="7"/>
  <c r="GO94" i="7"/>
  <c r="GO93" i="7"/>
  <c r="GO96" i="7"/>
  <c r="GO100" i="7"/>
  <c r="GQ73" i="7"/>
  <c r="GQ46" i="7"/>
  <c r="GQ47" i="7" s="1"/>
  <c r="GQ30" i="7"/>
  <c r="GQ31" i="7" s="1"/>
  <c r="KD87" i="7"/>
  <c r="KC63" i="5"/>
  <c r="GP92" i="7" l="1"/>
  <c r="GP93" i="7" s="1"/>
  <c r="GQ69" i="7"/>
  <c r="GQ70" i="7" s="1"/>
  <c r="GR44" i="7"/>
  <c r="GR60" i="7"/>
  <c r="GR52" i="7"/>
  <c r="GR36" i="7"/>
  <c r="GQ74" i="7"/>
  <c r="GQ75" i="7" s="1"/>
  <c r="GQ63" i="7"/>
  <c r="GO108" i="7"/>
  <c r="GO116" i="7" s="1"/>
  <c r="GO102" i="7"/>
  <c r="GR28" i="7"/>
  <c r="KC50" i="5"/>
  <c r="KD43" i="5" s="1"/>
  <c r="KC64" i="5"/>
  <c r="KC78" i="5" s="1"/>
  <c r="KE23" i="7" s="1"/>
  <c r="GR67" i="7" l="1"/>
  <c r="GP100" i="7"/>
  <c r="GP102" i="7" s="1"/>
  <c r="GP94" i="7"/>
  <c r="GP95" i="7"/>
  <c r="GP96" i="7"/>
  <c r="GR45" i="7"/>
  <c r="GS41" i="7" s="1"/>
  <c r="GS42" i="7" s="1"/>
  <c r="GS43" i="7" s="1"/>
  <c r="GR61" i="7"/>
  <c r="GS57" i="7" s="1"/>
  <c r="GS58" i="7" s="1"/>
  <c r="GS59" i="7" s="1"/>
  <c r="GR29" i="7"/>
  <c r="GS25" i="7" s="1"/>
  <c r="GR53" i="7"/>
  <c r="GS49" i="7" s="1"/>
  <c r="GS50" i="7" s="1"/>
  <c r="GS51" i="7" s="1"/>
  <c r="GR37" i="7"/>
  <c r="GS33" i="7" s="1"/>
  <c r="GS34" i="7" s="1"/>
  <c r="GS35" i="7" s="1"/>
  <c r="GR72" i="7"/>
  <c r="GQ77" i="7"/>
  <c r="GO107" i="7"/>
  <c r="GO115" i="7" s="1"/>
  <c r="GO123" i="7" s="1"/>
  <c r="GO106" i="7"/>
  <c r="GO114" i="7" s="1"/>
  <c r="GO122" i="7" s="1"/>
  <c r="GO103" i="7"/>
  <c r="GO111" i="7" s="1"/>
  <c r="GO119" i="7" s="1"/>
  <c r="GO104" i="7"/>
  <c r="GO112" i="7" s="1"/>
  <c r="GO120" i="7" s="1"/>
  <c r="GO105" i="7"/>
  <c r="GO113" i="7" s="1"/>
  <c r="GO121" i="7" s="1"/>
  <c r="GQ83" i="7"/>
  <c r="GQ88" i="7" s="1"/>
  <c r="GQ89" i="7" s="1"/>
  <c r="KE87" i="7"/>
  <c r="KD63" i="5"/>
  <c r="GP108" i="7" l="1"/>
  <c r="GP116" i="7" s="1"/>
  <c r="GR54" i="7"/>
  <c r="GR55" i="7" s="1"/>
  <c r="GR38" i="7"/>
  <c r="GR39" i="7" s="1"/>
  <c r="GR73" i="7"/>
  <c r="GQ82" i="7"/>
  <c r="GQ80" i="7"/>
  <c r="GQ81" i="7"/>
  <c r="GQ78" i="7"/>
  <c r="GQ79" i="7"/>
  <c r="GQ85" i="7"/>
  <c r="GS26" i="7"/>
  <c r="GS27" i="7" s="1"/>
  <c r="GP103" i="7"/>
  <c r="GP111" i="7" s="1"/>
  <c r="GP104" i="7"/>
  <c r="GP112" i="7" s="1"/>
  <c r="GP120" i="7" s="1"/>
  <c r="GP105" i="7"/>
  <c r="GP113" i="7" s="1"/>
  <c r="GP121" i="7" s="1"/>
  <c r="GP107" i="7"/>
  <c r="GP115" i="7" s="1"/>
  <c r="GP123" i="7" s="1"/>
  <c r="GP106" i="7"/>
  <c r="GP114" i="7" s="1"/>
  <c r="GP122" i="7" s="1"/>
  <c r="GR68" i="7"/>
  <c r="GR62" i="7"/>
  <c r="GR46" i="7"/>
  <c r="GR47" i="7" s="1"/>
  <c r="GR30" i="7"/>
  <c r="GR31" i="7" s="1"/>
  <c r="GR65" i="7"/>
  <c r="KD50" i="5"/>
  <c r="KE43" i="5" s="1"/>
  <c r="KD64" i="5"/>
  <c r="KD78" i="5" s="1"/>
  <c r="KF23" i="7" s="1"/>
  <c r="GP119" i="7" l="1"/>
  <c r="GR74" i="7"/>
  <c r="GR75" i="7" s="1"/>
  <c r="GR63" i="7"/>
  <c r="GQ98" i="7"/>
  <c r="GR69" i="7"/>
  <c r="GS67" i="7" s="1"/>
  <c r="GS52" i="7"/>
  <c r="GS60" i="7"/>
  <c r="GS28" i="7"/>
  <c r="GS36" i="7"/>
  <c r="GS44" i="7"/>
  <c r="KE63" i="5"/>
  <c r="KF87" i="7"/>
  <c r="GS72" i="7" l="1"/>
  <c r="GR70" i="7"/>
  <c r="GR83" i="7" s="1"/>
  <c r="GR88" i="7" s="1"/>
  <c r="GR89" i="7" s="1"/>
  <c r="GR77" i="7"/>
  <c r="GS45" i="7"/>
  <c r="GT41" i="7" s="1"/>
  <c r="GT42" i="7" s="1"/>
  <c r="GT43" i="7" s="1"/>
  <c r="GS37" i="7"/>
  <c r="GT33" i="7" s="1"/>
  <c r="GT34" i="7" s="1"/>
  <c r="GT35" i="7" s="1"/>
  <c r="GS53" i="7"/>
  <c r="GT49" i="7" s="1"/>
  <c r="GT50" i="7" s="1"/>
  <c r="GT51" i="7" s="1"/>
  <c r="GS29" i="7"/>
  <c r="GT25" i="7" s="1"/>
  <c r="GS61" i="7"/>
  <c r="GT57" i="7" s="1"/>
  <c r="GT58" i="7" s="1"/>
  <c r="GT59" i="7" s="1"/>
  <c r="GQ90" i="7"/>
  <c r="GQ92" i="7"/>
  <c r="KE50" i="5"/>
  <c r="KF43" i="5" s="1"/>
  <c r="KE64" i="5"/>
  <c r="KE78" i="5" s="1"/>
  <c r="KG23" i="7" s="1"/>
  <c r="GS73" i="7" l="1"/>
  <c r="GS46" i="7"/>
  <c r="GS47" i="7" s="1"/>
  <c r="GS54" i="7"/>
  <c r="GS55" i="7" s="1"/>
  <c r="GS30" i="7"/>
  <c r="GS31" i="7" s="1"/>
  <c r="GS38" i="7"/>
  <c r="GS39" i="7" s="1"/>
  <c r="GR80" i="7"/>
  <c r="GR82" i="7"/>
  <c r="GR78" i="7"/>
  <c r="GR79" i="7"/>
  <c r="GR81" i="7"/>
  <c r="GR85" i="7"/>
  <c r="GT26" i="7"/>
  <c r="GT27" i="7" s="1"/>
  <c r="GS62" i="7"/>
  <c r="GS65" i="7"/>
  <c r="GQ94" i="7"/>
  <c r="GQ96" i="7"/>
  <c r="GQ93" i="7"/>
  <c r="GQ95" i="7"/>
  <c r="GQ100" i="7"/>
  <c r="GS68" i="7"/>
  <c r="KF63" i="5"/>
  <c r="KG87" i="7"/>
  <c r="GS74" i="7" l="1"/>
  <c r="GS75" i="7" s="1"/>
  <c r="GS63" i="7"/>
  <c r="GT36" i="7"/>
  <c r="GT60" i="7"/>
  <c r="GT52" i="7"/>
  <c r="GT44" i="7"/>
  <c r="GT28" i="7"/>
  <c r="GS69" i="7"/>
  <c r="GR98" i="7"/>
  <c r="GQ102" i="7"/>
  <c r="GQ108" i="7"/>
  <c r="GQ116" i="7" s="1"/>
  <c r="KF64" i="5"/>
  <c r="KF78" i="5" s="1"/>
  <c r="KH23" i="7" s="1"/>
  <c r="KF50" i="5"/>
  <c r="KG43" i="5" s="1"/>
  <c r="GT72" i="7" l="1"/>
  <c r="GT67" i="7"/>
  <c r="GS77" i="7"/>
  <c r="GS70" i="7"/>
  <c r="GS83" i="7" s="1"/>
  <c r="GS88" i="7" s="1"/>
  <c r="GS89" i="7" s="1"/>
  <c r="GQ107" i="7"/>
  <c r="GQ115" i="7" s="1"/>
  <c r="GQ123" i="7" s="1"/>
  <c r="GQ105" i="7"/>
  <c r="GQ113" i="7" s="1"/>
  <c r="GQ121" i="7" s="1"/>
  <c r="GQ103" i="7"/>
  <c r="GQ111" i="7" s="1"/>
  <c r="GQ119" i="7" s="1"/>
  <c r="GQ106" i="7"/>
  <c r="GQ114" i="7" s="1"/>
  <c r="GQ122" i="7" s="1"/>
  <c r="GQ104" i="7"/>
  <c r="GQ112" i="7" s="1"/>
  <c r="GQ120" i="7" s="1"/>
  <c r="GR90" i="7"/>
  <c r="GR92" i="7"/>
  <c r="GT45" i="7"/>
  <c r="GU41" i="7" s="1"/>
  <c r="GU42" i="7" s="1"/>
  <c r="GU43" i="7" s="1"/>
  <c r="GT37" i="7"/>
  <c r="GU33" i="7" s="1"/>
  <c r="GU34" i="7" s="1"/>
  <c r="GU35" i="7" s="1"/>
  <c r="GT61" i="7"/>
  <c r="GU57" i="7" s="1"/>
  <c r="GU58" i="7" s="1"/>
  <c r="GU59" i="7" s="1"/>
  <c r="GT53" i="7"/>
  <c r="GU49" i="7" s="1"/>
  <c r="GU50" i="7" s="1"/>
  <c r="GU51" i="7" s="1"/>
  <c r="GT29" i="7"/>
  <c r="GU25" i="7" s="1"/>
  <c r="KH87" i="7"/>
  <c r="KG63" i="5"/>
  <c r="GT38" i="7" l="1"/>
  <c r="GT39" i="7" s="1"/>
  <c r="GT68" i="7"/>
  <c r="GT46" i="7"/>
  <c r="GT47" i="7" s="1"/>
  <c r="GT62" i="7"/>
  <c r="GT63" i="7" s="1"/>
  <c r="GT73" i="7"/>
  <c r="GT65" i="7"/>
  <c r="GR95" i="7"/>
  <c r="GR96" i="7"/>
  <c r="GR94" i="7"/>
  <c r="GR93" i="7"/>
  <c r="GR100" i="7"/>
  <c r="GU26" i="7"/>
  <c r="GU27" i="7" s="1"/>
  <c r="GS82" i="7"/>
  <c r="GS78" i="7"/>
  <c r="GS80" i="7"/>
  <c r="GS79" i="7"/>
  <c r="GS81" i="7"/>
  <c r="GS85" i="7"/>
  <c r="GT30" i="7"/>
  <c r="GT31" i="7" s="1"/>
  <c r="GT54" i="7"/>
  <c r="GT55" i="7" s="1"/>
  <c r="KG64" i="5"/>
  <c r="KG78" i="5" s="1"/>
  <c r="KI23" i="7" s="1"/>
  <c r="KG50" i="5"/>
  <c r="KH43" i="5" s="1"/>
  <c r="GT69" i="7" l="1"/>
  <c r="GU67" i="7" s="1"/>
  <c r="GT74" i="7"/>
  <c r="GS98" i="7"/>
  <c r="GR108" i="7"/>
  <c r="GR116" i="7" s="1"/>
  <c r="GR102" i="7"/>
  <c r="GU52" i="7"/>
  <c r="GU60" i="7"/>
  <c r="GU36" i="7"/>
  <c r="GU28" i="7"/>
  <c r="GU44" i="7"/>
  <c r="KH63" i="5"/>
  <c r="KI87" i="7"/>
  <c r="GT77" i="7" l="1"/>
  <c r="GT80" i="7" s="1"/>
  <c r="GT70" i="7"/>
  <c r="GU53" i="7"/>
  <c r="GV49" i="7" s="1"/>
  <c r="GV50" i="7" s="1"/>
  <c r="GV51" i="7" s="1"/>
  <c r="GU29" i="7"/>
  <c r="GV25" i="7" s="1"/>
  <c r="GU45" i="7"/>
  <c r="GV41" i="7" s="1"/>
  <c r="GV42" i="7" s="1"/>
  <c r="GV43" i="7" s="1"/>
  <c r="GU37" i="7"/>
  <c r="GV33" i="7" s="1"/>
  <c r="GV34" i="7" s="1"/>
  <c r="GV35" i="7" s="1"/>
  <c r="GU61" i="7"/>
  <c r="GV57" i="7" s="1"/>
  <c r="GV58" i="7" s="1"/>
  <c r="GV59" i="7" s="1"/>
  <c r="GT75" i="7"/>
  <c r="GU72" i="7"/>
  <c r="GS90" i="7"/>
  <c r="GS92" i="7"/>
  <c r="GR106" i="7"/>
  <c r="GR114" i="7" s="1"/>
  <c r="GR122" i="7" s="1"/>
  <c r="S41" i="8" s="1"/>
  <c r="S43" i="8" s="1"/>
  <c r="GR105" i="7"/>
  <c r="GR113" i="7" s="1"/>
  <c r="GR121" i="7" s="1"/>
  <c r="S30" i="8" s="1"/>
  <c r="S32" i="8" s="1"/>
  <c r="GR107" i="7"/>
  <c r="GR115" i="7" s="1"/>
  <c r="GR123" i="7" s="1"/>
  <c r="S52" i="8" s="1"/>
  <c r="S54" i="8" s="1"/>
  <c r="GR103" i="7"/>
  <c r="GR111" i="7" s="1"/>
  <c r="GR119" i="7" s="1"/>
  <c r="S8" i="8" s="1"/>
  <c r="S10" i="8" s="1"/>
  <c r="GR104" i="7"/>
  <c r="GR112" i="7" s="1"/>
  <c r="GR120" i="7" s="1"/>
  <c r="S19" i="8" s="1"/>
  <c r="S21" i="8" s="1"/>
  <c r="KH64" i="5"/>
  <c r="KH78" i="5" s="1"/>
  <c r="KJ23" i="7" s="1"/>
  <c r="KH50" i="5"/>
  <c r="KI43" i="5" s="1"/>
  <c r="GT78" i="7" l="1"/>
  <c r="GT79" i="7"/>
  <c r="GT81" i="7"/>
  <c r="GT83" i="7"/>
  <c r="GT85" i="7" s="1"/>
  <c r="GT82" i="7"/>
  <c r="GU38" i="7"/>
  <c r="GU39" i="7" s="1"/>
  <c r="GU54" i="7"/>
  <c r="GU55" i="7" s="1"/>
  <c r="GU46" i="7"/>
  <c r="GU47" i="7" s="1"/>
  <c r="GS94" i="7"/>
  <c r="GS96" i="7"/>
  <c r="GS93" i="7"/>
  <c r="GS95" i="7"/>
  <c r="GS100" i="7"/>
  <c r="GU68" i="7"/>
  <c r="GU73" i="7"/>
  <c r="GU62" i="7"/>
  <c r="GU65" i="7"/>
  <c r="GV26" i="7"/>
  <c r="GV27" i="7" s="1"/>
  <c r="GU30" i="7"/>
  <c r="GU31" i="7" s="1"/>
  <c r="KI63" i="5"/>
  <c r="KJ87" i="7"/>
  <c r="GT88" i="7" l="1"/>
  <c r="GT89" i="7" s="1"/>
  <c r="GU74" i="7"/>
  <c r="GU75" i="7" s="1"/>
  <c r="GU63" i="7"/>
  <c r="GV28" i="7"/>
  <c r="GV52" i="7"/>
  <c r="GV44" i="7"/>
  <c r="GV60" i="7"/>
  <c r="GV36" i="7"/>
  <c r="GU69" i="7"/>
  <c r="GV67" i="7" s="1"/>
  <c r="GT98" i="7"/>
  <c r="GS102" i="7"/>
  <c r="GS108" i="7"/>
  <c r="GS116" i="7" s="1"/>
  <c r="KI50" i="5"/>
  <c r="KJ43" i="5" s="1"/>
  <c r="KI64" i="5"/>
  <c r="KI78" i="5" s="1"/>
  <c r="KK23" i="7" s="1"/>
  <c r="GV72" i="7" l="1"/>
  <c r="GS106" i="7"/>
  <c r="GS114" i="7" s="1"/>
  <c r="GS122" i="7" s="1"/>
  <c r="GS107" i="7"/>
  <c r="GS115" i="7" s="1"/>
  <c r="GS123" i="7" s="1"/>
  <c r="GS105" i="7"/>
  <c r="GS113" i="7" s="1"/>
  <c r="GS121" i="7" s="1"/>
  <c r="GS103" i="7"/>
  <c r="GS111" i="7" s="1"/>
  <c r="GS119" i="7" s="1"/>
  <c r="GS104" i="7"/>
  <c r="GS112" i="7" s="1"/>
  <c r="GS120" i="7" s="1"/>
  <c r="GT92" i="7"/>
  <c r="GT90" i="7"/>
  <c r="GU70" i="7"/>
  <c r="GU83" i="7" s="1"/>
  <c r="GU88" i="7" s="1"/>
  <c r="GU89" i="7" s="1"/>
  <c r="GU77" i="7"/>
  <c r="GV45" i="7"/>
  <c r="GW41" i="7" s="1"/>
  <c r="GW42" i="7" s="1"/>
  <c r="GW43" i="7" s="1"/>
  <c r="GV61" i="7"/>
  <c r="GW57" i="7" s="1"/>
  <c r="GW58" i="7" s="1"/>
  <c r="GW59" i="7" s="1"/>
  <c r="GV37" i="7"/>
  <c r="GW33" i="7" s="1"/>
  <c r="GW34" i="7" s="1"/>
  <c r="GW35" i="7" s="1"/>
  <c r="GV29" i="7"/>
  <c r="GW25" i="7" s="1"/>
  <c r="GV53" i="7"/>
  <c r="GW49" i="7" s="1"/>
  <c r="GW50" i="7" s="1"/>
  <c r="GW51" i="7" s="1"/>
  <c r="KK87" i="7"/>
  <c r="KJ63" i="5"/>
  <c r="GV68" i="7" l="1"/>
  <c r="GV65" i="7"/>
  <c r="GV30" i="7"/>
  <c r="GV31" i="7" s="1"/>
  <c r="GV54" i="7"/>
  <c r="GV55" i="7" s="1"/>
  <c r="GV62" i="7"/>
  <c r="GV63" i="7" s="1"/>
  <c r="GU80" i="7"/>
  <c r="GU79" i="7"/>
  <c r="GU78" i="7"/>
  <c r="GU82" i="7"/>
  <c r="GU81" i="7"/>
  <c r="GU85" i="7"/>
  <c r="GW26" i="7"/>
  <c r="GW27" i="7" s="1"/>
  <c r="GW36" i="7" s="1"/>
  <c r="GV46" i="7"/>
  <c r="GV47" i="7" s="1"/>
  <c r="GT95" i="7"/>
  <c r="GT96" i="7"/>
  <c r="GT93" i="7"/>
  <c r="GT94" i="7"/>
  <c r="GT100" i="7"/>
  <c r="GV38" i="7"/>
  <c r="GV39" i="7" s="1"/>
  <c r="GV73" i="7"/>
  <c r="KJ50" i="5"/>
  <c r="KK43" i="5" s="1"/>
  <c r="KJ64" i="5"/>
  <c r="KJ78" i="5" s="1"/>
  <c r="KL23" i="7" s="1"/>
  <c r="GV69" i="7" l="1"/>
  <c r="GV70" i="7" s="1"/>
  <c r="GV74" i="7"/>
  <c r="GW72" i="7" s="1"/>
  <c r="GT108" i="7"/>
  <c r="GT116" i="7" s="1"/>
  <c r="GT102" i="7"/>
  <c r="GU98" i="7"/>
  <c r="GW44" i="7"/>
  <c r="GW28" i="7"/>
  <c r="GW60" i="7"/>
  <c r="GW52" i="7"/>
  <c r="KK63" i="5"/>
  <c r="KL87" i="7"/>
  <c r="GW67" i="7" l="1"/>
  <c r="GT106" i="7"/>
  <c r="GT114" i="7" s="1"/>
  <c r="GT122" i="7" s="1"/>
  <c r="GT107" i="7"/>
  <c r="GT115" i="7" s="1"/>
  <c r="GT123" i="7" s="1"/>
  <c r="GT103" i="7"/>
  <c r="GT111" i="7" s="1"/>
  <c r="GT119" i="7" s="1"/>
  <c r="GT104" i="7"/>
  <c r="GT112" i="7" s="1"/>
  <c r="GT120" i="7" s="1"/>
  <c r="GT105" i="7"/>
  <c r="GT113" i="7" s="1"/>
  <c r="GT121" i="7" s="1"/>
  <c r="GV75" i="7"/>
  <c r="GV83" i="7" s="1"/>
  <c r="GV77" i="7"/>
  <c r="GW37" i="7"/>
  <c r="GW29" i="7"/>
  <c r="GX25" i="7" s="1"/>
  <c r="GW53" i="7"/>
  <c r="GX49" i="7" s="1"/>
  <c r="GX50" i="7" s="1"/>
  <c r="GX51" i="7" s="1"/>
  <c r="GW61" i="7"/>
  <c r="GX57" i="7" s="1"/>
  <c r="GX58" i="7" s="1"/>
  <c r="GX59" i="7" s="1"/>
  <c r="GW45" i="7"/>
  <c r="GX41" i="7" s="1"/>
  <c r="GX42" i="7" s="1"/>
  <c r="GX43" i="7" s="1"/>
  <c r="GU92" i="7"/>
  <c r="GU90" i="7"/>
  <c r="KK50" i="5"/>
  <c r="KL43" i="5" s="1"/>
  <c r="KK64" i="5"/>
  <c r="KK78" i="5" s="1"/>
  <c r="KM23" i="7" s="1"/>
  <c r="GW46" i="7" l="1"/>
  <c r="GW47" i="7" s="1"/>
  <c r="GW62" i="7"/>
  <c r="GW63" i="7" s="1"/>
  <c r="GV78" i="7"/>
  <c r="GV82" i="7"/>
  <c r="GV81" i="7"/>
  <c r="GV80" i="7"/>
  <c r="GV79" i="7"/>
  <c r="GV85" i="7"/>
  <c r="GV88" i="7"/>
  <c r="GV89" i="7" s="1"/>
  <c r="GW65" i="7"/>
  <c r="GX26" i="7"/>
  <c r="GX27" i="7" s="1"/>
  <c r="GW30" i="7"/>
  <c r="GW31" i="7" s="1"/>
  <c r="GW54" i="7"/>
  <c r="GW55" i="7" s="1"/>
  <c r="GW68" i="7"/>
  <c r="GX33" i="7"/>
  <c r="GX34" i="7" s="1"/>
  <c r="GX35" i="7" s="1"/>
  <c r="GW38" i="7"/>
  <c r="GW39" i="7" s="1"/>
  <c r="GU93" i="7"/>
  <c r="GU96" i="7"/>
  <c r="GU95" i="7"/>
  <c r="GU94" i="7"/>
  <c r="GU100" i="7"/>
  <c r="GW73" i="7"/>
  <c r="KM87" i="7"/>
  <c r="KL63" i="5"/>
  <c r="GU102" i="7" l="1"/>
  <c r="GU108" i="7"/>
  <c r="GU116" i="7" s="1"/>
  <c r="GV98" i="7"/>
  <c r="GW74" i="7"/>
  <c r="GW75" i="7" s="1"/>
  <c r="GX44" i="7"/>
  <c r="GX36" i="7"/>
  <c r="GX60" i="7"/>
  <c r="GX52" i="7"/>
  <c r="GX28" i="7"/>
  <c r="GW69" i="7"/>
  <c r="GX67" i="7" s="1"/>
  <c r="KL50" i="5"/>
  <c r="KM43" i="5" s="1"/>
  <c r="KL64" i="5"/>
  <c r="KL78" i="5" s="1"/>
  <c r="KN23" i="7" s="1"/>
  <c r="GX37" i="7" l="1"/>
  <c r="GY33" i="7" s="1"/>
  <c r="GY34" i="7" s="1"/>
  <c r="GY35" i="7" s="1"/>
  <c r="GX72" i="7"/>
  <c r="GV90" i="7"/>
  <c r="GV92" i="7"/>
  <c r="GW70" i="7"/>
  <c r="GW83" i="7" s="1"/>
  <c r="GW88" i="7" s="1"/>
  <c r="GW89" i="7" s="1"/>
  <c r="GW77" i="7"/>
  <c r="GX45" i="7"/>
  <c r="GY41" i="7" s="1"/>
  <c r="GY42" i="7" s="1"/>
  <c r="GY43" i="7" s="1"/>
  <c r="GX53" i="7"/>
  <c r="GY49" i="7" s="1"/>
  <c r="GY50" i="7" s="1"/>
  <c r="GY51" i="7" s="1"/>
  <c r="GX29" i="7"/>
  <c r="GY25" i="7" s="1"/>
  <c r="GX61" i="7"/>
  <c r="GY57" i="7" s="1"/>
  <c r="GY58" i="7" s="1"/>
  <c r="GY59" i="7" s="1"/>
  <c r="GU105" i="7"/>
  <c r="GU113" i="7" s="1"/>
  <c r="GU121" i="7" s="1"/>
  <c r="GU106" i="7"/>
  <c r="GU114" i="7" s="1"/>
  <c r="GU122" i="7" s="1"/>
  <c r="GU104" i="7"/>
  <c r="GU112" i="7" s="1"/>
  <c r="GU120" i="7" s="1"/>
  <c r="GU107" i="7"/>
  <c r="GU115" i="7" s="1"/>
  <c r="GU123" i="7" s="1"/>
  <c r="GU103" i="7"/>
  <c r="GU111" i="7" s="1"/>
  <c r="GU119" i="7" s="1"/>
  <c r="KN87" i="7"/>
  <c r="KM63" i="5"/>
  <c r="GX38" i="7" l="1"/>
  <c r="GX39" i="7" s="1"/>
  <c r="GX46" i="7"/>
  <c r="GX47" i="7" s="1"/>
  <c r="GX30" i="7"/>
  <c r="GX31" i="7" s="1"/>
  <c r="GX73" i="7"/>
  <c r="GX54" i="7"/>
  <c r="GX55" i="7" s="1"/>
  <c r="GV94" i="7"/>
  <c r="GV95" i="7"/>
  <c r="GV93" i="7"/>
  <c r="GV96" i="7"/>
  <c r="GV100" i="7"/>
  <c r="GY26" i="7"/>
  <c r="GY27" i="7" s="1"/>
  <c r="GW81" i="7"/>
  <c r="GW80" i="7"/>
  <c r="GW79" i="7"/>
  <c r="GW78" i="7"/>
  <c r="GW82" i="7"/>
  <c r="GW85" i="7"/>
  <c r="GX68" i="7"/>
  <c r="GX62" i="7"/>
  <c r="GX63" i="7" s="1"/>
  <c r="GX65" i="7"/>
  <c r="KM50" i="5"/>
  <c r="KN43" i="5" s="1"/>
  <c r="KM64" i="5"/>
  <c r="KM78" i="5" s="1"/>
  <c r="KO23" i="7" s="1"/>
  <c r="GY36" i="7" l="1"/>
  <c r="GY60" i="7"/>
  <c r="GY28" i="7"/>
  <c r="GY44" i="7"/>
  <c r="GY52" i="7"/>
  <c r="GW98" i="7"/>
  <c r="GX74" i="7"/>
  <c r="GX75" i="7" s="1"/>
  <c r="GX69" i="7"/>
  <c r="GY67" i="7" s="1"/>
  <c r="GV102" i="7"/>
  <c r="GV108" i="7"/>
  <c r="GV116" i="7" s="1"/>
  <c r="KO87" i="7"/>
  <c r="KN63" i="5"/>
  <c r="GY72" i="7" l="1"/>
  <c r="GV104" i="7"/>
  <c r="GV112" i="7" s="1"/>
  <c r="GV120" i="7" s="1"/>
  <c r="GV105" i="7"/>
  <c r="GV113" i="7" s="1"/>
  <c r="GV121" i="7" s="1"/>
  <c r="GV106" i="7"/>
  <c r="GV114" i="7" s="1"/>
  <c r="GV122" i="7" s="1"/>
  <c r="GV107" i="7"/>
  <c r="GV115" i="7" s="1"/>
  <c r="GV123" i="7" s="1"/>
  <c r="GV103" i="7"/>
  <c r="GV111" i="7" s="1"/>
  <c r="GV119" i="7" s="1"/>
  <c r="GY53" i="7"/>
  <c r="GZ49" i="7" s="1"/>
  <c r="GZ50" i="7" s="1"/>
  <c r="GZ51" i="7" s="1"/>
  <c r="GY61" i="7"/>
  <c r="GZ57" i="7" s="1"/>
  <c r="GZ58" i="7" s="1"/>
  <c r="GZ59" i="7" s="1"/>
  <c r="GY29" i="7"/>
  <c r="GZ25" i="7" s="1"/>
  <c r="GY45" i="7"/>
  <c r="GZ41" i="7" s="1"/>
  <c r="GZ42" i="7" s="1"/>
  <c r="GZ43" i="7" s="1"/>
  <c r="GY37" i="7"/>
  <c r="GZ33" i="7" s="1"/>
  <c r="GZ34" i="7" s="1"/>
  <c r="GZ35" i="7" s="1"/>
  <c r="GX70" i="7"/>
  <c r="GX83" i="7" s="1"/>
  <c r="GX88" i="7" s="1"/>
  <c r="GX89" i="7" s="1"/>
  <c r="GX77" i="7"/>
  <c r="GW90" i="7"/>
  <c r="GW92" i="7"/>
  <c r="KN50" i="5"/>
  <c r="KO43" i="5" s="1"/>
  <c r="KN64" i="5"/>
  <c r="KN78" i="5" s="1"/>
  <c r="KP23" i="7" s="1"/>
  <c r="GY38" i="7" l="1"/>
  <c r="GY39" i="7" s="1"/>
  <c r="GY30" i="7"/>
  <c r="GY31" i="7" s="1"/>
  <c r="GY46" i="7"/>
  <c r="GY47" i="7" s="1"/>
  <c r="GY73" i="7"/>
  <c r="GY54" i="7"/>
  <c r="GY55" i="7" s="1"/>
  <c r="GY68" i="7"/>
  <c r="GZ26" i="7"/>
  <c r="GZ27" i="7" s="1"/>
  <c r="GW93" i="7"/>
  <c r="GW94" i="7"/>
  <c r="GW96" i="7"/>
  <c r="GW95" i="7"/>
  <c r="GW100" i="7"/>
  <c r="GY65" i="7"/>
  <c r="GX79" i="7"/>
  <c r="GX78" i="7"/>
  <c r="GX81" i="7"/>
  <c r="GX82" i="7"/>
  <c r="GX80" i="7"/>
  <c r="GX85" i="7"/>
  <c r="GY62" i="7"/>
  <c r="GY63" i="7" s="1"/>
  <c r="KO63" i="5"/>
  <c r="KP87" i="7"/>
  <c r="GX98" i="7" l="1"/>
  <c r="GY69" i="7"/>
  <c r="GZ67" i="7" s="1"/>
  <c r="GW102" i="7"/>
  <c r="GW108" i="7"/>
  <c r="GW116" i="7" s="1"/>
  <c r="GY74" i="7"/>
  <c r="GZ60" i="7"/>
  <c r="GZ44" i="7"/>
  <c r="GZ28" i="7"/>
  <c r="GZ52" i="7"/>
  <c r="GZ36" i="7"/>
  <c r="KO50" i="5"/>
  <c r="KP43" i="5" s="1"/>
  <c r="KO64" i="5"/>
  <c r="KO78" i="5" s="1"/>
  <c r="KQ23" i="7" s="1"/>
  <c r="GW104" i="7" l="1"/>
  <c r="GW112" i="7" s="1"/>
  <c r="GW120" i="7" s="1"/>
  <c r="GW107" i="7"/>
  <c r="GW115" i="7" s="1"/>
  <c r="GW123" i="7" s="1"/>
  <c r="GW103" i="7"/>
  <c r="GW111" i="7" s="1"/>
  <c r="GW119" i="7" s="1"/>
  <c r="GW106" i="7"/>
  <c r="GW114" i="7" s="1"/>
  <c r="GW122" i="7" s="1"/>
  <c r="GW105" i="7"/>
  <c r="GW113" i="7" s="1"/>
  <c r="GW121" i="7" s="1"/>
  <c r="GY75" i="7"/>
  <c r="GZ72" i="7"/>
  <c r="GZ37" i="7"/>
  <c r="HA33" i="7" s="1"/>
  <c r="HA34" i="7" s="1"/>
  <c r="HA35" i="7" s="1"/>
  <c r="GZ61" i="7"/>
  <c r="HA57" i="7" s="1"/>
  <c r="HA58" i="7" s="1"/>
  <c r="HA59" i="7" s="1"/>
  <c r="GZ29" i="7"/>
  <c r="HA25" i="7" s="1"/>
  <c r="GZ45" i="7"/>
  <c r="HA41" i="7" s="1"/>
  <c r="HA42" i="7" s="1"/>
  <c r="HA43" i="7" s="1"/>
  <c r="GZ53" i="7"/>
  <c r="HA49" i="7" s="1"/>
  <c r="HA50" i="7" s="1"/>
  <c r="HA51" i="7" s="1"/>
  <c r="GY77" i="7"/>
  <c r="GY70" i="7"/>
  <c r="GX92" i="7"/>
  <c r="GX90" i="7"/>
  <c r="KQ87" i="7"/>
  <c r="KP63" i="5"/>
  <c r="GZ46" i="7" l="1"/>
  <c r="GZ47" i="7" s="1"/>
  <c r="GZ54" i="7"/>
  <c r="GZ55" i="7" s="1"/>
  <c r="GZ30" i="7"/>
  <c r="GZ31" i="7" s="1"/>
  <c r="GZ62" i="7"/>
  <c r="GZ63" i="7" s="1"/>
  <c r="GX94" i="7"/>
  <c r="GX93" i="7"/>
  <c r="GX96" i="7"/>
  <c r="GX95" i="7"/>
  <c r="GX100" i="7"/>
  <c r="GZ65" i="7"/>
  <c r="GZ68" i="7"/>
  <c r="GY78" i="7"/>
  <c r="GY82" i="7"/>
  <c r="GY81" i="7"/>
  <c r="GY80" i="7"/>
  <c r="GY79" i="7"/>
  <c r="GZ38" i="7"/>
  <c r="GZ39" i="7" s="1"/>
  <c r="GY83" i="7"/>
  <c r="GY88" i="7" s="1"/>
  <c r="GY89" i="7" s="1"/>
  <c r="GZ73" i="7"/>
  <c r="HA26" i="7"/>
  <c r="HA27" i="7" s="1"/>
  <c r="KP50" i="5"/>
  <c r="KQ43" i="5" s="1"/>
  <c r="KP64" i="5"/>
  <c r="KP78" i="5" s="1"/>
  <c r="KR23" i="7" s="1"/>
  <c r="GZ74" i="7" l="1"/>
  <c r="GZ75" i="7" s="1"/>
  <c r="GY85" i="7"/>
  <c r="HA36" i="7"/>
  <c r="HA60" i="7"/>
  <c r="HA44" i="7"/>
  <c r="HA28" i="7"/>
  <c r="HA52" i="7"/>
  <c r="GZ69" i="7"/>
  <c r="GX102" i="7"/>
  <c r="GX108" i="7"/>
  <c r="GX116" i="7" s="1"/>
  <c r="KR87" i="7"/>
  <c r="KQ63" i="5"/>
  <c r="HA72" i="7" l="1"/>
  <c r="HA53" i="7"/>
  <c r="HB49" i="7" s="1"/>
  <c r="HB50" i="7" s="1"/>
  <c r="HB51" i="7" s="1"/>
  <c r="HA29" i="7"/>
  <c r="HB25" i="7" s="1"/>
  <c r="HA45" i="7"/>
  <c r="HB41" i="7" s="1"/>
  <c r="HB42" i="7" s="1"/>
  <c r="HB43" i="7" s="1"/>
  <c r="HA37" i="7"/>
  <c r="HB33" i="7" s="1"/>
  <c r="HB34" i="7" s="1"/>
  <c r="HB35" i="7" s="1"/>
  <c r="HA61" i="7"/>
  <c r="HB57" i="7" s="1"/>
  <c r="HB58" i="7" s="1"/>
  <c r="HB59" i="7" s="1"/>
  <c r="GX103" i="7"/>
  <c r="GX111" i="7" s="1"/>
  <c r="GX119" i="7" s="1"/>
  <c r="GX104" i="7"/>
  <c r="GX112" i="7" s="1"/>
  <c r="GX120" i="7" s="1"/>
  <c r="GX107" i="7"/>
  <c r="GX115" i="7" s="1"/>
  <c r="GX123" i="7" s="1"/>
  <c r="GX106" i="7"/>
  <c r="GX114" i="7" s="1"/>
  <c r="GX122" i="7" s="1"/>
  <c r="GX105" i="7"/>
  <c r="GX113" i="7" s="1"/>
  <c r="GX121" i="7" s="1"/>
  <c r="GZ70" i="7"/>
  <c r="GZ83" i="7" s="1"/>
  <c r="GZ88" i="7" s="1"/>
  <c r="GZ89" i="7" s="1"/>
  <c r="GZ77" i="7"/>
  <c r="GY98" i="7"/>
  <c r="HA67" i="7"/>
  <c r="KQ64" i="5"/>
  <c r="KQ78" i="5" s="1"/>
  <c r="KS23" i="7" s="1"/>
  <c r="KQ50" i="5"/>
  <c r="KR43" i="5" s="1"/>
  <c r="HA62" i="7" l="1"/>
  <c r="HA63" i="7" s="1"/>
  <c r="HA46" i="7"/>
  <c r="HA47" i="7" s="1"/>
  <c r="HA38" i="7"/>
  <c r="HA39" i="7" s="1"/>
  <c r="HA65" i="7"/>
  <c r="HB26" i="7"/>
  <c r="HB27" i="7" s="1"/>
  <c r="HA54" i="7"/>
  <c r="HA55" i="7" s="1"/>
  <c r="HA73" i="7"/>
  <c r="GY90" i="7"/>
  <c r="GY92" i="7"/>
  <c r="GZ81" i="7"/>
  <c r="GZ78" i="7"/>
  <c r="GZ79" i="7"/>
  <c r="GZ82" i="7"/>
  <c r="GZ80" i="7"/>
  <c r="GZ85" i="7"/>
  <c r="HA68" i="7"/>
  <c r="HA30" i="7"/>
  <c r="HA31" i="7" s="1"/>
  <c r="KR63" i="5"/>
  <c r="KS87" i="7"/>
  <c r="HA69" i="7" l="1"/>
  <c r="HA70" i="7" s="1"/>
  <c r="GY94" i="7"/>
  <c r="GY95" i="7"/>
  <c r="GY96" i="7"/>
  <c r="GY93" i="7"/>
  <c r="GY100" i="7"/>
  <c r="HB44" i="7"/>
  <c r="HB28" i="7"/>
  <c r="HB52" i="7"/>
  <c r="HB36" i="7"/>
  <c r="HB60" i="7"/>
  <c r="GZ98" i="7"/>
  <c r="HA74" i="7"/>
  <c r="HA75" i="7" s="1"/>
  <c r="KR50" i="5"/>
  <c r="KS43" i="5" s="1"/>
  <c r="KR64" i="5"/>
  <c r="KR78" i="5" s="1"/>
  <c r="KT23" i="7" s="1"/>
  <c r="HB67" i="7" l="1"/>
  <c r="HB72" i="7"/>
  <c r="GY108" i="7"/>
  <c r="GY116" i="7" s="1"/>
  <c r="GY102" i="7"/>
  <c r="HB37" i="7"/>
  <c r="HC33" i="7" s="1"/>
  <c r="HC34" i="7" s="1"/>
  <c r="HC35" i="7" s="1"/>
  <c r="HB29" i="7"/>
  <c r="HC25" i="7" s="1"/>
  <c r="HB53" i="7"/>
  <c r="HC49" i="7" s="1"/>
  <c r="HC50" i="7" s="1"/>
  <c r="HC51" i="7" s="1"/>
  <c r="HB45" i="7"/>
  <c r="HC41" i="7" s="1"/>
  <c r="HC42" i="7" s="1"/>
  <c r="HC43" i="7" s="1"/>
  <c r="HB61" i="7"/>
  <c r="HC57" i="7" s="1"/>
  <c r="HC58" i="7" s="1"/>
  <c r="HC59" i="7" s="1"/>
  <c r="HA77" i="7"/>
  <c r="GZ92" i="7"/>
  <c r="GZ90" i="7"/>
  <c r="HA83" i="7"/>
  <c r="HA88" i="7" s="1"/>
  <c r="HA89" i="7" s="1"/>
  <c r="KS63" i="5"/>
  <c r="KT87" i="7"/>
  <c r="HB38" i="7" l="1"/>
  <c r="HB39" i="7" s="1"/>
  <c r="HC26" i="7"/>
  <c r="HC27" i="7" s="1"/>
  <c r="HB65" i="7"/>
  <c r="HB54" i="7"/>
  <c r="HB55" i="7" s="1"/>
  <c r="GY107" i="7"/>
  <c r="GY115" i="7" s="1"/>
  <c r="GY123" i="7" s="1"/>
  <c r="GY104" i="7"/>
  <c r="GY112" i="7" s="1"/>
  <c r="GY120" i="7" s="1"/>
  <c r="GY105" i="7"/>
  <c r="GY113" i="7" s="1"/>
  <c r="GY121" i="7" s="1"/>
  <c r="GY106" i="7"/>
  <c r="GY114" i="7" s="1"/>
  <c r="GY122" i="7" s="1"/>
  <c r="GY103" i="7"/>
  <c r="GY111" i="7" s="1"/>
  <c r="GY119" i="7" s="1"/>
  <c r="GZ94" i="7"/>
  <c r="GZ96" i="7"/>
  <c r="GZ95" i="7"/>
  <c r="GZ93" i="7"/>
  <c r="GZ100" i="7"/>
  <c r="HB30" i="7"/>
  <c r="HB31" i="7" s="1"/>
  <c r="HA78" i="7"/>
  <c r="HA81" i="7"/>
  <c r="HA79" i="7"/>
  <c r="HA82" i="7"/>
  <c r="HA80" i="7"/>
  <c r="HA85" i="7"/>
  <c r="HB68" i="7"/>
  <c r="HB62" i="7"/>
  <c r="HB46" i="7"/>
  <c r="HB47" i="7" s="1"/>
  <c r="HB73" i="7"/>
  <c r="KS50" i="5"/>
  <c r="KT43" i="5" s="1"/>
  <c r="KS64" i="5"/>
  <c r="KS78" i="5" s="1"/>
  <c r="KU23" i="7" s="1"/>
  <c r="HB69" i="7" l="1"/>
  <c r="HB70" i="7" s="1"/>
  <c r="HC36" i="7"/>
  <c r="HC52" i="7"/>
  <c r="HC60" i="7"/>
  <c r="HC28" i="7"/>
  <c r="HC44" i="7"/>
  <c r="HB74" i="7"/>
  <c r="HB75" i="7" s="1"/>
  <c r="HB63" i="7"/>
  <c r="GZ108" i="7"/>
  <c r="GZ116" i="7" s="1"/>
  <c r="GZ102" i="7"/>
  <c r="HA98" i="7"/>
  <c r="KT63" i="5"/>
  <c r="KU87" i="7"/>
  <c r="HC67" i="7" l="1"/>
  <c r="HC72" i="7"/>
  <c r="GZ104" i="7"/>
  <c r="GZ112" i="7" s="1"/>
  <c r="GZ120" i="7" s="1"/>
  <c r="GZ105" i="7"/>
  <c r="GZ113" i="7" s="1"/>
  <c r="GZ121" i="7" s="1"/>
  <c r="GZ107" i="7"/>
  <c r="GZ115" i="7" s="1"/>
  <c r="GZ123" i="7" s="1"/>
  <c r="GZ106" i="7"/>
  <c r="GZ114" i="7" s="1"/>
  <c r="GZ122" i="7" s="1"/>
  <c r="GZ103" i="7"/>
  <c r="GZ111" i="7" s="1"/>
  <c r="GZ119" i="7" s="1"/>
  <c r="HA90" i="7"/>
  <c r="HA92" i="7"/>
  <c r="HB77" i="7"/>
  <c r="HC37" i="7"/>
  <c r="HD33" i="7" s="1"/>
  <c r="HD34" i="7" s="1"/>
  <c r="HD35" i="7" s="1"/>
  <c r="HC45" i="7"/>
  <c r="HD41" i="7" s="1"/>
  <c r="HD42" i="7" s="1"/>
  <c r="HD43" i="7" s="1"/>
  <c r="HC29" i="7"/>
  <c r="HD25" i="7" s="1"/>
  <c r="HC53" i="7"/>
  <c r="HD49" i="7" s="1"/>
  <c r="HD50" i="7" s="1"/>
  <c r="HD51" i="7" s="1"/>
  <c r="HC61" i="7"/>
  <c r="HD57" i="7" s="1"/>
  <c r="HD58" i="7" s="1"/>
  <c r="HD59" i="7" s="1"/>
  <c r="HB83" i="7"/>
  <c r="HB88" i="7" s="1"/>
  <c r="HB89" i="7" s="1"/>
  <c r="KT64" i="5"/>
  <c r="KT78" i="5" s="1"/>
  <c r="KV23" i="7" s="1"/>
  <c r="KT50" i="5"/>
  <c r="KU43" i="5" s="1"/>
  <c r="HC30" i="7" l="1"/>
  <c r="HC31" i="7" s="1"/>
  <c r="HC62" i="7"/>
  <c r="HC63" i="7" s="1"/>
  <c r="HC65" i="7"/>
  <c r="HC46" i="7"/>
  <c r="HC47" i="7" s="1"/>
  <c r="HC73" i="7"/>
  <c r="HB81" i="7"/>
  <c r="HB79" i="7"/>
  <c r="HB80" i="7"/>
  <c r="HB78" i="7"/>
  <c r="HB82" i="7"/>
  <c r="HB85" i="7"/>
  <c r="HA94" i="7"/>
  <c r="HA93" i="7"/>
  <c r="HA95" i="7"/>
  <c r="HA96" i="7"/>
  <c r="HA100" i="7"/>
  <c r="HC38" i="7"/>
  <c r="HC39" i="7" s="1"/>
  <c r="HC68" i="7"/>
  <c r="HD26" i="7"/>
  <c r="HD27" i="7" s="1"/>
  <c r="HC54" i="7"/>
  <c r="HC55" i="7" s="1"/>
  <c r="KU63" i="5"/>
  <c r="KV87" i="7"/>
  <c r="HD44" i="7" l="1"/>
  <c r="HD52" i="7"/>
  <c r="HD28" i="7"/>
  <c r="HD60" i="7"/>
  <c r="HD36" i="7"/>
  <c r="HB98" i="7"/>
  <c r="HC69" i="7"/>
  <c r="HD67" i="7" s="1"/>
  <c r="HC74" i="7"/>
  <c r="HC75" i="7" s="1"/>
  <c r="HA108" i="7"/>
  <c r="HA116" i="7" s="1"/>
  <c r="HA102" i="7"/>
  <c r="KU50" i="5"/>
  <c r="KV43" i="5" s="1"/>
  <c r="KU64" i="5"/>
  <c r="KU78" i="5" s="1"/>
  <c r="KW23" i="7" s="1"/>
  <c r="HD72" i="7" l="1"/>
  <c r="HB90" i="7"/>
  <c r="HB92" i="7"/>
  <c r="HD53" i="7"/>
  <c r="HE49" i="7" s="1"/>
  <c r="HE50" i="7" s="1"/>
  <c r="HE51" i="7" s="1"/>
  <c r="HD37" i="7"/>
  <c r="HE33" i="7" s="1"/>
  <c r="HE34" i="7" s="1"/>
  <c r="HE35" i="7" s="1"/>
  <c r="HD29" i="7"/>
  <c r="HE25" i="7" s="1"/>
  <c r="HD61" i="7"/>
  <c r="HE57" i="7" s="1"/>
  <c r="HE58" i="7" s="1"/>
  <c r="HE59" i="7" s="1"/>
  <c r="HD45" i="7"/>
  <c r="HE41" i="7" s="1"/>
  <c r="HE42" i="7" s="1"/>
  <c r="HE43" i="7" s="1"/>
  <c r="HA104" i="7"/>
  <c r="HA112" i="7" s="1"/>
  <c r="HA120" i="7" s="1"/>
  <c r="HA106" i="7"/>
  <c r="HA114" i="7" s="1"/>
  <c r="HA122" i="7" s="1"/>
  <c r="HA105" i="7"/>
  <c r="HA113" i="7" s="1"/>
  <c r="HA121" i="7" s="1"/>
  <c r="HA103" i="7"/>
  <c r="HA111" i="7" s="1"/>
  <c r="HA119" i="7" s="1"/>
  <c r="HA107" i="7"/>
  <c r="HA115" i="7" s="1"/>
  <c r="HA123" i="7" s="1"/>
  <c r="HC70" i="7"/>
  <c r="HC83" i="7" s="1"/>
  <c r="HC88" i="7" s="1"/>
  <c r="HC89" i="7" s="1"/>
  <c r="HC77" i="7"/>
  <c r="KW87" i="7"/>
  <c r="KV63" i="5"/>
  <c r="HD54" i="7" l="1"/>
  <c r="HD55" i="7" s="1"/>
  <c r="HD46" i="7"/>
  <c r="HD47" i="7" s="1"/>
  <c r="HD68" i="7"/>
  <c r="HD38" i="7"/>
  <c r="HD39" i="7" s="1"/>
  <c r="HC82" i="7"/>
  <c r="HC81" i="7"/>
  <c r="HC78" i="7"/>
  <c r="HC79" i="7"/>
  <c r="HC80" i="7"/>
  <c r="HC85" i="7"/>
  <c r="HD65" i="7"/>
  <c r="HB94" i="7"/>
  <c r="HB96" i="7"/>
  <c r="HB93" i="7"/>
  <c r="HB95" i="7"/>
  <c r="HB100" i="7"/>
  <c r="HD73" i="7"/>
  <c r="HE26" i="7"/>
  <c r="HE27" i="7" s="1"/>
  <c r="HD62" i="7"/>
  <c r="HD30" i="7"/>
  <c r="HD31" i="7" s="1"/>
  <c r="KV64" i="5"/>
  <c r="KV78" i="5" s="1"/>
  <c r="KX23" i="7" s="1"/>
  <c r="KV50" i="5"/>
  <c r="KW43" i="5" s="1"/>
  <c r="HD69" i="7" l="1"/>
  <c r="HE67" i="7" s="1"/>
  <c r="HD74" i="7"/>
  <c r="HC98" i="7"/>
  <c r="HD63" i="7"/>
  <c r="HB102" i="7"/>
  <c r="HB108" i="7"/>
  <c r="HB116" i="7" s="1"/>
  <c r="HE60" i="7"/>
  <c r="HE28" i="7"/>
  <c r="HE52" i="7"/>
  <c r="HE36" i="7"/>
  <c r="HE44" i="7"/>
  <c r="KW63" i="5"/>
  <c r="KX87" i="7"/>
  <c r="HD70" i="7" l="1"/>
  <c r="HC92" i="7"/>
  <c r="HC90" i="7"/>
  <c r="HE72" i="7"/>
  <c r="HD75" i="7"/>
  <c r="HE29" i="7"/>
  <c r="HF25" i="7" s="1"/>
  <c r="HE53" i="7"/>
  <c r="HF49" i="7" s="1"/>
  <c r="HF50" i="7" s="1"/>
  <c r="HF51" i="7" s="1"/>
  <c r="HE45" i="7"/>
  <c r="HF41" i="7" s="1"/>
  <c r="HF42" i="7" s="1"/>
  <c r="HF43" i="7" s="1"/>
  <c r="HE37" i="7"/>
  <c r="HF33" i="7" s="1"/>
  <c r="HF34" i="7" s="1"/>
  <c r="HF35" i="7" s="1"/>
  <c r="HE61" i="7"/>
  <c r="HF57" i="7" s="1"/>
  <c r="HF58" i="7" s="1"/>
  <c r="HF59" i="7" s="1"/>
  <c r="HB106" i="7"/>
  <c r="HB114" i="7" s="1"/>
  <c r="HB122" i="7" s="1"/>
  <c r="HB105" i="7"/>
  <c r="HB113" i="7" s="1"/>
  <c r="HB121" i="7" s="1"/>
  <c r="HB103" i="7"/>
  <c r="HB111" i="7" s="1"/>
  <c r="HB119" i="7" s="1"/>
  <c r="HB107" i="7"/>
  <c r="HB115" i="7" s="1"/>
  <c r="HB123" i="7" s="1"/>
  <c r="HB104" i="7"/>
  <c r="HB112" i="7" s="1"/>
  <c r="HB120" i="7" s="1"/>
  <c r="HD77" i="7"/>
  <c r="KW50" i="5"/>
  <c r="KX43" i="5" s="1"/>
  <c r="KW64" i="5"/>
  <c r="KW78" i="5" s="1"/>
  <c r="KY23" i="7" s="1"/>
  <c r="HD83" i="7" l="1"/>
  <c r="HD88" i="7" s="1"/>
  <c r="HD89" i="7" s="1"/>
  <c r="HE62" i="7"/>
  <c r="HF26" i="7"/>
  <c r="HF27" i="7" s="1"/>
  <c r="HE65" i="7"/>
  <c r="HC94" i="7"/>
  <c r="HC95" i="7"/>
  <c r="HC96" i="7"/>
  <c r="HC93" i="7"/>
  <c r="HC100" i="7"/>
  <c r="HE54" i="7"/>
  <c r="HE55" i="7" s="1"/>
  <c r="HE73" i="7"/>
  <c r="HD81" i="7"/>
  <c r="HD82" i="7"/>
  <c r="HD80" i="7"/>
  <c r="HD78" i="7"/>
  <c r="HD79" i="7"/>
  <c r="HD85" i="7"/>
  <c r="HE63" i="7"/>
  <c r="HE68" i="7"/>
  <c r="HE38" i="7"/>
  <c r="HE39" i="7" s="1"/>
  <c r="HE30" i="7"/>
  <c r="HE31" i="7" s="1"/>
  <c r="HE46" i="7"/>
  <c r="HE47" i="7" s="1"/>
  <c r="KX63" i="5"/>
  <c r="KY87" i="7"/>
  <c r="HE69" i="7" l="1"/>
  <c r="HF67" i="7" s="1"/>
  <c r="HD98" i="7"/>
  <c r="HC102" i="7"/>
  <c r="HC108" i="7"/>
  <c r="HC116" i="7" s="1"/>
  <c r="HE74" i="7"/>
  <c r="HE75" i="7" s="1"/>
  <c r="HF44" i="7"/>
  <c r="HF28" i="7"/>
  <c r="HF52" i="7"/>
  <c r="HF36" i="7"/>
  <c r="HF60" i="7"/>
  <c r="KX50" i="5"/>
  <c r="KY43" i="5" s="1"/>
  <c r="KX64" i="5"/>
  <c r="KX78" i="5" s="1"/>
  <c r="KZ23" i="7" s="1"/>
  <c r="HE70" i="7" l="1"/>
  <c r="HE83" i="7" s="1"/>
  <c r="HE88" i="7" s="1"/>
  <c r="HE89" i="7" s="1"/>
  <c r="HF53" i="7"/>
  <c r="HG49" i="7" s="1"/>
  <c r="HG50" i="7" s="1"/>
  <c r="HG51" i="7" s="1"/>
  <c r="HF37" i="7"/>
  <c r="HG33" i="7" s="1"/>
  <c r="HG34" i="7" s="1"/>
  <c r="HG35" i="7" s="1"/>
  <c r="HF45" i="7"/>
  <c r="HG41" i="7" s="1"/>
  <c r="HG42" i="7" s="1"/>
  <c r="HG43" i="7" s="1"/>
  <c r="HF29" i="7"/>
  <c r="HG25" i="7" s="1"/>
  <c r="HF61" i="7"/>
  <c r="HG57" i="7" s="1"/>
  <c r="HG58" i="7" s="1"/>
  <c r="HG59" i="7" s="1"/>
  <c r="HD92" i="7"/>
  <c r="HD90" i="7"/>
  <c r="HC107" i="7"/>
  <c r="HC115" i="7" s="1"/>
  <c r="HC123" i="7" s="1"/>
  <c r="HC104" i="7"/>
  <c r="HC112" i="7" s="1"/>
  <c r="HC120" i="7" s="1"/>
  <c r="HC105" i="7"/>
  <c r="HC113" i="7" s="1"/>
  <c r="HC121" i="7" s="1"/>
  <c r="HC103" i="7"/>
  <c r="HC111" i="7" s="1"/>
  <c r="HC119" i="7" s="1"/>
  <c r="HC106" i="7"/>
  <c r="HC114" i="7" s="1"/>
  <c r="HC122" i="7" s="1"/>
  <c r="HE77" i="7"/>
  <c r="HF72" i="7"/>
  <c r="KY63" i="5"/>
  <c r="KZ87" i="7"/>
  <c r="HF30" i="7" l="1"/>
  <c r="HF31" i="7" s="1"/>
  <c r="HF54" i="7"/>
  <c r="HF55" i="7" s="1"/>
  <c r="HF73" i="7"/>
  <c r="HF65" i="7"/>
  <c r="HD93" i="7"/>
  <c r="HD95" i="7"/>
  <c r="HD94" i="7"/>
  <c r="HD96" i="7"/>
  <c r="HD100" i="7"/>
  <c r="HF68" i="7"/>
  <c r="HF62" i="7"/>
  <c r="HF63" i="7" s="1"/>
  <c r="HF38" i="7"/>
  <c r="HF39" i="7" s="1"/>
  <c r="HF46" i="7"/>
  <c r="HF47" i="7" s="1"/>
  <c r="HE80" i="7"/>
  <c r="HE82" i="7"/>
  <c r="HE79" i="7"/>
  <c r="HE78" i="7"/>
  <c r="HE81" i="7"/>
  <c r="HE85" i="7"/>
  <c r="HG26" i="7"/>
  <c r="HG27" i="7" s="1"/>
  <c r="KY50" i="5"/>
  <c r="KZ43" i="5" s="1"/>
  <c r="KY64" i="5"/>
  <c r="KY78" i="5" s="1"/>
  <c r="LA23" i="7" s="1"/>
  <c r="HF74" i="7" l="1"/>
  <c r="HF75" i="7" s="1"/>
  <c r="HE98" i="7"/>
  <c r="HD102" i="7"/>
  <c r="HD108" i="7"/>
  <c r="HD116" i="7" s="1"/>
  <c r="HF69" i="7"/>
  <c r="HG67" i="7" s="1"/>
  <c r="HG52" i="7"/>
  <c r="HG44" i="7"/>
  <c r="HG60" i="7"/>
  <c r="HG36" i="7"/>
  <c r="HG28" i="7"/>
  <c r="LA87" i="7"/>
  <c r="KZ63" i="5"/>
  <c r="HG72" i="7" l="1"/>
  <c r="HE90" i="7"/>
  <c r="HE92" i="7"/>
  <c r="HD106" i="7"/>
  <c r="HD114" i="7" s="1"/>
  <c r="HD122" i="7" s="1"/>
  <c r="T41" i="8" s="1"/>
  <c r="T43" i="8" s="1"/>
  <c r="HD103" i="7"/>
  <c r="HD111" i="7" s="1"/>
  <c r="HD119" i="7" s="1"/>
  <c r="T8" i="8" s="1"/>
  <c r="T10" i="8" s="1"/>
  <c r="HD104" i="7"/>
  <c r="HD112" i="7" s="1"/>
  <c r="HD120" i="7" s="1"/>
  <c r="T19" i="8" s="1"/>
  <c r="T21" i="8" s="1"/>
  <c r="HD105" i="7"/>
  <c r="HD113" i="7" s="1"/>
  <c r="HD121" i="7" s="1"/>
  <c r="T30" i="8" s="1"/>
  <c r="T32" i="8" s="1"/>
  <c r="HD107" i="7"/>
  <c r="HD115" i="7" s="1"/>
  <c r="HD123" i="7" s="1"/>
  <c r="T52" i="8" s="1"/>
  <c r="T54" i="8" s="1"/>
  <c r="HG53" i="7"/>
  <c r="HH49" i="7" s="1"/>
  <c r="HH50" i="7" s="1"/>
  <c r="HH51" i="7" s="1"/>
  <c r="HG37" i="7"/>
  <c r="HH33" i="7" s="1"/>
  <c r="HH34" i="7" s="1"/>
  <c r="HH35" i="7" s="1"/>
  <c r="HG45" i="7"/>
  <c r="HH41" i="7" s="1"/>
  <c r="HH42" i="7" s="1"/>
  <c r="HH43" i="7" s="1"/>
  <c r="HG61" i="7"/>
  <c r="HH57" i="7" s="1"/>
  <c r="HH58" i="7" s="1"/>
  <c r="HH59" i="7" s="1"/>
  <c r="HG29" i="7"/>
  <c r="HH25" i="7" s="1"/>
  <c r="HF70" i="7"/>
  <c r="HF83" i="7" s="1"/>
  <c r="HF88" i="7" s="1"/>
  <c r="HF89" i="7" s="1"/>
  <c r="HF77" i="7"/>
  <c r="KZ64" i="5"/>
  <c r="KZ78" i="5" s="1"/>
  <c r="LB23" i="7" s="1"/>
  <c r="KZ50" i="5"/>
  <c r="LA43" i="5" s="1"/>
  <c r="HG54" i="7" l="1"/>
  <c r="HG55" i="7" s="1"/>
  <c r="HH26" i="7"/>
  <c r="HH27" i="7" s="1"/>
  <c r="HG30" i="7"/>
  <c r="HG31" i="7" s="1"/>
  <c r="HE96" i="7"/>
  <c r="HE93" i="7"/>
  <c r="HE94" i="7"/>
  <c r="HE95" i="7"/>
  <c r="HE100" i="7"/>
  <c r="HG65" i="7"/>
  <c r="HG68" i="7"/>
  <c r="HG38" i="7"/>
  <c r="HG39" i="7" s="1"/>
  <c r="HF81" i="7"/>
  <c r="HF82" i="7"/>
  <c r="HF80" i="7"/>
  <c r="HF78" i="7"/>
  <c r="HF79" i="7"/>
  <c r="HF85" i="7"/>
  <c r="HG46" i="7"/>
  <c r="HG47" i="7" s="1"/>
  <c r="HG62" i="7"/>
  <c r="HG63" i="7" s="1"/>
  <c r="HG73" i="7"/>
  <c r="LA63" i="5"/>
  <c r="LB87" i="7"/>
  <c r="HG69" i="7" l="1"/>
  <c r="HH67" i="7" s="1"/>
  <c r="HH52" i="7"/>
  <c r="HH28" i="7"/>
  <c r="HH60" i="7"/>
  <c r="HH44" i="7"/>
  <c r="HH36" i="7"/>
  <c r="HF98" i="7"/>
  <c r="HE102" i="7"/>
  <c r="HE108" i="7"/>
  <c r="HE116" i="7" s="1"/>
  <c r="HG74" i="7"/>
  <c r="HG75" i="7" s="1"/>
  <c r="LA50" i="5"/>
  <c r="LB43" i="5" s="1"/>
  <c r="LA64" i="5"/>
  <c r="LA78" i="5" s="1"/>
  <c r="LC23" i="7" s="1"/>
  <c r="HG70" i="7" l="1"/>
  <c r="HH72" i="7"/>
  <c r="HG77" i="7"/>
  <c r="HG82" i="7" s="1"/>
  <c r="HF90" i="7"/>
  <c r="HF92" i="7"/>
  <c r="HG83" i="7"/>
  <c r="HG88" i="7" s="1"/>
  <c r="HG89" i="7" s="1"/>
  <c r="HE104" i="7"/>
  <c r="HE112" i="7" s="1"/>
  <c r="HE120" i="7" s="1"/>
  <c r="HE103" i="7"/>
  <c r="HE111" i="7" s="1"/>
  <c r="HE119" i="7" s="1"/>
  <c r="HE106" i="7"/>
  <c r="HE114" i="7" s="1"/>
  <c r="HE122" i="7" s="1"/>
  <c r="HE105" i="7"/>
  <c r="HE113" i="7" s="1"/>
  <c r="HE121" i="7" s="1"/>
  <c r="HE107" i="7"/>
  <c r="HE115" i="7" s="1"/>
  <c r="HE123" i="7" s="1"/>
  <c r="HH45" i="7"/>
  <c r="HI41" i="7" s="1"/>
  <c r="HI42" i="7" s="1"/>
  <c r="HI43" i="7" s="1"/>
  <c r="HH61" i="7"/>
  <c r="HI57" i="7" s="1"/>
  <c r="HI58" i="7" s="1"/>
  <c r="HI59" i="7" s="1"/>
  <c r="HH29" i="7"/>
  <c r="HI25" i="7" s="1"/>
  <c r="HH37" i="7"/>
  <c r="HI33" i="7" s="1"/>
  <c r="HI34" i="7" s="1"/>
  <c r="HI35" i="7" s="1"/>
  <c r="HH53" i="7"/>
  <c r="HI49" i="7" s="1"/>
  <c r="HI50" i="7" s="1"/>
  <c r="HI51" i="7" s="1"/>
  <c r="LB63" i="5"/>
  <c r="LC87" i="7"/>
  <c r="HH62" i="7" l="1"/>
  <c r="HH63" i="7" s="1"/>
  <c r="HG81" i="7"/>
  <c r="HG80" i="7"/>
  <c r="HG79" i="7"/>
  <c r="HG78" i="7"/>
  <c r="HH54" i="7"/>
  <c r="HH55" i="7" s="1"/>
  <c r="HF94" i="7"/>
  <c r="HF96" i="7"/>
  <c r="HF93" i="7"/>
  <c r="HF95" i="7"/>
  <c r="HF100" i="7"/>
  <c r="HH30" i="7"/>
  <c r="HH31" i="7" s="1"/>
  <c r="HH38" i="7"/>
  <c r="HH39" i="7" s="1"/>
  <c r="HH73" i="7"/>
  <c r="HH46" i="7"/>
  <c r="HH47" i="7" s="1"/>
  <c r="HH68" i="7"/>
  <c r="HG85" i="7"/>
  <c r="HI26" i="7"/>
  <c r="HI27" i="7" s="1"/>
  <c r="HH65" i="7"/>
  <c r="LB50" i="5"/>
  <c r="LC43" i="5" s="1"/>
  <c r="LB64" i="5"/>
  <c r="LB78" i="5" s="1"/>
  <c r="LD23" i="7" s="1"/>
  <c r="HH74" i="7" l="1"/>
  <c r="HH75" i="7" s="1"/>
  <c r="HG98" i="7"/>
  <c r="HH69" i="7"/>
  <c r="HI67" i="7" s="1"/>
  <c r="HI60" i="7"/>
  <c r="HI28" i="7"/>
  <c r="HI36" i="7"/>
  <c r="HI44" i="7"/>
  <c r="HI52" i="7"/>
  <c r="HF108" i="7"/>
  <c r="HF116" i="7" s="1"/>
  <c r="HF102" i="7"/>
  <c r="LD87" i="7"/>
  <c r="LC63" i="5"/>
  <c r="HF107" i="7" l="1"/>
  <c r="HF115" i="7" s="1"/>
  <c r="HF123" i="7" s="1"/>
  <c r="HF104" i="7"/>
  <c r="HF112" i="7" s="1"/>
  <c r="HF120" i="7" s="1"/>
  <c r="HF106" i="7"/>
  <c r="HF114" i="7" s="1"/>
  <c r="HF122" i="7" s="1"/>
  <c r="HF105" i="7"/>
  <c r="HF113" i="7" s="1"/>
  <c r="HF121" i="7" s="1"/>
  <c r="HF103" i="7"/>
  <c r="HF111" i="7" s="1"/>
  <c r="HF119" i="7" s="1"/>
  <c r="HG90" i="7"/>
  <c r="HG92" i="7"/>
  <c r="HH70" i="7"/>
  <c r="HH83" i="7" s="1"/>
  <c r="HH88" i="7" s="1"/>
  <c r="HH89" i="7" s="1"/>
  <c r="HH77" i="7"/>
  <c r="HI53" i="7"/>
  <c r="HJ49" i="7" s="1"/>
  <c r="HJ50" i="7" s="1"/>
  <c r="HJ51" i="7" s="1"/>
  <c r="HI29" i="7"/>
  <c r="HJ25" i="7" s="1"/>
  <c r="HI37" i="7"/>
  <c r="HJ33" i="7" s="1"/>
  <c r="HJ34" i="7" s="1"/>
  <c r="HJ35" i="7" s="1"/>
  <c r="HI45" i="7"/>
  <c r="HJ41" i="7" s="1"/>
  <c r="HJ42" i="7" s="1"/>
  <c r="HJ43" i="7" s="1"/>
  <c r="HI61" i="7"/>
  <c r="HJ57" i="7" s="1"/>
  <c r="HJ58" i="7" s="1"/>
  <c r="HJ59" i="7" s="1"/>
  <c r="HI72" i="7"/>
  <c r="LC50" i="5"/>
  <c r="LD43" i="5" s="1"/>
  <c r="LC64" i="5"/>
  <c r="LC78" i="5" s="1"/>
  <c r="LE23" i="7" s="1"/>
  <c r="HI38" i="7" l="1"/>
  <c r="HI39" i="7" s="1"/>
  <c r="HI30" i="7"/>
  <c r="HI31" i="7" s="1"/>
  <c r="HI65" i="7"/>
  <c r="HH82" i="7"/>
  <c r="HH81" i="7"/>
  <c r="HH80" i="7"/>
  <c r="HH78" i="7"/>
  <c r="HH79" i="7"/>
  <c r="HH85" i="7"/>
  <c r="HI73" i="7"/>
  <c r="HI62" i="7"/>
  <c r="HI68" i="7"/>
  <c r="HG95" i="7"/>
  <c r="HG93" i="7"/>
  <c r="HG96" i="7"/>
  <c r="HG94" i="7"/>
  <c r="HG100" i="7"/>
  <c r="HJ26" i="7"/>
  <c r="HJ27" i="7" s="1"/>
  <c r="HI46" i="7"/>
  <c r="HI47" i="7" s="1"/>
  <c r="HI54" i="7"/>
  <c r="HI55" i="7" s="1"/>
  <c r="LE87" i="7"/>
  <c r="LD63" i="5"/>
  <c r="HI69" i="7" l="1"/>
  <c r="HJ67" i="7" s="1"/>
  <c r="HI74" i="7"/>
  <c r="HI75" i="7" s="1"/>
  <c r="HH98" i="7"/>
  <c r="HG108" i="7"/>
  <c r="HG116" i="7" s="1"/>
  <c r="HG102" i="7"/>
  <c r="HI63" i="7"/>
  <c r="HJ28" i="7"/>
  <c r="HJ36" i="7"/>
  <c r="HJ52" i="7"/>
  <c r="HJ44" i="7"/>
  <c r="HJ60" i="7"/>
  <c r="LD50" i="5"/>
  <c r="LE43" i="5" s="1"/>
  <c r="LD64" i="5"/>
  <c r="LD78" i="5" s="1"/>
  <c r="LF23" i="7" s="1"/>
  <c r="HI70" i="7" l="1"/>
  <c r="HI83" i="7" s="1"/>
  <c r="HI88" i="7" s="1"/>
  <c r="HI89" i="7" s="1"/>
  <c r="HI77" i="7"/>
  <c r="HI78" i="7" s="1"/>
  <c r="HJ72" i="7"/>
  <c r="HG107" i="7"/>
  <c r="HG115" i="7" s="1"/>
  <c r="HG123" i="7" s="1"/>
  <c r="HG105" i="7"/>
  <c r="HG113" i="7" s="1"/>
  <c r="HG121" i="7" s="1"/>
  <c r="HG106" i="7"/>
  <c r="HG114" i="7" s="1"/>
  <c r="HG122" i="7" s="1"/>
  <c r="HG104" i="7"/>
  <c r="HG112" i="7" s="1"/>
  <c r="HG120" i="7" s="1"/>
  <c r="HG103" i="7"/>
  <c r="HG111" i="7" s="1"/>
  <c r="HG119" i="7" s="1"/>
  <c r="HJ53" i="7"/>
  <c r="HK49" i="7" s="1"/>
  <c r="HK50" i="7" s="1"/>
  <c r="HK51" i="7" s="1"/>
  <c r="HJ37" i="7"/>
  <c r="HK33" i="7" s="1"/>
  <c r="HK34" i="7" s="1"/>
  <c r="HK35" i="7" s="1"/>
  <c r="HJ45" i="7"/>
  <c r="HK41" i="7" s="1"/>
  <c r="HK42" i="7" s="1"/>
  <c r="HK43" i="7" s="1"/>
  <c r="HJ29" i="7"/>
  <c r="HK25" i="7" s="1"/>
  <c r="HJ61" i="7"/>
  <c r="HK57" i="7" s="1"/>
  <c r="HK58" i="7" s="1"/>
  <c r="HK59" i="7" s="1"/>
  <c r="HH92" i="7"/>
  <c r="HH90" i="7"/>
  <c r="LF87" i="7"/>
  <c r="LE63" i="5"/>
  <c r="HI79" i="7" l="1"/>
  <c r="HI81" i="7"/>
  <c r="HI85" i="7"/>
  <c r="HI98" i="7" s="1"/>
  <c r="HI82" i="7"/>
  <c r="HI80" i="7"/>
  <c r="HJ54" i="7"/>
  <c r="HJ55" i="7" s="1"/>
  <c r="HJ68" i="7"/>
  <c r="HJ46" i="7"/>
  <c r="HJ47" i="7" s="1"/>
  <c r="HJ30" i="7"/>
  <c r="HJ31" i="7" s="1"/>
  <c r="HJ62" i="7"/>
  <c r="HJ65" i="7"/>
  <c r="HJ73" i="7"/>
  <c r="HH95" i="7"/>
  <c r="HH93" i="7"/>
  <c r="HH96" i="7"/>
  <c r="HH94" i="7"/>
  <c r="HH100" i="7"/>
  <c r="HK26" i="7"/>
  <c r="HK27" i="7" s="1"/>
  <c r="HJ38" i="7"/>
  <c r="HJ39" i="7" s="1"/>
  <c r="LE50" i="5"/>
  <c r="LF43" i="5" s="1"/>
  <c r="LE64" i="5"/>
  <c r="LE78" i="5" s="1"/>
  <c r="LG23" i="7" s="1"/>
  <c r="HK52" i="7" l="1"/>
  <c r="HK44" i="7"/>
  <c r="HK36" i="7"/>
  <c r="HK28" i="7"/>
  <c r="HK60" i="7"/>
  <c r="HJ74" i="7"/>
  <c r="HJ75" i="7" s="1"/>
  <c r="HJ63" i="7"/>
  <c r="HI92" i="7"/>
  <c r="HI90" i="7"/>
  <c r="HH108" i="7"/>
  <c r="HH116" i="7" s="1"/>
  <c r="HH102" i="7"/>
  <c r="HJ69" i="7"/>
  <c r="LF63" i="5"/>
  <c r="LG87" i="7"/>
  <c r="HH107" i="7" l="1"/>
  <c r="HH115" i="7" s="1"/>
  <c r="HH123" i="7" s="1"/>
  <c r="HH103" i="7"/>
  <c r="HH111" i="7" s="1"/>
  <c r="HH119" i="7" s="1"/>
  <c r="HH105" i="7"/>
  <c r="HH113" i="7" s="1"/>
  <c r="HH121" i="7" s="1"/>
  <c r="HH106" i="7"/>
  <c r="HH114" i="7" s="1"/>
  <c r="HH122" i="7" s="1"/>
  <c r="HH104" i="7"/>
  <c r="HH112" i="7" s="1"/>
  <c r="HH120" i="7" s="1"/>
  <c r="HK72" i="7"/>
  <c r="HJ70" i="7"/>
  <c r="HJ83" i="7" s="1"/>
  <c r="HJ88" i="7" s="1"/>
  <c r="HJ89" i="7" s="1"/>
  <c r="HJ77" i="7"/>
  <c r="HK67" i="7"/>
  <c r="HI94" i="7"/>
  <c r="HI96" i="7"/>
  <c r="HI95" i="7"/>
  <c r="HI93" i="7"/>
  <c r="HI100" i="7"/>
  <c r="HK29" i="7"/>
  <c r="HL25" i="7" s="1"/>
  <c r="HK61" i="7"/>
  <c r="HL57" i="7" s="1"/>
  <c r="HL58" i="7" s="1"/>
  <c r="HL59" i="7" s="1"/>
  <c r="HK45" i="7"/>
  <c r="HL41" i="7" s="1"/>
  <c r="HL42" i="7" s="1"/>
  <c r="HL43" i="7" s="1"/>
  <c r="HK37" i="7"/>
  <c r="HL33" i="7" s="1"/>
  <c r="HL34" i="7" s="1"/>
  <c r="HL35" i="7" s="1"/>
  <c r="HK53" i="7"/>
  <c r="HL49" i="7" s="1"/>
  <c r="HL50" i="7" s="1"/>
  <c r="HL51" i="7" s="1"/>
  <c r="LF50" i="5"/>
  <c r="LG43" i="5" s="1"/>
  <c r="LF64" i="5"/>
  <c r="LF78" i="5" s="1"/>
  <c r="LH23" i="7" s="1"/>
  <c r="HK62" i="7" l="1"/>
  <c r="HK63" i="7" s="1"/>
  <c r="HK54" i="7"/>
  <c r="HK55" i="7" s="1"/>
  <c r="HI108" i="7"/>
  <c r="HI116" i="7" s="1"/>
  <c r="HI102" i="7"/>
  <c r="HK65" i="7"/>
  <c r="HK30" i="7"/>
  <c r="HK31" i="7" s="1"/>
  <c r="HJ80" i="7"/>
  <c r="HJ79" i="7"/>
  <c r="HJ78" i="7"/>
  <c r="HJ82" i="7"/>
  <c r="HJ81" i="7"/>
  <c r="HJ85" i="7"/>
  <c r="HL26" i="7"/>
  <c r="HL27" i="7" s="1"/>
  <c r="HK38" i="7"/>
  <c r="HK39" i="7" s="1"/>
  <c r="HK68" i="7"/>
  <c r="HK46" i="7"/>
  <c r="HK47" i="7" s="1"/>
  <c r="HK73" i="7"/>
  <c r="LH87" i="7"/>
  <c r="LG63" i="5"/>
  <c r="HK74" i="7" l="1"/>
  <c r="HK75" i="7" s="1"/>
  <c r="HK69" i="7"/>
  <c r="HL67" i="7" s="1"/>
  <c r="HI106" i="7"/>
  <c r="HI114" i="7" s="1"/>
  <c r="HI122" i="7" s="1"/>
  <c r="HI103" i="7"/>
  <c r="HI111" i="7" s="1"/>
  <c r="HI119" i="7" s="1"/>
  <c r="HI105" i="7"/>
  <c r="HI113" i="7" s="1"/>
  <c r="HI121" i="7" s="1"/>
  <c r="HI104" i="7"/>
  <c r="HI112" i="7" s="1"/>
  <c r="HI120" i="7" s="1"/>
  <c r="HI107" i="7"/>
  <c r="HI115" i="7" s="1"/>
  <c r="HI123" i="7" s="1"/>
  <c r="HJ98" i="7"/>
  <c r="HL28" i="7"/>
  <c r="HL44" i="7"/>
  <c r="HL36" i="7"/>
  <c r="HL52" i="7"/>
  <c r="HL60" i="7"/>
  <c r="LG50" i="5"/>
  <c r="LH43" i="5" s="1"/>
  <c r="LG64" i="5"/>
  <c r="LG78" i="5" s="1"/>
  <c r="LI23" i="7" s="1"/>
  <c r="HL72" i="7" l="1"/>
  <c r="HK77" i="7"/>
  <c r="HK82" i="7" s="1"/>
  <c r="HK70" i="7"/>
  <c r="HK83" i="7" s="1"/>
  <c r="HK88" i="7" s="1"/>
  <c r="HK89" i="7" s="1"/>
  <c r="HL45" i="7"/>
  <c r="HM41" i="7" s="1"/>
  <c r="HM42" i="7" s="1"/>
  <c r="HM43" i="7" s="1"/>
  <c r="HL37" i="7"/>
  <c r="HM33" i="7" s="1"/>
  <c r="HM34" i="7" s="1"/>
  <c r="HM35" i="7" s="1"/>
  <c r="HL61" i="7"/>
  <c r="HM57" i="7" s="1"/>
  <c r="HM58" i="7" s="1"/>
  <c r="HM59" i="7" s="1"/>
  <c r="HL53" i="7"/>
  <c r="HM49" i="7" s="1"/>
  <c r="HM50" i="7" s="1"/>
  <c r="HM51" i="7" s="1"/>
  <c r="HL29" i="7"/>
  <c r="HM25" i="7" s="1"/>
  <c r="HJ90" i="7"/>
  <c r="HJ92" i="7"/>
  <c r="LI87" i="7"/>
  <c r="LH63" i="5"/>
  <c r="HK78" i="7" l="1"/>
  <c r="HK80" i="7"/>
  <c r="HK81" i="7"/>
  <c r="HK79" i="7"/>
  <c r="HK85" i="7"/>
  <c r="HL62" i="7"/>
  <c r="HL63" i="7" s="1"/>
  <c r="HL46" i="7"/>
  <c r="HL47" i="7" s="1"/>
  <c r="HL38" i="7"/>
  <c r="HL39" i="7" s="1"/>
  <c r="HL65" i="7"/>
  <c r="HL68" i="7"/>
  <c r="HM26" i="7"/>
  <c r="HM27" i="7" s="1"/>
  <c r="HL73" i="7"/>
  <c r="HL30" i="7"/>
  <c r="HL31" i="7" s="1"/>
  <c r="HL54" i="7"/>
  <c r="HL55" i="7" s="1"/>
  <c r="HK98" i="7"/>
  <c r="HJ94" i="7"/>
  <c r="HJ95" i="7"/>
  <c r="HJ93" i="7"/>
  <c r="HJ96" i="7"/>
  <c r="HJ100" i="7"/>
  <c r="LH50" i="5"/>
  <c r="LI43" i="5" s="1"/>
  <c r="LH64" i="5"/>
  <c r="LH78" i="5" s="1"/>
  <c r="LJ23" i="7" s="1"/>
  <c r="HL69" i="7" l="1"/>
  <c r="HM67" i="7" s="1"/>
  <c r="HK92" i="7"/>
  <c r="HK90" i="7"/>
  <c r="HM44" i="7"/>
  <c r="HM52" i="7"/>
  <c r="HM60" i="7"/>
  <c r="HM36" i="7"/>
  <c r="HM28" i="7"/>
  <c r="HL70" i="7"/>
  <c r="HL74" i="7"/>
  <c r="HL75" i="7" s="1"/>
  <c r="HJ108" i="7"/>
  <c r="HJ116" i="7" s="1"/>
  <c r="HJ102" i="7"/>
  <c r="LI63" i="5"/>
  <c r="LJ87" i="7"/>
  <c r="HM72" i="7" l="1"/>
  <c r="HM53" i="7"/>
  <c r="HN49" i="7" s="1"/>
  <c r="HN50" i="7" s="1"/>
  <c r="HN51" i="7" s="1"/>
  <c r="HM61" i="7"/>
  <c r="HN57" i="7" s="1"/>
  <c r="HN58" i="7" s="1"/>
  <c r="HN59" i="7" s="1"/>
  <c r="HM37" i="7"/>
  <c r="HN33" i="7" s="1"/>
  <c r="HN34" i="7" s="1"/>
  <c r="HN35" i="7" s="1"/>
  <c r="HM45" i="7"/>
  <c r="HN41" i="7" s="1"/>
  <c r="HN42" i="7" s="1"/>
  <c r="HN43" i="7" s="1"/>
  <c r="HM29" i="7"/>
  <c r="HN25" i="7" s="1"/>
  <c r="HJ104" i="7"/>
  <c r="HJ112" i="7" s="1"/>
  <c r="HJ120" i="7" s="1"/>
  <c r="HJ107" i="7"/>
  <c r="HJ115" i="7" s="1"/>
  <c r="HJ123" i="7" s="1"/>
  <c r="HJ106" i="7"/>
  <c r="HJ114" i="7" s="1"/>
  <c r="HJ122" i="7" s="1"/>
  <c r="HJ103" i="7"/>
  <c r="HJ111" i="7" s="1"/>
  <c r="HJ119" i="7" s="1"/>
  <c r="HJ105" i="7"/>
  <c r="HJ113" i="7" s="1"/>
  <c r="HJ121" i="7" s="1"/>
  <c r="HL77" i="7"/>
  <c r="HL83" i="7"/>
  <c r="HL88" i="7" s="1"/>
  <c r="HL89" i="7" s="1"/>
  <c r="HK94" i="7"/>
  <c r="HK95" i="7"/>
  <c r="HK96" i="7"/>
  <c r="HK93" i="7"/>
  <c r="HK100" i="7"/>
  <c r="LI50" i="5"/>
  <c r="LJ43" i="5" s="1"/>
  <c r="LI64" i="5"/>
  <c r="LI78" i="5" s="1"/>
  <c r="LK23" i="7" s="1"/>
  <c r="HM54" i="7" l="1"/>
  <c r="HM55" i="7" s="1"/>
  <c r="HK102" i="7"/>
  <c r="HK108" i="7"/>
  <c r="HK116" i="7" s="1"/>
  <c r="HL80" i="7"/>
  <c r="HL82" i="7"/>
  <c r="HL79" i="7"/>
  <c r="HL81" i="7"/>
  <c r="HL78" i="7"/>
  <c r="HL85" i="7"/>
  <c r="HN26" i="7"/>
  <c r="HN27" i="7" s="1"/>
  <c r="HM68" i="7"/>
  <c r="HM46" i="7"/>
  <c r="HM47" i="7" s="1"/>
  <c r="HM65" i="7"/>
  <c r="HM38" i="7"/>
  <c r="HM39" i="7" s="1"/>
  <c r="HM62" i="7"/>
  <c r="HM30" i="7"/>
  <c r="HM31" i="7" s="1"/>
  <c r="HM73" i="7"/>
  <c r="LK87" i="7"/>
  <c r="LJ63" i="5"/>
  <c r="HM74" i="7" l="1"/>
  <c r="HM75" i="7" s="1"/>
  <c r="HM69" i="7"/>
  <c r="HN36" i="7"/>
  <c r="HN28" i="7"/>
  <c r="HN60" i="7"/>
  <c r="HN44" i="7"/>
  <c r="HN52" i="7"/>
  <c r="HK103" i="7"/>
  <c r="HK111" i="7" s="1"/>
  <c r="HK119" i="7" s="1"/>
  <c r="HK106" i="7"/>
  <c r="HK114" i="7" s="1"/>
  <c r="HK122" i="7" s="1"/>
  <c r="HK104" i="7"/>
  <c r="HK112" i="7" s="1"/>
  <c r="HK120" i="7" s="1"/>
  <c r="HK105" i="7"/>
  <c r="HK113" i="7" s="1"/>
  <c r="HK121" i="7" s="1"/>
  <c r="HK107" i="7"/>
  <c r="HK115" i="7" s="1"/>
  <c r="HK123" i="7" s="1"/>
  <c r="HM63" i="7"/>
  <c r="HL98" i="7"/>
  <c r="LJ64" i="5"/>
  <c r="LJ78" i="5" s="1"/>
  <c r="LL23" i="7" s="1"/>
  <c r="LJ50" i="5"/>
  <c r="LK43" i="5" s="1"/>
  <c r="HN72" i="7" l="1"/>
  <c r="HN61" i="7"/>
  <c r="HO57" i="7" s="1"/>
  <c r="HO58" i="7" s="1"/>
  <c r="HO59" i="7" s="1"/>
  <c r="HN45" i="7"/>
  <c r="HO41" i="7" s="1"/>
  <c r="HO42" i="7" s="1"/>
  <c r="HO43" i="7" s="1"/>
  <c r="HN37" i="7"/>
  <c r="HO33" i="7" s="1"/>
  <c r="HO34" i="7" s="1"/>
  <c r="HO35" i="7" s="1"/>
  <c r="HN29" i="7"/>
  <c r="HO25" i="7" s="1"/>
  <c r="HN53" i="7"/>
  <c r="HO49" i="7" s="1"/>
  <c r="HO50" i="7" s="1"/>
  <c r="HO51" i="7" s="1"/>
  <c r="HN67" i="7"/>
  <c r="HM70" i="7"/>
  <c r="HM83" i="7" s="1"/>
  <c r="HM88" i="7" s="1"/>
  <c r="HM89" i="7" s="1"/>
  <c r="HM77" i="7"/>
  <c r="HL92" i="7"/>
  <c r="HL90" i="7"/>
  <c r="LL87" i="7"/>
  <c r="LK63" i="5"/>
  <c r="HN38" i="7" l="1"/>
  <c r="HN39" i="7" s="1"/>
  <c r="HN46" i="7"/>
  <c r="HN47" i="7" s="1"/>
  <c r="HN73" i="7"/>
  <c r="HN62" i="7"/>
  <c r="HL95" i="7"/>
  <c r="HL96" i="7"/>
  <c r="HL94" i="7"/>
  <c r="HL93" i="7"/>
  <c r="HL100" i="7"/>
  <c r="HN65" i="7"/>
  <c r="HN30" i="7"/>
  <c r="HN31" i="7" s="1"/>
  <c r="HM79" i="7"/>
  <c r="HM81" i="7"/>
  <c r="HM80" i="7"/>
  <c r="HM82" i="7"/>
  <c r="HM78" i="7"/>
  <c r="HM85" i="7"/>
  <c r="HM98" i="7" s="1"/>
  <c r="HN68" i="7"/>
  <c r="HO26" i="7"/>
  <c r="HO27" i="7" s="1"/>
  <c r="HN54" i="7"/>
  <c r="HN55" i="7" s="1"/>
  <c r="LK50" i="5"/>
  <c r="LL43" i="5" s="1"/>
  <c r="LK64" i="5"/>
  <c r="LK78" i="5" s="1"/>
  <c r="LM23" i="7" s="1"/>
  <c r="HN69" i="7" l="1"/>
  <c r="HO67" i="7" s="1"/>
  <c r="HN74" i="7"/>
  <c r="HN75" i="7" s="1"/>
  <c r="HM90" i="7"/>
  <c r="HM92" i="7"/>
  <c r="HM100" i="7" s="1"/>
  <c r="HO28" i="7"/>
  <c r="HO36" i="7"/>
  <c r="HO44" i="7"/>
  <c r="HO60" i="7"/>
  <c r="HO52" i="7"/>
  <c r="HN63" i="7"/>
  <c r="HL108" i="7"/>
  <c r="HL116" i="7" s="1"/>
  <c r="HL102" i="7"/>
  <c r="LM87" i="7"/>
  <c r="LL63" i="5"/>
  <c r="HN70" i="7" l="1"/>
  <c r="HN83" i="7" s="1"/>
  <c r="HN88" i="7" s="1"/>
  <c r="HN89" i="7" s="1"/>
  <c r="HN77" i="7"/>
  <c r="HN78" i="7" s="1"/>
  <c r="HO72" i="7"/>
  <c r="HM94" i="7"/>
  <c r="HM96" i="7"/>
  <c r="HM93" i="7"/>
  <c r="HM95" i="7"/>
  <c r="HM108" i="7"/>
  <c r="HM116" i="7" s="1"/>
  <c r="HM102" i="7"/>
  <c r="HL105" i="7"/>
  <c r="HL113" i="7" s="1"/>
  <c r="HL121" i="7" s="1"/>
  <c r="HL107" i="7"/>
  <c r="HL115" i="7" s="1"/>
  <c r="HL123" i="7" s="1"/>
  <c r="HL104" i="7"/>
  <c r="HL112" i="7" s="1"/>
  <c r="HL120" i="7" s="1"/>
  <c r="HL106" i="7"/>
  <c r="HL114" i="7" s="1"/>
  <c r="HL122" i="7" s="1"/>
  <c r="HL103" i="7"/>
  <c r="HL111" i="7" s="1"/>
  <c r="HL119" i="7" s="1"/>
  <c r="HO61" i="7"/>
  <c r="HO53" i="7"/>
  <c r="HP49" i="7" s="1"/>
  <c r="HP50" i="7" s="1"/>
  <c r="HP51" i="7" s="1"/>
  <c r="HO37" i="7"/>
  <c r="HP33" i="7" s="1"/>
  <c r="HP34" i="7" s="1"/>
  <c r="HP35" i="7" s="1"/>
  <c r="HO29" i="7"/>
  <c r="HP25" i="7" s="1"/>
  <c r="HO45" i="7"/>
  <c r="HP41" i="7" s="1"/>
  <c r="HP42" i="7" s="1"/>
  <c r="HP43" i="7" s="1"/>
  <c r="HN82" i="7"/>
  <c r="HN79" i="7"/>
  <c r="LL50" i="5"/>
  <c r="LM43" i="5" s="1"/>
  <c r="LL64" i="5"/>
  <c r="LL78" i="5" s="1"/>
  <c r="LN23" i="7" s="1"/>
  <c r="HN81" i="7" l="1"/>
  <c r="HN80" i="7"/>
  <c r="HN85" i="7"/>
  <c r="HN98" i="7" s="1"/>
  <c r="HO30" i="7"/>
  <c r="HO31" i="7" s="1"/>
  <c r="HO73" i="7"/>
  <c r="HO68" i="7"/>
  <c r="HO54" i="7"/>
  <c r="HO55" i="7" s="1"/>
  <c r="HP57" i="7"/>
  <c r="HP58" i="7" s="1"/>
  <c r="HP59" i="7" s="1"/>
  <c r="HO62" i="7"/>
  <c r="HM105" i="7"/>
  <c r="HM113" i="7" s="1"/>
  <c r="HM121" i="7" s="1"/>
  <c r="HM104" i="7"/>
  <c r="HM112" i="7" s="1"/>
  <c r="HM120" i="7" s="1"/>
  <c r="HM106" i="7"/>
  <c r="HM114" i="7" s="1"/>
  <c r="HM122" i="7" s="1"/>
  <c r="HM107" i="7"/>
  <c r="HM115" i="7" s="1"/>
  <c r="HM123" i="7" s="1"/>
  <c r="HM103" i="7"/>
  <c r="HM111" i="7" s="1"/>
  <c r="HM119" i="7" s="1"/>
  <c r="HP26" i="7"/>
  <c r="HP27" i="7" s="1"/>
  <c r="HO65" i="7"/>
  <c r="HO38" i="7"/>
  <c r="HO39" i="7" s="1"/>
  <c r="HO46" i="7"/>
  <c r="HO47" i="7" s="1"/>
  <c r="LN87" i="7"/>
  <c r="LM63" i="5"/>
  <c r="HO63" i="7" l="1"/>
  <c r="HN92" i="7"/>
  <c r="HN90" i="7"/>
  <c r="HO69" i="7"/>
  <c r="HP36" i="7"/>
  <c r="HP52" i="7"/>
  <c r="HP60" i="7"/>
  <c r="HP44" i="7"/>
  <c r="HP28" i="7"/>
  <c r="HO74" i="7"/>
  <c r="LM50" i="5"/>
  <c r="LN43" i="5" s="1"/>
  <c r="LM64" i="5"/>
  <c r="LM78" i="5" s="1"/>
  <c r="LO23" i="7" s="1"/>
  <c r="HP37" i="7" l="1"/>
  <c r="HQ33" i="7" s="1"/>
  <c r="HQ34" i="7" s="1"/>
  <c r="HQ35" i="7" s="1"/>
  <c r="HP29" i="7"/>
  <c r="HQ25" i="7" s="1"/>
  <c r="HQ26" i="7" s="1"/>
  <c r="HQ27" i="7" s="1"/>
  <c r="HO70" i="7"/>
  <c r="HO77" i="7"/>
  <c r="HO75" i="7"/>
  <c r="HP72" i="7"/>
  <c r="HN93" i="7"/>
  <c r="HN94" i="7"/>
  <c r="HN95" i="7"/>
  <c r="HN96" i="7"/>
  <c r="HN100" i="7"/>
  <c r="HP67" i="7"/>
  <c r="HP61" i="7"/>
  <c r="HQ57" i="7" s="1"/>
  <c r="HQ58" i="7" s="1"/>
  <c r="HQ59" i="7" s="1"/>
  <c r="HP45" i="7"/>
  <c r="HQ41" i="7" s="1"/>
  <c r="HQ42" i="7" s="1"/>
  <c r="HQ43" i="7" s="1"/>
  <c r="HP53" i="7"/>
  <c r="HQ49" i="7" s="1"/>
  <c r="HQ50" i="7" s="1"/>
  <c r="HQ51" i="7" s="1"/>
  <c r="LO87" i="7"/>
  <c r="LN63" i="5"/>
  <c r="HP38" i="7" l="1"/>
  <c r="HP39" i="7" s="1"/>
  <c r="HP30" i="7"/>
  <c r="HP31" i="7" s="1"/>
  <c r="HP73" i="7"/>
  <c r="HP54" i="7"/>
  <c r="HP55" i="7" s="1"/>
  <c r="HP68" i="7"/>
  <c r="HP46" i="7"/>
  <c r="HP47" i="7" s="1"/>
  <c r="HP62" i="7"/>
  <c r="HP63" i="7" s="1"/>
  <c r="HP65" i="7"/>
  <c r="HQ60" i="7"/>
  <c r="HQ44" i="7"/>
  <c r="HQ36" i="7"/>
  <c r="HQ28" i="7"/>
  <c r="HQ52" i="7"/>
  <c r="HO79" i="7"/>
  <c r="HO81" i="7"/>
  <c r="HO78" i="7"/>
  <c r="HO80" i="7"/>
  <c r="HO82" i="7"/>
  <c r="HN108" i="7"/>
  <c r="HN116" i="7" s="1"/>
  <c r="HN102" i="7"/>
  <c r="HO83" i="7"/>
  <c r="HO88" i="7" s="1"/>
  <c r="HO89" i="7" s="1"/>
  <c r="LN50" i="5"/>
  <c r="LO43" i="5" s="1"/>
  <c r="LN64" i="5"/>
  <c r="LN78" i="5" s="1"/>
  <c r="LP23" i="7" s="1"/>
  <c r="HP74" i="7" l="1"/>
  <c r="HP75" i="7" s="1"/>
  <c r="HQ29" i="7"/>
  <c r="HR25" i="7" s="1"/>
  <c r="HR26" i="7" s="1"/>
  <c r="HR27" i="7" s="1"/>
  <c r="HO85" i="7"/>
  <c r="HO98" i="7" s="1"/>
  <c r="HQ61" i="7"/>
  <c r="HR57" i="7" s="1"/>
  <c r="HR58" i="7" s="1"/>
  <c r="HR59" i="7" s="1"/>
  <c r="HP69" i="7"/>
  <c r="HP70" i="7" s="1"/>
  <c r="HQ53" i="7"/>
  <c r="HR49" i="7" s="1"/>
  <c r="HR50" i="7" s="1"/>
  <c r="HR51" i="7" s="1"/>
  <c r="HQ37" i="7"/>
  <c r="HR33" i="7" s="1"/>
  <c r="HR34" i="7" s="1"/>
  <c r="HR35" i="7" s="1"/>
  <c r="HN106" i="7"/>
  <c r="HN114" i="7" s="1"/>
  <c r="HN122" i="7" s="1"/>
  <c r="HN104" i="7"/>
  <c r="HN112" i="7" s="1"/>
  <c r="HN120" i="7" s="1"/>
  <c r="HN107" i="7"/>
  <c r="HN115" i="7" s="1"/>
  <c r="HN123" i="7" s="1"/>
  <c r="HN103" i="7"/>
  <c r="HN111" i="7" s="1"/>
  <c r="HN119" i="7" s="1"/>
  <c r="HN105" i="7"/>
  <c r="HN113" i="7" s="1"/>
  <c r="HN121" i="7" s="1"/>
  <c r="HQ45" i="7"/>
  <c r="HR41" i="7" s="1"/>
  <c r="HR42" i="7" s="1"/>
  <c r="HR43" i="7" s="1"/>
  <c r="LO63" i="5"/>
  <c r="LP87" i="7"/>
  <c r="HQ72" i="7" l="1"/>
  <c r="HQ30" i="7"/>
  <c r="HQ31" i="7" s="1"/>
  <c r="HP83" i="7"/>
  <c r="HP88" i="7" s="1"/>
  <c r="HP89" i="7" s="1"/>
  <c r="HP77" i="7"/>
  <c r="HP82" i="7" s="1"/>
  <c r="HQ67" i="7"/>
  <c r="HQ62" i="7"/>
  <c r="HQ63" i="7" s="1"/>
  <c r="HR60" i="7"/>
  <c r="HR52" i="7"/>
  <c r="HR36" i="7"/>
  <c r="HR44" i="7"/>
  <c r="HR28" i="7"/>
  <c r="HQ65" i="7"/>
  <c r="HQ73" i="7"/>
  <c r="HQ38" i="7"/>
  <c r="HQ39" i="7" s="1"/>
  <c r="HQ46" i="7"/>
  <c r="HQ47" i="7" s="1"/>
  <c r="HO92" i="7"/>
  <c r="HO90" i="7"/>
  <c r="HQ54" i="7"/>
  <c r="HQ55" i="7" s="1"/>
  <c r="HQ68" i="7"/>
  <c r="LO50" i="5"/>
  <c r="LP43" i="5" s="1"/>
  <c r="LO64" i="5"/>
  <c r="LO78" i="5" s="1"/>
  <c r="LQ23" i="7" s="1"/>
  <c r="HP85" i="7" l="1"/>
  <c r="HP78" i="7"/>
  <c r="HP81" i="7"/>
  <c r="HP79" i="7"/>
  <c r="HP80" i="7"/>
  <c r="HR29" i="7"/>
  <c r="HS25" i="7" s="1"/>
  <c r="HS26" i="7" s="1"/>
  <c r="HS27" i="7" s="1"/>
  <c r="HQ69" i="7"/>
  <c r="HR67" i="7" s="1"/>
  <c r="HR61" i="7"/>
  <c r="HS57" i="7" s="1"/>
  <c r="HS58" i="7" s="1"/>
  <c r="HS59" i="7" s="1"/>
  <c r="HP98" i="7"/>
  <c r="HR53" i="7"/>
  <c r="HS49" i="7" s="1"/>
  <c r="HS50" i="7" s="1"/>
  <c r="HS51" i="7" s="1"/>
  <c r="HQ74" i="7"/>
  <c r="HQ75" i="7" s="1"/>
  <c r="HR37" i="7"/>
  <c r="HS33" i="7" s="1"/>
  <c r="HS34" i="7" s="1"/>
  <c r="HS35" i="7" s="1"/>
  <c r="HO94" i="7"/>
  <c r="HO95" i="7"/>
  <c r="HO96" i="7"/>
  <c r="HO93" i="7"/>
  <c r="HO100" i="7"/>
  <c r="HR45" i="7"/>
  <c r="HS41" i="7" s="1"/>
  <c r="HS42" i="7" s="1"/>
  <c r="HS43" i="7" s="1"/>
  <c r="LQ87" i="7"/>
  <c r="LP63" i="5"/>
  <c r="HQ70" i="7" l="1"/>
  <c r="HR30" i="7"/>
  <c r="HR31" i="7" s="1"/>
  <c r="HR62" i="7"/>
  <c r="HR63" i="7" s="1"/>
  <c r="HR54" i="7"/>
  <c r="HR55" i="7" s="1"/>
  <c r="HR38" i="7"/>
  <c r="HR39" i="7" s="1"/>
  <c r="HP90" i="7"/>
  <c r="HP92" i="7"/>
  <c r="HS44" i="7"/>
  <c r="HS52" i="7"/>
  <c r="HS36" i="7"/>
  <c r="HS60" i="7"/>
  <c r="HS28" i="7"/>
  <c r="HQ77" i="7"/>
  <c r="HR46" i="7"/>
  <c r="HR47" i="7" s="1"/>
  <c r="HR68" i="7"/>
  <c r="HR65" i="7"/>
  <c r="HQ83" i="7"/>
  <c r="HQ88" i="7" s="1"/>
  <c r="HQ89" i="7" s="1"/>
  <c r="HO108" i="7"/>
  <c r="HO116" i="7" s="1"/>
  <c r="HO102" i="7"/>
  <c r="HR73" i="7"/>
  <c r="HR72" i="7"/>
  <c r="LP50" i="5"/>
  <c r="LQ43" i="5" s="1"/>
  <c r="LP64" i="5"/>
  <c r="LP78" i="5" s="1"/>
  <c r="LR23" i="7" s="1"/>
  <c r="HR69" i="7" l="1"/>
  <c r="HS67" i="7" s="1"/>
  <c r="HQ81" i="7"/>
  <c r="HQ82" i="7"/>
  <c r="HQ78" i="7"/>
  <c r="HQ79" i="7"/>
  <c r="HQ80" i="7"/>
  <c r="HQ85" i="7"/>
  <c r="HP96" i="7"/>
  <c r="HP95" i="7"/>
  <c r="HP93" i="7"/>
  <c r="HP94" i="7"/>
  <c r="HP100" i="7"/>
  <c r="HS53" i="7"/>
  <c r="HT49" i="7" s="1"/>
  <c r="HT50" i="7" s="1"/>
  <c r="HT51" i="7" s="1"/>
  <c r="HS45" i="7"/>
  <c r="HT41" i="7" s="1"/>
  <c r="HT42" i="7" s="1"/>
  <c r="HT43" i="7" s="1"/>
  <c r="HS37" i="7"/>
  <c r="HT33" i="7" s="1"/>
  <c r="HT34" i="7" s="1"/>
  <c r="HT35" i="7" s="1"/>
  <c r="HS61" i="7"/>
  <c r="HO106" i="7"/>
  <c r="HO114" i="7" s="1"/>
  <c r="HO122" i="7" s="1"/>
  <c r="HO103" i="7"/>
  <c r="HO111" i="7" s="1"/>
  <c r="HO119" i="7" s="1"/>
  <c r="HO104" i="7"/>
  <c r="HO112" i="7" s="1"/>
  <c r="HO120" i="7" s="1"/>
  <c r="HO105" i="7"/>
  <c r="HO113" i="7" s="1"/>
  <c r="HO121" i="7" s="1"/>
  <c r="HO107" i="7"/>
  <c r="HO115" i="7" s="1"/>
  <c r="HO123" i="7" s="1"/>
  <c r="HS29" i="7"/>
  <c r="HT25" i="7" s="1"/>
  <c r="HR74" i="7"/>
  <c r="HR75" i="7" s="1"/>
  <c r="LQ63" i="5"/>
  <c r="LR87" i="7"/>
  <c r="HS46" i="7" l="1"/>
  <c r="HS47" i="7" s="1"/>
  <c r="HS72" i="7"/>
  <c r="HR70" i="7"/>
  <c r="HR83" i="7" s="1"/>
  <c r="HR88" i="7" s="1"/>
  <c r="HR89" i="7" s="1"/>
  <c r="HS68" i="7"/>
  <c r="HS65" i="7"/>
  <c r="HS54" i="7"/>
  <c r="HS55" i="7" s="1"/>
  <c r="HT57" i="7"/>
  <c r="HT58" i="7" s="1"/>
  <c r="HT59" i="7" s="1"/>
  <c r="HS62" i="7"/>
  <c r="HS63" i="7" s="1"/>
  <c r="HQ98" i="7"/>
  <c r="HR77" i="7"/>
  <c r="HP108" i="7"/>
  <c r="HP116" i="7" s="1"/>
  <c r="HP102" i="7"/>
  <c r="HT26" i="7"/>
  <c r="HT27" i="7" s="1"/>
  <c r="HS73" i="7"/>
  <c r="HS30" i="7"/>
  <c r="HS31" i="7" s="1"/>
  <c r="HS38" i="7"/>
  <c r="HS39" i="7" s="1"/>
  <c r="LQ50" i="5"/>
  <c r="LR43" i="5" s="1"/>
  <c r="LQ64" i="5"/>
  <c r="LQ78" i="5" s="1"/>
  <c r="LS23" i="7" s="1"/>
  <c r="HS74" i="7" l="1"/>
  <c r="HS75" i="7" s="1"/>
  <c r="HS69" i="7"/>
  <c r="HS70" i="7" s="1"/>
  <c r="HQ90" i="7"/>
  <c r="HQ92" i="7"/>
  <c r="HR78" i="7"/>
  <c r="HR80" i="7"/>
  <c r="HR79" i="7"/>
  <c r="HR81" i="7"/>
  <c r="HR82" i="7"/>
  <c r="HR85" i="7"/>
  <c r="HP103" i="7"/>
  <c r="HP111" i="7" s="1"/>
  <c r="HP119" i="7" s="1"/>
  <c r="U8" i="8" s="1"/>
  <c r="U10" i="8" s="1"/>
  <c r="HP106" i="7"/>
  <c r="HP114" i="7" s="1"/>
  <c r="HP122" i="7" s="1"/>
  <c r="U41" i="8" s="1"/>
  <c r="U43" i="8" s="1"/>
  <c r="HP107" i="7"/>
  <c r="HP115" i="7" s="1"/>
  <c r="HP123" i="7" s="1"/>
  <c r="U52" i="8" s="1"/>
  <c r="U54" i="8" s="1"/>
  <c r="HP104" i="7"/>
  <c r="HP112" i="7" s="1"/>
  <c r="HP120" i="7" s="1"/>
  <c r="U19" i="8" s="1"/>
  <c r="U21" i="8" s="1"/>
  <c r="HP105" i="7"/>
  <c r="HP113" i="7" s="1"/>
  <c r="HP121" i="7" s="1"/>
  <c r="U30" i="8" s="1"/>
  <c r="U32" i="8" s="1"/>
  <c r="HT36" i="7"/>
  <c r="HT44" i="7"/>
  <c r="HT60" i="7"/>
  <c r="HT28" i="7"/>
  <c r="HT52" i="7"/>
  <c r="LS87" i="7"/>
  <c r="LR63" i="5"/>
  <c r="HS83" i="7" l="1"/>
  <c r="HS88" i="7" s="1"/>
  <c r="HS89" i="7" s="1"/>
  <c r="HT67" i="7"/>
  <c r="HT72" i="7"/>
  <c r="HS77" i="7"/>
  <c r="HS78" i="7" s="1"/>
  <c r="HR98" i="7"/>
  <c r="HT37" i="7"/>
  <c r="HU33" i="7" s="1"/>
  <c r="HU34" i="7" s="1"/>
  <c r="HU35" i="7" s="1"/>
  <c r="HT29" i="7"/>
  <c r="HU25" i="7" s="1"/>
  <c r="HT61" i="7"/>
  <c r="HU57" i="7" s="1"/>
  <c r="HU58" i="7" s="1"/>
  <c r="HU59" i="7" s="1"/>
  <c r="HT53" i="7"/>
  <c r="HU49" i="7" s="1"/>
  <c r="HU50" i="7" s="1"/>
  <c r="HU51" i="7" s="1"/>
  <c r="HQ94" i="7"/>
  <c r="HQ95" i="7"/>
  <c r="HQ93" i="7"/>
  <c r="HQ96" i="7"/>
  <c r="HQ100" i="7"/>
  <c r="HT45" i="7"/>
  <c r="HU41" i="7" s="1"/>
  <c r="HU42" i="7" s="1"/>
  <c r="HU43" i="7" s="1"/>
  <c r="LR50" i="5"/>
  <c r="LS43" i="5" s="1"/>
  <c r="LR64" i="5"/>
  <c r="LR78" i="5" s="1"/>
  <c r="LT23" i="7" s="1"/>
  <c r="HS81" i="7" l="1"/>
  <c r="HS80" i="7"/>
  <c r="HS79" i="7"/>
  <c r="HS82" i="7"/>
  <c r="HS85" i="7"/>
  <c r="HS98" i="7" s="1"/>
  <c r="HT46" i="7"/>
  <c r="HT47" i="7" s="1"/>
  <c r="HT38" i="7"/>
  <c r="HT39" i="7" s="1"/>
  <c r="HT65" i="7"/>
  <c r="HU26" i="7"/>
  <c r="HU27" i="7" s="1"/>
  <c r="HT54" i="7"/>
  <c r="HT55" i="7" s="1"/>
  <c r="HQ102" i="7"/>
  <c r="HQ108" i="7"/>
  <c r="HQ116" i="7" s="1"/>
  <c r="HT68" i="7"/>
  <c r="HT73" i="7"/>
  <c r="HT62" i="7"/>
  <c r="HT30" i="7"/>
  <c r="HT31" i="7" s="1"/>
  <c r="HR92" i="7"/>
  <c r="HR90" i="7"/>
  <c r="LT87" i="7"/>
  <c r="LS63" i="5"/>
  <c r="HT69" i="7" l="1"/>
  <c r="HT74" i="7"/>
  <c r="HT75" i="7" s="1"/>
  <c r="HU60" i="7"/>
  <c r="HU44" i="7"/>
  <c r="HU28" i="7"/>
  <c r="HU52" i="7"/>
  <c r="HU36" i="7"/>
  <c r="HR94" i="7"/>
  <c r="HR96" i="7"/>
  <c r="HR95" i="7"/>
  <c r="HR93" i="7"/>
  <c r="HR100" i="7"/>
  <c r="HQ103" i="7"/>
  <c r="HQ111" i="7" s="1"/>
  <c r="HQ119" i="7" s="1"/>
  <c r="HQ104" i="7"/>
  <c r="HQ112" i="7" s="1"/>
  <c r="HQ120" i="7" s="1"/>
  <c r="HQ106" i="7"/>
  <c r="HQ114" i="7" s="1"/>
  <c r="HQ122" i="7" s="1"/>
  <c r="HQ107" i="7"/>
  <c r="HQ115" i="7" s="1"/>
  <c r="HQ123" i="7" s="1"/>
  <c r="HQ105" i="7"/>
  <c r="HQ113" i="7" s="1"/>
  <c r="HQ121" i="7" s="1"/>
  <c r="HT63" i="7"/>
  <c r="HS92" i="7"/>
  <c r="HS90" i="7"/>
  <c r="LS50" i="5"/>
  <c r="LT43" i="5" s="1"/>
  <c r="LS64" i="5"/>
  <c r="LS78" i="5" s="1"/>
  <c r="LU23" i="7" s="1"/>
  <c r="HU72" i="7" l="1"/>
  <c r="HU37" i="7"/>
  <c r="HV33" i="7" s="1"/>
  <c r="HV34" i="7" s="1"/>
  <c r="HV35" i="7" s="1"/>
  <c r="HU45" i="7"/>
  <c r="HV41" i="7" s="1"/>
  <c r="HV42" i="7" s="1"/>
  <c r="HV43" i="7" s="1"/>
  <c r="HU61" i="7"/>
  <c r="HV57" i="7" s="1"/>
  <c r="HV58" i="7" s="1"/>
  <c r="HV59" i="7" s="1"/>
  <c r="HU53" i="7"/>
  <c r="HV49" i="7" s="1"/>
  <c r="HV50" i="7" s="1"/>
  <c r="HV51" i="7" s="1"/>
  <c r="HU29" i="7"/>
  <c r="HV25" i="7" s="1"/>
  <c r="HT77" i="7"/>
  <c r="HT70" i="7"/>
  <c r="HT83" i="7" s="1"/>
  <c r="HT88" i="7" s="1"/>
  <c r="HT89" i="7" s="1"/>
  <c r="HS93" i="7"/>
  <c r="HS94" i="7"/>
  <c r="HS96" i="7"/>
  <c r="HS95" i="7"/>
  <c r="HS100" i="7"/>
  <c r="HR108" i="7"/>
  <c r="HR116" i="7" s="1"/>
  <c r="HR102" i="7"/>
  <c r="HU67" i="7"/>
  <c r="LU87" i="7"/>
  <c r="LT63" i="5"/>
  <c r="HU54" i="7" l="1"/>
  <c r="HU55" i="7" s="1"/>
  <c r="HU68" i="7"/>
  <c r="HU46" i="7"/>
  <c r="HU47" i="7" s="1"/>
  <c r="HU30" i="7"/>
  <c r="HU31" i="7" s="1"/>
  <c r="HT78" i="7"/>
  <c r="HT82" i="7"/>
  <c r="HT81" i="7"/>
  <c r="HT80" i="7"/>
  <c r="HT79" i="7"/>
  <c r="HT85" i="7"/>
  <c r="HU62" i="7"/>
  <c r="HU63" i="7" s="1"/>
  <c r="HV26" i="7"/>
  <c r="HV27" i="7" s="1"/>
  <c r="HU65" i="7"/>
  <c r="HR104" i="7"/>
  <c r="HR112" i="7" s="1"/>
  <c r="HR120" i="7" s="1"/>
  <c r="HR107" i="7"/>
  <c r="HR115" i="7" s="1"/>
  <c r="HR123" i="7" s="1"/>
  <c r="HR103" i="7"/>
  <c r="HR111" i="7" s="1"/>
  <c r="HR119" i="7" s="1"/>
  <c r="HR105" i="7"/>
  <c r="HR113" i="7" s="1"/>
  <c r="HR121" i="7" s="1"/>
  <c r="HR106" i="7"/>
  <c r="HR114" i="7" s="1"/>
  <c r="HR122" i="7" s="1"/>
  <c r="HU73" i="7"/>
  <c r="HS102" i="7"/>
  <c r="HS108" i="7"/>
  <c r="HS116" i="7" s="1"/>
  <c r="HU38" i="7"/>
  <c r="HU39" i="7" s="1"/>
  <c r="LT50" i="5"/>
  <c r="LU43" i="5" s="1"/>
  <c r="LT64" i="5"/>
  <c r="LT78" i="5" s="1"/>
  <c r="LV23" i="7" s="1"/>
  <c r="HU69" i="7" l="1"/>
  <c r="HV67" i="7" s="1"/>
  <c r="HT98" i="7"/>
  <c r="HS106" i="7"/>
  <c r="HS114" i="7" s="1"/>
  <c r="HS122" i="7" s="1"/>
  <c r="HS107" i="7"/>
  <c r="HS115" i="7" s="1"/>
  <c r="HS123" i="7" s="1"/>
  <c r="HS104" i="7"/>
  <c r="HS112" i="7" s="1"/>
  <c r="HS120" i="7" s="1"/>
  <c r="HS105" i="7"/>
  <c r="HS113" i="7" s="1"/>
  <c r="HS121" i="7" s="1"/>
  <c r="HS103" i="7"/>
  <c r="HS111" i="7" s="1"/>
  <c r="HS119" i="7" s="1"/>
  <c r="HU74" i="7"/>
  <c r="HU75" i="7" s="1"/>
  <c r="HV52" i="7"/>
  <c r="HV36" i="7"/>
  <c r="HV60" i="7"/>
  <c r="HV44" i="7"/>
  <c r="HV28" i="7"/>
  <c r="LV87" i="7"/>
  <c r="LU63" i="5"/>
  <c r="HU70" i="7" l="1"/>
  <c r="HU83" i="7" s="1"/>
  <c r="HU88" i="7" s="1"/>
  <c r="HU89" i="7" s="1"/>
  <c r="HV72" i="7"/>
  <c r="HU77" i="7"/>
  <c r="HT90" i="7"/>
  <c r="HT92" i="7"/>
  <c r="HV45" i="7"/>
  <c r="HW41" i="7" s="1"/>
  <c r="HW42" i="7" s="1"/>
  <c r="HW43" i="7" s="1"/>
  <c r="HV37" i="7"/>
  <c r="HW33" i="7" s="1"/>
  <c r="HW34" i="7" s="1"/>
  <c r="HW35" i="7" s="1"/>
  <c r="HV29" i="7"/>
  <c r="HW25" i="7" s="1"/>
  <c r="HV61" i="7"/>
  <c r="HW57" i="7" s="1"/>
  <c r="HW58" i="7" s="1"/>
  <c r="HW59" i="7" s="1"/>
  <c r="HV53" i="7"/>
  <c r="HW49" i="7" s="1"/>
  <c r="HW50" i="7" s="1"/>
  <c r="HW51" i="7" s="1"/>
  <c r="LU64" i="5"/>
  <c r="LU78" i="5" s="1"/>
  <c r="LW23" i="7" s="1"/>
  <c r="LU50" i="5"/>
  <c r="LV43" i="5" s="1"/>
  <c r="HV30" i="7" l="1"/>
  <c r="HV31" i="7" s="1"/>
  <c r="HV68" i="7"/>
  <c r="HV46" i="7"/>
  <c r="HV47" i="7" s="1"/>
  <c r="HV73" i="7"/>
  <c r="HW26" i="7"/>
  <c r="HW27" i="7" s="1"/>
  <c r="HT95" i="7"/>
  <c r="HT93" i="7"/>
  <c r="HT96" i="7"/>
  <c r="HT94" i="7"/>
  <c r="HT100" i="7"/>
  <c r="HV54" i="7"/>
  <c r="HV55" i="7" s="1"/>
  <c r="HV38" i="7"/>
  <c r="HV39" i="7" s="1"/>
  <c r="HV65" i="7"/>
  <c r="HV69" i="7" s="1"/>
  <c r="HU78" i="7"/>
  <c r="HU80" i="7"/>
  <c r="HU82" i="7"/>
  <c r="HU79" i="7"/>
  <c r="HU81" i="7"/>
  <c r="HU85" i="7"/>
  <c r="HV62" i="7"/>
  <c r="LV63" i="5"/>
  <c r="LW87" i="7"/>
  <c r="HV74" i="7" l="1"/>
  <c r="HV77" i="7" s="1"/>
  <c r="HW67" i="7"/>
  <c r="HV70" i="7"/>
  <c r="HW28" i="7"/>
  <c r="HW60" i="7"/>
  <c r="HW44" i="7"/>
  <c r="HW36" i="7"/>
  <c r="HW52" i="7"/>
  <c r="HV63" i="7"/>
  <c r="HU98" i="7"/>
  <c r="HT108" i="7"/>
  <c r="HT116" i="7" s="1"/>
  <c r="HT102" i="7"/>
  <c r="LV50" i="5"/>
  <c r="LW43" i="5" s="1"/>
  <c r="LV64" i="5"/>
  <c r="LV78" i="5" s="1"/>
  <c r="LX23" i="7" s="1"/>
  <c r="HV75" i="7" l="1"/>
  <c r="HV83" i="7" s="1"/>
  <c r="HW72" i="7"/>
  <c r="HU92" i="7"/>
  <c r="HU90" i="7"/>
  <c r="HV82" i="7"/>
  <c r="HV81" i="7"/>
  <c r="HV79" i="7"/>
  <c r="HV78" i="7"/>
  <c r="HV80" i="7"/>
  <c r="HT103" i="7"/>
  <c r="HT111" i="7" s="1"/>
  <c r="HT119" i="7" s="1"/>
  <c r="HT104" i="7"/>
  <c r="HT112" i="7" s="1"/>
  <c r="HT120" i="7" s="1"/>
  <c r="HT107" i="7"/>
  <c r="HT115" i="7" s="1"/>
  <c r="HT123" i="7" s="1"/>
  <c r="HT105" i="7"/>
  <c r="HT113" i="7" s="1"/>
  <c r="HT121" i="7" s="1"/>
  <c r="HT106" i="7"/>
  <c r="HT114" i="7" s="1"/>
  <c r="HT122" i="7" s="1"/>
  <c r="HW45" i="7"/>
  <c r="HX41" i="7" s="1"/>
  <c r="HX42" i="7" s="1"/>
  <c r="HX43" i="7" s="1"/>
  <c r="HW29" i="7"/>
  <c r="HX25" i="7" s="1"/>
  <c r="HW53" i="7"/>
  <c r="HX49" i="7" s="1"/>
  <c r="HX50" i="7" s="1"/>
  <c r="HX51" i="7" s="1"/>
  <c r="HW61" i="7"/>
  <c r="HW37" i="7"/>
  <c r="HX33" i="7" s="1"/>
  <c r="HX34" i="7" s="1"/>
  <c r="HX35" i="7" s="1"/>
  <c r="LX87" i="7"/>
  <c r="LW63" i="5"/>
  <c r="HV88" i="7" l="1"/>
  <c r="HV89" i="7" s="1"/>
  <c r="HV85" i="7"/>
  <c r="HW30" i="7"/>
  <c r="HW31" i="7" s="1"/>
  <c r="HW68" i="7"/>
  <c r="HW46" i="7"/>
  <c r="HW47" i="7" s="1"/>
  <c r="HW73" i="7"/>
  <c r="HX26" i="7"/>
  <c r="HX27" i="7" s="1"/>
  <c r="HW54" i="7"/>
  <c r="HW55" i="7" s="1"/>
  <c r="HX57" i="7"/>
  <c r="HX58" i="7" s="1"/>
  <c r="HX59" i="7" s="1"/>
  <c r="HW62" i="7"/>
  <c r="HW38" i="7"/>
  <c r="HW39" i="7" s="1"/>
  <c r="HW65" i="7"/>
  <c r="HU96" i="7"/>
  <c r="HU93" i="7"/>
  <c r="HU94" i="7"/>
  <c r="HU95" i="7"/>
  <c r="HU100" i="7"/>
  <c r="LW50" i="5"/>
  <c r="LX43" i="5" s="1"/>
  <c r="LW64" i="5"/>
  <c r="LW78" i="5" s="1"/>
  <c r="LY23" i="7" s="1"/>
  <c r="HW69" i="7" l="1"/>
  <c r="HX67" i="7" s="1"/>
  <c r="HV98" i="7"/>
  <c r="HX60" i="7"/>
  <c r="HX36" i="7"/>
  <c r="HX52" i="7"/>
  <c r="HX44" i="7"/>
  <c r="HX28" i="7"/>
  <c r="HW63" i="7"/>
  <c r="HW74" i="7"/>
  <c r="HW75" i="7" s="1"/>
  <c r="HU108" i="7"/>
  <c r="HU116" i="7" s="1"/>
  <c r="HU102" i="7"/>
  <c r="LY87" i="7"/>
  <c r="LX63" i="5"/>
  <c r="HW70" i="7" l="1"/>
  <c r="HW83" i="7" s="1"/>
  <c r="HW88" i="7" s="1"/>
  <c r="HW89" i="7" s="1"/>
  <c r="HX72" i="7"/>
  <c r="HV90" i="7"/>
  <c r="HV92" i="7"/>
  <c r="HU107" i="7"/>
  <c r="HU115" i="7" s="1"/>
  <c r="HU123" i="7" s="1"/>
  <c r="HU105" i="7"/>
  <c r="HU113" i="7" s="1"/>
  <c r="HU121" i="7" s="1"/>
  <c r="HU104" i="7"/>
  <c r="HU112" i="7" s="1"/>
  <c r="HU120" i="7" s="1"/>
  <c r="HU106" i="7"/>
  <c r="HU114" i="7" s="1"/>
  <c r="HU122" i="7" s="1"/>
  <c r="HU103" i="7"/>
  <c r="HU111" i="7" s="1"/>
  <c r="HU119" i="7" s="1"/>
  <c r="HW77" i="7"/>
  <c r="HX45" i="7"/>
  <c r="HY41" i="7" s="1"/>
  <c r="HY42" i="7" s="1"/>
  <c r="HY43" i="7" s="1"/>
  <c r="HX29" i="7"/>
  <c r="HY25" i="7" s="1"/>
  <c r="HX53" i="7"/>
  <c r="HY49" i="7" s="1"/>
  <c r="HY50" i="7" s="1"/>
  <c r="HY51" i="7" s="1"/>
  <c r="HX61" i="7"/>
  <c r="HX37" i="7"/>
  <c r="HY33" i="7" s="1"/>
  <c r="HY34" i="7" s="1"/>
  <c r="HY35" i="7" s="1"/>
  <c r="LX50" i="5"/>
  <c r="LY43" i="5" s="1"/>
  <c r="LX64" i="5"/>
  <c r="LX78" i="5" s="1"/>
  <c r="LZ23" i="7" s="1"/>
  <c r="HV95" i="7" l="1"/>
  <c r="HV94" i="7"/>
  <c r="HV96" i="7"/>
  <c r="HV93" i="7"/>
  <c r="HV100" i="7"/>
  <c r="HX46" i="7"/>
  <c r="HX47" i="7" s="1"/>
  <c r="HX54" i="7"/>
  <c r="HX55" i="7" s="1"/>
  <c r="HX68" i="7"/>
  <c r="HY57" i="7"/>
  <c r="HY58" i="7" s="1"/>
  <c r="HY59" i="7" s="1"/>
  <c r="HX62" i="7"/>
  <c r="HX73" i="7"/>
  <c r="HY26" i="7"/>
  <c r="HY27" i="7" s="1"/>
  <c r="HX38" i="7"/>
  <c r="HX39" i="7" s="1"/>
  <c r="HX30" i="7"/>
  <c r="HX31" i="7" s="1"/>
  <c r="HW79" i="7"/>
  <c r="HW80" i="7"/>
  <c r="HW81" i="7"/>
  <c r="HW78" i="7"/>
  <c r="HW82" i="7"/>
  <c r="HW85" i="7"/>
  <c r="HX65" i="7"/>
  <c r="LY63" i="5"/>
  <c r="LZ87" i="7"/>
  <c r="HV108" i="7" l="1"/>
  <c r="HV116" i="7" s="1"/>
  <c r="HV102" i="7"/>
  <c r="HX69" i="7"/>
  <c r="HX74" i="7"/>
  <c r="HX75" i="7" s="1"/>
  <c r="HX63" i="7"/>
  <c r="HW98" i="7"/>
  <c r="HY52" i="7"/>
  <c r="HY28" i="7"/>
  <c r="HY36" i="7"/>
  <c r="HY60" i="7"/>
  <c r="HY44" i="7"/>
  <c r="LY64" i="5"/>
  <c r="LY78" i="5" s="1"/>
  <c r="MA23" i="7" s="1"/>
  <c r="LY50" i="5"/>
  <c r="LZ43" i="5" s="1"/>
  <c r="HY61" i="7" l="1"/>
  <c r="HZ57" i="7" s="1"/>
  <c r="HZ58" i="7" s="1"/>
  <c r="HZ59" i="7" s="1"/>
  <c r="HV104" i="7"/>
  <c r="HV112" i="7" s="1"/>
  <c r="HV120" i="7" s="1"/>
  <c r="HV105" i="7"/>
  <c r="HV113" i="7" s="1"/>
  <c r="HV121" i="7" s="1"/>
  <c r="HV106" i="7"/>
  <c r="HV114" i="7" s="1"/>
  <c r="HV122" i="7" s="1"/>
  <c r="HV103" i="7"/>
  <c r="HV111" i="7" s="1"/>
  <c r="HV119" i="7" s="1"/>
  <c r="HV107" i="7"/>
  <c r="HV115" i="7" s="1"/>
  <c r="HV123" i="7" s="1"/>
  <c r="HY72" i="7"/>
  <c r="HY45" i="7"/>
  <c r="HZ41" i="7" s="1"/>
  <c r="HZ42" i="7" s="1"/>
  <c r="HZ43" i="7" s="1"/>
  <c r="HY67" i="7"/>
  <c r="HX70" i="7"/>
  <c r="HX83" i="7" s="1"/>
  <c r="HX88" i="7" s="1"/>
  <c r="HX89" i="7" s="1"/>
  <c r="HX77" i="7"/>
  <c r="HW92" i="7"/>
  <c r="HW90" i="7"/>
  <c r="HY29" i="7"/>
  <c r="HZ25" i="7" s="1"/>
  <c r="HY37" i="7"/>
  <c r="HZ33" i="7" s="1"/>
  <c r="HZ34" i="7" s="1"/>
  <c r="HZ35" i="7" s="1"/>
  <c r="HY53" i="7"/>
  <c r="HZ49" i="7" s="1"/>
  <c r="HZ50" i="7" s="1"/>
  <c r="HZ51" i="7" s="1"/>
  <c r="MA87" i="7"/>
  <c r="LZ63" i="5"/>
  <c r="HY62" i="7" l="1"/>
  <c r="HY63" i="7" s="1"/>
  <c r="HY46" i="7"/>
  <c r="HY47" i="7" s="1"/>
  <c r="HY54" i="7"/>
  <c r="HY55" i="7" s="1"/>
  <c r="HY73" i="7"/>
  <c r="HY30" i="7"/>
  <c r="HY31" i="7" s="1"/>
  <c r="HY65" i="7"/>
  <c r="HW96" i="7"/>
  <c r="HW94" i="7"/>
  <c r="HW95" i="7"/>
  <c r="HW93" i="7"/>
  <c r="HW100" i="7"/>
  <c r="HZ26" i="7"/>
  <c r="HZ27" i="7" s="1"/>
  <c r="HY38" i="7"/>
  <c r="HY39" i="7" s="1"/>
  <c r="HX80" i="7"/>
  <c r="HX78" i="7"/>
  <c r="HX81" i="7"/>
  <c r="HX82" i="7"/>
  <c r="HX79" i="7"/>
  <c r="HX85" i="7"/>
  <c r="HY68" i="7"/>
  <c r="LZ50" i="5"/>
  <c r="MA43" i="5" s="1"/>
  <c r="LZ64" i="5"/>
  <c r="LZ78" i="5" s="1"/>
  <c r="MB23" i="7" s="1"/>
  <c r="HY69" i="7" l="1"/>
  <c r="HY70" i="7" s="1"/>
  <c r="HX98" i="7"/>
  <c r="HZ60" i="7"/>
  <c r="HZ28" i="7"/>
  <c r="HZ52" i="7"/>
  <c r="HZ44" i="7"/>
  <c r="HZ36" i="7"/>
  <c r="HW102" i="7"/>
  <c r="HW108" i="7"/>
  <c r="HW116" i="7" s="1"/>
  <c r="HY74" i="7"/>
  <c r="MB87" i="7"/>
  <c r="MA63" i="5"/>
  <c r="HY77" i="7" l="1"/>
  <c r="HY79" i="7" s="1"/>
  <c r="HZ67" i="7"/>
  <c r="HW104" i="7"/>
  <c r="HW112" i="7" s="1"/>
  <c r="HW120" i="7" s="1"/>
  <c r="HW107" i="7"/>
  <c r="HW115" i="7" s="1"/>
  <c r="HW123" i="7" s="1"/>
  <c r="HW105" i="7"/>
  <c r="HW113" i="7" s="1"/>
  <c r="HW121" i="7" s="1"/>
  <c r="HW106" i="7"/>
  <c r="HW114" i="7" s="1"/>
  <c r="HW122" i="7" s="1"/>
  <c r="HW103" i="7"/>
  <c r="HW111" i="7" s="1"/>
  <c r="HW119" i="7" s="1"/>
  <c r="HX92" i="7"/>
  <c r="HX90" i="7"/>
  <c r="HZ37" i="7"/>
  <c r="IA33" i="7" s="1"/>
  <c r="IA34" i="7" s="1"/>
  <c r="IA35" i="7" s="1"/>
  <c r="HZ45" i="7"/>
  <c r="IA41" i="7" s="1"/>
  <c r="IA42" i="7" s="1"/>
  <c r="IA43" i="7" s="1"/>
  <c r="HZ29" i="7"/>
  <c r="IA25" i="7" s="1"/>
  <c r="HZ61" i="7"/>
  <c r="IA57" i="7" s="1"/>
  <c r="IA58" i="7" s="1"/>
  <c r="IA59" i="7" s="1"/>
  <c r="HZ53" i="7"/>
  <c r="IA49" i="7" s="1"/>
  <c r="IA50" i="7" s="1"/>
  <c r="IA51" i="7" s="1"/>
  <c r="HY75" i="7"/>
  <c r="HY83" i="7" s="1"/>
  <c r="HZ72" i="7"/>
  <c r="MA64" i="5"/>
  <c r="MA78" i="5" s="1"/>
  <c r="MC23" i="7" s="1"/>
  <c r="MA50" i="5"/>
  <c r="MB43" i="5" s="1"/>
  <c r="HY82" i="7" l="1"/>
  <c r="HY78" i="7"/>
  <c r="HY80" i="7"/>
  <c r="HY81" i="7"/>
  <c r="HZ62" i="7"/>
  <c r="HZ63" i="7" s="1"/>
  <c r="HZ46" i="7"/>
  <c r="HZ47" i="7" s="1"/>
  <c r="HZ65" i="7"/>
  <c r="HZ68" i="7"/>
  <c r="HZ54" i="7"/>
  <c r="HZ55" i="7" s="1"/>
  <c r="HZ73" i="7"/>
  <c r="HZ30" i="7"/>
  <c r="HZ31" i="7" s="1"/>
  <c r="HY88" i="7"/>
  <c r="HY89" i="7" s="1"/>
  <c r="HY85" i="7"/>
  <c r="IA26" i="7"/>
  <c r="IA27" i="7" s="1"/>
  <c r="HZ38" i="7"/>
  <c r="HZ39" i="7" s="1"/>
  <c r="HX93" i="7"/>
  <c r="HX96" i="7"/>
  <c r="HX95" i="7"/>
  <c r="HX94" i="7"/>
  <c r="HX100" i="7"/>
  <c r="MB63" i="5"/>
  <c r="MC87" i="7"/>
  <c r="HZ74" i="7" l="1"/>
  <c r="HZ75" i="7" s="1"/>
  <c r="HZ69" i="7"/>
  <c r="HZ70" i="7" s="1"/>
  <c r="IA60" i="7"/>
  <c r="IA52" i="7"/>
  <c r="IA44" i="7"/>
  <c r="IA36" i="7"/>
  <c r="IA28" i="7"/>
  <c r="HY98" i="7"/>
  <c r="HX108" i="7"/>
  <c r="HX116" i="7" s="1"/>
  <c r="HX102" i="7"/>
  <c r="MB50" i="5"/>
  <c r="MC43" i="5" s="1"/>
  <c r="MB64" i="5"/>
  <c r="MB78" i="5" s="1"/>
  <c r="MD23" i="7" s="1"/>
  <c r="IA72" i="7" l="1"/>
  <c r="HZ83" i="7"/>
  <c r="HZ88" i="7" s="1"/>
  <c r="HZ89" i="7" s="1"/>
  <c r="HZ77" i="7"/>
  <c r="HZ79" i="7" s="1"/>
  <c r="IA67" i="7"/>
  <c r="HX105" i="7"/>
  <c r="HX113" i="7" s="1"/>
  <c r="HX121" i="7" s="1"/>
  <c r="HX104" i="7"/>
  <c r="HX112" i="7" s="1"/>
  <c r="HX120" i="7" s="1"/>
  <c r="HX103" i="7"/>
  <c r="HX111" i="7" s="1"/>
  <c r="HX119" i="7" s="1"/>
  <c r="HX106" i="7"/>
  <c r="HX114" i="7" s="1"/>
  <c r="HX122" i="7" s="1"/>
  <c r="HX107" i="7"/>
  <c r="HX115" i="7" s="1"/>
  <c r="HX123" i="7" s="1"/>
  <c r="IA45" i="7"/>
  <c r="IB41" i="7" s="1"/>
  <c r="IB42" i="7" s="1"/>
  <c r="IB43" i="7" s="1"/>
  <c r="IA29" i="7"/>
  <c r="IB25" i="7" s="1"/>
  <c r="IA37" i="7"/>
  <c r="IB33" i="7" s="1"/>
  <c r="IB34" i="7" s="1"/>
  <c r="IB35" i="7" s="1"/>
  <c r="IA53" i="7"/>
  <c r="IB49" i="7" s="1"/>
  <c r="IB50" i="7" s="1"/>
  <c r="IB51" i="7" s="1"/>
  <c r="IA61" i="7"/>
  <c r="IB57" i="7" s="1"/>
  <c r="IB58" i="7" s="1"/>
  <c r="IB59" i="7" s="1"/>
  <c r="HY92" i="7"/>
  <c r="HY90" i="7"/>
  <c r="MC63" i="5"/>
  <c r="MD87" i="7"/>
  <c r="HZ85" i="7" l="1"/>
  <c r="HZ98" i="7" s="1"/>
  <c r="HZ80" i="7"/>
  <c r="HZ81" i="7"/>
  <c r="HZ82" i="7"/>
  <c r="HZ78" i="7"/>
  <c r="IA54" i="7"/>
  <c r="IA55" i="7" s="1"/>
  <c r="IA30" i="7"/>
  <c r="IA31" i="7" s="1"/>
  <c r="IA46" i="7"/>
  <c r="IA47" i="7" s="1"/>
  <c r="IA73" i="7"/>
  <c r="IA38" i="7"/>
  <c r="IA39" i="7" s="1"/>
  <c r="IA68" i="7"/>
  <c r="HY94" i="7"/>
  <c r="HY93" i="7"/>
  <c r="HY96" i="7"/>
  <c r="HY95" i="7"/>
  <c r="HY100" i="7"/>
  <c r="IB26" i="7"/>
  <c r="IB27" i="7" s="1"/>
  <c r="IA62" i="7"/>
  <c r="IA65" i="7"/>
  <c r="MC64" i="5"/>
  <c r="MC78" i="5" s="1"/>
  <c r="ME23" i="7" s="1"/>
  <c r="MC50" i="5"/>
  <c r="MD43" i="5" s="1"/>
  <c r="IA74" i="7" l="1"/>
  <c r="IA75" i="7" s="1"/>
  <c r="HY108" i="7"/>
  <c r="HY116" i="7" s="1"/>
  <c r="HY102" i="7"/>
  <c r="IB60" i="7"/>
  <c r="IB28" i="7"/>
  <c r="IB52" i="7"/>
  <c r="IB36" i="7"/>
  <c r="IB44" i="7"/>
  <c r="IA63" i="7"/>
  <c r="HZ90" i="7"/>
  <c r="HZ92" i="7"/>
  <c r="IA69" i="7"/>
  <c r="IB67" i="7" s="1"/>
  <c r="MD63" i="5"/>
  <c r="ME87" i="7"/>
  <c r="IB72" i="7" l="1"/>
  <c r="HZ93" i="7"/>
  <c r="HZ94" i="7"/>
  <c r="HZ96" i="7"/>
  <c r="HZ95" i="7"/>
  <c r="HZ100" i="7"/>
  <c r="IA77" i="7"/>
  <c r="IA70" i="7"/>
  <c r="IA83" i="7" s="1"/>
  <c r="IA88" i="7" s="1"/>
  <c r="IA89" i="7" s="1"/>
  <c r="IB45" i="7"/>
  <c r="IC41" i="7" s="1"/>
  <c r="IC42" i="7" s="1"/>
  <c r="IC43" i="7" s="1"/>
  <c r="IB61" i="7"/>
  <c r="IC57" i="7" s="1"/>
  <c r="IC58" i="7" s="1"/>
  <c r="IC59" i="7" s="1"/>
  <c r="IB29" i="7"/>
  <c r="IC25" i="7" s="1"/>
  <c r="IB37" i="7"/>
  <c r="IC33" i="7" s="1"/>
  <c r="IC34" i="7" s="1"/>
  <c r="IC35" i="7" s="1"/>
  <c r="IB53" i="7"/>
  <c r="IC49" i="7" s="1"/>
  <c r="IC50" i="7" s="1"/>
  <c r="IC51" i="7" s="1"/>
  <c r="HY106" i="7"/>
  <c r="HY114" i="7" s="1"/>
  <c r="HY122" i="7" s="1"/>
  <c r="HY105" i="7"/>
  <c r="HY113" i="7" s="1"/>
  <c r="HY121" i="7" s="1"/>
  <c r="HY104" i="7"/>
  <c r="HY112" i="7" s="1"/>
  <c r="HY120" i="7" s="1"/>
  <c r="HY107" i="7"/>
  <c r="HY115" i="7" s="1"/>
  <c r="HY123" i="7" s="1"/>
  <c r="HY103" i="7"/>
  <c r="HY111" i="7" s="1"/>
  <c r="HY119" i="7" s="1"/>
  <c r="MD50" i="5"/>
  <c r="ME43" i="5" s="1"/>
  <c r="MD64" i="5"/>
  <c r="MD78" i="5" s="1"/>
  <c r="MF23" i="7" s="1"/>
  <c r="IB65" i="7" l="1"/>
  <c r="IC26" i="7"/>
  <c r="IC27" i="7" s="1"/>
  <c r="IC52" i="7" s="1"/>
  <c r="IB30" i="7"/>
  <c r="IB31" i="7" s="1"/>
  <c r="IB54" i="7"/>
  <c r="IB55" i="7" s="1"/>
  <c r="IB38" i="7"/>
  <c r="IB39" i="7" s="1"/>
  <c r="IB73" i="7"/>
  <c r="IB62" i="7"/>
  <c r="IB63" i="7" s="1"/>
  <c r="IA82" i="7"/>
  <c r="IA81" i="7"/>
  <c r="IA79" i="7"/>
  <c r="IA80" i="7"/>
  <c r="IA78" i="7"/>
  <c r="IA85" i="7"/>
  <c r="IB68" i="7"/>
  <c r="IB69" i="7" s="1"/>
  <c r="IB46" i="7"/>
  <c r="IB47" i="7" s="1"/>
  <c r="HZ108" i="7"/>
  <c r="HZ116" i="7" s="1"/>
  <c r="HZ102" i="7"/>
  <c r="MF87" i="7"/>
  <c r="ME63" i="5"/>
  <c r="IA98" i="7" l="1"/>
  <c r="IB74" i="7"/>
  <c r="IB75" i="7" s="1"/>
  <c r="IC67" i="7"/>
  <c r="IB70" i="7"/>
  <c r="HZ105" i="7"/>
  <c r="HZ113" i="7" s="1"/>
  <c r="HZ121" i="7" s="1"/>
  <c r="HZ104" i="7"/>
  <c r="HZ112" i="7" s="1"/>
  <c r="HZ120" i="7" s="1"/>
  <c r="HZ107" i="7"/>
  <c r="HZ115" i="7" s="1"/>
  <c r="HZ123" i="7" s="1"/>
  <c r="HZ103" i="7"/>
  <c r="HZ111" i="7" s="1"/>
  <c r="HZ119" i="7" s="1"/>
  <c r="HZ106" i="7"/>
  <c r="HZ114" i="7" s="1"/>
  <c r="HZ122" i="7" s="1"/>
  <c r="IC44" i="7"/>
  <c r="IC28" i="7"/>
  <c r="IC60" i="7"/>
  <c r="IC36" i="7"/>
  <c r="ME50" i="5"/>
  <c r="MF43" i="5" s="1"/>
  <c r="ME64" i="5"/>
  <c r="ME78" i="5" s="1"/>
  <c r="MG23" i="7" s="1"/>
  <c r="IC72" i="7" l="1"/>
  <c r="IB77" i="7"/>
  <c r="IC29" i="7"/>
  <c r="ID25" i="7" s="1"/>
  <c r="IC37" i="7"/>
  <c r="ID33" i="7" s="1"/>
  <c r="ID34" i="7" s="1"/>
  <c r="ID35" i="7" s="1"/>
  <c r="IC53" i="7"/>
  <c r="IC45" i="7"/>
  <c r="ID41" i="7" s="1"/>
  <c r="ID42" i="7" s="1"/>
  <c r="ID43" i="7" s="1"/>
  <c r="IC61" i="7"/>
  <c r="ID57" i="7" s="1"/>
  <c r="ID58" i="7" s="1"/>
  <c r="ID59" i="7" s="1"/>
  <c r="IB83" i="7"/>
  <c r="IB88" i="7" s="1"/>
  <c r="IB89" i="7" s="1"/>
  <c r="IA92" i="7"/>
  <c r="IA90" i="7"/>
  <c r="MF63" i="5"/>
  <c r="MG87" i="7"/>
  <c r="IC62" i="7" l="1"/>
  <c r="ID26" i="7"/>
  <c r="ID27" i="7" s="1"/>
  <c r="IA95" i="7"/>
  <c r="IA93" i="7"/>
  <c r="IA94" i="7"/>
  <c r="IA96" i="7"/>
  <c r="IA100" i="7"/>
  <c r="IC30" i="7"/>
  <c r="IC31" i="7" s="1"/>
  <c r="IC63" i="7"/>
  <c r="IC38" i="7"/>
  <c r="IC39" i="7" s="1"/>
  <c r="IB78" i="7"/>
  <c r="IB79" i="7"/>
  <c r="IB80" i="7"/>
  <c r="IB82" i="7"/>
  <c r="IB81" i="7"/>
  <c r="IB85" i="7"/>
  <c r="IC65" i="7"/>
  <c r="IC73" i="7"/>
  <c r="IC68" i="7"/>
  <c r="ID49" i="7"/>
  <c r="ID50" i="7" s="1"/>
  <c r="ID51" i="7" s="1"/>
  <c r="IC54" i="7"/>
  <c r="IC55" i="7" s="1"/>
  <c r="IC46" i="7"/>
  <c r="IC47" i="7" s="1"/>
  <c r="MF50" i="5"/>
  <c r="MG43" i="5" s="1"/>
  <c r="MF64" i="5"/>
  <c r="MF78" i="5" s="1"/>
  <c r="MH23" i="7" s="1"/>
  <c r="IC74" i="7" l="1"/>
  <c r="IC75" i="7" s="1"/>
  <c r="IB98" i="7"/>
  <c r="ID60" i="7"/>
  <c r="ID52" i="7"/>
  <c r="ID44" i="7"/>
  <c r="ID28" i="7"/>
  <c r="ID36" i="7"/>
  <c r="IC69" i="7"/>
  <c r="ID67" i="7" s="1"/>
  <c r="IA108" i="7"/>
  <c r="IA116" i="7" s="1"/>
  <c r="IA102" i="7"/>
  <c r="MH87" i="7"/>
  <c r="MG63" i="5"/>
  <c r="ID72" i="7" l="1"/>
  <c r="IA106" i="7"/>
  <c r="IA114" i="7" s="1"/>
  <c r="IA122" i="7" s="1"/>
  <c r="IA105" i="7"/>
  <c r="IA113" i="7" s="1"/>
  <c r="IA121" i="7" s="1"/>
  <c r="IA104" i="7"/>
  <c r="IA112" i="7" s="1"/>
  <c r="IA120" i="7" s="1"/>
  <c r="IA107" i="7"/>
  <c r="IA115" i="7" s="1"/>
  <c r="IA123" i="7" s="1"/>
  <c r="IA103" i="7"/>
  <c r="IA111" i="7" s="1"/>
  <c r="IA119" i="7" s="1"/>
  <c r="IB90" i="7"/>
  <c r="IB92" i="7"/>
  <c r="ID45" i="7"/>
  <c r="IE41" i="7" s="1"/>
  <c r="IE42" i="7" s="1"/>
  <c r="IE43" i="7" s="1"/>
  <c r="IC70" i="7"/>
  <c r="IC83" i="7" s="1"/>
  <c r="IC88" i="7" s="1"/>
  <c r="IC89" i="7" s="1"/>
  <c r="IC77" i="7"/>
  <c r="ID29" i="7"/>
  <c r="IE25" i="7" s="1"/>
  <c r="ID53" i="7"/>
  <c r="IE49" i="7" s="1"/>
  <c r="IE50" i="7" s="1"/>
  <c r="IE51" i="7" s="1"/>
  <c r="ID61" i="7"/>
  <c r="IE57" i="7" s="1"/>
  <c r="IE58" i="7" s="1"/>
  <c r="IE59" i="7" s="1"/>
  <c r="ID37" i="7"/>
  <c r="IE33" i="7" s="1"/>
  <c r="IE34" i="7" s="1"/>
  <c r="IE35" i="7" s="1"/>
  <c r="MG50" i="5"/>
  <c r="MH43" i="5" s="1"/>
  <c r="MG64" i="5"/>
  <c r="MG78" i="5" s="1"/>
  <c r="MI23" i="7" s="1"/>
  <c r="ID30" i="7" l="1"/>
  <c r="ID31" i="7" s="1"/>
  <c r="IB93" i="7"/>
  <c r="IB96" i="7"/>
  <c r="IB94" i="7"/>
  <c r="IB95" i="7"/>
  <c r="IB100" i="7"/>
  <c r="ID68" i="7"/>
  <c r="IC82" i="7"/>
  <c r="IC81" i="7"/>
  <c r="IC78" i="7"/>
  <c r="IC80" i="7"/>
  <c r="IC79" i="7"/>
  <c r="IC85" i="7"/>
  <c r="ID46" i="7"/>
  <c r="ID47" i="7" s="1"/>
  <c r="ID38" i="7"/>
  <c r="ID39" i="7" s="1"/>
  <c r="ID65" i="7"/>
  <c r="ID62" i="7"/>
  <c r="ID73" i="7"/>
  <c r="IE26" i="7"/>
  <c r="IE27" i="7" s="1"/>
  <c r="ID54" i="7"/>
  <c r="ID55" i="7" s="1"/>
  <c r="MH63" i="5"/>
  <c r="MI87" i="7"/>
  <c r="IB108" i="7" l="1"/>
  <c r="IB116" i="7" s="1"/>
  <c r="IB102" i="7"/>
  <c r="IE28" i="7"/>
  <c r="IE44" i="7"/>
  <c r="IE60" i="7"/>
  <c r="IE36" i="7"/>
  <c r="IE52" i="7"/>
  <c r="ID74" i="7"/>
  <c r="ID75" i="7" s="1"/>
  <c r="IC98" i="7"/>
  <c r="ID63" i="7"/>
  <c r="ID69" i="7"/>
  <c r="MH50" i="5"/>
  <c r="MI43" i="5" s="1"/>
  <c r="MH64" i="5"/>
  <c r="MH78" i="5" s="1"/>
  <c r="MJ23" i="7" s="1"/>
  <c r="IE72" i="7" l="1"/>
  <c r="IE67" i="7"/>
  <c r="ID77" i="7"/>
  <c r="ID70" i="7"/>
  <c r="ID83" i="7" s="1"/>
  <c r="ID88" i="7" s="1"/>
  <c r="ID89" i="7" s="1"/>
  <c r="IE29" i="7"/>
  <c r="IF25" i="7" s="1"/>
  <c r="IE61" i="7"/>
  <c r="IE45" i="7"/>
  <c r="IF41" i="7" s="1"/>
  <c r="IF42" i="7" s="1"/>
  <c r="IF43" i="7" s="1"/>
  <c r="IE37" i="7"/>
  <c r="IF33" i="7" s="1"/>
  <c r="IF34" i="7" s="1"/>
  <c r="IF35" i="7" s="1"/>
  <c r="IE53" i="7"/>
  <c r="IF49" i="7" s="1"/>
  <c r="IF50" i="7" s="1"/>
  <c r="IF51" i="7" s="1"/>
  <c r="IB103" i="7"/>
  <c r="IB111" i="7" s="1"/>
  <c r="IB119" i="7" s="1"/>
  <c r="V8" i="8" s="1"/>
  <c r="V10" i="8" s="1"/>
  <c r="IB105" i="7"/>
  <c r="IB113" i="7" s="1"/>
  <c r="IB121" i="7" s="1"/>
  <c r="V30" i="8" s="1"/>
  <c r="V32" i="8" s="1"/>
  <c r="IB104" i="7"/>
  <c r="IB112" i="7" s="1"/>
  <c r="IB120" i="7" s="1"/>
  <c r="V19" i="8" s="1"/>
  <c r="V21" i="8" s="1"/>
  <c r="IB106" i="7"/>
  <c r="IB114" i="7" s="1"/>
  <c r="IB122" i="7" s="1"/>
  <c r="V41" i="8" s="1"/>
  <c r="V43" i="8" s="1"/>
  <c r="IB107" i="7"/>
  <c r="IB115" i="7" s="1"/>
  <c r="IB123" i="7" s="1"/>
  <c r="V52" i="8" s="1"/>
  <c r="V54" i="8" s="1"/>
  <c r="IC92" i="7"/>
  <c r="IC90" i="7"/>
  <c r="MI63" i="5"/>
  <c r="MJ87" i="7"/>
  <c r="IE38" i="7" l="1"/>
  <c r="IE39" i="7" s="1"/>
  <c r="IE65" i="7"/>
  <c r="IE54" i="7"/>
  <c r="IE55" i="7" s="1"/>
  <c r="IE68" i="7"/>
  <c r="IE30" i="7"/>
  <c r="IE31" i="7" s="1"/>
  <c r="IF26" i="7"/>
  <c r="IF27" i="7" s="1"/>
  <c r="IE73" i="7"/>
  <c r="ID78" i="7"/>
  <c r="ID80" i="7"/>
  <c r="ID81" i="7"/>
  <c r="ID79" i="7"/>
  <c r="ID82" i="7"/>
  <c r="ID85" i="7"/>
  <c r="IC96" i="7"/>
  <c r="IC94" i="7"/>
  <c r="IC93" i="7"/>
  <c r="IC95" i="7"/>
  <c r="IC100" i="7"/>
  <c r="IE46" i="7"/>
  <c r="IE47" i="7" s="1"/>
  <c r="IF57" i="7"/>
  <c r="IF58" i="7" s="1"/>
  <c r="IF59" i="7" s="1"/>
  <c r="IE62" i="7"/>
  <c r="MI50" i="5"/>
  <c r="MJ43" i="5" s="1"/>
  <c r="MI64" i="5"/>
  <c r="MI78" i="5" s="1"/>
  <c r="MK23" i="7" s="1"/>
  <c r="IE69" i="7" l="1"/>
  <c r="IF67" i="7" s="1"/>
  <c r="IE63" i="7"/>
  <c r="IC108" i="7"/>
  <c r="IC116" i="7" s="1"/>
  <c r="IC102" i="7"/>
  <c r="ID98" i="7"/>
  <c r="IF60" i="7"/>
  <c r="IF52" i="7"/>
  <c r="IF28" i="7"/>
  <c r="IF36" i="7"/>
  <c r="IF44" i="7"/>
  <c r="IE74" i="7"/>
  <c r="IE75" i="7" s="1"/>
  <c r="MJ63" i="5"/>
  <c r="MK87" i="7"/>
  <c r="IE70" i="7" l="1"/>
  <c r="IF45" i="7"/>
  <c r="IG41" i="7" s="1"/>
  <c r="IG42" i="7" s="1"/>
  <c r="IE77" i="7"/>
  <c r="IE80" i="7" s="1"/>
  <c r="IF53" i="7"/>
  <c r="IG49" i="7" s="1"/>
  <c r="IG50" i="7" s="1"/>
  <c r="IG51" i="7" s="1"/>
  <c r="IF29" i="7"/>
  <c r="IG25" i="7" s="1"/>
  <c r="IF61" i="7"/>
  <c r="IG57" i="7" s="1"/>
  <c r="IG58" i="7" s="1"/>
  <c r="IG59" i="7" s="1"/>
  <c r="IE83" i="7"/>
  <c r="IE88" i="7" s="1"/>
  <c r="IE89" i="7" s="1"/>
  <c r="IC107" i="7"/>
  <c r="IC115" i="7" s="1"/>
  <c r="IC123" i="7" s="1"/>
  <c r="IC103" i="7"/>
  <c r="IC111" i="7" s="1"/>
  <c r="IC119" i="7" s="1"/>
  <c r="IC105" i="7"/>
  <c r="IC113" i="7" s="1"/>
  <c r="IC121" i="7" s="1"/>
  <c r="IC104" i="7"/>
  <c r="IC112" i="7" s="1"/>
  <c r="IC120" i="7" s="1"/>
  <c r="IC106" i="7"/>
  <c r="IC114" i="7" s="1"/>
  <c r="IC122" i="7" s="1"/>
  <c r="IF72" i="7"/>
  <c r="IG43" i="7"/>
  <c r="IF46" i="7"/>
  <c r="IF47" i="7" s="1"/>
  <c r="ID92" i="7"/>
  <c r="ID90" i="7"/>
  <c r="IF37" i="7"/>
  <c r="IG33" i="7" s="1"/>
  <c r="IG34" i="7" s="1"/>
  <c r="IG35" i="7" s="1"/>
  <c r="MJ50" i="5"/>
  <c r="MK43" i="5" s="1"/>
  <c r="MJ64" i="5"/>
  <c r="MJ78" i="5" s="1"/>
  <c r="ML23" i="7" s="1"/>
  <c r="IE79" i="7" l="1"/>
  <c r="IE78" i="7"/>
  <c r="IE81" i="7"/>
  <c r="IE82" i="7"/>
  <c r="IG26" i="7"/>
  <c r="IG27" i="7" s="1"/>
  <c r="IE85" i="7"/>
  <c r="IF68" i="7"/>
  <c r="IF30" i="7"/>
  <c r="IF31" i="7" s="1"/>
  <c r="ID96" i="7"/>
  <c r="ID93" i="7"/>
  <c r="ID95" i="7"/>
  <c r="ID94" i="7"/>
  <c r="ID100" i="7"/>
  <c r="IF54" i="7"/>
  <c r="IF55" i="7" s="1"/>
  <c r="IF73" i="7"/>
  <c r="IF65" i="7"/>
  <c r="IF38" i="7"/>
  <c r="IF39" i="7" s="1"/>
  <c r="IF62" i="7"/>
  <c r="IF63" i="7" s="1"/>
  <c r="MK63" i="5"/>
  <c r="ML87" i="7"/>
  <c r="IF74" i="7" l="1"/>
  <c r="IF75" i="7" s="1"/>
  <c r="IG44" i="7"/>
  <c r="IG28" i="7"/>
  <c r="IG52" i="7"/>
  <c r="IG36" i="7"/>
  <c r="IG60" i="7"/>
  <c r="ID108" i="7"/>
  <c r="ID116" i="7" s="1"/>
  <c r="ID102" i="7"/>
  <c r="IF69" i="7"/>
  <c r="IG67" i="7" s="1"/>
  <c r="IE98" i="7"/>
  <c r="MK64" i="5"/>
  <c r="MK78" i="5" s="1"/>
  <c r="MM23" i="7" s="1"/>
  <c r="MK50" i="5"/>
  <c r="ML43" i="5" s="1"/>
  <c r="IF77" i="7" l="1"/>
  <c r="IF70" i="7"/>
  <c r="IF83" i="7" s="1"/>
  <c r="IF88" i="7" s="1"/>
  <c r="IF89" i="7" s="1"/>
  <c r="IE92" i="7"/>
  <c r="IE90" i="7"/>
  <c r="IG37" i="7"/>
  <c r="IH33" i="7" s="1"/>
  <c r="IH34" i="7" s="1"/>
  <c r="IH35" i="7" s="1"/>
  <c r="IG53" i="7"/>
  <c r="IH49" i="7" s="1"/>
  <c r="IH50" i="7" s="1"/>
  <c r="IH51" i="7" s="1"/>
  <c r="IG61" i="7"/>
  <c r="IH57" i="7" s="1"/>
  <c r="IH58" i="7" s="1"/>
  <c r="IH59" i="7" s="1"/>
  <c r="IG45" i="7"/>
  <c r="IH41" i="7" s="1"/>
  <c r="IH42" i="7" s="1"/>
  <c r="IH43" i="7" s="1"/>
  <c r="IG29" i="7"/>
  <c r="IH25" i="7" s="1"/>
  <c r="ID104" i="7"/>
  <c r="ID112" i="7" s="1"/>
  <c r="ID120" i="7" s="1"/>
  <c r="ID105" i="7"/>
  <c r="ID113" i="7" s="1"/>
  <c r="ID121" i="7" s="1"/>
  <c r="ID103" i="7"/>
  <c r="ID111" i="7" s="1"/>
  <c r="ID119" i="7" s="1"/>
  <c r="ID106" i="7"/>
  <c r="ID114" i="7" s="1"/>
  <c r="ID122" i="7" s="1"/>
  <c r="ID107" i="7"/>
  <c r="ID115" i="7" s="1"/>
  <c r="ID123" i="7" s="1"/>
  <c r="IG72" i="7"/>
  <c r="ML63" i="5"/>
  <c r="MM87" i="7"/>
  <c r="IE94" i="7" l="1"/>
  <c r="IE96" i="7"/>
  <c r="IE95" i="7"/>
  <c r="IE93" i="7"/>
  <c r="IE100" i="7"/>
  <c r="IG65" i="7"/>
  <c r="IG54" i="7"/>
  <c r="IG55" i="7" s="1"/>
  <c r="IG68" i="7"/>
  <c r="IG46" i="7"/>
  <c r="IG47" i="7" s="1"/>
  <c r="IG62" i="7"/>
  <c r="IH26" i="7"/>
  <c r="IH27" i="7" s="1"/>
  <c r="IG73" i="7"/>
  <c r="IF79" i="7"/>
  <c r="IF82" i="7"/>
  <c r="IF80" i="7"/>
  <c r="IF78" i="7"/>
  <c r="IF81" i="7"/>
  <c r="IF85" i="7"/>
  <c r="IG30" i="7"/>
  <c r="IG31" i="7" s="1"/>
  <c r="IG38" i="7"/>
  <c r="IG39" i="7" s="1"/>
  <c r="ML50" i="5"/>
  <c r="MM43" i="5" s="1"/>
  <c r="ML64" i="5"/>
  <c r="ML78" i="5" s="1"/>
  <c r="MN23" i="7" s="1"/>
  <c r="IG69" i="7" l="1"/>
  <c r="IG70" i="7" s="1"/>
  <c r="IG74" i="7"/>
  <c r="IG75" i="7" s="1"/>
  <c r="IG63" i="7"/>
  <c r="IF98" i="7"/>
  <c r="IH60" i="7"/>
  <c r="IH28" i="7"/>
  <c r="IH44" i="7"/>
  <c r="IH52" i="7"/>
  <c r="IH36" i="7"/>
  <c r="IE108" i="7"/>
  <c r="IE116" i="7" s="1"/>
  <c r="IE102" i="7"/>
  <c r="MN87" i="7"/>
  <c r="MM63" i="5"/>
  <c r="IG83" i="7" l="1"/>
  <c r="IG88" i="7" s="1"/>
  <c r="IG89" i="7" s="1"/>
  <c r="IH67" i="7"/>
  <c r="IG77" i="7"/>
  <c r="IG79" i="7" s="1"/>
  <c r="IH72" i="7"/>
  <c r="IF92" i="7"/>
  <c r="IF90" i="7"/>
  <c r="IH29" i="7"/>
  <c r="II25" i="7" s="1"/>
  <c r="IH53" i="7"/>
  <c r="II49" i="7" s="1"/>
  <c r="II50" i="7" s="1"/>
  <c r="II51" i="7" s="1"/>
  <c r="IH61" i="7"/>
  <c r="IH45" i="7"/>
  <c r="II41" i="7" s="1"/>
  <c r="II42" i="7" s="1"/>
  <c r="II43" i="7" s="1"/>
  <c r="IH37" i="7"/>
  <c r="II33" i="7" s="1"/>
  <c r="II34" i="7" s="1"/>
  <c r="II35" i="7" s="1"/>
  <c r="IE105" i="7"/>
  <c r="IE113" i="7" s="1"/>
  <c r="IE121" i="7" s="1"/>
  <c r="IE107" i="7"/>
  <c r="IE115" i="7" s="1"/>
  <c r="IE123" i="7" s="1"/>
  <c r="IE103" i="7"/>
  <c r="IE111" i="7" s="1"/>
  <c r="IE119" i="7" s="1"/>
  <c r="IE104" i="7"/>
  <c r="IE112" i="7" s="1"/>
  <c r="IE120" i="7" s="1"/>
  <c r="IE106" i="7"/>
  <c r="IE114" i="7" s="1"/>
  <c r="IE122" i="7" s="1"/>
  <c r="MM50" i="5"/>
  <c r="MN43" i="5" s="1"/>
  <c r="MM64" i="5"/>
  <c r="MM78" i="5" s="1"/>
  <c r="MO23" i="7" s="1"/>
  <c r="IG82" i="7" l="1"/>
  <c r="IG81" i="7"/>
  <c r="IG85" i="7"/>
  <c r="IG98" i="7" s="1"/>
  <c r="IG90" i="7" s="1"/>
  <c r="IG80" i="7"/>
  <c r="IG78" i="7"/>
  <c r="IH46" i="7"/>
  <c r="IH47" i="7" s="1"/>
  <c r="IH38" i="7"/>
  <c r="IH39" i="7" s="1"/>
  <c r="II26" i="7"/>
  <c r="II27" i="7" s="1"/>
  <c r="IH73" i="7"/>
  <c r="IH30" i="7"/>
  <c r="IH31" i="7" s="1"/>
  <c r="IH54" i="7"/>
  <c r="IH55" i="7" s="1"/>
  <c r="IH65" i="7"/>
  <c r="II57" i="7"/>
  <c r="II58" i="7" s="1"/>
  <c r="II59" i="7" s="1"/>
  <c r="IH62" i="7"/>
  <c r="IF96" i="7"/>
  <c r="IF94" i="7"/>
  <c r="IF93" i="7"/>
  <c r="IF95" i="7"/>
  <c r="IF100" i="7"/>
  <c r="IH68" i="7"/>
  <c r="MO87" i="7"/>
  <c r="MN63" i="5"/>
  <c r="IG92" i="7" l="1"/>
  <c r="IG93" i="7" s="1"/>
  <c r="IH69" i="7"/>
  <c r="II67" i="7" s="1"/>
  <c r="IH74" i="7"/>
  <c r="IH75" i="7" s="1"/>
  <c r="II60" i="7"/>
  <c r="II52" i="7"/>
  <c r="II44" i="7"/>
  <c r="II28" i="7"/>
  <c r="II36" i="7"/>
  <c r="IF108" i="7"/>
  <c r="IF116" i="7" s="1"/>
  <c r="IF102" i="7"/>
  <c r="IH63" i="7"/>
  <c r="MN64" i="5"/>
  <c r="MN78" i="5" s="1"/>
  <c r="MP23" i="7" s="1"/>
  <c r="MN50" i="5"/>
  <c r="MO43" i="5" s="1"/>
  <c r="IG100" i="7" l="1"/>
  <c r="IG94" i="7"/>
  <c r="IG96" i="7"/>
  <c r="IG95" i="7"/>
  <c r="IH70" i="7"/>
  <c r="IH83" i="7" s="1"/>
  <c r="IH88" i="7" s="1"/>
  <c r="IH89" i="7" s="1"/>
  <c r="II29" i="7"/>
  <c r="IJ25" i="7" s="1"/>
  <c r="II61" i="7"/>
  <c r="II53" i="7"/>
  <c r="IJ49" i="7" s="1"/>
  <c r="IJ50" i="7" s="1"/>
  <c r="IJ51" i="7" s="1"/>
  <c r="II45" i="7"/>
  <c r="IJ41" i="7" s="1"/>
  <c r="IJ42" i="7" s="1"/>
  <c r="IJ43" i="7" s="1"/>
  <c r="IF103" i="7"/>
  <c r="IF111" i="7" s="1"/>
  <c r="IF119" i="7" s="1"/>
  <c r="IF104" i="7"/>
  <c r="IF112" i="7" s="1"/>
  <c r="IF120" i="7" s="1"/>
  <c r="IF107" i="7"/>
  <c r="IF115" i="7" s="1"/>
  <c r="IF123" i="7" s="1"/>
  <c r="IF105" i="7"/>
  <c r="IF113" i="7" s="1"/>
  <c r="IF121" i="7" s="1"/>
  <c r="IF106" i="7"/>
  <c r="IF114" i="7" s="1"/>
  <c r="IF122" i="7" s="1"/>
  <c r="IG108" i="7"/>
  <c r="IG116" i="7" s="1"/>
  <c r="IG102" i="7"/>
  <c r="II37" i="7"/>
  <c r="IJ33" i="7" s="1"/>
  <c r="IJ34" i="7" s="1"/>
  <c r="IJ35" i="7" s="1"/>
  <c r="IH77" i="7"/>
  <c r="II72" i="7"/>
  <c r="MO63" i="5"/>
  <c r="MP87" i="7"/>
  <c r="II54" i="7" l="1"/>
  <c r="II55" i="7" s="1"/>
  <c r="II30" i="7"/>
  <c r="II31" i="7" s="1"/>
  <c r="II68" i="7"/>
  <c r="IG105" i="7"/>
  <c r="IG113" i="7" s="1"/>
  <c r="IG121" i="7" s="1"/>
  <c r="IG104" i="7"/>
  <c r="IG112" i="7" s="1"/>
  <c r="IG120" i="7" s="1"/>
  <c r="IG107" i="7"/>
  <c r="IG115" i="7" s="1"/>
  <c r="IG123" i="7" s="1"/>
  <c r="IG106" i="7"/>
  <c r="IG114" i="7" s="1"/>
  <c r="IG122" i="7" s="1"/>
  <c r="IG103" i="7"/>
  <c r="IG111" i="7" s="1"/>
  <c r="IG119" i="7" s="1"/>
  <c r="IJ26" i="7"/>
  <c r="IJ27" i="7" s="1"/>
  <c r="II73" i="7"/>
  <c r="IH80" i="7"/>
  <c r="IH78" i="7"/>
  <c r="IH82" i="7"/>
  <c r="IH79" i="7"/>
  <c r="IH81" i="7"/>
  <c r="IH85" i="7"/>
  <c r="II46" i="7"/>
  <c r="II47" i="7" s="1"/>
  <c r="II65" i="7"/>
  <c r="IJ57" i="7"/>
  <c r="IJ58" i="7" s="1"/>
  <c r="IJ59" i="7" s="1"/>
  <c r="II62" i="7"/>
  <c r="II63" i="7" s="1"/>
  <c r="II38" i="7"/>
  <c r="II39" i="7" s="1"/>
  <c r="MO50" i="5"/>
  <c r="MP43" i="5" s="1"/>
  <c r="MO64" i="5"/>
  <c r="MO78" i="5" s="1"/>
  <c r="MQ23" i="7" s="1"/>
  <c r="II69" i="7" l="1"/>
  <c r="IJ67" i="7" s="1"/>
  <c r="II74" i="7"/>
  <c r="II75" i="7" s="1"/>
  <c r="IH98" i="7"/>
  <c r="IJ44" i="7"/>
  <c r="IJ28" i="7"/>
  <c r="IJ36" i="7"/>
  <c r="IJ52" i="7"/>
  <c r="IJ60" i="7"/>
  <c r="MQ87" i="7"/>
  <c r="MP63" i="5"/>
  <c r="II70" i="7" l="1"/>
  <c r="II83" i="7" s="1"/>
  <c r="II88" i="7" s="1"/>
  <c r="II89" i="7" s="1"/>
  <c r="IJ72" i="7"/>
  <c r="II77" i="7"/>
  <c r="II81" i="7" s="1"/>
  <c r="IJ29" i="7"/>
  <c r="IK25" i="7" s="1"/>
  <c r="IH90" i="7"/>
  <c r="IH92" i="7"/>
  <c r="IJ61" i="7"/>
  <c r="IK57" i="7" s="1"/>
  <c r="IK58" i="7" s="1"/>
  <c r="IK59" i="7" s="1"/>
  <c r="IJ45" i="7"/>
  <c r="IK41" i="7" s="1"/>
  <c r="IK42" i="7" s="1"/>
  <c r="IK43" i="7" s="1"/>
  <c r="IJ37" i="7"/>
  <c r="IK33" i="7" s="1"/>
  <c r="IK34" i="7" s="1"/>
  <c r="IK35" i="7" s="1"/>
  <c r="IJ53" i="7"/>
  <c r="IK49" i="7" s="1"/>
  <c r="IK50" i="7" s="1"/>
  <c r="IK51" i="7" s="1"/>
  <c r="MP50" i="5"/>
  <c r="MQ43" i="5" s="1"/>
  <c r="MP64" i="5"/>
  <c r="MP78" i="5" s="1"/>
  <c r="MR23" i="7" s="1"/>
  <c r="II82" i="7" l="1"/>
  <c r="II78" i="7"/>
  <c r="II85" i="7"/>
  <c r="II98" i="7" s="1"/>
  <c r="II79" i="7"/>
  <c r="II80" i="7"/>
  <c r="IJ38" i="7"/>
  <c r="IJ39" i="7" s="1"/>
  <c r="IJ54" i="7"/>
  <c r="IJ55" i="7" s="1"/>
  <c r="IJ30" i="7"/>
  <c r="IJ31" i="7" s="1"/>
  <c r="IJ65" i="7"/>
  <c r="IJ68" i="7"/>
  <c r="IJ62" i="7"/>
  <c r="IK26" i="7"/>
  <c r="IK27" i="7" s="1"/>
  <c r="IJ73" i="7"/>
  <c r="IJ46" i="7"/>
  <c r="IJ47" i="7" s="1"/>
  <c r="IH94" i="7"/>
  <c r="IH96" i="7"/>
  <c r="IH93" i="7"/>
  <c r="IH95" i="7"/>
  <c r="IH100" i="7"/>
  <c r="MR87" i="7"/>
  <c r="MQ63" i="5"/>
  <c r="IJ69" i="7" l="1"/>
  <c r="IK67" i="7" s="1"/>
  <c r="II90" i="7"/>
  <c r="II92" i="7"/>
  <c r="IJ74" i="7"/>
  <c r="IJ75" i="7" s="1"/>
  <c r="IJ63" i="7"/>
  <c r="IH102" i="7"/>
  <c r="IH108" i="7"/>
  <c r="IH116" i="7" s="1"/>
  <c r="IK36" i="7"/>
  <c r="IK44" i="7"/>
  <c r="IK52" i="7"/>
  <c r="IK28" i="7"/>
  <c r="IK60" i="7"/>
  <c r="MQ50" i="5"/>
  <c r="MR43" i="5" s="1"/>
  <c r="MQ64" i="5"/>
  <c r="MQ78" i="5" s="1"/>
  <c r="MS23" i="7" s="1"/>
  <c r="IJ70" i="7" l="1"/>
  <c r="IK29" i="7"/>
  <c r="IL25" i="7" s="1"/>
  <c r="IK61" i="7"/>
  <c r="IK45" i="7"/>
  <c r="IL41" i="7" s="1"/>
  <c r="IL42" i="7" s="1"/>
  <c r="IL43" i="7" s="1"/>
  <c r="IK53" i="7"/>
  <c r="IL49" i="7" s="1"/>
  <c r="IL50" i="7" s="1"/>
  <c r="IL51" i="7" s="1"/>
  <c r="IK37" i="7"/>
  <c r="IL33" i="7" s="1"/>
  <c r="IL34" i="7" s="1"/>
  <c r="IL35" i="7" s="1"/>
  <c r="IJ77" i="7"/>
  <c r="IK72" i="7"/>
  <c r="II95" i="7"/>
  <c r="II94" i="7"/>
  <c r="II93" i="7"/>
  <c r="II96" i="7"/>
  <c r="II100" i="7"/>
  <c r="IJ83" i="7"/>
  <c r="IJ88" i="7" s="1"/>
  <c r="IJ89" i="7" s="1"/>
  <c r="IH103" i="7"/>
  <c r="IH111" i="7" s="1"/>
  <c r="IH119" i="7" s="1"/>
  <c r="IH107" i="7"/>
  <c r="IH115" i="7" s="1"/>
  <c r="IH123" i="7" s="1"/>
  <c r="IH105" i="7"/>
  <c r="IH113" i="7" s="1"/>
  <c r="IH121" i="7" s="1"/>
  <c r="IH106" i="7"/>
  <c r="IH114" i="7" s="1"/>
  <c r="IH122" i="7" s="1"/>
  <c r="IH104" i="7"/>
  <c r="IH112" i="7" s="1"/>
  <c r="IH120" i="7" s="1"/>
  <c r="MS87" i="7"/>
  <c r="MR63" i="5"/>
  <c r="IK46" i="7" l="1"/>
  <c r="IK47" i="7" s="1"/>
  <c r="IK54" i="7"/>
  <c r="IK55" i="7" s="1"/>
  <c r="IK38" i="7"/>
  <c r="IK39" i="7" s="1"/>
  <c r="IL57" i="7"/>
  <c r="IL58" i="7" s="1"/>
  <c r="IL59" i="7" s="1"/>
  <c r="IK62" i="7"/>
  <c r="IK73" i="7"/>
  <c r="IK30" i="7"/>
  <c r="IK31" i="7" s="1"/>
  <c r="II108" i="7"/>
  <c r="II116" i="7" s="1"/>
  <c r="II102" i="7"/>
  <c r="IK68" i="7"/>
  <c r="IL26" i="7"/>
  <c r="IL27" i="7" s="1"/>
  <c r="IJ80" i="7"/>
  <c r="IJ79" i="7"/>
  <c r="IJ81" i="7"/>
  <c r="IJ78" i="7"/>
  <c r="IJ82" i="7"/>
  <c r="IJ85" i="7"/>
  <c r="IK65" i="7"/>
  <c r="MR64" i="5"/>
  <c r="MR78" i="5" s="1"/>
  <c r="MT23" i="7" s="1"/>
  <c r="MR50" i="5"/>
  <c r="MS43" i="5" s="1"/>
  <c r="IK74" i="7" l="1"/>
  <c r="IK75" i="7" s="1"/>
  <c r="IL60" i="7"/>
  <c r="II104" i="7"/>
  <c r="II112" i="7" s="1"/>
  <c r="II120" i="7" s="1"/>
  <c r="II103" i="7"/>
  <c r="II111" i="7" s="1"/>
  <c r="II119" i="7" s="1"/>
  <c r="II105" i="7"/>
  <c r="II113" i="7" s="1"/>
  <c r="II121" i="7" s="1"/>
  <c r="II107" i="7"/>
  <c r="II115" i="7" s="1"/>
  <c r="II123" i="7" s="1"/>
  <c r="II106" i="7"/>
  <c r="II114" i="7" s="1"/>
  <c r="II122" i="7" s="1"/>
  <c r="IL52" i="7"/>
  <c r="IL28" i="7"/>
  <c r="IL44" i="7"/>
  <c r="IL36" i="7"/>
  <c r="IK69" i="7"/>
  <c r="IK63" i="7"/>
  <c r="IJ98" i="7"/>
  <c r="MT87" i="7"/>
  <c r="MS63" i="5"/>
  <c r="IL72" i="7" l="1"/>
  <c r="IL67" i="7"/>
  <c r="IK77" i="7"/>
  <c r="IK70" i="7"/>
  <c r="IK83" i="7" s="1"/>
  <c r="IK88" i="7" s="1"/>
  <c r="IK89" i="7" s="1"/>
  <c r="IJ92" i="7"/>
  <c r="IJ90" i="7"/>
  <c r="IL61" i="7"/>
  <c r="IL29" i="7"/>
  <c r="IM25" i="7" s="1"/>
  <c r="IL53" i="7"/>
  <c r="IM49" i="7" s="1"/>
  <c r="IM50" i="7" s="1"/>
  <c r="IM51" i="7" s="1"/>
  <c r="IL37" i="7"/>
  <c r="IM33" i="7" s="1"/>
  <c r="IM34" i="7" s="1"/>
  <c r="IM35" i="7" s="1"/>
  <c r="IL45" i="7"/>
  <c r="IM41" i="7" s="1"/>
  <c r="IM42" i="7" s="1"/>
  <c r="IM43" i="7" s="1"/>
  <c r="MS50" i="5"/>
  <c r="MT43" i="5" s="1"/>
  <c r="MS64" i="5"/>
  <c r="MS78" i="5" s="1"/>
  <c r="MU23" i="7" s="1"/>
  <c r="IL68" i="7" l="1"/>
  <c r="IL30" i="7"/>
  <c r="IL31" i="7" s="1"/>
  <c r="IL65" i="7"/>
  <c r="IL73" i="7"/>
  <c r="IM57" i="7"/>
  <c r="IM58" i="7" s="1"/>
  <c r="IM59" i="7" s="1"/>
  <c r="IL62" i="7"/>
  <c r="IL46" i="7"/>
  <c r="IL47" i="7" s="1"/>
  <c r="IL38" i="7"/>
  <c r="IL39" i="7" s="1"/>
  <c r="IK80" i="7"/>
  <c r="IK82" i="7"/>
  <c r="IK79" i="7"/>
  <c r="IK78" i="7"/>
  <c r="IK81" i="7"/>
  <c r="IK85" i="7"/>
  <c r="IJ95" i="7"/>
  <c r="IJ94" i="7"/>
  <c r="IJ96" i="7"/>
  <c r="IJ93" i="7"/>
  <c r="IJ100" i="7"/>
  <c r="IM26" i="7"/>
  <c r="IM27" i="7" s="1"/>
  <c r="IL54" i="7"/>
  <c r="IL55" i="7" s="1"/>
  <c r="MT63" i="5"/>
  <c r="MU87" i="7"/>
  <c r="IL69" i="7" l="1"/>
  <c r="IL70" i="7" s="1"/>
  <c r="IJ102" i="7"/>
  <c r="IJ108" i="7"/>
  <c r="IJ116" i="7" s="1"/>
  <c r="IK98" i="7"/>
  <c r="IL74" i="7"/>
  <c r="IL75" i="7" s="1"/>
  <c r="IL63" i="7"/>
  <c r="IM52" i="7"/>
  <c r="IM44" i="7"/>
  <c r="IM60" i="7"/>
  <c r="IM28" i="7"/>
  <c r="IM36" i="7"/>
  <c r="MT64" i="5"/>
  <c r="MT78" i="5" s="1"/>
  <c r="MV23" i="7" s="1"/>
  <c r="MT50" i="5"/>
  <c r="MU43" i="5" s="1"/>
  <c r="IM67" i="7" l="1"/>
  <c r="IM37" i="7"/>
  <c r="IN33" i="7" s="1"/>
  <c r="IN34" i="7" s="1"/>
  <c r="IN35" i="7" s="1"/>
  <c r="IM61" i="7"/>
  <c r="IN57" i="7" s="1"/>
  <c r="IN58" i="7" s="1"/>
  <c r="IN59" i="7" s="1"/>
  <c r="IM72" i="7"/>
  <c r="IM53" i="7"/>
  <c r="IN49" i="7" s="1"/>
  <c r="IN50" i="7" s="1"/>
  <c r="IN51" i="7" s="1"/>
  <c r="IL77" i="7"/>
  <c r="IL83" i="7"/>
  <c r="IL88" i="7" s="1"/>
  <c r="IL89" i="7" s="1"/>
  <c r="IM45" i="7"/>
  <c r="IN41" i="7" s="1"/>
  <c r="IN42" i="7" s="1"/>
  <c r="IN43" i="7" s="1"/>
  <c r="IJ104" i="7"/>
  <c r="IJ112" i="7" s="1"/>
  <c r="IJ120" i="7" s="1"/>
  <c r="IJ105" i="7"/>
  <c r="IJ113" i="7" s="1"/>
  <c r="IJ121" i="7" s="1"/>
  <c r="IJ107" i="7"/>
  <c r="IJ115" i="7" s="1"/>
  <c r="IJ123" i="7" s="1"/>
  <c r="IJ106" i="7"/>
  <c r="IJ114" i="7" s="1"/>
  <c r="IJ122" i="7" s="1"/>
  <c r="IJ103" i="7"/>
  <c r="IJ111" i="7" s="1"/>
  <c r="IJ119" i="7" s="1"/>
  <c r="IK92" i="7"/>
  <c r="IK90" i="7"/>
  <c r="IM29" i="7"/>
  <c r="IN25" i="7" s="1"/>
  <c r="MV87" i="7"/>
  <c r="MU63" i="5"/>
  <c r="IM62" i="7" l="1"/>
  <c r="IM63" i="7" s="1"/>
  <c r="IM38" i="7"/>
  <c r="IM39" i="7" s="1"/>
  <c r="IM54" i="7"/>
  <c r="IM55" i="7" s="1"/>
  <c r="IM46" i="7"/>
  <c r="IM47" i="7" s="1"/>
  <c r="IM68" i="7"/>
  <c r="IM30" i="7"/>
  <c r="IM31" i="7" s="1"/>
  <c r="IM65" i="7"/>
  <c r="IM73" i="7"/>
  <c r="IL82" i="7"/>
  <c r="IL81" i="7"/>
  <c r="IL80" i="7"/>
  <c r="IL79" i="7"/>
  <c r="IL78" i="7"/>
  <c r="IL85" i="7"/>
  <c r="IN26" i="7"/>
  <c r="IN27" i="7" s="1"/>
  <c r="IK96" i="7"/>
  <c r="IK93" i="7"/>
  <c r="IK94" i="7"/>
  <c r="IK95" i="7"/>
  <c r="IK100" i="7"/>
  <c r="MU50" i="5"/>
  <c r="MV43" i="5" s="1"/>
  <c r="MU64" i="5"/>
  <c r="MU78" i="5" s="1"/>
  <c r="MW23" i="7" s="1"/>
  <c r="IM74" i="7" l="1"/>
  <c r="IM75" i="7" s="1"/>
  <c r="IM69" i="7"/>
  <c r="IK108" i="7"/>
  <c r="IK116" i="7" s="1"/>
  <c r="IK102" i="7"/>
  <c r="IL98" i="7"/>
  <c r="IN36" i="7"/>
  <c r="IN44" i="7"/>
  <c r="IN28" i="7"/>
  <c r="IN60" i="7"/>
  <c r="IN52" i="7"/>
  <c r="MW87" i="7"/>
  <c r="MV63" i="5"/>
  <c r="IN72" i="7" l="1"/>
  <c r="IM77" i="7"/>
  <c r="IM78" i="7" s="1"/>
  <c r="IN67" i="7"/>
  <c r="IM70" i="7"/>
  <c r="IM83" i="7" s="1"/>
  <c r="IM88" i="7" s="1"/>
  <c r="IM89" i="7" s="1"/>
  <c r="IN53" i="7"/>
  <c r="IO49" i="7" s="1"/>
  <c r="IO50" i="7" s="1"/>
  <c r="IO51" i="7" s="1"/>
  <c r="IN37" i="7"/>
  <c r="IO33" i="7" s="1"/>
  <c r="IO34" i="7" s="1"/>
  <c r="IO35" i="7" s="1"/>
  <c r="IN61" i="7"/>
  <c r="IO57" i="7" s="1"/>
  <c r="IO58" i="7" s="1"/>
  <c r="IO59" i="7" s="1"/>
  <c r="IN45" i="7"/>
  <c r="IO41" i="7" s="1"/>
  <c r="IO42" i="7" s="1"/>
  <c r="IO43" i="7" s="1"/>
  <c r="IN29" i="7"/>
  <c r="IO25" i="7" s="1"/>
  <c r="IL90" i="7"/>
  <c r="IL92" i="7"/>
  <c r="IK107" i="7"/>
  <c r="IK115" i="7" s="1"/>
  <c r="IK123" i="7" s="1"/>
  <c r="IK104" i="7"/>
  <c r="IK112" i="7" s="1"/>
  <c r="IK120" i="7" s="1"/>
  <c r="IK106" i="7"/>
  <c r="IK114" i="7" s="1"/>
  <c r="IK122" i="7" s="1"/>
  <c r="IK105" i="7"/>
  <c r="IK113" i="7" s="1"/>
  <c r="IK121" i="7" s="1"/>
  <c r="IK103" i="7"/>
  <c r="IK111" i="7" s="1"/>
  <c r="IK119" i="7" s="1"/>
  <c r="MV50" i="5"/>
  <c r="MW43" i="5" s="1"/>
  <c r="MV64" i="5"/>
  <c r="MV78" i="5" s="1"/>
  <c r="MX23" i="7" s="1"/>
  <c r="IM82" i="7" l="1"/>
  <c r="IM79" i="7"/>
  <c r="IM80" i="7"/>
  <c r="IM81" i="7"/>
  <c r="IN54" i="7"/>
  <c r="IN55" i="7" s="1"/>
  <c r="IM85" i="7"/>
  <c r="IM98" i="7" s="1"/>
  <c r="IN46" i="7"/>
  <c r="IN47" i="7" s="1"/>
  <c r="IN30" i="7"/>
  <c r="IN31" i="7" s="1"/>
  <c r="IN38" i="7"/>
  <c r="IN39" i="7" s="1"/>
  <c r="IN62" i="7"/>
  <c r="IL95" i="7"/>
  <c r="IL93" i="7"/>
  <c r="IL96" i="7"/>
  <c r="IL94" i="7"/>
  <c r="IL100" i="7"/>
  <c r="IN65" i="7"/>
  <c r="IN73" i="7"/>
  <c r="IO26" i="7"/>
  <c r="IO27" i="7" s="1"/>
  <c r="IN68" i="7"/>
  <c r="MX87" i="7"/>
  <c r="MW63" i="5"/>
  <c r="IN63" i="7" l="1"/>
  <c r="IO44" i="7"/>
  <c r="IO52" i="7"/>
  <c r="IO36" i="7"/>
  <c r="IO60" i="7"/>
  <c r="IO28" i="7"/>
  <c r="IM90" i="7"/>
  <c r="IM92" i="7"/>
  <c r="IN74" i="7"/>
  <c r="IN75" i="7" s="1"/>
  <c r="IL102" i="7"/>
  <c r="IL108" i="7"/>
  <c r="IL116" i="7" s="1"/>
  <c r="IN69" i="7"/>
  <c r="MW50" i="5"/>
  <c r="MX43" i="5" s="1"/>
  <c r="MW64" i="5"/>
  <c r="MW78" i="5" s="1"/>
  <c r="MY23" i="7" s="1"/>
  <c r="IO72" i="7" l="1"/>
  <c r="IN77" i="7"/>
  <c r="IN70" i="7"/>
  <c r="IN83" i="7" s="1"/>
  <c r="IN88" i="7" s="1"/>
  <c r="IN89" i="7" s="1"/>
  <c r="IL105" i="7"/>
  <c r="IL113" i="7" s="1"/>
  <c r="IL121" i="7" s="1"/>
  <c r="IL104" i="7"/>
  <c r="IL112" i="7" s="1"/>
  <c r="IL120" i="7" s="1"/>
  <c r="IL103" i="7"/>
  <c r="IL111" i="7" s="1"/>
  <c r="IL119" i="7" s="1"/>
  <c r="IL107" i="7"/>
  <c r="IL115" i="7" s="1"/>
  <c r="IL123" i="7" s="1"/>
  <c r="IL106" i="7"/>
  <c r="IL114" i="7" s="1"/>
  <c r="IL122" i="7" s="1"/>
  <c r="IO67" i="7"/>
  <c r="IO37" i="7"/>
  <c r="IP33" i="7" s="1"/>
  <c r="IP34" i="7" s="1"/>
  <c r="IP35" i="7" s="1"/>
  <c r="IO29" i="7"/>
  <c r="IP25" i="7" s="1"/>
  <c r="IO61" i="7"/>
  <c r="IP57" i="7" s="1"/>
  <c r="IP58" i="7" s="1"/>
  <c r="IP59" i="7" s="1"/>
  <c r="IO45" i="7"/>
  <c r="IP41" i="7" s="1"/>
  <c r="IP42" i="7" s="1"/>
  <c r="IP43" i="7" s="1"/>
  <c r="IO53" i="7"/>
  <c r="IP49" i="7" s="1"/>
  <c r="IP50" i="7" s="1"/>
  <c r="IP51" i="7" s="1"/>
  <c r="IM96" i="7"/>
  <c r="IM93" i="7"/>
  <c r="IM94" i="7"/>
  <c r="IM95" i="7"/>
  <c r="IM100" i="7"/>
  <c r="MY87" i="7"/>
  <c r="MX63" i="5"/>
  <c r="IO65" i="7" l="1"/>
  <c r="IO38" i="7"/>
  <c r="IO39" i="7" s="1"/>
  <c r="IO30" i="7"/>
  <c r="IO31" i="7" s="1"/>
  <c r="IO46" i="7"/>
  <c r="IO47" i="7" s="1"/>
  <c r="IO68" i="7"/>
  <c r="IO69" i="7" s="1"/>
  <c r="IO73" i="7"/>
  <c r="IO62" i="7"/>
  <c r="IO63" i="7" s="1"/>
  <c r="IP26" i="7"/>
  <c r="IP27" i="7" s="1"/>
  <c r="IO54" i="7"/>
  <c r="IO55" i="7" s="1"/>
  <c r="IM108" i="7"/>
  <c r="IM116" i="7" s="1"/>
  <c r="IM102" i="7"/>
  <c r="IN80" i="7"/>
  <c r="IN82" i="7"/>
  <c r="IN81" i="7"/>
  <c r="IN79" i="7"/>
  <c r="IN78" i="7"/>
  <c r="IN85" i="7"/>
  <c r="MX50" i="5"/>
  <c r="MY43" i="5" s="1"/>
  <c r="MX64" i="5"/>
  <c r="MX78" i="5" s="1"/>
  <c r="MZ23" i="7" s="1"/>
  <c r="IN98" i="7" l="1"/>
  <c r="IP28" i="7"/>
  <c r="IP52" i="7"/>
  <c r="IP44" i="7"/>
  <c r="IP36" i="7"/>
  <c r="IP60" i="7"/>
  <c r="IO74" i="7"/>
  <c r="IO75" i="7" s="1"/>
  <c r="IM106" i="7"/>
  <c r="IM114" i="7" s="1"/>
  <c r="IM122" i="7" s="1"/>
  <c r="IM104" i="7"/>
  <c r="IM112" i="7" s="1"/>
  <c r="IM120" i="7" s="1"/>
  <c r="IM105" i="7"/>
  <c r="IM113" i="7" s="1"/>
  <c r="IM121" i="7" s="1"/>
  <c r="IM103" i="7"/>
  <c r="IM111" i="7" s="1"/>
  <c r="IM119" i="7" s="1"/>
  <c r="IM107" i="7"/>
  <c r="IM115" i="7" s="1"/>
  <c r="IM123" i="7" s="1"/>
  <c r="IP67" i="7"/>
  <c r="IO70" i="7"/>
  <c r="MZ87" i="7"/>
  <c r="MY63" i="5"/>
  <c r="IO83" i="7" l="1"/>
  <c r="IO88" i="7" s="1"/>
  <c r="IO89" i="7" s="1"/>
  <c r="IO77" i="7"/>
  <c r="IO81" i="7" s="1"/>
  <c r="IP61" i="7"/>
  <c r="IQ57" i="7" s="1"/>
  <c r="IQ58" i="7" s="1"/>
  <c r="IQ59" i="7" s="1"/>
  <c r="IP29" i="7"/>
  <c r="IQ25" i="7" s="1"/>
  <c r="IP45" i="7"/>
  <c r="IQ41" i="7" s="1"/>
  <c r="IQ42" i="7" s="1"/>
  <c r="IQ43" i="7" s="1"/>
  <c r="IP37" i="7"/>
  <c r="IQ33" i="7" s="1"/>
  <c r="IQ34" i="7" s="1"/>
  <c r="IQ35" i="7" s="1"/>
  <c r="IP53" i="7"/>
  <c r="IQ49" i="7" s="1"/>
  <c r="IQ50" i="7" s="1"/>
  <c r="IQ51" i="7" s="1"/>
  <c r="IP72" i="7"/>
  <c r="IN92" i="7"/>
  <c r="IN90" i="7"/>
  <c r="MY50" i="5"/>
  <c r="MZ43" i="5" s="1"/>
  <c r="MY64" i="5"/>
  <c r="MY78" i="5" s="1"/>
  <c r="NA23" i="7" s="1"/>
  <c r="IO85" i="7" l="1"/>
  <c r="IO98" i="7" s="1"/>
  <c r="IO80" i="7"/>
  <c r="IO79" i="7"/>
  <c r="IO78" i="7"/>
  <c r="IO82" i="7"/>
  <c r="IP54" i="7"/>
  <c r="IP55" i="7" s="1"/>
  <c r="IP38" i="7"/>
  <c r="IP39" i="7" s="1"/>
  <c r="IP65" i="7"/>
  <c r="IP73" i="7"/>
  <c r="IP68" i="7"/>
  <c r="IP62" i="7"/>
  <c r="IQ26" i="7"/>
  <c r="IQ27" i="7" s="1"/>
  <c r="IN94" i="7"/>
  <c r="IN96" i="7"/>
  <c r="IN93" i="7"/>
  <c r="IN95" i="7"/>
  <c r="IN100" i="7"/>
  <c r="IP46" i="7"/>
  <c r="IP47" i="7" s="1"/>
  <c r="IP30" i="7"/>
  <c r="IP31" i="7" s="1"/>
  <c r="NA87" i="7"/>
  <c r="MZ63" i="5"/>
  <c r="IP69" i="7" l="1"/>
  <c r="IP74" i="7"/>
  <c r="IP75" i="7" s="1"/>
  <c r="IO92" i="7"/>
  <c r="IO90" i="7"/>
  <c r="IN108" i="7"/>
  <c r="IN116" i="7" s="1"/>
  <c r="IN102" i="7"/>
  <c r="IQ36" i="7"/>
  <c r="IQ60" i="7"/>
  <c r="IQ28" i="7"/>
  <c r="IQ44" i="7"/>
  <c r="IQ52" i="7"/>
  <c r="IP63" i="7"/>
  <c r="MZ50" i="5"/>
  <c r="NA43" i="5" s="1"/>
  <c r="MZ64" i="5"/>
  <c r="MZ78" i="5" s="1"/>
  <c r="NB23" i="7" s="1"/>
  <c r="IP70" i="7" l="1"/>
  <c r="IP83" i="7" s="1"/>
  <c r="IP88" i="7" s="1"/>
  <c r="IP89" i="7" s="1"/>
  <c r="IP77" i="7"/>
  <c r="IO94" i="7"/>
  <c r="IO93" i="7"/>
  <c r="IO96" i="7"/>
  <c r="IO95" i="7"/>
  <c r="IO100" i="7"/>
  <c r="IQ29" i="7"/>
  <c r="IR25" i="7" s="1"/>
  <c r="IQ53" i="7"/>
  <c r="IR49" i="7" s="1"/>
  <c r="IR50" i="7" s="1"/>
  <c r="IR51" i="7" s="1"/>
  <c r="IQ61" i="7"/>
  <c r="IQ37" i="7"/>
  <c r="IR33" i="7" s="1"/>
  <c r="IR34" i="7" s="1"/>
  <c r="IR35" i="7" s="1"/>
  <c r="IQ45" i="7"/>
  <c r="IR41" i="7" s="1"/>
  <c r="IR42" i="7" s="1"/>
  <c r="IR43" i="7" s="1"/>
  <c r="IQ67" i="7"/>
  <c r="IN106" i="7"/>
  <c r="IN114" i="7" s="1"/>
  <c r="IN122" i="7" s="1"/>
  <c r="W41" i="8" s="1"/>
  <c r="W43" i="8" s="1"/>
  <c r="AI43" i="8" s="1"/>
  <c r="IN103" i="7"/>
  <c r="IN111" i="7" s="1"/>
  <c r="IN119" i="7" s="1"/>
  <c r="W8" i="8" s="1"/>
  <c r="W10" i="8" s="1"/>
  <c r="AI10" i="8" s="1"/>
  <c r="IN104" i="7"/>
  <c r="IN112" i="7" s="1"/>
  <c r="IN120" i="7" s="1"/>
  <c r="W19" i="8" s="1"/>
  <c r="W21" i="8" s="1"/>
  <c r="AI21" i="8" s="1"/>
  <c r="IN105" i="7"/>
  <c r="IN113" i="7" s="1"/>
  <c r="IN121" i="7" s="1"/>
  <c r="W30" i="8" s="1"/>
  <c r="W32" i="8" s="1"/>
  <c r="AI32" i="8" s="1"/>
  <c r="IN107" i="7"/>
  <c r="IN115" i="7" s="1"/>
  <c r="IN123" i="7" s="1"/>
  <c r="W52" i="8" s="1"/>
  <c r="W54" i="8" s="1"/>
  <c r="AI54" i="8" s="1"/>
  <c r="IQ72" i="7"/>
  <c r="NB87" i="7"/>
  <c r="NA63" i="5"/>
  <c r="IQ46" i="7" l="1"/>
  <c r="IQ47" i="7" s="1"/>
  <c r="IQ38" i="7"/>
  <c r="IQ39" i="7" s="1"/>
  <c r="IQ73" i="7"/>
  <c r="IR26" i="7"/>
  <c r="IR27" i="7" s="1"/>
  <c r="IQ30" i="7"/>
  <c r="IQ31" i="7" s="1"/>
  <c r="IQ68" i="7"/>
  <c r="IP78" i="7"/>
  <c r="IP82" i="7"/>
  <c r="IP81" i="7"/>
  <c r="IP79" i="7"/>
  <c r="IP80" i="7"/>
  <c r="IP85" i="7"/>
  <c r="IR57" i="7"/>
  <c r="IR58" i="7" s="1"/>
  <c r="IR59" i="7" s="1"/>
  <c r="IQ62" i="7"/>
  <c r="IQ63" i="7" s="1"/>
  <c r="IO108" i="7"/>
  <c r="IO116" i="7" s="1"/>
  <c r="IO102" i="7"/>
  <c r="IQ65" i="7"/>
  <c r="IQ54" i="7"/>
  <c r="IQ55" i="7" s="1"/>
  <c r="NA50" i="5"/>
  <c r="NB43" i="5" s="1"/>
  <c r="NB63" i="5" s="1"/>
  <c r="NA64" i="5"/>
  <c r="NA78" i="5" s="1"/>
  <c r="NC23" i="7" s="1"/>
  <c r="IQ69" i="7" l="1"/>
  <c r="IQ70" i="7" s="1"/>
  <c r="IQ74" i="7"/>
  <c r="IQ75" i="7" s="1"/>
  <c r="IP98" i="7"/>
  <c r="IR44" i="7"/>
  <c r="IR36" i="7"/>
  <c r="IR28" i="7"/>
  <c r="IR52" i="7"/>
  <c r="IR60" i="7"/>
  <c r="IO106" i="7"/>
  <c r="IO114" i="7" s="1"/>
  <c r="IO122" i="7" s="1"/>
  <c r="IO104" i="7"/>
  <c r="IO112" i="7" s="1"/>
  <c r="IO120" i="7" s="1"/>
  <c r="IO105" i="7"/>
  <c r="IO113" i="7" s="1"/>
  <c r="IO121" i="7" s="1"/>
  <c r="IO103" i="7"/>
  <c r="IO111" i="7" s="1"/>
  <c r="IO119" i="7" s="1"/>
  <c r="IO107" i="7"/>
  <c r="IO115" i="7" s="1"/>
  <c r="IO123" i="7" s="1"/>
  <c r="NC87" i="7"/>
  <c r="NB64" i="5"/>
  <c r="NB78" i="5" s="1"/>
  <c r="NB50" i="5"/>
  <c r="IR67" i="7" l="1"/>
  <c r="IQ83" i="7"/>
  <c r="IQ88" i="7" s="1"/>
  <c r="IQ89" i="7" s="1"/>
  <c r="IQ77" i="7"/>
  <c r="IQ78" i="7" s="1"/>
  <c r="IR72" i="7"/>
  <c r="IR61" i="7"/>
  <c r="IS57" i="7" s="1"/>
  <c r="IS58" i="7" s="1"/>
  <c r="IS59" i="7" s="1"/>
  <c r="IR29" i="7"/>
  <c r="IS25" i="7" s="1"/>
  <c r="IP92" i="7"/>
  <c r="IP90" i="7"/>
  <c r="IR37" i="7"/>
  <c r="IS33" i="7" s="1"/>
  <c r="IS34" i="7" s="1"/>
  <c r="IS35" i="7" s="1"/>
  <c r="IR53" i="7"/>
  <c r="IS49" i="7" s="1"/>
  <c r="IS50" i="7" s="1"/>
  <c r="IS51" i="7" s="1"/>
  <c r="IR45" i="7"/>
  <c r="IS41" i="7" s="1"/>
  <c r="IS42" i="7" s="1"/>
  <c r="IS43" i="7" s="1"/>
  <c r="ND23" i="7"/>
  <c r="D81" i="5"/>
  <c r="D15" i="9" s="1"/>
  <c r="E5" i="2" s="1"/>
  <c r="D5" i="1" s="1"/>
  <c r="D80" i="5"/>
  <c r="D14" i="9" s="1"/>
  <c r="D82" i="5"/>
  <c r="D16" i="9" s="1"/>
  <c r="IQ79" i="7" l="1"/>
  <c r="IQ80" i="7"/>
  <c r="IQ81" i="7"/>
  <c r="IQ82" i="7"/>
  <c r="IQ85" i="7"/>
  <c r="IQ98" i="7" s="1"/>
  <c r="IR68" i="7"/>
  <c r="IR54" i="7"/>
  <c r="IR55" i="7" s="1"/>
  <c r="IR65" i="7"/>
  <c r="IR38" i="7"/>
  <c r="IR39" i="7" s="1"/>
  <c r="IR62" i="7"/>
  <c r="IS26" i="7"/>
  <c r="IS27" i="7" s="1"/>
  <c r="IR73" i="7"/>
  <c r="IP94" i="7"/>
  <c r="IP93" i="7"/>
  <c r="IP96" i="7"/>
  <c r="IP95" i="7"/>
  <c r="IP100" i="7"/>
  <c r="IR30" i="7"/>
  <c r="IR31" i="7" s="1"/>
  <c r="IR46" i="7"/>
  <c r="IR47" i="7" s="1"/>
  <c r="C65" i="9"/>
  <c r="E6" i="2"/>
  <c r="D6" i="1" s="1"/>
  <c r="ND87" i="7"/>
  <c r="E4" i="2"/>
  <c r="D4" i="1" s="1"/>
  <c r="C51" i="9"/>
  <c r="IR69" i="7" l="1"/>
  <c r="IS67" i="7" s="1"/>
  <c r="IR74" i="7"/>
  <c r="IR75" i="7" s="1"/>
  <c r="IP108" i="7"/>
  <c r="IP116" i="7" s="1"/>
  <c r="IP102" i="7"/>
  <c r="IS52" i="7"/>
  <c r="IS60" i="7"/>
  <c r="IS28" i="7"/>
  <c r="IS36" i="7"/>
  <c r="IS44" i="7"/>
  <c r="IR63" i="7"/>
  <c r="IQ92" i="7"/>
  <c r="IQ90" i="7"/>
  <c r="IR70" i="7" l="1"/>
  <c r="IR83" i="7" s="1"/>
  <c r="IR88" i="7" s="1"/>
  <c r="IR89" i="7" s="1"/>
  <c r="IR77" i="7"/>
  <c r="IR78" i="7" s="1"/>
  <c r="IQ94" i="7"/>
  <c r="IQ95" i="7"/>
  <c r="IQ93" i="7"/>
  <c r="IQ96" i="7"/>
  <c r="IQ100" i="7"/>
  <c r="IS37" i="7"/>
  <c r="IT33" i="7" s="1"/>
  <c r="IT34" i="7" s="1"/>
  <c r="IT35" i="7" s="1"/>
  <c r="IS61" i="7"/>
  <c r="IS29" i="7"/>
  <c r="IT25" i="7" s="1"/>
  <c r="IS53" i="7"/>
  <c r="IT49" i="7" s="1"/>
  <c r="IT50" i="7" s="1"/>
  <c r="IT51" i="7" s="1"/>
  <c r="IS45" i="7"/>
  <c r="IT41" i="7" s="1"/>
  <c r="IT42" i="7" s="1"/>
  <c r="IT43" i="7" s="1"/>
  <c r="IP103" i="7"/>
  <c r="IP111" i="7" s="1"/>
  <c r="IP119" i="7" s="1"/>
  <c r="IP104" i="7"/>
  <c r="IP112" i="7" s="1"/>
  <c r="IP120" i="7" s="1"/>
  <c r="IP105" i="7"/>
  <c r="IP113" i="7" s="1"/>
  <c r="IP121" i="7" s="1"/>
  <c r="IP106" i="7"/>
  <c r="IP114" i="7" s="1"/>
  <c r="IP122" i="7" s="1"/>
  <c r="IP107" i="7"/>
  <c r="IP115" i="7" s="1"/>
  <c r="IP123" i="7" s="1"/>
  <c r="IS72" i="7"/>
  <c r="IR81" i="7" l="1"/>
  <c r="IR82" i="7"/>
  <c r="IR80" i="7"/>
  <c r="IR79" i="7"/>
  <c r="IR85" i="7"/>
  <c r="IR98" i="7" s="1"/>
  <c r="IR92" i="7" s="1"/>
  <c r="IS30" i="7"/>
  <c r="IS31" i="7" s="1"/>
  <c r="IS38" i="7"/>
  <c r="IS39" i="7" s="1"/>
  <c r="IT26" i="7"/>
  <c r="IT27" i="7" s="1"/>
  <c r="IT57" i="7"/>
  <c r="IT58" i="7" s="1"/>
  <c r="IT59" i="7" s="1"/>
  <c r="IS62" i="7"/>
  <c r="IS63" i="7" s="1"/>
  <c r="IS54" i="7"/>
  <c r="IS55" i="7" s="1"/>
  <c r="IS65" i="7"/>
  <c r="IQ102" i="7"/>
  <c r="IQ108" i="7"/>
  <c r="IQ116" i="7" s="1"/>
  <c r="IS73" i="7"/>
  <c r="IS46" i="7"/>
  <c r="IS47" i="7" s="1"/>
  <c r="IS68" i="7"/>
  <c r="IS69" i="7" l="1"/>
  <c r="IT67" i="7" s="1"/>
  <c r="IR90" i="7"/>
  <c r="IS74" i="7"/>
  <c r="IS75" i="7" s="1"/>
  <c r="IQ104" i="7"/>
  <c r="IQ112" i="7" s="1"/>
  <c r="IQ120" i="7" s="1"/>
  <c r="IQ107" i="7"/>
  <c r="IQ115" i="7" s="1"/>
  <c r="IQ123" i="7" s="1"/>
  <c r="IQ105" i="7"/>
  <c r="IQ113" i="7" s="1"/>
  <c r="IQ121" i="7" s="1"/>
  <c r="IQ103" i="7"/>
  <c r="IQ111" i="7" s="1"/>
  <c r="IQ119" i="7" s="1"/>
  <c r="IQ106" i="7"/>
  <c r="IQ114" i="7" s="1"/>
  <c r="IQ122" i="7" s="1"/>
  <c r="IR94" i="7"/>
  <c r="IR95" i="7"/>
  <c r="IR96" i="7"/>
  <c r="IR93" i="7"/>
  <c r="IR100" i="7"/>
  <c r="IT36" i="7"/>
  <c r="IT52" i="7"/>
  <c r="IT28" i="7"/>
  <c r="IT60" i="7"/>
  <c r="IT44" i="7"/>
  <c r="IS70" i="7" l="1"/>
  <c r="IS83" i="7" s="1"/>
  <c r="IS88" i="7" s="1"/>
  <c r="IS89" i="7" s="1"/>
  <c r="IS77" i="7"/>
  <c r="IT72" i="7"/>
  <c r="IT53" i="7"/>
  <c r="IU49" i="7" s="1"/>
  <c r="IU50" i="7" s="1"/>
  <c r="IU51" i="7" s="1"/>
  <c r="IT37" i="7"/>
  <c r="IU33" i="7" s="1"/>
  <c r="IU34" i="7" s="1"/>
  <c r="IU35" i="7" s="1"/>
  <c r="IT45" i="7"/>
  <c r="IU41" i="7" s="1"/>
  <c r="IU42" i="7" s="1"/>
  <c r="IU43" i="7" s="1"/>
  <c r="IT61" i="7"/>
  <c r="IU57" i="7" s="1"/>
  <c r="IU58" i="7" s="1"/>
  <c r="IU59" i="7" s="1"/>
  <c r="IT29" i="7"/>
  <c r="IU25" i="7" s="1"/>
  <c r="IR108" i="7"/>
  <c r="IR116" i="7" s="1"/>
  <c r="IR102" i="7"/>
  <c r="IS85" i="7" l="1"/>
  <c r="IS98" i="7" s="1"/>
  <c r="IS90" i="7" s="1"/>
  <c r="IS79" i="7"/>
  <c r="IS80" i="7"/>
  <c r="IS78" i="7"/>
  <c r="IS81" i="7"/>
  <c r="IT54" i="7"/>
  <c r="IT55" i="7" s="1"/>
  <c r="IS82" i="7"/>
  <c r="IT68" i="7"/>
  <c r="IT30" i="7"/>
  <c r="IT31" i="7" s="1"/>
  <c r="IT65" i="7"/>
  <c r="IT46" i="7"/>
  <c r="IT47" i="7" s="1"/>
  <c r="IU26" i="7"/>
  <c r="IU27" i="7" s="1"/>
  <c r="IT38" i="7"/>
  <c r="IT39" i="7" s="1"/>
  <c r="IT62" i="7"/>
  <c r="IR106" i="7"/>
  <c r="IR114" i="7" s="1"/>
  <c r="IR122" i="7" s="1"/>
  <c r="IR105" i="7"/>
  <c r="IR113" i="7" s="1"/>
  <c r="IR121" i="7" s="1"/>
  <c r="IR103" i="7"/>
  <c r="IR111" i="7" s="1"/>
  <c r="IR119" i="7" s="1"/>
  <c r="IR107" i="7"/>
  <c r="IR115" i="7" s="1"/>
  <c r="IR123" i="7" s="1"/>
  <c r="IR104" i="7"/>
  <c r="IR112" i="7" s="1"/>
  <c r="IR120" i="7" s="1"/>
  <c r="IT73" i="7"/>
  <c r="IS92" i="7" l="1"/>
  <c r="IS96" i="7" s="1"/>
  <c r="IT74" i="7"/>
  <c r="IT75" i="7" s="1"/>
  <c r="IT69" i="7"/>
  <c r="IU52" i="7"/>
  <c r="IU28" i="7"/>
  <c r="IU60" i="7"/>
  <c r="IU44" i="7"/>
  <c r="IU36" i="7"/>
  <c r="IT63" i="7"/>
  <c r="IS100" i="7" l="1"/>
  <c r="IS93" i="7"/>
  <c r="IS95" i="7"/>
  <c r="IS94" i="7"/>
  <c r="IU72" i="7"/>
  <c r="IS102" i="7"/>
  <c r="IS108" i="7"/>
  <c r="IS116" i="7" s="1"/>
  <c r="IU37" i="7"/>
  <c r="IV33" i="7" s="1"/>
  <c r="IV34" i="7" s="1"/>
  <c r="IV35" i="7" s="1"/>
  <c r="IU29" i="7"/>
  <c r="IV25" i="7" s="1"/>
  <c r="IU53" i="7"/>
  <c r="IV49" i="7" s="1"/>
  <c r="IV50" i="7" s="1"/>
  <c r="IV51" i="7" s="1"/>
  <c r="IU61" i="7"/>
  <c r="IV57" i="7" s="1"/>
  <c r="IV58" i="7" s="1"/>
  <c r="IV59" i="7" s="1"/>
  <c r="IU45" i="7"/>
  <c r="IV41" i="7" s="1"/>
  <c r="IV42" i="7" s="1"/>
  <c r="IV43" i="7" s="1"/>
  <c r="IU67" i="7"/>
  <c r="IT70" i="7"/>
  <c r="IT83" i="7" s="1"/>
  <c r="IT88" i="7" s="1"/>
  <c r="IT89" i="7" s="1"/>
  <c r="IT77" i="7"/>
  <c r="IU30" i="7" l="1"/>
  <c r="IU31" i="7" s="1"/>
  <c r="IU38" i="7"/>
  <c r="IU39" i="7" s="1"/>
  <c r="IU73" i="7"/>
  <c r="IT81" i="7"/>
  <c r="IT82" i="7"/>
  <c r="IT80" i="7"/>
  <c r="IT79" i="7"/>
  <c r="IT78" i="7"/>
  <c r="IT85" i="7"/>
  <c r="IU65" i="7"/>
  <c r="IS107" i="7"/>
  <c r="IS115" i="7" s="1"/>
  <c r="IS123" i="7" s="1"/>
  <c r="IS104" i="7"/>
  <c r="IS112" i="7" s="1"/>
  <c r="IS120" i="7" s="1"/>
  <c r="IS105" i="7"/>
  <c r="IS113" i="7" s="1"/>
  <c r="IS121" i="7" s="1"/>
  <c r="IS106" i="7"/>
  <c r="IS114" i="7" s="1"/>
  <c r="IS122" i="7" s="1"/>
  <c r="IS103" i="7"/>
  <c r="IS111" i="7" s="1"/>
  <c r="IS119" i="7" s="1"/>
  <c r="IU54" i="7"/>
  <c r="IU55" i="7" s="1"/>
  <c r="IV26" i="7"/>
  <c r="IV27" i="7" s="1"/>
  <c r="IU46" i="7"/>
  <c r="IU47" i="7" s="1"/>
  <c r="IU68" i="7"/>
  <c r="IU62" i="7"/>
  <c r="IU69" i="7" l="1"/>
  <c r="IU70" i="7" s="1"/>
  <c r="IV28" i="7"/>
  <c r="IV44" i="7"/>
  <c r="IV52" i="7"/>
  <c r="IV36" i="7"/>
  <c r="IV60" i="7"/>
  <c r="IU63" i="7"/>
  <c r="IT98" i="7"/>
  <c r="IU74" i="7"/>
  <c r="IU75" i="7" s="1"/>
  <c r="IV67" i="7" l="1"/>
  <c r="IV72" i="7"/>
  <c r="IV61" i="7"/>
  <c r="IV29" i="7"/>
  <c r="IW25" i="7" s="1"/>
  <c r="IV45" i="7"/>
  <c r="IW41" i="7" s="1"/>
  <c r="IW42" i="7" s="1"/>
  <c r="IW43" i="7" s="1"/>
  <c r="IV53" i="7"/>
  <c r="IW49" i="7" s="1"/>
  <c r="IW50" i="7" s="1"/>
  <c r="IW51" i="7" s="1"/>
  <c r="IV37" i="7"/>
  <c r="IW33" i="7" s="1"/>
  <c r="IW34" i="7" s="1"/>
  <c r="IW35" i="7" s="1"/>
  <c r="IT92" i="7"/>
  <c r="IT90" i="7"/>
  <c r="IU77" i="7"/>
  <c r="IU83" i="7"/>
  <c r="IU88" i="7" s="1"/>
  <c r="IU89" i="7" s="1"/>
  <c r="IV30" i="7" l="1"/>
  <c r="IV31" i="7" s="1"/>
  <c r="IV68" i="7"/>
  <c r="IV46" i="7"/>
  <c r="IV47" i="7" s="1"/>
  <c r="IT95" i="7"/>
  <c r="IT94" i="7"/>
  <c r="IT96" i="7"/>
  <c r="IT93" i="7"/>
  <c r="IT100" i="7"/>
  <c r="IV65" i="7"/>
  <c r="IV73" i="7"/>
  <c r="IV54" i="7"/>
  <c r="IV55" i="7" s="1"/>
  <c r="IU78" i="7"/>
  <c r="IU81" i="7"/>
  <c r="IU80" i="7"/>
  <c r="IU82" i="7"/>
  <c r="IU79" i="7"/>
  <c r="IU85" i="7"/>
  <c r="IW26" i="7"/>
  <c r="IW27" i="7" s="1"/>
  <c r="IW57" i="7"/>
  <c r="IW58" i="7" s="1"/>
  <c r="IW59" i="7" s="1"/>
  <c r="IV62" i="7"/>
  <c r="IV38" i="7"/>
  <c r="IV39" i="7" s="1"/>
  <c r="IV69" i="7" l="1"/>
  <c r="IV70" i="7" s="1"/>
  <c r="IV74" i="7"/>
  <c r="IV75" i="7" s="1"/>
  <c r="IV63" i="7"/>
  <c r="IU98" i="7"/>
  <c r="IW52" i="7"/>
  <c r="IW36" i="7"/>
  <c r="IW44" i="7"/>
  <c r="IW28" i="7"/>
  <c r="IW60" i="7"/>
  <c r="IT102" i="7"/>
  <c r="IT108" i="7"/>
  <c r="IT116" i="7" s="1"/>
  <c r="IW67" i="7" l="1"/>
  <c r="IW45" i="7"/>
  <c r="IX41" i="7" s="1"/>
  <c r="IX42" i="7" s="1"/>
  <c r="IX43" i="7" s="1"/>
  <c r="IW61" i="7"/>
  <c r="IX57" i="7" s="1"/>
  <c r="IX58" i="7" s="1"/>
  <c r="IX59" i="7" s="1"/>
  <c r="IW53" i="7"/>
  <c r="IX49" i="7" s="1"/>
  <c r="IX50" i="7" s="1"/>
  <c r="IX51" i="7" s="1"/>
  <c r="IW29" i="7"/>
  <c r="IX25" i="7" s="1"/>
  <c r="IW37" i="7"/>
  <c r="IX33" i="7" s="1"/>
  <c r="IX34" i="7" s="1"/>
  <c r="IX35" i="7" s="1"/>
  <c r="IT107" i="7"/>
  <c r="IT115" i="7" s="1"/>
  <c r="IT123" i="7" s="1"/>
  <c r="IT106" i="7"/>
  <c r="IT114" i="7" s="1"/>
  <c r="IT122" i="7" s="1"/>
  <c r="IT103" i="7"/>
  <c r="IT111" i="7" s="1"/>
  <c r="IT119" i="7" s="1"/>
  <c r="IT104" i="7"/>
  <c r="IT112" i="7" s="1"/>
  <c r="IT120" i="7" s="1"/>
  <c r="IT105" i="7"/>
  <c r="IT113" i="7" s="1"/>
  <c r="IT121" i="7" s="1"/>
  <c r="IV77" i="7"/>
  <c r="IU92" i="7"/>
  <c r="IU90" i="7"/>
  <c r="IW72" i="7"/>
  <c r="IV83" i="7"/>
  <c r="IV88" i="7" s="1"/>
  <c r="IV89" i="7" s="1"/>
  <c r="IW30" i="7" l="1"/>
  <c r="IW31" i="7" s="1"/>
  <c r="IW68" i="7"/>
  <c r="IW46" i="7"/>
  <c r="IW47" i="7" s="1"/>
  <c r="IW62" i="7"/>
  <c r="IW63" i="7" s="1"/>
  <c r="IW73" i="7"/>
  <c r="IU94" i="7"/>
  <c r="IU93" i="7"/>
  <c r="IU95" i="7"/>
  <c r="IU96" i="7"/>
  <c r="IU100" i="7"/>
  <c r="IW38" i="7"/>
  <c r="IW39" i="7" s="1"/>
  <c r="IW65" i="7"/>
  <c r="IV79" i="7"/>
  <c r="IV78" i="7"/>
  <c r="IV81" i="7"/>
  <c r="IV82" i="7"/>
  <c r="IV80" i="7"/>
  <c r="IV85" i="7"/>
  <c r="IW54" i="7"/>
  <c r="IW55" i="7" s="1"/>
  <c r="IX26" i="7"/>
  <c r="IX27" i="7" s="1"/>
  <c r="IW69" i="7" l="1"/>
  <c r="IW70" i="7" s="1"/>
  <c r="IW74" i="7"/>
  <c r="IX28" i="7"/>
  <c r="IX44" i="7"/>
  <c r="IX60" i="7"/>
  <c r="IX36" i="7"/>
  <c r="IX52" i="7"/>
  <c r="IV98" i="7"/>
  <c r="IU108" i="7"/>
  <c r="IU116" i="7" s="1"/>
  <c r="IU102" i="7"/>
  <c r="IX67" i="7" l="1"/>
  <c r="IW77" i="7"/>
  <c r="IW80" i="7" s="1"/>
  <c r="IW75" i="7"/>
  <c r="IW83" i="7" s="1"/>
  <c r="IX72" i="7"/>
  <c r="IU107" i="7"/>
  <c r="IU115" i="7" s="1"/>
  <c r="IU123" i="7" s="1"/>
  <c r="IU103" i="7"/>
  <c r="IU111" i="7" s="1"/>
  <c r="IU119" i="7" s="1"/>
  <c r="IU104" i="7"/>
  <c r="IU112" i="7" s="1"/>
  <c r="IU120" i="7" s="1"/>
  <c r="IU106" i="7"/>
  <c r="IU114" i="7" s="1"/>
  <c r="IU122" i="7" s="1"/>
  <c r="IU105" i="7"/>
  <c r="IU113" i="7" s="1"/>
  <c r="IU121" i="7" s="1"/>
  <c r="IX29" i="7"/>
  <c r="IY25" i="7" s="1"/>
  <c r="IX61" i="7"/>
  <c r="IY57" i="7" s="1"/>
  <c r="IY58" i="7" s="1"/>
  <c r="IY59" i="7" s="1"/>
  <c r="IX45" i="7"/>
  <c r="IY41" i="7" s="1"/>
  <c r="IY42" i="7" s="1"/>
  <c r="IY43" i="7" s="1"/>
  <c r="IX53" i="7"/>
  <c r="IY49" i="7" s="1"/>
  <c r="IY50" i="7" s="1"/>
  <c r="IY51" i="7" s="1"/>
  <c r="IX37" i="7"/>
  <c r="IY33" i="7" s="1"/>
  <c r="IY34" i="7" s="1"/>
  <c r="IY35" i="7" s="1"/>
  <c r="IV90" i="7"/>
  <c r="IV92" i="7"/>
  <c r="IW79" i="7" l="1"/>
  <c r="IW82" i="7"/>
  <c r="IW81" i="7"/>
  <c r="IW78" i="7"/>
  <c r="IX38" i="7"/>
  <c r="IX39" i="7" s="1"/>
  <c r="IX54" i="7"/>
  <c r="IX55" i="7" s="1"/>
  <c r="IW85" i="7"/>
  <c r="IW88" i="7"/>
  <c r="IW89" i="7" s="1"/>
  <c r="IY26" i="7"/>
  <c r="IY27" i="7" s="1"/>
  <c r="IX73" i="7"/>
  <c r="IV96" i="7"/>
  <c r="IV93" i="7"/>
  <c r="IV94" i="7"/>
  <c r="IV95" i="7"/>
  <c r="IV100" i="7"/>
  <c r="IX65" i="7"/>
  <c r="IX68" i="7"/>
  <c r="IX46" i="7"/>
  <c r="IX47" i="7" s="1"/>
  <c r="IX62" i="7"/>
  <c r="IX63" i="7" s="1"/>
  <c r="IX30" i="7"/>
  <c r="IX31" i="7" s="1"/>
  <c r="IW98" i="7" l="1"/>
  <c r="IW92" i="7" s="1"/>
  <c r="IW100" i="7" s="1"/>
  <c r="IW102" i="7" s="1"/>
  <c r="IX69" i="7"/>
  <c r="IY60" i="7"/>
  <c r="IY28" i="7"/>
  <c r="IY44" i="7"/>
  <c r="IY52" i="7"/>
  <c r="IY36" i="7"/>
  <c r="IV108" i="7"/>
  <c r="IV116" i="7" s="1"/>
  <c r="IV102" i="7"/>
  <c r="IX74" i="7"/>
  <c r="IX75" i="7" s="1"/>
  <c r="IW108" i="7" l="1"/>
  <c r="IW116" i="7" s="1"/>
  <c r="IW94" i="7"/>
  <c r="IW93" i="7"/>
  <c r="IW96" i="7"/>
  <c r="IW95" i="7"/>
  <c r="IW90" i="7"/>
  <c r="IY72" i="7"/>
  <c r="IV104" i="7"/>
  <c r="IV112" i="7" s="1"/>
  <c r="IV120" i="7" s="1"/>
  <c r="IV106" i="7"/>
  <c r="IV114" i="7" s="1"/>
  <c r="IV122" i="7" s="1"/>
  <c r="IV105" i="7"/>
  <c r="IV113" i="7" s="1"/>
  <c r="IV121" i="7" s="1"/>
  <c r="IV103" i="7"/>
  <c r="IV111" i="7" s="1"/>
  <c r="IV119" i="7" s="1"/>
  <c r="IV107" i="7"/>
  <c r="IV115" i="7" s="1"/>
  <c r="IV123" i="7" s="1"/>
  <c r="IX77" i="7"/>
  <c r="IX70" i="7"/>
  <c r="IX83" i="7" s="1"/>
  <c r="IX88" i="7" s="1"/>
  <c r="IX89" i="7" s="1"/>
  <c r="IY61" i="7"/>
  <c r="IZ57" i="7" s="1"/>
  <c r="IZ58" i="7" s="1"/>
  <c r="IZ59" i="7" s="1"/>
  <c r="IY37" i="7"/>
  <c r="IZ33" i="7" s="1"/>
  <c r="IZ34" i="7" s="1"/>
  <c r="IZ35" i="7" s="1"/>
  <c r="IY29" i="7"/>
  <c r="IZ25" i="7" s="1"/>
  <c r="IY45" i="7"/>
  <c r="IZ41" i="7" s="1"/>
  <c r="IZ42" i="7" s="1"/>
  <c r="IZ43" i="7" s="1"/>
  <c r="IY53" i="7"/>
  <c r="IZ49" i="7" s="1"/>
  <c r="IZ50" i="7" s="1"/>
  <c r="IZ51" i="7" s="1"/>
  <c r="IY67" i="7"/>
  <c r="IW103" i="7"/>
  <c r="IW107" i="7"/>
  <c r="IW115" i="7" s="1"/>
  <c r="IW123" i="7" s="1"/>
  <c r="IW104" i="7"/>
  <c r="IW112" i="7" s="1"/>
  <c r="IW120" i="7" s="1"/>
  <c r="IW105" i="7"/>
  <c r="IW113" i="7" s="1"/>
  <c r="IW121" i="7" s="1"/>
  <c r="IW106" i="7"/>
  <c r="IW111" i="7" l="1"/>
  <c r="IW119" i="7" s="1"/>
  <c r="IW114" i="7"/>
  <c r="IW122" i="7" s="1"/>
  <c r="IY65" i="7"/>
  <c r="IY73" i="7"/>
  <c r="IZ26" i="7"/>
  <c r="IZ27" i="7" s="1"/>
  <c r="IY38" i="7"/>
  <c r="IY39" i="7" s="1"/>
  <c r="IX80" i="7"/>
  <c r="IX79" i="7"/>
  <c r="IX81" i="7"/>
  <c r="IX82" i="7"/>
  <c r="IX78" i="7"/>
  <c r="IX85" i="7"/>
  <c r="IY46" i="7"/>
  <c r="IY47" i="7" s="1"/>
  <c r="IY30" i="7"/>
  <c r="IY31" i="7" s="1"/>
  <c r="IY62" i="7"/>
  <c r="IY68" i="7"/>
  <c r="IY54" i="7"/>
  <c r="IY55" i="7" s="1"/>
  <c r="IY74" i="7" l="1"/>
  <c r="IY75" i="7" s="1"/>
  <c r="IY69" i="7"/>
  <c r="IY70" i="7" s="1"/>
  <c r="IZ28" i="7"/>
  <c r="IZ44" i="7"/>
  <c r="IZ52" i="7"/>
  <c r="IZ60" i="7"/>
  <c r="IZ36" i="7"/>
  <c r="IX98" i="7"/>
  <c r="IY63" i="7"/>
  <c r="IZ72" i="7" l="1"/>
  <c r="IZ67" i="7"/>
  <c r="IY83" i="7"/>
  <c r="IY88" i="7" s="1"/>
  <c r="IY89" i="7" s="1"/>
  <c r="IY77" i="7"/>
  <c r="IY81" i="7" s="1"/>
  <c r="IX90" i="7"/>
  <c r="IX92" i="7"/>
  <c r="IZ61" i="7"/>
  <c r="JA57" i="7" s="1"/>
  <c r="JA58" i="7" s="1"/>
  <c r="JA59" i="7" s="1"/>
  <c r="IZ45" i="7"/>
  <c r="JA41" i="7" s="1"/>
  <c r="JA42" i="7" s="1"/>
  <c r="JA43" i="7" s="1"/>
  <c r="IZ29" i="7"/>
  <c r="JA25" i="7" s="1"/>
  <c r="IZ53" i="7"/>
  <c r="JA49" i="7" s="1"/>
  <c r="JA50" i="7" s="1"/>
  <c r="JA51" i="7" s="1"/>
  <c r="IZ37" i="7"/>
  <c r="JA33" i="7" s="1"/>
  <c r="JA34" i="7" s="1"/>
  <c r="JA35" i="7" s="1"/>
  <c r="IY78" i="7" l="1"/>
  <c r="IY79" i="7"/>
  <c r="IY80" i="7"/>
  <c r="IY82" i="7"/>
  <c r="IY85" i="7"/>
  <c r="IY98" i="7" s="1"/>
  <c r="IZ30" i="7"/>
  <c r="IZ31" i="7" s="1"/>
  <c r="IZ54" i="7"/>
  <c r="IZ55" i="7" s="1"/>
  <c r="IZ38" i="7"/>
  <c r="IZ39" i="7" s="1"/>
  <c r="IZ46" i="7"/>
  <c r="IZ47" i="7" s="1"/>
  <c r="IZ68" i="7"/>
  <c r="IZ65" i="7"/>
  <c r="IZ73" i="7"/>
  <c r="IZ62" i="7"/>
  <c r="IZ63" i="7" s="1"/>
  <c r="IX93" i="7"/>
  <c r="IX94" i="7"/>
  <c r="IX96" i="7"/>
  <c r="IX95" i="7"/>
  <c r="IX100" i="7"/>
  <c r="JA26" i="7"/>
  <c r="JA27" i="7" s="1"/>
  <c r="IX108" i="7" l="1"/>
  <c r="IX116" i="7" s="1"/>
  <c r="IX102" i="7"/>
  <c r="IY90" i="7"/>
  <c r="IY92" i="7"/>
  <c r="IZ69" i="7"/>
  <c r="JA67" i="7" s="1"/>
  <c r="JA36" i="7"/>
  <c r="JA60" i="7"/>
  <c r="JA52" i="7"/>
  <c r="JA28" i="7"/>
  <c r="JA44" i="7"/>
  <c r="IZ74" i="7"/>
  <c r="IZ75" i="7" s="1"/>
  <c r="JA72" i="7" l="1"/>
  <c r="IZ70" i="7"/>
  <c r="IZ83" i="7" s="1"/>
  <c r="IZ88" i="7" s="1"/>
  <c r="IZ89" i="7" s="1"/>
  <c r="IZ77" i="7"/>
  <c r="IY94" i="7"/>
  <c r="IY93" i="7"/>
  <c r="IY96" i="7"/>
  <c r="IY95" i="7"/>
  <c r="IY100" i="7"/>
  <c r="JA61" i="7"/>
  <c r="JB57" i="7" s="1"/>
  <c r="JB58" i="7" s="1"/>
  <c r="JB59" i="7" s="1"/>
  <c r="JA37" i="7"/>
  <c r="JB33" i="7" s="1"/>
  <c r="JB34" i="7" s="1"/>
  <c r="JB35" i="7" s="1"/>
  <c r="JA45" i="7"/>
  <c r="JB41" i="7" s="1"/>
  <c r="JB42" i="7" s="1"/>
  <c r="JB43" i="7" s="1"/>
  <c r="JA29" i="7"/>
  <c r="JB25" i="7" s="1"/>
  <c r="JA53" i="7"/>
  <c r="JB49" i="7" s="1"/>
  <c r="JB50" i="7" s="1"/>
  <c r="JB51" i="7" s="1"/>
  <c r="IX103" i="7"/>
  <c r="IX111" i="7" s="1"/>
  <c r="IX119" i="7" s="1"/>
  <c r="IX106" i="7"/>
  <c r="IX114" i="7" s="1"/>
  <c r="IX122" i="7" s="1"/>
  <c r="IX104" i="7"/>
  <c r="IX112" i="7" s="1"/>
  <c r="IX120" i="7" s="1"/>
  <c r="IX105" i="7"/>
  <c r="IX113" i="7" s="1"/>
  <c r="IX121" i="7" s="1"/>
  <c r="IX107" i="7"/>
  <c r="IX115" i="7" s="1"/>
  <c r="IX123" i="7" s="1"/>
  <c r="JA62" i="7" l="1"/>
  <c r="JA54" i="7"/>
  <c r="JA55" i="7" s="1"/>
  <c r="JA65" i="7"/>
  <c r="JA46" i="7"/>
  <c r="JA47" i="7" s="1"/>
  <c r="JA63" i="7"/>
  <c r="JA30" i="7"/>
  <c r="JA31" i="7" s="1"/>
  <c r="JA38" i="7"/>
  <c r="JA39" i="7" s="1"/>
  <c r="JB26" i="7"/>
  <c r="JB27" i="7" s="1"/>
  <c r="IY102" i="7"/>
  <c r="IY108" i="7"/>
  <c r="IY116" i="7" s="1"/>
  <c r="IZ79" i="7"/>
  <c r="IZ78" i="7"/>
  <c r="IZ80" i="7"/>
  <c r="IZ81" i="7"/>
  <c r="IZ82" i="7"/>
  <c r="IZ85" i="7"/>
  <c r="IZ98" i="7" s="1"/>
  <c r="JA73" i="7"/>
  <c r="JA68" i="7"/>
  <c r="JA69" i="7" l="1"/>
  <c r="JA70" i="7" s="1"/>
  <c r="JB36" i="7"/>
  <c r="JB60" i="7"/>
  <c r="JB28" i="7"/>
  <c r="JB52" i="7"/>
  <c r="JB44" i="7"/>
  <c r="IZ92" i="7"/>
  <c r="IZ100" i="7" s="1"/>
  <c r="IZ90" i="7"/>
  <c r="JA74" i="7"/>
  <c r="JA75" i="7" s="1"/>
  <c r="IY105" i="7"/>
  <c r="IY113" i="7" s="1"/>
  <c r="IY121" i="7" s="1"/>
  <c r="IY106" i="7"/>
  <c r="IY114" i="7" s="1"/>
  <c r="IY122" i="7" s="1"/>
  <c r="IY107" i="7"/>
  <c r="IY115" i="7" s="1"/>
  <c r="IY123" i="7" s="1"/>
  <c r="IY104" i="7"/>
  <c r="IY112" i="7" s="1"/>
  <c r="IY120" i="7" s="1"/>
  <c r="IY103" i="7"/>
  <c r="IY111" i="7" s="1"/>
  <c r="IY119" i="7" s="1"/>
  <c r="JB67" i="7" l="1"/>
  <c r="JB72" i="7"/>
  <c r="IZ108" i="7"/>
  <c r="IZ116" i="7" s="1"/>
  <c r="IZ102" i="7"/>
  <c r="JA83" i="7"/>
  <c r="JA88" i="7" s="1"/>
  <c r="JA89" i="7" s="1"/>
  <c r="JB37" i="7"/>
  <c r="JC33" i="7" s="1"/>
  <c r="JC34" i="7" s="1"/>
  <c r="JC35" i="7" s="1"/>
  <c r="JB45" i="7"/>
  <c r="JC41" i="7" s="1"/>
  <c r="JC42" i="7" s="1"/>
  <c r="JC43" i="7" s="1"/>
  <c r="JB61" i="7"/>
  <c r="JC57" i="7" s="1"/>
  <c r="JC58" i="7" s="1"/>
  <c r="JC59" i="7" s="1"/>
  <c r="JB29" i="7"/>
  <c r="JC25" i="7" s="1"/>
  <c r="JB53" i="7"/>
  <c r="JC49" i="7" s="1"/>
  <c r="JC50" i="7" s="1"/>
  <c r="JC51" i="7" s="1"/>
  <c r="IZ95" i="7"/>
  <c r="IZ96" i="7"/>
  <c r="IZ94" i="7"/>
  <c r="IZ93" i="7"/>
  <c r="JA77" i="7"/>
  <c r="JB46" i="7" l="1"/>
  <c r="JB47" i="7" s="1"/>
  <c r="JB62" i="7"/>
  <c r="JB63" i="7" s="1"/>
  <c r="JB65" i="7"/>
  <c r="JB73" i="7"/>
  <c r="JB68" i="7"/>
  <c r="JB30" i="7"/>
  <c r="JB31" i="7" s="1"/>
  <c r="JB38" i="7"/>
  <c r="JB39" i="7" s="1"/>
  <c r="JA80" i="7"/>
  <c r="JA82" i="7"/>
  <c r="JA81" i="7"/>
  <c r="JA79" i="7"/>
  <c r="JA78" i="7"/>
  <c r="JA85" i="7"/>
  <c r="JC26" i="7"/>
  <c r="JC27" i="7" s="1"/>
  <c r="IZ104" i="7"/>
  <c r="IZ112" i="7" s="1"/>
  <c r="IZ120" i="7" s="1"/>
  <c r="IZ105" i="7"/>
  <c r="IZ113" i="7" s="1"/>
  <c r="IZ121" i="7" s="1"/>
  <c r="IZ106" i="7"/>
  <c r="IZ114" i="7" s="1"/>
  <c r="IZ122" i="7" s="1"/>
  <c r="IZ103" i="7"/>
  <c r="IZ111" i="7" s="1"/>
  <c r="IZ119" i="7" s="1"/>
  <c r="IZ107" i="7"/>
  <c r="IZ115" i="7" s="1"/>
  <c r="IZ123" i="7" s="1"/>
  <c r="JB54" i="7"/>
  <c r="JB55" i="7" s="1"/>
  <c r="JB69" i="7" l="1"/>
  <c r="JC67" i="7" s="1"/>
  <c r="JB74" i="7"/>
  <c r="JB75" i="7" s="1"/>
  <c r="JA98" i="7"/>
  <c r="JC52" i="7"/>
  <c r="JC60" i="7"/>
  <c r="JC36" i="7"/>
  <c r="JC44" i="7"/>
  <c r="JC28" i="7"/>
  <c r="JB70" i="7" l="1"/>
  <c r="JB83" i="7" s="1"/>
  <c r="JB88" i="7" s="1"/>
  <c r="JB89" i="7" s="1"/>
  <c r="JC72" i="7"/>
  <c r="JB77" i="7"/>
  <c r="JB78" i="7" s="1"/>
  <c r="JC45" i="7"/>
  <c r="JD41" i="7" s="1"/>
  <c r="JD42" i="7" s="1"/>
  <c r="JD43" i="7" s="1"/>
  <c r="JC61" i="7"/>
  <c r="JD57" i="7" s="1"/>
  <c r="JD58" i="7" s="1"/>
  <c r="JD59" i="7" s="1"/>
  <c r="JC53" i="7"/>
  <c r="JD49" i="7" s="1"/>
  <c r="JD50" i="7" s="1"/>
  <c r="JD51" i="7" s="1"/>
  <c r="JC37" i="7"/>
  <c r="JD33" i="7" s="1"/>
  <c r="JD34" i="7" s="1"/>
  <c r="JD35" i="7" s="1"/>
  <c r="JC29" i="7"/>
  <c r="JD25" i="7" s="1"/>
  <c r="JA90" i="7"/>
  <c r="JA92" i="7"/>
  <c r="JB85" i="7" l="1"/>
  <c r="JB98" i="7" s="1"/>
  <c r="JB92" i="7" s="1"/>
  <c r="JB93" i="7" s="1"/>
  <c r="JB82" i="7"/>
  <c r="JB81" i="7"/>
  <c r="JB80" i="7"/>
  <c r="JB79" i="7"/>
  <c r="JC38" i="7"/>
  <c r="JC39" i="7" s="1"/>
  <c r="JC54" i="7"/>
  <c r="JC55" i="7" s="1"/>
  <c r="JA94" i="7"/>
  <c r="JA93" i="7"/>
  <c r="JA96" i="7"/>
  <c r="JA95" i="7"/>
  <c r="JA100" i="7"/>
  <c r="JC73" i="7"/>
  <c r="JC65" i="7"/>
  <c r="JC62" i="7"/>
  <c r="JC63" i="7" s="1"/>
  <c r="JC30" i="7"/>
  <c r="JC31" i="7" s="1"/>
  <c r="JC46" i="7"/>
  <c r="JC47" i="7" s="1"/>
  <c r="JD26" i="7"/>
  <c r="JD27" i="7" s="1"/>
  <c r="JC68" i="7"/>
  <c r="JB100" i="7" l="1"/>
  <c r="JB102" i="7" s="1"/>
  <c r="JB95" i="7"/>
  <c r="JB96" i="7"/>
  <c r="JB94" i="7"/>
  <c r="JB90" i="7"/>
  <c r="JC69" i="7"/>
  <c r="JD36" i="7"/>
  <c r="JD44" i="7"/>
  <c r="JD60" i="7"/>
  <c r="JD52" i="7"/>
  <c r="JD28" i="7"/>
  <c r="JC74" i="7"/>
  <c r="JC75" i="7" s="1"/>
  <c r="JA102" i="7"/>
  <c r="JA108" i="7"/>
  <c r="JA116" i="7" s="1"/>
  <c r="JB108" i="7" l="1"/>
  <c r="JB116" i="7" s="1"/>
  <c r="JD72" i="7"/>
  <c r="JC70" i="7"/>
  <c r="JC83" i="7" s="1"/>
  <c r="JC88" i="7" s="1"/>
  <c r="JC89" i="7" s="1"/>
  <c r="JC77" i="7"/>
  <c r="JD61" i="7"/>
  <c r="JE57" i="7" s="1"/>
  <c r="JE58" i="7" s="1"/>
  <c r="JE59" i="7" s="1"/>
  <c r="JD53" i="7"/>
  <c r="JE49" i="7" s="1"/>
  <c r="JE50" i="7" s="1"/>
  <c r="JE51" i="7" s="1"/>
  <c r="JD37" i="7"/>
  <c r="JE33" i="7" s="1"/>
  <c r="JE34" i="7" s="1"/>
  <c r="JE35" i="7" s="1"/>
  <c r="JD45" i="7"/>
  <c r="JE41" i="7" s="1"/>
  <c r="JE42" i="7" s="1"/>
  <c r="JE43" i="7" s="1"/>
  <c r="JD29" i="7"/>
  <c r="JE25" i="7" s="1"/>
  <c r="JA104" i="7"/>
  <c r="JA112" i="7" s="1"/>
  <c r="JA120" i="7" s="1"/>
  <c r="JA103" i="7"/>
  <c r="JA111" i="7" s="1"/>
  <c r="JA119" i="7" s="1"/>
  <c r="JA107" i="7"/>
  <c r="JA115" i="7" s="1"/>
  <c r="JA123" i="7" s="1"/>
  <c r="JA105" i="7"/>
  <c r="JA113" i="7" s="1"/>
  <c r="JA121" i="7" s="1"/>
  <c r="JA106" i="7"/>
  <c r="JA114" i="7" s="1"/>
  <c r="JA122" i="7" s="1"/>
  <c r="JB103" i="7"/>
  <c r="JB111" i="7" s="1"/>
  <c r="JB119" i="7" s="1"/>
  <c r="JB107" i="7"/>
  <c r="JB115" i="7" s="1"/>
  <c r="JB123" i="7" s="1"/>
  <c r="JB104" i="7"/>
  <c r="JB112" i="7" s="1"/>
  <c r="JB120" i="7" s="1"/>
  <c r="JB105" i="7"/>
  <c r="JB113" i="7" s="1"/>
  <c r="JB121" i="7" s="1"/>
  <c r="JB106" i="7"/>
  <c r="JB114" i="7" s="1"/>
  <c r="JB122" i="7" s="1"/>
  <c r="JD67" i="7"/>
  <c r="JD65" i="7" l="1"/>
  <c r="JD73" i="7"/>
  <c r="JD46" i="7"/>
  <c r="JD47" i="7" s="1"/>
  <c r="JD68" i="7"/>
  <c r="JE26" i="7"/>
  <c r="JE27" i="7" s="1"/>
  <c r="JD30" i="7"/>
  <c r="JD31" i="7" s="1"/>
  <c r="JD54" i="7"/>
  <c r="JD55" i="7" s="1"/>
  <c r="JC82" i="7"/>
  <c r="JC80" i="7"/>
  <c r="JC79" i="7"/>
  <c r="JC81" i="7"/>
  <c r="JC78" i="7"/>
  <c r="JC85" i="7"/>
  <c r="JD62" i="7"/>
  <c r="JD38" i="7"/>
  <c r="JD39" i="7" s="1"/>
  <c r="JD74" i="7" l="1"/>
  <c r="JD75" i="7" s="1"/>
  <c r="JD63" i="7"/>
  <c r="JD69" i="7"/>
  <c r="JE28" i="7"/>
  <c r="JE36" i="7"/>
  <c r="JE52" i="7"/>
  <c r="JE60" i="7"/>
  <c r="JE44" i="7"/>
  <c r="JC98" i="7"/>
  <c r="JE72" i="7" l="1"/>
  <c r="JC92" i="7"/>
  <c r="JC90" i="7"/>
  <c r="JE45" i="7"/>
  <c r="JF41" i="7" s="1"/>
  <c r="JF42" i="7" s="1"/>
  <c r="JF43" i="7" s="1"/>
  <c r="JE29" i="7"/>
  <c r="JF25" i="7" s="1"/>
  <c r="JE53" i="7"/>
  <c r="JF49" i="7" s="1"/>
  <c r="JF50" i="7" s="1"/>
  <c r="JF51" i="7" s="1"/>
  <c r="JE37" i="7"/>
  <c r="JF33" i="7" s="1"/>
  <c r="JF34" i="7" s="1"/>
  <c r="JF35" i="7" s="1"/>
  <c r="JE61" i="7"/>
  <c r="JF57" i="7" s="1"/>
  <c r="JF58" i="7" s="1"/>
  <c r="JF59" i="7" s="1"/>
  <c r="JD70" i="7"/>
  <c r="JD83" i="7" s="1"/>
  <c r="JD88" i="7" s="1"/>
  <c r="JD89" i="7" s="1"/>
  <c r="JD77" i="7"/>
  <c r="JE67" i="7"/>
  <c r="JE30" i="7" l="1"/>
  <c r="JE31" i="7" s="1"/>
  <c r="JE46" i="7"/>
  <c r="JE47" i="7" s="1"/>
  <c r="JE68" i="7"/>
  <c r="JE65" i="7"/>
  <c r="JE38" i="7"/>
  <c r="JE39" i="7" s="1"/>
  <c r="JD82" i="7"/>
  <c r="JD80" i="7"/>
  <c r="JD81" i="7"/>
  <c r="JD79" i="7"/>
  <c r="JD78" i="7"/>
  <c r="JD85" i="7"/>
  <c r="JE62" i="7"/>
  <c r="JE63" i="7" s="1"/>
  <c r="JE54" i="7"/>
  <c r="JE55" i="7" s="1"/>
  <c r="JE73" i="7"/>
  <c r="JF26" i="7"/>
  <c r="JF27" i="7" s="1"/>
  <c r="JC96" i="7"/>
  <c r="JC93" i="7"/>
  <c r="JC94" i="7"/>
  <c r="JC95" i="7"/>
  <c r="JC100" i="7"/>
  <c r="JE69" i="7" l="1"/>
  <c r="JE70" i="7" s="1"/>
  <c r="JF36" i="7"/>
  <c r="JF44" i="7"/>
  <c r="JF60" i="7"/>
  <c r="JF28" i="7"/>
  <c r="JF52" i="7"/>
  <c r="JE74" i="7"/>
  <c r="JE75" i="7" s="1"/>
  <c r="JC102" i="7"/>
  <c r="JC108" i="7"/>
  <c r="JC116" i="7" s="1"/>
  <c r="JD98" i="7"/>
  <c r="JF67" i="7" l="1"/>
  <c r="JE83" i="7"/>
  <c r="JE88" i="7" s="1"/>
  <c r="JE89" i="7" s="1"/>
  <c r="JC103" i="7"/>
  <c r="JC111" i="7" s="1"/>
  <c r="JC119" i="7" s="1"/>
  <c r="JC104" i="7"/>
  <c r="JC112" i="7" s="1"/>
  <c r="JC120" i="7" s="1"/>
  <c r="JC106" i="7"/>
  <c r="JC114" i="7" s="1"/>
  <c r="JC122" i="7" s="1"/>
  <c r="JC105" i="7"/>
  <c r="JC113" i="7" s="1"/>
  <c r="JC121" i="7" s="1"/>
  <c r="JC107" i="7"/>
  <c r="JC115" i="7" s="1"/>
  <c r="JC123" i="7" s="1"/>
  <c r="JF72" i="7"/>
  <c r="JD92" i="7"/>
  <c r="JD90" i="7"/>
  <c r="JF29" i="7"/>
  <c r="JG25" i="7" s="1"/>
  <c r="JF37" i="7"/>
  <c r="JG33" i="7" s="1"/>
  <c r="JG34" i="7" s="1"/>
  <c r="JG35" i="7" s="1"/>
  <c r="JF61" i="7"/>
  <c r="JG57" i="7" s="1"/>
  <c r="JG58" i="7" s="1"/>
  <c r="JG59" i="7" s="1"/>
  <c r="JF45" i="7"/>
  <c r="JG41" i="7" s="1"/>
  <c r="JG42" i="7" s="1"/>
  <c r="JG43" i="7" s="1"/>
  <c r="JF53" i="7"/>
  <c r="JG49" i="7" s="1"/>
  <c r="JG50" i="7" s="1"/>
  <c r="JG51" i="7" s="1"/>
  <c r="JE77" i="7"/>
  <c r="JF73" i="7" l="1"/>
  <c r="JF54" i="7"/>
  <c r="JF55" i="7" s="1"/>
  <c r="JG26" i="7"/>
  <c r="JG27" i="7" s="1"/>
  <c r="JF38" i="7"/>
  <c r="JF39" i="7" s="1"/>
  <c r="JF65" i="7"/>
  <c r="JD93" i="7"/>
  <c r="JD96" i="7"/>
  <c r="JD94" i="7"/>
  <c r="JD95" i="7"/>
  <c r="JD100" i="7"/>
  <c r="JF46" i="7"/>
  <c r="JF47" i="7" s="1"/>
  <c r="JF68" i="7"/>
  <c r="JE78" i="7"/>
  <c r="JE79" i="7"/>
  <c r="JE81" i="7"/>
  <c r="JE80" i="7"/>
  <c r="JE82" i="7"/>
  <c r="JE85" i="7"/>
  <c r="JF30" i="7"/>
  <c r="JF31" i="7" s="1"/>
  <c r="JF62" i="7"/>
  <c r="JF69" i="7" l="1"/>
  <c r="JE98" i="7"/>
  <c r="JG28" i="7"/>
  <c r="JG60" i="7"/>
  <c r="JG52" i="7"/>
  <c r="JG44" i="7"/>
  <c r="JG36" i="7"/>
  <c r="JF63" i="7"/>
  <c r="JD108" i="7"/>
  <c r="JD116" i="7" s="1"/>
  <c r="JD102" i="7"/>
  <c r="JF74" i="7"/>
  <c r="JF75" i="7" l="1"/>
  <c r="JG72" i="7"/>
  <c r="JE90" i="7"/>
  <c r="JE92" i="7"/>
  <c r="JD104" i="7"/>
  <c r="JD112" i="7" s="1"/>
  <c r="JD120" i="7" s="1"/>
  <c r="JD106" i="7"/>
  <c r="JD114" i="7" s="1"/>
  <c r="JD122" i="7" s="1"/>
  <c r="JD107" i="7"/>
  <c r="JD115" i="7" s="1"/>
  <c r="JD123" i="7" s="1"/>
  <c r="JD105" i="7"/>
  <c r="JD113" i="7" s="1"/>
  <c r="JD121" i="7" s="1"/>
  <c r="JD103" i="7"/>
  <c r="JD111" i="7" s="1"/>
  <c r="JD119" i="7" s="1"/>
  <c r="JG29" i="7"/>
  <c r="JH25" i="7" s="1"/>
  <c r="JG45" i="7"/>
  <c r="JH41" i="7" s="1"/>
  <c r="JH42" i="7" s="1"/>
  <c r="JH43" i="7" s="1"/>
  <c r="JG37" i="7"/>
  <c r="JH33" i="7" s="1"/>
  <c r="JH34" i="7" s="1"/>
  <c r="JH35" i="7" s="1"/>
  <c r="JG53" i="7"/>
  <c r="JH49" i="7" s="1"/>
  <c r="JH50" i="7" s="1"/>
  <c r="JH51" i="7" s="1"/>
  <c r="JG61" i="7"/>
  <c r="JH57" i="7" s="1"/>
  <c r="JH58" i="7" s="1"/>
  <c r="JH59" i="7" s="1"/>
  <c r="JG67" i="7"/>
  <c r="JF77" i="7"/>
  <c r="JF70" i="7"/>
  <c r="JF83" i="7" l="1"/>
  <c r="JF88" i="7" s="1"/>
  <c r="JF89" i="7" s="1"/>
  <c r="JG62" i="7"/>
  <c r="JG63" i="7" s="1"/>
  <c r="JH26" i="7"/>
  <c r="JH27" i="7" s="1"/>
  <c r="JG38" i="7"/>
  <c r="JG39" i="7" s="1"/>
  <c r="JF80" i="7"/>
  <c r="JF82" i="7"/>
  <c r="JF78" i="7"/>
  <c r="JF81" i="7"/>
  <c r="JF79" i="7"/>
  <c r="JG68" i="7"/>
  <c r="JG73" i="7"/>
  <c r="JG65" i="7"/>
  <c r="JG30" i="7"/>
  <c r="JG31" i="7" s="1"/>
  <c r="JG54" i="7"/>
  <c r="JG55" i="7" s="1"/>
  <c r="JE95" i="7"/>
  <c r="JE96" i="7"/>
  <c r="JE94" i="7"/>
  <c r="JE93" i="7"/>
  <c r="JE100" i="7"/>
  <c r="JG46" i="7"/>
  <c r="JG47" i="7" s="1"/>
  <c r="JF85" i="7" l="1"/>
  <c r="JG69" i="7"/>
  <c r="JH67" i="7" s="1"/>
  <c r="JH36" i="7"/>
  <c r="JH60" i="7"/>
  <c r="JH28" i="7"/>
  <c r="JH44" i="7"/>
  <c r="JH52" i="7"/>
  <c r="JF98" i="7"/>
  <c r="JE108" i="7"/>
  <c r="JE116" i="7" s="1"/>
  <c r="JE102" i="7"/>
  <c r="JG74" i="7"/>
  <c r="JG77" i="7" l="1"/>
  <c r="JG80" i="7" s="1"/>
  <c r="JG70" i="7"/>
  <c r="JH61" i="7"/>
  <c r="JI57" i="7" s="1"/>
  <c r="JI58" i="7" s="1"/>
  <c r="JI59" i="7" s="1"/>
  <c r="JH37" i="7"/>
  <c r="JI33" i="7" s="1"/>
  <c r="JI34" i="7" s="1"/>
  <c r="JI35" i="7" s="1"/>
  <c r="JH45" i="7"/>
  <c r="JI41" i="7" s="1"/>
  <c r="JI42" i="7" s="1"/>
  <c r="JI43" i="7" s="1"/>
  <c r="JH53" i="7"/>
  <c r="JI49" i="7" s="1"/>
  <c r="JI50" i="7" s="1"/>
  <c r="JI51" i="7" s="1"/>
  <c r="JH29" i="7"/>
  <c r="JI25" i="7" s="1"/>
  <c r="JE106" i="7"/>
  <c r="JE114" i="7" s="1"/>
  <c r="JE122" i="7" s="1"/>
  <c r="JE105" i="7"/>
  <c r="JE113" i="7" s="1"/>
  <c r="JE121" i="7" s="1"/>
  <c r="JE104" i="7"/>
  <c r="JE112" i="7" s="1"/>
  <c r="JE120" i="7" s="1"/>
  <c r="JE107" i="7"/>
  <c r="JE115" i="7" s="1"/>
  <c r="JE123" i="7" s="1"/>
  <c r="JE103" i="7"/>
  <c r="JE111" i="7" s="1"/>
  <c r="JE119" i="7" s="1"/>
  <c r="JG75" i="7"/>
  <c r="JH72" i="7"/>
  <c r="JF92" i="7"/>
  <c r="JF90" i="7"/>
  <c r="JG82" i="7" l="1"/>
  <c r="JG81" i="7"/>
  <c r="JG79" i="7"/>
  <c r="JG78" i="7"/>
  <c r="JG83" i="7"/>
  <c r="JG85" i="7" s="1"/>
  <c r="JH38" i="7"/>
  <c r="JH39" i="7" s="1"/>
  <c r="JH46" i="7"/>
  <c r="JH47" i="7" s="1"/>
  <c r="JH62" i="7"/>
  <c r="JH63" i="7" s="1"/>
  <c r="JH30" i="7"/>
  <c r="JH31" i="7" s="1"/>
  <c r="JI26" i="7"/>
  <c r="JI27" i="7" s="1"/>
  <c r="JH65" i="7"/>
  <c r="JH54" i="7"/>
  <c r="JH55" i="7" s="1"/>
  <c r="JH68" i="7"/>
  <c r="JF95" i="7"/>
  <c r="JF93" i="7"/>
  <c r="JF94" i="7"/>
  <c r="JF96" i="7"/>
  <c r="JF100" i="7"/>
  <c r="JH73" i="7"/>
  <c r="JG88" i="7" l="1"/>
  <c r="JG89" i="7" s="1"/>
  <c r="JG98" i="7" s="1"/>
  <c r="JH74" i="7"/>
  <c r="JH75" i="7" s="1"/>
  <c r="JF108" i="7"/>
  <c r="JF116" i="7" s="1"/>
  <c r="JF102" i="7"/>
  <c r="JH69" i="7"/>
  <c r="JI28" i="7"/>
  <c r="JI44" i="7"/>
  <c r="JI52" i="7"/>
  <c r="JI60" i="7"/>
  <c r="JI36" i="7"/>
  <c r="JI72" i="7" l="1"/>
  <c r="JG90" i="7"/>
  <c r="JG92" i="7"/>
  <c r="JI67" i="7"/>
  <c r="JH70" i="7"/>
  <c r="JH83" i="7" s="1"/>
  <c r="JH88" i="7" s="1"/>
  <c r="JH89" i="7" s="1"/>
  <c r="JH77" i="7"/>
  <c r="JF106" i="7"/>
  <c r="JF114" i="7" s="1"/>
  <c r="JF122" i="7" s="1"/>
  <c r="JF107" i="7"/>
  <c r="JF115" i="7" s="1"/>
  <c r="JF123" i="7" s="1"/>
  <c r="JF103" i="7"/>
  <c r="JF111" i="7" s="1"/>
  <c r="JF119" i="7" s="1"/>
  <c r="JF105" i="7"/>
  <c r="JF113" i="7" s="1"/>
  <c r="JF121" i="7" s="1"/>
  <c r="JF104" i="7"/>
  <c r="JF112" i="7" s="1"/>
  <c r="JF120" i="7" s="1"/>
  <c r="JI45" i="7"/>
  <c r="JJ41" i="7" s="1"/>
  <c r="JJ42" i="7" s="1"/>
  <c r="JJ43" i="7" s="1"/>
  <c r="JI61" i="7"/>
  <c r="JJ57" i="7" s="1"/>
  <c r="JJ58" i="7" s="1"/>
  <c r="JJ59" i="7" s="1"/>
  <c r="JI29" i="7"/>
  <c r="JJ25" i="7" s="1"/>
  <c r="JI53" i="7"/>
  <c r="JJ49" i="7" s="1"/>
  <c r="JJ50" i="7" s="1"/>
  <c r="JJ51" i="7" s="1"/>
  <c r="JI37" i="7"/>
  <c r="JJ33" i="7" s="1"/>
  <c r="JJ34" i="7" s="1"/>
  <c r="JJ35" i="7" s="1"/>
  <c r="JI30" i="7" l="1"/>
  <c r="JI31" i="7" s="1"/>
  <c r="JI68" i="7"/>
  <c r="JI73" i="7"/>
  <c r="JI65" i="7"/>
  <c r="JI46" i="7"/>
  <c r="JI47" i="7" s="1"/>
  <c r="JG93" i="7"/>
  <c r="JG95" i="7"/>
  <c r="JG96" i="7"/>
  <c r="JG94" i="7"/>
  <c r="JG100" i="7"/>
  <c r="JI54" i="7"/>
  <c r="JI55" i="7" s="1"/>
  <c r="JJ26" i="7"/>
  <c r="JJ27" i="7" s="1"/>
  <c r="JI62" i="7"/>
  <c r="JI63" i="7" s="1"/>
  <c r="JI38" i="7"/>
  <c r="JI39" i="7" s="1"/>
  <c r="JH81" i="7"/>
  <c r="JH80" i="7"/>
  <c r="JH79" i="7"/>
  <c r="JH82" i="7"/>
  <c r="JH78" i="7"/>
  <c r="JH85" i="7"/>
  <c r="JI69" i="7" l="1"/>
  <c r="JJ67" i="7" s="1"/>
  <c r="JI74" i="7"/>
  <c r="JI75" i="7" s="1"/>
  <c r="JH98" i="7"/>
  <c r="JJ28" i="7"/>
  <c r="JJ60" i="7"/>
  <c r="JJ36" i="7"/>
  <c r="JJ52" i="7"/>
  <c r="JJ44" i="7"/>
  <c r="JG102" i="7"/>
  <c r="JG108" i="7"/>
  <c r="JG116" i="7" s="1"/>
  <c r="JI70" i="7" l="1"/>
  <c r="JI83" i="7" s="1"/>
  <c r="JI88" i="7" s="1"/>
  <c r="JI89" i="7" s="1"/>
  <c r="JI77" i="7"/>
  <c r="JI78" i="7" s="1"/>
  <c r="JJ72" i="7"/>
  <c r="JG103" i="7"/>
  <c r="JG111" i="7" s="1"/>
  <c r="JG119" i="7" s="1"/>
  <c r="JG104" i="7"/>
  <c r="JG112" i="7" s="1"/>
  <c r="JG120" i="7" s="1"/>
  <c r="JG107" i="7"/>
  <c r="JG115" i="7" s="1"/>
  <c r="JG123" i="7" s="1"/>
  <c r="JG106" i="7"/>
  <c r="JG114" i="7" s="1"/>
  <c r="JG122" i="7" s="1"/>
  <c r="JG105" i="7"/>
  <c r="JG113" i="7" s="1"/>
  <c r="JG121" i="7" s="1"/>
  <c r="JJ29" i="7"/>
  <c r="JK25" i="7" s="1"/>
  <c r="JJ61" i="7"/>
  <c r="JK57" i="7" s="1"/>
  <c r="JK58" i="7" s="1"/>
  <c r="JK59" i="7" s="1"/>
  <c r="JJ53" i="7"/>
  <c r="JK49" i="7" s="1"/>
  <c r="JK50" i="7" s="1"/>
  <c r="JK51" i="7" s="1"/>
  <c r="JJ37" i="7"/>
  <c r="JK33" i="7" s="1"/>
  <c r="JK34" i="7" s="1"/>
  <c r="JK35" i="7" s="1"/>
  <c r="JJ45" i="7"/>
  <c r="JK41" i="7" s="1"/>
  <c r="JK42" i="7" s="1"/>
  <c r="JK43" i="7" s="1"/>
  <c r="JH92" i="7"/>
  <c r="JH90" i="7"/>
  <c r="JI85" i="7" l="1"/>
  <c r="JI82" i="7"/>
  <c r="JI81" i="7"/>
  <c r="JI80" i="7"/>
  <c r="JI79" i="7"/>
  <c r="JJ30" i="7"/>
  <c r="JJ31" i="7" s="1"/>
  <c r="JJ73" i="7"/>
  <c r="JJ54" i="7"/>
  <c r="JJ55" i="7" s="1"/>
  <c r="JJ46" i="7"/>
  <c r="JJ47" i="7" s="1"/>
  <c r="JJ38" i="7"/>
  <c r="JJ39" i="7" s="1"/>
  <c r="JH93" i="7"/>
  <c r="JH94" i="7"/>
  <c r="JH95" i="7"/>
  <c r="JH96" i="7"/>
  <c r="JH100" i="7"/>
  <c r="JJ68" i="7"/>
  <c r="JI98" i="7"/>
  <c r="JJ65" i="7"/>
  <c r="JK26" i="7"/>
  <c r="JK27" i="7" s="1"/>
  <c r="JJ62" i="7"/>
  <c r="JJ63" i="7" s="1"/>
  <c r="JJ74" i="7" l="1"/>
  <c r="JJ75" i="7" s="1"/>
  <c r="JK60" i="7"/>
  <c r="JK28" i="7"/>
  <c r="JK36" i="7"/>
  <c r="JK44" i="7"/>
  <c r="JK52" i="7"/>
  <c r="JH108" i="7"/>
  <c r="JH116" i="7" s="1"/>
  <c r="JH102" i="7"/>
  <c r="JI92" i="7"/>
  <c r="JI90" i="7"/>
  <c r="JJ69" i="7"/>
  <c r="JK67" i="7" s="1"/>
  <c r="JK72" i="7" l="1"/>
  <c r="JH104" i="7"/>
  <c r="JH112" i="7" s="1"/>
  <c r="JH120" i="7" s="1"/>
  <c r="JH106" i="7"/>
  <c r="JH114" i="7" s="1"/>
  <c r="JH122" i="7" s="1"/>
  <c r="JH107" i="7"/>
  <c r="JH115" i="7" s="1"/>
  <c r="JH123" i="7" s="1"/>
  <c r="JH103" i="7"/>
  <c r="JH111" i="7" s="1"/>
  <c r="JH119" i="7" s="1"/>
  <c r="JH105" i="7"/>
  <c r="JH113" i="7" s="1"/>
  <c r="JH121" i="7" s="1"/>
  <c r="JI96" i="7"/>
  <c r="JI94" i="7"/>
  <c r="JI95" i="7"/>
  <c r="JI93" i="7"/>
  <c r="JI100" i="7"/>
  <c r="JJ70" i="7"/>
  <c r="JJ83" i="7" s="1"/>
  <c r="JJ88" i="7" s="1"/>
  <c r="JJ89" i="7" s="1"/>
  <c r="JJ77" i="7"/>
  <c r="JK37" i="7"/>
  <c r="JL33" i="7" s="1"/>
  <c r="JL34" i="7" s="1"/>
  <c r="JL35" i="7" s="1"/>
  <c r="JK29" i="7"/>
  <c r="JL25" i="7" s="1"/>
  <c r="JK45" i="7"/>
  <c r="JL41" i="7" s="1"/>
  <c r="JL42" i="7" s="1"/>
  <c r="JL43" i="7" s="1"/>
  <c r="JK61" i="7"/>
  <c r="JL57" i="7" s="1"/>
  <c r="JL58" i="7" s="1"/>
  <c r="JL59" i="7" s="1"/>
  <c r="JK53" i="7"/>
  <c r="JL49" i="7" s="1"/>
  <c r="JL50" i="7" s="1"/>
  <c r="JL51" i="7" s="1"/>
  <c r="JK62" i="7" l="1"/>
  <c r="JK63" i="7" s="1"/>
  <c r="JK54" i="7"/>
  <c r="JK55" i="7" s="1"/>
  <c r="JK46" i="7"/>
  <c r="JK47" i="7" s="1"/>
  <c r="JL26" i="7"/>
  <c r="JL27" i="7" s="1"/>
  <c r="JK38" i="7"/>
  <c r="JK39" i="7" s="1"/>
  <c r="JK73" i="7"/>
  <c r="JK65" i="7"/>
  <c r="JI102" i="7"/>
  <c r="JI108" i="7"/>
  <c r="JI116" i="7" s="1"/>
  <c r="JK68" i="7"/>
  <c r="JK30" i="7"/>
  <c r="JK31" i="7" s="1"/>
  <c r="JJ79" i="7"/>
  <c r="JJ82" i="7"/>
  <c r="JJ80" i="7"/>
  <c r="JJ81" i="7"/>
  <c r="JJ78" i="7"/>
  <c r="JJ85" i="7"/>
  <c r="JK69" i="7" l="1"/>
  <c r="JL67" i="7" s="1"/>
  <c r="JL44" i="7"/>
  <c r="JL36" i="7"/>
  <c r="JL28" i="7"/>
  <c r="JL60" i="7"/>
  <c r="JL52" i="7"/>
  <c r="JJ98" i="7"/>
  <c r="JI107" i="7"/>
  <c r="JI115" i="7" s="1"/>
  <c r="JI123" i="7" s="1"/>
  <c r="JI103" i="7"/>
  <c r="JI111" i="7" s="1"/>
  <c r="JI119" i="7" s="1"/>
  <c r="JI105" i="7"/>
  <c r="JI113" i="7" s="1"/>
  <c r="JI121" i="7" s="1"/>
  <c r="JI104" i="7"/>
  <c r="JI112" i="7" s="1"/>
  <c r="JI120" i="7" s="1"/>
  <c r="JI106" i="7"/>
  <c r="JI114" i="7" s="1"/>
  <c r="JI122" i="7" s="1"/>
  <c r="JK74" i="7"/>
  <c r="JK75" i="7" s="1"/>
  <c r="JK70" i="7" l="1"/>
  <c r="JK83" i="7" s="1"/>
  <c r="JK88" i="7" s="1"/>
  <c r="JK89" i="7" s="1"/>
  <c r="JL72" i="7"/>
  <c r="JL29" i="7"/>
  <c r="JM25" i="7" s="1"/>
  <c r="JL53" i="7"/>
  <c r="JM49" i="7" s="1"/>
  <c r="JM50" i="7" s="1"/>
  <c r="JM51" i="7" s="1"/>
  <c r="JL45" i="7"/>
  <c r="JM41" i="7" s="1"/>
  <c r="JM42" i="7" s="1"/>
  <c r="JM43" i="7" s="1"/>
  <c r="JL61" i="7"/>
  <c r="JM57" i="7" s="1"/>
  <c r="JM58" i="7" s="1"/>
  <c r="JM59" i="7" s="1"/>
  <c r="JL37" i="7"/>
  <c r="JM33" i="7" s="1"/>
  <c r="JM34" i="7" s="1"/>
  <c r="JM35" i="7" s="1"/>
  <c r="JJ92" i="7"/>
  <c r="JJ90" i="7"/>
  <c r="JK77" i="7"/>
  <c r="JL46" i="7" l="1"/>
  <c r="JL47" i="7" s="1"/>
  <c r="JL54" i="7"/>
  <c r="JL55" i="7" s="1"/>
  <c r="JL30" i="7"/>
  <c r="JL31" i="7" s="1"/>
  <c r="JK79" i="7"/>
  <c r="JK78" i="7"/>
  <c r="JK81" i="7"/>
  <c r="JK80" i="7"/>
  <c r="JK82" i="7"/>
  <c r="JK85" i="7"/>
  <c r="JL73" i="7"/>
  <c r="JL65" i="7"/>
  <c r="JM26" i="7"/>
  <c r="JM27" i="7" s="1"/>
  <c r="JL62" i="7"/>
  <c r="JL38" i="7"/>
  <c r="JL39" i="7" s="1"/>
  <c r="JJ96" i="7"/>
  <c r="JJ94" i="7"/>
  <c r="JJ95" i="7"/>
  <c r="JJ93" i="7"/>
  <c r="JJ100" i="7"/>
  <c r="JL68" i="7"/>
  <c r="JL63" i="7" l="1"/>
  <c r="JL74" i="7"/>
  <c r="JL75" i="7" s="1"/>
  <c r="JL69" i="7"/>
  <c r="JK98" i="7"/>
  <c r="JM60" i="7"/>
  <c r="JM52" i="7"/>
  <c r="JM44" i="7"/>
  <c r="JM36" i="7"/>
  <c r="JJ108" i="7"/>
  <c r="JJ116" i="7" s="1"/>
  <c r="JJ102" i="7"/>
  <c r="JM28" i="7"/>
  <c r="JM72" i="7" l="1"/>
  <c r="JM45" i="7"/>
  <c r="JN41" i="7" s="1"/>
  <c r="JN42" i="7" s="1"/>
  <c r="JN43" i="7" s="1"/>
  <c r="JM61" i="7"/>
  <c r="JN57" i="7" s="1"/>
  <c r="JN58" i="7" s="1"/>
  <c r="JN59" i="7" s="1"/>
  <c r="JM29" i="7"/>
  <c r="JN25" i="7" s="1"/>
  <c r="JM37" i="7"/>
  <c r="JN33" i="7" s="1"/>
  <c r="JN34" i="7" s="1"/>
  <c r="JN35" i="7" s="1"/>
  <c r="JM53" i="7"/>
  <c r="JN49" i="7" s="1"/>
  <c r="JN50" i="7" s="1"/>
  <c r="JN51" i="7" s="1"/>
  <c r="JJ107" i="7"/>
  <c r="JJ115" i="7" s="1"/>
  <c r="JJ123" i="7" s="1"/>
  <c r="JJ104" i="7"/>
  <c r="JJ112" i="7" s="1"/>
  <c r="JJ120" i="7" s="1"/>
  <c r="JJ105" i="7"/>
  <c r="JJ113" i="7" s="1"/>
  <c r="JJ121" i="7" s="1"/>
  <c r="JJ103" i="7"/>
  <c r="JJ111" i="7" s="1"/>
  <c r="JJ119" i="7" s="1"/>
  <c r="JJ106" i="7"/>
  <c r="JJ114" i="7" s="1"/>
  <c r="JJ122" i="7" s="1"/>
  <c r="JK92" i="7"/>
  <c r="JK90" i="7"/>
  <c r="JM67" i="7"/>
  <c r="JL70" i="7"/>
  <c r="JL83" i="7" s="1"/>
  <c r="JL88" i="7" s="1"/>
  <c r="JL89" i="7" s="1"/>
  <c r="JL77" i="7"/>
  <c r="JM54" i="7" l="1"/>
  <c r="JM55" i="7" s="1"/>
  <c r="JL80" i="7"/>
  <c r="JL78" i="7"/>
  <c r="JL79" i="7"/>
  <c r="JL81" i="7"/>
  <c r="JL82" i="7"/>
  <c r="JL85" i="7"/>
  <c r="JK94" i="7"/>
  <c r="JK93" i="7"/>
  <c r="JK95" i="7"/>
  <c r="JK96" i="7"/>
  <c r="JK100" i="7"/>
  <c r="JM73" i="7"/>
  <c r="JM62" i="7"/>
  <c r="JM63" i="7" s="1"/>
  <c r="JM38" i="7"/>
  <c r="JM39" i="7" s="1"/>
  <c r="JM68" i="7"/>
  <c r="JN26" i="7"/>
  <c r="JN27" i="7" s="1"/>
  <c r="JM65" i="7"/>
  <c r="JM46" i="7"/>
  <c r="JM47" i="7" s="1"/>
  <c r="JM30" i="7"/>
  <c r="JM31" i="7" s="1"/>
  <c r="JM74" i="7" l="1"/>
  <c r="JM75" i="7" s="1"/>
  <c r="JN60" i="7"/>
  <c r="JN52" i="7"/>
  <c r="JN44" i="7"/>
  <c r="JN36" i="7"/>
  <c r="JN28" i="7"/>
  <c r="JM69" i="7"/>
  <c r="JK102" i="7"/>
  <c r="JK108" i="7"/>
  <c r="JK116" i="7" s="1"/>
  <c r="JL98" i="7"/>
  <c r="JN72" i="7" l="1"/>
  <c r="JL92" i="7"/>
  <c r="JL90" i="7"/>
  <c r="JK103" i="7"/>
  <c r="JK111" i="7" s="1"/>
  <c r="JK119" i="7" s="1"/>
  <c r="JK106" i="7"/>
  <c r="JK114" i="7" s="1"/>
  <c r="JK122" i="7" s="1"/>
  <c r="JK105" i="7"/>
  <c r="JK113" i="7" s="1"/>
  <c r="JK121" i="7" s="1"/>
  <c r="JK107" i="7"/>
  <c r="JK115" i="7" s="1"/>
  <c r="JK123" i="7" s="1"/>
  <c r="JK104" i="7"/>
  <c r="JK112" i="7" s="1"/>
  <c r="JK120" i="7" s="1"/>
  <c r="JN37" i="7"/>
  <c r="JO33" i="7" s="1"/>
  <c r="JO34" i="7" s="1"/>
  <c r="JO35" i="7" s="1"/>
  <c r="JN29" i="7"/>
  <c r="JO25" i="7" s="1"/>
  <c r="JN45" i="7"/>
  <c r="JO41" i="7" s="1"/>
  <c r="JO42" i="7" s="1"/>
  <c r="JO43" i="7" s="1"/>
  <c r="JN53" i="7"/>
  <c r="JO49" i="7" s="1"/>
  <c r="JO50" i="7" s="1"/>
  <c r="JO51" i="7" s="1"/>
  <c r="JN61" i="7"/>
  <c r="JO57" i="7" s="1"/>
  <c r="JO58" i="7" s="1"/>
  <c r="JO59" i="7" s="1"/>
  <c r="JM70" i="7"/>
  <c r="JM83" i="7" s="1"/>
  <c r="JM88" i="7" s="1"/>
  <c r="JM89" i="7" s="1"/>
  <c r="JM77" i="7"/>
  <c r="JN67" i="7"/>
  <c r="JN46" i="7" l="1"/>
  <c r="JN47" i="7" s="1"/>
  <c r="JN68" i="7"/>
  <c r="JN62" i="7"/>
  <c r="JN63" i="7" s="1"/>
  <c r="JN54" i="7"/>
  <c r="JN55" i="7" s="1"/>
  <c r="JN73" i="7"/>
  <c r="JN30" i="7"/>
  <c r="JN31" i="7" s="1"/>
  <c r="JN38" i="7"/>
  <c r="JN39" i="7" s="1"/>
  <c r="JN65" i="7"/>
  <c r="JM81" i="7"/>
  <c r="JM80" i="7"/>
  <c r="JM79" i="7"/>
  <c r="JM82" i="7"/>
  <c r="JM78" i="7"/>
  <c r="JM85" i="7"/>
  <c r="JO26" i="7"/>
  <c r="JO27" i="7" s="1"/>
  <c r="JL95" i="7"/>
  <c r="JL96" i="7"/>
  <c r="JL94" i="7"/>
  <c r="JL93" i="7"/>
  <c r="JL100" i="7"/>
  <c r="JO36" i="7" l="1"/>
  <c r="JO28" i="7"/>
  <c r="JO60" i="7"/>
  <c r="JO44" i="7"/>
  <c r="JO52" i="7"/>
  <c r="JL108" i="7"/>
  <c r="JL116" i="7" s="1"/>
  <c r="JL102" i="7"/>
  <c r="JM98" i="7"/>
  <c r="JN69" i="7"/>
  <c r="JN74" i="7"/>
  <c r="JN75" i="7" l="1"/>
  <c r="JO72" i="7"/>
  <c r="JN77" i="7"/>
  <c r="JN70" i="7"/>
  <c r="JO67" i="7"/>
  <c r="JO29" i="7"/>
  <c r="JP25" i="7" s="1"/>
  <c r="JO53" i="7"/>
  <c r="JP49" i="7" s="1"/>
  <c r="JP50" i="7" s="1"/>
  <c r="JP51" i="7" s="1"/>
  <c r="JO61" i="7"/>
  <c r="JP57" i="7" s="1"/>
  <c r="JP58" i="7" s="1"/>
  <c r="JP59" i="7" s="1"/>
  <c r="JO45" i="7"/>
  <c r="JP41" i="7" s="1"/>
  <c r="JP42" i="7" s="1"/>
  <c r="JP43" i="7" s="1"/>
  <c r="JO37" i="7"/>
  <c r="JP33" i="7" s="1"/>
  <c r="JP34" i="7" s="1"/>
  <c r="JP35" i="7" s="1"/>
  <c r="JM90" i="7"/>
  <c r="JM92" i="7"/>
  <c r="JL107" i="7"/>
  <c r="JL115" i="7" s="1"/>
  <c r="JL123" i="7" s="1"/>
  <c r="JL105" i="7"/>
  <c r="JL113" i="7" s="1"/>
  <c r="JL121" i="7" s="1"/>
  <c r="JL104" i="7"/>
  <c r="JL112" i="7" s="1"/>
  <c r="JL120" i="7" s="1"/>
  <c r="JL106" i="7"/>
  <c r="JL114" i="7" s="1"/>
  <c r="JL122" i="7" s="1"/>
  <c r="JL103" i="7"/>
  <c r="JL111" i="7" s="1"/>
  <c r="JL119" i="7" s="1"/>
  <c r="JN83" i="7" l="1"/>
  <c r="JN88" i="7" s="1"/>
  <c r="JN89" i="7" s="1"/>
  <c r="JO65" i="7"/>
  <c r="JO73" i="7"/>
  <c r="JO54" i="7"/>
  <c r="JO55" i="7" s="1"/>
  <c r="JM93" i="7"/>
  <c r="JM94" i="7"/>
  <c r="JM96" i="7"/>
  <c r="JM95" i="7"/>
  <c r="JM100" i="7"/>
  <c r="JO68" i="7"/>
  <c r="JO62" i="7"/>
  <c r="JO38" i="7"/>
  <c r="JO39" i="7" s="1"/>
  <c r="JN82" i="7"/>
  <c r="JN79" i="7"/>
  <c r="JN80" i="7"/>
  <c r="JN81" i="7"/>
  <c r="JN78" i="7"/>
  <c r="JP26" i="7"/>
  <c r="JP27" i="7" s="1"/>
  <c r="JO30" i="7"/>
  <c r="JO31" i="7" s="1"/>
  <c r="JO46" i="7"/>
  <c r="JO47" i="7" s="1"/>
  <c r="JN85" i="7" l="1"/>
  <c r="JN98" i="7" s="1"/>
  <c r="JO69" i="7"/>
  <c r="JP67" i="7" s="1"/>
  <c r="JO74" i="7"/>
  <c r="JO75" i="7" s="1"/>
  <c r="JP36" i="7"/>
  <c r="JP44" i="7"/>
  <c r="JP28" i="7"/>
  <c r="JP60" i="7"/>
  <c r="JP52" i="7"/>
  <c r="JO63" i="7"/>
  <c r="JM108" i="7"/>
  <c r="JM116" i="7" s="1"/>
  <c r="JM102" i="7"/>
  <c r="JN90" i="7" l="1"/>
  <c r="JN92" i="7"/>
  <c r="JN95" i="7" s="1"/>
  <c r="JO70" i="7"/>
  <c r="JO83" i="7" s="1"/>
  <c r="JO88" i="7" s="1"/>
  <c r="JO89" i="7" s="1"/>
  <c r="JO77" i="7"/>
  <c r="JO81" i="7" s="1"/>
  <c r="JP72" i="7"/>
  <c r="JP29" i="7"/>
  <c r="JQ25" i="7" s="1"/>
  <c r="JP61" i="7"/>
  <c r="JP53" i="7"/>
  <c r="JQ49" i="7" s="1"/>
  <c r="JQ50" i="7" s="1"/>
  <c r="JQ51" i="7" s="1"/>
  <c r="JP45" i="7"/>
  <c r="JQ41" i="7" s="1"/>
  <c r="JQ42" i="7" s="1"/>
  <c r="JQ43" i="7" s="1"/>
  <c r="JP37" i="7"/>
  <c r="JQ33" i="7" s="1"/>
  <c r="JQ34" i="7" s="1"/>
  <c r="JQ35" i="7" s="1"/>
  <c r="JM105" i="7"/>
  <c r="JM113" i="7" s="1"/>
  <c r="JM121" i="7" s="1"/>
  <c r="JM106" i="7"/>
  <c r="JM114" i="7" s="1"/>
  <c r="JM122" i="7" s="1"/>
  <c r="JM107" i="7"/>
  <c r="JM115" i="7" s="1"/>
  <c r="JM123" i="7" s="1"/>
  <c r="JM103" i="7"/>
  <c r="JM111" i="7" s="1"/>
  <c r="JM119" i="7" s="1"/>
  <c r="JM104" i="7"/>
  <c r="JM112" i="7" s="1"/>
  <c r="JM120" i="7" s="1"/>
  <c r="JN100" i="7"/>
  <c r="JN94" i="7" l="1"/>
  <c r="JN93" i="7"/>
  <c r="JO80" i="7"/>
  <c r="JO79" i="7"/>
  <c r="JO82" i="7"/>
  <c r="JN96" i="7"/>
  <c r="JO78" i="7"/>
  <c r="JO85" i="7"/>
  <c r="JO98" i="7" s="1"/>
  <c r="JP54" i="7"/>
  <c r="JP55" i="7" s="1"/>
  <c r="JP38" i="7"/>
  <c r="JP39" i="7" s="1"/>
  <c r="JQ57" i="7"/>
  <c r="JQ58" i="7" s="1"/>
  <c r="JQ59" i="7" s="1"/>
  <c r="JP62" i="7"/>
  <c r="JN108" i="7"/>
  <c r="JN116" i="7" s="1"/>
  <c r="JN102" i="7"/>
  <c r="JP65" i="7"/>
  <c r="JQ26" i="7"/>
  <c r="JQ27" i="7" s="1"/>
  <c r="JP68" i="7"/>
  <c r="JP46" i="7"/>
  <c r="JP47" i="7" s="1"/>
  <c r="JP73" i="7"/>
  <c r="JP30" i="7"/>
  <c r="JP31" i="7" s="1"/>
  <c r="JO90" i="7" l="1"/>
  <c r="JO92" i="7"/>
  <c r="JQ44" i="7"/>
  <c r="JQ52" i="7"/>
  <c r="JQ36" i="7"/>
  <c r="JQ28" i="7"/>
  <c r="JQ60" i="7"/>
  <c r="JN104" i="7"/>
  <c r="JN112" i="7" s="1"/>
  <c r="JN120" i="7" s="1"/>
  <c r="JN103" i="7"/>
  <c r="JN111" i="7" s="1"/>
  <c r="JN119" i="7" s="1"/>
  <c r="JN106" i="7"/>
  <c r="JN114" i="7" s="1"/>
  <c r="JN122" i="7" s="1"/>
  <c r="JN105" i="7"/>
  <c r="JN113" i="7" s="1"/>
  <c r="JN121" i="7" s="1"/>
  <c r="JN107" i="7"/>
  <c r="JN115" i="7" s="1"/>
  <c r="JN123" i="7" s="1"/>
  <c r="JP69" i="7"/>
  <c r="JQ67" i="7" s="1"/>
  <c r="JP63" i="7"/>
  <c r="JP74" i="7"/>
  <c r="JP75" i="7" s="1"/>
  <c r="JQ45" i="7" l="1"/>
  <c r="JR41" i="7" s="1"/>
  <c r="JR42" i="7" s="1"/>
  <c r="JR43" i="7" s="1"/>
  <c r="JQ72" i="7"/>
  <c r="JP70" i="7"/>
  <c r="JP83" i="7" s="1"/>
  <c r="JP88" i="7" s="1"/>
  <c r="JP89" i="7" s="1"/>
  <c r="JP77" i="7"/>
  <c r="JO96" i="7"/>
  <c r="JO93" i="7"/>
  <c r="JO94" i="7"/>
  <c r="JO95" i="7"/>
  <c r="JO100" i="7"/>
  <c r="JQ53" i="7"/>
  <c r="JR49" i="7" s="1"/>
  <c r="JR50" i="7" s="1"/>
  <c r="JR51" i="7" s="1"/>
  <c r="JQ61" i="7"/>
  <c r="JR57" i="7" s="1"/>
  <c r="JR58" i="7" s="1"/>
  <c r="JR59" i="7" s="1"/>
  <c r="JQ29" i="7"/>
  <c r="JR25" i="7" s="1"/>
  <c r="JQ37" i="7"/>
  <c r="JR33" i="7" s="1"/>
  <c r="JR34" i="7" s="1"/>
  <c r="JR35" i="7" s="1"/>
  <c r="JQ46" i="7" l="1"/>
  <c r="JQ47" i="7" s="1"/>
  <c r="JQ30" i="7"/>
  <c r="JQ31" i="7" s="1"/>
  <c r="JQ73" i="7"/>
  <c r="JQ65" i="7"/>
  <c r="JQ38" i="7"/>
  <c r="JQ39" i="7" s="1"/>
  <c r="JQ68" i="7"/>
  <c r="JP78" i="7"/>
  <c r="JP82" i="7"/>
  <c r="JP79" i="7"/>
  <c r="JP80" i="7"/>
  <c r="JP81" i="7"/>
  <c r="JP85" i="7"/>
  <c r="JR26" i="7"/>
  <c r="JR27" i="7" s="1"/>
  <c r="JO108" i="7"/>
  <c r="JO116" i="7" s="1"/>
  <c r="JO102" i="7"/>
  <c r="JQ54" i="7"/>
  <c r="JQ55" i="7" s="1"/>
  <c r="JQ62" i="7"/>
  <c r="JQ69" i="7" l="1"/>
  <c r="JQ70" i="7" s="1"/>
  <c r="JQ74" i="7"/>
  <c r="JP98" i="7"/>
  <c r="JO105" i="7"/>
  <c r="JO113" i="7" s="1"/>
  <c r="JO121" i="7" s="1"/>
  <c r="JO106" i="7"/>
  <c r="JO114" i="7" s="1"/>
  <c r="JO122" i="7" s="1"/>
  <c r="JO104" i="7"/>
  <c r="JO112" i="7" s="1"/>
  <c r="JO120" i="7" s="1"/>
  <c r="JO103" i="7"/>
  <c r="JO111" i="7" s="1"/>
  <c r="JO119" i="7" s="1"/>
  <c r="JO107" i="7"/>
  <c r="JO115" i="7" s="1"/>
  <c r="JO123" i="7" s="1"/>
  <c r="JQ63" i="7"/>
  <c r="JR44" i="7"/>
  <c r="JR52" i="7"/>
  <c r="JR28" i="7"/>
  <c r="JR36" i="7"/>
  <c r="JR60" i="7"/>
  <c r="JR67" i="7"/>
  <c r="JQ77" i="7" l="1"/>
  <c r="JQ81" i="7" s="1"/>
  <c r="JR72" i="7"/>
  <c r="JQ75" i="7"/>
  <c r="JQ83" i="7" s="1"/>
  <c r="JP90" i="7"/>
  <c r="JP92" i="7"/>
  <c r="JR61" i="7"/>
  <c r="JR37" i="7"/>
  <c r="JS33" i="7" s="1"/>
  <c r="JS34" i="7" s="1"/>
  <c r="JS35" i="7" s="1"/>
  <c r="JR29" i="7"/>
  <c r="JS25" i="7" s="1"/>
  <c r="JR45" i="7"/>
  <c r="JS41" i="7" s="1"/>
  <c r="JS42" i="7" s="1"/>
  <c r="JS43" i="7" s="1"/>
  <c r="JR53" i="7"/>
  <c r="JS49" i="7" s="1"/>
  <c r="JS50" i="7" s="1"/>
  <c r="JS51" i="7" s="1"/>
  <c r="JQ78" i="7" l="1"/>
  <c r="JQ82" i="7"/>
  <c r="JQ80" i="7"/>
  <c r="JQ79" i="7"/>
  <c r="JR46" i="7"/>
  <c r="JR47" i="7" s="1"/>
  <c r="JQ88" i="7"/>
  <c r="JQ89" i="7" s="1"/>
  <c r="JQ85" i="7"/>
  <c r="JS26" i="7"/>
  <c r="JS27" i="7" s="1"/>
  <c r="JR38" i="7"/>
  <c r="JR39" i="7" s="1"/>
  <c r="JP93" i="7"/>
  <c r="JP94" i="7"/>
  <c r="JP95" i="7"/>
  <c r="JP96" i="7"/>
  <c r="JP100" i="7"/>
  <c r="JR68" i="7"/>
  <c r="JR73" i="7"/>
  <c r="JS57" i="7"/>
  <c r="JS58" i="7" s="1"/>
  <c r="JS59" i="7" s="1"/>
  <c r="JR62" i="7"/>
  <c r="JR65" i="7"/>
  <c r="JR30" i="7"/>
  <c r="JR31" i="7" s="1"/>
  <c r="JR54" i="7"/>
  <c r="JR55" i="7" s="1"/>
  <c r="JQ98" i="7" l="1"/>
  <c r="JQ90" i="7" s="1"/>
  <c r="JS60" i="7"/>
  <c r="JS44" i="7"/>
  <c r="JS28" i="7"/>
  <c r="JS36" i="7"/>
  <c r="JS52" i="7"/>
  <c r="JR69" i="7"/>
  <c r="JP102" i="7"/>
  <c r="JP108" i="7"/>
  <c r="JP116" i="7" s="1"/>
  <c r="JR63" i="7"/>
  <c r="JR74" i="7"/>
  <c r="JR75" i="7" s="1"/>
  <c r="JQ92" i="7" l="1"/>
  <c r="JQ93" i="7" s="1"/>
  <c r="JR70" i="7"/>
  <c r="JR83" i="7" s="1"/>
  <c r="JR88" i="7" s="1"/>
  <c r="JR89" i="7" s="1"/>
  <c r="JR77" i="7"/>
  <c r="JS72" i="7"/>
  <c r="JS53" i="7"/>
  <c r="JT49" i="7" s="1"/>
  <c r="JT50" i="7" s="1"/>
  <c r="JT51" i="7" s="1"/>
  <c r="JS37" i="7"/>
  <c r="JT33" i="7" s="1"/>
  <c r="JT34" i="7" s="1"/>
  <c r="JT35" i="7" s="1"/>
  <c r="JS61" i="7"/>
  <c r="JS29" i="7"/>
  <c r="JT25" i="7" s="1"/>
  <c r="JS45" i="7"/>
  <c r="JT41" i="7" s="1"/>
  <c r="JT42" i="7" s="1"/>
  <c r="JT43" i="7" s="1"/>
  <c r="JP106" i="7"/>
  <c r="JP114" i="7" s="1"/>
  <c r="JP122" i="7" s="1"/>
  <c r="JP103" i="7"/>
  <c r="JP111" i="7" s="1"/>
  <c r="JP119" i="7" s="1"/>
  <c r="JP104" i="7"/>
  <c r="JP112" i="7" s="1"/>
  <c r="JP120" i="7" s="1"/>
  <c r="JP105" i="7"/>
  <c r="JP113" i="7" s="1"/>
  <c r="JP121" i="7" s="1"/>
  <c r="JP107" i="7"/>
  <c r="JP115" i="7" s="1"/>
  <c r="JP123" i="7" s="1"/>
  <c r="JQ96" i="7"/>
  <c r="JS67" i="7"/>
  <c r="JQ94" i="7" l="1"/>
  <c r="JQ95" i="7"/>
  <c r="JQ100" i="7"/>
  <c r="JQ108" i="7" s="1"/>
  <c r="JQ116" i="7" s="1"/>
  <c r="JT26" i="7"/>
  <c r="JT27" i="7" s="1"/>
  <c r="JS46" i="7"/>
  <c r="JS47" i="7" s="1"/>
  <c r="JS68" i="7"/>
  <c r="JT57" i="7"/>
  <c r="JT58" i="7" s="1"/>
  <c r="JT59" i="7" s="1"/>
  <c r="JS62" i="7"/>
  <c r="JS54" i="7"/>
  <c r="JS55" i="7" s="1"/>
  <c r="JS65" i="7"/>
  <c r="JS38" i="7"/>
  <c r="JS39" i="7" s="1"/>
  <c r="JS73" i="7"/>
  <c r="JR79" i="7"/>
  <c r="JR80" i="7"/>
  <c r="JR81" i="7"/>
  <c r="JR82" i="7"/>
  <c r="JR78" i="7"/>
  <c r="JR85" i="7"/>
  <c r="JS30" i="7"/>
  <c r="JS31" i="7" s="1"/>
  <c r="JQ102" i="7" l="1"/>
  <c r="JS74" i="7"/>
  <c r="JS75" i="7" s="1"/>
  <c r="JS63" i="7"/>
  <c r="JQ104" i="7"/>
  <c r="JQ112" i="7" s="1"/>
  <c r="JQ120" i="7" s="1"/>
  <c r="JQ107" i="7"/>
  <c r="JQ115" i="7" s="1"/>
  <c r="JQ123" i="7" s="1"/>
  <c r="JQ103" i="7"/>
  <c r="JQ111" i="7" s="1"/>
  <c r="JQ119" i="7" s="1"/>
  <c r="JQ105" i="7"/>
  <c r="JQ113" i="7" s="1"/>
  <c r="JQ121" i="7" s="1"/>
  <c r="JQ106" i="7"/>
  <c r="JQ114" i="7" s="1"/>
  <c r="JQ122" i="7" s="1"/>
  <c r="JR98" i="7"/>
  <c r="JT60" i="7"/>
  <c r="JT52" i="7"/>
  <c r="JT36" i="7"/>
  <c r="JT44" i="7"/>
  <c r="JT28" i="7"/>
  <c r="JS69" i="7"/>
  <c r="JT72" i="7" l="1"/>
  <c r="JT29" i="7"/>
  <c r="JU25" i="7" s="1"/>
  <c r="JR92" i="7"/>
  <c r="JR90" i="7"/>
  <c r="JT67" i="7"/>
  <c r="JS70" i="7"/>
  <c r="JS83" i="7" s="1"/>
  <c r="JS88" i="7" s="1"/>
  <c r="JS89" i="7" s="1"/>
  <c r="JS77" i="7"/>
  <c r="JT53" i="7"/>
  <c r="JU49" i="7" s="1"/>
  <c r="JU50" i="7" s="1"/>
  <c r="JU51" i="7" s="1"/>
  <c r="JT61" i="7"/>
  <c r="JU57" i="7" s="1"/>
  <c r="JU58" i="7" s="1"/>
  <c r="JU59" i="7" s="1"/>
  <c r="JT37" i="7"/>
  <c r="JU33" i="7" s="1"/>
  <c r="JU34" i="7" s="1"/>
  <c r="JU35" i="7" s="1"/>
  <c r="JT45" i="7"/>
  <c r="JU41" i="7" s="1"/>
  <c r="JU42" i="7" s="1"/>
  <c r="JU43" i="7" s="1"/>
  <c r="JT54" i="7" l="1"/>
  <c r="JT55" i="7" s="1"/>
  <c r="JS80" i="7"/>
  <c r="JS81" i="7"/>
  <c r="JS79" i="7"/>
  <c r="JS82" i="7"/>
  <c r="JS78" i="7"/>
  <c r="JS85" i="7"/>
  <c r="JT73" i="7"/>
  <c r="JT46" i="7"/>
  <c r="JT47" i="7" s="1"/>
  <c r="JT38" i="7"/>
  <c r="JT39" i="7" s="1"/>
  <c r="JU26" i="7"/>
  <c r="JU27" i="7" s="1"/>
  <c r="JT30" i="7"/>
  <c r="JT31" i="7" s="1"/>
  <c r="JT68" i="7"/>
  <c r="JR93" i="7"/>
  <c r="JR96" i="7"/>
  <c r="JR95" i="7"/>
  <c r="JR94" i="7"/>
  <c r="JR100" i="7"/>
  <c r="JT65" i="7"/>
  <c r="JT62" i="7"/>
  <c r="JT69" i="7" l="1"/>
  <c r="JU67" i="7" s="1"/>
  <c r="JS98" i="7"/>
  <c r="JT63" i="7"/>
  <c r="JT74" i="7"/>
  <c r="JT75" i="7" s="1"/>
  <c r="JU36" i="7"/>
  <c r="JU52" i="7"/>
  <c r="JU44" i="7"/>
  <c r="JU28" i="7"/>
  <c r="JU60" i="7"/>
  <c r="JR102" i="7"/>
  <c r="JR108" i="7"/>
  <c r="JR116" i="7" s="1"/>
  <c r="JT70" i="7" l="1"/>
  <c r="JT83" i="7" s="1"/>
  <c r="JT88" i="7" s="1"/>
  <c r="JT89" i="7" s="1"/>
  <c r="JU45" i="7"/>
  <c r="JV41" i="7" s="1"/>
  <c r="JV42" i="7" s="1"/>
  <c r="JV43" i="7" s="1"/>
  <c r="JU29" i="7"/>
  <c r="JV25" i="7" s="1"/>
  <c r="JU53" i="7"/>
  <c r="JV49" i="7" s="1"/>
  <c r="JV50" i="7" s="1"/>
  <c r="JV51" i="7" s="1"/>
  <c r="JU61" i="7"/>
  <c r="JV57" i="7" s="1"/>
  <c r="JV58" i="7" s="1"/>
  <c r="JV59" i="7" s="1"/>
  <c r="JU37" i="7"/>
  <c r="JV33" i="7" s="1"/>
  <c r="JV34" i="7" s="1"/>
  <c r="JV35" i="7" s="1"/>
  <c r="JS92" i="7"/>
  <c r="JS90" i="7"/>
  <c r="JT77" i="7"/>
  <c r="JR106" i="7"/>
  <c r="JR114" i="7" s="1"/>
  <c r="JR122" i="7" s="1"/>
  <c r="JR107" i="7"/>
  <c r="JR115" i="7" s="1"/>
  <c r="JR123" i="7" s="1"/>
  <c r="JR105" i="7"/>
  <c r="JR113" i="7" s="1"/>
  <c r="JR121" i="7" s="1"/>
  <c r="JR103" i="7"/>
  <c r="JR111" i="7" s="1"/>
  <c r="JR119" i="7" s="1"/>
  <c r="JR104" i="7"/>
  <c r="JR112" i="7" s="1"/>
  <c r="JR120" i="7" s="1"/>
  <c r="JU72" i="7"/>
  <c r="JU54" i="7" l="1"/>
  <c r="JU55" i="7" s="1"/>
  <c r="JU30" i="7"/>
  <c r="JU31" i="7" s="1"/>
  <c r="JT81" i="7"/>
  <c r="JT78" i="7"/>
  <c r="JT80" i="7"/>
  <c r="JT82" i="7"/>
  <c r="JT79" i="7"/>
  <c r="JT85" i="7"/>
  <c r="JU65" i="7"/>
  <c r="JU46" i="7"/>
  <c r="JU47" i="7" s="1"/>
  <c r="JV26" i="7"/>
  <c r="JV27" i="7" s="1"/>
  <c r="JU73" i="7"/>
  <c r="JU38" i="7"/>
  <c r="JU39" i="7" s="1"/>
  <c r="JU68" i="7"/>
  <c r="JS94" i="7"/>
  <c r="JS93" i="7"/>
  <c r="JS95" i="7"/>
  <c r="JS96" i="7"/>
  <c r="JS100" i="7"/>
  <c r="JU62" i="7"/>
  <c r="JU74" i="7" l="1"/>
  <c r="JU75" i="7" s="1"/>
  <c r="JT98" i="7"/>
  <c r="JU63" i="7"/>
  <c r="JS108" i="7"/>
  <c r="JS116" i="7" s="1"/>
  <c r="JS102" i="7"/>
  <c r="JV44" i="7"/>
  <c r="JV60" i="7"/>
  <c r="JV52" i="7"/>
  <c r="JV28" i="7"/>
  <c r="JV36" i="7"/>
  <c r="JV72" i="7"/>
  <c r="JU69" i="7"/>
  <c r="JV67" i="7" s="1"/>
  <c r="JS107" i="7" l="1"/>
  <c r="JS115" i="7" s="1"/>
  <c r="JS123" i="7" s="1"/>
  <c r="JS103" i="7"/>
  <c r="JS111" i="7" s="1"/>
  <c r="JS119" i="7" s="1"/>
  <c r="JS104" i="7"/>
  <c r="JS112" i="7" s="1"/>
  <c r="JS120" i="7" s="1"/>
  <c r="JS105" i="7"/>
  <c r="JS113" i="7" s="1"/>
  <c r="JS121" i="7" s="1"/>
  <c r="JS106" i="7"/>
  <c r="JS114" i="7" s="1"/>
  <c r="JS122" i="7" s="1"/>
  <c r="JV53" i="7"/>
  <c r="JW49" i="7" s="1"/>
  <c r="JW50" i="7" s="1"/>
  <c r="JW51" i="7" s="1"/>
  <c r="JV45" i="7"/>
  <c r="JW41" i="7" s="1"/>
  <c r="JW42" i="7" s="1"/>
  <c r="JW43" i="7" s="1"/>
  <c r="JV61" i="7"/>
  <c r="JV37" i="7"/>
  <c r="JW33" i="7" s="1"/>
  <c r="JW34" i="7" s="1"/>
  <c r="JW35" i="7" s="1"/>
  <c r="JV29" i="7"/>
  <c r="JW25" i="7" s="1"/>
  <c r="JU77" i="7"/>
  <c r="JU70" i="7"/>
  <c r="JU83" i="7" s="1"/>
  <c r="JU88" i="7" s="1"/>
  <c r="JU89" i="7" s="1"/>
  <c r="JT92" i="7"/>
  <c r="JT90" i="7"/>
  <c r="JV54" i="7" l="1"/>
  <c r="JV55" i="7" s="1"/>
  <c r="JV65" i="7"/>
  <c r="JV68" i="7"/>
  <c r="JU79" i="7"/>
  <c r="JU82" i="7"/>
  <c r="JU81" i="7"/>
  <c r="JU80" i="7"/>
  <c r="JU78" i="7"/>
  <c r="JU85" i="7"/>
  <c r="JU98" i="7" s="1"/>
  <c r="JV30" i="7"/>
  <c r="JV31" i="7" s="1"/>
  <c r="JV46" i="7"/>
  <c r="JV47" i="7" s="1"/>
  <c r="JW26" i="7"/>
  <c r="JW27" i="7" s="1"/>
  <c r="JT96" i="7"/>
  <c r="JT95" i="7"/>
  <c r="JT93" i="7"/>
  <c r="JT94" i="7"/>
  <c r="JT100" i="7"/>
  <c r="JW57" i="7"/>
  <c r="JW58" i="7" s="1"/>
  <c r="JW59" i="7" s="1"/>
  <c r="JV62" i="7"/>
  <c r="JV38" i="7"/>
  <c r="JV39" i="7" s="1"/>
  <c r="JV73" i="7"/>
  <c r="JT108" i="7" l="1"/>
  <c r="JT116" i="7" s="1"/>
  <c r="JT102" i="7"/>
  <c r="JV69" i="7"/>
  <c r="JW67" i="7" s="1"/>
  <c r="JW52" i="7"/>
  <c r="JW36" i="7"/>
  <c r="JW60" i="7"/>
  <c r="JW28" i="7"/>
  <c r="JW44" i="7"/>
  <c r="JV74" i="7"/>
  <c r="JV75" i="7" s="1"/>
  <c r="JU90" i="7"/>
  <c r="JU92" i="7"/>
  <c r="JV63" i="7"/>
  <c r="JW72" i="7" l="1"/>
  <c r="JU100" i="7"/>
  <c r="JU95" i="7"/>
  <c r="JU96" i="7"/>
  <c r="JU93" i="7"/>
  <c r="JU94" i="7"/>
  <c r="JW37" i="7"/>
  <c r="JX33" i="7" s="1"/>
  <c r="JX34" i="7" s="1"/>
  <c r="JX35" i="7" s="1"/>
  <c r="JW61" i="7"/>
  <c r="JV77" i="7"/>
  <c r="JV70" i="7"/>
  <c r="JV83" i="7" s="1"/>
  <c r="JV88" i="7" s="1"/>
  <c r="JV89" i="7" s="1"/>
  <c r="JW53" i="7"/>
  <c r="JX49" i="7" s="1"/>
  <c r="JX50" i="7" s="1"/>
  <c r="JX51" i="7" s="1"/>
  <c r="JW29" i="7"/>
  <c r="JX25" i="7" s="1"/>
  <c r="JT104" i="7"/>
  <c r="JT112" i="7" s="1"/>
  <c r="JT120" i="7" s="1"/>
  <c r="JT106" i="7"/>
  <c r="JT114" i="7" s="1"/>
  <c r="JT122" i="7" s="1"/>
  <c r="JT107" i="7"/>
  <c r="JT115" i="7" s="1"/>
  <c r="JT123" i="7" s="1"/>
  <c r="JT105" i="7"/>
  <c r="JT113" i="7" s="1"/>
  <c r="JT121" i="7" s="1"/>
  <c r="JT103" i="7"/>
  <c r="JT111" i="7" s="1"/>
  <c r="JT119" i="7" s="1"/>
  <c r="JW45" i="7"/>
  <c r="JX41" i="7" s="1"/>
  <c r="JX42" i="7" s="1"/>
  <c r="JX43" i="7" s="1"/>
  <c r="JW38" i="7" l="1"/>
  <c r="JW39" i="7" s="1"/>
  <c r="JW46" i="7"/>
  <c r="JW47" i="7" s="1"/>
  <c r="JX57" i="7"/>
  <c r="JX58" i="7" s="1"/>
  <c r="JX59" i="7" s="1"/>
  <c r="JW62" i="7"/>
  <c r="JW73" i="7"/>
  <c r="JW30" i="7"/>
  <c r="JW31" i="7" s="1"/>
  <c r="JX26" i="7"/>
  <c r="JX27" i="7" s="1"/>
  <c r="JW68" i="7"/>
  <c r="JV78" i="7"/>
  <c r="JV81" i="7"/>
  <c r="JV82" i="7"/>
  <c r="JV79" i="7"/>
  <c r="JV80" i="7"/>
  <c r="JV85" i="7"/>
  <c r="JW65" i="7"/>
  <c r="JW54" i="7"/>
  <c r="JW55" i="7" s="1"/>
  <c r="JU108" i="7"/>
  <c r="JU116" i="7" s="1"/>
  <c r="JU102" i="7"/>
  <c r="JV98" i="7" l="1"/>
  <c r="JU104" i="7"/>
  <c r="JU112" i="7" s="1"/>
  <c r="JU120" i="7" s="1"/>
  <c r="JU106" i="7"/>
  <c r="JU114" i="7" s="1"/>
  <c r="JU122" i="7" s="1"/>
  <c r="JU103" i="7"/>
  <c r="JU111" i="7" s="1"/>
  <c r="JU119" i="7" s="1"/>
  <c r="JU105" i="7"/>
  <c r="JU113" i="7" s="1"/>
  <c r="JU121" i="7" s="1"/>
  <c r="JU107" i="7"/>
  <c r="JU115" i="7" s="1"/>
  <c r="JU123" i="7" s="1"/>
  <c r="JW63" i="7"/>
  <c r="JW69" i="7"/>
  <c r="JX67" i="7" s="1"/>
  <c r="JX36" i="7"/>
  <c r="JX44" i="7"/>
  <c r="JX60" i="7"/>
  <c r="JX52" i="7"/>
  <c r="JX28" i="7"/>
  <c r="JW74" i="7"/>
  <c r="JW75" i="7" s="1"/>
  <c r="JX72" i="7" l="1"/>
  <c r="JW77" i="7"/>
  <c r="JW70" i="7"/>
  <c r="JW83" i="7" s="1"/>
  <c r="JW88" i="7" s="1"/>
  <c r="JW89" i="7" s="1"/>
  <c r="JV92" i="7"/>
  <c r="JV90" i="7"/>
  <c r="JX37" i="7"/>
  <c r="JY33" i="7" s="1"/>
  <c r="JY34" i="7" s="1"/>
  <c r="JY35" i="7" s="1"/>
  <c r="JX29" i="7"/>
  <c r="JY25" i="7" s="1"/>
  <c r="JX61" i="7"/>
  <c r="JY57" i="7" s="1"/>
  <c r="JY58" i="7" s="1"/>
  <c r="JY59" i="7" s="1"/>
  <c r="JX53" i="7"/>
  <c r="JY49" i="7" s="1"/>
  <c r="JY50" i="7" s="1"/>
  <c r="JY51" i="7" s="1"/>
  <c r="JX45" i="7"/>
  <c r="JY41" i="7" s="1"/>
  <c r="JY42" i="7" s="1"/>
  <c r="JY43" i="7" s="1"/>
  <c r="JX65" i="7" l="1"/>
  <c r="JX46" i="7"/>
  <c r="JX47" i="7" s="1"/>
  <c r="JX38" i="7"/>
  <c r="JX39" i="7" s="1"/>
  <c r="JX54" i="7"/>
  <c r="JX55" i="7" s="1"/>
  <c r="JY26" i="7"/>
  <c r="JY27" i="7" s="1"/>
  <c r="JV96" i="7"/>
  <c r="JV95" i="7"/>
  <c r="JV93" i="7"/>
  <c r="JV94" i="7"/>
  <c r="JV100" i="7"/>
  <c r="JX30" i="7"/>
  <c r="JX31" i="7" s="1"/>
  <c r="JW79" i="7"/>
  <c r="JW81" i="7"/>
  <c r="JW78" i="7"/>
  <c r="JW80" i="7"/>
  <c r="JW82" i="7"/>
  <c r="JW85" i="7"/>
  <c r="JX62" i="7"/>
  <c r="JX68" i="7"/>
  <c r="JX69" i="7" s="1"/>
  <c r="JX73" i="7"/>
  <c r="JW98" i="7" l="1"/>
  <c r="JX74" i="7"/>
  <c r="JX75" i="7" s="1"/>
  <c r="JY67" i="7"/>
  <c r="JX70" i="7"/>
  <c r="JY28" i="7"/>
  <c r="JY52" i="7"/>
  <c r="JY44" i="7"/>
  <c r="JY60" i="7"/>
  <c r="JY36" i="7"/>
  <c r="JX63" i="7"/>
  <c r="JV108" i="7"/>
  <c r="JV116" i="7" s="1"/>
  <c r="JV102" i="7"/>
  <c r="JX83" i="7" l="1"/>
  <c r="JX88" i="7" s="1"/>
  <c r="JX89" i="7" s="1"/>
  <c r="JX77" i="7"/>
  <c r="JX81" i="7" s="1"/>
  <c r="JV107" i="7"/>
  <c r="JV115" i="7" s="1"/>
  <c r="JV123" i="7" s="1"/>
  <c r="JV103" i="7"/>
  <c r="JV111" i="7" s="1"/>
  <c r="JV119" i="7" s="1"/>
  <c r="JV106" i="7"/>
  <c r="JV114" i="7" s="1"/>
  <c r="JV122" i="7" s="1"/>
  <c r="JV105" i="7"/>
  <c r="JV113" i="7" s="1"/>
  <c r="JV121" i="7" s="1"/>
  <c r="JV104" i="7"/>
  <c r="JV112" i="7" s="1"/>
  <c r="JV120" i="7" s="1"/>
  <c r="JY72" i="7"/>
  <c r="JY61" i="7"/>
  <c r="JY37" i="7"/>
  <c r="JZ33" i="7" s="1"/>
  <c r="JZ34" i="7" s="1"/>
  <c r="JZ35" i="7" s="1"/>
  <c r="JY45" i="7"/>
  <c r="JZ41" i="7" s="1"/>
  <c r="JZ42" i="7" s="1"/>
  <c r="JZ43" i="7" s="1"/>
  <c r="JY29" i="7"/>
  <c r="JZ25" i="7" s="1"/>
  <c r="JY53" i="7"/>
  <c r="JZ49" i="7" s="1"/>
  <c r="JZ50" i="7" s="1"/>
  <c r="JZ51" i="7" s="1"/>
  <c r="JW92" i="7"/>
  <c r="JW90" i="7"/>
  <c r="JX79" i="7" l="1"/>
  <c r="JX80" i="7"/>
  <c r="JX78" i="7"/>
  <c r="JX82" i="7"/>
  <c r="JX85" i="7"/>
  <c r="JX98" i="7" s="1"/>
  <c r="JX90" i="7" s="1"/>
  <c r="JY38" i="7"/>
  <c r="JY39" i="7" s="1"/>
  <c r="JY68" i="7"/>
  <c r="JW94" i="7"/>
  <c r="JW93" i="7"/>
  <c r="JW96" i="7"/>
  <c r="JW95" i="7"/>
  <c r="JW100" i="7"/>
  <c r="JY54" i="7"/>
  <c r="JY55" i="7" s="1"/>
  <c r="JZ26" i="7"/>
  <c r="JZ27" i="7" s="1"/>
  <c r="JZ57" i="7"/>
  <c r="JZ58" i="7" s="1"/>
  <c r="JZ59" i="7" s="1"/>
  <c r="JY62" i="7"/>
  <c r="JY73" i="7"/>
  <c r="JY46" i="7"/>
  <c r="JY47" i="7" s="1"/>
  <c r="JY65" i="7"/>
  <c r="JY30" i="7"/>
  <c r="JY31" i="7" s="1"/>
  <c r="JX92" i="7" l="1"/>
  <c r="JX95" i="7" s="1"/>
  <c r="JY74" i="7"/>
  <c r="JY75" i="7" s="1"/>
  <c r="JW102" i="7"/>
  <c r="JW108" i="7"/>
  <c r="JW116" i="7" s="1"/>
  <c r="JZ52" i="7"/>
  <c r="JZ28" i="7"/>
  <c r="JZ44" i="7"/>
  <c r="JZ60" i="7"/>
  <c r="JZ36" i="7"/>
  <c r="JY69" i="7"/>
  <c r="JY63" i="7"/>
  <c r="JX100" i="7" l="1"/>
  <c r="JX102" i="7" s="1"/>
  <c r="JX96" i="7"/>
  <c r="JX94" i="7"/>
  <c r="JX93" i="7"/>
  <c r="JZ72" i="7"/>
  <c r="JW105" i="7"/>
  <c r="JW113" i="7" s="1"/>
  <c r="JW121" i="7" s="1"/>
  <c r="JW107" i="7"/>
  <c r="JW115" i="7" s="1"/>
  <c r="JW123" i="7" s="1"/>
  <c r="JW103" i="7"/>
  <c r="JW111" i="7" s="1"/>
  <c r="JW119" i="7" s="1"/>
  <c r="JW104" i="7"/>
  <c r="JW112" i="7" s="1"/>
  <c r="JW120" i="7" s="1"/>
  <c r="JW106" i="7"/>
  <c r="JW114" i="7" s="1"/>
  <c r="JW122" i="7" s="1"/>
  <c r="JZ37" i="7"/>
  <c r="KA33" i="7" s="1"/>
  <c r="KA34" i="7" s="1"/>
  <c r="KA35" i="7" s="1"/>
  <c r="JZ29" i="7"/>
  <c r="KA25" i="7" s="1"/>
  <c r="JZ45" i="7"/>
  <c r="KA41" i="7" s="1"/>
  <c r="KA42" i="7" s="1"/>
  <c r="KA43" i="7" s="1"/>
  <c r="JZ53" i="7"/>
  <c r="KA49" i="7" s="1"/>
  <c r="KA50" i="7" s="1"/>
  <c r="KA51" i="7" s="1"/>
  <c r="JZ61" i="7"/>
  <c r="JY70" i="7"/>
  <c r="JY83" i="7" s="1"/>
  <c r="JY88" i="7" s="1"/>
  <c r="JY89" i="7" s="1"/>
  <c r="JY77" i="7"/>
  <c r="JZ67" i="7"/>
  <c r="JX108" i="7" l="1"/>
  <c r="JX116" i="7" s="1"/>
  <c r="JZ65" i="7"/>
  <c r="JZ68" i="7"/>
  <c r="JZ30" i="7"/>
  <c r="JZ31" i="7" s="1"/>
  <c r="JZ38" i="7"/>
  <c r="JZ39" i="7" s="1"/>
  <c r="JZ73" i="7"/>
  <c r="JZ74" i="7" s="1"/>
  <c r="JZ75" i="7" s="1"/>
  <c r="KA57" i="7"/>
  <c r="KA58" i="7" s="1"/>
  <c r="KA59" i="7" s="1"/>
  <c r="JZ62" i="7"/>
  <c r="JZ46" i="7"/>
  <c r="JZ47" i="7" s="1"/>
  <c r="JY82" i="7"/>
  <c r="JY80" i="7"/>
  <c r="JY81" i="7"/>
  <c r="JY79" i="7"/>
  <c r="JY78" i="7"/>
  <c r="JY85" i="7"/>
  <c r="JX107" i="7"/>
  <c r="JX115" i="7" s="1"/>
  <c r="JX123" i="7" s="1"/>
  <c r="JX106" i="7"/>
  <c r="JX114" i="7" s="1"/>
  <c r="JX122" i="7" s="1"/>
  <c r="JX105" i="7"/>
  <c r="JX113" i="7" s="1"/>
  <c r="JX121" i="7" s="1"/>
  <c r="JX103" i="7"/>
  <c r="JX111" i="7" s="1"/>
  <c r="JX119" i="7" s="1"/>
  <c r="JX104" i="7"/>
  <c r="JX112" i="7" s="1"/>
  <c r="JX120" i="7" s="1"/>
  <c r="KA26" i="7"/>
  <c r="KA27" i="7" s="1"/>
  <c r="JZ54" i="7"/>
  <c r="JZ55" i="7" s="1"/>
  <c r="JZ69" i="7" l="1"/>
  <c r="KA67" i="7" s="1"/>
  <c r="KA72" i="7"/>
  <c r="KA52" i="7"/>
  <c r="KA60" i="7"/>
  <c r="KA44" i="7"/>
  <c r="KA28" i="7"/>
  <c r="KA36" i="7"/>
  <c r="JY98" i="7"/>
  <c r="JZ63" i="7"/>
  <c r="JZ70" i="7" l="1"/>
  <c r="JZ83" i="7" s="1"/>
  <c r="JZ88" i="7" s="1"/>
  <c r="JZ89" i="7" s="1"/>
  <c r="JZ77" i="7"/>
  <c r="JZ80" i="7" s="1"/>
  <c r="KA53" i="7"/>
  <c r="KB49" i="7" s="1"/>
  <c r="KB50" i="7" s="1"/>
  <c r="KB51" i="7" s="1"/>
  <c r="KA45" i="7"/>
  <c r="KB41" i="7" s="1"/>
  <c r="KB42" i="7" s="1"/>
  <c r="KB43" i="7" s="1"/>
  <c r="KA37" i="7"/>
  <c r="KB33" i="7" s="1"/>
  <c r="KB34" i="7" s="1"/>
  <c r="KB35" i="7" s="1"/>
  <c r="KA61" i="7"/>
  <c r="KB57" i="7" s="1"/>
  <c r="KB58" i="7" s="1"/>
  <c r="KB59" i="7" s="1"/>
  <c r="JY90" i="7"/>
  <c r="JY92" i="7"/>
  <c r="KA29" i="7"/>
  <c r="KB25" i="7" s="1"/>
  <c r="JZ78" i="7" l="1"/>
  <c r="JZ82" i="7"/>
  <c r="JZ81" i="7"/>
  <c r="JZ85" i="7"/>
  <c r="JZ98" i="7" s="1"/>
  <c r="JZ79" i="7"/>
  <c r="KA54" i="7"/>
  <c r="KA55" i="7" s="1"/>
  <c r="KA38" i="7"/>
  <c r="KA39" i="7" s="1"/>
  <c r="KA46" i="7"/>
  <c r="KA47" i="7" s="1"/>
  <c r="KA65" i="7"/>
  <c r="KA73" i="7"/>
  <c r="KA62" i="7"/>
  <c r="KA63" i="7" s="1"/>
  <c r="KB26" i="7"/>
  <c r="KB27" i="7" s="1"/>
  <c r="JY93" i="7"/>
  <c r="JY94" i="7"/>
  <c r="JY96" i="7"/>
  <c r="JY95" i="7"/>
  <c r="JY100" i="7"/>
  <c r="KA30" i="7"/>
  <c r="KA31" i="7" s="1"/>
  <c r="KA68" i="7"/>
  <c r="KA69" i="7" l="1"/>
  <c r="KB67" i="7" s="1"/>
  <c r="KA74" i="7"/>
  <c r="KA75" i="7" s="1"/>
  <c r="KB52" i="7"/>
  <c r="KB36" i="7"/>
  <c r="KB60" i="7"/>
  <c r="KB28" i="7"/>
  <c r="KB44" i="7"/>
  <c r="JZ90" i="7"/>
  <c r="JZ92" i="7"/>
  <c r="JY108" i="7"/>
  <c r="JY116" i="7" s="1"/>
  <c r="JY102" i="7"/>
  <c r="KA70" i="7" l="1"/>
  <c r="KA83" i="7" s="1"/>
  <c r="KA77" i="7"/>
  <c r="KA82" i="7" s="1"/>
  <c r="KB72" i="7"/>
  <c r="JY104" i="7"/>
  <c r="JY112" i="7" s="1"/>
  <c r="JY120" i="7" s="1"/>
  <c r="JY107" i="7"/>
  <c r="JY115" i="7" s="1"/>
  <c r="JY123" i="7" s="1"/>
  <c r="JY106" i="7"/>
  <c r="JY114" i="7" s="1"/>
  <c r="JY122" i="7" s="1"/>
  <c r="JY105" i="7"/>
  <c r="JY113" i="7" s="1"/>
  <c r="JY121" i="7" s="1"/>
  <c r="JY103" i="7"/>
  <c r="JY111" i="7" s="1"/>
  <c r="JY119" i="7" s="1"/>
  <c r="KB61" i="7"/>
  <c r="KC57" i="7" s="1"/>
  <c r="KC58" i="7" s="1"/>
  <c r="KC59" i="7" s="1"/>
  <c r="KB29" i="7"/>
  <c r="KC25" i="7" s="1"/>
  <c r="KB37" i="7"/>
  <c r="KC33" i="7" s="1"/>
  <c r="KC34" i="7" s="1"/>
  <c r="KC35" i="7" s="1"/>
  <c r="KB53" i="7"/>
  <c r="KC49" i="7" s="1"/>
  <c r="KC50" i="7" s="1"/>
  <c r="KC51" i="7" s="1"/>
  <c r="KB45" i="7"/>
  <c r="KC41" i="7" s="1"/>
  <c r="KC42" i="7" s="1"/>
  <c r="KC43" i="7" s="1"/>
  <c r="JZ94" i="7"/>
  <c r="JZ95" i="7"/>
  <c r="JZ96" i="7"/>
  <c r="JZ93" i="7"/>
  <c r="JZ100" i="7"/>
  <c r="KA78" i="7" l="1"/>
  <c r="KA80" i="7"/>
  <c r="KA88" i="7"/>
  <c r="KA89" i="7" s="1"/>
  <c r="KA85" i="7"/>
  <c r="KA98" i="7" s="1"/>
  <c r="KA79" i="7"/>
  <c r="KA81" i="7"/>
  <c r="KB73" i="7"/>
  <c r="KB30" i="7"/>
  <c r="KB31" i="7" s="1"/>
  <c r="KB38" i="7"/>
  <c r="KB39" i="7" s="1"/>
  <c r="KB68" i="7"/>
  <c r="KB62" i="7"/>
  <c r="JZ108" i="7"/>
  <c r="JZ116" i="7" s="1"/>
  <c r="JZ102" i="7"/>
  <c r="KB54" i="7"/>
  <c r="KB55" i="7" s="1"/>
  <c r="KB65" i="7"/>
  <c r="KC26" i="7"/>
  <c r="KC27" i="7" s="1"/>
  <c r="KB46" i="7"/>
  <c r="KB47" i="7" s="1"/>
  <c r="KA90" i="7" l="1"/>
  <c r="KA92" i="7"/>
  <c r="KB63" i="7"/>
  <c r="KB69" i="7"/>
  <c r="JZ106" i="7"/>
  <c r="JZ114" i="7" s="1"/>
  <c r="JZ122" i="7" s="1"/>
  <c r="JZ104" i="7"/>
  <c r="JZ112" i="7" s="1"/>
  <c r="JZ120" i="7" s="1"/>
  <c r="JZ103" i="7"/>
  <c r="JZ111" i="7" s="1"/>
  <c r="JZ119" i="7" s="1"/>
  <c r="JZ105" i="7"/>
  <c r="JZ113" i="7" s="1"/>
  <c r="JZ121" i="7" s="1"/>
  <c r="JZ107" i="7"/>
  <c r="JZ115" i="7" s="1"/>
  <c r="JZ123" i="7" s="1"/>
  <c r="KB74" i="7"/>
  <c r="KC52" i="7"/>
  <c r="KC36" i="7"/>
  <c r="KC60" i="7"/>
  <c r="KC28" i="7"/>
  <c r="KC44" i="7"/>
  <c r="KB75" i="7" l="1"/>
  <c r="KC72" i="7"/>
  <c r="KB70" i="7"/>
  <c r="KB77" i="7"/>
  <c r="KC67" i="7"/>
  <c r="KA93" i="7"/>
  <c r="KA94" i="7"/>
  <c r="KA96" i="7"/>
  <c r="KA95" i="7"/>
  <c r="KA100" i="7"/>
  <c r="KC29" i="7"/>
  <c r="KD25" i="7" s="1"/>
  <c r="KC61" i="7"/>
  <c r="KD57" i="7" s="1"/>
  <c r="KD58" i="7" s="1"/>
  <c r="KD59" i="7" s="1"/>
  <c r="KC53" i="7"/>
  <c r="KD49" i="7" s="1"/>
  <c r="KD50" i="7" s="1"/>
  <c r="KD51" i="7" s="1"/>
  <c r="KC45" i="7"/>
  <c r="KD41" i="7" s="1"/>
  <c r="KD42" i="7" s="1"/>
  <c r="KD43" i="7" s="1"/>
  <c r="KC37" i="7"/>
  <c r="KD33" i="7" s="1"/>
  <c r="KD34" i="7" s="1"/>
  <c r="KD35" i="7" s="1"/>
  <c r="KC46" i="7" l="1"/>
  <c r="KC47" i="7" s="1"/>
  <c r="KC54" i="7"/>
  <c r="KC55" i="7" s="1"/>
  <c r="KD26" i="7"/>
  <c r="KD27" i="7" s="1"/>
  <c r="KC62" i="7"/>
  <c r="KC65" i="7"/>
  <c r="KC30" i="7"/>
  <c r="KC31" i="7" s="1"/>
  <c r="KC73" i="7"/>
  <c r="KB82" i="7"/>
  <c r="KB78" i="7"/>
  <c r="KB81" i="7"/>
  <c r="KB79" i="7"/>
  <c r="KB80" i="7"/>
  <c r="KC38" i="7"/>
  <c r="KC39" i="7" s="1"/>
  <c r="KC68" i="7"/>
  <c r="KA102" i="7"/>
  <c r="KA108" i="7"/>
  <c r="KA116" i="7" s="1"/>
  <c r="KB83" i="7"/>
  <c r="KB88" i="7" s="1"/>
  <c r="KB89" i="7" s="1"/>
  <c r="KC74" i="7" l="1"/>
  <c r="KC75" i="7" s="1"/>
  <c r="KC69" i="7"/>
  <c r="KC63" i="7"/>
  <c r="KD44" i="7"/>
  <c r="KD36" i="7"/>
  <c r="KD52" i="7"/>
  <c r="KD60" i="7"/>
  <c r="KD28" i="7"/>
  <c r="KB85" i="7"/>
  <c r="KA104" i="7"/>
  <c r="KA112" i="7" s="1"/>
  <c r="KA120" i="7" s="1"/>
  <c r="KA103" i="7"/>
  <c r="KA111" i="7" s="1"/>
  <c r="KA119" i="7" s="1"/>
  <c r="KA105" i="7"/>
  <c r="KA113" i="7" s="1"/>
  <c r="KA121" i="7" s="1"/>
  <c r="KA106" i="7"/>
  <c r="KA114" i="7" s="1"/>
  <c r="KA122" i="7" s="1"/>
  <c r="KA107" i="7"/>
  <c r="KA115" i="7" s="1"/>
  <c r="KA123" i="7" s="1"/>
  <c r="KD72" i="7" l="1"/>
  <c r="KB98" i="7"/>
  <c r="KC70" i="7"/>
  <c r="KC83" i="7" s="1"/>
  <c r="KC88" i="7" s="1"/>
  <c r="KC89" i="7" s="1"/>
  <c r="KC77" i="7"/>
  <c r="KD53" i="7"/>
  <c r="KE49" i="7" s="1"/>
  <c r="KE50" i="7" s="1"/>
  <c r="KE51" i="7" s="1"/>
  <c r="KD37" i="7"/>
  <c r="KE33" i="7" s="1"/>
  <c r="KE34" i="7" s="1"/>
  <c r="KE35" i="7" s="1"/>
  <c r="KD45" i="7"/>
  <c r="KE41" i="7" s="1"/>
  <c r="KE42" i="7" s="1"/>
  <c r="KE43" i="7" s="1"/>
  <c r="KD61" i="7"/>
  <c r="KE57" i="7" s="1"/>
  <c r="KE58" i="7" s="1"/>
  <c r="KE59" i="7" s="1"/>
  <c r="KD29" i="7"/>
  <c r="KE25" i="7" s="1"/>
  <c r="KD67" i="7"/>
  <c r="KD65" i="7" l="1"/>
  <c r="KD62" i="7"/>
  <c r="KD68" i="7"/>
  <c r="KD30" i="7"/>
  <c r="KD31" i="7" s="1"/>
  <c r="KC80" i="7"/>
  <c r="KC79" i="7"/>
  <c r="KC78" i="7"/>
  <c r="KC82" i="7"/>
  <c r="KC81" i="7"/>
  <c r="KC85" i="7"/>
  <c r="KD63" i="7"/>
  <c r="KD73" i="7"/>
  <c r="KD46" i="7"/>
  <c r="KD47" i="7" s="1"/>
  <c r="KE26" i="7"/>
  <c r="KE27" i="7" s="1"/>
  <c r="KD38" i="7"/>
  <c r="KD39" i="7" s="1"/>
  <c r="KB90" i="7"/>
  <c r="KB92" i="7"/>
  <c r="KD54" i="7"/>
  <c r="KD55" i="7" s="1"/>
  <c r="KD69" i="7" l="1"/>
  <c r="KE67" i="7" s="1"/>
  <c r="KE52" i="7"/>
  <c r="KE28" i="7"/>
  <c r="KE44" i="7"/>
  <c r="KE60" i="7"/>
  <c r="KE36" i="7"/>
  <c r="KC98" i="7"/>
  <c r="KD74" i="7"/>
  <c r="KD75" i="7" s="1"/>
  <c r="KD70" i="7"/>
  <c r="KB95" i="7"/>
  <c r="KB96" i="7"/>
  <c r="KB94" i="7"/>
  <c r="KB93" i="7"/>
  <c r="KB100" i="7"/>
  <c r="KD77" i="7" l="1"/>
  <c r="KD81" i="7" s="1"/>
  <c r="KD83" i="7"/>
  <c r="KD88" i="7" s="1"/>
  <c r="KD89" i="7" s="1"/>
  <c r="KC90" i="7"/>
  <c r="KC92" i="7"/>
  <c r="KB108" i="7"/>
  <c r="KB116" i="7" s="1"/>
  <c r="KB102" i="7"/>
  <c r="KE72" i="7"/>
  <c r="KE37" i="7"/>
  <c r="KF33" i="7" s="1"/>
  <c r="KF34" i="7" s="1"/>
  <c r="KF35" i="7" s="1"/>
  <c r="KE29" i="7"/>
  <c r="KF25" i="7" s="1"/>
  <c r="KE45" i="7"/>
  <c r="KF41" i="7" s="1"/>
  <c r="KF42" i="7" s="1"/>
  <c r="KF43" i="7" s="1"/>
  <c r="KE61" i="7"/>
  <c r="KF57" i="7" s="1"/>
  <c r="KF58" i="7" s="1"/>
  <c r="KF59" i="7" s="1"/>
  <c r="KE53" i="7"/>
  <c r="KF49" i="7" s="1"/>
  <c r="KF50" i="7" s="1"/>
  <c r="KF51" i="7" s="1"/>
  <c r="KD82" i="7" l="1"/>
  <c r="KD80" i="7"/>
  <c r="KD78" i="7"/>
  <c r="KD79" i="7"/>
  <c r="KD85" i="7"/>
  <c r="KD98" i="7" s="1"/>
  <c r="KE62" i="7"/>
  <c r="KE63" i="7" s="1"/>
  <c r="KE54" i="7"/>
  <c r="KE55" i="7" s="1"/>
  <c r="KB103" i="7"/>
  <c r="KB111" i="7" s="1"/>
  <c r="KB119" i="7" s="1"/>
  <c r="KB104" i="7"/>
  <c r="KB112" i="7" s="1"/>
  <c r="KB120" i="7" s="1"/>
  <c r="KB105" i="7"/>
  <c r="KB113" i="7" s="1"/>
  <c r="KB121" i="7" s="1"/>
  <c r="KB107" i="7"/>
  <c r="KB115" i="7" s="1"/>
  <c r="KB123" i="7" s="1"/>
  <c r="KB106" i="7"/>
  <c r="KB114" i="7" s="1"/>
  <c r="KB122" i="7" s="1"/>
  <c r="KE65" i="7"/>
  <c r="KE30" i="7"/>
  <c r="KE31" i="7" s="1"/>
  <c r="KE38" i="7"/>
  <c r="KE39" i="7" s="1"/>
  <c r="KE73" i="7"/>
  <c r="KC95" i="7"/>
  <c r="KC93" i="7"/>
  <c r="KC96" i="7"/>
  <c r="KC94" i="7"/>
  <c r="KC100" i="7"/>
  <c r="KF26" i="7"/>
  <c r="KF27" i="7" s="1"/>
  <c r="KE46" i="7"/>
  <c r="KE47" i="7" s="1"/>
  <c r="KE68" i="7"/>
  <c r="KE74" i="7" l="1"/>
  <c r="KE75" i="7" s="1"/>
  <c r="KE69" i="7"/>
  <c r="KC102" i="7"/>
  <c r="KC108" i="7"/>
  <c r="KC116" i="7" s="1"/>
  <c r="KD90" i="7"/>
  <c r="KD92" i="7"/>
  <c r="KF52" i="7"/>
  <c r="KF44" i="7"/>
  <c r="KF36" i="7"/>
  <c r="KF60" i="7"/>
  <c r="KF28" i="7"/>
  <c r="KF72" i="7" l="1"/>
  <c r="KF45" i="7"/>
  <c r="KG41" i="7" s="1"/>
  <c r="KG42" i="7" s="1"/>
  <c r="KG43" i="7" s="1"/>
  <c r="KF29" i="7"/>
  <c r="KG25" i="7" s="1"/>
  <c r="KF53" i="7"/>
  <c r="KG49" i="7" s="1"/>
  <c r="KG50" i="7" s="1"/>
  <c r="KG51" i="7" s="1"/>
  <c r="KF37" i="7"/>
  <c r="KG33" i="7" s="1"/>
  <c r="KG34" i="7" s="1"/>
  <c r="KG35" i="7" s="1"/>
  <c r="KF61" i="7"/>
  <c r="KG57" i="7" s="1"/>
  <c r="KG58" i="7" s="1"/>
  <c r="KG59" i="7" s="1"/>
  <c r="KC105" i="7"/>
  <c r="KC113" i="7" s="1"/>
  <c r="KC121" i="7" s="1"/>
  <c r="KC103" i="7"/>
  <c r="KC111" i="7" s="1"/>
  <c r="KC119" i="7" s="1"/>
  <c r="KC106" i="7"/>
  <c r="KC114" i="7" s="1"/>
  <c r="KC122" i="7" s="1"/>
  <c r="KC104" i="7"/>
  <c r="KC112" i="7" s="1"/>
  <c r="KC120" i="7" s="1"/>
  <c r="KC107" i="7"/>
  <c r="KC115" i="7" s="1"/>
  <c r="KC123" i="7" s="1"/>
  <c r="KE70" i="7"/>
  <c r="KE83" i="7" s="1"/>
  <c r="KE88" i="7" s="1"/>
  <c r="KE89" i="7" s="1"/>
  <c r="KE77" i="7"/>
  <c r="KF67" i="7"/>
  <c r="KD95" i="7"/>
  <c r="KD94" i="7"/>
  <c r="KD93" i="7"/>
  <c r="KD96" i="7"/>
  <c r="KD100" i="7"/>
  <c r="KF62" i="7" l="1"/>
  <c r="KF63" i="7" s="1"/>
  <c r="KG26" i="7"/>
  <c r="KG27" i="7" s="1"/>
  <c r="KF65" i="7"/>
  <c r="KD102" i="7"/>
  <c r="KD108" i="7"/>
  <c r="KD116" i="7" s="1"/>
  <c r="KF68" i="7"/>
  <c r="KF46" i="7"/>
  <c r="KF47" i="7" s="1"/>
  <c r="KF73" i="7"/>
  <c r="KF38" i="7"/>
  <c r="KF39" i="7" s="1"/>
  <c r="KE79" i="7"/>
  <c r="KE78" i="7"/>
  <c r="KE80" i="7"/>
  <c r="KE81" i="7"/>
  <c r="KE82" i="7"/>
  <c r="KE85" i="7"/>
  <c r="KF54" i="7"/>
  <c r="KF55" i="7" s="1"/>
  <c r="KF30" i="7"/>
  <c r="KF31" i="7" s="1"/>
  <c r="KF69" i="7" l="1"/>
  <c r="KG67" i="7" s="1"/>
  <c r="KG44" i="7"/>
  <c r="KG36" i="7"/>
  <c r="KG60" i="7"/>
  <c r="KG52" i="7"/>
  <c r="KG28" i="7"/>
  <c r="KD105" i="7"/>
  <c r="KD113" i="7" s="1"/>
  <c r="KD121" i="7" s="1"/>
  <c r="KD103" i="7"/>
  <c r="KD111" i="7" s="1"/>
  <c r="KD119" i="7" s="1"/>
  <c r="KD107" i="7"/>
  <c r="KD115" i="7" s="1"/>
  <c r="KD123" i="7" s="1"/>
  <c r="KD104" i="7"/>
  <c r="KD112" i="7" s="1"/>
  <c r="KD120" i="7" s="1"/>
  <c r="KD106" i="7"/>
  <c r="KD114" i="7" s="1"/>
  <c r="KD122" i="7" s="1"/>
  <c r="KE98" i="7"/>
  <c r="KF74" i="7"/>
  <c r="KF75" i="7" s="1"/>
  <c r="KF70" i="7" l="1"/>
  <c r="KF83" i="7" s="1"/>
  <c r="KF88" i="7" s="1"/>
  <c r="KF89" i="7" s="1"/>
  <c r="KF77" i="7"/>
  <c r="KF80" i="7" s="1"/>
  <c r="KG72" i="7"/>
  <c r="KG53" i="7"/>
  <c r="KH49" i="7" s="1"/>
  <c r="KH50" i="7" s="1"/>
  <c r="KH51" i="7" s="1"/>
  <c r="KG45" i="7"/>
  <c r="KH41" i="7" s="1"/>
  <c r="KH42" i="7" s="1"/>
  <c r="KH43" i="7" s="1"/>
  <c r="KG37" i="7"/>
  <c r="KH33" i="7" s="1"/>
  <c r="KH34" i="7" s="1"/>
  <c r="KH35" i="7" s="1"/>
  <c r="KG61" i="7"/>
  <c r="KH57" i="7" s="1"/>
  <c r="KH58" i="7" s="1"/>
  <c r="KH59" i="7" s="1"/>
  <c r="KG29" i="7"/>
  <c r="KH25" i="7" s="1"/>
  <c r="KE92" i="7"/>
  <c r="KE90" i="7"/>
  <c r="KF81" i="7" l="1"/>
  <c r="KF79" i="7"/>
  <c r="KG30" i="7"/>
  <c r="KG31" i="7" s="1"/>
  <c r="KF85" i="7"/>
  <c r="KF98" i="7" s="1"/>
  <c r="KG62" i="7"/>
  <c r="KG63" i="7" s="1"/>
  <c r="KF82" i="7"/>
  <c r="KF78" i="7"/>
  <c r="KG73" i="7"/>
  <c r="KG46" i="7"/>
  <c r="KG47" i="7" s="1"/>
  <c r="KE94" i="7"/>
  <c r="KE93" i="7"/>
  <c r="KE96" i="7"/>
  <c r="KE95" i="7"/>
  <c r="KE100" i="7"/>
  <c r="KG38" i="7"/>
  <c r="KG39" i="7" s="1"/>
  <c r="KG68" i="7"/>
  <c r="KG54" i="7"/>
  <c r="KG55" i="7" s="1"/>
  <c r="KH26" i="7"/>
  <c r="KH27" i="7" s="1"/>
  <c r="KG65" i="7"/>
  <c r="KF90" i="7" l="1"/>
  <c r="KF92" i="7"/>
  <c r="KG69" i="7"/>
  <c r="KH67" i="7" s="1"/>
  <c r="KH60" i="7"/>
  <c r="KH52" i="7"/>
  <c r="KH36" i="7"/>
  <c r="KH44" i="7"/>
  <c r="KH28" i="7"/>
  <c r="KE108" i="7"/>
  <c r="KE116" i="7" s="1"/>
  <c r="KE102" i="7"/>
  <c r="KG74" i="7"/>
  <c r="KG75" i="7" s="1"/>
  <c r="KF95" i="7" l="1"/>
  <c r="KF93" i="7"/>
  <c r="KF96" i="7"/>
  <c r="KF94" i="7"/>
  <c r="KF100" i="7"/>
  <c r="KG70" i="7"/>
  <c r="KG83" i="7" s="1"/>
  <c r="KG88" i="7" s="1"/>
  <c r="KG89" i="7" s="1"/>
  <c r="KH72" i="7"/>
  <c r="KE106" i="7"/>
  <c r="KE114" i="7" s="1"/>
  <c r="KE122" i="7" s="1"/>
  <c r="KE104" i="7"/>
  <c r="KE112" i="7" s="1"/>
  <c r="KE120" i="7" s="1"/>
  <c r="KE103" i="7"/>
  <c r="KE111" i="7" s="1"/>
  <c r="KE119" i="7" s="1"/>
  <c r="KE105" i="7"/>
  <c r="KE113" i="7" s="1"/>
  <c r="KE121" i="7" s="1"/>
  <c r="KE107" i="7"/>
  <c r="KE115" i="7" s="1"/>
  <c r="KE123" i="7" s="1"/>
  <c r="KG77" i="7"/>
  <c r="KH61" i="7"/>
  <c r="KI57" i="7" s="1"/>
  <c r="KI58" i="7" s="1"/>
  <c r="KI59" i="7" s="1"/>
  <c r="KH45" i="7"/>
  <c r="KI41" i="7" s="1"/>
  <c r="KI42" i="7" s="1"/>
  <c r="KI43" i="7" s="1"/>
  <c r="KH29" i="7"/>
  <c r="KI25" i="7" s="1"/>
  <c r="KH37" i="7"/>
  <c r="KI33" i="7" s="1"/>
  <c r="KI34" i="7" s="1"/>
  <c r="KI35" i="7" s="1"/>
  <c r="KH53" i="7"/>
  <c r="KI49" i="7" s="1"/>
  <c r="KI50" i="7" s="1"/>
  <c r="KI51" i="7" s="1"/>
  <c r="KF108" i="7" l="1"/>
  <c r="KF116" i="7" s="1"/>
  <c r="KF102" i="7"/>
  <c r="KH38" i="7"/>
  <c r="KH39" i="7" s="1"/>
  <c r="KH73" i="7"/>
  <c r="KH30" i="7"/>
  <c r="KH31" i="7" s="1"/>
  <c r="KH46" i="7"/>
  <c r="KH47" i="7" s="1"/>
  <c r="KI26" i="7"/>
  <c r="KI27" i="7" s="1"/>
  <c r="KH68" i="7"/>
  <c r="KH65" i="7"/>
  <c r="KH54" i="7"/>
  <c r="KH55" i="7" s="1"/>
  <c r="KG79" i="7"/>
  <c r="KG78" i="7"/>
  <c r="KG80" i="7"/>
  <c r="KG82" i="7"/>
  <c r="KG81" i="7"/>
  <c r="KG85" i="7"/>
  <c r="KH62" i="7"/>
  <c r="KF105" i="7" l="1"/>
  <c r="KF113" i="7" s="1"/>
  <c r="KF121" i="7" s="1"/>
  <c r="KF106" i="7"/>
  <c r="KF114" i="7" s="1"/>
  <c r="KF122" i="7" s="1"/>
  <c r="KF107" i="7"/>
  <c r="KF115" i="7" s="1"/>
  <c r="KF123" i="7" s="1"/>
  <c r="KF103" i="7"/>
  <c r="KF111" i="7" s="1"/>
  <c r="KF119" i="7" s="1"/>
  <c r="KF104" i="7"/>
  <c r="KF112" i="7" s="1"/>
  <c r="KF120" i="7" s="1"/>
  <c r="KG98" i="7"/>
  <c r="KH69" i="7"/>
  <c r="KH63" i="7"/>
  <c r="KH74" i="7"/>
  <c r="KI44" i="7"/>
  <c r="KI60" i="7"/>
  <c r="KI36" i="7"/>
  <c r="KI52" i="7"/>
  <c r="KI28" i="7"/>
  <c r="KH75" i="7" l="1"/>
  <c r="KI72" i="7"/>
  <c r="KI45" i="7"/>
  <c r="KJ41" i="7" s="1"/>
  <c r="KJ42" i="7" s="1"/>
  <c r="KJ43" i="7" s="1"/>
  <c r="KI37" i="7"/>
  <c r="KJ33" i="7" s="1"/>
  <c r="KJ34" i="7" s="1"/>
  <c r="KJ35" i="7" s="1"/>
  <c r="KI61" i="7"/>
  <c r="KI53" i="7"/>
  <c r="KJ49" i="7" s="1"/>
  <c r="KJ50" i="7" s="1"/>
  <c r="KJ51" i="7" s="1"/>
  <c r="KI29" i="7"/>
  <c r="KJ25" i="7" s="1"/>
  <c r="KG90" i="7"/>
  <c r="KG92" i="7"/>
  <c r="KI67" i="7"/>
  <c r="KH70" i="7"/>
  <c r="KH77" i="7"/>
  <c r="KH83" i="7" l="1"/>
  <c r="KH88" i="7" s="1"/>
  <c r="KH89" i="7" s="1"/>
  <c r="KI73" i="7"/>
  <c r="KI38" i="7"/>
  <c r="KI39" i="7" s="1"/>
  <c r="KJ26" i="7"/>
  <c r="KJ27" i="7" s="1"/>
  <c r="KI30" i="7"/>
  <c r="KI31" i="7" s="1"/>
  <c r="KJ57" i="7"/>
  <c r="KJ58" i="7" s="1"/>
  <c r="KJ59" i="7" s="1"/>
  <c r="KI62" i="7"/>
  <c r="KG93" i="7"/>
  <c r="KG94" i="7"/>
  <c r="KG95" i="7"/>
  <c r="KG96" i="7"/>
  <c r="KG100" i="7"/>
  <c r="KH79" i="7"/>
  <c r="KH82" i="7"/>
  <c r="KH78" i="7"/>
  <c r="KH81" i="7"/>
  <c r="KH80" i="7"/>
  <c r="KI65" i="7"/>
  <c r="KI54" i="7"/>
  <c r="KI55" i="7" s="1"/>
  <c r="KI68" i="7"/>
  <c r="KI46" i="7"/>
  <c r="KI47" i="7" s="1"/>
  <c r="KH85" i="7" l="1"/>
  <c r="KH98" i="7" s="1"/>
  <c r="KI69" i="7"/>
  <c r="KI70" i="7" s="1"/>
  <c r="KI74" i="7"/>
  <c r="KI75" i="7" s="1"/>
  <c r="KI63" i="7"/>
  <c r="KJ60" i="7"/>
  <c r="KJ44" i="7"/>
  <c r="KJ28" i="7"/>
  <c r="KJ52" i="7"/>
  <c r="KJ36" i="7"/>
  <c r="KG108" i="7"/>
  <c r="KG116" i="7" s="1"/>
  <c r="KG102" i="7"/>
  <c r="KJ67" i="7" l="1"/>
  <c r="KJ72" i="7"/>
  <c r="KI77" i="7"/>
  <c r="KI79" i="7" s="1"/>
  <c r="KI83" i="7"/>
  <c r="KH92" i="7"/>
  <c r="KH90" i="7"/>
  <c r="KJ45" i="7"/>
  <c r="KK41" i="7" s="1"/>
  <c r="KK42" i="7" s="1"/>
  <c r="KK43" i="7" s="1"/>
  <c r="KJ61" i="7"/>
  <c r="KK57" i="7" s="1"/>
  <c r="KK58" i="7" s="1"/>
  <c r="KK59" i="7" s="1"/>
  <c r="KJ53" i="7"/>
  <c r="KK49" i="7" s="1"/>
  <c r="KK50" i="7" s="1"/>
  <c r="KK51" i="7" s="1"/>
  <c r="KJ29" i="7"/>
  <c r="KK25" i="7" s="1"/>
  <c r="KJ37" i="7"/>
  <c r="KK33" i="7" s="1"/>
  <c r="KK34" i="7" s="1"/>
  <c r="KK35" i="7" s="1"/>
  <c r="KG107" i="7"/>
  <c r="KG115" i="7" s="1"/>
  <c r="KG123" i="7" s="1"/>
  <c r="KG104" i="7"/>
  <c r="KG112" i="7" s="1"/>
  <c r="KG120" i="7" s="1"/>
  <c r="KG105" i="7"/>
  <c r="KG113" i="7" s="1"/>
  <c r="KG121" i="7" s="1"/>
  <c r="KG106" i="7"/>
  <c r="KG114" i="7" s="1"/>
  <c r="KG122" i="7" s="1"/>
  <c r="KG103" i="7"/>
  <c r="KG111" i="7" s="1"/>
  <c r="KG119" i="7" s="1"/>
  <c r="KI82" i="7" l="1"/>
  <c r="KI81" i="7"/>
  <c r="KI80" i="7"/>
  <c r="KI78" i="7"/>
  <c r="KI88" i="7"/>
  <c r="KI89" i="7" s="1"/>
  <c r="KI85" i="7"/>
  <c r="KJ54" i="7"/>
  <c r="KJ55" i="7" s="1"/>
  <c r="KJ73" i="7"/>
  <c r="KJ65" i="7"/>
  <c r="KH95" i="7"/>
  <c r="KH96" i="7"/>
  <c r="KH93" i="7"/>
  <c r="KH94" i="7"/>
  <c r="KH100" i="7"/>
  <c r="KK26" i="7"/>
  <c r="KK27" i="7" s="1"/>
  <c r="KJ38" i="7"/>
  <c r="KJ39" i="7" s="1"/>
  <c r="KJ62" i="7"/>
  <c r="KJ68" i="7"/>
  <c r="KJ46" i="7"/>
  <c r="KJ47" i="7" s="1"/>
  <c r="KJ30" i="7"/>
  <c r="KJ31" i="7" s="1"/>
  <c r="KI98" i="7" l="1"/>
  <c r="KJ69" i="7"/>
  <c r="KK67" i="7" s="1"/>
  <c r="KJ63" i="7"/>
  <c r="KH102" i="7"/>
  <c r="KH108" i="7"/>
  <c r="KH116" i="7" s="1"/>
  <c r="KK52" i="7"/>
  <c r="KK36" i="7"/>
  <c r="KK60" i="7"/>
  <c r="KK28" i="7"/>
  <c r="KK44" i="7"/>
  <c r="KJ74" i="7"/>
  <c r="KI92" i="7" l="1"/>
  <c r="KI90" i="7"/>
  <c r="KJ70" i="7"/>
  <c r="KJ75" i="7"/>
  <c r="KK72" i="7"/>
  <c r="KJ77" i="7"/>
  <c r="KH107" i="7"/>
  <c r="KH115" i="7" s="1"/>
  <c r="KH123" i="7" s="1"/>
  <c r="KH103" i="7"/>
  <c r="KH111" i="7" s="1"/>
  <c r="KH119" i="7" s="1"/>
  <c r="KH104" i="7"/>
  <c r="KH112" i="7" s="1"/>
  <c r="KH120" i="7" s="1"/>
  <c r="KH106" i="7"/>
  <c r="KH114" i="7" s="1"/>
  <c r="KH122" i="7" s="1"/>
  <c r="KH105" i="7"/>
  <c r="KH113" i="7" s="1"/>
  <c r="KH121" i="7" s="1"/>
  <c r="KK53" i="7"/>
  <c r="KL49" i="7" s="1"/>
  <c r="KL50" i="7" s="1"/>
  <c r="KL51" i="7" s="1"/>
  <c r="KK45" i="7"/>
  <c r="KL41" i="7" s="1"/>
  <c r="KL42" i="7" s="1"/>
  <c r="KL43" i="7" s="1"/>
  <c r="KK37" i="7"/>
  <c r="KL33" i="7" s="1"/>
  <c r="KL34" i="7" s="1"/>
  <c r="KL35" i="7" s="1"/>
  <c r="KK61" i="7"/>
  <c r="KK29" i="7"/>
  <c r="KL25" i="7" s="1"/>
  <c r="KJ83" i="7" l="1"/>
  <c r="KJ88" i="7" s="1"/>
  <c r="KJ89" i="7" s="1"/>
  <c r="KI94" i="7"/>
  <c r="KI93" i="7"/>
  <c r="KI96" i="7"/>
  <c r="KI95" i="7"/>
  <c r="KI100" i="7"/>
  <c r="KK38" i="7"/>
  <c r="KK39" i="7" s="1"/>
  <c r="KK54" i="7"/>
  <c r="KK55" i="7" s="1"/>
  <c r="KK65" i="7"/>
  <c r="KK68" i="7"/>
  <c r="KL26" i="7"/>
  <c r="KL27" i="7" s="1"/>
  <c r="KK30" i="7"/>
  <c r="KK31" i="7" s="1"/>
  <c r="KJ79" i="7"/>
  <c r="KJ80" i="7"/>
  <c r="KJ82" i="7"/>
  <c r="KJ78" i="7"/>
  <c r="KJ81" i="7"/>
  <c r="KK46" i="7"/>
  <c r="KK47" i="7" s="1"/>
  <c r="KK73" i="7"/>
  <c r="KL57" i="7"/>
  <c r="KL58" i="7" s="1"/>
  <c r="KL59" i="7" s="1"/>
  <c r="KK62" i="7"/>
  <c r="KJ85" i="7" l="1"/>
  <c r="KJ98" i="7" s="1"/>
  <c r="KK74" i="7"/>
  <c r="KK75" i="7" s="1"/>
  <c r="KI102" i="7"/>
  <c r="KI108" i="7"/>
  <c r="KI116" i="7" s="1"/>
  <c r="KK69" i="7"/>
  <c r="KL67" i="7" s="1"/>
  <c r="KK63" i="7"/>
  <c r="KL60" i="7"/>
  <c r="KL28" i="7"/>
  <c r="KL44" i="7"/>
  <c r="KL52" i="7"/>
  <c r="KL36" i="7"/>
  <c r="KL72" i="7" l="1"/>
  <c r="KI103" i="7"/>
  <c r="KI111" i="7" s="1"/>
  <c r="KI119" i="7" s="1"/>
  <c r="KI106" i="7"/>
  <c r="KI114" i="7" s="1"/>
  <c r="KI122" i="7" s="1"/>
  <c r="KI104" i="7"/>
  <c r="KI112" i="7" s="1"/>
  <c r="KI120" i="7" s="1"/>
  <c r="KI107" i="7"/>
  <c r="KI115" i="7" s="1"/>
  <c r="KI123" i="7" s="1"/>
  <c r="KI105" i="7"/>
  <c r="KI113" i="7" s="1"/>
  <c r="KI121" i="7" s="1"/>
  <c r="KK70" i="7"/>
  <c r="KK83" i="7" s="1"/>
  <c r="KK88" i="7" s="1"/>
  <c r="KK89" i="7" s="1"/>
  <c r="KK77" i="7"/>
  <c r="KL53" i="7"/>
  <c r="KM49" i="7" s="1"/>
  <c r="KM50" i="7" s="1"/>
  <c r="KM51" i="7" s="1"/>
  <c r="KL45" i="7"/>
  <c r="KM41" i="7" s="1"/>
  <c r="KM42" i="7" s="1"/>
  <c r="KM43" i="7" s="1"/>
  <c r="KL29" i="7"/>
  <c r="KM25" i="7" s="1"/>
  <c r="KL37" i="7"/>
  <c r="KM33" i="7" s="1"/>
  <c r="KM34" i="7" s="1"/>
  <c r="KM35" i="7" s="1"/>
  <c r="KL61" i="7"/>
  <c r="KJ90" i="7"/>
  <c r="KJ92" i="7"/>
  <c r="KM26" i="7" l="1"/>
  <c r="KM27" i="7" s="1"/>
  <c r="KJ93" i="7"/>
  <c r="KJ95" i="7"/>
  <c r="KJ96" i="7"/>
  <c r="KJ94" i="7"/>
  <c r="KJ100" i="7"/>
  <c r="KL68" i="7"/>
  <c r="KK80" i="7"/>
  <c r="KK79" i="7"/>
  <c r="KK81" i="7"/>
  <c r="KK82" i="7"/>
  <c r="KK78" i="7"/>
  <c r="KK85" i="7"/>
  <c r="KL73" i="7"/>
  <c r="KL65" i="7"/>
  <c r="KL38" i="7"/>
  <c r="KL39" i="7" s="1"/>
  <c r="KL54" i="7"/>
  <c r="KL55" i="7" s="1"/>
  <c r="KL46" i="7"/>
  <c r="KL47" i="7" s="1"/>
  <c r="KM57" i="7"/>
  <c r="KM58" i="7" s="1"/>
  <c r="KM59" i="7" s="1"/>
  <c r="KL62" i="7"/>
  <c r="KL63" i="7" s="1"/>
  <c r="KL30" i="7"/>
  <c r="KL31" i="7" s="1"/>
  <c r="KL69" i="7" l="1"/>
  <c r="KM67" i="7" s="1"/>
  <c r="KK98" i="7"/>
  <c r="KL74" i="7"/>
  <c r="KL75" i="7" s="1"/>
  <c r="KJ102" i="7"/>
  <c r="KJ108" i="7"/>
  <c r="KJ116" i="7" s="1"/>
  <c r="KM52" i="7"/>
  <c r="KM44" i="7"/>
  <c r="KM60" i="7"/>
  <c r="KM28" i="7"/>
  <c r="KM36" i="7"/>
  <c r="KL70" i="7" l="1"/>
  <c r="KL83" i="7" s="1"/>
  <c r="KL88" i="7" s="1"/>
  <c r="KL89" i="7" s="1"/>
  <c r="KL77" i="7"/>
  <c r="KL80" i="7" s="1"/>
  <c r="KM37" i="7"/>
  <c r="KN33" i="7" s="1"/>
  <c r="KN34" i="7" s="1"/>
  <c r="KN35" i="7" s="1"/>
  <c r="KM53" i="7"/>
  <c r="KN49" i="7" s="1"/>
  <c r="KN50" i="7" s="1"/>
  <c r="KN51" i="7" s="1"/>
  <c r="KM29" i="7"/>
  <c r="KN25" i="7" s="1"/>
  <c r="KM45" i="7"/>
  <c r="KN41" i="7" s="1"/>
  <c r="KN42" i="7" s="1"/>
  <c r="KN43" i="7" s="1"/>
  <c r="KJ105" i="7"/>
  <c r="KJ113" i="7" s="1"/>
  <c r="KJ121" i="7" s="1"/>
  <c r="KJ107" i="7"/>
  <c r="KJ115" i="7" s="1"/>
  <c r="KJ123" i="7" s="1"/>
  <c r="KJ103" i="7"/>
  <c r="KJ111" i="7" s="1"/>
  <c r="KJ119" i="7" s="1"/>
  <c r="KJ104" i="7"/>
  <c r="KJ112" i="7" s="1"/>
  <c r="KJ120" i="7" s="1"/>
  <c r="KJ106" i="7"/>
  <c r="KJ114" i="7" s="1"/>
  <c r="KJ122" i="7" s="1"/>
  <c r="KK92" i="7"/>
  <c r="KK90" i="7"/>
  <c r="KM61" i="7"/>
  <c r="KN57" i="7" s="1"/>
  <c r="KN58" i="7" s="1"/>
  <c r="KN59" i="7" s="1"/>
  <c r="KM72" i="7"/>
  <c r="KL78" i="7" l="1"/>
  <c r="KL81" i="7"/>
  <c r="KL85" i="7"/>
  <c r="KL98" i="7" s="1"/>
  <c r="KM54" i="7"/>
  <c r="KM55" i="7" s="1"/>
  <c r="KL82" i="7"/>
  <c r="KL79" i="7"/>
  <c r="KM30" i="7"/>
  <c r="KM31" i="7" s="1"/>
  <c r="KM73" i="7"/>
  <c r="KM65" i="7"/>
  <c r="KM62" i="7"/>
  <c r="KM68" i="7"/>
  <c r="KK96" i="7"/>
  <c r="KK93" i="7"/>
  <c r="KK94" i="7"/>
  <c r="KK95" i="7"/>
  <c r="KK100" i="7"/>
  <c r="KN26" i="7"/>
  <c r="KN27" i="7" s="1"/>
  <c r="KM38" i="7"/>
  <c r="KM39" i="7" s="1"/>
  <c r="KM46" i="7"/>
  <c r="KM47" i="7" s="1"/>
  <c r="KM74" i="7" l="1"/>
  <c r="KM75" i="7" s="1"/>
  <c r="KM69" i="7"/>
  <c r="KN67" i="7" s="1"/>
  <c r="KM63" i="7"/>
  <c r="KK108" i="7"/>
  <c r="KK116" i="7" s="1"/>
  <c r="KK102" i="7"/>
  <c r="KL90" i="7"/>
  <c r="KL92" i="7"/>
  <c r="KN28" i="7"/>
  <c r="KN36" i="7"/>
  <c r="KN52" i="7"/>
  <c r="KN44" i="7"/>
  <c r="KN60" i="7"/>
  <c r="KN72" i="7" l="1"/>
  <c r="KK106" i="7"/>
  <c r="KK114" i="7" s="1"/>
  <c r="KK122" i="7" s="1"/>
  <c r="KK107" i="7"/>
  <c r="KK115" i="7" s="1"/>
  <c r="KK123" i="7" s="1"/>
  <c r="KK104" i="7"/>
  <c r="KK112" i="7" s="1"/>
  <c r="KK120" i="7" s="1"/>
  <c r="KK103" i="7"/>
  <c r="KK111" i="7" s="1"/>
  <c r="KK119" i="7" s="1"/>
  <c r="KK105" i="7"/>
  <c r="KK113" i="7" s="1"/>
  <c r="KK121" i="7" s="1"/>
  <c r="KM70" i="7"/>
  <c r="KM83" i="7" s="1"/>
  <c r="KM88" i="7" s="1"/>
  <c r="KM89" i="7" s="1"/>
  <c r="KM77" i="7"/>
  <c r="KN37" i="7"/>
  <c r="KO33" i="7" s="1"/>
  <c r="KO34" i="7" s="1"/>
  <c r="KO35" i="7" s="1"/>
  <c r="KN29" i="7"/>
  <c r="KO25" i="7" s="1"/>
  <c r="KN53" i="7"/>
  <c r="KO49" i="7" s="1"/>
  <c r="KO50" i="7" s="1"/>
  <c r="KO51" i="7" s="1"/>
  <c r="KN61" i="7"/>
  <c r="KN45" i="7"/>
  <c r="KO41" i="7" s="1"/>
  <c r="KO42" i="7" s="1"/>
  <c r="KO43" i="7" s="1"/>
  <c r="KL95" i="7"/>
  <c r="KL93" i="7"/>
  <c r="KL94" i="7"/>
  <c r="KL96" i="7"/>
  <c r="KL100" i="7"/>
  <c r="KN65" i="7" l="1"/>
  <c r="KN73" i="7"/>
  <c r="KN46" i="7"/>
  <c r="KN47" i="7" s="1"/>
  <c r="KL102" i="7"/>
  <c r="KL108" i="7"/>
  <c r="KL116" i="7" s="1"/>
  <c r="KN30" i="7"/>
  <c r="KN31" i="7" s="1"/>
  <c r="KM78" i="7"/>
  <c r="KM79" i="7"/>
  <c r="KM80" i="7"/>
  <c r="KM81" i="7"/>
  <c r="KM82" i="7"/>
  <c r="KM85" i="7"/>
  <c r="KO57" i="7"/>
  <c r="KO58" i="7" s="1"/>
  <c r="KO59" i="7" s="1"/>
  <c r="KN62" i="7"/>
  <c r="KO26" i="7"/>
  <c r="KO27" i="7" s="1"/>
  <c r="KN38" i="7"/>
  <c r="KN39" i="7" s="1"/>
  <c r="KN68" i="7"/>
  <c r="KN54" i="7"/>
  <c r="KN55" i="7" s="1"/>
  <c r="KN69" i="7" l="1"/>
  <c r="KO60" i="7"/>
  <c r="KO52" i="7"/>
  <c r="KO36" i="7"/>
  <c r="KO44" i="7"/>
  <c r="KO28" i="7"/>
  <c r="KN74" i="7"/>
  <c r="KN75" i="7" s="1"/>
  <c r="KM98" i="7"/>
  <c r="KN63" i="7"/>
  <c r="KL106" i="7"/>
  <c r="KL114" i="7" s="1"/>
  <c r="KL122" i="7" s="1"/>
  <c r="KL105" i="7"/>
  <c r="KL113" i="7" s="1"/>
  <c r="KL121" i="7" s="1"/>
  <c r="KL104" i="7"/>
  <c r="KL112" i="7" s="1"/>
  <c r="KL120" i="7" s="1"/>
  <c r="KL107" i="7"/>
  <c r="KL115" i="7" s="1"/>
  <c r="KL123" i="7" s="1"/>
  <c r="KL103" i="7"/>
  <c r="KL111" i="7" s="1"/>
  <c r="KL119" i="7" s="1"/>
  <c r="KO53" i="7" l="1"/>
  <c r="KP49" i="7" s="1"/>
  <c r="KP50" i="7" s="1"/>
  <c r="KP51" i="7" s="1"/>
  <c r="KM90" i="7"/>
  <c r="KM92" i="7"/>
  <c r="KN70" i="7"/>
  <c r="KN83" i="7" s="1"/>
  <c r="KN88" i="7" s="1"/>
  <c r="KN89" i="7" s="1"/>
  <c r="KN77" i="7"/>
  <c r="KO61" i="7"/>
  <c r="KO37" i="7"/>
  <c r="KP33" i="7" s="1"/>
  <c r="KP34" i="7" s="1"/>
  <c r="KP35" i="7" s="1"/>
  <c r="KO45" i="7"/>
  <c r="KP41" i="7" s="1"/>
  <c r="KP42" i="7" s="1"/>
  <c r="KP43" i="7" s="1"/>
  <c r="KO29" i="7"/>
  <c r="KP25" i="7" s="1"/>
  <c r="KO72" i="7"/>
  <c r="KO67" i="7"/>
  <c r="KO54" i="7" l="1"/>
  <c r="KO55" i="7" s="1"/>
  <c r="KO30" i="7"/>
  <c r="KO31" i="7" s="1"/>
  <c r="KO38" i="7"/>
  <c r="KO39" i="7" s="1"/>
  <c r="KO73" i="7"/>
  <c r="KP26" i="7"/>
  <c r="KP27" i="7" s="1"/>
  <c r="KO46" i="7"/>
  <c r="KO47" i="7" s="1"/>
  <c r="KP57" i="7"/>
  <c r="KP58" i="7" s="1"/>
  <c r="KP59" i="7" s="1"/>
  <c r="KO62" i="7"/>
  <c r="KM93" i="7"/>
  <c r="KM96" i="7"/>
  <c r="KM95" i="7"/>
  <c r="KM94" i="7"/>
  <c r="KM100" i="7"/>
  <c r="KO68" i="7"/>
  <c r="KN78" i="7"/>
  <c r="KN80" i="7"/>
  <c r="KN81" i="7"/>
  <c r="KN79" i="7"/>
  <c r="KN82" i="7"/>
  <c r="KN85" i="7"/>
  <c r="KO65" i="7"/>
  <c r="KO63" i="7" l="1"/>
  <c r="KN98" i="7"/>
  <c r="KO69" i="7"/>
  <c r="KP28" i="7"/>
  <c r="KP44" i="7"/>
  <c r="KP36" i="7"/>
  <c r="KP60" i="7"/>
  <c r="KP52" i="7"/>
  <c r="KM108" i="7"/>
  <c r="KM116" i="7" s="1"/>
  <c r="KM102" i="7"/>
  <c r="KO74" i="7"/>
  <c r="KP37" i="7" l="1"/>
  <c r="KQ33" i="7" s="1"/>
  <c r="KQ34" i="7" s="1"/>
  <c r="KQ35" i="7" s="1"/>
  <c r="KP45" i="7"/>
  <c r="KQ41" i="7" s="1"/>
  <c r="KQ42" i="7" s="1"/>
  <c r="KQ43" i="7" s="1"/>
  <c r="KP29" i="7"/>
  <c r="KQ25" i="7" s="1"/>
  <c r="KP53" i="7"/>
  <c r="KQ49" i="7" s="1"/>
  <c r="KQ50" i="7" s="1"/>
  <c r="KQ51" i="7" s="1"/>
  <c r="KP61" i="7"/>
  <c r="KQ57" i="7" s="1"/>
  <c r="KQ58" i="7" s="1"/>
  <c r="KQ59" i="7" s="1"/>
  <c r="KO70" i="7"/>
  <c r="KO77" i="7"/>
  <c r="KN90" i="7"/>
  <c r="KN92" i="7"/>
  <c r="KO75" i="7"/>
  <c r="KP72" i="7"/>
  <c r="KM106" i="7"/>
  <c r="KM114" i="7" s="1"/>
  <c r="KM122" i="7" s="1"/>
  <c r="KM107" i="7"/>
  <c r="KM115" i="7" s="1"/>
  <c r="KM123" i="7" s="1"/>
  <c r="KM104" i="7"/>
  <c r="KM112" i="7" s="1"/>
  <c r="KM120" i="7" s="1"/>
  <c r="KM103" i="7"/>
  <c r="KM111" i="7" s="1"/>
  <c r="KM119" i="7" s="1"/>
  <c r="KM105" i="7"/>
  <c r="KM113" i="7" s="1"/>
  <c r="KM121" i="7" s="1"/>
  <c r="KP67" i="7"/>
  <c r="KP38" i="7" l="1"/>
  <c r="KP39" i="7" s="1"/>
  <c r="KP46" i="7"/>
  <c r="KP47" i="7" s="1"/>
  <c r="KO83" i="7"/>
  <c r="KO88" i="7" s="1"/>
  <c r="KO89" i="7" s="1"/>
  <c r="KO82" i="7"/>
  <c r="KO80" i="7"/>
  <c r="KO79" i="7"/>
  <c r="KO81" i="7"/>
  <c r="KO78" i="7"/>
  <c r="KP54" i="7"/>
  <c r="KP55" i="7" s="1"/>
  <c r="KP73" i="7"/>
  <c r="KN96" i="7"/>
  <c r="KN95" i="7"/>
  <c r="KN94" i="7"/>
  <c r="KN93" i="7"/>
  <c r="KN100" i="7"/>
  <c r="KP65" i="7"/>
  <c r="KQ26" i="7"/>
  <c r="KQ27" i="7" s="1"/>
  <c r="KP68" i="7"/>
  <c r="KP62" i="7"/>
  <c r="KP63" i="7" s="1"/>
  <c r="KP30" i="7"/>
  <c r="KP31" i="7" s="1"/>
  <c r="KO85" i="7" l="1"/>
  <c r="KO98" i="7" s="1"/>
  <c r="KO92" i="7" s="1"/>
  <c r="KP74" i="7"/>
  <c r="KP75" i="7" s="1"/>
  <c r="KP69" i="7"/>
  <c r="KP70" i="7" s="1"/>
  <c r="KQ60" i="7"/>
  <c r="KQ36" i="7"/>
  <c r="KQ28" i="7"/>
  <c r="KQ52" i="7"/>
  <c r="KQ44" i="7"/>
  <c r="KN108" i="7"/>
  <c r="KN116" i="7" s="1"/>
  <c r="KN102" i="7"/>
  <c r="KO90" i="7" l="1"/>
  <c r="KP83" i="7"/>
  <c r="KP88" i="7" s="1"/>
  <c r="KP89" i="7" s="1"/>
  <c r="KQ67" i="7"/>
  <c r="KP77" i="7"/>
  <c r="KP80" i="7" s="1"/>
  <c r="KQ72" i="7"/>
  <c r="KQ37" i="7"/>
  <c r="KR33" i="7" s="1"/>
  <c r="KR34" i="7" s="1"/>
  <c r="KR35" i="7" s="1"/>
  <c r="KQ61" i="7"/>
  <c r="KR57" i="7" s="1"/>
  <c r="KR58" i="7" s="1"/>
  <c r="KR59" i="7" s="1"/>
  <c r="KQ29" i="7"/>
  <c r="KR25" i="7" s="1"/>
  <c r="KQ45" i="7"/>
  <c r="KR41" i="7" s="1"/>
  <c r="KR42" i="7" s="1"/>
  <c r="KR43" i="7" s="1"/>
  <c r="KQ53" i="7"/>
  <c r="KR49" i="7" s="1"/>
  <c r="KR50" i="7" s="1"/>
  <c r="KR51" i="7" s="1"/>
  <c r="KO100" i="7"/>
  <c r="KO96" i="7"/>
  <c r="KO95" i="7"/>
  <c r="KO94" i="7"/>
  <c r="KO93" i="7"/>
  <c r="KN105" i="7"/>
  <c r="KN113" i="7" s="1"/>
  <c r="KN121" i="7" s="1"/>
  <c r="KN103" i="7"/>
  <c r="KN111" i="7" s="1"/>
  <c r="KN119" i="7" s="1"/>
  <c r="KN106" i="7"/>
  <c r="KN114" i="7" s="1"/>
  <c r="KN122" i="7" s="1"/>
  <c r="KN104" i="7"/>
  <c r="KN112" i="7" s="1"/>
  <c r="KN120" i="7" s="1"/>
  <c r="KN107" i="7"/>
  <c r="KN115" i="7" s="1"/>
  <c r="KN123" i="7" s="1"/>
  <c r="KP85" i="7" l="1"/>
  <c r="KP98" i="7" s="1"/>
  <c r="KP78" i="7"/>
  <c r="KP81" i="7"/>
  <c r="KP82" i="7"/>
  <c r="KP79" i="7"/>
  <c r="KQ54" i="7"/>
  <c r="KQ55" i="7" s="1"/>
  <c r="KQ62" i="7"/>
  <c r="KQ63" i="7" s="1"/>
  <c r="KQ65" i="7"/>
  <c r="KQ38" i="7"/>
  <c r="KQ39" i="7" s="1"/>
  <c r="KQ73" i="7"/>
  <c r="KQ30" i="7"/>
  <c r="KQ31" i="7" s="1"/>
  <c r="KO108" i="7"/>
  <c r="KO116" i="7" s="1"/>
  <c r="KO102" i="7"/>
  <c r="KR26" i="7"/>
  <c r="KR27" i="7" s="1"/>
  <c r="KQ46" i="7"/>
  <c r="KQ47" i="7" s="1"/>
  <c r="KQ68" i="7"/>
  <c r="KQ69" i="7" l="1"/>
  <c r="KO104" i="7"/>
  <c r="KO112" i="7" s="1"/>
  <c r="KO120" i="7" s="1"/>
  <c r="KO106" i="7"/>
  <c r="KO114" i="7" s="1"/>
  <c r="KO122" i="7" s="1"/>
  <c r="KO107" i="7"/>
  <c r="KO115" i="7" s="1"/>
  <c r="KO123" i="7" s="1"/>
  <c r="KO103" i="7"/>
  <c r="KO111" i="7" s="1"/>
  <c r="KO119" i="7" s="1"/>
  <c r="KO105" i="7"/>
  <c r="KO113" i="7" s="1"/>
  <c r="KO121" i="7" s="1"/>
  <c r="KQ74" i="7"/>
  <c r="KQ75" i="7" s="1"/>
  <c r="KP90" i="7"/>
  <c r="KP92" i="7"/>
  <c r="KR52" i="7"/>
  <c r="KR44" i="7"/>
  <c r="KR36" i="7"/>
  <c r="KR60" i="7"/>
  <c r="KR28" i="7"/>
  <c r="KR29" i="7" l="1"/>
  <c r="KS25" i="7" s="1"/>
  <c r="KR53" i="7"/>
  <c r="KS49" i="7" s="1"/>
  <c r="KS50" i="7" s="1"/>
  <c r="KS51" i="7" s="1"/>
  <c r="KR45" i="7"/>
  <c r="KS41" i="7" s="1"/>
  <c r="KS42" i="7" s="1"/>
  <c r="KS43" i="7" s="1"/>
  <c r="KR61" i="7"/>
  <c r="KS57" i="7" s="1"/>
  <c r="KS58" i="7" s="1"/>
  <c r="KS59" i="7" s="1"/>
  <c r="KR37" i="7"/>
  <c r="KS33" i="7" s="1"/>
  <c r="KS34" i="7" s="1"/>
  <c r="KS35" i="7" s="1"/>
  <c r="KR67" i="7"/>
  <c r="KQ70" i="7"/>
  <c r="KQ83" i="7" s="1"/>
  <c r="KQ88" i="7" s="1"/>
  <c r="KQ89" i="7" s="1"/>
  <c r="KQ77" i="7"/>
  <c r="KP93" i="7"/>
  <c r="KP94" i="7"/>
  <c r="KP96" i="7"/>
  <c r="KP95" i="7"/>
  <c r="KP100" i="7"/>
  <c r="KR72" i="7"/>
  <c r="KR38" i="7" l="1"/>
  <c r="KR39" i="7" s="1"/>
  <c r="KR54" i="7"/>
  <c r="KR55" i="7" s="1"/>
  <c r="KR46" i="7"/>
  <c r="KR47" i="7" s="1"/>
  <c r="KR73" i="7"/>
  <c r="KR62" i="7"/>
  <c r="KR63" i="7" s="1"/>
  <c r="KS26" i="7"/>
  <c r="KS27" i="7" s="1"/>
  <c r="KQ82" i="7"/>
  <c r="KQ78" i="7"/>
  <c r="KQ80" i="7"/>
  <c r="KQ81" i="7"/>
  <c r="KQ79" i="7"/>
  <c r="KQ85" i="7"/>
  <c r="KQ98" i="7" s="1"/>
  <c r="KR68" i="7"/>
  <c r="KR65" i="7"/>
  <c r="KP102" i="7"/>
  <c r="KP108" i="7"/>
  <c r="KP116" i="7" s="1"/>
  <c r="KR30" i="7"/>
  <c r="KR31" i="7" s="1"/>
  <c r="KR74" i="7" l="1"/>
  <c r="KR75" i="7" s="1"/>
  <c r="KR69" i="7"/>
  <c r="KQ90" i="7"/>
  <c r="KQ92" i="7"/>
  <c r="KP104" i="7"/>
  <c r="KP112" i="7" s="1"/>
  <c r="KP120" i="7" s="1"/>
  <c r="KP107" i="7"/>
  <c r="KP115" i="7" s="1"/>
  <c r="KP123" i="7" s="1"/>
  <c r="KP105" i="7"/>
  <c r="KP113" i="7" s="1"/>
  <c r="KP121" i="7" s="1"/>
  <c r="KP103" i="7"/>
  <c r="KP111" i="7" s="1"/>
  <c r="KP119" i="7" s="1"/>
  <c r="KP106" i="7"/>
  <c r="KP114" i="7" s="1"/>
  <c r="KP122" i="7" s="1"/>
  <c r="KS36" i="7"/>
  <c r="KS44" i="7"/>
  <c r="KS60" i="7"/>
  <c r="KS28" i="7"/>
  <c r="KS52" i="7"/>
  <c r="KS72" i="7" l="1"/>
  <c r="KQ100" i="7"/>
  <c r="KQ95" i="7"/>
  <c r="KQ94" i="7"/>
  <c r="KQ96" i="7"/>
  <c r="KQ93" i="7"/>
  <c r="KR77" i="7"/>
  <c r="KR70" i="7"/>
  <c r="KR83" i="7" s="1"/>
  <c r="KR88" i="7" s="1"/>
  <c r="KR89" i="7" s="1"/>
  <c r="KS53" i="7"/>
  <c r="KT49" i="7" s="1"/>
  <c r="KT50" i="7" s="1"/>
  <c r="KT51" i="7" s="1"/>
  <c r="KS61" i="7"/>
  <c r="KT57" i="7" s="1"/>
  <c r="KT58" i="7" s="1"/>
  <c r="KT59" i="7" s="1"/>
  <c r="KS37" i="7"/>
  <c r="KT33" i="7" s="1"/>
  <c r="KT34" i="7" s="1"/>
  <c r="KT35" i="7" s="1"/>
  <c r="KS45" i="7"/>
  <c r="KT41" i="7" s="1"/>
  <c r="KT42" i="7" s="1"/>
  <c r="KT43" i="7" s="1"/>
  <c r="KS29" i="7"/>
  <c r="KT25" i="7" s="1"/>
  <c r="KS67" i="7"/>
  <c r="KS46" i="7" l="1"/>
  <c r="KS47" i="7" s="1"/>
  <c r="KR80" i="7"/>
  <c r="KR81" i="7"/>
  <c r="KR79" i="7"/>
  <c r="KR82" i="7"/>
  <c r="KR78" i="7"/>
  <c r="KR85" i="7"/>
  <c r="KS65" i="7"/>
  <c r="KS68" i="7"/>
  <c r="KQ108" i="7"/>
  <c r="KQ116" i="7" s="1"/>
  <c r="KQ102" i="7"/>
  <c r="KS73" i="7"/>
  <c r="KT26" i="7"/>
  <c r="KT27" i="7" s="1"/>
  <c r="KS30" i="7"/>
  <c r="KS31" i="7" s="1"/>
  <c r="KS54" i="7"/>
  <c r="KS55" i="7" s="1"/>
  <c r="KS38" i="7"/>
  <c r="KS39" i="7" s="1"/>
  <c r="KS62" i="7"/>
  <c r="KS74" i="7" l="1"/>
  <c r="KS75" i="7" s="1"/>
  <c r="KS69" i="7"/>
  <c r="KT67" i="7" s="1"/>
  <c r="KS63" i="7"/>
  <c r="KT28" i="7"/>
  <c r="KT60" i="7"/>
  <c r="KT44" i="7"/>
  <c r="KT52" i="7"/>
  <c r="KT36" i="7"/>
  <c r="KT72" i="7"/>
  <c r="KQ104" i="7"/>
  <c r="KQ112" i="7" s="1"/>
  <c r="KQ120" i="7" s="1"/>
  <c r="KQ107" i="7"/>
  <c r="KQ115" i="7" s="1"/>
  <c r="KQ123" i="7" s="1"/>
  <c r="KQ106" i="7"/>
  <c r="KQ114" i="7" s="1"/>
  <c r="KQ122" i="7" s="1"/>
  <c r="KQ103" i="7"/>
  <c r="KQ111" i="7" s="1"/>
  <c r="KQ119" i="7" s="1"/>
  <c r="KQ105" i="7"/>
  <c r="KQ113" i="7" s="1"/>
  <c r="KQ121" i="7" s="1"/>
  <c r="KR98" i="7"/>
  <c r="KS77" i="7" l="1"/>
  <c r="KS81" i="7" s="1"/>
  <c r="KS70" i="7"/>
  <c r="KS83" i="7" s="1"/>
  <c r="KT45" i="7"/>
  <c r="KU41" i="7" s="1"/>
  <c r="KU42" i="7" s="1"/>
  <c r="KU43" i="7" s="1"/>
  <c r="KT53" i="7"/>
  <c r="KU49" i="7" s="1"/>
  <c r="KU50" i="7" s="1"/>
  <c r="KU51" i="7" s="1"/>
  <c r="KT37" i="7"/>
  <c r="KU33" i="7" s="1"/>
  <c r="KU34" i="7" s="1"/>
  <c r="KU35" i="7" s="1"/>
  <c r="KT61" i="7"/>
  <c r="KU57" i="7" s="1"/>
  <c r="KU58" i="7" s="1"/>
  <c r="KU59" i="7" s="1"/>
  <c r="KT29" i="7"/>
  <c r="KU25" i="7" s="1"/>
  <c r="KR90" i="7"/>
  <c r="KR92" i="7"/>
  <c r="KS79" i="7" l="1"/>
  <c r="KS78" i="7"/>
  <c r="KS80" i="7"/>
  <c r="KS82" i="7"/>
  <c r="KS88" i="7"/>
  <c r="KS89" i="7" s="1"/>
  <c r="KS85" i="7"/>
  <c r="KT46" i="7"/>
  <c r="KT47" i="7" s="1"/>
  <c r="KT73" i="7"/>
  <c r="KT54" i="7"/>
  <c r="KT55" i="7" s="1"/>
  <c r="KT62" i="7"/>
  <c r="KT30" i="7"/>
  <c r="KT31" i="7" s="1"/>
  <c r="KT38" i="7"/>
  <c r="KT39" i="7" s="1"/>
  <c r="KR95" i="7"/>
  <c r="KR93" i="7"/>
  <c r="KR94" i="7"/>
  <c r="KR96" i="7"/>
  <c r="KR100" i="7"/>
  <c r="KT68" i="7"/>
  <c r="KU26" i="7"/>
  <c r="KU27" i="7" s="1"/>
  <c r="KT65" i="7"/>
  <c r="KS98" i="7" l="1"/>
  <c r="KS92" i="7" s="1"/>
  <c r="KT69" i="7"/>
  <c r="KU67" i="7" s="1"/>
  <c r="KT63" i="7"/>
  <c r="KT74" i="7"/>
  <c r="KT75" i="7" s="1"/>
  <c r="KU44" i="7"/>
  <c r="KU60" i="7"/>
  <c r="KU52" i="7"/>
  <c r="KU36" i="7"/>
  <c r="KU28" i="7"/>
  <c r="KR102" i="7"/>
  <c r="KR108" i="7"/>
  <c r="KR116" i="7" s="1"/>
  <c r="KS90" i="7" l="1"/>
  <c r="KT70" i="7"/>
  <c r="KT83" i="7" s="1"/>
  <c r="KT88" i="7" s="1"/>
  <c r="KT89" i="7" s="1"/>
  <c r="KS96" i="7"/>
  <c r="KS94" i="7"/>
  <c r="KS95" i="7"/>
  <c r="KS93" i="7"/>
  <c r="KS100" i="7"/>
  <c r="KT77" i="7"/>
  <c r="KT78" i="7" s="1"/>
  <c r="KR107" i="7"/>
  <c r="KR115" i="7" s="1"/>
  <c r="KR123" i="7" s="1"/>
  <c r="KR104" i="7"/>
  <c r="KR112" i="7" s="1"/>
  <c r="KR120" i="7" s="1"/>
  <c r="KR105" i="7"/>
  <c r="KR113" i="7" s="1"/>
  <c r="KR121" i="7" s="1"/>
  <c r="KR103" i="7"/>
  <c r="KR111" i="7" s="1"/>
  <c r="KR119" i="7" s="1"/>
  <c r="KR106" i="7"/>
  <c r="KR114" i="7" s="1"/>
  <c r="KR122" i="7" s="1"/>
  <c r="KU29" i="7"/>
  <c r="KV25" i="7" s="1"/>
  <c r="KU53" i="7"/>
  <c r="KV49" i="7" s="1"/>
  <c r="KV50" i="7" s="1"/>
  <c r="KV51" i="7" s="1"/>
  <c r="KU45" i="7"/>
  <c r="KV41" i="7" s="1"/>
  <c r="KV42" i="7" s="1"/>
  <c r="KV43" i="7" s="1"/>
  <c r="KU37" i="7"/>
  <c r="KV33" i="7" s="1"/>
  <c r="KV34" i="7" s="1"/>
  <c r="KV35" i="7" s="1"/>
  <c r="KU61" i="7"/>
  <c r="KV57" i="7" s="1"/>
  <c r="KV58" i="7" s="1"/>
  <c r="KV59" i="7" s="1"/>
  <c r="KU72" i="7"/>
  <c r="KS108" i="7" l="1"/>
  <c r="KS116" i="7" s="1"/>
  <c r="KS102" i="7"/>
  <c r="KT85" i="7"/>
  <c r="KT98" i="7" s="1"/>
  <c r="KT79" i="7"/>
  <c r="KT81" i="7"/>
  <c r="KT80" i="7"/>
  <c r="KU62" i="7"/>
  <c r="KU63" i="7" s="1"/>
  <c r="KT82" i="7"/>
  <c r="KV26" i="7"/>
  <c r="KV27" i="7" s="1"/>
  <c r="KU65" i="7"/>
  <c r="KU54" i="7"/>
  <c r="KU55" i="7" s="1"/>
  <c r="KU30" i="7"/>
  <c r="KU31" i="7" s="1"/>
  <c r="KU68" i="7"/>
  <c r="KU73" i="7"/>
  <c r="KU46" i="7"/>
  <c r="KU47" i="7" s="1"/>
  <c r="KU38" i="7"/>
  <c r="KU39" i="7" s="1"/>
  <c r="KS106" i="7" l="1"/>
  <c r="KS114" i="7" s="1"/>
  <c r="KS122" i="7" s="1"/>
  <c r="KS104" i="7"/>
  <c r="KS112" i="7" s="1"/>
  <c r="KS120" i="7" s="1"/>
  <c r="KS105" i="7"/>
  <c r="KS113" i="7" s="1"/>
  <c r="KS121" i="7" s="1"/>
  <c r="KS107" i="7"/>
  <c r="KS115" i="7" s="1"/>
  <c r="KS123" i="7" s="1"/>
  <c r="KS103" i="7"/>
  <c r="KS111" i="7" s="1"/>
  <c r="KS119" i="7" s="1"/>
  <c r="KU74" i="7"/>
  <c r="KU69" i="7"/>
  <c r="KV67" i="7" s="1"/>
  <c r="KT90" i="7"/>
  <c r="KT92" i="7"/>
  <c r="KV28" i="7"/>
  <c r="KV44" i="7"/>
  <c r="KV52" i="7"/>
  <c r="KV60" i="7"/>
  <c r="KV36" i="7"/>
  <c r="KT96" i="7" l="1"/>
  <c r="KT95" i="7"/>
  <c r="KT93" i="7"/>
  <c r="KT94" i="7"/>
  <c r="KT100" i="7"/>
  <c r="KU70" i="7"/>
  <c r="KU77" i="7"/>
  <c r="KU75" i="7"/>
  <c r="KV72" i="7"/>
  <c r="KV29" i="7"/>
  <c r="KW25" i="7" s="1"/>
  <c r="KV61" i="7"/>
  <c r="KW57" i="7" s="1"/>
  <c r="KW58" i="7" s="1"/>
  <c r="KW59" i="7" s="1"/>
  <c r="KV37" i="7"/>
  <c r="KW33" i="7" s="1"/>
  <c r="KW34" i="7" s="1"/>
  <c r="KW35" i="7" s="1"/>
  <c r="KV53" i="7"/>
  <c r="KW49" i="7" s="1"/>
  <c r="KW50" i="7" s="1"/>
  <c r="KW51" i="7" s="1"/>
  <c r="KV45" i="7"/>
  <c r="KW41" i="7" s="1"/>
  <c r="KW42" i="7" s="1"/>
  <c r="KW43" i="7" s="1"/>
  <c r="KV54" i="7" l="1"/>
  <c r="KV55" i="7" s="1"/>
  <c r="KV46" i="7"/>
  <c r="KV47" i="7" s="1"/>
  <c r="KT108" i="7"/>
  <c r="KT116" i="7" s="1"/>
  <c r="KT102" i="7"/>
  <c r="KV68" i="7"/>
  <c r="KV62" i="7"/>
  <c r="KU80" i="7"/>
  <c r="KU81" i="7"/>
  <c r="KU79" i="7"/>
  <c r="KU82" i="7"/>
  <c r="KU78" i="7"/>
  <c r="KV65" i="7"/>
  <c r="KU83" i="7"/>
  <c r="KU88" i="7" s="1"/>
  <c r="KU89" i="7" s="1"/>
  <c r="KV30" i="7"/>
  <c r="KV31" i="7" s="1"/>
  <c r="KW26" i="7"/>
  <c r="KW27" i="7" s="1"/>
  <c r="KV73" i="7"/>
  <c r="KV38" i="7"/>
  <c r="KV39" i="7" s="1"/>
  <c r="KU85" i="7" l="1"/>
  <c r="KU98" i="7" s="1"/>
  <c r="KU90" i="7" s="1"/>
  <c r="KV74" i="7"/>
  <c r="KW72" i="7" s="1"/>
  <c r="KV63" i="7"/>
  <c r="KV69" i="7"/>
  <c r="KW36" i="7"/>
  <c r="KW44" i="7"/>
  <c r="KW28" i="7"/>
  <c r="KW60" i="7"/>
  <c r="KW52" i="7"/>
  <c r="KT104" i="7"/>
  <c r="KT112" i="7" s="1"/>
  <c r="KT120" i="7" s="1"/>
  <c r="KT103" i="7"/>
  <c r="KT111" i="7" s="1"/>
  <c r="KT119" i="7" s="1"/>
  <c r="KT105" i="7"/>
  <c r="KT113" i="7" s="1"/>
  <c r="KT121" i="7" s="1"/>
  <c r="KT106" i="7"/>
  <c r="KT114" i="7" s="1"/>
  <c r="KT122" i="7" s="1"/>
  <c r="KT107" i="7"/>
  <c r="KT115" i="7" s="1"/>
  <c r="KT123" i="7" s="1"/>
  <c r="KU92" i="7" l="1"/>
  <c r="KU93" i="7" s="1"/>
  <c r="KV75" i="7"/>
  <c r="KW67" i="7"/>
  <c r="KV77" i="7"/>
  <c r="KV70" i="7"/>
  <c r="KU96" i="7"/>
  <c r="KU94" i="7"/>
  <c r="KW61" i="7"/>
  <c r="KW45" i="7"/>
  <c r="KX41" i="7" s="1"/>
  <c r="KX42" i="7" s="1"/>
  <c r="KX43" i="7" s="1"/>
  <c r="KW29" i="7"/>
  <c r="KX25" i="7" s="1"/>
  <c r="KW37" i="7"/>
  <c r="KX33" i="7" s="1"/>
  <c r="KX34" i="7" s="1"/>
  <c r="KX35" i="7" s="1"/>
  <c r="KW53" i="7"/>
  <c r="KX49" i="7" s="1"/>
  <c r="KX50" i="7" s="1"/>
  <c r="KX51" i="7" s="1"/>
  <c r="KU95" i="7" l="1"/>
  <c r="KU100" i="7"/>
  <c r="KV83" i="7"/>
  <c r="KV88" i="7" s="1"/>
  <c r="KV89" i="7" s="1"/>
  <c r="KW30" i="7"/>
  <c r="KW31" i="7" s="1"/>
  <c r="KW54" i="7"/>
  <c r="KW55" i="7" s="1"/>
  <c r="KX26" i="7"/>
  <c r="KX27" i="7" s="1"/>
  <c r="KX57" i="7"/>
  <c r="KX58" i="7" s="1"/>
  <c r="KX59" i="7" s="1"/>
  <c r="KW62" i="7"/>
  <c r="KV81" i="7"/>
  <c r="KV78" i="7"/>
  <c r="KV80" i="7"/>
  <c r="KV82" i="7"/>
  <c r="KV79" i="7"/>
  <c r="KW65" i="7"/>
  <c r="KU108" i="7"/>
  <c r="KU116" i="7" s="1"/>
  <c r="KU102" i="7"/>
  <c r="KW68" i="7"/>
  <c r="KW73" i="7"/>
  <c r="KW38" i="7"/>
  <c r="KW39" i="7" s="1"/>
  <c r="KW46" i="7"/>
  <c r="KW47" i="7" s="1"/>
  <c r="KV85" i="7" l="1"/>
  <c r="KV98" i="7" s="1"/>
  <c r="KW69" i="7"/>
  <c r="KX67" i="7" s="1"/>
  <c r="KU107" i="7"/>
  <c r="KU115" i="7" s="1"/>
  <c r="KU123" i="7" s="1"/>
  <c r="KU105" i="7"/>
  <c r="KU113" i="7" s="1"/>
  <c r="KU121" i="7" s="1"/>
  <c r="KU104" i="7"/>
  <c r="KU112" i="7" s="1"/>
  <c r="KU120" i="7" s="1"/>
  <c r="KU103" i="7"/>
  <c r="KU111" i="7" s="1"/>
  <c r="KU119" i="7" s="1"/>
  <c r="KU106" i="7"/>
  <c r="KU114" i="7" s="1"/>
  <c r="KU122" i="7" s="1"/>
  <c r="KX28" i="7"/>
  <c r="KX44" i="7"/>
  <c r="KX60" i="7"/>
  <c r="KX52" i="7"/>
  <c r="KX36" i="7"/>
  <c r="KW63" i="7"/>
  <c r="KW74" i="7"/>
  <c r="KW75" i="7" s="1"/>
  <c r="KW70" i="7"/>
  <c r="KX45" i="7" l="1"/>
  <c r="KY41" i="7" s="1"/>
  <c r="KY42" i="7" s="1"/>
  <c r="KY43" i="7" s="1"/>
  <c r="KW83" i="7"/>
  <c r="KW88" i="7" s="1"/>
  <c r="KW89" i="7" s="1"/>
  <c r="KX72" i="7"/>
  <c r="KX53" i="7"/>
  <c r="KY49" i="7" s="1"/>
  <c r="KY50" i="7" s="1"/>
  <c r="KY51" i="7" s="1"/>
  <c r="KW77" i="7"/>
  <c r="KW82" i="7" s="1"/>
  <c r="KV92" i="7"/>
  <c r="KV90" i="7"/>
  <c r="KX61" i="7"/>
  <c r="KX29" i="7"/>
  <c r="KY25" i="7" s="1"/>
  <c r="KX37" i="7"/>
  <c r="KY33" i="7" s="1"/>
  <c r="KY34" i="7" s="1"/>
  <c r="KY35" i="7" s="1"/>
  <c r="KX46" i="7" l="1"/>
  <c r="KX47" i="7" s="1"/>
  <c r="KW79" i="7"/>
  <c r="KW81" i="7"/>
  <c r="KW85" i="7"/>
  <c r="KW98" i="7" s="1"/>
  <c r="KW78" i="7"/>
  <c r="KW80" i="7"/>
  <c r="KX54" i="7"/>
  <c r="KX55" i="7" s="1"/>
  <c r="KY26" i="7"/>
  <c r="KY27" i="7" s="1"/>
  <c r="KX65" i="7"/>
  <c r="KX30" i="7"/>
  <c r="KX31" i="7" s="1"/>
  <c r="KX38" i="7"/>
  <c r="KX39" i="7" s="1"/>
  <c r="KX73" i="7"/>
  <c r="KX68" i="7"/>
  <c r="KV93" i="7"/>
  <c r="KV95" i="7"/>
  <c r="KV94" i="7"/>
  <c r="KV96" i="7"/>
  <c r="KV100" i="7"/>
  <c r="KY57" i="7"/>
  <c r="KY58" i="7" s="1"/>
  <c r="KY59" i="7" s="1"/>
  <c r="KX62" i="7"/>
  <c r="KW92" i="7" l="1"/>
  <c r="KW90" i="7"/>
  <c r="KX69" i="7"/>
  <c r="KY67" i="7" s="1"/>
  <c r="KX63" i="7"/>
  <c r="KV108" i="7"/>
  <c r="KV116" i="7" s="1"/>
  <c r="KV102" i="7"/>
  <c r="KX74" i="7"/>
  <c r="KX75" i="7" s="1"/>
  <c r="KY36" i="7"/>
  <c r="KY44" i="7"/>
  <c r="KY60" i="7"/>
  <c r="KY28" i="7"/>
  <c r="KY52" i="7"/>
  <c r="KY61" i="7" l="1"/>
  <c r="KY62" i="7" s="1"/>
  <c r="KY45" i="7"/>
  <c r="KZ41" i="7" s="1"/>
  <c r="KZ42" i="7" s="1"/>
  <c r="KZ43" i="7" s="1"/>
  <c r="KY72" i="7"/>
  <c r="KY37" i="7"/>
  <c r="KZ33" i="7" s="1"/>
  <c r="KZ34" i="7" s="1"/>
  <c r="KZ35" i="7" s="1"/>
  <c r="KY53" i="7"/>
  <c r="KZ49" i="7" s="1"/>
  <c r="KZ50" i="7" s="1"/>
  <c r="KZ51" i="7" s="1"/>
  <c r="KZ57" i="7"/>
  <c r="KZ58" i="7" s="1"/>
  <c r="KZ59" i="7" s="1"/>
  <c r="KV104" i="7"/>
  <c r="KV112" i="7" s="1"/>
  <c r="KV120" i="7" s="1"/>
  <c r="KV103" i="7"/>
  <c r="KV111" i="7" s="1"/>
  <c r="KV119" i="7" s="1"/>
  <c r="KV106" i="7"/>
  <c r="KV114" i="7" s="1"/>
  <c r="KV122" i="7" s="1"/>
  <c r="KV105" i="7"/>
  <c r="KV113" i="7" s="1"/>
  <c r="KV121" i="7" s="1"/>
  <c r="KV107" i="7"/>
  <c r="KV115" i="7" s="1"/>
  <c r="KV123" i="7" s="1"/>
  <c r="KX70" i="7"/>
  <c r="KX83" i="7" s="1"/>
  <c r="KX88" i="7" s="1"/>
  <c r="KX89" i="7" s="1"/>
  <c r="KX77" i="7"/>
  <c r="KY29" i="7"/>
  <c r="KZ25" i="7" s="1"/>
  <c r="KW94" i="7"/>
  <c r="KW96" i="7"/>
  <c r="KW95" i="7"/>
  <c r="KW93" i="7"/>
  <c r="KW100" i="7"/>
  <c r="KY46" i="7" l="1"/>
  <c r="KY47" i="7" s="1"/>
  <c r="KY38" i="7"/>
  <c r="KY39" i="7" s="1"/>
  <c r="KY54" i="7"/>
  <c r="KY55" i="7" s="1"/>
  <c r="KZ26" i="7"/>
  <c r="KZ27" i="7" s="1"/>
  <c r="KY65" i="7"/>
  <c r="KX80" i="7"/>
  <c r="KX79" i="7"/>
  <c r="KX82" i="7"/>
  <c r="KX78" i="7"/>
  <c r="KX81" i="7"/>
  <c r="KX85" i="7"/>
  <c r="KY68" i="7"/>
  <c r="KY30" i="7"/>
  <c r="KY31" i="7" s="1"/>
  <c r="KY63" i="7"/>
  <c r="KW108" i="7"/>
  <c r="KW116" i="7" s="1"/>
  <c r="KW102" i="7"/>
  <c r="KY73" i="7"/>
  <c r="KY74" i="7" l="1"/>
  <c r="KY75" i="7" s="1"/>
  <c r="KX98" i="7"/>
  <c r="KW106" i="7"/>
  <c r="KW114" i="7" s="1"/>
  <c r="KW122" i="7" s="1"/>
  <c r="KW107" i="7"/>
  <c r="KW115" i="7" s="1"/>
  <c r="KW123" i="7" s="1"/>
  <c r="KW103" i="7"/>
  <c r="KW111" i="7" s="1"/>
  <c r="KW119" i="7" s="1"/>
  <c r="KW105" i="7"/>
  <c r="KW113" i="7" s="1"/>
  <c r="KW121" i="7" s="1"/>
  <c r="KW104" i="7"/>
  <c r="KW112" i="7" s="1"/>
  <c r="KW120" i="7" s="1"/>
  <c r="KY69" i="7"/>
  <c r="KZ67" i="7" s="1"/>
  <c r="KZ44" i="7"/>
  <c r="KZ28" i="7"/>
  <c r="KZ52" i="7"/>
  <c r="KZ60" i="7"/>
  <c r="KZ36" i="7"/>
  <c r="KZ72" i="7" l="1"/>
  <c r="KZ37" i="7"/>
  <c r="LA33" i="7" s="1"/>
  <c r="LA34" i="7" s="1"/>
  <c r="LA35" i="7" s="1"/>
  <c r="KZ45" i="7"/>
  <c r="LA41" i="7" s="1"/>
  <c r="LA42" i="7" s="1"/>
  <c r="LA43" i="7" s="1"/>
  <c r="KZ61" i="7"/>
  <c r="LA57" i="7" s="1"/>
  <c r="LA58" i="7" s="1"/>
  <c r="LA59" i="7" s="1"/>
  <c r="KZ29" i="7"/>
  <c r="LA25" i="7" s="1"/>
  <c r="KZ53" i="7"/>
  <c r="LA49" i="7" s="1"/>
  <c r="LA50" i="7" s="1"/>
  <c r="LA51" i="7" s="1"/>
  <c r="KY77" i="7"/>
  <c r="KY70" i="7"/>
  <c r="KY83" i="7" s="1"/>
  <c r="KY88" i="7" s="1"/>
  <c r="KY89" i="7" s="1"/>
  <c r="KX90" i="7"/>
  <c r="KX92" i="7"/>
  <c r="KZ38" i="7" l="1"/>
  <c r="KZ39" i="7" s="1"/>
  <c r="KZ46" i="7"/>
  <c r="KZ47" i="7" s="1"/>
  <c r="KZ73" i="7"/>
  <c r="KZ30" i="7"/>
  <c r="KZ31" i="7" s="1"/>
  <c r="KZ54" i="7"/>
  <c r="KZ55" i="7" s="1"/>
  <c r="KZ65" i="7"/>
  <c r="KX95" i="7"/>
  <c r="KX93" i="7"/>
  <c r="KX94" i="7"/>
  <c r="KX96" i="7"/>
  <c r="KX100" i="7"/>
  <c r="KZ68" i="7"/>
  <c r="KY79" i="7"/>
  <c r="KY80" i="7"/>
  <c r="KY81" i="7"/>
  <c r="KY82" i="7"/>
  <c r="KY78" i="7"/>
  <c r="KY85" i="7"/>
  <c r="LA26" i="7"/>
  <c r="LA27" i="7" s="1"/>
  <c r="KZ62" i="7"/>
  <c r="LA44" i="7" l="1"/>
  <c r="LA52" i="7"/>
  <c r="LA28" i="7"/>
  <c r="LA60" i="7"/>
  <c r="LA36" i="7"/>
  <c r="KZ69" i="7"/>
  <c r="KX102" i="7"/>
  <c r="KX108" i="7"/>
  <c r="KX116" i="7" s="1"/>
  <c r="KZ74" i="7"/>
  <c r="KZ75" i="7" s="1"/>
  <c r="KZ63" i="7"/>
  <c r="KY98" i="7"/>
  <c r="LA72" i="7" l="1"/>
  <c r="LA67" i="7"/>
  <c r="KZ70" i="7"/>
  <c r="KZ83" i="7" s="1"/>
  <c r="KZ88" i="7" s="1"/>
  <c r="KZ89" i="7" s="1"/>
  <c r="KZ77" i="7"/>
  <c r="LA45" i="7"/>
  <c r="LB41" i="7" s="1"/>
  <c r="LB42" i="7" s="1"/>
  <c r="LB43" i="7" s="1"/>
  <c r="LA37" i="7"/>
  <c r="LB33" i="7" s="1"/>
  <c r="LB34" i="7" s="1"/>
  <c r="LB35" i="7" s="1"/>
  <c r="LA53" i="7"/>
  <c r="LB49" i="7" s="1"/>
  <c r="LB50" i="7" s="1"/>
  <c r="LB51" i="7" s="1"/>
  <c r="LA61" i="7"/>
  <c r="LA29" i="7"/>
  <c r="LB25" i="7" s="1"/>
  <c r="KY92" i="7"/>
  <c r="KY90" i="7"/>
  <c r="KX103" i="7"/>
  <c r="KX111" i="7" s="1"/>
  <c r="KX119" i="7" s="1"/>
  <c r="KX107" i="7"/>
  <c r="KX115" i="7" s="1"/>
  <c r="KX123" i="7" s="1"/>
  <c r="KX106" i="7"/>
  <c r="KX114" i="7" s="1"/>
  <c r="KX122" i="7" s="1"/>
  <c r="KX105" i="7"/>
  <c r="KX113" i="7" s="1"/>
  <c r="KX121" i="7" s="1"/>
  <c r="KX104" i="7"/>
  <c r="KX112" i="7" s="1"/>
  <c r="KX120" i="7" s="1"/>
  <c r="LA46" i="7" l="1"/>
  <c r="LA47" i="7" s="1"/>
  <c r="LA68" i="7"/>
  <c r="LB26" i="7"/>
  <c r="LB27" i="7" s="1"/>
  <c r="KZ78" i="7"/>
  <c r="KZ79" i="7"/>
  <c r="KZ82" i="7"/>
  <c r="KZ81" i="7"/>
  <c r="KZ80" i="7"/>
  <c r="KZ85" i="7"/>
  <c r="KZ98" i="7" s="1"/>
  <c r="KY93" i="7"/>
  <c r="KY94" i="7"/>
  <c r="KY95" i="7"/>
  <c r="KY96" i="7"/>
  <c r="KY100" i="7"/>
  <c r="LA73" i="7"/>
  <c r="LA30" i="7"/>
  <c r="LA31" i="7" s="1"/>
  <c r="LB57" i="7"/>
  <c r="LB58" i="7" s="1"/>
  <c r="LB59" i="7" s="1"/>
  <c r="LA62" i="7"/>
  <c r="LA54" i="7"/>
  <c r="LA55" i="7" s="1"/>
  <c r="LA65" i="7"/>
  <c r="LA38" i="7"/>
  <c r="LA39" i="7" s="1"/>
  <c r="LB28" i="7" l="1"/>
  <c r="LB52" i="7"/>
  <c r="LB36" i="7"/>
  <c r="LB60" i="7"/>
  <c r="LB44" i="7"/>
  <c r="LA69" i="7"/>
  <c r="KY102" i="7"/>
  <c r="KY108" i="7"/>
  <c r="KY116" i="7" s="1"/>
  <c r="LA74" i="7"/>
  <c r="LA75" i="7" s="1"/>
  <c r="KZ92" i="7"/>
  <c r="KZ90" i="7"/>
  <c r="LA63" i="7"/>
  <c r="LB45" i="7" l="1"/>
  <c r="LC41" i="7" s="1"/>
  <c r="LC42" i="7" s="1"/>
  <c r="LC43" i="7" s="1"/>
  <c r="LB72" i="7"/>
  <c r="LB37" i="7"/>
  <c r="LC33" i="7" s="1"/>
  <c r="LC34" i="7" s="1"/>
  <c r="LC35" i="7" s="1"/>
  <c r="LA77" i="7"/>
  <c r="LA70" i="7"/>
  <c r="LA83" i="7" s="1"/>
  <c r="LA88" i="7" s="1"/>
  <c r="LA89" i="7" s="1"/>
  <c r="KZ100" i="7"/>
  <c r="KZ96" i="7"/>
  <c r="KZ93" i="7"/>
  <c r="KZ95" i="7"/>
  <c r="KZ94" i="7"/>
  <c r="LB61" i="7"/>
  <c r="LC57" i="7" s="1"/>
  <c r="LC58" i="7" s="1"/>
  <c r="LC59" i="7" s="1"/>
  <c r="LB53" i="7"/>
  <c r="LC49" i="7" s="1"/>
  <c r="LC50" i="7" s="1"/>
  <c r="LC51" i="7" s="1"/>
  <c r="LB46" i="7"/>
  <c r="LB47" i="7" s="1"/>
  <c r="LB29" i="7"/>
  <c r="LC25" i="7" s="1"/>
  <c r="KY103" i="7"/>
  <c r="KY111" i="7" s="1"/>
  <c r="KY119" i="7" s="1"/>
  <c r="KY107" i="7"/>
  <c r="KY115" i="7" s="1"/>
  <c r="KY123" i="7" s="1"/>
  <c r="KY106" i="7"/>
  <c r="KY114" i="7" s="1"/>
  <c r="KY122" i="7" s="1"/>
  <c r="KY105" i="7"/>
  <c r="KY113" i="7" s="1"/>
  <c r="KY121" i="7" s="1"/>
  <c r="KY104" i="7"/>
  <c r="KY112" i="7" s="1"/>
  <c r="KY120" i="7" s="1"/>
  <c r="LB67" i="7"/>
  <c r="LB38" i="7" l="1"/>
  <c r="LB39" i="7" s="1"/>
  <c r="LC26" i="7"/>
  <c r="LC27" i="7" s="1"/>
  <c r="LB73" i="7"/>
  <c r="LB62" i="7"/>
  <c r="LB30" i="7"/>
  <c r="LB31" i="7" s="1"/>
  <c r="LB68" i="7"/>
  <c r="LB54" i="7"/>
  <c r="LB55" i="7" s="1"/>
  <c r="LB65" i="7"/>
  <c r="KZ108" i="7"/>
  <c r="KZ116" i="7" s="1"/>
  <c r="KZ102" i="7"/>
  <c r="LA81" i="7"/>
  <c r="LA82" i="7"/>
  <c r="LA80" i="7"/>
  <c r="LA79" i="7"/>
  <c r="LA78" i="7"/>
  <c r="LA85" i="7"/>
  <c r="LA98" i="7" s="1"/>
  <c r="LB69" i="7" l="1"/>
  <c r="LC67" i="7" s="1"/>
  <c r="LA90" i="7"/>
  <c r="LA92" i="7"/>
  <c r="LB63" i="7"/>
  <c r="KZ105" i="7"/>
  <c r="KZ113" i="7" s="1"/>
  <c r="KZ121" i="7" s="1"/>
  <c r="KZ104" i="7"/>
  <c r="KZ112" i="7" s="1"/>
  <c r="KZ120" i="7" s="1"/>
  <c r="KZ103" i="7"/>
  <c r="KZ111" i="7" s="1"/>
  <c r="KZ119" i="7" s="1"/>
  <c r="KZ107" i="7"/>
  <c r="KZ115" i="7" s="1"/>
  <c r="KZ123" i="7" s="1"/>
  <c r="KZ106" i="7"/>
  <c r="KZ114" i="7" s="1"/>
  <c r="KZ122" i="7" s="1"/>
  <c r="LB74" i="7"/>
  <c r="LB75" i="7" s="1"/>
  <c r="LC44" i="7"/>
  <c r="LC28" i="7"/>
  <c r="LC52" i="7"/>
  <c r="LC60" i="7"/>
  <c r="LC36" i="7"/>
  <c r="LB70" i="7" l="1"/>
  <c r="LB83" i="7" s="1"/>
  <c r="LB88" i="7" s="1"/>
  <c r="LB89" i="7" s="1"/>
  <c r="LA100" i="7"/>
  <c r="LA95" i="7"/>
  <c r="LA96" i="7"/>
  <c r="LA94" i="7"/>
  <c r="LA93" i="7"/>
  <c r="LC72" i="7"/>
  <c r="LC61" i="7"/>
  <c r="LD57" i="7" s="1"/>
  <c r="LD58" i="7" s="1"/>
  <c r="LD59" i="7" s="1"/>
  <c r="LC37" i="7"/>
  <c r="LD33" i="7" s="1"/>
  <c r="LD34" i="7" s="1"/>
  <c r="LD35" i="7" s="1"/>
  <c r="LC45" i="7"/>
  <c r="LD41" i="7" s="1"/>
  <c r="LD42" i="7" s="1"/>
  <c r="LD43" i="7" s="1"/>
  <c r="LC29" i="7"/>
  <c r="LD25" i="7" s="1"/>
  <c r="LC53" i="7"/>
  <c r="LD49" i="7" s="1"/>
  <c r="LD50" i="7" s="1"/>
  <c r="LD51" i="7" s="1"/>
  <c r="LB77" i="7"/>
  <c r="LC30" i="7" l="1"/>
  <c r="LC31" i="7" s="1"/>
  <c r="LC73" i="7"/>
  <c r="LB81" i="7"/>
  <c r="LB82" i="7"/>
  <c r="LB79" i="7"/>
  <c r="LB78" i="7"/>
  <c r="LB80" i="7"/>
  <c r="LB85" i="7"/>
  <c r="LC65" i="7"/>
  <c r="LC38" i="7"/>
  <c r="LC39" i="7" s="1"/>
  <c r="LC46" i="7"/>
  <c r="LC47" i="7" s="1"/>
  <c r="LC68" i="7"/>
  <c r="LD26" i="7"/>
  <c r="LD27" i="7" s="1"/>
  <c r="LA102" i="7"/>
  <c r="LA108" i="7"/>
  <c r="LA116" i="7" s="1"/>
  <c r="LC54" i="7"/>
  <c r="LC55" i="7" s="1"/>
  <c r="LC62" i="7"/>
  <c r="LA104" i="7" l="1"/>
  <c r="LA112" i="7" s="1"/>
  <c r="LA120" i="7" s="1"/>
  <c r="LA103" i="7"/>
  <c r="LA111" i="7" s="1"/>
  <c r="LA119" i="7" s="1"/>
  <c r="LA107" i="7"/>
  <c r="LA115" i="7" s="1"/>
  <c r="LA123" i="7" s="1"/>
  <c r="LA106" i="7"/>
  <c r="LA114" i="7" s="1"/>
  <c r="LA122" i="7" s="1"/>
  <c r="LA105" i="7"/>
  <c r="LA113" i="7" s="1"/>
  <c r="LA121" i="7" s="1"/>
  <c r="LC63" i="7"/>
  <c r="LD44" i="7"/>
  <c r="LD36" i="7"/>
  <c r="LD60" i="7"/>
  <c r="LD52" i="7"/>
  <c r="LD28" i="7"/>
  <c r="LC74" i="7"/>
  <c r="LB98" i="7"/>
  <c r="LC69" i="7"/>
  <c r="LD67" i="7" s="1"/>
  <c r="LB92" i="7" l="1"/>
  <c r="LB90" i="7"/>
  <c r="LC75" i="7"/>
  <c r="LD72" i="7"/>
  <c r="LD37" i="7"/>
  <c r="LE33" i="7" s="1"/>
  <c r="LE34" i="7" s="1"/>
  <c r="LE35" i="7" s="1"/>
  <c r="LD29" i="7"/>
  <c r="LE25" i="7" s="1"/>
  <c r="LD53" i="7"/>
  <c r="LE49" i="7" s="1"/>
  <c r="LE50" i="7" s="1"/>
  <c r="LE51" i="7" s="1"/>
  <c r="LD61" i="7"/>
  <c r="LD45" i="7"/>
  <c r="LE41" i="7" s="1"/>
  <c r="LE42" i="7" s="1"/>
  <c r="LE43" i="7" s="1"/>
  <c r="LC77" i="7"/>
  <c r="LC70" i="7"/>
  <c r="LD68" i="7" l="1"/>
  <c r="LD54" i="7"/>
  <c r="LD55" i="7" s="1"/>
  <c r="LD38" i="7"/>
  <c r="LD39" i="7" s="1"/>
  <c r="LD30" i="7"/>
  <c r="LD31" i="7" s="1"/>
  <c r="LD46" i="7"/>
  <c r="LD47" i="7" s="1"/>
  <c r="LE57" i="7"/>
  <c r="LE58" i="7" s="1"/>
  <c r="LE59" i="7" s="1"/>
  <c r="LD62" i="7"/>
  <c r="LE26" i="7"/>
  <c r="LE27" i="7" s="1"/>
  <c r="LC83" i="7"/>
  <c r="LC88" i="7" s="1"/>
  <c r="LC89" i="7" s="1"/>
  <c r="LD65" i="7"/>
  <c r="LB96" i="7"/>
  <c r="LB94" i="7"/>
  <c r="LB93" i="7"/>
  <c r="LB95" i="7"/>
  <c r="LB100" i="7"/>
  <c r="LC82" i="7"/>
  <c r="LC78" i="7"/>
  <c r="LC79" i="7"/>
  <c r="LC80" i="7"/>
  <c r="LC81" i="7"/>
  <c r="LD73" i="7"/>
  <c r="LD74" i="7" l="1"/>
  <c r="LD75" i="7" s="1"/>
  <c r="LD63" i="7"/>
  <c r="LB108" i="7"/>
  <c r="LB116" i="7" s="1"/>
  <c r="LB102" i="7"/>
  <c r="LC85" i="7"/>
  <c r="LE28" i="7"/>
  <c r="LE36" i="7"/>
  <c r="LE60" i="7"/>
  <c r="LE44" i="7"/>
  <c r="LE52" i="7"/>
  <c r="LD69" i="7"/>
  <c r="LE72" i="7" l="1"/>
  <c r="LE61" i="7"/>
  <c r="LF57" i="7" s="1"/>
  <c r="LF58" i="7" s="1"/>
  <c r="LF59" i="7" s="1"/>
  <c r="LC98" i="7"/>
  <c r="LE45" i="7"/>
  <c r="LF41" i="7" s="1"/>
  <c r="LF42" i="7" s="1"/>
  <c r="LF43" i="7" s="1"/>
  <c r="LE37" i="7"/>
  <c r="LF33" i="7" s="1"/>
  <c r="LF34" i="7" s="1"/>
  <c r="LF35" i="7" s="1"/>
  <c r="LD77" i="7"/>
  <c r="LD70" i="7"/>
  <c r="LD83" i="7" s="1"/>
  <c r="LD88" i="7" s="1"/>
  <c r="LD89" i="7" s="1"/>
  <c r="LE67" i="7"/>
  <c r="LE29" i="7"/>
  <c r="LF25" i="7" s="1"/>
  <c r="LB106" i="7"/>
  <c r="LB114" i="7" s="1"/>
  <c r="LB122" i="7" s="1"/>
  <c r="LB105" i="7"/>
  <c r="LB113" i="7" s="1"/>
  <c r="LB121" i="7" s="1"/>
  <c r="LB103" i="7"/>
  <c r="LB111" i="7" s="1"/>
  <c r="LB119" i="7" s="1"/>
  <c r="LB107" i="7"/>
  <c r="LB115" i="7" s="1"/>
  <c r="LB123" i="7" s="1"/>
  <c r="LB104" i="7"/>
  <c r="LB112" i="7" s="1"/>
  <c r="LB120" i="7" s="1"/>
  <c r="LE53" i="7"/>
  <c r="LF49" i="7" s="1"/>
  <c r="LF50" i="7" s="1"/>
  <c r="LF51" i="7" s="1"/>
  <c r="LE54" i="7" l="1"/>
  <c r="LE55" i="7" s="1"/>
  <c r="LE62" i="7"/>
  <c r="LE63" i="7" s="1"/>
  <c r="LE65" i="7"/>
  <c r="LC90" i="7"/>
  <c r="LC92" i="7"/>
  <c r="LF26" i="7"/>
  <c r="LF27" i="7" s="1"/>
  <c r="LE46" i="7"/>
  <c r="LE47" i="7" s="1"/>
  <c r="LE68" i="7"/>
  <c r="LE38" i="7"/>
  <c r="LE39" i="7" s="1"/>
  <c r="LE30" i="7"/>
  <c r="LE31" i="7" s="1"/>
  <c r="LD80" i="7"/>
  <c r="LD78" i="7"/>
  <c r="LD82" i="7"/>
  <c r="LD81" i="7"/>
  <c r="LD79" i="7"/>
  <c r="LD85" i="7"/>
  <c r="LE73" i="7"/>
  <c r="LE69" i="7" l="1"/>
  <c r="LF67" i="7" s="1"/>
  <c r="LC95" i="7"/>
  <c r="LC93" i="7"/>
  <c r="LC96" i="7"/>
  <c r="LC94" i="7"/>
  <c r="LC100" i="7"/>
  <c r="LE74" i="7"/>
  <c r="LE75" i="7" s="1"/>
  <c r="LF36" i="7"/>
  <c r="LF44" i="7"/>
  <c r="LF60" i="7"/>
  <c r="LF52" i="7"/>
  <c r="LF28" i="7"/>
  <c r="LD98" i="7"/>
  <c r="LE70" i="7" l="1"/>
  <c r="LE83" i="7" s="1"/>
  <c r="LE88" i="7" s="1"/>
  <c r="LE89" i="7" s="1"/>
  <c r="LF29" i="7"/>
  <c r="LG25" i="7" s="1"/>
  <c r="LF45" i="7"/>
  <c r="LG41" i="7" s="1"/>
  <c r="LG42" i="7" s="1"/>
  <c r="LG43" i="7" s="1"/>
  <c r="LF37" i="7"/>
  <c r="LG33" i="7" s="1"/>
  <c r="LG34" i="7" s="1"/>
  <c r="LG35" i="7" s="1"/>
  <c r="LF61" i="7"/>
  <c r="LG57" i="7" s="1"/>
  <c r="LG58" i="7" s="1"/>
  <c r="LG59" i="7" s="1"/>
  <c r="LF53" i="7"/>
  <c r="LG49" i="7" s="1"/>
  <c r="LG50" i="7" s="1"/>
  <c r="LG51" i="7" s="1"/>
  <c r="LC108" i="7"/>
  <c r="LC116" i="7" s="1"/>
  <c r="LC102" i="7"/>
  <c r="LE77" i="7"/>
  <c r="LF72" i="7"/>
  <c r="LD92" i="7"/>
  <c r="LD90" i="7"/>
  <c r="LF54" i="7" l="1"/>
  <c r="LF55" i="7" s="1"/>
  <c r="LF46" i="7"/>
  <c r="LF47" i="7" s="1"/>
  <c r="LD93" i="7"/>
  <c r="LD94" i="7"/>
  <c r="LD95" i="7"/>
  <c r="LD96" i="7"/>
  <c r="LD100" i="7"/>
  <c r="LC104" i="7"/>
  <c r="LC112" i="7" s="1"/>
  <c r="LC120" i="7" s="1"/>
  <c r="LC107" i="7"/>
  <c r="LC115" i="7" s="1"/>
  <c r="LC123" i="7" s="1"/>
  <c r="LC106" i="7"/>
  <c r="LC114" i="7" s="1"/>
  <c r="LC122" i="7" s="1"/>
  <c r="LC105" i="7"/>
  <c r="LC113" i="7" s="1"/>
  <c r="LC121" i="7" s="1"/>
  <c r="LC103" i="7"/>
  <c r="LC111" i="7" s="1"/>
  <c r="LC119" i="7" s="1"/>
  <c r="LF65" i="7"/>
  <c r="LE79" i="7"/>
  <c r="LE78" i="7"/>
  <c r="LE80" i="7"/>
  <c r="LE82" i="7"/>
  <c r="LE81" i="7"/>
  <c r="LE85" i="7"/>
  <c r="LG26" i="7"/>
  <c r="LG27" i="7" s="1"/>
  <c r="LF68" i="7"/>
  <c r="LF38" i="7"/>
  <c r="LF39" i="7" s="1"/>
  <c r="LF62" i="7"/>
  <c r="LF30" i="7"/>
  <c r="LF31" i="7" s="1"/>
  <c r="LF73" i="7"/>
  <c r="LF74" i="7" l="1"/>
  <c r="LF75" i="7" s="1"/>
  <c r="LD102" i="7"/>
  <c r="LD108" i="7"/>
  <c r="LD116" i="7" s="1"/>
  <c r="LF63" i="7"/>
  <c r="LE98" i="7"/>
  <c r="LG52" i="7"/>
  <c r="LG44" i="7"/>
  <c r="LG28" i="7"/>
  <c r="LG36" i="7"/>
  <c r="LG60" i="7"/>
  <c r="LF69" i="7"/>
  <c r="LG72" i="7" l="1"/>
  <c r="LE90" i="7"/>
  <c r="LE92" i="7"/>
  <c r="LG67" i="7"/>
  <c r="LF77" i="7"/>
  <c r="LF70" i="7"/>
  <c r="LF83" i="7" s="1"/>
  <c r="LF88" i="7" s="1"/>
  <c r="LF89" i="7" s="1"/>
  <c r="LG53" i="7"/>
  <c r="LH49" i="7" s="1"/>
  <c r="LH50" i="7" s="1"/>
  <c r="LH51" i="7" s="1"/>
  <c r="LG61" i="7"/>
  <c r="LH57" i="7" s="1"/>
  <c r="LH58" i="7" s="1"/>
  <c r="LH59" i="7" s="1"/>
  <c r="LG29" i="7"/>
  <c r="LH25" i="7" s="1"/>
  <c r="LG45" i="7"/>
  <c r="LH41" i="7" s="1"/>
  <c r="LH42" i="7" s="1"/>
  <c r="LH43" i="7" s="1"/>
  <c r="LG37" i="7"/>
  <c r="LH33" i="7" s="1"/>
  <c r="LH34" i="7" s="1"/>
  <c r="LH35" i="7" s="1"/>
  <c r="LD106" i="7"/>
  <c r="LD114" i="7" s="1"/>
  <c r="LD122" i="7" s="1"/>
  <c r="LD107" i="7"/>
  <c r="LD115" i="7" s="1"/>
  <c r="LD123" i="7" s="1"/>
  <c r="LD105" i="7"/>
  <c r="LD113" i="7" s="1"/>
  <c r="LD121" i="7" s="1"/>
  <c r="LD104" i="7"/>
  <c r="LD112" i="7" s="1"/>
  <c r="LD120" i="7" s="1"/>
  <c r="LD103" i="7"/>
  <c r="LD111" i="7" s="1"/>
  <c r="LD119" i="7" s="1"/>
  <c r="LG65" i="7" l="1"/>
  <c r="LH26" i="7"/>
  <c r="LH27" i="7" s="1"/>
  <c r="LG54" i="7"/>
  <c r="LG55" i="7" s="1"/>
  <c r="LG30" i="7"/>
  <c r="LG31" i="7" s="1"/>
  <c r="LG46" i="7"/>
  <c r="LG47" i="7" s="1"/>
  <c r="LG62" i="7"/>
  <c r="LG73" i="7"/>
  <c r="LE94" i="7"/>
  <c r="LE96" i="7"/>
  <c r="LE93" i="7"/>
  <c r="LE95" i="7"/>
  <c r="LE100" i="7"/>
  <c r="LG38" i="7"/>
  <c r="LG39" i="7" s="1"/>
  <c r="LG68" i="7"/>
  <c r="LG69" i="7" s="1"/>
  <c r="LF81" i="7"/>
  <c r="LF80" i="7"/>
  <c r="LF78" i="7"/>
  <c r="LF79" i="7"/>
  <c r="LF82" i="7"/>
  <c r="LF85" i="7"/>
  <c r="LF98" i="7" l="1"/>
  <c r="LG63" i="7"/>
  <c r="LH28" i="7"/>
  <c r="LH60" i="7"/>
  <c r="LH36" i="7"/>
  <c r="LH52" i="7"/>
  <c r="LH44" i="7"/>
  <c r="LE108" i="7"/>
  <c r="LE116" i="7" s="1"/>
  <c r="LE102" i="7"/>
  <c r="LH67" i="7"/>
  <c r="LG70" i="7"/>
  <c r="LG74" i="7"/>
  <c r="LG75" i="7" s="1"/>
  <c r="LG83" i="7" l="1"/>
  <c r="LG88" i="7" s="1"/>
  <c r="LG89" i="7" s="1"/>
  <c r="LG77" i="7"/>
  <c r="LG79" i="7" s="1"/>
  <c r="LH72" i="7"/>
  <c r="LH29" i="7"/>
  <c r="LI25" i="7" s="1"/>
  <c r="LH53" i="7"/>
  <c r="LI49" i="7" s="1"/>
  <c r="LI50" i="7" s="1"/>
  <c r="LI51" i="7" s="1"/>
  <c r="LH37" i="7"/>
  <c r="LI33" i="7" s="1"/>
  <c r="LI34" i="7" s="1"/>
  <c r="LI35" i="7" s="1"/>
  <c r="LH45" i="7"/>
  <c r="LI41" i="7" s="1"/>
  <c r="LI42" i="7" s="1"/>
  <c r="LI43" i="7" s="1"/>
  <c r="LH61" i="7"/>
  <c r="LI57" i="7" s="1"/>
  <c r="LI58" i="7" s="1"/>
  <c r="LI59" i="7" s="1"/>
  <c r="LE104" i="7"/>
  <c r="LE112" i="7" s="1"/>
  <c r="LE120" i="7" s="1"/>
  <c r="LE105" i="7"/>
  <c r="LE113" i="7" s="1"/>
  <c r="LE121" i="7" s="1"/>
  <c r="LE107" i="7"/>
  <c r="LE115" i="7" s="1"/>
  <c r="LE123" i="7" s="1"/>
  <c r="LE103" i="7"/>
  <c r="LE111" i="7" s="1"/>
  <c r="LE119" i="7" s="1"/>
  <c r="LE106" i="7"/>
  <c r="LE114" i="7" s="1"/>
  <c r="LE122" i="7" s="1"/>
  <c r="LF92" i="7"/>
  <c r="LF90" i="7"/>
  <c r="LG81" i="7" l="1"/>
  <c r="LG85" i="7"/>
  <c r="LG98" i="7" s="1"/>
  <c r="LG90" i="7" s="1"/>
  <c r="LG80" i="7"/>
  <c r="LG82" i="7"/>
  <c r="LG78" i="7"/>
  <c r="LH46" i="7"/>
  <c r="LH47" i="7" s="1"/>
  <c r="LI26" i="7"/>
  <c r="LI27" i="7" s="1"/>
  <c r="LH54" i="7"/>
  <c r="LH55" i="7" s="1"/>
  <c r="LH65" i="7"/>
  <c r="LH68" i="7"/>
  <c r="LH38" i="7"/>
  <c r="LH39" i="7" s="1"/>
  <c r="LH73" i="7"/>
  <c r="LF96" i="7"/>
  <c r="LF93" i="7"/>
  <c r="LF94" i="7"/>
  <c r="LF95" i="7"/>
  <c r="LF100" i="7"/>
  <c r="LH30" i="7"/>
  <c r="LH31" i="7" s="1"/>
  <c r="LH62" i="7"/>
  <c r="LH63" i="7" s="1"/>
  <c r="LG92" i="7" l="1"/>
  <c r="LG96" i="7" s="1"/>
  <c r="LH74" i="7"/>
  <c r="LH75" i="7" s="1"/>
  <c r="LF108" i="7"/>
  <c r="LF116" i="7" s="1"/>
  <c r="LF102" i="7"/>
  <c r="LH69" i="7"/>
  <c r="LI36" i="7"/>
  <c r="LI60" i="7"/>
  <c r="LI28" i="7"/>
  <c r="LI52" i="7"/>
  <c r="LI44" i="7"/>
  <c r="LG95" i="7" l="1"/>
  <c r="LG100" i="7"/>
  <c r="LG102" i="7" s="1"/>
  <c r="LG94" i="7"/>
  <c r="LG93" i="7"/>
  <c r="LI72" i="7"/>
  <c r="LI53" i="7"/>
  <c r="LJ49" i="7" s="1"/>
  <c r="LJ50" i="7" s="1"/>
  <c r="LJ51" i="7" s="1"/>
  <c r="LI37" i="7"/>
  <c r="LJ33" i="7" s="1"/>
  <c r="LJ34" i="7" s="1"/>
  <c r="LJ35" i="7" s="1"/>
  <c r="LI61" i="7"/>
  <c r="LJ57" i="7" s="1"/>
  <c r="LJ58" i="7" s="1"/>
  <c r="LJ59" i="7" s="1"/>
  <c r="LI29" i="7"/>
  <c r="LJ25" i="7" s="1"/>
  <c r="LI45" i="7"/>
  <c r="LJ41" i="7" s="1"/>
  <c r="LJ42" i="7" s="1"/>
  <c r="LJ43" i="7" s="1"/>
  <c r="LI67" i="7"/>
  <c r="LH70" i="7"/>
  <c r="LH83" i="7" s="1"/>
  <c r="LH88" i="7" s="1"/>
  <c r="LH89" i="7" s="1"/>
  <c r="LH77" i="7"/>
  <c r="LF107" i="7"/>
  <c r="LF115" i="7" s="1"/>
  <c r="LF123" i="7" s="1"/>
  <c r="LF103" i="7"/>
  <c r="LF111" i="7" s="1"/>
  <c r="LF119" i="7" s="1"/>
  <c r="LF106" i="7"/>
  <c r="LF114" i="7" s="1"/>
  <c r="LF122" i="7" s="1"/>
  <c r="LF105" i="7"/>
  <c r="LF113" i="7" s="1"/>
  <c r="LF121" i="7" s="1"/>
  <c r="LF104" i="7"/>
  <c r="LF112" i="7" s="1"/>
  <c r="LF120" i="7" s="1"/>
  <c r="LG108" i="7" l="1"/>
  <c r="LG116" i="7" s="1"/>
  <c r="LI46" i="7"/>
  <c r="LI47" i="7" s="1"/>
  <c r="LI62" i="7"/>
  <c r="LI63" i="7" s="1"/>
  <c r="LI30" i="7"/>
  <c r="LI31" i="7" s="1"/>
  <c r="LI38" i="7"/>
  <c r="LI39" i="7" s="1"/>
  <c r="LG105" i="7"/>
  <c r="LG113" i="7" s="1"/>
  <c r="LG121" i="7" s="1"/>
  <c r="LG104" i="7"/>
  <c r="LG112" i="7" s="1"/>
  <c r="LG120" i="7" s="1"/>
  <c r="LG107" i="7"/>
  <c r="LG115" i="7" s="1"/>
  <c r="LG123" i="7" s="1"/>
  <c r="LG103" i="7"/>
  <c r="LG111" i="7" s="1"/>
  <c r="LG119" i="7" s="1"/>
  <c r="LG106" i="7"/>
  <c r="LG114" i="7" s="1"/>
  <c r="LG122" i="7" s="1"/>
  <c r="LI73" i="7"/>
  <c r="LH81" i="7"/>
  <c r="LH80" i="7"/>
  <c r="LH78" i="7"/>
  <c r="LH79" i="7"/>
  <c r="LH82" i="7"/>
  <c r="LH85" i="7"/>
  <c r="LI68" i="7"/>
  <c r="LI65" i="7"/>
  <c r="LI54" i="7"/>
  <c r="LI55" i="7" s="1"/>
  <c r="LJ26" i="7"/>
  <c r="LJ27" i="7" s="1"/>
  <c r="LI69" i="7" l="1"/>
  <c r="LJ67" i="7" s="1"/>
  <c r="LI74" i="7"/>
  <c r="LI75" i="7" s="1"/>
  <c r="LJ36" i="7"/>
  <c r="LJ60" i="7"/>
  <c r="LJ44" i="7"/>
  <c r="LJ52" i="7"/>
  <c r="LJ28" i="7"/>
  <c r="LH98" i="7"/>
  <c r="LI70" i="7" l="1"/>
  <c r="LI83" i="7" s="1"/>
  <c r="LI88" i="7" s="1"/>
  <c r="LI89" i="7" s="1"/>
  <c r="LI77" i="7"/>
  <c r="LJ37" i="7"/>
  <c r="LK33" i="7" s="1"/>
  <c r="LK34" i="7" s="1"/>
  <c r="LK35" i="7" s="1"/>
  <c r="LJ45" i="7"/>
  <c r="LK41" i="7" s="1"/>
  <c r="LK42" i="7" s="1"/>
  <c r="LK43" i="7" s="1"/>
  <c r="LJ61" i="7"/>
  <c r="LK57" i="7" s="1"/>
  <c r="LK58" i="7" s="1"/>
  <c r="LK59" i="7" s="1"/>
  <c r="LJ29" i="7"/>
  <c r="LK25" i="7" s="1"/>
  <c r="LJ53" i="7"/>
  <c r="LK49" i="7" s="1"/>
  <c r="LK50" i="7" s="1"/>
  <c r="LK51" i="7" s="1"/>
  <c r="LH90" i="7"/>
  <c r="LH92" i="7"/>
  <c r="LJ72" i="7"/>
  <c r="LJ46" i="7" l="1"/>
  <c r="LJ47" i="7" s="1"/>
  <c r="LJ30" i="7"/>
  <c r="LJ31" i="7" s="1"/>
  <c r="LJ68" i="7"/>
  <c r="LJ62" i="7"/>
  <c r="LJ63" i="7" s="1"/>
  <c r="LJ54" i="7"/>
  <c r="LJ55" i="7" s="1"/>
  <c r="LJ65" i="7"/>
  <c r="LK26" i="7"/>
  <c r="LK27" i="7" s="1"/>
  <c r="LJ73" i="7"/>
  <c r="LJ38" i="7"/>
  <c r="LJ39" i="7" s="1"/>
  <c r="LH94" i="7"/>
  <c r="LH96" i="7"/>
  <c r="LH93" i="7"/>
  <c r="LH95" i="7"/>
  <c r="LH100" i="7"/>
  <c r="LI82" i="7"/>
  <c r="LI80" i="7"/>
  <c r="LI78" i="7"/>
  <c r="LI79" i="7"/>
  <c r="LI81" i="7"/>
  <c r="LI85" i="7"/>
  <c r="LJ74" i="7" l="1"/>
  <c r="LJ75" i="7" s="1"/>
  <c r="LI98" i="7"/>
  <c r="LH102" i="7"/>
  <c r="LH108" i="7"/>
  <c r="LH116" i="7" s="1"/>
  <c r="LJ69" i="7"/>
  <c r="LK44" i="7"/>
  <c r="LK36" i="7"/>
  <c r="LK52" i="7"/>
  <c r="LK60" i="7"/>
  <c r="LK28" i="7"/>
  <c r="LK72" i="7" l="1"/>
  <c r="LJ77" i="7"/>
  <c r="LJ70" i="7"/>
  <c r="LJ83" i="7" s="1"/>
  <c r="LJ88" i="7" s="1"/>
  <c r="LJ89" i="7" s="1"/>
  <c r="LK67" i="7"/>
  <c r="LH104" i="7"/>
  <c r="LH112" i="7" s="1"/>
  <c r="LH120" i="7" s="1"/>
  <c r="LH107" i="7"/>
  <c r="LH115" i="7" s="1"/>
  <c r="LH123" i="7" s="1"/>
  <c r="LH103" i="7"/>
  <c r="LH111" i="7" s="1"/>
  <c r="LH119" i="7" s="1"/>
  <c r="LH105" i="7"/>
  <c r="LH113" i="7" s="1"/>
  <c r="LH121" i="7" s="1"/>
  <c r="LH106" i="7"/>
  <c r="LH114" i="7" s="1"/>
  <c r="LH122" i="7" s="1"/>
  <c r="LK37" i="7"/>
  <c r="LL33" i="7" s="1"/>
  <c r="LL34" i="7" s="1"/>
  <c r="LL35" i="7" s="1"/>
  <c r="LK53" i="7"/>
  <c r="LL49" i="7" s="1"/>
  <c r="LL50" i="7" s="1"/>
  <c r="LL51" i="7" s="1"/>
  <c r="LK29" i="7"/>
  <c r="LL25" i="7" s="1"/>
  <c r="LK45" i="7"/>
  <c r="LL41" i="7" s="1"/>
  <c r="LL42" i="7" s="1"/>
  <c r="LL43" i="7" s="1"/>
  <c r="LK61" i="7"/>
  <c r="LL57" i="7" s="1"/>
  <c r="LL58" i="7" s="1"/>
  <c r="LL59" i="7" s="1"/>
  <c r="LI92" i="7"/>
  <c r="LI90" i="7"/>
  <c r="LK62" i="7" l="1"/>
  <c r="LK63" i="7" s="1"/>
  <c r="LL26" i="7"/>
  <c r="LL27" i="7" s="1"/>
  <c r="LK73" i="7"/>
  <c r="LK46" i="7"/>
  <c r="LK47" i="7" s="1"/>
  <c r="LK54" i="7"/>
  <c r="LK55" i="7" s="1"/>
  <c r="LK68" i="7"/>
  <c r="LK38" i="7"/>
  <c r="LK39" i="7" s="1"/>
  <c r="LK30" i="7"/>
  <c r="LK31" i="7" s="1"/>
  <c r="LI96" i="7"/>
  <c r="LI93" i="7"/>
  <c r="LI95" i="7"/>
  <c r="LI94" i="7"/>
  <c r="LI100" i="7"/>
  <c r="LK65" i="7"/>
  <c r="LJ80" i="7"/>
  <c r="LJ79" i="7"/>
  <c r="LJ81" i="7"/>
  <c r="LJ82" i="7"/>
  <c r="LJ78" i="7"/>
  <c r="LJ85" i="7"/>
  <c r="LK69" i="7" l="1"/>
  <c r="LL67" i="7" s="1"/>
  <c r="LI108" i="7"/>
  <c r="LI116" i="7" s="1"/>
  <c r="LI102" i="7"/>
  <c r="LL52" i="7"/>
  <c r="LL44" i="7"/>
  <c r="LL28" i="7"/>
  <c r="LL36" i="7"/>
  <c r="LL60" i="7"/>
  <c r="LJ98" i="7"/>
  <c r="LK74" i="7"/>
  <c r="LK75" i="7" s="1"/>
  <c r="LL72" i="7" l="1"/>
  <c r="LK70" i="7"/>
  <c r="LL61" i="7"/>
  <c r="LM57" i="7" s="1"/>
  <c r="LM58" i="7" s="1"/>
  <c r="LM59" i="7" s="1"/>
  <c r="LL37" i="7"/>
  <c r="LM33" i="7" s="1"/>
  <c r="LM34" i="7" s="1"/>
  <c r="LM35" i="7" s="1"/>
  <c r="LL53" i="7"/>
  <c r="LM49" i="7" s="1"/>
  <c r="LM50" i="7" s="1"/>
  <c r="LM51" i="7" s="1"/>
  <c r="LL29" i="7"/>
  <c r="LM25" i="7" s="1"/>
  <c r="LL45" i="7"/>
  <c r="LM41" i="7" s="1"/>
  <c r="LM42" i="7" s="1"/>
  <c r="LM43" i="7" s="1"/>
  <c r="LI106" i="7"/>
  <c r="LI114" i="7" s="1"/>
  <c r="LI122" i="7" s="1"/>
  <c r="LI105" i="7"/>
  <c r="LI113" i="7" s="1"/>
  <c r="LI121" i="7" s="1"/>
  <c r="LI107" i="7"/>
  <c r="LI115" i="7" s="1"/>
  <c r="LI123" i="7" s="1"/>
  <c r="LI103" i="7"/>
  <c r="LI111" i="7" s="1"/>
  <c r="LI119" i="7" s="1"/>
  <c r="LI104" i="7"/>
  <c r="LI112" i="7" s="1"/>
  <c r="LI120" i="7" s="1"/>
  <c r="LJ90" i="7"/>
  <c r="LJ92" i="7"/>
  <c r="LK77" i="7"/>
  <c r="LK83" i="7"/>
  <c r="LK88" i="7" s="1"/>
  <c r="LK89" i="7" s="1"/>
  <c r="LL46" i="7" l="1"/>
  <c r="LL47" i="7" s="1"/>
  <c r="LL54" i="7"/>
  <c r="LL55" i="7" s="1"/>
  <c r="LL30" i="7"/>
  <c r="LL31" i="7" s="1"/>
  <c r="LJ95" i="7"/>
  <c r="LJ94" i="7"/>
  <c r="LJ93" i="7"/>
  <c r="LJ96" i="7"/>
  <c r="LJ100" i="7"/>
  <c r="LK79" i="7"/>
  <c r="LK81" i="7"/>
  <c r="LK82" i="7"/>
  <c r="LK78" i="7"/>
  <c r="LK80" i="7"/>
  <c r="LK85" i="7"/>
  <c r="LL73" i="7"/>
  <c r="LL38" i="7"/>
  <c r="LL39" i="7" s="1"/>
  <c r="LL62" i="7"/>
  <c r="LL68" i="7"/>
  <c r="LL65" i="7"/>
  <c r="LM26" i="7"/>
  <c r="LM27" i="7" s="1"/>
  <c r="LM52" i="7" l="1"/>
  <c r="LM44" i="7"/>
  <c r="LM36" i="7"/>
  <c r="LM60" i="7"/>
  <c r="LM28" i="7"/>
  <c r="LL69" i="7"/>
  <c r="LL74" i="7"/>
  <c r="LL75" i="7" s="1"/>
  <c r="LJ102" i="7"/>
  <c r="LJ108" i="7"/>
  <c r="LJ116" i="7" s="1"/>
  <c r="LK98" i="7"/>
  <c r="LL63" i="7"/>
  <c r="LM67" i="7" l="1"/>
  <c r="LL77" i="7"/>
  <c r="LL70" i="7"/>
  <c r="LL83" i="7" s="1"/>
  <c r="LL88" i="7" s="1"/>
  <c r="LL89" i="7" s="1"/>
  <c r="LJ103" i="7"/>
  <c r="LJ111" i="7" s="1"/>
  <c r="LJ119" i="7" s="1"/>
  <c r="LJ106" i="7"/>
  <c r="LJ114" i="7" s="1"/>
  <c r="LJ122" i="7" s="1"/>
  <c r="LJ107" i="7"/>
  <c r="LJ115" i="7" s="1"/>
  <c r="LJ123" i="7" s="1"/>
  <c r="LJ105" i="7"/>
  <c r="LJ113" i="7" s="1"/>
  <c r="LJ121" i="7" s="1"/>
  <c r="LJ104" i="7"/>
  <c r="LJ112" i="7" s="1"/>
  <c r="LJ120" i="7" s="1"/>
  <c r="LM61" i="7"/>
  <c r="LM53" i="7"/>
  <c r="LN49" i="7" s="1"/>
  <c r="LN50" i="7" s="1"/>
  <c r="LN51" i="7" s="1"/>
  <c r="LM37" i="7"/>
  <c r="LN33" i="7" s="1"/>
  <c r="LN34" i="7" s="1"/>
  <c r="LN35" i="7" s="1"/>
  <c r="LM45" i="7"/>
  <c r="LN41" i="7" s="1"/>
  <c r="LN42" i="7" s="1"/>
  <c r="LN43" i="7" s="1"/>
  <c r="LM29" i="7"/>
  <c r="LN25" i="7" s="1"/>
  <c r="LK90" i="7"/>
  <c r="LK92" i="7"/>
  <c r="LM72" i="7"/>
  <c r="LM46" i="7" l="1"/>
  <c r="LM47" i="7" s="1"/>
  <c r="LM38" i="7"/>
  <c r="LM39" i="7" s="1"/>
  <c r="LM30" i="7"/>
  <c r="LM31" i="7" s="1"/>
  <c r="LN57" i="7"/>
  <c r="LN58" i="7" s="1"/>
  <c r="LN59" i="7" s="1"/>
  <c r="LM62" i="7"/>
  <c r="LM63" i="7" s="1"/>
  <c r="LM73" i="7"/>
  <c r="LK96" i="7"/>
  <c r="LK93" i="7"/>
  <c r="LK95" i="7"/>
  <c r="LK94" i="7"/>
  <c r="LK100" i="7"/>
  <c r="LM65" i="7"/>
  <c r="LM54" i="7"/>
  <c r="LM55" i="7" s="1"/>
  <c r="LN26" i="7"/>
  <c r="LN27" i="7" s="1"/>
  <c r="LM68" i="7"/>
  <c r="LL80" i="7"/>
  <c r="LL78" i="7"/>
  <c r="LL81" i="7"/>
  <c r="LL79" i="7"/>
  <c r="LL82" i="7"/>
  <c r="LL85" i="7"/>
  <c r="LM69" i="7" l="1"/>
  <c r="LN67" i="7" s="1"/>
  <c r="LM74" i="7"/>
  <c r="LM75" i="7" s="1"/>
  <c r="LL98" i="7"/>
  <c r="LN52" i="7"/>
  <c r="LN60" i="7"/>
  <c r="LN28" i="7"/>
  <c r="LN44" i="7"/>
  <c r="LN36" i="7"/>
  <c r="LK102" i="7"/>
  <c r="LK108" i="7"/>
  <c r="LK116" i="7" s="1"/>
  <c r="LN72" i="7" l="1"/>
  <c r="LM77" i="7"/>
  <c r="LM78" i="7" s="1"/>
  <c r="LM70" i="7"/>
  <c r="LM83" i="7" s="1"/>
  <c r="LM88" i="7" s="1"/>
  <c r="LM89" i="7" s="1"/>
  <c r="LM79" i="7"/>
  <c r="LN53" i="7"/>
  <c r="LO49" i="7" s="1"/>
  <c r="LO50" i="7" s="1"/>
  <c r="LO51" i="7" s="1"/>
  <c r="LN61" i="7"/>
  <c r="LO57" i="7" s="1"/>
  <c r="LO58" i="7" s="1"/>
  <c r="LO59" i="7" s="1"/>
  <c r="LN45" i="7"/>
  <c r="LO41" i="7" s="1"/>
  <c r="LO42" i="7" s="1"/>
  <c r="LO43" i="7" s="1"/>
  <c r="LN29" i="7"/>
  <c r="LO25" i="7" s="1"/>
  <c r="LN37" i="7"/>
  <c r="LO33" i="7" s="1"/>
  <c r="LO34" i="7" s="1"/>
  <c r="LO35" i="7" s="1"/>
  <c r="LK107" i="7"/>
  <c r="LK115" i="7" s="1"/>
  <c r="LK123" i="7" s="1"/>
  <c r="LK103" i="7"/>
  <c r="LK111" i="7" s="1"/>
  <c r="LK119" i="7" s="1"/>
  <c r="LK104" i="7"/>
  <c r="LK112" i="7" s="1"/>
  <c r="LK120" i="7" s="1"/>
  <c r="LK105" i="7"/>
  <c r="LK113" i="7" s="1"/>
  <c r="LK121" i="7" s="1"/>
  <c r="LK106" i="7"/>
  <c r="LK114" i="7" s="1"/>
  <c r="LK122" i="7" s="1"/>
  <c r="LL90" i="7"/>
  <c r="LL92" i="7"/>
  <c r="LM81" i="7" l="1"/>
  <c r="LM80" i="7"/>
  <c r="LM82" i="7"/>
  <c r="LM85" i="7"/>
  <c r="LM98" i="7" s="1"/>
  <c r="LM90" i="7" s="1"/>
  <c r="LN68" i="7"/>
  <c r="LN54" i="7"/>
  <c r="LN55" i="7" s="1"/>
  <c r="LN73" i="7"/>
  <c r="LN46" i="7"/>
  <c r="LN47" i="7" s="1"/>
  <c r="LN30" i="7"/>
  <c r="LN31" i="7" s="1"/>
  <c r="LN65" i="7"/>
  <c r="LN38" i="7"/>
  <c r="LN39" i="7" s="1"/>
  <c r="LN62" i="7"/>
  <c r="LN63" i="7" s="1"/>
  <c r="LO26" i="7"/>
  <c r="LO27" i="7" s="1"/>
  <c r="LL94" i="7"/>
  <c r="LL95" i="7"/>
  <c r="LL96" i="7"/>
  <c r="LL93" i="7"/>
  <c r="LL100" i="7"/>
  <c r="LM92" i="7" l="1"/>
  <c r="LM100" i="7" s="1"/>
  <c r="LL108" i="7"/>
  <c r="LL116" i="7" s="1"/>
  <c r="LL102" i="7"/>
  <c r="LO36" i="7"/>
  <c r="LO52" i="7"/>
  <c r="LO44" i="7"/>
  <c r="LO28" i="7"/>
  <c r="LO60" i="7"/>
  <c r="LN74" i="7"/>
  <c r="LN69" i="7"/>
  <c r="LM96" i="7" l="1"/>
  <c r="LM93" i="7"/>
  <c r="LM95" i="7"/>
  <c r="LM94" i="7"/>
  <c r="LN70" i="7"/>
  <c r="LN77" i="7"/>
  <c r="LO67" i="7"/>
  <c r="LM102" i="7"/>
  <c r="LM108" i="7"/>
  <c r="LM116" i="7" s="1"/>
  <c r="LN75" i="7"/>
  <c r="LO72" i="7"/>
  <c r="LO29" i="7"/>
  <c r="LP25" i="7" s="1"/>
  <c r="LO45" i="7"/>
  <c r="LP41" i="7" s="1"/>
  <c r="LP42" i="7" s="1"/>
  <c r="LP43" i="7" s="1"/>
  <c r="LO37" i="7"/>
  <c r="LP33" i="7" s="1"/>
  <c r="LP34" i="7" s="1"/>
  <c r="LP35" i="7" s="1"/>
  <c r="LO53" i="7"/>
  <c r="LP49" i="7" s="1"/>
  <c r="LP50" i="7" s="1"/>
  <c r="LP51" i="7" s="1"/>
  <c r="LO61" i="7"/>
  <c r="LP57" i="7" s="1"/>
  <c r="LP58" i="7" s="1"/>
  <c r="LP59" i="7" s="1"/>
  <c r="LL106" i="7"/>
  <c r="LL114" i="7" s="1"/>
  <c r="LL122" i="7" s="1"/>
  <c r="LL105" i="7"/>
  <c r="LL113" i="7" s="1"/>
  <c r="LL121" i="7" s="1"/>
  <c r="LL107" i="7"/>
  <c r="LL115" i="7" s="1"/>
  <c r="LL123" i="7" s="1"/>
  <c r="LL104" i="7"/>
  <c r="LL112" i="7" s="1"/>
  <c r="LL120" i="7" s="1"/>
  <c r="LL103" i="7"/>
  <c r="LL111" i="7" s="1"/>
  <c r="LL119" i="7" s="1"/>
  <c r="LO46" i="7" l="1"/>
  <c r="LO47" i="7" s="1"/>
  <c r="LO54" i="7"/>
  <c r="LO55" i="7" s="1"/>
  <c r="LO38" i="7"/>
  <c r="LO39" i="7" s="1"/>
  <c r="LP26" i="7"/>
  <c r="LP27" i="7" s="1"/>
  <c r="LO65" i="7"/>
  <c r="LM103" i="7"/>
  <c r="LM111" i="7" s="1"/>
  <c r="LM119" i="7" s="1"/>
  <c r="LM104" i="7"/>
  <c r="LM112" i="7" s="1"/>
  <c r="LM120" i="7" s="1"/>
  <c r="LM105" i="7"/>
  <c r="LM113" i="7" s="1"/>
  <c r="LM121" i="7" s="1"/>
  <c r="LM106" i="7"/>
  <c r="LM114" i="7" s="1"/>
  <c r="LM122" i="7" s="1"/>
  <c r="LM107" i="7"/>
  <c r="LM115" i="7" s="1"/>
  <c r="LM123" i="7" s="1"/>
  <c r="LO30" i="7"/>
  <c r="LO31" i="7" s="1"/>
  <c r="LO62" i="7"/>
  <c r="LN81" i="7"/>
  <c r="LN78" i="7"/>
  <c r="LN79" i="7"/>
  <c r="LN82" i="7"/>
  <c r="LN80" i="7"/>
  <c r="LO68" i="7"/>
  <c r="LO73" i="7"/>
  <c r="LN83" i="7"/>
  <c r="LN88" i="7" s="1"/>
  <c r="LN89" i="7" s="1"/>
  <c r="LO74" i="7" l="1"/>
  <c r="LO75" i="7" s="1"/>
  <c r="LO69" i="7"/>
  <c r="LP67" i="7" s="1"/>
  <c r="LO63" i="7"/>
  <c r="LP44" i="7"/>
  <c r="LP36" i="7"/>
  <c r="LP52" i="7"/>
  <c r="LP60" i="7"/>
  <c r="LP28" i="7"/>
  <c r="LN85" i="7"/>
  <c r="LP72" i="7" l="1"/>
  <c r="LO70" i="7"/>
  <c r="LO83" i="7" s="1"/>
  <c r="LO88" i="7" s="1"/>
  <c r="LO89" i="7" s="1"/>
  <c r="LO77" i="7"/>
  <c r="LO80" i="7" s="1"/>
  <c r="LN98" i="7"/>
  <c r="LP45" i="7"/>
  <c r="LQ41" i="7" s="1"/>
  <c r="LQ42" i="7" s="1"/>
  <c r="LQ43" i="7" s="1"/>
  <c r="LP29" i="7"/>
  <c r="LQ25" i="7" s="1"/>
  <c r="LP61" i="7"/>
  <c r="LP53" i="7"/>
  <c r="LQ49" i="7" s="1"/>
  <c r="LQ50" i="7" s="1"/>
  <c r="LQ51" i="7" s="1"/>
  <c r="LP37" i="7"/>
  <c r="LQ33" i="7" s="1"/>
  <c r="LQ34" i="7" s="1"/>
  <c r="LQ35" i="7" s="1"/>
  <c r="LO85" i="7" l="1"/>
  <c r="LO98" i="7" s="1"/>
  <c r="LO92" i="7" s="1"/>
  <c r="LO81" i="7"/>
  <c r="LO82" i="7"/>
  <c r="LO78" i="7"/>
  <c r="LO79" i="7"/>
  <c r="LP38" i="7"/>
  <c r="LP39" i="7" s="1"/>
  <c r="LP54" i="7"/>
  <c r="LP55" i="7" s="1"/>
  <c r="LP30" i="7"/>
  <c r="LP31" i="7" s="1"/>
  <c r="LQ57" i="7"/>
  <c r="LQ58" i="7" s="1"/>
  <c r="LQ59" i="7" s="1"/>
  <c r="LP62" i="7"/>
  <c r="LQ26" i="7"/>
  <c r="LQ27" i="7" s="1"/>
  <c r="LP65" i="7"/>
  <c r="LN92" i="7"/>
  <c r="LN90" i="7"/>
  <c r="LP68" i="7"/>
  <c r="LP73" i="7"/>
  <c r="LP46" i="7"/>
  <c r="LP47" i="7" s="1"/>
  <c r="LO90" i="7" l="1"/>
  <c r="LO94" i="7"/>
  <c r="LO96" i="7"/>
  <c r="LO95" i="7"/>
  <c r="LO93" i="7"/>
  <c r="LO100" i="7"/>
  <c r="LQ28" i="7"/>
  <c r="LQ44" i="7"/>
  <c r="LQ52" i="7"/>
  <c r="LQ60" i="7"/>
  <c r="LQ36" i="7"/>
  <c r="LP69" i="7"/>
  <c r="LN93" i="7"/>
  <c r="LN94" i="7"/>
  <c r="LN96" i="7"/>
  <c r="LN95" i="7"/>
  <c r="LN100" i="7"/>
  <c r="LP63" i="7"/>
  <c r="LP74" i="7"/>
  <c r="LP75" i="7" s="1"/>
  <c r="LQ37" i="7" l="1"/>
  <c r="LR33" i="7" s="1"/>
  <c r="LR34" i="7" s="1"/>
  <c r="LR35" i="7" s="1"/>
  <c r="LQ72" i="7"/>
  <c r="LQ53" i="7"/>
  <c r="LR49" i="7" s="1"/>
  <c r="LR50" i="7" s="1"/>
  <c r="LR51" i="7" s="1"/>
  <c r="LQ45" i="7"/>
  <c r="LR41" i="7" s="1"/>
  <c r="LR42" i="7" s="1"/>
  <c r="LR43" i="7" s="1"/>
  <c r="LQ29" i="7"/>
  <c r="LR25" i="7" s="1"/>
  <c r="LN102" i="7"/>
  <c r="LN108" i="7"/>
  <c r="LN116" i="7" s="1"/>
  <c r="LP70" i="7"/>
  <c r="LP83" i="7" s="1"/>
  <c r="LP88" i="7" s="1"/>
  <c r="LP89" i="7" s="1"/>
  <c r="LP77" i="7"/>
  <c r="LQ67" i="7"/>
  <c r="LO102" i="7"/>
  <c r="LO108" i="7"/>
  <c r="LO116" i="7" s="1"/>
  <c r="LQ61" i="7"/>
  <c r="LQ38" i="7" l="1"/>
  <c r="LQ39" i="7" s="1"/>
  <c r="LQ30" i="7"/>
  <c r="LQ31" i="7" s="1"/>
  <c r="LR57" i="7"/>
  <c r="LR58" i="7" s="1"/>
  <c r="LR59" i="7" s="1"/>
  <c r="LQ62" i="7"/>
  <c r="LQ65" i="7"/>
  <c r="LP78" i="7"/>
  <c r="LP81" i="7"/>
  <c r="LP80" i="7"/>
  <c r="LP79" i="7"/>
  <c r="LP82" i="7"/>
  <c r="LP85" i="7"/>
  <c r="LN107" i="7"/>
  <c r="LN115" i="7" s="1"/>
  <c r="LN123" i="7" s="1"/>
  <c r="LN103" i="7"/>
  <c r="LN111" i="7" s="1"/>
  <c r="LN119" i="7" s="1"/>
  <c r="LN104" i="7"/>
  <c r="LN112" i="7" s="1"/>
  <c r="LN120" i="7" s="1"/>
  <c r="LN105" i="7"/>
  <c r="LN113" i="7" s="1"/>
  <c r="LN121" i="7" s="1"/>
  <c r="LN106" i="7"/>
  <c r="LN114" i="7" s="1"/>
  <c r="LN122" i="7" s="1"/>
  <c r="LO107" i="7"/>
  <c r="LO115" i="7" s="1"/>
  <c r="LO123" i="7" s="1"/>
  <c r="LO103" i="7"/>
  <c r="LO111" i="7" s="1"/>
  <c r="LO119" i="7" s="1"/>
  <c r="LO106" i="7"/>
  <c r="LO114" i="7" s="1"/>
  <c r="LO122" i="7" s="1"/>
  <c r="LO104" i="7"/>
  <c r="LO112" i="7" s="1"/>
  <c r="LO120" i="7" s="1"/>
  <c r="LO105" i="7"/>
  <c r="LO113" i="7" s="1"/>
  <c r="LO121" i="7" s="1"/>
  <c r="LQ73" i="7"/>
  <c r="LQ46" i="7"/>
  <c r="LQ47" i="7" s="1"/>
  <c r="LQ68" i="7"/>
  <c r="LR26" i="7"/>
  <c r="LR27" i="7" s="1"/>
  <c r="LQ54" i="7"/>
  <c r="LQ55" i="7" s="1"/>
  <c r="LQ69" i="7" l="1"/>
  <c r="LR67" i="7" s="1"/>
  <c r="LR28" i="7"/>
  <c r="LR52" i="7"/>
  <c r="LR44" i="7"/>
  <c r="LR36" i="7"/>
  <c r="LR60" i="7"/>
  <c r="LQ74" i="7"/>
  <c r="LQ75" i="7" s="1"/>
  <c r="LP98" i="7"/>
  <c r="LQ63" i="7"/>
  <c r="LQ70" i="7" l="1"/>
  <c r="LQ83" i="7" s="1"/>
  <c r="LQ88" i="7" s="1"/>
  <c r="LQ89" i="7" s="1"/>
  <c r="LR72" i="7"/>
  <c r="LQ77" i="7"/>
  <c r="LQ78" i="7" s="1"/>
  <c r="LP92" i="7"/>
  <c r="LP90" i="7"/>
  <c r="LR29" i="7"/>
  <c r="LS25" i="7" s="1"/>
  <c r="LR45" i="7"/>
  <c r="LS41" i="7" s="1"/>
  <c r="LS42" i="7" s="1"/>
  <c r="LS43" i="7" s="1"/>
  <c r="LR37" i="7"/>
  <c r="LS33" i="7" s="1"/>
  <c r="LS34" i="7" s="1"/>
  <c r="LS35" i="7" s="1"/>
  <c r="LR53" i="7"/>
  <c r="LS49" i="7" s="1"/>
  <c r="LS50" i="7" s="1"/>
  <c r="LS51" i="7" s="1"/>
  <c r="LR61" i="7"/>
  <c r="LQ82" i="7" l="1"/>
  <c r="LQ81" i="7"/>
  <c r="LQ79" i="7"/>
  <c r="LQ85" i="7"/>
  <c r="LQ98" i="7" s="1"/>
  <c r="LQ92" i="7" s="1"/>
  <c r="LR38" i="7"/>
  <c r="LR39" i="7" s="1"/>
  <c r="LQ80" i="7"/>
  <c r="LR65" i="7"/>
  <c r="LR46" i="7"/>
  <c r="LR47" i="7" s="1"/>
  <c r="LR30" i="7"/>
  <c r="LR31" i="7" s="1"/>
  <c r="LR73" i="7"/>
  <c r="LS57" i="7"/>
  <c r="LS58" i="7" s="1"/>
  <c r="LS59" i="7" s="1"/>
  <c r="LR62" i="7"/>
  <c r="LR68" i="7"/>
  <c r="LS26" i="7"/>
  <c r="LS27" i="7" s="1"/>
  <c r="LP95" i="7"/>
  <c r="LP96" i="7"/>
  <c r="LP93" i="7"/>
  <c r="LP94" i="7"/>
  <c r="LP100" i="7"/>
  <c r="LR54" i="7"/>
  <c r="LR55" i="7" s="1"/>
  <c r="LQ90" i="7" l="1"/>
  <c r="LQ93" i="7"/>
  <c r="LQ94" i="7"/>
  <c r="LQ96" i="7"/>
  <c r="LQ95" i="7"/>
  <c r="LQ100" i="7"/>
  <c r="LR63" i="7"/>
  <c r="LR74" i="7"/>
  <c r="LR75" i="7" s="1"/>
  <c r="LP102" i="7"/>
  <c r="LP108" i="7"/>
  <c r="LP116" i="7" s="1"/>
  <c r="LS52" i="7"/>
  <c r="LS44" i="7"/>
  <c r="LS28" i="7"/>
  <c r="LS60" i="7"/>
  <c r="LS36" i="7"/>
  <c r="LS29" i="7" s="1"/>
  <c r="LT25" i="7" s="1"/>
  <c r="LR69" i="7"/>
  <c r="LS30" i="7" l="1"/>
  <c r="LS31" i="7" s="1"/>
  <c r="LS53" i="7"/>
  <c r="LT49" i="7" s="1"/>
  <c r="LT50" i="7" s="1"/>
  <c r="LT51" i="7" s="1"/>
  <c r="LS45" i="7"/>
  <c r="LT41" i="7" s="1"/>
  <c r="LT42" i="7" s="1"/>
  <c r="LT43" i="7" s="1"/>
  <c r="LS37" i="7"/>
  <c r="LT33" i="7" s="1"/>
  <c r="LT34" i="7" s="1"/>
  <c r="LT35" i="7" s="1"/>
  <c r="LT26" i="7"/>
  <c r="LT27" i="7" s="1"/>
  <c r="LS61" i="7"/>
  <c r="LS67" i="7"/>
  <c r="LR70" i="7"/>
  <c r="LR83" i="7" s="1"/>
  <c r="LR88" i="7" s="1"/>
  <c r="LR89" i="7" s="1"/>
  <c r="LR77" i="7"/>
  <c r="LQ108" i="7"/>
  <c r="LQ116" i="7" s="1"/>
  <c r="LQ102" i="7"/>
  <c r="LP103" i="7"/>
  <c r="LP111" i="7" s="1"/>
  <c r="LP119" i="7" s="1"/>
  <c r="LP106" i="7"/>
  <c r="LP114" i="7" s="1"/>
  <c r="LP122" i="7" s="1"/>
  <c r="LP107" i="7"/>
  <c r="LP115" i="7" s="1"/>
  <c r="LP123" i="7" s="1"/>
  <c r="LP104" i="7"/>
  <c r="LP112" i="7" s="1"/>
  <c r="LP120" i="7" s="1"/>
  <c r="LP105" i="7"/>
  <c r="LP113" i="7" s="1"/>
  <c r="LP121" i="7" s="1"/>
  <c r="LS72" i="7"/>
  <c r="LT57" i="7" l="1"/>
  <c r="LT58" i="7" s="1"/>
  <c r="LT59" i="7" s="1"/>
  <c r="LT36" i="7" s="1"/>
  <c r="LS62" i="7"/>
  <c r="LS46" i="7"/>
  <c r="LS47" i="7" s="1"/>
  <c r="LS54" i="7"/>
  <c r="LS55" i="7" s="1"/>
  <c r="LR79" i="7"/>
  <c r="LR81" i="7"/>
  <c r="LR82" i="7"/>
  <c r="LR80" i="7"/>
  <c r="LR78" i="7"/>
  <c r="LR85" i="7"/>
  <c r="LS65" i="7"/>
  <c r="LS38" i="7"/>
  <c r="LS39" i="7" s="1"/>
  <c r="LS68" i="7"/>
  <c r="LQ105" i="7"/>
  <c r="LQ113" i="7" s="1"/>
  <c r="LQ121" i="7" s="1"/>
  <c r="LQ104" i="7"/>
  <c r="LQ112" i="7" s="1"/>
  <c r="LQ120" i="7" s="1"/>
  <c r="LQ103" i="7"/>
  <c r="LQ111" i="7" s="1"/>
  <c r="LQ119" i="7" s="1"/>
  <c r="LQ107" i="7"/>
  <c r="LQ115" i="7" s="1"/>
  <c r="LQ123" i="7" s="1"/>
  <c r="LQ106" i="7"/>
  <c r="LQ114" i="7" s="1"/>
  <c r="LQ122" i="7" s="1"/>
  <c r="LS73" i="7"/>
  <c r="LT60" i="7" l="1"/>
  <c r="LT28" i="7"/>
  <c r="LT52" i="7"/>
  <c r="LT44" i="7"/>
  <c r="LR98" i="7"/>
  <c r="LS63" i="7"/>
  <c r="LS74" i="7"/>
  <c r="LS69" i="7"/>
  <c r="LT29" i="7" l="1"/>
  <c r="LU25" i="7" s="1"/>
  <c r="LU26" i="7" s="1"/>
  <c r="LU27" i="7" s="1"/>
  <c r="LT45" i="7"/>
  <c r="LU41" i="7" s="1"/>
  <c r="LU42" i="7" s="1"/>
  <c r="LU43" i="7" s="1"/>
  <c r="LT37" i="7"/>
  <c r="LU33" i="7" s="1"/>
  <c r="LU34" i="7" s="1"/>
  <c r="LU35" i="7" s="1"/>
  <c r="LT53" i="7"/>
  <c r="LT61" i="7"/>
  <c r="LS75" i="7"/>
  <c r="LT72" i="7"/>
  <c r="LT67" i="7"/>
  <c r="LS77" i="7"/>
  <c r="LS70" i="7"/>
  <c r="LR92" i="7"/>
  <c r="LR90" i="7"/>
  <c r="LT30" i="7" l="1"/>
  <c r="LT31" i="7" s="1"/>
  <c r="LT46" i="7"/>
  <c r="LT47" i="7" s="1"/>
  <c r="LT38" i="7"/>
  <c r="LT39" i="7" s="1"/>
  <c r="LT68" i="7"/>
  <c r="LS83" i="7"/>
  <c r="LS88" i="7" s="1"/>
  <c r="LS89" i="7" s="1"/>
  <c r="LU57" i="7"/>
  <c r="LU58" i="7" s="1"/>
  <c r="LU59" i="7" s="1"/>
  <c r="LT62" i="7"/>
  <c r="LT63" i="7" s="1"/>
  <c r="LU49" i="7"/>
  <c r="LU50" i="7" s="1"/>
  <c r="LU51" i="7" s="1"/>
  <c r="LT54" i="7"/>
  <c r="LT55" i="7" s="1"/>
  <c r="LT73" i="7"/>
  <c r="LT65" i="7"/>
  <c r="LS81" i="7"/>
  <c r="LS78" i="7"/>
  <c r="LS82" i="7"/>
  <c r="LS79" i="7"/>
  <c r="LS80" i="7"/>
  <c r="LR96" i="7"/>
  <c r="LR95" i="7"/>
  <c r="LR93" i="7"/>
  <c r="LR94" i="7"/>
  <c r="LR100" i="7"/>
  <c r="LU52" i="7" l="1"/>
  <c r="LS85" i="7"/>
  <c r="LS98" i="7" s="1"/>
  <c r="LT69" i="7"/>
  <c r="LU67" i="7" s="1"/>
  <c r="LT74" i="7"/>
  <c r="LT75" i="7" s="1"/>
  <c r="LU28" i="7"/>
  <c r="LU44" i="7"/>
  <c r="LU36" i="7"/>
  <c r="LU60" i="7"/>
  <c r="LR108" i="7"/>
  <c r="LR116" i="7" s="1"/>
  <c r="LR102" i="7"/>
  <c r="LU61" i="7" l="1"/>
  <c r="LV57" i="7" s="1"/>
  <c r="LV58" i="7" s="1"/>
  <c r="LV59" i="7" s="1"/>
  <c r="LT77" i="7"/>
  <c r="LT79" i="7" s="1"/>
  <c r="LU72" i="7"/>
  <c r="LT70" i="7"/>
  <c r="LT83" i="7" s="1"/>
  <c r="LT88" i="7" s="1"/>
  <c r="LT89" i="7" s="1"/>
  <c r="LU45" i="7"/>
  <c r="LV41" i="7" s="1"/>
  <c r="LV42" i="7" s="1"/>
  <c r="LV43" i="7" s="1"/>
  <c r="LU53" i="7"/>
  <c r="LV49" i="7" s="1"/>
  <c r="LV50" i="7" s="1"/>
  <c r="LV51" i="7" s="1"/>
  <c r="LU29" i="7"/>
  <c r="LV25" i="7" s="1"/>
  <c r="LV26" i="7" s="1"/>
  <c r="LV27" i="7" s="1"/>
  <c r="LU37" i="7"/>
  <c r="LV33" i="7" s="1"/>
  <c r="LV34" i="7" s="1"/>
  <c r="LV35" i="7" s="1"/>
  <c r="LR105" i="7"/>
  <c r="LR113" i="7" s="1"/>
  <c r="LR121" i="7" s="1"/>
  <c r="LR107" i="7"/>
  <c r="LR115" i="7" s="1"/>
  <c r="LR123" i="7" s="1"/>
  <c r="LR106" i="7"/>
  <c r="LR114" i="7" s="1"/>
  <c r="LR122" i="7" s="1"/>
  <c r="LR104" i="7"/>
  <c r="LR112" i="7" s="1"/>
  <c r="LR120" i="7" s="1"/>
  <c r="LR103" i="7"/>
  <c r="LR111" i="7" s="1"/>
  <c r="LR119" i="7" s="1"/>
  <c r="LS92" i="7"/>
  <c r="LS90" i="7"/>
  <c r="LU62" i="7" l="1"/>
  <c r="LT82" i="7"/>
  <c r="LT81" i="7"/>
  <c r="LT85" i="7"/>
  <c r="LT98" i="7" s="1"/>
  <c r="LT78" i="7"/>
  <c r="LT80" i="7"/>
  <c r="LU54" i="7"/>
  <c r="LU55" i="7" s="1"/>
  <c r="LU30" i="7"/>
  <c r="LU31" i="7" s="1"/>
  <c r="LU46" i="7"/>
  <c r="LU47" i="7" s="1"/>
  <c r="LU73" i="7"/>
  <c r="LU38" i="7"/>
  <c r="LU39" i="7" s="1"/>
  <c r="LU68" i="7"/>
  <c r="LU65" i="7"/>
  <c r="LV28" i="7"/>
  <c r="LV60" i="7"/>
  <c r="LV36" i="7"/>
  <c r="LV44" i="7"/>
  <c r="LV52" i="7"/>
  <c r="LS93" i="7"/>
  <c r="LS95" i="7"/>
  <c r="LS94" i="7"/>
  <c r="LS96" i="7"/>
  <c r="LS100" i="7"/>
  <c r="LU63" i="7"/>
  <c r="LU74" i="7" l="1"/>
  <c r="LU75" i="7" s="1"/>
  <c r="LU69" i="7"/>
  <c r="LV67" i="7" s="1"/>
  <c r="LT92" i="7"/>
  <c r="LT90" i="7"/>
  <c r="LS108" i="7"/>
  <c r="LS116" i="7" s="1"/>
  <c r="LS102" i="7"/>
  <c r="LV37" i="7"/>
  <c r="LW33" i="7" s="1"/>
  <c r="LW34" i="7" s="1"/>
  <c r="LW35" i="7" s="1"/>
  <c r="LV29" i="7"/>
  <c r="LW25" i="7" s="1"/>
  <c r="LV45" i="7"/>
  <c r="LW41" i="7" s="1"/>
  <c r="LW42" i="7" s="1"/>
  <c r="LW43" i="7" s="1"/>
  <c r="LV53" i="7"/>
  <c r="LW49" i="7" s="1"/>
  <c r="LW50" i="7" s="1"/>
  <c r="LW51" i="7" s="1"/>
  <c r="LV61" i="7"/>
  <c r="LU70" i="7" l="1"/>
  <c r="LU83" i="7" s="1"/>
  <c r="LU88" i="7" s="1"/>
  <c r="LU89" i="7" s="1"/>
  <c r="LV72" i="7"/>
  <c r="LU77" i="7"/>
  <c r="LU79" i="7" s="1"/>
  <c r="LV38" i="7"/>
  <c r="LV39" i="7" s="1"/>
  <c r="LV73" i="7"/>
  <c r="LS104" i="7"/>
  <c r="LS112" i="7" s="1"/>
  <c r="LS120" i="7" s="1"/>
  <c r="LS103" i="7"/>
  <c r="LS111" i="7" s="1"/>
  <c r="LS119" i="7" s="1"/>
  <c r="LS106" i="7"/>
  <c r="LS114" i="7" s="1"/>
  <c r="LS122" i="7" s="1"/>
  <c r="LS105" i="7"/>
  <c r="LS113" i="7" s="1"/>
  <c r="LS121" i="7" s="1"/>
  <c r="LS107" i="7"/>
  <c r="LS115" i="7" s="1"/>
  <c r="LS123" i="7" s="1"/>
  <c r="LV65" i="7"/>
  <c r="LV30" i="7"/>
  <c r="LV31" i="7" s="1"/>
  <c r="LW57" i="7"/>
  <c r="LW58" i="7" s="1"/>
  <c r="LW59" i="7" s="1"/>
  <c r="LV62" i="7"/>
  <c r="LV68" i="7"/>
  <c r="LT93" i="7"/>
  <c r="LT96" i="7"/>
  <c r="LT94" i="7"/>
  <c r="LT95" i="7"/>
  <c r="LT100" i="7"/>
  <c r="LW26" i="7"/>
  <c r="LW27" i="7" s="1"/>
  <c r="LV54" i="7"/>
  <c r="LV55" i="7" s="1"/>
  <c r="LV46" i="7"/>
  <c r="LV47" i="7" s="1"/>
  <c r="LU78" i="7" l="1"/>
  <c r="LU85" i="7"/>
  <c r="LU98" i="7" s="1"/>
  <c r="LU92" i="7" s="1"/>
  <c r="LU96" i="7" s="1"/>
  <c r="LU82" i="7"/>
  <c r="LU81" i="7"/>
  <c r="LU80" i="7"/>
  <c r="LV69" i="7"/>
  <c r="LV70" i="7" s="1"/>
  <c r="LW36" i="7"/>
  <c r="LW60" i="7"/>
  <c r="LW44" i="7"/>
  <c r="LW52" i="7"/>
  <c r="LW28" i="7"/>
  <c r="LV63" i="7"/>
  <c r="LT108" i="7"/>
  <c r="LT116" i="7" s="1"/>
  <c r="LT102" i="7"/>
  <c r="LV74" i="7"/>
  <c r="LU93" i="7" l="1"/>
  <c r="LU95" i="7"/>
  <c r="LU94" i="7"/>
  <c r="LU90" i="7"/>
  <c r="LU100" i="7"/>
  <c r="LU102" i="7" s="1"/>
  <c r="LW67" i="7"/>
  <c r="LW29" i="7"/>
  <c r="LX25" i="7" s="1"/>
  <c r="LX26" i="7" s="1"/>
  <c r="LX27" i="7" s="1"/>
  <c r="LW61" i="7"/>
  <c r="LX57" i="7" s="1"/>
  <c r="LX58" i="7" s="1"/>
  <c r="LX59" i="7" s="1"/>
  <c r="LV75" i="7"/>
  <c r="LV83" i="7" s="1"/>
  <c r="LV88" i="7" s="1"/>
  <c r="LV89" i="7" s="1"/>
  <c r="LW72" i="7"/>
  <c r="LT107" i="7"/>
  <c r="LT115" i="7" s="1"/>
  <c r="LT123" i="7" s="1"/>
  <c r="LT105" i="7"/>
  <c r="LT113" i="7" s="1"/>
  <c r="LT121" i="7" s="1"/>
  <c r="LT106" i="7"/>
  <c r="LT114" i="7" s="1"/>
  <c r="LT122" i="7" s="1"/>
  <c r="LT103" i="7"/>
  <c r="LT111" i="7" s="1"/>
  <c r="LT119" i="7" s="1"/>
  <c r="LT104" i="7"/>
  <c r="LT112" i="7" s="1"/>
  <c r="LT120" i="7" s="1"/>
  <c r="LV77" i="7"/>
  <c r="LW53" i="7"/>
  <c r="LX49" i="7" s="1"/>
  <c r="LX50" i="7" s="1"/>
  <c r="LX51" i="7" s="1"/>
  <c r="LW37" i="7"/>
  <c r="LX33" i="7" s="1"/>
  <c r="LX34" i="7" s="1"/>
  <c r="LX35" i="7" s="1"/>
  <c r="LW45" i="7"/>
  <c r="LX41" i="7" s="1"/>
  <c r="LX42" i="7" s="1"/>
  <c r="LX43" i="7" s="1"/>
  <c r="LU108" i="7" l="1"/>
  <c r="LU116" i="7" s="1"/>
  <c r="LW30" i="7"/>
  <c r="LW31" i="7" s="1"/>
  <c r="LW62" i="7"/>
  <c r="LW63" i="7" s="1"/>
  <c r="LW68" i="7"/>
  <c r="LW54" i="7"/>
  <c r="LW55" i="7" s="1"/>
  <c r="LW65" i="7"/>
  <c r="LX36" i="7"/>
  <c r="LX44" i="7"/>
  <c r="LX28" i="7"/>
  <c r="LX60" i="7"/>
  <c r="LX52" i="7"/>
  <c r="LU103" i="7"/>
  <c r="LU111" i="7" s="1"/>
  <c r="LU104" i="7"/>
  <c r="LU112" i="7" s="1"/>
  <c r="LU120" i="7" s="1"/>
  <c r="LU107" i="7"/>
  <c r="LU115" i="7" s="1"/>
  <c r="LU123" i="7" s="1"/>
  <c r="LU105" i="7"/>
  <c r="LU113" i="7" s="1"/>
  <c r="LU121" i="7" s="1"/>
  <c r="LU106" i="7"/>
  <c r="LU114" i="7" s="1"/>
  <c r="LU122" i="7" s="1"/>
  <c r="LV81" i="7"/>
  <c r="LV82" i="7"/>
  <c r="LV80" i="7"/>
  <c r="LV78" i="7"/>
  <c r="LV79" i="7"/>
  <c r="LV85" i="7"/>
  <c r="LW38" i="7"/>
  <c r="LW39" i="7" s="1"/>
  <c r="LW73" i="7"/>
  <c r="LW46" i="7"/>
  <c r="LW47" i="7" s="1"/>
  <c r="LU119" i="7" l="1"/>
  <c r="LW69" i="7"/>
  <c r="LX67" i="7" s="1"/>
  <c r="LX29" i="7"/>
  <c r="LY25" i="7" s="1"/>
  <c r="LY26" i="7" s="1"/>
  <c r="LY27" i="7" s="1"/>
  <c r="LX53" i="7"/>
  <c r="LY49" i="7" s="1"/>
  <c r="LY50" i="7" s="1"/>
  <c r="LY51" i="7" s="1"/>
  <c r="LW74" i="7"/>
  <c r="LW75" i="7" s="1"/>
  <c r="LV98" i="7"/>
  <c r="LX37" i="7"/>
  <c r="LY33" i="7" s="1"/>
  <c r="LY34" i="7" s="1"/>
  <c r="LY35" i="7" s="1"/>
  <c r="LX45" i="7"/>
  <c r="LY41" i="7" s="1"/>
  <c r="LY42" i="7" s="1"/>
  <c r="LY43" i="7" s="1"/>
  <c r="LX61" i="7"/>
  <c r="LY57" i="7" s="1"/>
  <c r="LY58" i="7" s="1"/>
  <c r="LY59" i="7" s="1"/>
  <c r="LX30" i="7" l="1"/>
  <c r="LX31" i="7" s="1"/>
  <c r="LW70" i="7"/>
  <c r="LW83" i="7" s="1"/>
  <c r="LW88" i="7" s="1"/>
  <c r="LW89" i="7" s="1"/>
  <c r="LX54" i="7"/>
  <c r="LX55" i="7" s="1"/>
  <c r="LW77" i="7"/>
  <c r="LW78" i="7" s="1"/>
  <c r="LX46" i="7"/>
  <c r="LX47" i="7" s="1"/>
  <c r="LX72" i="7"/>
  <c r="LX65" i="7"/>
  <c r="LY28" i="7"/>
  <c r="LY60" i="7"/>
  <c r="LY36" i="7"/>
  <c r="LY52" i="7"/>
  <c r="LY44" i="7"/>
  <c r="LX62" i="7"/>
  <c r="LX73" i="7"/>
  <c r="LV90" i="7"/>
  <c r="LV92" i="7"/>
  <c r="LX38" i="7"/>
  <c r="LX39" i="7" s="1"/>
  <c r="LX68" i="7"/>
  <c r="LW80" i="7" l="1"/>
  <c r="LX69" i="7"/>
  <c r="LX70" i="7" s="1"/>
  <c r="LW82" i="7"/>
  <c r="LW85" i="7"/>
  <c r="LW98" i="7" s="1"/>
  <c r="LW79" i="7"/>
  <c r="LW81" i="7"/>
  <c r="LY53" i="7"/>
  <c r="LZ49" i="7" s="1"/>
  <c r="LZ50" i="7" s="1"/>
  <c r="LZ51" i="7" s="1"/>
  <c r="LY37" i="7"/>
  <c r="LZ33" i="7" s="1"/>
  <c r="LZ34" i="7" s="1"/>
  <c r="LZ35" i="7" s="1"/>
  <c r="LX74" i="7"/>
  <c r="LX75" i="7" s="1"/>
  <c r="LV93" i="7"/>
  <c r="LV96" i="7"/>
  <c r="LV95" i="7"/>
  <c r="LV94" i="7"/>
  <c r="LV100" i="7"/>
  <c r="LY61" i="7"/>
  <c r="LZ57" i="7" s="1"/>
  <c r="LZ58" i="7" s="1"/>
  <c r="LZ59" i="7" s="1"/>
  <c r="LY29" i="7"/>
  <c r="LZ25" i="7" s="1"/>
  <c r="LY45" i="7"/>
  <c r="LZ41" i="7" s="1"/>
  <c r="LZ42" i="7" s="1"/>
  <c r="LZ43" i="7" s="1"/>
  <c r="LX63" i="7"/>
  <c r="LY67" i="7" l="1"/>
  <c r="LY54" i="7"/>
  <c r="LY55" i="7" s="1"/>
  <c r="LY72" i="7"/>
  <c r="LY62" i="7"/>
  <c r="LY63" i="7" s="1"/>
  <c r="LX77" i="7"/>
  <c r="LX81" i="7" s="1"/>
  <c r="LY30" i="7"/>
  <c r="LY31" i="7" s="1"/>
  <c r="LY65" i="7"/>
  <c r="LX83" i="7"/>
  <c r="LX88" i="7" s="1"/>
  <c r="LX89" i="7" s="1"/>
  <c r="LV102" i="7"/>
  <c r="LV108" i="7"/>
  <c r="LV116" i="7" s="1"/>
  <c r="LY38" i="7"/>
  <c r="LY39" i="7" s="1"/>
  <c r="LY46" i="7"/>
  <c r="LY47" i="7" s="1"/>
  <c r="LZ26" i="7"/>
  <c r="LZ27" i="7" s="1"/>
  <c r="LW90" i="7"/>
  <c r="LW92" i="7"/>
  <c r="LY73" i="7"/>
  <c r="LY68" i="7"/>
  <c r="LX79" i="7" l="1"/>
  <c r="LY74" i="7"/>
  <c r="LZ72" i="7" s="1"/>
  <c r="LX80" i="7"/>
  <c r="LX82" i="7"/>
  <c r="LX78" i="7"/>
  <c r="LY69" i="7"/>
  <c r="LX85" i="7"/>
  <c r="LX98" i="7" s="1"/>
  <c r="LX92" i="7" s="1"/>
  <c r="LW95" i="7"/>
  <c r="LW93" i="7"/>
  <c r="LW96" i="7"/>
  <c r="LW94" i="7"/>
  <c r="LW100" i="7"/>
  <c r="LV107" i="7"/>
  <c r="LV115" i="7" s="1"/>
  <c r="LV123" i="7" s="1"/>
  <c r="LV104" i="7"/>
  <c r="LV112" i="7" s="1"/>
  <c r="LV120" i="7" s="1"/>
  <c r="LV106" i="7"/>
  <c r="LV114" i="7" s="1"/>
  <c r="LV122" i="7" s="1"/>
  <c r="LV105" i="7"/>
  <c r="LV113" i="7" s="1"/>
  <c r="LV121" i="7" s="1"/>
  <c r="LV103" i="7"/>
  <c r="LV111" i="7" s="1"/>
  <c r="LV119" i="7" s="1"/>
  <c r="LZ28" i="7"/>
  <c r="LZ52" i="7"/>
  <c r="LZ60" i="7"/>
  <c r="LZ44" i="7"/>
  <c r="LZ36" i="7"/>
  <c r="LY77" i="7" l="1"/>
  <c r="LY78" i="7" s="1"/>
  <c r="LY75" i="7"/>
  <c r="LY70" i="7"/>
  <c r="LZ67" i="7"/>
  <c r="LX90" i="7"/>
  <c r="LX93" i="7"/>
  <c r="LX95" i="7"/>
  <c r="LX96" i="7"/>
  <c r="LX94" i="7"/>
  <c r="LX100" i="7"/>
  <c r="LW102" i="7"/>
  <c r="LW108" i="7"/>
  <c r="LW116" i="7" s="1"/>
  <c r="LZ45" i="7"/>
  <c r="MA41" i="7" s="1"/>
  <c r="MA42" i="7" s="1"/>
  <c r="MA43" i="7" s="1"/>
  <c r="LZ61" i="7"/>
  <c r="MA57" i="7" s="1"/>
  <c r="MA58" i="7" s="1"/>
  <c r="MA59" i="7" s="1"/>
  <c r="LZ29" i="7"/>
  <c r="MA25" i="7" s="1"/>
  <c r="LZ37" i="7"/>
  <c r="MA33" i="7" s="1"/>
  <c r="MA34" i="7" s="1"/>
  <c r="MA35" i="7" s="1"/>
  <c r="LZ53" i="7"/>
  <c r="MA49" i="7" s="1"/>
  <c r="MA50" i="7" s="1"/>
  <c r="MA51" i="7" s="1"/>
  <c r="LY81" i="7" l="1"/>
  <c r="LY80" i="7"/>
  <c r="LY82" i="7"/>
  <c r="LY79" i="7"/>
  <c r="LY83" i="7"/>
  <c r="LY88" i="7" s="1"/>
  <c r="LY89" i="7" s="1"/>
  <c r="LZ46" i="7"/>
  <c r="LZ47" i="7" s="1"/>
  <c r="LZ30" i="7"/>
  <c r="LZ31" i="7" s="1"/>
  <c r="LZ73" i="7"/>
  <c r="LZ65" i="7"/>
  <c r="LW105" i="7"/>
  <c r="LW113" i="7" s="1"/>
  <c r="LW121" i="7" s="1"/>
  <c r="LW107" i="7"/>
  <c r="LW115" i="7" s="1"/>
  <c r="LW123" i="7" s="1"/>
  <c r="LW106" i="7"/>
  <c r="LW114" i="7" s="1"/>
  <c r="LW122" i="7" s="1"/>
  <c r="LW104" i="7"/>
  <c r="LW112" i="7" s="1"/>
  <c r="LW120" i="7" s="1"/>
  <c r="LW103" i="7"/>
  <c r="LW111" i="7" s="1"/>
  <c r="LW119" i="7" s="1"/>
  <c r="LZ54" i="7"/>
  <c r="LZ55" i="7" s="1"/>
  <c r="MA26" i="7"/>
  <c r="MA27" i="7" s="1"/>
  <c r="LZ38" i="7"/>
  <c r="LZ39" i="7" s="1"/>
  <c r="LZ68" i="7"/>
  <c r="LX108" i="7"/>
  <c r="LX116" i="7" s="1"/>
  <c r="LX102" i="7"/>
  <c r="LZ62" i="7"/>
  <c r="LZ63" i="7" s="1"/>
  <c r="LY85" i="7" l="1"/>
  <c r="LY98" i="7" s="1"/>
  <c r="LY90" i="7" s="1"/>
  <c r="LZ69" i="7"/>
  <c r="LZ70" i="7" s="1"/>
  <c r="MA36" i="7"/>
  <c r="MA60" i="7"/>
  <c r="MA44" i="7"/>
  <c r="MA28" i="7"/>
  <c r="MA52" i="7"/>
  <c r="LZ74" i="7"/>
  <c r="LX104" i="7"/>
  <c r="LX112" i="7" s="1"/>
  <c r="LX120" i="7" s="1"/>
  <c r="LX107" i="7"/>
  <c r="LX115" i="7" s="1"/>
  <c r="LX123" i="7" s="1"/>
  <c r="LX106" i="7"/>
  <c r="LX114" i="7" s="1"/>
  <c r="LX122" i="7" s="1"/>
  <c r="LX105" i="7"/>
  <c r="LX113" i="7" s="1"/>
  <c r="LX121" i="7" s="1"/>
  <c r="LX103" i="7"/>
  <c r="LX111" i="7" s="1"/>
  <c r="LX119" i="7" s="1"/>
  <c r="LY92" i="7" l="1"/>
  <c r="LY93" i="7" s="1"/>
  <c r="MA67" i="7"/>
  <c r="LZ77" i="7"/>
  <c r="LZ78" i="7" s="1"/>
  <c r="MA45" i="7"/>
  <c r="MB41" i="7" s="1"/>
  <c r="MB42" i="7" s="1"/>
  <c r="MB43" i="7" s="1"/>
  <c r="MA37" i="7"/>
  <c r="MB33" i="7" s="1"/>
  <c r="MB34" i="7" s="1"/>
  <c r="MB35" i="7" s="1"/>
  <c r="MA61" i="7"/>
  <c r="MB57" i="7" s="1"/>
  <c r="MB58" i="7" s="1"/>
  <c r="MB59" i="7" s="1"/>
  <c r="MA29" i="7"/>
  <c r="MB25" i="7" s="1"/>
  <c r="MA53" i="7"/>
  <c r="MB49" i="7" s="1"/>
  <c r="MB50" i="7" s="1"/>
  <c r="MB51" i="7" s="1"/>
  <c r="LZ75" i="7"/>
  <c r="LZ83" i="7" s="1"/>
  <c r="MA72" i="7"/>
  <c r="LY94" i="7" l="1"/>
  <c r="LY100" i="7"/>
  <c r="LY95" i="7"/>
  <c r="LY96" i="7"/>
  <c r="LZ79" i="7"/>
  <c r="LZ80" i="7"/>
  <c r="LZ82" i="7"/>
  <c r="LZ81" i="7"/>
  <c r="MA38" i="7"/>
  <c r="MA39" i="7" s="1"/>
  <c r="MA54" i="7"/>
  <c r="MA55" i="7" s="1"/>
  <c r="LZ88" i="7"/>
  <c r="LZ89" i="7" s="1"/>
  <c r="LZ85" i="7"/>
  <c r="LY108" i="7"/>
  <c r="LY116" i="7" s="1"/>
  <c r="LY102" i="7"/>
  <c r="MA30" i="7"/>
  <c r="MA31" i="7" s="1"/>
  <c r="MA62" i="7"/>
  <c r="MA68" i="7"/>
  <c r="MB26" i="7"/>
  <c r="MB27" i="7" s="1"/>
  <c r="MA65" i="7"/>
  <c r="MA46" i="7"/>
  <c r="MA47" i="7" s="1"/>
  <c r="MA73" i="7"/>
  <c r="MA69" i="7" l="1"/>
  <c r="MA74" i="7"/>
  <c r="MA75" i="7" s="1"/>
  <c r="LY106" i="7"/>
  <c r="LY114" i="7" s="1"/>
  <c r="LY122" i="7" s="1"/>
  <c r="LY105" i="7"/>
  <c r="LY113" i="7" s="1"/>
  <c r="LY121" i="7" s="1"/>
  <c r="LY107" i="7"/>
  <c r="LY115" i="7" s="1"/>
  <c r="LY123" i="7" s="1"/>
  <c r="LY104" i="7"/>
  <c r="LY112" i="7" s="1"/>
  <c r="LY120" i="7" s="1"/>
  <c r="LY103" i="7"/>
  <c r="LY111" i="7" s="1"/>
  <c r="LY119" i="7" s="1"/>
  <c r="MB67" i="7"/>
  <c r="MA70" i="7"/>
  <c r="MA63" i="7"/>
  <c r="LZ98" i="7"/>
  <c r="MB60" i="7"/>
  <c r="MB52" i="7"/>
  <c r="MB28" i="7"/>
  <c r="MB44" i="7"/>
  <c r="MB36" i="7"/>
  <c r="MA83" i="7" l="1"/>
  <c r="MA88" i="7" s="1"/>
  <c r="MA89" i="7" s="1"/>
  <c r="LZ92" i="7"/>
  <c r="LZ90" i="7"/>
  <c r="MB45" i="7"/>
  <c r="MC41" i="7" s="1"/>
  <c r="MC42" i="7" s="1"/>
  <c r="MC43" i="7" s="1"/>
  <c r="MB61" i="7"/>
  <c r="MC57" i="7" s="1"/>
  <c r="MC58" i="7" s="1"/>
  <c r="MC59" i="7" s="1"/>
  <c r="MB53" i="7"/>
  <c r="MC49" i="7" s="1"/>
  <c r="MC50" i="7" s="1"/>
  <c r="MC51" i="7" s="1"/>
  <c r="MB29" i="7"/>
  <c r="MC25" i="7" s="1"/>
  <c r="MB37" i="7"/>
  <c r="MC33" i="7" s="1"/>
  <c r="MC34" i="7" s="1"/>
  <c r="MC35" i="7" s="1"/>
  <c r="MA77" i="7"/>
  <c r="MB72" i="7"/>
  <c r="MB54" i="7" l="1"/>
  <c r="MB55" i="7" s="1"/>
  <c r="LZ93" i="7"/>
  <c r="LZ94" i="7"/>
  <c r="LZ95" i="7"/>
  <c r="LZ96" i="7"/>
  <c r="LZ100" i="7"/>
  <c r="MB65" i="7"/>
  <c r="MB73" i="7"/>
  <c r="MA80" i="7"/>
  <c r="MA79" i="7"/>
  <c r="MA81" i="7"/>
  <c r="MA82" i="7"/>
  <c r="MA78" i="7"/>
  <c r="MA85" i="7"/>
  <c r="MB46" i="7"/>
  <c r="MB47" i="7" s="1"/>
  <c r="MB68" i="7"/>
  <c r="MC26" i="7"/>
  <c r="MC27" i="7" s="1"/>
  <c r="MB62" i="7"/>
  <c r="MB30" i="7"/>
  <c r="MB31" i="7" s="1"/>
  <c r="MB38" i="7"/>
  <c r="MB39" i="7" s="1"/>
  <c r="MC44" i="7" l="1"/>
  <c r="MC36" i="7"/>
  <c r="MC28" i="7"/>
  <c r="MC60" i="7"/>
  <c r="MC52" i="7"/>
  <c r="MA98" i="7"/>
  <c r="MB74" i="7"/>
  <c r="LZ108" i="7"/>
  <c r="LZ116" i="7" s="1"/>
  <c r="LZ102" i="7"/>
  <c r="MB63" i="7"/>
  <c r="MB69" i="7"/>
  <c r="MC67" i="7" s="1"/>
  <c r="MA90" i="7" l="1"/>
  <c r="MA92" i="7"/>
  <c r="MB70" i="7"/>
  <c r="MB77" i="7"/>
  <c r="LZ103" i="7"/>
  <c r="LZ111" i="7" s="1"/>
  <c r="LZ119" i="7" s="1"/>
  <c r="LZ106" i="7"/>
  <c r="LZ114" i="7" s="1"/>
  <c r="LZ122" i="7" s="1"/>
  <c r="LZ104" i="7"/>
  <c r="LZ112" i="7" s="1"/>
  <c r="LZ120" i="7" s="1"/>
  <c r="LZ107" i="7"/>
  <c r="LZ115" i="7" s="1"/>
  <c r="LZ123" i="7" s="1"/>
  <c r="LZ105" i="7"/>
  <c r="LZ113" i="7" s="1"/>
  <c r="LZ121" i="7" s="1"/>
  <c r="MB75" i="7"/>
  <c r="MC72" i="7"/>
  <c r="MC53" i="7"/>
  <c r="MD49" i="7" s="1"/>
  <c r="MD50" i="7" s="1"/>
  <c r="MD51" i="7" s="1"/>
  <c r="MC37" i="7"/>
  <c r="MD33" i="7" s="1"/>
  <c r="MD34" i="7" s="1"/>
  <c r="MD35" i="7" s="1"/>
  <c r="MC61" i="7"/>
  <c r="MC45" i="7"/>
  <c r="MD41" i="7" s="1"/>
  <c r="MD42" i="7" s="1"/>
  <c r="MD43" i="7" s="1"/>
  <c r="MC29" i="7"/>
  <c r="MD25" i="7" s="1"/>
  <c r="MC30" i="7" l="1"/>
  <c r="MC31" i="7" s="1"/>
  <c r="MC54" i="7"/>
  <c r="MC55" i="7" s="1"/>
  <c r="MA94" i="7"/>
  <c r="MA95" i="7"/>
  <c r="MA93" i="7"/>
  <c r="MA96" i="7"/>
  <c r="MA100" i="7"/>
  <c r="MB80" i="7"/>
  <c r="MB82" i="7"/>
  <c r="MB78" i="7"/>
  <c r="MB79" i="7"/>
  <c r="MB81" i="7"/>
  <c r="MD57" i="7"/>
  <c r="MD58" i="7" s="1"/>
  <c r="MD59" i="7" s="1"/>
  <c r="MC62" i="7"/>
  <c r="MC63" i="7" s="1"/>
  <c r="MC73" i="7"/>
  <c r="MC38" i="7"/>
  <c r="MC39" i="7" s="1"/>
  <c r="MC68" i="7"/>
  <c r="MB83" i="7"/>
  <c r="MB88" i="7" s="1"/>
  <c r="MB89" i="7" s="1"/>
  <c r="MC46" i="7"/>
  <c r="MC47" i="7" s="1"/>
  <c r="MD26" i="7"/>
  <c r="MD27" i="7" s="1"/>
  <c r="MC65" i="7"/>
  <c r="MC69" i="7" l="1"/>
  <c r="MD67" i="7" s="1"/>
  <c r="MC74" i="7"/>
  <c r="MC75" i="7" s="1"/>
  <c r="MA108" i="7"/>
  <c r="MA116" i="7" s="1"/>
  <c r="MA102" i="7"/>
  <c r="MB85" i="7"/>
  <c r="MD44" i="7"/>
  <c r="MD60" i="7"/>
  <c r="MD52" i="7"/>
  <c r="MD28" i="7"/>
  <c r="MD36" i="7"/>
  <c r="MD53" i="7" l="1"/>
  <c r="ME49" i="7" s="1"/>
  <c r="ME50" i="7" s="1"/>
  <c r="ME51" i="7" s="1"/>
  <c r="MD37" i="7"/>
  <c r="ME33" i="7" s="1"/>
  <c r="ME34" i="7" s="1"/>
  <c r="ME35" i="7" s="1"/>
  <c r="MC70" i="7"/>
  <c r="MC83" i="7" s="1"/>
  <c r="MC88" i="7" s="1"/>
  <c r="MC89" i="7" s="1"/>
  <c r="MC77" i="7"/>
  <c r="MB98" i="7"/>
  <c r="MD45" i="7"/>
  <c r="ME41" i="7" s="1"/>
  <c r="ME42" i="7" s="1"/>
  <c r="ME43" i="7" s="1"/>
  <c r="MD61" i="7"/>
  <c r="ME57" i="7" s="1"/>
  <c r="ME58" i="7" s="1"/>
  <c r="ME59" i="7" s="1"/>
  <c r="MD29" i="7"/>
  <c r="ME25" i="7" s="1"/>
  <c r="MA106" i="7"/>
  <c r="MA114" i="7" s="1"/>
  <c r="MA122" i="7" s="1"/>
  <c r="MA107" i="7"/>
  <c r="MA115" i="7" s="1"/>
  <c r="MA123" i="7" s="1"/>
  <c r="MA104" i="7"/>
  <c r="MA112" i="7" s="1"/>
  <c r="MA120" i="7" s="1"/>
  <c r="MA103" i="7"/>
  <c r="MA111" i="7" s="1"/>
  <c r="MA119" i="7" s="1"/>
  <c r="MA105" i="7"/>
  <c r="MA113" i="7" s="1"/>
  <c r="MA121" i="7" s="1"/>
  <c r="MD72" i="7"/>
  <c r="MD62" i="7" l="1"/>
  <c r="MD63" i="7" s="1"/>
  <c r="MD30" i="7"/>
  <c r="MD31" i="7" s="1"/>
  <c r="MD46" i="7"/>
  <c r="MD47" i="7" s="1"/>
  <c r="MD65" i="7"/>
  <c r="MD38" i="7"/>
  <c r="MD39" i="7" s="1"/>
  <c r="MD73" i="7"/>
  <c r="ME26" i="7"/>
  <c r="ME27" i="7" s="1"/>
  <c r="MC81" i="7"/>
  <c r="MC82" i="7"/>
  <c r="MC79" i="7"/>
  <c r="MC78" i="7"/>
  <c r="MC80" i="7"/>
  <c r="MC85" i="7"/>
  <c r="MD54" i="7"/>
  <c r="MD55" i="7" s="1"/>
  <c r="MB90" i="7"/>
  <c r="MB92" i="7"/>
  <c r="MD68" i="7"/>
  <c r="MD74" i="7" l="1"/>
  <c r="MD75" i="7" s="1"/>
  <c r="MD69" i="7"/>
  <c r="MC98" i="7"/>
  <c r="ME52" i="7"/>
  <c r="ME28" i="7"/>
  <c r="ME60" i="7"/>
  <c r="ME36" i="7"/>
  <c r="ME44" i="7"/>
  <c r="MB94" i="7"/>
  <c r="MB93" i="7"/>
  <c r="MB95" i="7"/>
  <c r="MB96" i="7"/>
  <c r="MB100" i="7"/>
  <c r="ME72" i="7" l="1"/>
  <c r="ME61" i="7"/>
  <c r="MF57" i="7" s="1"/>
  <c r="MF58" i="7" s="1"/>
  <c r="ME45" i="7"/>
  <c r="MF41" i="7" s="1"/>
  <c r="MF42" i="7" s="1"/>
  <c r="MF43" i="7" s="1"/>
  <c r="ME37" i="7"/>
  <c r="MF33" i="7" s="1"/>
  <c r="MF34" i="7" s="1"/>
  <c r="MF35" i="7" s="1"/>
  <c r="ME53" i="7"/>
  <c r="MF49" i="7" s="1"/>
  <c r="MF50" i="7" s="1"/>
  <c r="MF51" i="7" s="1"/>
  <c r="ME29" i="7"/>
  <c r="MF25" i="7" s="1"/>
  <c r="ME67" i="7"/>
  <c r="MD70" i="7"/>
  <c r="MD83" i="7" s="1"/>
  <c r="MD88" i="7" s="1"/>
  <c r="MD89" i="7" s="1"/>
  <c r="MD77" i="7"/>
  <c r="MC90" i="7"/>
  <c r="MC92" i="7"/>
  <c r="MB102" i="7"/>
  <c r="MB108" i="7"/>
  <c r="MB116" i="7" s="1"/>
  <c r="MF59" i="7"/>
  <c r="MD80" i="7" l="1"/>
  <c r="MD81" i="7"/>
  <c r="MD78" i="7"/>
  <c r="MD79" i="7"/>
  <c r="MD82" i="7"/>
  <c r="MD85" i="7"/>
  <c r="MB104" i="7"/>
  <c r="MB112" i="7" s="1"/>
  <c r="MB120" i="7" s="1"/>
  <c r="MB106" i="7"/>
  <c r="MB114" i="7" s="1"/>
  <c r="MB122" i="7" s="1"/>
  <c r="MB103" i="7"/>
  <c r="MB111" i="7" s="1"/>
  <c r="MB119" i="7" s="1"/>
  <c r="MB105" i="7"/>
  <c r="MB113" i="7" s="1"/>
  <c r="MB121" i="7" s="1"/>
  <c r="MB107" i="7"/>
  <c r="MB115" i="7" s="1"/>
  <c r="MB123" i="7" s="1"/>
  <c r="ME73" i="7"/>
  <c r="MC93" i="7"/>
  <c r="MC96" i="7"/>
  <c r="MC94" i="7"/>
  <c r="MC95" i="7"/>
  <c r="MC100" i="7"/>
  <c r="ME46" i="7"/>
  <c r="ME47" i="7" s="1"/>
  <c r="ME54" i="7"/>
  <c r="ME55" i="7" s="1"/>
  <c r="ME30" i="7"/>
  <c r="ME31" i="7" s="1"/>
  <c r="ME68" i="7"/>
  <c r="ME69" i="7" s="1"/>
  <c r="ME62" i="7"/>
  <c r="ME63" i="7" s="1"/>
  <c r="ME38" i="7"/>
  <c r="ME39" i="7" s="1"/>
  <c r="MF26" i="7"/>
  <c r="MF27" i="7" s="1"/>
  <c r="ME65" i="7"/>
  <c r="ME70" i="7" l="1"/>
  <c r="MF60" i="7"/>
  <c r="MF28" i="7"/>
  <c r="MF44" i="7"/>
  <c r="MF52" i="7"/>
  <c r="MF36" i="7"/>
  <c r="MC102" i="7"/>
  <c r="MC108" i="7"/>
  <c r="MC116" i="7" s="1"/>
  <c r="MF67" i="7"/>
  <c r="ME74" i="7"/>
  <c r="ME75" i="7" s="1"/>
  <c r="MD98" i="7"/>
  <c r="MF72" i="7" l="1"/>
  <c r="MD90" i="7"/>
  <c r="MD92" i="7"/>
  <c r="ME77" i="7"/>
  <c r="MF29" i="7"/>
  <c r="MG25" i="7" s="1"/>
  <c r="MF53" i="7"/>
  <c r="MG49" i="7" s="1"/>
  <c r="MG50" i="7" s="1"/>
  <c r="MG51" i="7" s="1"/>
  <c r="MF61" i="7"/>
  <c r="MG57" i="7" s="1"/>
  <c r="MG58" i="7" s="1"/>
  <c r="MG59" i="7" s="1"/>
  <c r="MF45" i="7"/>
  <c r="MG41" i="7" s="1"/>
  <c r="MG42" i="7" s="1"/>
  <c r="MG43" i="7" s="1"/>
  <c r="MF37" i="7"/>
  <c r="MG33" i="7" s="1"/>
  <c r="MG34" i="7" s="1"/>
  <c r="MG35" i="7" s="1"/>
  <c r="MC107" i="7"/>
  <c r="MC115" i="7" s="1"/>
  <c r="MC123" i="7" s="1"/>
  <c r="MC105" i="7"/>
  <c r="MC113" i="7" s="1"/>
  <c r="MC121" i="7" s="1"/>
  <c r="MC103" i="7"/>
  <c r="MC111" i="7" s="1"/>
  <c r="MC119" i="7" s="1"/>
  <c r="MC104" i="7"/>
  <c r="MC112" i="7" s="1"/>
  <c r="MC120" i="7" s="1"/>
  <c r="MC106" i="7"/>
  <c r="MC114" i="7" s="1"/>
  <c r="MC122" i="7" s="1"/>
  <c r="ME83" i="7"/>
  <c r="ME88" i="7" s="1"/>
  <c r="ME89" i="7" s="1"/>
  <c r="MF54" i="7" l="1"/>
  <c r="MF55" i="7" s="1"/>
  <c r="MF30" i="7"/>
  <c r="MF31" i="7" s="1"/>
  <c r="MF62" i="7"/>
  <c r="MF63" i="7" s="1"/>
  <c r="MF65" i="7"/>
  <c r="MG26" i="7"/>
  <c r="MG27" i="7" s="1"/>
  <c r="MF68" i="7"/>
  <c r="MF38" i="7"/>
  <c r="MF39" i="7" s="1"/>
  <c r="MF46" i="7"/>
  <c r="MF47" i="7" s="1"/>
  <c r="MD96" i="7"/>
  <c r="MD93" i="7"/>
  <c r="MD94" i="7"/>
  <c r="MD95" i="7"/>
  <c r="MD100" i="7"/>
  <c r="ME81" i="7"/>
  <c r="ME82" i="7"/>
  <c r="ME80" i="7"/>
  <c r="ME78" i="7"/>
  <c r="ME79" i="7"/>
  <c r="ME85" i="7"/>
  <c r="MF73" i="7"/>
  <c r="MF69" i="7" l="1"/>
  <c r="MG67" i="7" s="1"/>
  <c r="MD102" i="7"/>
  <c r="MD108" i="7"/>
  <c r="MD116" i="7" s="1"/>
  <c r="MG44" i="7"/>
  <c r="MG28" i="7"/>
  <c r="MG60" i="7"/>
  <c r="MG52" i="7"/>
  <c r="MG36" i="7"/>
  <c r="MF74" i="7"/>
  <c r="MF75" i="7" s="1"/>
  <c r="ME98" i="7"/>
  <c r="MF70" i="7" l="1"/>
  <c r="MF83" i="7" s="1"/>
  <c r="MF88" i="7" s="1"/>
  <c r="MF89" i="7" s="1"/>
  <c r="ME92" i="7"/>
  <c r="ME90" i="7"/>
  <c r="MG61" i="7"/>
  <c r="MH57" i="7" s="1"/>
  <c r="MH58" i="7" s="1"/>
  <c r="MH59" i="7" s="1"/>
  <c r="MG45" i="7"/>
  <c r="MH41" i="7" s="1"/>
  <c r="MH42" i="7" s="1"/>
  <c r="MH43" i="7" s="1"/>
  <c r="MG53" i="7"/>
  <c r="MH49" i="7" s="1"/>
  <c r="MH50" i="7" s="1"/>
  <c r="MH51" i="7" s="1"/>
  <c r="MG37" i="7"/>
  <c r="MH33" i="7" s="1"/>
  <c r="MH34" i="7" s="1"/>
  <c r="MH35" i="7" s="1"/>
  <c r="MG29" i="7"/>
  <c r="MH25" i="7" s="1"/>
  <c r="MF77" i="7"/>
  <c r="MG72" i="7"/>
  <c r="MD103" i="7"/>
  <c r="MD111" i="7" s="1"/>
  <c r="MD119" i="7" s="1"/>
  <c r="MD104" i="7"/>
  <c r="MD112" i="7" s="1"/>
  <c r="MD120" i="7" s="1"/>
  <c r="MD107" i="7"/>
  <c r="MD115" i="7" s="1"/>
  <c r="MD123" i="7" s="1"/>
  <c r="MD105" i="7"/>
  <c r="MD113" i="7" s="1"/>
  <c r="MD121" i="7" s="1"/>
  <c r="MD106" i="7"/>
  <c r="MD114" i="7" s="1"/>
  <c r="MD122" i="7" s="1"/>
  <c r="MG38" i="7" l="1"/>
  <c r="MG39" i="7" s="1"/>
  <c r="MG65" i="7"/>
  <c r="MH26" i="7"/>
  <c r="MH27" i="7" s="1"/>
  <c r="ME93" i="7"/>
  <c r="ME96" i="7"/>
  <c r="ME95" i="7"/>
  <c r="ME94" i="7"/>
  <c r="ME100" i="7"/>
  <c r="MG54" i="7"/>
  <c r="MG55" i="7" s="1"/>
  <c r="MG46" i="7"/>
  <c r="MG47" i="7" s="1"/>
  <c r="MF80" i="7"/>
  <c r="MF79" i="7"/>
  <c r="MF78" i="7"/>
  <c r="MF82" i="7"/>
  <c r="MF81" i="7"/>
  <c r="MF85" i="7"/>
  <c r="MG30" i="7"/>
  <c r="MG31" i="7" s="1"/>
  <c r="MG68" i="7"/>
  <c r="MG62" i="7"/>
  <c r="MG63" i="7" s="1"/>
  <c r="MG73" i="7"/>
  <c r="MG74" i="7" l="1"/>
  <c r="MG75" i="7" s="1"/>
  <c r="MH60" i="7"/>
  <c r="MH44" i="7"/>
  <c r="MH36" i="7"/>
  <c r="MH28" i="7"/>
  <c r="MH52" i="7"/>
  <c r="MG69" i="7"/>
  <c r="MF98" i="7"/>
  <c r="ME102" i="7"/>
  <c r="ME108" i="7"/>
  <c r="ME116" i="7" s="1"/>
  <c r="MH72" i="7" l="1"/>
  <c r="MG70" i="7"/>
  <c r="MG83" i="7" s="1"/>
  <c r="MG88" i="7" s="1"/>
  <c r="MG89" i="7" s="1"/>
  <c r="MG77" i="7"/>
  <c r="MF92" i="7"/>
  <c r="MF90" i="7"/>
  <c r="ME105" i="7"/>
  <c r="ME113" i="7" s="1"/>
  <c r="ME121" i="7" s="1"/>
  <c r="ME104" i="7"/>
  <c r="ME112" i="7" s="1"/>
  <c r="ME120" i="7" s="1"/>
  <c r="ME106" i="7"/>
  <c r="ME114" i="7" s="1"/>
  <c r="ME122" i="7" s="1"/>
  <c r="ME107" i="7"/>
  <c r="ME115" i="7" s="1"/>
  <c r="ME123" i="7" s="1"/>
  <c r="ME103" i="7"/>
  <c r="ME111" i="7" s="1"/>
  <c r="ME119" i="7" s="1"/>
  <c r="MH53" i="7"/>
  <c r="MI49" i="7" s="1"/>
  <c r="MI50" i="7" s="1"/>
  <c r="MI51" i="7" s="1"/>
  <c r="MH45" i="7"/>
  <c r="MI41" i="7" s="1"/>
  <c r="MI42" i="7" s="1"/>
  <c r="MI43" i="7" s="1"/>
  <c r="MH29" i="7"/>
  <c r="MI25" i="7" s="1"/>
  <c r="MH61" i="7"/>
  <c r="MI57" i="7" s="1"/>
  <c r="MI58" i="7" s="1"/>
  <c r="MI59" i="7" s="1"/>
  <c r="MH37" i="7"/>
  <c r="MI33" i="7" s="1"/>
  <c r="MI34" i="7" s="1"/>
  <c r="MI35" i="7" s="1"/>
  <c r="MH67" i="7"/>
  <c r="MH38" i="7" l="1"/>
  <c r="MH39" i="7" s="1"/>
  <c r="MH73" i="7"/>
  <c r="MH54" i="7"/>
  <c r="MH55" i="7" s="1"/>
  <c r="MH30" i="7"/>
  <c r="MH31" i="7" s="1"/>
  <c r="MF94" i="7"/>
  <c r="MF95" i="7"/>
  <c r="MF96" i="7"/>
  <c r="MF93" i="7"/>
  <c r="MF100" i="7"/>
  <c r="MH62" i="7"/>
  <c r="MH46" i="7"/>
  <c r="MH47" i="7" s="1"/>
  <c r="MH65" i="7"/>
  <c r="MG78" i="7"/>
  <c r="MG80" i="7"/>
  <c r="MG82" i="7"/>
  <c r="MG81" i="7"/>
  <c r="MG79" i="7"/>
  <c r="MG85" i="7"/>
  <c r="MI26" i="7"/>
  <c r="MI27" i="7" s="1"/>
  <c r="MH68" i="7"/>
  <c r="MH69" i="7" l="1"/>
  <c r="MI67" i="7" s="1"/>
  <c r="MH63" i="7"/>
  <c r="MG98" i="7"/>
  <c r="MH74" i="7"/>
  <c r="MH75" i="7" s="1"/>
  <c r="MI44" i="7"/>
  <c r="MI36" i="7"/>
  <c r="MI60" i="7"/>
  <c r="MI52" i="7"/>
  <c r="MI28" i="7"/>
  <c r="MF108" i="7"/>
  <c r="MF116" i="7" s="1"/>
  <c r="MF102" i="7"/>
  <c r="MH70" i="7" l="1"/>
  <c r="MH83" i="7" s="1"/>
  <c r="MH88" i="7" s="1"/>
  <c r="MH89" i="7" s="1"/>
  <c r="MI72" i="7"/>
  <c r="MH77" i="7"/>
  <c r="MH81" i="7" s="1"/>
  <c r="MI61" i="7"/>
  <c r="MI37" i="7"/>
  <c r="MJ33" i="7" s="1"/>
  <c r="MJ34" i="7" s="1"/>
  <c r="MJ35" i="7" s="1"/>
  <c r="MI29" i="7"/>
  <c r="MJ25" i="7" s="1"/>
  <c r="MI53" i="7"/>
  <c r="MJ49" i="7" s="1"/>
  <c r="MJ50" i="7" s="1"/>
  <c r="MJ51" i="7" s="1"/>
  <c r="MI45" i="7"/>
  <c r="MJ41" i="7" s="1"/>
  <c r="MJ42" i="7" s="1"/>
  <c r="MJ43" i="7" s="1"/>
  <c r="MG90" i="7"/>
  <c r="MG92" i="7"/>
  <c r="MF105" i="7"/>
  <c r="MF113" i="7" s="1"/>
  <c r="MF121" i="7" s="1"/>
  <c r="MF106" i="7"/>
  <c r="MF114" i="7" s="1"/>
  <c r="MF122" i="7" s="1"/>
  <c r="MF107" i="7"/>
  <c r="MF115" i="7" s="1"/>
  <c r="MF123" i="7" s="1"/>
  <c r="MF103" i="7"/>
  <c r="MF111" i="7" s="1"/>
  <c r="MF119" i="7" s="1"/>
  <c r="MF104" i="7"/>
  <c r="MF112" i="7" s="1"/>
  <c r="MF120" i="7" s="1"/>
  <c r="MH78" i="7" l="1"/>
  <c r="MH79" i="7"/>
  <c r="MH80" i="7"/>
  <c r="MH82" i="7"/>
  <c r="MI46" i="7"/>
  <c r="MI47" i="7" s="1"/>
  <c r="MI30" i="7"/>
  <c r="MI31" i="7" s="1"/>
  <c r="MH85" i="7"/>
  <c r="MH98" i="7" s="1"/>
  <c r="MG96" i="7"/>
  <c r="MG93" i="7"/>
  <c r="MG94" i="7"/>
  <c r="MG95" i="7"/>
  <c r="MG100" i="7"/>
  <c r="MJ57" i="7"/>
  <c r="MJ58" i="7" s="1"/>
  <c r="MJ59" i="7" s="1"/>
  <c r="MI62" i="7"/>
  <c r="MI65" i="7"/>
  <c r="MI68" i="7"/>
  <c r="MI73" i="7"/>
  <c r="MI38" i="7"/>
  <c r="MI39" i="7" s="1"/>
  <c r="MI54" i="7"/>
  <c r="MI55" i="7" s="1"/>
  <c r="MJ26" i="7"/>
  <c r="MJ27" i="7" s="1"/>
  <c r="MI69" i="7" l="1"/>
  <c r="MH92" i="7"/>
  <c r="MH90" i="7"/>
  <c r="MI63" i="7"/>
  <c r="MG108" i="7"/>
  <c r="MG116" i="7" s="1"/>
  <c r="MG102" i="7"/>
  <c r="MJ52" i="7"/>
  <c r="MJ28" i="7"/>
  <c r="MJ36" i="7"/>
  <c r="MJ44" i="7"/>
  <c r="MJ60" i="7"/>
  <c r="MI74" i="7"/>
  <c r="MI75" i="7" s="1"/>
  <c r="MJ67" i="7"/>
  <c r="MI70" i="7"/>
  <c r="MJ72" i="7" l="1"/>
  <c r="MI77" i="7"/>
  <c r="MI79" i="7" s="1"/>
  <c r="MJ37" i="7"/>
  <c r="MK33" i="7" s="1"/>
  <c r="MK34" i="7" s="1"/>
  <c r="MK35" i="7" s="1"/>
  <c r="MJ61" i="7"/>
  <c r="MK57" i="7" s="1"/>
  <c r="MK58" i="7" s="1"/>
  <c r="MK59" i="7" s="1"/>
  <c r="MJ45" i="7"/>
  <c r="MK41" i="7" s="1"/>
  <c r="MK42" i="7" s="1"/>
  <c r="MK43" i="7" s="1"/>
  <c r="MH96" i="7"/>
  <c r="MH94" i="7"/>
  <c r="MH95" i="7"/>
  <c r="MH100" i="7"/>
  <c r="MH93" i="7"/>
  <c r="MG106" i="7"/>
  <c r="MG114" i="7" s="1"/>
  <c r="MG122" i="7" s="1"/>
  <c r="MG103" i="7"/>
  <c r="MG111" i="7" s="1"/>
  <c r="MG119" i="7" s="1"/>
  <c r="MG105" i="7"/>
  <c r="MG113" i="7" s="1"/>
  <c r="MG121" i="7" s="1"/>
  <c r="MG104" i="7"/>
  <c r="MG112" i="7" s="1"/>
  <c r="MG120" i="7" s="1"/>
  <c r="MG107" i="7"/>
  <c r="MG115" i="7" s="1"/>
  <c r="MG123" i="7" s="1"/>
  <c r="MI83" i="7"/>
  <c r="MJ53" i="7"/>
  <c r="MK49" i="7" s="1"/>
  <c r="MK50" i="7" s="1"/>
  <c r="MK51" i="7" s="1"/>
  <c r="MJ29" i="7"/>
  <c r="MK25" i="7" s="1"/>
  <c r="MI81" i="7" l="1"/>
  <c r="MI80" i="7"/>
  <c r="MJ30" i="7"/>
  <c r="MJ31" i="7" s="1"/>
  <c r="MI78" i="7"/>
  <c r="MJ68" i="7"/>
  <c r="MI82" i="7"/>
  <c r="MJ73" i="7"/>
  <c r="MJ62" i="7"/>
  <c r="MJ63" i="7" s="1"/>
  <c r="MJ54" i="7"/>
  <c r="MJ55" i="7" s="1"/>
  <c r="MJ38" i="7"/>
  <c r="MJ39" i="7" s="1"/>
  <c r="MJ46" i="7"/>
  <c r="MJ47" i="7" s="1"/>
  <c r="MH108" i="7"/>
  <c r="MH116" i="7" s="1"/>
  <c r="MH102" i="7"/>
  <c r="MJ65" i="7"/>
  <c r="MI88" i="7"/>
  <c r="MI89" i="7" s="1"/>
  <c r="MI85" i="7"/>
  <c r="MK26" i="7"/>
  <c r="MK27" i="7" s="1"/>
  <c r="MI98" i="7" l="1"/>
  <c r="MI92" i="7" s="1"/>
  <c r="MH107" i="7"/>
  <c r="MH115" i="7" s="1"/>
  <c r="MH123" i="7" s="1"/>
  <c r="MH104" i="7"/>
  <c r="MH112" i="7" s="1"/>
  <c r="MH120" i="7" s="1"/>
  <c r="MH103" i="7"/>
  <c r="MH111" i="7" s="1"/>
  <c r="MH119" i="7" s="1"/>
  <c r="MH106" i="7"/>
  <c r="MH114" i="7" s="1"/>
  <c r="MH122" i="7" s="1"/>
  <c r="MH105" i="7"/>
  <c r="MH113" i="7" s="1"/>
  <c r="MH121" i="7" s="1"/>
  <c r="MK44" i="7"/>
  <c r="MK36" i="7"/>
  <c r="MK52" i="7"/>
  <c r="MK28" i="7"/>
  <c r="MK60" i="7"/>
  <c r="MJ74" i="7"/>
  <c r="MJ69" i="7"/>
  <c r="MI90" i="7" l="1"/>
  <c r="MJ70" i="7"/>
  <c r="MJ77" i="7"/>
  <c r="MK67" i="7"/>
  <c r="MK53" i="7"/>
  <c r="ML49" i="7" s="1"/>
  <c r="ML50" i="7" s="1"/>
  <c r="ML51" i="7" s="1"/>
  <c r="MK29" i="7"/>
  <c r="ML25" i="7" s="1"/>
  <c r="MK61" i="7"/>
  <c r="ML57" i="7" s="1"/>
  <c r="ML58" i="7" s="1"/>
  <c r="ML59" i="7" s="1"/>
  <c r="MK37" i="7"/>
  <c r="ML33" i="7" s="1"/>
  <c r="ML34" i="7" s="1"/>
  <c r="ML35" i="7" s="1"/>
  <c r="MK45" i="7"/>
  <c r="ML41" i="7" s="1"/>
  <c r="ML42" i="7" s="1"/>
  <c r="ML43" i="7" s="1"/>
  <c r="MJ75" i="7"/>
  <c r="MK72" i="7"/>
  <c r="MI100" i="7"/>
  <c r="MI93" i="7"/>
  <c r="MI94" i="7"/>
  <c r="MI96" i="7"/>
  <c r="MI95" i="7"/>
  <c r="MK30" i="7" l="1"/>
  <c r="MK31" i="7" s="1"/>
  <c r="MK54" i="7"/>
  <c r="MK55" i="7" s="1"/>
  <c r="MK38" i="7"/>
  <c r="MK39" i="7" s="1"/>
  <c r="MJ83" i="7"/>
  <c r="MJ88" i="7" s="1"/>
  <c r="MJ89" i="7" s="1"/>
  <c r="MK65" i="7"/>
  <c r="MK73" i="7"/>
  <c r="MJ80" i="7"/>
  <c r="MJ78" i="7"/>
  <c r="MJ81" i="7"/>
  <c r="MJ79" i="7"/>
  <c r="MJ82" i="7"/>
  <c r="MI102" i="7"/>
  <c r="MI108" i="7"/>
  <c r="MI116" i="7" s="1"/>
  <c r="ML26" i="7"/>
  <c r="ML27" i="7" s="1"/>
  <c r="MK46" i="7"/>
  <c r="MK47" i="7" s="1"/>
  <c r="MK68" i="7"/>
  <c r="MK62" i="7"/>
  <c r="MK69" i="7" l="1"/>
  <c r="ML67" i="7" s="1"/>
  <c r="MJ85" i="7"/>
  <c r="MJ98" i="7" s="1"/>
  <c r="MK74" i="7"/>
  <c r="MK75" i="7" s="1"/>
  <c r="MI106" i="7"/>
  <c r="MI114" i="7" s="1"/>
  <c r="MI122" i="7" s="1"/>
  <c r="MI107" i="7"/>
  <c r="MI115" i="7" s="1"/>
  <c r="MI123" i="7" s="1"/>
  <c r="MI104" i="7"/>
  <c r="MI112" i="7" s="1"/>
  <c r="MI120" i="7" s="1"/>
  <c r="MI105" i="7"/>
  <c r="MI113" i="7" s="1"/>
  <c r="MI121" i="7" s="1"/>
  <c r="MI103" i="7"/>
  <c r="MI111" i="7" s="1"/>
  <c r="MI119" i="7" s="1"/>
  <c r="MK63" i="7"/>
  <c r="ML36" i="7"/>
  <c r="ML52" i="7"/>
  <c r="ML28" i="7"/>
  <c r="ML60" i="7"/>
  <c r="ML44" i="7"/>
  <c r="MK70" i="7" l="1"/>
  <c r="MK83" i="7" s="1"/>
  <c r="MK88" i="7" s="1"/>
  <c r="MK89" i="7" s="1"/>
  <c r="MK77" i="7"/>
  <c r="MK81" i="7" s="1"/>
  <c r="ML72" i="7"/>
  <c r="ML29" i="7"/>
  <c r="MM25" i="7" s="1"/>
  <c r="ML45" i="7"/>
  <c r="MM41" i="7" s="1"/>
  <c r="MM42" i="7" s="1"/>
  <c r="MM43" i="7" s="1"/>
  <c r="ML37" i="7"/>
  <c r="MM33" i="7" s="1"/>
  <c r="MM34" i="7" s="1"/>
  <c r="MM35" i="7" s="1"/>
  <c r="ML53" i="7"/>
  <c r="MM49" i="7" s="1"/>
  <c r="MM50" i="7" s="1"/>
  <c r="MM51" i="7" s="1"/>
  <c r="ML61" i="7"/>
  <c r="MM57" i="7" s="1"/>
  <c r="MM58" i="7" s="1"/>
  <c r="MM59" i="7" s="1"/>
  <c r="MJ92" i="7"/>
  <c r="MJ90" i="7"/>
  <c r="MK78" i="7" l="1"/>
  <c r="MK80" i="7"/>
  <c r="MK85" i="7"/>
  <c r="MK98" i="7" s="1"/>
  <c r="MK92" i="7" s="1"/>
  <c r="MK82" i="7"/>
  <c r="MK79" i="7"/>
  <c r="ML65" i="7"/>
  <c r="ML38" i="7"/>
  <c r="ML39" i="7" s="1"/>
  <c r="ML68" i="7"/>
  <c r="ML46" i="7"/>
  <c r="ML47" i="7" s="1"/>
  <c r="MM26" i="7"/>
  <c r="MM27" i="7" s="1"/>
  <c r="MJ93" i="7"/>
  <c r="MJ96" i="7"/>
  <c r="MJ95" i="7"/>
  <c r="MJ94" i="7"/>
  <c r="MJ100" i="7"/>
  <c r="ML30" i="7"/>
  <c r="ML31" i="7" s="1"/>
  <c r="ML73" i="7"/>
  <c r="ML62" i="7"/>
  <c r="ML54" i="7"/>
  <c r="ML55" i="7" s="1"/>
  <c r="MK90" i="7" l="1"/>
  <c r="ML69" i="7"/>
  <c r="MM67" i="7" s="1"/>
  <c r="ML63" i="7"/>
  <c r="MM36" i="7"/>
  <c r="MM52" i="7"/>
  <c r="MM28" i="7"/>
  <c r="MM60" i="7"/>
  <c r="MM44" i="7"/>
  <c r="MJ108" i="7"/>
  <c r="MJ116" i="7" s="1"/>
  <c r="MJ102" i="7"/>
  <c r="ML74" i="7"/>
  <c r="ML75" i="7" s="1"/>
  <c r="MK93" i="7"/>
  <c r="MK94" i="7"/>
  <c r="MK95" i="7"/>
  <c r="MK96" i="7"/>
  <c r="MK100" i="7"/>
  <c r="ML70" i="7" l="1"/>
  <c r="ML83" i="7" s="1"/>
  <c r="ML88" i="7" s="1"/>
  <c r="ML89" i="7" s="1"/>
  <c r="ML77" i="7"/>
  <c r="ML79" i="7" s="1"/>
  <c r="MM72" i="7"/>
  <c r="MM37" i="7"/>
  <c r="MN33" i="7" s="1"/>
  <c r="MN34" i="7" s="1"/>
  <c r="MN35" i="7" s="1"/>
  <c r="MM53" i="7"/>
  <c r="MN49" i="7" s="1"/>
  <c r="MN50" i="7" s="1"/>
  <c r="MN51" i="7" s="1"/>
  <c r="MM29" i="7"/>
  <c r="MN25" i="7" s="1"/>
  <c r="MM45" i="7"/>
  <c r="MN41" i="7" s="1"/>
  <c r="MN42" i="7" s="1"/>
  <c r="MN43" i="7" s="1"/>
  <c r="MM61" i="7"/>
  <c r="MN57" i="7" s="1"/>
  <c r="MN58" i="7" s="1"/>
  <c r="MN59" i="7" s="1"/>
  <c r="MJ104" i="7"/>
  <c r="MJ112" i="7" s="1"/>
  <c r="MJ120" i="7" s="1"/>
  <c r="MJ107" i="7"/>
  <c r="MJ115" i="7" s="1"/>
  <c r="MJ123" i="7" s="1"/>
  <c r="MJ105" i="7"/>
  <c r="MJ113" i="7" s="1"/>
  <c r="MJ121" i="7" s="1"/>
  <c r="MJ103" i="7"/>
  <c r="MJ111" i="7" s="1"/>
  <c r="MJ119" i="7" s="1"/>
  <c r="MJ106" i="7"/>
  <c r="MJ114" i="7" s="1"/>
  <c r="MJ122" i="7" s="1"/>
  <c r="MK102" i="7"/>
  <c r="MK108" i="7"/>
  <c r="MK116" i="7" s="1"/>
  <c r="ML80" i="7" l="1"/>
  <c r="ML82" i="7"/>
  <c r="ML78" i="7"/>
  <c r="ML81" i="7"/>
  <c r="ML85" i="7"/>
  <c r="ML98" i="7" s="1"/>
  <c r="MM62" i="7"/>
  <c r="MM63" i="7" s="1"/>
  <c r="MM46" i="7"/>
  <c r="MM47" i="7" s="1"/>
  <c r="MM68" i="7"/>
  <c r="MM65" i="7"/>
  <c r="MM54" i="7"/>
  <c r="MM55" i="7" s="1"/>
  <c r="MM73" i="7"/>
  <c r="MM30" i="7"/>
  <c r="MM31" i="7" s="1"/>
  <c r="MK105" i="7"/>
  <c r="MK113" i="7" s="1"/>
  <c r="MK121" i="7" s="1"/>
  <c r="MK103" i="7"/>
  <c r="MK111" i="7" s="1"/>
  <c r="MK119" i="7" s="1"/>
  <c r="MK107" i="7"/>
  <c r="MK115" i="7" s="1"/>
  <c r="MK123" i="7" s="1"/>
  <c r="MK104" i="7"/>
  <c r="MK112" i="7" s="1"/>
  <c r="MK120" i="7" s="1"/>
  <c r="MK106" i="7"/>
  <c r="MK114" i="7" s="1"/>
  <c r="MK122" i="7" s="1"/>
  <c r="MN26" i="7"/>
  <c r="MN27" i="7" s="1"/>
  <c r="MM38" i="7"/>
  <c r="MM39" i="7" s="1"/>
  <c r="MM69" i="7" l="1"/>
  <c r="MN67" i="7" s="1"/>
  <c r="MM74" i="7"/>
  <c r="MM75" i="7" s="1"/>
  <c r="MN28" i="7"/>
  <c r="MN60" i="7"/>
  <c r="MN44" i="7"/>
  <c r="MN36" i="7"/>
  <c r="MN52" i="7"/>
  <c r="ML92" i="7"/>
  <c r="ML90" i="7"/>
  <c r="MM70" i="7" l="1"/>
  <c r="MM83" i="7" s="1"/>
  <c r="MM77" i="7"/>
  <c r="MM78" i="7" s="1"/>
  <c r="MN72" i="7"/>
  <c r="ML96" i="7"/>
  <c r="ML94" i="7"/>
  <c r="ML95" i="7"/>
  <c r="ML93" i="7"/>
  <c r="ML100" i="7"/>
  <c r="MN53" i="7"/>
  <c r="MO49" i="7" s="1"/>
  <c r="MO50" i="7" s="1"/>
  <c r="MO51" i="7" s="1"/>
  <c r="MN29" i="7"/>
  <c r="MO25" i="7" s="1"/>
  <c r="MN61" i="7"/>
  <c r="MO57" i="7" s="1"/>
  <c r="MO58" i="7" s="1"/>
  <c r="MO59" i="7" s="1"/>
  <c r="MN45" i="7"/>
  <c r="MO41" i="7" s="1"/>
  <c r="MO42" i="7" s="1"/>
  <c r="MO43" i="7" s="1"/>
  <c r="MN37" i="7"/>
  <c r="MO33" i="7" s="1"/>
  <c r="MO34" i="7" s="1"/>
  <c r="MO35" i="7" s="1"/>
  <c r="MM79" i="7" l="1"/>
  <c r="MM88" i="7"/>
  <c r="MM89" i="7" s="1"/>
  <c r="MM85" i="7"/>
  <c r="MM81" i="7"/>
  <c r="MM82" i="7"/>
  <c r="MM80" i="7"/>
  <c r="MN54" i="7"/>
  <c r="MN55" i="7" s="1"/>
  <c r="MN30" i="7"/>
  <c r="MN31" i="7" s="1"/>
  <c r="MN62" i="7"/>
  <c r="MN63" i="7" s="1"/>
  <c r="MN65" i="7"/>
  <c r="MN68" i="7"/>
  <c r="MN73" i="7"/>
  <c r="MN46" i="7"/>
  <c r="MN47" i="7" s="1"/>
  <c r="ML102" i="7"/>
  <c r="ML108" i="7"/>
  <c r="ML116" i="7" s="1"/>
  <c r="MO26" i="7"/>
  <c r="MO27" i="7" s="1"/>
  <c r="MN38" i="7"/>
  <c r="MN39" i="7" s="1"/>
  <c r="MM98" i="7" l="1"/>
  <c r="MM92" i="7" s="1"/>
  <c r="MN69" i="7"/>
  <c r="MO67" i="7" s="1"/>
  <c r="MN74" i="7"/>
  <c r="MN75" i="7" s="1"/>
  <c r="MO28" i="7"/>
  <c r="MO60" i="7"/>
  <c r="MO52" i="7"/>
  <c r="MO44" i="7"/>
  <c r="MO36" i="7"/>
  <c r="ML104" i="7"/>
  <c r="ML112" i="7" s="1"/>
  <c r="ML120" i="7" s="1"/>
  <c r="ML106" i="7"/>
  <c r="ML114" i="7" s="1"/>
  <c r="ML122" i="7" s="1"/>
  <c r="ML105" i="7"/>
  <c r="ML113" i="7" s="1"/>
  <c r="ML121" i="7" s="1"/>
  <c r="ML107" i="7"/>
  <c r="ML115" i="7" s="1"/>
  <c r="ML123" i="7" s="1"/>
  <c r="ML103" i="7"/>
  <c r="ML111" i="7" s="1"/>
  <c r="ML119" i="7" s="1"/>
  <c r="MM90" i="7" l="1"/>
  <c r="MN70" i="7"/>
  <c r="MN83" i="7" s="1"/>
  <c r="MN88" i="7" s="1"/>
  <c r="MN89" i="7" s="1"/>
  <c r="MN77" i="7"/>
  <c r="MN79" i="7" s="1"/>
  <c r="MO72" i="7"/>
  <c r="MO61" i="7"/>
  <c r="MP57" i="7" s="1"/>
  <c r="MP58" i="7" s="1"/>
  <c r="MP59" i="7" s="1"/>
  <c r="MO29" i="7"/>
  <c r="MP25" i="7" s="1"/>
  <c r="MO53" i="7"/>
  <c r="MP49" i="7" s="1"/>
  <c r="MP50" i="7" s="1"/>
  <c r="MP51" i="7" s="1"/>
  <c r="MO37" i="7"/>
  <c r="MP33" i="7" s="1"/>
  <c r="MP34" i="7" s="1"/>
  <c r="MP35" i="7" s="1"/>
  <c r="MO45" i="7"/>
  <c r="MP41" i="7" s="1"/>
  <c r="MP42" i="7" s="1"/>
  <c r="MP43" i="7" s="1"/>
  <c r="MM95" i="7"/>
  <c r="MM94" i="7"/>
  <c r="MM96" i="7"/>
  <c r="MM93" i="7"/>
  <c r="MM100" i="7"/>
  <c r="MN78" i="7" l="1"/>
  <c r="MN82" i="7"/>
  <c r="MN85" i="7"/>
  <c r="MN98" i="7" s="1"/>
  <c r="MN80" i="7"/>
  <c r="MN81" i="7"/>
  <c r="MO46" i="7"/>
  <c r="MO47" i="7" s="1"/>
  <c r="MO68" i="7"/>
  <c r="MM102" i="7"/>
  <c r="MM108" i="7"/>
  <c r="MM116" i="7" s="1"/>
  <c r="MO73" i="7"/>
  <c r="MP26" i="7"/>
  <c r="MP27" i="7" s="1"/>
  <c r="MO54" i="7"/>
  <c r="MO55" i="7" s="1"/>
  <c r="MO65" i="7"/>
  <c r="MO38" i="7"/>
  <c r="MO39" i="7" s="1"/>
  <c r="MO62" i="7"/>
  <c r="MO63" i="7" s="1"/>
  <c r="MO30" i="7"/>
  <c r="MO31" i="7" s="1"/>
  <c r="MP60" i="7" l="1"/>
  <c r="MP28" i="7"/>
  <c r="MP36" i="7"/>
  <c r="MP44" i="7"/>
  <c r="MP52" i="7"/>
  <c r="MM107" i="7"/>
  <c r="MM115" i="7" s="1"/>
  <c r="MM123" i="7" s="1"/>
  <c r="MM106" i="7"/>
  <c r="MM114" i="7" s="1"/>
  <c r="MM122" i="7" s="1"/>
  <c r="MM104" i="7"/>
  <c r="MM112" i="7" s="1"/>
  <c r="MM120" i="7" s="1"/>
  <c r="MM103" i="7"/>
  <c r="MM111" i="7" s="1"/>
  <c r="MM119" i="7" s="1"/>
  <c r="MM105" i="7"/>
  <c r="MM113" i="7" s="1"/>
  <c r="MM121" i="7" s="1"/>
  <c r="MN92" i="7"/>
  <c r="MN90" i="7"/>
  <c r="MO74" i="7"/>
  <c r="MO75" i="7" s="1"/>
  <c r="MO69" i="7"/>
  <c r="MO77" i="7" l="1"/>
  <c r="MO70" i="7"/>
  <c r="MO83" i="7" s="1"/>
  <c r="MO88" i="7" s="1"/>
  <c r="MO89" i="7" s="1"/>
  <c r="MP72" i="7"/>
  <c r="MN96" i="7"/>
  <c r="MN93" i="7"/>
  <c r="MN95" i="7"/>
  <c r="MN94" i="7"/>
  <c r="MN100" i="7"/>
  <c r="MP53" i="7"/>
  <c r="MQ49" i="7" s="1"/>
  <c r="MQ50" i="7" s="1"/>
  <c r="MQ51" i="7" s="1"/>
  <c r="MP37" i="7"/>
  <c r="MQ33" i="7" s="1"/>
  <c r="MQ34" i="7" s="1"/>
  <c r="MQ35" i="7" s="1"/>
  <c r="MP29" i="7"/>
  <c r="MQ25" i="7" s="1"/>
  <c r="MP45" i="7"/>
  <c r="MQ41" i="7" s="1"/>
  <c r="MQ42" i="7" s="1"/>
  <c r="MQ43" i="7" s="1"/>
  <c r="MP61" i="7"/>
  <c r="MQ57" i="7" s="1"/>
  <c r="MQ58" i="7" s="1"/>
  <c r="MQ59" i="7" s="1"/>
  <c r="MP67" i="7"/>
  <c r="MP46" i="7" l="1"/>
  <c r="MP47" i="7" s="1"/>
  <c r="MP30" i="7"/>
  <c r="MP31" i="7" s="1"/>
  <c r="MP54" i="7"/>
  <c r="MP55" i="7" s="1"/>
  <c r="MP73" i="7"/>
  <c r="MP38" i="7"/>
  <c r="MP39" i="7" s="1"/>
  <c r="MP68" i="7"/>
  <c r="MP65" i="7"/>
  <c r="MN102" i="7"/>
  <c r="MN108" i="7"/>
  <c r="MN116" i="7" s="1"/>
  <c r="MQ26" i="7"/>
  <c r="MQ27" i="7" s="1"/>
  <c r="MP62" i="7"/>
  <c r="MO81" i="7"/>
  <c r="MO80" i="7"/>
  <c r="MO78" i="7"/>
  <c r="MO82" i="7"/>
  <c r="MO79" i="7"/>
  <c r="MO85" i="7"/>
  <c r="MP74" i="7" l="1"/>
  <c r="MP75" i="7" s="1"/>
  <c r="MP69" i="7"/>
  <c r="MQ67" i="7" s="1"/>
  <c r="MO98" i="7"/>
  <c r="MQ52" i="7"/>
  <c r="MQ44" i="7"/>
  <c r="MQ28" i="7"/>
  <c r="MQ36" i="7"/>
  <c r="MQ60" i="7"/>
  <c r="MP63" i="7"/>
  <c r="MN106" i="7"/>
  <c r="MN114" i="7" s="1"/>
  <c r="MN122" i="7" s="1"/>
  <c r="MN105" i="7"/>
  <c r="MN113" i="7" s="1"/>
  <c r="MN121" i="7" s="1"/>
  <c r="MN104" i="7"/>
  <c r="MN112" i="7" s="1"/>
  <c r="MN120" i="7" s="1"/>
  <c r="MN103" i="7"/>
  <c r="MN111" i="7" s="1"/>
  <c r="MN119" i="7" s="1"/>
  <c r="MN107" i="7"/>
  <c r="MN115" i="7" s="1"/>
  <c r="MN123" i="7" s="1"/>
  <c r="MQ72" i="7" l="1"/>
  <c r="MP77" i="7"/>
  <c r="MP78" i="7" s="1"/>
  <c r="MP70" i="7"/>
  <c r="MP83" i="7" s="1"/>
  <c r="MP88" i="7" s="1"/>
  <c r="MP89" i="7" s="1"/>
  <c r="MQ45" i="7"/>
  <c r="MR41" i="7" s="1"/>
  <c r="MR42" i="7" s="1"/>
  <c r="MR43" i="7" s="1"/>
  <c r="MQ37" i="7"/>
  <c r="MR33" i="7" s="1"/>
  <c r="MR34" i="7" s="1"/>
  <c r="MR35" i="7" s="1"/>
  <c r="MQ53" i="7"/>
  <c r="MR49" i="7" s="1"/>
  <c r="MR50" i="7" s="1"/>
  <c r="MR51" i="7" s="1"/>
  <c r="MQ61" i="7"/>
  <c r="MR57" i="7" s="1"/>
  <c r="MR58" i="7" s="1"/>
  <c r="MR59" i="7" s="1"/>
  <c r="MQ29" i="7"/>
  <c r="MR25" i="7" s="1"/>
  <c r="MO90" i="7"/>
  <c r="MO92" i="7"/>
  <c r="MP80" i="7" l="1"/>
  <c r="MP79" i="7"/>
  <c r="MP81" i="7"/>
  <c r="MP82" i="7"/>
  <c r="MP85" i="7"/>
  <c r="MP98" i="7" s="1"/>
  <c r="MP92" i="7" s="1"/>
  <c r="MQ62" i="7"/>
  <c r="MQ65" i="7"/>
  <c r="MQ54" i="7"/>
  <c r="MQ55" i="7" s="1"/>
  <c r="MQ73" i="7"/>
  <c r="MQ30" i="7"/>
  <c r="MQ31" i="7" s="1"/>
  <c r="MO96" i="7"/>
  <c r="MO95" i="7"/>
  <c r="MO94" i="7"/>
  <c r="MO93" i="7"/>
  <c r="MO100" i="7"/>
  <c r="MQ46" i="7"/>
  <c r="MQ47" i="7" s="1"/>
  <c r="MR26" i="7"/>
  <c r="MR27" i="7" s="1"/>
  <c r="MQ68" i="7"/>
  <c r="MQ38" i="7"/>
  <c r="MQ39" i="7" s="1"/>
  <c r="MP90" i="7" l="1"/>
  <c r="MQ69" i="7"/>
  <c r="MR67" i="7" s="1"/>
  <c r="MO102" i="7"/>
  <c r="MO108" i="7"/>
  <c r="MO116" i="7" s="1"/>
  <c r="MP94" i="7"/>
  <c r="MP95" i="7"/>
  <c r="MP96" i="7"/>
  <c r="MP93" i="7"/>
  <c r="MP100" i="7"/>
  <c r="MR28" i="7"/>
  <c r="MR60" i="7"/>
  <c r="MR36" i="7"/>
  <c r="MR52" i="7"/>
  <c r="MR44" i="7"/>
  <c r="MQ63" i="7"/>
  <c r="MQ74" i="7"/>
  <c r="MQ75" i="7" s="1"/>
  <c r="MR45" i="7" l="1"/>
  <c r="MS41" i="7" s="1"/>
  <c r="MS42" i="7" s="1"/>
  <c r="MS43" i="7" s="1"/>
  <c r="MR53" i="7"/>
  <c r="MS49" i="7" s="1"/>
  <c r="MS50" i="7" s="1"/>
  <c r="MS51" i="7" s="1"/>
  <c r="MR61" i="7"/>
  <c r="MS57" i="7" s="1"/>
  <c r="MS58" i="7" s="1"/>
  <c r="MS59" i="7" s="1"/>
  <c r="MR37" i="7"/>
  <c r="MS33" i="7" s="1"/>
  <c r="MS34" i="7" s="1"/>
  <c r="MS35" i="7" s="1"/>
  <c r="MR29" i="7"/>
  <c r="MS25" i="7" s="1"/>
  <c r="MP102" i="7"/>
  <c r="MP108" i="7"/>
  <c r="MP116" i="7" s="1"/>
  <c r="MQ70" i="7"/>
  <c r="MQ83" i="7" s="1"/>
  <c r="MQ88" i="7" s="1"/>
  <c r="MQ89" i="7" s="1"/>
  <c r="MQ77" i="7"/>
  <c r="MO107" i="7"/>
  <c r="MO115" i="7" s="1"/>
  <c r="MO123" i="7" s="1"/>
  <c r="MO106" i="7"/>
  <c r="MO114" i="7" s="1"/>
  <c r="MO122" i="7" s="1"/>
  <c r="MO104" i="7"/>
  <c r="MO112" i="7" s="1"/>
  <c r="MO120" i="7" s="1"/>
  <c r="MO105" i="7"/>
  <c r="MO113" i="7" s="1"/>
  <c r="MO121" i="7" s="1"/>
  <c r="MO103" i="7"/>
  <c r="MO111" i="7" s="1"/>
  <c r="MO119" i="7" s="1"/>
  <c r="MR72" i="7"/>
  <c r="MR62" i="7" l="1"/>
  <c r="MR63" i="7" s="1"/>
  <c r="MP105" i="7"/>
  <c r="MP113" i="7" s="1"/>
  <c r="MP121" i="7" s="1"/>
  <c r="MP106" i="7"/>
  <c r="MP114" i="7" s="1"/>
  <c r="MP122" i="7" s="1"/>
  <c r="MP104" i="7"/>
  <c r="MP112" i="7" s="1"/>
  <c r="MP120" i="7" s="1"/>
  <c r="MP107" i="7"/>
  <c r="MP115" i="7" s="1"/>
  <c r="MP123" i="7" s="1"/>
  <c r="MP103" i="7"/>
  <c r="MP111" i="7" s="1"/>
  <c r="MP119" i="7" s="1"/>
  <c r="MR30" i="7"/>
  <c r="MR31" i="7" s="1"/>
  <c r="MR54" i="7"/>
  <c r="MR55" i="7" s="1"/>
  <c r="MQ82" i="7"/>
  <c r="MQ80" i="7"/>
  <c r="MQ81" i="7"/>
  <c r="MQ79" i="7"/>
  <c r="MQ78" i="7"/>
  <c r="MQ85" i="7"/>
  <c r="MR38" i="7"/>
  <c r="MR39" i="7" s="1"/>
  <c r="MR65" i="7"/>
  <c r="MR46" i="7"/>
  <c r="MR47" i="7" s="1"/>
  <c r="MS26" i="7"/>
  <c r="MS27" i="7" s="1"/>
  <c r="MR68" i="7"/>
  <c r="MR73" i="7"/>
  <c r="MR74" i="7" l="1"/>
  <c r="MR75" i="7" s="1"/>
  <c r="MR69" i="7"/>
  <c r="MS67" i="7" s="1"/>
  <c r="MQ98" i="7"/>
  <c r="MS44" i="7"/>
  <c r="MS52" i="7"/>
  <c r="MS28" i="7"/>
  <c r="MS36" i="7"/>
  <c r="MS60" i="7"/>
  <c r="MS72" i="7" l="1"/>
  <c r="MQ92" i="7"/>
  <c r="MQ90" i="7"/>
  <c r="MS53" i="7"/>
  <c r="MT49" i="7" s="1"/>
  <c r="MT50" i="7" s="1"/>
  <c r="MT51" i="7" s="1"/>
  <c r="MS37" i="7"/>
  <c r="MT33" i="7" s="1"/>
  <c r="MT34" i="7" s="1"/>
  <c r="MT35" i="7" s="1"/>
  <c r="MS45" i="7"/>
  <c r="MT41" i="7" s="1"/>
  <c r="MT42" i="7" s="1"/>
  <c r="MT43" i="7" s="1"/>
  <c r="MS29" i="7"/>
  <c r="MT25" i="7" s="1"/>
  <c r="MS61" i="7"/>
  <c r="MT57" i="7" s="1"/>
  <c r="MT58" i="7" s="1"/>
  <c r="MT59" i="7" s="1"/>
  <c r="MR70" i="7"/>
  <c r="MR83" i="7" s="1"/>
  <c r="MR88" i="7" s="1"/>
  <c r="MR89" i="7" s="1"/>
  <c r="MR77" i="7"/>
  <c r="MS46" i="7" l="1"/>
  <c r="MS47" i="7" s="1"/>
  <c r="MS30" i="7"/>
  <c r="MS31" i="7" s="1"/>
  <c r="MS73" i="7"/>
  <c r="MS65" i="7"/>
  <c r="MS38" i="7"/>
  <c r="MS39" i="7" s="1"/>
  <c r="MR80" i="7"/>
  <c r="MR81" i="7"/>
  <c r="MR79" i="7"/>
  <c r="MR82" i="7"/>
  <c r="MR78" i="7"/>
  <c r="MR85" i="7"/>
  <c r="MT26" i="7"/>
  <c r="MT27" i="7" s="1"/>
  <c r="MS62" i="7"/>
  <c r="MQ94" i="7"/>
  <c r="MQ96" i="7"/>
  <c r="MQ95" i="7"/>
  <c r="MQ93" i="7"/>
  <c r="MQ100" i="7"/>
  <c r="MS68" i="7"/>
  <c r="MS54" i="7"/>
  <c r="MS55" i="7" s="1"/>
  <c r="MS74" i="7" l="1"/>
  <c r="MS75" i="7" s="1"/>
  <c r="MS69" i="7"/>
  <c r="MT67" i="7" s="1"/>
  <c r="MQ108" i="7"/>
  <c r="MQ116" i="7" s="1"/>
  <c r="MQ102" i="7"/>
  <c r="MT60" i="7"/>
  <c r="MT44" i="7"/>
  <c r="MT52" i="7"/>
  <c r="MT28" i="7"/>
  <c r="MT36" i="7"/>
  <c r="MS63" i="7"/>
  <c r="MR98" i="7"/>
  <c r="MT72" i="7" l="1"/>
  <c r="MS70" i="7"/>
  <c r="MS83" i="7" s="1"/>
  <c r="MS88" i="7" s="1"/>
  <c r="MS89" i="7" s="1"/>
  <c r="MS77" i="7"/>
  <c r="MS80" i="7" s="1"/>
  <c r="MR92" i="7"/>
  <c r="MR90" i="7"/>
  <c r="MT29" i="7"/>
  <c r="MU25" i="7" s="1"/>
  <c r="MT61" i="7"/>
  <c r="MT53" i="7"/>
  <c r="MU49" i="7" s="1"/>
  <c r="MU50" i="7" s="1"/>
  <c r="MU51" i="7" s="1"/>
  <c r="MT37" i="7"/>
  <c r="MU33" i="7" s="1"/>
  <c r="MU34" i="7" s="1"/>
  <c r="MU35" i="7" s="1"/>
  <c r="MT45" i="7"/>
  <c r="MU41" i="7" s="1"/>
  <c r="MU42" i="7" s="1"/>
  <c r="MU43" i="7" s="1"/>
  <c r="MQ104" i="7"/>
  <c r="MQ112" i="7" s="1"/>
  <c r="MQ120" i="7" s="1"/>
  <c r="MQ103" i="7"/>
  <c r="MQ111" i="7" s="1"/>
  <c r="MQ119" i="7" s="1"/>
  <c r="MQ105" i="7"/>
  <c r="MQ113" i="7" s="1"/>
  <c r="MQ121" i="7" s="1"/>
  <c r="MQ107" i="7"/>
  <c r="MQ115" i="7" s="1"/>
  <c r="MQ123" i="7" s="1"/>
  <c r="MQ106" i="7"/>
  <c r="MQ114" i="7" s="1"/>
  <c r="MQ122" i="7" s="1"/>
  <c r="MS85" i="7" l="1"/>
  <c r="MS98" i="7" s="1"/>
  <c r="MS78" i="7"/>
  <c r="MS82" i="7"/>
  <c r="MS81" i="7"/>
  <c r="MS79" i="7"/>
  <c r="MT30" i="7"/>
  <c r="MT31" i="7" s="1"/>
  <c r="MT73" i="7"/>
  <c r="MT65" i="7"/>
  <c r="MU26" i="7"/>
  <c r="MU27" i="7" s="1"/>
  <c r="MT46" i="7"/>
  <c r="MT47" i="7" s="1"/>
  <c r="MU57" i="7"/>
  <c r="MU58" i="7" s="1"/>
  <c r="MU59" i="7" s="1"/>
  <c r="MT62" i="7"/>
  <c r="MT38" i="7"/>
  <c r="MT39" i="7" s="1"/>
  <c r="MT54" i="7"/>
  <c r="MT55" i="7" s="1"/>
  <c r="MT68" i="7"/>
  <c r="MR93" i="7"/>
  <c r="MR94" i="7"/>
  <c r="MR96" i="7"/>
  <c r="MR95" i="7"/>
  <c r="MR100" i="7"/>
  <c r="MT69" i="7" l="1"/>
  <c r="MU67" i="7" s="1"/>
  <c r="MT74" i="7"/>
  <c r="MU72" i="7" s="1"/>
  <c r="MS92" i="7"/>
  <c r="MS90" i="7"/>
  <c r="MR108" i="7"/>
  <c r="MR116" i="7" s="1"/>
  <c r="MR102" i="7"/>
  <c r="MT63" i="7"/>
  <c r="MU36" i="7"/>
  <c r="MU52" i="7"/>
  <c r="MU44" i="7"/>
  <c r="MU60" i="7"/>
  <c r="MU28" i="7"/>
  <c r="MT70" i="7" l="1"/>
  <c r="MT77" i="7"/>
  <c r="MT80" i="7" s="1"/>
  <c r="MT75" i="7"/>
  <c r="MU53" i="7"/>
  <c r="MV49" i="7" s="1"/>
  <c r="MV50" i="7" s="1"/>
  <c r="MV51" i="7" s="1"/>
  <c r="MR104" i="7"/>
  <c r="MR112" i="7" s="1"/>
  <c r="MR120" i="7" s="1"/>
  <c r="MR106" i="7"/>
  <c r="MR114" i="7" s="1"/>
  <c r="MR122" i="7" s="1"/>
  <c r="MR105" i="7"/>
  <c r="MR113" i="7" s="1"/>
  <c r="MR121" i="7" s="1"/>
  <c r="MR103" i="7"/>
  <c r="MR111" i="7" s="1"/>
  <c r="MR119" i="7" s="1"/>
  <c r="MR107" i="7"/>
  <c r="MR115" i="7" s="1"/>
  <c r="MR123" i="7" s="1"/>
  <c r="MS94" i="7"/>
  <c r="MS96" i="7"/>
  <c r="MS95" i="7"/>
  <c r="MS93" i="7"/>
  <c r="MS100" i="7"/>
  <c r="MU29" i="7"/>
  <c r="MV25" i="7" s="1"/>
  <c r="MU61" i="7"/>
  <c r="MU45" i="7"/>
  <c r="MV41" i="7" s="1"/>
  <c r="MV42" i="7" s="1"/>
  <c r="MV43" i="7" s="1"/>
  <c r="MU37" i="7"/>
  <c r="MV33" i="7" s="1"/>
  <c r="MV34" i="7" s="1"/>
  <c r="MV35" i="7" s="1"/>
  <c r="MT83" i="7" l="1"/>
  <c r="MT88" i="7" s="1"/>
  <c r="MT89" i="7" s="1"/>
  <c r="MT78" i="7"/>
  <c r="MT82" i="7"/>
  <c r="MT79" i="7"/>
  <c r="MT81" i="7"/>
  <c r="MU54" i="7"/>
  <c r="MU55" i="7" s="1"/>
  <c r="MV26" i="7"/>
  <c r="MV27" i="7" s="1"/>
  <c r="MU73" i="7"/>
  <c r="MU46" i="7"/>
  <c r="MU47" i="7" s="1"/>
  <c r="MS102" i="7"/>
  <c r="MS108" i="7"/>
  <c r="MS116" i="7" s="1"/>
  <c r="MU65" i="7"/>
  <c r="MV57" i="7"/>
  <c r="MV58" i="7" s="1"/>
  <c r="MV59" i="7" s="1"/>
  <c r="MU62" i="7"/>
  <c r="MU63" i="7" s="1"/>
  <c r="MU30" i="7"/>
  <c r="MU31" i="7" s="1"/>
  <c r="MU38" i="7"/>
  <c r="MU39" i="7" s="1"/>
  <c r="MU68" i="7"/>
  <c r="MT85" i="7" l="1"/>
  <c r="MT98" i="7" s="1"/>
  <c r="MT90" i="7" s="1"/>
  <c r="MU69" i="7"/>
  <c r="MV67" i="7" s="1"/>
  <c r="MS106" i="7"/>
  <c r="MS114" i="7" s="1"/>
  <c r="MS122" i="7" s="1"/>
  <c r="MS103" i="7"/>
  <c r="MS111" i="7" s="1"/>
  <c r="MS119" i="7" s="1"/>
  <c r="MS107" i="7"/>
  <c r="MS115" i="7" s="1"/>
  <c r="MS123" i="7" s="1"/>
  <c r="MS104" i="7"/>
  <c r="MS112" i="7" s="1"/>
  <c r="MS120" i="7" s="1"/>
  <c r="MS105" i="7"/>
  <c r="MS113" i="7" s="1"/>
  <c r="MS121" i="7" s="1"/>
  <c r="MV60" i="7"/>
  <c r="MV44" i="7"/>
  <c r="MV28" i="7"/>
  <c r="MV52" i="7"/>
  <c r="MV36" i="7"/>
  <c r="MU74" i="7"/>
  <c r="MU75" i="7" s="1"/>
  <c r="MT92" i="7" l="1"/>
  <c r="MT95" i="7" s="1"/>
  <c r="MU70" i="7"/>
  <c r="MU83" i="7" s="1"/>
  <c r="MU88" i="7" s="1"/>
  <c r="MU89" i="7" s="1"/>
  <c r="MV45" i="7"/>
  <c r="MW41" i="7" s="1"/>
  <c r="MW42" i="7" s="1"/>
  <c r="MW43" i="7" s="1"/>
  <c r="MV53" i="7"/>
  <c r="MW49" i="7" s="1"/>
  <c r="MW50" i="7" s="1"/>
  <c r="MW51" i="7" s="1"/>
  <c r="MV29" i="7"/>
  <c r="MW25" i="7" s="1"/>
  <c r="MV61" i="7"/>
  <c r="MW57" i="7" s="1"/>
  <c r="MW58" i="7" s="1"/>
  <c r="MW59" i="7" s="1"/>
  <c r="MU77" i="7"/>
  <c r="MV37" i="7"/>
  <c r="MW33" i="7" s="1"/>
  <c r="MW34" i="7" s="1"/>
  <c r="MW35" i="7" s="1"/>
  <c r="MV72" i="7"/>
  <c r="MT96" i="7" l="1"/>
  <c r="MT94" i="7"/>
  <c r="MT93" i="7"/>
  <c r="MT100" i="7"/>
  <c r="MV54" i="7"/>
  <c r="MV55" i="7" s="1"/>
  <c r="MV46" i="7"/>
  <c r="MV47" i="7" s="1"/>
  <c r="MV30" i="7"/>
  <c r="MV31" i="7" s="1"/>
  <c r="MV62" i="7"/>
  <c r="MV63" i="7" s="1"/>
  <c r="MV65" i="7"/>
  <c r="MV68" i="7"/>
  <c r="MU81" i="7"/>
  <c r="MU82" i="7"/>
  <c r="MU78" i="7"/>
  <c r="MU80" i="7"/>
  <c r="MU79" i="7"/>
  <c r="MU85" i="7"/>
  <c r="MV38" i="7"/>
  <c r="MV39" i="7" s="1"/>
  <c r="MV73" i="7"/>
  <c r="MW26" i="7"/>
  <c r="MW27" i="7" s="1"/>
  <c r="MT108" i="7" l="1"/>
  <c r="MT116" i="7" s="1"/>
  <c r="MT102" i="7"/>
  <c r="MV74" i="7"/>
  <c r="MV75" i="7" s="1"/>
  <c r="MV69" i="7"/>
  <c r="MU98" i="7"/>
  <c r="MW60" i="7"/>
  <c r="MW52" i="7"/>
  <c r="MW28" i="7"/>
  <c r="MW44" i="7"/>
  <c r="MW36" i="7"/>
  <c r="MT105" i="7" l="1"/>
  <c r="MT113" i="7" s="1"/>
  <c r="MT121" i="7" s="1"/>
  <c r="MT103" i="7"/>
  <c r="MT111" i="7" s="1"/>
  <c r="MT119" i="7" s="1"/>
  <c r="MT104" i="7"/>
  <c r="MT112" i="7" s="1"/>
  <c r="MT120" i="7" s="1"/>
  <c r="MT107" i="7"/>
  <c r="MT115" i="7" s="1"/>
  <c r="MT123" i="7" s="1"/>
  <c r="MT106" i="7"/>
  <c r="MT114" i="7" s="1"/>
  <c r="MT122" i="7" s="1"/>
  <c r="MW72" i="7"/>
  <c r="MU92" i="7"/>
  <c r="MU90" i="7"/>
  <c r="MV77" i="7"/>
  <c r="MV70" i="7"/>
  <c r="MV83" i="7" s="1"/>
  <c r="MV88" i="7" s="1"/>
  <c r="MV89" i="7" s="1"/>
  <c r="MW61" i="7"/>
  <c r="MX57" i="7" s="1"/>
  <c r="MX58" i="7" s="1"/>
  <c r="MX59" i="7" s="1"/>
  <c r="MW29" i="7"/>
  <c r="MX25" i="7" s="1"/>
  <c r="MW37" i="7"/>
  <c r="MX33" i="7" s="1"/>
  <c r="MX34" i="7" s="1"/>
  <c r="MX35" i="7" s="1"/>
  <c r="MW53" i="7"/>
  <c r="MX49" i="7" s="1"/>
  <c r="MX50" i="7" s="1"/>
  <c r="MX51" i="7" s="1"/>
  <c r="MW45" i="7"/>
  <c r="MX41" i="7" s="1"/>
  <c r="MX42" i="7" s="1"/>
  <c r="MX43" i="7" s="1"/>
  <c r="MW67" i="7"/>
  <c r="MV82" i="7" l="1"/>
  <c r="MV79" i="7"/>
  <c r="MV80" i="7"/>
  <c r="MV78" i="7"/>
  <c r="MV81" i="7"/>
  <c r="MV85" i="7"/>
  <c r="MW73" i="7"/>
  <c r="MW46" i="7"/>
  <c r="MW47" i="7" s="1"/>
  <c r="MW65" i="7"/>
  <c r="MX26" i="7"/>
  <c r="MX27" i="7" s="1"/>
  <c r="MW30" i="7"/>
  <c r="MW31" i="7" s="1"/>
  <c r="MW54" i="7"/>
  <c r="MW55" i="7" s="1"/>
  <c r="MU95" i="7"/>
  <c r="MU94" i="7"/>
  <c r="MU96" i="7"/>
  <c r="MU93" i="7"/>
  <c r="MU100" i="7"/>
  <c r="MW62" i="7"/>
  <c r="MW63" i="7" s="1"/>
  <c r="MW68" i="7"/>
  <c r="MW69" i="7" s="1"/>
  <c r="MW38" i="7"/>
  <c r="MW39" i="7" s="1"/>
  <c r="MW70" i="7" l="1"/>
  <c r="MW74" i="7"/>
  <c r="MW75" i="7" s="1"/>
  <c r="MX52" i="7"/>
  <c r="MX28" i="7"/>
  <c r="MX44" i="7"/>
  <c r="MX36" i="7"/>
  <c r="MX60" i="7"/>
  <c r="MU108" i="7"/>
  <c r="MU116" i="7" s="1"/>
  <c r="MU102" i="7"/>
  <c r="MX67" i="7"/>
  <c r="MV98" i="7"/>
  <c r="MX53" i="7" l="1"/>
  <c r="MY49" i="7" s="1"/>
  <c r="MY50" i="7" s="1"/>
  <c r="MY51" i="7" s="1"/>
  <c r="MX61" i="7"/>
  <c r="MY57" i="7" s="1"/>
  <c r="MY58" i="7" s="1"/>
  <c r="MY59" i="7" s="1"/>
  <c r="MX37" i="7"/>
  <c r="MY33" i="7" s="1"/>
  <c r="MY34" i="7" s="1"/>
  <c r="MY35" i="7" s="1"/>
  <c r="MX29" i="7"/>
  <c r="MY25" i="7" s="1"/>
  <c r="MX45" i="7"/>
  <c r="MY41" i="7" s="1"/>
  <c r="MY42" i="7" s="1"/>
  <c r="MY43" i="7" s="1"/>
  <c r="MW77" i="7"/>
  <c r="MV92" i="7"/>
  <c r="MV90" i="7"/>
  <c r="MU107" i="7"/>
  <c r="MU115" i="7" s="1"/>
  <c r="MU123" i="7" s="1"/>
  <c r="MU105" i="7"/>
  <c r="MU113" i="7" s="1"/>
  <c r="MU121" i="7" s="1"/>
  <c r="MU104" i="7"/>
  <c r="MU112" i="7" s="1"/>
  <c r="MU120" i="7" s="1"/>
  <c r="MU103" i="7"/>
  <c r="MU111" i="7" s="1"/>
  <c r="MU119" i="7" s="1"/>
  <c r="MU106" i="7"/>
  <c r="MU114" i="7" s="1"/>
  <c r="MU122" i="7" s="1"/>
  <c r="MX72" i="7"/>
  <c r="MW83" i="7"/>
  <c r="MW88" i="7" s="1"/>
  <c r="MW89" i="7" s="1"/>
  <c r="MX46" i="7" l="1"/>
  <c r="MX47" i="7" s="1"/>
  <c r="MX38" i="7"/>
  <c r="MX39" i="7" s="1"/>
  <c r="MX54" i="7"/>
  <c r="MX55" i="7" s="1"/>
  <c r="MX30" i="7"/>
  <c r="MX31" i="7" s="1"/>
  <c r="MX65" i="7"/>
  <c r="MX68" i="7"/>
  <c r="MV94" i="7"/>
  <c r="MV96" i="7"/>
  <c r="MV95" i="7"/>
  <c r="MV93" i="7"/>
  <c r="MV100" i="7"/>
  <c r="MX73" i="7"/>
  <c r="MW81" i="7"/>
  <c r="MW79" i="7"/>
  <c r="MW80" i="7"/>
  <c r="MW82" i="7"/>
  <c r="MW78" i="7"/>
  <c r="MW85" i="7"/>
  <c r="MX62" i="7"/>
  <c r="MX63" i="7" s="1"/>
  <c r="MY26" i="7"/>
  <c r="MY27" i="7" s="1"/>
  <c r="MV102" i="7" l="1"/>
  <c r="MV108" i="7"/>
  <c r="MV116" i="7" s="1"/>
  <c r="MX69" i="7"/>
  <c r="MY67" i="7" s="1"/>
  <c r="MX74" i="7"/>
  <c r="MW98" i="7"/>
  <c r="MY60" i="7"/>
  <c r="MY36" i="7"/>
  <c r="MY52" i="7"/>
  <c r="MY28" i="7"/>
  <c r="MY44" i="7"/>
  <c r="MV103" i="7" l="1"/>
  <c r="MV111" i="7" s="1"/>
  <c r="MV119" i="7" s="1"/>
  <c r="MV106" i="7"/>
  <c r="MV114" i="7" s="1"/>
  <c r="MV122" i="7" s="1"/>
  <c r="MV104" i="7"/>
  <c r="MV112" i="7" s="1"/>
  <c r="MV120" i="7" s="1"/>
  <c r="MV107" i="7"/>
  <c r="MV115" i="7" s="1"/>
  <c r="MV123" i="7" s="1"/>
  <c r="MV105" i="7"/>
  <c r="MV113" i="7" s="1"/>
  <c r="MV121" i="7" s="1"/>
  <c r="MW92" i="7"/>
  <c r="MW90" i="7"/>
  <c r="MX75" i="7"/>
  <c r="MY72" i="7"/>
  <c r="MY37" i="7"/>
  <c r="MZ33" i="7" s="1"/>
  <c r="MZ34" i="7" s="1"/>
  <c r="MZ35" i="7" s="1"/>
  <c r="MY29" i="7"/>
  <c r="MZ25" i="7" s="1"/>
  <c r="MY53" i="7"/>
  <c r="MZ49" i="7" s="1"/>
  <c r="MZ50" i="7" s="1"/>
  <c r="MZ51" i="7" s="1"/>
  <c r="MY45" i="7"/>
  <c r="MZ41" i="7" s="1"/>
  <c r="MZ42" i="7" s="1"/>
  <c r="MZ43" i="7" s="1"/>
  <c r="MY61" i="7"/>
  <c r="MZ57" i="7" s="1"/>
  <c r="MZ58" i="7" s="1"/>
  <c r="MZ59" i="7" s="1"/>
  <c r="MX77" i="7"/>
  <c r="MX70" i="7"/>
  <c r="MY30" i="7" l="1"/>
  <c r="MY31" i="7" s="1"/>
  <c r="MY62" i="7"/>
  <c r="MY54" i="7"/>
  <c r="MY55" i="7" s="1"/>
  <c r="MZ26" i="7"/>
  <c r="MZ27" i="7" s="1"/>
  <c r="MY38" i="7"/>
  <c r="MY39" i="7" s="1"/>
  <c r="MW93" i="7"/>
  <c r="MW96" i="7"/>
  <c r="MW94" i="7"/>
  <c r="MW95" i="7"/>
  <c r="MW100" i="7"/>
  <c r="MY65" i="7"/>
  <c r="MX83" i="7"/>
  <c r="MX88" i="7" s="1"/>
  <c r="MX89" i="7" s="1"/>
  <c r="MY68" i="7"/>
  <c r="MX79" i="7"/>
  <c r="MX78" i="7"/>
  <c r="MX80" i="7"/>
  <c r="MX81" i="7"/>
  <c r="MX82" i="7"/>
  <c r="MY73" i="7"/>
  <c r="MY46" i="7"/>
  <c r="MY47" i="7" s="1"/>
  <c r="MY74" i="7" l="1"/>
  <c r="MY75" i="7" s="1"/>
  <c r="MY69" i="7"/>
  <c r="MZ67" i="7" s="1"/>
  <c r="MX85" i="7"/>
  <c r="MY63" i="7"/>
  <c r="MW108" i="7"/>
  <c r="MW116" i="7" s="1"/>
  <c r="MW102" i="7"/>
  <c r="MZ52" i="7"/>
  <c r="MZ60" i="7"/>
  <c r="MZ36" i="7"/>
  <c r="MZ28" i="7"/>
  <c r="MZ44" i="7"/>
  <c r="MZ72" i="7" l="1"/>
  <c r="MX98" i="7"/>
  <c r="MW106" i="7"/>
  <c r="MW114" i="7" s="1"/>
  <c r="MW122" i="7" s="1"/>
  <c r="MW103" i="7"/>
  <c r="MW111" i="7" s="1"/>
  <c r="MW119" i="7" s="1"/>
  <c r="MW104" i="7"/>
  <c r="MW112" i="7" s="1"/>
  <c r="MW120" i="7" s="1"/>
  <c r="MW107" i="7"/>
  <c r="MW115" i="7" s="1"/>
  <c r="MW123" i="7" s="1"/>
  <c r="MW105" i="7"/>
  <c r="MW113" i="7" s="1"/>
  <c r="MW121" i="7" s="1"/>
  <c r="MZ29" i="7"/>
  <c r="NA25" i="7" s="1"/>
  <c r="MZ37" i="7"/>
  <c r="NA33" i="7" s="1"/>
  <c r="NA34" i="7" s="1"/>
  <c r="NA35" i="7" s="1"/>
  <c r="MZ61" i="7"/>
  <c r="MZ45" i="7"/>
  <c r="NA41" i="7" s="1"/>
  <c r="NA42" i="7" s="1"/>
  <c r="NA43" i="7" s="1"/>
  <c r="MZ53" i="7"/>
  <c r="NA49" i="7" s="1"/>
  <c r="NA50" i="7" s="1"/>
  <c r="NA51" i="7" s="1"/>
  <c r="MY70" i="7"/>
  <c r="MY83" i="7" s="1"/>
  <c r="MY88" i="7" s="1"/>
  <c r="MY89" i="7" s="1"/>
  <c r="MY77" i="7"/>
  <c r="MZ38" i="7" l="1"/>
  <c r="MZ39" i="7" s="1"/>
  <c r="MZ68" i="7"/>
  <c r="MZ46" i="7"/>
  <c r="MZ47" i="7" s="1"/>
  <c r="NA26" i="7"/>
  <c r="NA27" i="7" s="1"/>
  <c r="MZ65" i="7"/>
  <c r="NA57" i="7"/>
  <c r="NA58" i="7" s="1"/>
  <c r="NA59" i="7" s="1"/>
  <c r="MZ62" i="7"/>
  <c r="MZ54" i="7"/>
  <c r="MZ55" i="7" s="1"/>
  <c r="MZ30" i="7"/>
  <c r="MZ31" i="7" s="1"/>
  <c r="MX92" i="7"/>
  <c r="MX90" i="7"/>
  <c r="MY78" i="7"/>
  <c r="MY82" i="7"/>
  <c r="MY80" i="7"/>
  <c r="MY79" i="7"/>
  <c r="MY81" i="7"/>
  <c r="MY85" i="7"/>
  <c r="MZ73" i="7"/>
  <c r="MY98" i="7" l="1"/>
  <c r="MZ63" i="7"/>
  <c r="MZ69" i="7"/>
  <c r="MZ74" i="7"/>
  <c r="MZ75" i="7" s="1"/>
  <c r="MX94" i="7"/>
  <c r="MX93" i="7"/>
  <c r="MX96" i="7"/>
  <c r="MX95" i="7"/>
  <c r="MX100" i="7"/>
  <c r="NA36" i="7"/>
  <c r="NA52" i="7"/>
  <c r="NA60" i="7"/>
  <c r="NA28" i="7"/>
  <c r="NA44" i="7"/>
  <c r="NA72" i="7" l="1"/>
  <c r="MX108" i="7"/>
  <c r="MX116" i="7" s="1"/>
  <c r="MX102" i="7"/>
  <c r="NA67" i="7"/>
  <c r="MZ70" i="7"/>
  <c r="MZ83" i="7" s="1"/>
  <c r="MZ88" i="7" s="1"/>
  <c r="MZ89" i="7" s="1"/>
  <c r="MZ77" i="7"/>
  <c r="NA45" i="7"/>
  <c r="NB41" i="7" s="1"/>
  <c r="NB42" i="7" s="1"/>
  <c r="NB43" i="7" s="1"/>
  <c r="NA61" i="7"/>
  <c r="NA53" i="7"/>
  <c r="NB49" i="7" s="1"/>
  <c r="NB50" i="7" s="1"/>
  <c r="NB51" i="7" s="1"/>
  <c r="NA37" i="7"/>
  <c r="NB33" i="7" s="1"/>
  <c r="NB34" i="7" s="1"/>
  <c r="NB35" i="7" s="1"/>
  <c r="NA29" i="7"/>
  <c r="NB25" i="7" s="1"/>
  <c r="MY92" i="7"/>
  <c r="MY90" i="7"/>
  <c r="NB57" i="7" l="1"/>
  <c r="NB58" i="7" s="1"/>
  <c r="NB59" i="7" s="1"/>
  <c r="NA62" i="7"/>
  <c r="MZ78" i="7"/>
  <c r="MZ79" i="7"/>
  <c r="MZ81" i="7"/>
  <c r="MZ80" i="7"/>
  <c r="MZ82" i="7"/>
  <c r="MZ85" i="7"/>
  <c r="NA73" i="7"/>
  <c r="NA68" i="7"/>
  <c r="MY95" i="7"/>
  <c r="MY94" i="7"/>
  <c r="MY93" i="7"/>
  <c r="MY96" i="7"/>
  <c r="MY100" i="7"/>
  <c r="NB26" i="7"/>
  <c r="NB27" i="7" s="1"/>
  <c r="NA30" i="7"/>
  <c r="NA31" i="7" s="1"/>
  <c r="NA38" i="7"/>
  <c r="NA39" i="7" s="1"/>
  <c r="MX107" i="7"/>
  <c r="MX115" i="7" s="1"/>
  <c r="MX123" i="7" s="1"/>
  <c r="MX104" i="7"/>
  <c r="MX112" i="7" s="1"/>
  <c r="MX120" i="7" s="1"/>
  <c r="MX103" i="7"/>
  <c r="MX111" i="7" s="1"/>
  <c r="MX119" i="7" s="1"/>
  <c r="MX106" i="7"/>
  <c r="MX114" i="7" s="1"/>
  <c r="MX122" i="7" s="1"/>
  <c r="MX105" i="7"/>
  <c r="MX113" i="7" s="1"/>
  <c r="MX121" i="7" s="1"/>
  <c r="NA65" i="7"/>
  <c r="NA54" i="7"/>
  <c r="NA55" i="7" s="1"/>
  <c r="NA46" i="7"/>
  <c r="NA47" i="7" s="1"/>
  <c r="NA69" i="7" l="1"/>
  <c r="NA70" i="7" s="1"/>
  <c r="NA74" i="7"/>
  <c r="NB72" i="7" s="1"/>
  <c r="NA63" i="7"/>
  <c r="MZ98" i="7"/>
  <c r="NB28" i="7"/>
  <c r="NB36" i="7"/>
  <c r="NB60" i="7"/>
  <c r="NB44" i="7"/>
  <c r="NB52" i="7"/>
  <c r="MY102" i="7"/>
  <c r="MY108" i="7"/>
  <c r="MY116" i="7" s="1"/>
  <c r="NB67" i="7" l="1"/>
  <c r="NA75" i="7"/>
  <c r="NB53" i="7"/>
  <c r="NC49" i="7" s="1"/>
  <c r="NC50" i="7" s="1"/>
  <c r="NC51" i="7" s="1"/>
  <c r="NA77" i="7"/>
  <c r="NA78" i="7" s="1"/>
  <c r="MY106" i="7"/>
  <c r="MY114" i="7" s="1"/>
  <c r="MY122" i="7" s="1"/>
  <c r="MY104" i="7"/>
  <c r="MY112" i="7" s="1"/>
  <c r="MY120" i="7" s="1"/>
  <c r="MY103" i="7"/>
  <c r="MY111" i="7" s="1"/>
  <c r="MY119" i="7" s="1"/>
  <c r="MY107" i="7"/>
  <c r="MY115" i="7" s="1"/>
  <c r="MY123" i="7" s="1"/>
  <c r="MY105" i="7"/>
  <c r="MY113" i="7" s="1"/>
  <c r="MY121" i="7" s="1"/>
  <c r="MZ92" i="7"/>
  <c r="MZ90" i="7"/>
  <c r="NB29" i="7"/>
  <c r="NC25" i="7" s="1"/>
  <c r="NB61" i="7"/>
  <c r="NB45" i="7"/>
  <c r="NC41" i="7" s="1"/>
  <c r="NC42" i="7" s="1"/>
  <c r="NC43" i="7" s="1"/>
  <c r="NA83" i="7"/>
  <c r="NB37" i="7"/>
  <c r="NC33" i="7" s="1"/>
  <c r="NC34" i="7" s="1"/>
  <c r="NC35" i="7" s="1"/>
  <c r="NB54" i="7" l="1"/>
  <c r="NB55" i="7" s="1"/>
  <c r="NA82" i="7"/>
  <c r="NA81" i="7"/>
  <c r="NA80" i="7"/>
  <c r="NA79" i="7"/>
  <c r="NC26" i="7"/>
  <c r="NC27" i="7" s="1"/>
  <c r="NA88" i="7"/>
  <c r="NA89" i="7" s="1"/>
  <c r="NA85" i="7"/>
  <c r="MZ93" i="7"/>
  <c r="MZ96" i="7"/>
  <c r="MZ94" i="7"/>
  <c r="MZ95" i="7"/>
  <c r="MZ100" i="7"/>
  <c r="NB38" i="7"/>
  <c r="NB39" i="7" s="1"/>
  <c r="NC57" i="7"/>
  <c r="NC58" i="7" s="1"/>
  <c r="NC59" i="7" s="1"/>
  <c r="NB62" i="7"/>
  <c r="NB65" i="7"/>
  <c r="NB68" i="7"/>
  <c r="NB73" i="7"/>
  <c r="NB30" i="7"/>
  <c r="NB31" i="7" s="1"/>
  <c r="NB46" i="7"/>
  <c r="NB47" i="7" s="1"/>
  <c r="MZ102" i="7" l="1"/>
  <c r="MZ108" i="7"/>
  <c r="MZ116" i="7" s="1"/>
  <c r="NA98" i="7"/>
  <c r="NB74" i="7"/>
  <c r="NB75" i="7" s="1"/>
  <c r="NB69" i="7"/>
  <c r="NC36" i="7"/>
  <c r="NC52" i="7"/>
  <c r="NC44" i="7"/>
  <c r="NC28" i="7"/>
  <c r="NC60" i="7"/>
  <c r="NB63" i="7"/>
  <c r="NC72" i="7" l="1"/>
  <c r="NB77" i="7"/>
  <c r="NB70" i="7"/>
  <c r="NB83" i="7" s="1"/>
  <c r="NB88" i="7" s="1"/>
  <c r="NB89" i="7" s="1"/>
  <c r="NC67" i="7"/>
  <c r="NC37" i="7"/>
  <c r="ND33" i="7" s="1"/>
  <c r="ND34" i="7" s="1"/>
  <c r="ND35" i="7" s="1"/>
  <c r="NC53" i="7"/>
  <c r="ND49" i="7" s="1"/>
  <c r="ND50" i="7" s="1"/>
  <c r="ND51" i="7" s="1"/>
  <c r="NC29" i="7"/>
  <c r="ND25" i="7" s="1"/>
  <c r="NC61" i="7"/>
  <c r="ND57" i="7" s="1"/>
  <c r="ND58" i="7" s="1"/>
  <c r="ND59" i="7" s="1"/>
  <c r="NC45" i="7"/>
  <c r="ND41" i="7" s="1"/>
  <c r="ND42" i="7" s="1"/>
  <c r="ND43" i="7" s="1"/>
  <c r="NA92" i="7"/>
  <c r="NA90" i="7"/>
  <c r="MZ104" i="7"/>
  <c r="MZ112" i="7" s="1"/>
  <c r="MZ120" i="7" s="1"/>
  <c r="MZ103" i="7"/>
  <c r="MZ111" i="7" s="1"/>
  <c r="MZ119" i="7" s="1"/>
  <c r="MZ106" i="7"/>
  <c r="MZ114" i="7" s="1"/>
  <c r="MZ122" i="7" s="1"/>
  <c r="MZ105" i="7"/>
  <c r="MZ113" i="7" s="1"/>
  <c r="MZ121" i="7" s="1"/>
  <c r="MZ107" i="7"/>
  <c r="MZ115" i="7" s="1"/>
  <c r="MZ123" i="7" s="1"/>
  <c r="NC54" i="7" l="1"/>
  <c r="NC55" i="7" s="1"/>
  <c r="NC30" i="7"/>
  <c r="NC31" i="7" s="1"/>
  <c r="NC73" i="7"/>
  <c r="NC68" i="7"/>
  <c r="NC38" i="7"/>
  <c r="NC39" i="7" s="1"/>
  <c r="NC65" i="7"/>
  <c r="NC46" i="7"/>
  <c r="NC47" i="7" s="1"/>
  <c r="ND26" i="7"/>
  <c r="ND27" i="7" s="1"/>
  <c r="NB79" i="7"/>
  <c r="NB81" i="7"/>
  <c r="NB80" i="7"/>
  <c r="NB78" i="7"/>
  <c r="NB82" i="7"/>
  <c r="NB85" i="7"/>
  <c r="NA94" i="7"/>
  <c r="NA93" i="7"/>
  <c r="NA96" i="7"/>
  <c r="NA95" i="7"/>
  <c r="NA100" i="7"/>
  <c r="NC62" i="7"/>
  <c r="NC63" i="7" s="1"/>
  <c r="NC69" i="7" l="1"/>
  <c r="ND67" i="7" s="1"/>
  <c r="ND60" i="7"/>
  <c r="ND36" i="7"/>
  <c r="ND52" i="7"/>
  <c r="ND44" i="7"/>
  <c r="ND28" i="7"/>
  <c r="NA108" i="7"/>
  <c r="NA116" i="7" s="1"/>
  <c r="NA102" i="7"/>
  <c r="NB98" i="7"/>
  <c r="NC74" i="7"/>
  <c r="NC70" i="7" l="1"/>
  <c r="ND53" i="7"/>
  <c r="ND54" i="7" s="1"/>
  <c r="ND55" i="7" s="1"/>
  <c r="ND45" i="7"/>
  <c r="ND46" i="7" s="1"/>
  <c r="ND47" i="7" s="1"/>
  <c r="ND61" i="7"/>
  <c r="ND62" i="7" s="1"/>
  <c r="ND63" i="7" s="1"/>
  <c r="ND37" i="7"/>
  <c r="ND38" i="7" s="1"/>
  <c r="ND39" i="7" s="1"/>
  <c r="ND29" i="7"/>
  <c r="ND30" i="7" s="1"/>
  <c r="ND31" i="7" s="1"/>
  <c r="NC75" i="7"/>
  <c r="NC83" i="7" s="1"/>
  <c r="NC88" i="7" s="1"/>
  <c r="NC89" i="7" s="1"/>
  <c r="ND72" i="7"/>
  <c r="NB92" i="7"/>
  <c r="NB90" i="7"/>
  <c r="NC77" i="7"/>
  <c r="NA106" i="7"/>
  <c r="NA114" i="7" s="1"/>
  <c r="NA122" i="7" s="1"/>
  <c r="NA103" i="7"/>
  <c r="NA111" i="7" s="1"/>
  <c r="NA119" i="7" s="1"/>
  <c r="NA107" i="7"/>
  <c r="NA115" i="7" s="1"/>
  <c r="NA123" i="7" s="1"/>
  <c r="NA105" i="7"/>
  <c r="NA113" i="7" s="1"/>
  <c r="NA121" i="7" s="1"/>
  <c r="NA104" i="7"/>
  <c r="NA112" i="7" s="1"/>
  <c r="NA120" i="7" s="1"/>
  <c r="ND68" i="7" l="1"/>
  <c r="ND73" i="7"/>
  <c r="NB94" i="7"/>
  <c r="NB95" i="7"/>
  <c r="NB96" i="7"/>
  <c r="NB93" i="7"/>
  <c r="NB100" i="7"/>
  <c r="NC81" i="7"/>
  <c r="NC79" i="7"/>
  <c r="NC82" i="7"/>
  <c r="NC80" i="7"/>
  <c r="NC78" i="7"/>
  <c r="NC85" i="7"/>
  <c r="ND65" i="7"/>
  <c r="ND74" i="7" l="1"/>
  <c r="ND75" i="7" s="1"/>
  <c r="NC98" i="7"/>
  <c r="NB102" i="7"/>
  <c r="NB108" i="7"/>
  <c r="NB116" i="7" s="1"/>
  <c r="ND69" i="7"/>
  <c r="ND77" i="7" l="1"/>
  <c r="ND70" i="7"/>
  <c r="ND83" i="7" s="1"/>
  <c r="ND88" i="7" s="1"/>
  <c r="ND89" i="7" s="1"/>
  <c r="NB104" i="7"/>
  <c r="NB112" i="7" s="1"/>
  <c r="NB120" i="7" s="1"/>
  <c r="NB103" i="7"/>
  <c r="NB111" i="7" s="1"/>
  <c r="NB119" i="7" s="1"/>
  <c r="NB105" i="7"/>
  <c r="NB113" i="7" s="1"/>
  <c r="NB121" i="7" s="1"/>
  <c r="NB107" i="7"/>
  <c r="NB115" i="7" s="1"/>
  <c r="NB123" i="7" s="1"/>
  <c r="NB106" i="7"/>
  <c r="NB114" i="7" s="1"/>
  <c r="NB122" i="7" s="1"/>
  <c r="NC92" i="7"/>
  <c r="NC90" i="7"/>
  <c r="NC95" i="7" l="1"/>
  <c r="NC94" i="7"/>
  <c r="NC93" i="7"/>
  <c r="NC96" i="7"/>
  <c r="NC100" i="7"/>
  <c r="ND82" i="7"/>
  <c r="ND79" i="7"/>
  <c r="ND78" i="7"/>
  <c r="ND81" i="7"/>
  <c r="ND80" i="7"/>
  <c r="ND85" i="7"/>
  <c r="NC108" i="7" l="1"/>
  <c r="NC116" i="7" s="1"/>
  <c r="NC102" i="7"/>
  <c r="ND98" i="7"/>
  <c r="NC105" i="7" l="1"/>
  <c r="NC113" i="7" s="1"/>
  <c r="NC121" i="7" s="1"/>
  <c r="NC106" i="7"/>
  <c r="NC114" i="7" s="1"/>
  <c r="NC122" i="7" s="1"/>
  <c r="NC104" i="7"/>
  <c r="NC112" i="7" s="1"/>
  <c r="NC120" i="7" s="1"/>
  <c r="NC107" i="7"/>
  <c r="NC115" i="7" s="1"/>
  <c r="NC123" i="7" s="1"/>
  <c r="NC103" i="7"/>
  <c r="NC111" i="7" s="1"/>
  <c r="NC119" i="7" s="1"/>
  <c r="ND90" i="7"/>
  <c r="ND92" i="7"/>
  <c r="ND94" i="7" l="1"/>
  <c r="ND93" i="7"/>
  <c r="ND95" i="7"/>
  <c r="ND96" i="7"/>
  <c r="ND100" i="7"/>
  <c r="ND102" i="7" l="1"/>
  <c r="ND108" i="7"/>
  <c r="ND116" i="7" s="1"/>
  <c r="ND106" i="7" l="1"/>
  <c r="ND114" i="7" s="1"/>
  <c r="ND122" i="7" s="1"/>
  <c r="ND103" i="7"/>
  <c r="ND111" i="7" s="1"/>
  <c r="ND119" i="7" s="1"/>
  <c r="ND105" i="7"/>
  <c r="ND113" i="7" s="1"/>
  <c r="ND121" i="7" s="1"/>
  <c r="ND107" i="7"/>
  <c r="ND115" i="7" s="1"/>
  <c r="ND123" i="7" s="1"/>
  <c r="ND104" i="7"/>
  <c r="ND112" i="7" s="1"/>
  <c r="ND120" i="7" s="1"/>
  <c r="D121" i="7" l="1"/>
  <c r="F121" i="7"/>
  <c r="E121" i="7"/>
  <c r="D119" i="7"/>
  <c r="F119" i="7"/>
  <c r="E119" i="7"/>
  <c r="F120" i="7"/>
  <c r="E120" i="7"/>
  <c r="D120" i="7"/>
  <c r="D123" i="7"/>
  <c r="E123" i="7"/>
  <c r="F123" i="7"/>
  <c r="F122" i="7"/>
  <c r="E122" i="7"/>
  <c r="D122" i="7"/>
  <c r="C22" i="8" l="1"/>
  <c r="F19" i="2"/>
  <c r="C23" i="8"/>
  <c r="G19" i="2"/>
  <c r="C24" i="8"/>
  <c r="H19" i="2"/>
  <c r="G18" i="2"/>
  <c r="C12" i="8"/>
  <c r="H18" i="2"/>
  <c r="C13" i="8"/>
  <c r="C45" i="8"/>
  <c r="G21" i="2"/>
  <c r="F18" i="2"/>
  <c r="C11" i="8"/>
  <c r="G20" i="2"/>
  <c r="C34" i="8"/>
  <c r="F21" i="2"/>
  <c r="C44" i="8"/>
  <c r="H21" i="2"/>
  <c r="C46" i="8"/>
  <c r="C57" i="8"/>
  <c r="H22" i="2"/>
  <c r="C56" i="8"/>
  <c r="G22" i="2"/>
  <c r="F22" i="2"/>
  <c r="C55" i="8"/>
  <c r="H20" i="2"/>
  <c r="C35" i="8"/>
  <c r="C33" i="8"/>
  <c r="F20"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Ninja C</author>
  </authors>
  <commentList>
    <comment ref="G27" authorId="0" shapeId="0" xr:uid="{8DF6A0E7-5E90-6A4F-9372-C138179E2BB2}">
      <text>
        <r>
          <rPr>
            <b/>
            <sz val="10"/>
            <color rgb="FF000000"/>
            <rFont val="Tahoma"/>
            <family val="2"/>
          </rPr>
          <t>Ninja C:</t>
        </r>
        <r>
          <rPr>
            <sz val="10"/>
            <color rgb="FF000000"/>
            <rFont val="Tahoma"/>
            <family val="2"/>
          </rPr>
          <t xml:space="preserve">
</t>
        </r>
        <r>
          <rPr>
            <sz val="10"/>
            <color rgb="FF000000"/>
            <rFont val="Tahoma"/>
            <family val="2"/>
          </rPr>
          <t>Source: Dundas Brochure.pdf, uploaded 2026-09-04 — Financial Report rent roll page (unit sizes in SF).</t>
        </r>
      </text>
    </comment>
    <comment ref="H27" authorId="0" shapeId="0" xr:uid="{44594E47-DBC8-2B4B-A0BD-266B8DCE12BD}">
      <text>
        <r>
          <rPr>
            <b/>
            <sz val="10"/>
            <color rgb="FF000000"/>
            <rFont val="Tahoma"/>
            <family val="2"/>
          </rPr>
          <t>Ninja C:</t>
        </r>
        <r>
          <rPr>
            <sz val="10"/>
            <color rgb="FF000000"/>
            <rFont val="Tahoma"/>
            <family val="2"/>
          </rPr>
          <t xml:space="preserve">
Actual in-place rents hardcoded from Dundas Brochure.pdf (uploaded 2026-09-04), Financial Report rent roll page. Replaces prior estimate of 67% of market rate.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Ninja C</author>
  </authors>
  <commentList>
    <comment ref="E15" authorId="0" shapeId="0" xr:uid="{85667725-DB92-1A49-AB3B-0025BEF8610A}">
      <text>
        <r>
          <rPr>
            <b/>
            <sz val="10"/>
            <color rgb="FF000000"/>
            <rFont val="Tahoma"/>
            <family val="2"/>
          </rPr>
          <t>Ninja C:</t>
        </r>
        <r>
          <rPr>
            <sz val="10"/>
            <color rgb="FF000000"/>
            <rFont val="Tahoma"/>
            <family val="2"/>
          </rPr>
          <t xml:space="preserve">
</t>
        </r>
        <r>
          <rPr>
            <sz val="10"/>
            <color rgb="FF000000"/>
            <rFont val="Tahoma"/>
            <family val="2"/>
          </rPr>
          <t xml:space="preserve">Rounded to nearest hundred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Ninja C</author>
  </authors>
  <commentList>
    <comment ref="C26" authorId="0" shapeId="0" xr:uid="{735BF039-19FA-C54F-B866-EDBEFCAA3689}">
      <text>
        <r>
          <rPr>
            <b/>
            <sz val="10"/>
            <color rgb="FF000000"/>
            <rFont val="Tahoma"/>
            <family val="2"/>
          </rPr>
          <t>Ninja C:</t>
        </r>
        <r>
          <rPr>
            <sz val="10"/>
            <color rgb="FF000000"/>
            <rFont val="Tahoma"/>
            <family val="2"/>
          </rPr>
          <t xml:space="preserve">
</t>
        </r>
        <r>
          <rPr>
            <sz val="10"/>
            <color rgb="FF000000"/>
            <rFont val="Aptos Narrow"/>
          </rPr>
          <t xml:space="preserve">Preferred Return: Calculated using whatever amount of equity is left. Start with initial equity, then it will smaller as equity is repaid. 
</t>
        </r>
      </text>
    </comment>
    <comment ref="C87" authorId="0" shapeId="0" xr:uid="{856122A8-F443-C143-AF48-F3107F0B8FFF}">
      <text>
        <r>
          <rPr>
            <b/>
            <sz val="10"/>
            <color rgb="FF000000"/>
            <rFont val="Tahoma"/>
            <family val="2"/>
          </rPr>
          <t>Ninja C:</t>
        </r>
        <r>
          <rPr>
            <sz val="10"/>
            <color rgb="FF000000"/>
            <rFont val="Tahoma"/>
            <family val="2"/>
          </rPr>
          <t xml:space="preserve">
</t>
        </r>
        <r>
          <rPr>
            <sz val="10"/>
            <color rgb="FF000000"/>
            <rFont val="Tahoma"/>
            <family val="2"/>
          </rPr>
          <t>How much will managers earn if this was the split since the beginning?</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Ninja C</author>
  </authors>
  <commentList>
    <comment ref="D6" authorId="0" shapeId="0" xr:uid="{B2E14C14-4956-F247-B1DE-815ECC378C05}">
      <text>
        <r>
          <rPr>
            <b/>
            <sz val="15"/>
            <color rgb="FF0E2841"/>
            <rFont val="Aptos Narrow"/>
            <family val="2"/>
          </rPr>
          <t>Ninja C:</t>
        </r>
        <r>
          <rPr>
            <sz val="18"/>
            <color rgb="FF0E2841"/>
            <rFont val="Aptos Display"/>
            <family val="2"/>
            <charset val="1"/>
          </rPr>
          <t xml:space="preserve">
</t>
        </r>
        <r>
          <rPr>
            <sz val="18"/>
            <color rgb="FF0E2841"/>
            <rFont val="Aptos Display"/>
            <family val="2"/>
            <charset val="1"/>
          </rPr>
          <t xml:space="preserve">If going to be fractional years, it has to be in .25, .5, or .75 for the model to function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<sst xmlns="http://schemas.openxmlformats.org/spreadsheetml/2006/main" count="702" uniqueCount="414">
  <si>
    <t>Purchase Price</t>
  </si>
  <si>
    <t>Purchase Date</t>
  </si>
  <si>
    <t>Closing Costs</t>
  </si>
  <si>
    <t>Renovations</t>
  </si>
  <si>
    <t>Initial Renovation Costs</t>
  </si>
  <si>
    <t>Exit Renovation Costs</t>
  </si>
  <si>
    <t>Total Project Cost</t>
  </si>
  <si>
    <t>Financing Structure</t>
  </si>
  <si>
    <t>Total Project Loan Amount</t>
  </si>
  <si>
    <t>Amortization (yrs)</t>
  </si>
  <si>
    <t>Interest Rate on Debt</t>
  </si>
  <si>
    <t>Exit Assumptions</t>
  </si>
  <si>
    <t xml:space="preserve">Length of Hold (yrs) </t>
  </si>
  <si>
    <t>Sale Price at Exit</t>
  </si>
  <si>
    <t>Cost of Sale</t>
  </si>
  <si>
    <t>Rent Growth Rate (%/yr)</t>
  </si>
  <si>
    <t>Property Taxes ($/yr)</t>
  </si>
  <si>
    <t>Insurance ($/yr)</t>
  </si>
  <si>
    <t>Property Manager Fee (%/mo rent)</t>
  </si>
  <si>
    <t>Discount Rate (%) for NPV</t>
  </si>
  <si>
    <t>Financing Sources</t>
  </si>
  <si>
    <t>Equity</t>
  </si>
  <si>
    <t>Debt</t>
  </si>
  <si>
    <t>Total Financing</t>
  </si>
  <si>
    <t>Uses</t>
  </si>
  <si>
    <t>Purchasing Price</t>
  </si>
  <si>
    <t>Initial Renovations</t>
  </si>
  <si>
    <t>Exit Renovations</t>
  </si>
  <si>
    <t>Total Financing Used</t>
  </si>
  <si>
    <t>Project Performance</t>
  </si>
  <si>
    <t>Leveraged Return</t>
  </si>
  <si>
    <t>Leveraged Return Multiple</t>
  </si>
  <si>
    <t>Leveraged NPV</t>
  </si>
  <si>
    <t>Unlevered Return</t>
  </si>
  <si>
    <t>Leverage Return Multiple</t>
  </si>
  <si>
    <t>Unlevered NPV</t>
  </si>
  <si>
    <t>Investors</t>
  </si>
  <si>
    <t>% Equity</t>
  </si>
  <si>
    <t>Total Investment</t>
  </si>
  <si>
    <t>IRR</t>
  </si>
  <si>
    <t>NPV</t>
  </si>
  <si>
    <t>Net Multiple</t>
  </si>
  <si>
    <t>Brian</t>
  </si>
  <si>
    <t>Chris</t>
  </si>
  <si>
    <t>Is Investor 1 a Manager?</t>
  </si>
  <si>
    <t>Yes</t>
  </si>
  <si>
    <t>1st-Tier</t>
  </si>
  <si>
    <t>Preferred Return to Investors</t>
  </si>
  <si>
    <t>Equity Required</t>
  </si>
  <si>
    <t>Equity Investors</t>
  </si>
  <si>
    <t>Project Manager</t>
  </si>
  <si>
    <t>then</t>
  </si>
  <si>
    <t>1st split to Investors</t>
  </si>
  <si>
    <t>until</t>
  </si>
  <si>
    <t>1st split to Manager</t>
  </si>
  <si>
    <t>2nd-Tier</t>
  </si>
  <si>
    <t>Cash Mult</t>
  </si>
  <si>
    <t>3rd-Tier</t>
  </si>
  <si>
    <t>Catch-up Manager</t>
  </si>
  <si>
    <t>To Investors</t>
  </si>
  <si>
    <t>4th-Tier</t>
  </si>
  <si>
    <t>Final Split to Investors</t>
  </si>
  <si>
    <t>Final Split to Manager</t>
  </si>
  <si>
    <t>Number of Months</t>
  </si>
  <si>
    <t>Date</t>
  </si>
  <si>
    <t>Time Period</t>
  </si>
  <si>
    <t>Available for Lease</t>
  </si>
  <si>
    <t>Amortization Calendar</t>
  </si>
  <si>
    <t>Principal</t>
  </si>
  <si>
    <t>Payments per year</t>
  </si>
  <si>
    <t>Months between Payments</t>
  </si>
  <si>
    <t>Annual Interest Rate</t>
  </si>
  <si>
    <t>Interest Rate per period</t>
  </si>
  <si>
    <t>Annually</t>
  </si>
  <si>
    <t>Term Loan (Years)</t>
  </si>
  <si>
    <t>Number of Payments</t>
  </si>
  <si>
    <t>Semi-annually</t>
  </si>
  <si>
    <t>Payment Schedule</t>
  </si>
  <si>
    <t>Monthly</t>
  </si>
  <si>
    <t>Total Payments</t>
  </si>
  <si>
    <t>Quarterly</t>
  </si>
  <si>
    <t>First Payment Date</t>
  </si>
  <si>
    <t>Total Interest</t>
  </si>
  <si>
    <t>Interest-Only?</t>
  </si>
  <si>
    <t>Total Payment per Period</t>
  </si>
  <si>
    <t>Final Payment Column</t>
  </si>
  <si>
    <t>Payment Period</t>
  </si>
  <si>
    <t>Payment Due Date</t>
  </si>
  <si>
    <t>Principal Balance</t>
  </si>
  <si>
    <t>Payment per Period</t>
  </si>
  <si>
    <t>Interest</t>
  </si>
  <si>
    <t>Exit Sale</t>
  </si>
  <si>
    <t>Final column</t>
  </si>
  <si>
    <t>Rental Growth Rate</t>
  </si>
  <si>
    <t xml:space="preserve"> </t>
  </si>
  <si>
    <t>Sale Price</t>
  </si>
  <si>
    <t>Less Debt</t>
  </si>
  <si>
    <t>Net Proceeds</t>
  </si>
  <si>
    <t>Levered NPV</t>
  </si>
  <si>
    <t>NOI</t>
  </si>
  <si>
    <t>Effective Gross Income</t>
  </si>
  <si>
    <t>Operating Assumptions</t>
  </si>
  <si>
    <t>Rental Revenue</t>
  </si>
  <si>
    <t>Acquisition Costs</t>
  </si>
  <si>
    <t>Total Acquisition Costs</t>
  </si>
  <si>
    <t>CAPEX</t>
  </si>
  <si>
    <t>Unlevered Cash Flow</t>
  </si>
  <si>
    <t>Debt Repayment</t>
  </si>
  <si>
    <t>Loan Amount</t>
  </si>
  <si>
    <t>Interest Payment</t>
  </si>
  <si>
    <t>Interest Paid with Rent</t>
  </si>
  <si>
    <t>Principal Repayment</t>
  </si>
  <si>
    <t>Principal Paid with Rent</t>
  </si>
  <si>
    <t>Principal Paid with Account</t>
  </si>
  <si>
    <t>Interest Paid with Account</t>
  </si>
  <si>
    <t>Principal Paid at Exit</t>
  </si>
  <si>
    <t>Exit</t>
  </si>
  <si>
    <t>Less Cost of Sales</t>
  </si>
  <si>
    <t>Unlevered Cash Flows</t>
  </si>
  <si>
    <t>Unlevered Performance</t>
  </si>
  <si>
    <t>Unlevered IRR</t>
  </si>
  <si>
    <t>Unlevered Cash Multiple</t>
  </si>
  <si>
    <t>Levered Performance</t>
  </si>
  <si>
    <t>Total Project Investment</t>
  </si>
  <si>
    <t>Total Equity Investment</t>
  </si>
  <si>
    <t>Levered Cash Flows</t>
  </si>
  <si>
    <t>Levered Cash Flows before Sale</t>
  </si>
  <si>
    <t>Unlevered Cash Flows before Sale</t>
  </si>
  <si>
    <t>Levered IRR</t>
  </si>
  <si>
    <t>Levered Cash Multiple</t>
  </si>
  <si>
    <t>Monthly P&amp;L</t>
  </si>
  <si>
    <t>Annual P&amp;L</t>
  </si>
  <si>
    <t>Hold Period (years)</t>
  </si>
  <si>
    <t>Year</t>
  </si>
  <si>
    <t>Purchase</t>
  </si>
  <si>
    <t>Vacancy Allowance</t>
  </si>
  <si>
    <t>Property Management Fee</t>
  </si>
  <si>
    <t>Repairs Allowance</t>
  </si>
  <si>
    <t>Utilities</t>
  </si>
  <si>
    <t>Property Tax</t>
  </si>
  <si>
    <t>Insurance</t>
  </si>
  <si>
    <t>Total Operating Expense</t>
  </si>
  <si>
    <t>Sale Proceeds</t>
  </si>
  <si>
    <t>Total Debt Service</t>
  </si>
  <si>
    <t>Loan Balance</t>
  </si>
  <si>
    <t>Levered Cash Flow</t>
  </si>
  <si>
    <t>Exit Cap Rate</t>
  </si>
  <si>
    <t>Debt Service Coverage</t>
  </si>
  <si>
    <t>Return on Total Investment Cost</t>
  </si>
  <si>
    <t>Return on Equity Investment</t>
  </si>
  <si>
    <t>Waterfall Structure</t>
  </si>
  <si>
    <t>Investor Breakdown</t>
  </si>
  <si>
    <t>1st Tier</t>
  </si>
  <si>
    <t>Pref</t>
  </si>
  <si>
    <t>1st Split Investors</t>
  </si>
  <si>
    <t>1st Split Managers</t>
  </si>
  <si>
    <t>2nd Tier</t>
  </si>
  <si>
    <t>Total</t>
  </si>
  <si>
    <t>3rd Tier</t>
  </si>
  <si>
    <t>4th Tier</t>
  </si>
  <si>
    <t>Final Split Investors</t>
  </si>
  <si>
    <t>Discount Rate</t>
  </si>
  <si>
    <t>Final Split Manager</t>
  </si>
  <si>
    <t>Cash Flow From Investment</t>
  </si>
  <si>
    <t>First Tier</t>
  </si>
  <si>
    <t>Cumulative Returns</t>
  </si>
  <si>
    <t>Equity Repaid</t>
  </si>
  <si>
    <t>Remaining Cash Flow</t>
  </si>
  <si>
    <t>Second Tier</t>
  </si>
  <si>
    <t>Investor Cash Mult Hurdle</t>
  </si>
  <si>
    <t>Paid Previously</t>
  </si>
  <si>
    <t>Split to Investors</t>
  </si>
  <si>
    <t>Spli to Managers</t>
  </si>
  <si>
    <t>Investor IRR Hurdle</t>
  </si>
  <si>
    <t>Actual to Investors</t>
  </si>
  <si>
    <t>Actual to Manager</t>
  </si>
  <si>
    <t>Third Tier</t>
  </si>
  <si>
    <t>Catch-up Split to Managers</t>
  </si>
  <si>
    <t>Paid  so far</t>
  </si>
  <si>
    <t>Catch-up Hurdle</t>
  </si>
  <si>
    <t>To Manager Catch-up</t>
  </si>
  <si>
    <t>Investor during Catch-up</t>
  </si>
  <si>
    <t>Proceeds to Catch-up</t>
  </si>
  <si>
    <t>Fourth Tier</t>
  </si>
  <si>
    <t>Remaining to Investors</t>
  </si>
  <si>
    <t>Remaining to Manager</t>
  </si>
  <si>
    <t>Total to Investors</t>
  </si>
  <si>
    <t>Total to Manager</t>
  </si>
  <si>
    <t>Valuation</t>
  </si>
  <si>
    <t>Final Cash Flows</t>
  </si>
  <si>
    <t>time periods</t>
  </si>
  <si>
    <t>Hold Length (years)</t>
  </si>
  <si>
    <t>Total Invested Equity</t>
  </si>
  <si>
    <t>Equity Share</t>
  </si>
  <si>
    <t>Net Cash Flows</t>
  </si>
  <si>
    <t>Total Invested</t>
  </si>
  <si>
    <t>Net Cash</t>
  </si>
  <si>
    <t>Cash Multiple</t>
  </si>
  <si>
    <t>Cash Flows from Project</t>
  </si>
  <si>
    <t>Investment Level Summary</t>
  </si>
  <si>
    <t>Performance</t>
  </si>
  <si>
    <t>Unlevered</t>
  </si>
  <si>
    <t>Levered</t>
  </si>
  <si>
    <t>Interest-only or Amort. Loan</t>
  </si>
  <si>
    <t>Amortized</t>
  </si>
  <si>
    <t>Total Debt Service Paid</t>
  </si>
  <si>
    <t># Units</t>
  </si>
  <si>
    <t>Multi-Family Property</t>
  </si>
  <si>
    <t>Sq. Footage</t>
  </si>
  <si>
    <t>Total Esitmated Purchase Price</t>
  </si>
  <si>
    <t>Purchase Assumptions</t>
  </si>
  <si>
    <t>Total Purchase Price</t>
  </si>
  <si>
    <t>Average Price per Unit</t>
  </si>
  <si>
    <t>Model Assumptions</t>
  </si>
  <si>
    <t>Management Fee</t>
  </si>
  <si>
    <t>Yearly</t>
  </si>
  <si>
    <t>Less Vacancy Allowance</t>
  </si>
  <si>
    <t>Operating Expenses</t>
  </si>
  <si>
    <t>Utilities ($ / month)</t>
  </si>
  <si>
    <t>Capital Expenditures ($ / yr)</t>
  </si>
  <si>
    <t>Debt Service Paid from Account</t>
  </si>
  <si>
    <t>--&gt; Max 30 yrs</t>
  </si>
  <si>
    <t>Sensitivity Analysis</t>
  </si>
  <si>
    <t>Step</t>
  </si>
  <si>
    <t>Final Column</t>
  </si>
  <si>
    <t>Base Discount Rate</t>
  </si>
  <si>
    <t>Base Exit Cap Rate</t>
  </si>
  <si>
    <t>Base Rental Growth Rate</t>
  </si>
  <si>
    <t>Base Case Assumptions</t>
  </si>
  <si>
    <t>Debt Service Coverage Ratio</t>
  </si>
  <si>
    <t>Sample Property:</t>
  </si>
  <si>
    <t>--&gt; Sale Brochure</t>
  </si>
  <si>
    <t>Notes/Source</t>
  </si>
  <si>
    <t>Renovation Period (months)</t>
  </si>
  <si>
    <t>--&gt; As % of Purchase Price</t>
  </si>
  <si>
    <t>--&gt; Gov Bond + Risk Premium</t>
  </si>
  <si>
    <t>Annual Appreciation Rate</t>
  </si>
  <si>
    <t>Final Year NOI</t>
  </si>
  <si>
    <t>-</t>
  </si>
  <si>
    <t>Building Utilities</t>
  </si>
  <si>
    <t>Minimal exit renovation due to mid-term hold period</t>
  </si>
  <si>
    <t>Description</t>
  </si>
  <si>
    <t>City Tax Rate</t>
  </si>
  <si>
    <t>Education Tax Rate</t>
  </si>
  <si>
    <t>City Building Fund</t>
  </si>
  <si>
    <t>Total Tax Rate</t>
  </si>
  <si>
    <t>Residential</t>
  </si>
  <si>
    <t>Multi-Residential</t>
  </si>
  <si>
    <t>New Multi-Residential</t>
  </si>
  <si>
    <t>Commercial*</t>
  </si>
  <si>
    <t>Industrial*</t>
  </si>
  <si>
    <t>Pipelines</t>
  </si>
  <si>
    <t>Farmlands</t>
  </si>
  <si>
    <t>Managed Forests</t>
  </si>
  <si>
    <t>City of Toronto Property Tax Rates</t>
  </si>
  <si>
    <t>$500 per unit</t>
  </si>
  <si>
    <t>Gov Bond yields of 4% + premium from other potential opportunities + Higher risk perceived from higher cap rates</t>
  </si>
  <si>
    <t>Gas</t>
  </si>
  <si>
    <t>Electricity</t>
  </si>
  <si>
    <t>Fire Alarm</t>
  </si>
  <si>
    <t>Water</t>
  </si>
  <si>
    <t>Internet/Security</t>
  </si>
  <si>
    <t>Superintendent</t>
  </si>
  <si>
    <t>Multi-family Property</t>
  </si>
  <si>
    <t>Building Info</t>
  </si>
  <si>
    <t>Year Built</t>
  </si>
  <si>
    <t>Age</t>
  </si>
  <si>
    <t>Listed Price</t>
  </si>
  <si>
    <t>Current NOI</t>
  </si>
  <si>
    <t>Implied Cap Rate</t>
  </si>
  <si>
    <t>Floorplan</t>
  </si>
  <si>
    <t>Unit #</t>
  </si>
  <si>
    <t>Rent Roll</t>
  </si>
  <si>
    <t>Future Rent Increases</t>
  </si>
  <si>
    <t>Tenant Name</t>
  </si>
  <si>
    <t>Rent Start</t>
  </si>
  <si>
    <t>Rent Expire</t>
  </si>
  <si>
    <t>Monthly Base Rent</t>
  </si>
  <si>
    <t>Rent PSF</t>
  </si>
  <si>
    <t>Unit Type</t>
  </si>
  <si>
    <t>Annual Base Rent</t>
  </si>
  <si>
    <t>Annual Rent PSF</t>
  </si>
  <si>
    <t>Units Breakdown</t>
  </si>
  <si>
    <t>Revenue</t>
  </si>
  <si>
    <t>Consolidated Financials</t>
  </si>
  <si>
    <t>Repairs ($ / month)</t>
  </si>
  <si>
    <t>Annual</t>
  </si>
  <si>
    <t>Rent Increase</t>
  </si>
  <si>
    <t>Total Monthly Rent</t>
  </si>
  <si>
    <t>Total Monthly Utilities</t>
  </si>
  <si>
    <t>Total Monthly Repairs</t>
  </si>
  <si>
    <t>Current Market Rent</t>
  </si>
  <si>
    <t>Notes</t>
  </si>
  <si>
    <t>Average Price per Suite</t>
  </si>
  <si>
    <t>Total Site Area (Sq Ft)</t>
  </si>
  <si>
    <t>GLA (Sq Ft)</t>
  </si>
  <si>
    <t>Estimated Year 1 Financials</t>
  </si>
  <si>
    <t>Parking Revenue</t>
  </si>
  <si>
    <t>Monthly Rate</t>
  </si>
  <si>
    <t>Rental</t>
  </si>
  <si>
    <t>Total Revenue</t>
  </si>
  <si>
    <t>Other Revenue Streams</t>
  </si>
  <si>
    <t>Rental Upside</t>
  </si>
  <si>
    <t>Vacancy Allowance (%)</t>
  </si>
  <si>
    <t>Effectinve Gross Income</t>
  </si>
  <si>
    <t>Inflation Rate (% / yr)</t>
  </si>
  <si>
    <t>Common Area Utilities ($ / yr)</t>
  </si>
  <si>
    <t>Common Area Utilities Breakdown per Year</t>
  </si>
  <si>
    <t>Property Taxes</t>
  </si>
  <si>
    <t>Total Operating Expenses</t>
  </si>
  <si>
    <t>Assessed Value</t>
  </si>
  <si>
    <t>T12 Financials</t>
  </si>
  <si>
    <t>*Not Provided</t>
  </si>
  <si>
    <t>Revenue Assumptions</t>
  </si>
  <si>
    <t>Operating Expenses Assumptions</t>
  </si>
  <si>
    <t>Reflects inflation rate from BoC + Operating premium. ***Rents WILL reach Market Rate in Year 3</t>
  </si>
  <si>
    <t>Valuation Assumptions</t>
  </si>
  <si>
    <t>Utlities Growth Rate</t>
  </si>
  <si>
    <t>Insurance Growth Rate</t>
  </si>
  <si>
    <t>Property Tax Growth Rate (% / yr)</t>
  </si>
  <si>
    <t>Total Monthly Rent (Market Rate)</t>
  </si>
  <si>
    <t>Current Market Base Rent</t>
  </si>
  <si>
    <t>Total Annual Rent</t>
  </si>
  <si>
    <t>Total Annual Market Rent</t>
  </si>
  <si>
    <t>Market Rate Realized</t>
  </si>
  <si>
    <t>Current Rents</t>
  </si>
  <si>
    <t>Less Management Fee</t>
  </si>
  <si>
    <t>Included in the renvoations assumptions</t>
  </si>
  <si>
    <t>Repair &amp; Maintenance Allowance</t>
  </si>
  <si>
    <t>Repair &amp; Maintenance Allowance ($ / yr)</t>
  </si>
  <si>
    <t>Reparid Allowance Growth Rate</t>
  </si>
  <si>
    <t>CAPEX (Renovations)</t>
  </si>
  <si>
    <t>Cash Reserve</t>
  </si>
  <si>
    <t>Equity from Investors</t>
  </si>
  <si>
    <t>Total Equity Invested</t>
  </si>
  <si>
    <t>Equity Cash Reserve</t>
  </si>
  <si>
    <t>Draw from Accounts</t>
  </si>
  <si>
    <t>Cash Reserve Account</t>
  </si>
  <si>
    <t>Opening Balance</t>
  </si>
  <si>
    <t>Closing Balance</t>
  </si>
  <si>
    <t>Unfunded Shortfall / Reserve Release</t>
  </si>
  <si>
    <t>Parking Rev Growth Rate</t>
  </si>
  <si>
    <t>Rental Rev Growth Rate</t>
  </si>
  <si>
    <t>Rental Revenue Growth Rate</t>
  </si>
  <si>
    <t>Parking Revenue Growth Rate</t>
  </si>
  <si>
    <t>Inflation Rate</t>
  </si>
  <si>
    <t>Property Management Fee (% of Rental Rev)</t>
  </si>
  <si>
    <t>Vacancy Allowance (% of Rental Rev)</t>
  </si>
  <si>
    <t>$150,000 upon purchase, and $50,000 upon exit</t>
  </si>
  <si>
    <t>Acts as the expense growth rate</t>
  </si>
  <si>
    <t>Potential Gross Revenue</t>
  </si>
  <si>
    <t>Aaron (Manager)</t>
  </si>
  <si>
    <t>Applied to Operating Expenses and Parking Lot revenues, pulled from the BoC</t>
  </si>
  <si>
    <t>Estimates</t>
  </si>
  <si>
    <t>Chart Source Data (linked)</t>
  </si>
  <si>
    <t>Debt / Equity Mix</t>
  </si>
  <si>
    <t>Financing Uses</t>
  </si>
  <si>
    <t>Annual NOI</t>
  </si>
  <si>
    <t>DSCR</t>
  </si>
  <si>
    <t>Minimum DSCR (1.0x)</t>
  </si>
  <si>
    <t>391 Major Mackenzie Drive E — Investment Dashboard</t>
  </si>
  <si>
    <t>Project Cash Flows</t>
  </si>
  <si>
    <t>Operating Performance</t>
  </si>
  <si>
    <t>Capital Structure</t>
  </si>
  <si>
    <t>Investor-Level Returns</t>
  </si>
  <si>
    <t>100</t>
  </si>
  <si>
    <t>101</t>
  </si>
  <si>
    <t>102</t>
  </si>
  <si>
    <t>103</t>
  </si>
  <si>
    <t>2472</t>
  </si>
  <si>
    <t>2474</t>
  </si>
  <si>
    <t>200</t>
  </si>
  <si>
    <t>201</t>
  </si>
  <si>
    <t>202</t>
  </si>
  <si>
    <t>203</t>
  </si>
  <si>
    <t>204</t>
  </si>
  <si>
    <t>205</t>
  </si>
  <si>
    <t>C1</t>
  </si>
  <si>
    <t>C3</t>
  </si>
  <si>
    <t>Studio — Small</t>
  </si>
  <si>
    <t>Studio — Mid</t>
  </si>
  <si>
    <t>Studio — Large</t>
  </si>
  <si>
    <t xml:space="preserve">2480 Dundas St W, </t>
  </si>
  <si>
    <t>Avg. Sq. Ft</t>
  </si>
  <si>
    <t>Reach Current Market Rates in 6 months</t>
  </si>
  <si>
    <t>Roof Sign</t>
  </si>
  <si>
    <t>Available Spots</t>
  </si>
  <si>
    <t xml:space="preserve">Signficantly old building, will need renovations done. Last substantial renovation conducted was in 2016. </t>
  </si>
  <si>
    <t>Rounded up from Sale Brochure</t>
  </si>
  <si>
    <t>According to Sale Brochure</t>
  </si>
  <si>
    <t xml:space="preserve">Reduced cap rate due to significant renovations and surrounding area improvement, but still relatively high due to age and zoning issues. </t>
  </si>
  <si>
    <t>Annual (Beg. Month 7)</t>
  </si>
  <si>
    <t>Market Rate</t>
  </si>
  <si>
    <t>Listing Price @ 6.15%</t>
  </si>
  <si>
    <t>Market</t>
  </si>
  <si>
    <t>Current</t>
  </si>
  <si>
    <t>Premium</t>
  </si>
  <si>
    <t>Sale Price Analysis</t>
  </si>
  <si>
    <t>Difference</t>
  </si>
  <si>
    <t>New Estimate</t>
  </si>
  <si>
    <t>Reported</t>
  </si>
  <si>
    <t>Rounded up Sale Brochure ($5,704.02 reported)</t>
  </si>
  <si>
    <t>Rounded up Sale Brochure ($3,593.39 reported)</t>
  </si>
  <si>
    <t>Rounded up Sale Brochure ($949.20 reported)</t>
  </si>
  <si>
    <t>Rounded up Sale Brochure ($9,200.21 reported)</t>
  </si>
  <si>
    <t>Rounded up Sale Brochure ($1,200.00 reported)</t>
  </si>
  <si>
    <t>Reported Expenses</t>
  </si>
  <si>
    <t>New Estimated Expenses</t>
  </si>
  <si>
    <t>Same Tax, Same Expenses</t>
  </si>
  <si>
    <t>New Tax, Same Expenses</t>
  </si>
  <si>
    <t>Market Rents Applied --&gt;</t>
  </si>
  <si>
    <t>Unfunded Shortfall/Release</t>
  </si>
  <si>
    <t xml:space="preserve">Roughly stayed the same. </t>
  </si>
  <si>
    <t>DSCR Year 1 is 1.12. Debt still poses a problem for financing approval, but shows that the change in tax assumptions is crucial. Current NOI is overvalued, considering property tax increases.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</si>
</sst>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3" formatCode="_(* #,##0.00_);_(* \(#,##0.00\);_(* &quot;-&quot;??_);_(@_)"/>
    <numFmt numFmtId="164" formatCode="m/d/yy;@"/>
    <numFmt numFmtId="165" formatCode="_(* #,##0_);_(* \(#,##0\);_(* &quot;-&quot;??_);_(@_)"/>
    <numFmt numFmtId="166" formatCode="#,##0;\(#,##0\);\-;@"/>
    <numFmt numFmtId="167" formatCode="0.0%;\(0.0%\);\-;@"/>
    <numFmt numFmtId="168" formatCode="0.00%;\(0.00%\);\-;@"/>
    <numFmt numFmtId="169" formatCode="0.00\x"/>
    <numFmt numFmtId="170" formatCode="_(* #,##0.0000_);_(* \(#,##0.0000\);_(* &quot;-&quot;??_);_(@_)"/>
    <numFmt numFmtId="171" formatCode="0.0%"/>
    <numFmt numFmtId="172" formatCode="_([$$-409]* #,##0_);_([$$-409]* \(#,##0\);_([$$-409]* &quot;-&quot;??_);_(@_)"/>
    <numFmt numFmtId="173" formatCode="_([$$-409]* #,##0.00_);_([$$-409]* \(#,##0.00\);_([$$-409]* &quot;-&quot;??_);_(@_)"/>
  </numFmts>
  <fonts count="51" x14ac:knownFonts="1">
    <font>
      <sz val="8"/>
      <color theme="1"/>
      <name val="Aptos Narrow"/>
      <family val="2"/>
      <scheme val="minor"/>
    </font>
    <font>
      <sz val="8"/>
      <color theme="1"/>
      <name val="Aptos Narrow"/>
      <family val="2"/>
      <scheme val="minor"/>
    </font>
    <font>
      <b/>
      <sz val="14"/>
      <color theme="1"/>
      <name val="Aptos Narrow"/>
      <scheme val="minor"/>
    </font>
    <font>
      <b/>
      <sz val="8"/>
      <color theme="1"/>
      <name val="Aptos Narrow"/>
      <scheme val="minor"/>
    </font>
    <font>
      <sz val="8"/>
      <color theme="4"/>
      <name val="Aptos Narrow"/>
      <family val="2"/>
      <scheme val="minor"/>
    </font>
    <font>
      <sz val="6"/>
      <color theme="1"/>
      <name val="Aptos Narrow"/>
      <family val="2"/>
      <scheme val="minor"/>
    </font>
    <font>
      <sz val="8"/>
      <color theme="1"/>
      <name val="Aptos Narrow"/>
      <scheme val="minor"/>
    </font>
    <font>
      <sz val="10"/>
      <color rgb="FF000000"/>
      <name val="Tahoma"/>
      <family val="2"/>
    </font>
    <font>
      <b/>
      <sz val="10"/>
      <color rgb="FF000000"/>
      <name val="Tahoma"/>
      <family val="2"/>
    </font>
    <font>
      <b/>
      <sz val="12"/>
      <color theme="1"/>
      <name val="Aptos Narrow"/>
      <scheme val="minor"/>
    </font>
    <font>
      <sz val="8"/>
      <color theme="0"/>
      <name val="Aptos Narrow"/>
      <family val="2"/>
      <scheme val="minor"/>
    </font>
    <font>
      <b/>
      <sz val="15"/>
      <color rgb="FF0E2841"/>
      <name val="Aptos Narrow"/>
      <family val="2"/>
    </font>
    <font>
      <sz val="18"/>
      <color rgb="FF0E2841"/>
      <name val="Aptos Display"/>
      <family val="2"/>
      <charset val="1"/>
    </font>
    <font>
      <sz val="8"/>
      <name val="Aptos Narrow"/>
      <family val="2"/>
      <scheme val="minor"/>
    </font>
    <font>
      <b/>
      <sz val="8"/>
      <color theme="0"/>
      <name val="Aptos Narrow"/>
      <scheme val="minor"/>
    </font>
    <font>
      <sz val="8"/>
      <color theme="0"/>
      <name val="Aptos Narrow"/>
      <scheme val="minor"/>
    </font>
    <font>
      <i/>
      <sz val="8"/>
      <color theme="0"/>
      <name val="Aptos Narrow"/>
      <scheme val="minor"/>
    </font>
    <font>
      <sz val="10"/>
      <name val="Arial"/>
      <family val="2"/>
    </font>
    <font>
      <sz val="10"/>
      <color rgb="FF000000"/>
      <name val="Aptos Narrow"/>
    </font>
    <font>
      <b/>
      <sz val="8"/>
      <name val="Aptos Narrow"/>
      <scheme val="minor"/>
    </font>
    <font>
      <sz val="8"/>
      <name val="Aptos Narrow"/>
      <scheme val="minor"/>
    </font>
    <font>
      <sz val="8"/>
      <color rgb="FF000000"/>
      <name val="Aptos Narrow"/>
      <family val="2"/>
      <scheme val="minor"/>
    </font>
    <font>
      <b/>
      <sz val="10"/>
      <color theme="1"/>
      <name val="Aptos Narrow"/>
      <scheme val="minor"/>
    </font>
    <font>
      <b/>
      <sz val="10"/>
      <name val="Aptos Narrow"/>
      <scheme val="minor"/>
    </font>
    <font>
      <b/>
      <sz val="10"/>
      <color theme="0"/>
      <name val="Aptos Narrow"/>
      <scheme val="minor"/>
    </font>
    <font>
      <sz val="10"/>
      <color theme="0"/>
      <name val="Aptos Narrow"/>
      <scheme val="minor"/>
    </font>
    <font>
      <b/>
      <i/>
      <sz val="8"/>
      <color theme="1"/>
      <name val="Aptos Narrow"/>
      <scheme val="minor"/>
    </font>
    <font>
      <i/>
      <sz val="8"/>
      <color theme="3" tint="0.249977111117893"/>
      <name val="Aptos Narrow"/>
      <scheme val="minor"/>
    </font>
    <font>
      <u/>
      <sz val="8"/>
      <color theme="10"/>
      <name val="Aptos Narrow"/>
      <family val="2"/>
      <scheme val="minor"/>
    </font>
    <font>
      <sz val="10"/>
      <color theme="0"/>
      <name val="Aptos Narrow"/>
      <family val="2"/>
      <scheme val="minor"/>
    </font>
    <font>
      <b/>
      <sz val="14"/>
      <color theme="0"/>
      <name val="Aptos Narrow"/>
      <scheme val="minor"/>
    </font>
    <font>
      <u/>
      <sz val="8"/>
      <color theme="0"/>
      <name val="Aptos Narrow"/>
      <family val="2"/>
      <scheme val="minor"/>
    </font>
    <font>
      <sz val="12"/>
      <color theme="4"/>
      <name val="Aptos Narrow"/>
      <family val="2"/>
      <scheme val="minor"/>
    </font>
    <font>
      <sz val="8"/>
      <color rgb="FF000000"/>
      <name val="Roboto"/>
    </font>
    <font>
      <sz val="8"/>
      <color rgb="FF000000"/>
      <name val="Roboto"/>
    </font>
    <font>
      <sz val="8"/>
      <color theme="0"/>
      <name val="Roboto"/>
    </font>
    <font>
      <sz val="8"/>
      <color theme="4"/>
      <name val="Aptos Narrow"/>
      <scheme val="minor"/>
    </font>
    <font>
      <b/>
      <sz val="8"/>
      <name val="Aptos Narrow"/>
      <family val="2"/>
      <scheme val="minor"/>
    </font>
    <font>
      <sz val="8"/>
      <color rgb="FFFF0000"/>
      <name val="Aptos Narrow"/>
      <family val="2"/>
      <scheme val="minor"/>
    </font>
    <font>
      <b/>
      <sz val="8"/>
      <color theme="3" tint="0.249977111117893"/>
      <name val="Aptos Narrow"/>
      <scheme val="minor"/>
    </font>
    <font>
      <b/>
      <sz val="8"/>
      <color theme="4"/>
      <name val="Aptos Narrow"/>
      <scheme val="minor"/>
    </font>
    <font>
      <b/>
      <sz val="6"/>
      <color theme="1"/>
      <name val="Aptos Narrow"/>
      <scheme val="minor"/>
    </font>
    <font>
      <sz val="8"/>
      <color theme="3" tint="0.249977111117893"/>
      <name val="Aptos Narrow"/>
      <family val="2"/>
      <scheme val="minor"/>
    </font>
    <font>
      <sz val="8"/>
      <name val="Roboto"/>
    </font>
    <font>
      <b/>
      <sz val="8"/>
      <color theme="1"/>
      <name val="Aptos Narrow"/>
      <family val="2"/>
      <scheme val="minor"/>
    </font>
    <font>
      <b/>
      <sz val="12"/>
      <color theme="1"/>
      <name val="Aptos Narrow"/>
      <family val="2"/>
      <scheme val="minor"/>
    </font>
    <font>
      <b/>
      <sz val="18"/>
      <color rgb="FF1F4E79"/>
      <name val="Aptos Narrow"/>
      <family val="2"/>
      <scheme val="minor"/>
    </font>
    <font>
      <b/>
      <sz val="14"/>
      <color rgb="FF1F4E79"/>
      <name val="Aptos Narrow"/>
      <family val="2"/>
      <scheme val="minor"/>
    </font>
    <font>
      <sz val="8"/>
      <color rgb="FF1C1EFF"/>
      <name val="Aptos Narrow"/>
      <family val="2"/>
      <scheme val="minor"/>
    </font>
    <font>
      <b/>
      <sz val="8"/>
      <color rgb="FF1C1EFF"/>
      <name val="Aptos Narrow"/>
      <scheme val="minor"/>
    </font>
    <font>
      <i/>
      <sz val="8"/>
      <color rgb="FF1C1EFF"/>
      <name val="Aptos Narrow"/>
      <scheme val="minor"/>
    </font>
  </fonts>
  <fills count="17">
    <fill>
      <patternFill patternType="none"/>
    </fill>
    <fill>
      <patternFill patternType="gray125"/>
    </fill>
    <fill>
      <patternFill patternType="solid">
        <fgColor rgb="FFFFFF00"/>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2"/>
        <bgColor indexed="64"/>
      </patternFill>
    </fill>
    <fill>
      <patternFill patternType="solid">
        <fgColor theme="9" tint="0.79998168889431442"/>
        <bgColor indexed="64"/>
      </patternFill>
    </fill>
    <fill>
      <patternFill patternType="solid">
        <fgColor theme="3" tint="0.249977111117893"/>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3" tint="0.499984740745262"/>
        <bgColor indexed="64"/>
      </patternFill>
    </fill>
    <fill>
      <patternFill patternType="solid">
        <fgColor theme="3" tint="0.749992370372631"/>
        <bgColor indexed="64"/>
      </patternFill>
    </fill>
    <fill>
      <patternFill patternType="solid">
        <fgColor theme="3" tint="0.89999084444715716"/>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5" tint="0.79998168889431442"/>
        <bgColor indexed="64"/>
      </patternFill>
    </fill>
  </fills>
  <borders count="19">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auto="1"/>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bottom style="double">
        <color indexed="64"/>
      </bottom>
      <diagonal/>
    </border>
    <border>
      <left/>
      <right style="thin">
        <color indexed="64"/>
      </right>
      <top/>
      <bottom style="double">
        <color indexed="64"/>
      </bottom>
      <diagonal/>
    </border>
    <border>
      <left/>
      <right style="thin">
        <color auto="1"/>
      </right>
      <top/>
      <bottom/>
      <diagonal/>
    </border>
  </borders>
  <cellStyleXfs count="5">
    <xf numFmtId="0" fontId="0" fillId="0" borderId="0"/>
    <xf numFmtId="43" fontId="1" fillId="0" borderId="0" applyFont="0" applyFill="0" applyBorder="0" applyAlignment="0" applyProtection="0"/>
    <xf numFmtId="9" fontId="1" fillId="0" borderId="0" applyFont="0" applyFill="0" applyBorder="0" applyAlignment="0" applyProtection="0"/>
    <xf numFmtId="0" fontId="17" fillId="0" borderId="0"/>
    <xf numFmtId="0" fontId="28" fillId="0" borderId="0" applyNumberFormat="0" applyFill="0" applyBorder="0" applyAlignment="0" applyProtection="0"/>
  </cellStyleXfs>
  <cellXfs count="585">
    <xf numFmtId="0" fontId="0" fillId="0" borderId="0" xfId="0"/>
    <xf numFmtId="165" fontId="0" fillId="0" borderId="0" xfId="1" applyNumberFormat="1" applyFont="1"/>
    <xf numFmtId="0" fontId="2" fillId="0" borderId="0" xfId="0" applyFont="1"/>
    <xf numFmtId="166" fontId="0" fillId="0" borderId="0" xfId="0" applyNumberFormat="1"/>
    <xf numFmtId="0" fontId="3" fillId="0" borderId="0" xfId="0" applyFont="1"/>
    <xf numFmtId="9" fontId="0" fillId="0" borderId="0" xfId="0" applyNumberFormat="1"/>
    <xf numFmtId="0" fontId="0" fillId="0" borderId="1" xfId="0" applyBorder="1"/>
    <xf numFmtId="0" fontId="0" fillId="0" borderId="0" xfId="0" applyAlignment="1">
      <alignment horizontal="center"/>
    </xf>
    <xf numFmtId="0" fontId="0" fillId="0" borderId="1" xfId="0" applyBorder="1" applyAlignment="1">
      <alignment horizontal="center"/>
    </xf>
    <xf numFmtId="0" fontId="0" fillId="3" borderId="1" xfId="0" applyFill="1" applyBorder="1"/>
    <xf numFmtId="0" fontId="3" fillId="3" borderId="1" xfId="0" applyFont="1" applyFill="1" applyBorder="1"/>
    <xf numFmtId="0" fontId="0" fillId="0" borderId="2" xfId="0" applyBorder="1"/>
    <xf numFmtId="0" fontId="0" fillId="0" borderId="4" xfId="0" applyBorder="1"/>
    <xf numFmtId="9" fontId="0" fillId="0" borderId="4" xfId="0" applyNumberFormat="1" applyBorder="1" applyAlignment="1">
      <alignment horizontal="center"/>
    </xf>
    <xf numFmtId="0" fontId="3" fillId="0" borderId="1" xfId="0" applyFont="1" applyBorder="1" applyAlignment="1">
      <alignment horizontal="center"/>
    </xf>
    <xf numFmtId="165" fontId="0" fillId="0" borderId="1" xfId="0" applyNumberFormat="1" applyBorder="1"/>
    <xf numFmtId="0" fontId="3" fillId="4" borderId="0" xfId="0" applyFont="1" applyFill="1"/>
    <xf numFmtId="9" fontId="3" fillId="4" borderId="0" xfId="0" applyNumberFormat="1" applyFont="1" applyFill="1"/>
    <xf numFmtId="165" fontId="3" fillId="4" borderId="0" xfId="1" applyNumberFormat="1" applyFont="1" applyFill="1"/>
    <xf numFmtId="0" fontId="0" fillId="0" borderId="0" xfId="0" applyAlignment="1">
      <alignment horizontal="left" indent="1"/>
    </xf>
    <xf numFmtId="165" fontId="0" fillId="0" borderId="0" xfId="0" applyNumberFormat="1" applyAlignment="1">
      <alignment horizontal="center"/>
    </xf>
    <xf numFmtId="165" fontId="0" fillId="0" borderId="1" xfId="0" applyNumberFormat="1" applyBorder="1" applyAlignment="1">
      <alignment horizontal="center"/>
    </xf>
    <xf numFmtId="9" fontId="0" fillId="0" borderId="1" xfId="0" applyNumberFormat="1" applyBorder="1" applyAlignment="1">
      <alignment horizontal="center"/>
    </xf>
    <xf numFmtId="0" fontId="3" fillId="5" borderId="1" xfId="0" applyFont="1" applyFill="1" applyBorder="1"/>
    <xf numFmtId="0" fontId="0" fillId="5" borderId="1" xfId="0" applyFill="1" applyBorder="1"/>
    <xf numFmtId="0" fontId="0" fillId="5" borderId="1" xfId="0" applyFill="1" applyBorder="1" applyAlignment="1">
      <alignment horizontal="center"/>
    </xf>
    <xf numFmtId="0" fontId="9" fillId="0" borderId="0" xfId="0" applyFont="1"/>
    <xf numFmtId="0" fontId="0" fillId="6" borderId="3" xfId="0" applyFill="1" applyBorder="1"/>
    <xf numFmtId="0" fontId="0" fillId="6" borderId="0" xfId="0" applyFill="1"/>
    <xf numFmtId="0" fontId="0" fillId="6" borderId="1" xfId="0" applyFill="1" applyBorder="1"/>
    <xf numFmtId="0" fontId="0" fillId="4" borderId="0" xfId="0" applyFill="1"/>
    <xf numFmtId="0" fontId="0" fillId="4" borderId="1" xfId="0" applyFill="1" applyBorder="1"/>
    <xf numFmtId="9" fontId="4" fillId="2" borderId="4" xfId="0" applyNumberFormat="1" applyFont="1" applyFill="1" applyBorder="1" applyAlignment="1">
      <alignment horizontal="center"/>
    </xf>
    <xf numFmtId="169" fontId="4" fillId="2" borderId="1" xfId="0" applyNumberFormat="1" applyFont="1" applyFill="1" applyBorder="1" applyAlignment="1">
      <alignment horizontal="center"/>
    </xf>
    <xf numFmtId="0" fontId="0" fillId="0" borderId="5" xfId="0" applyBorder="1"/>
    <xf numFmtId="0" fontId="4" fillId="2" borderId="1" xfId="0" applyFont="1" applyFill="1" applyBorder="1"/>
    <xf numFmtId="9" fontId="4" fillId="2" borderId="5" xfId="0" applyNumberFormat="1" applyFont="1" applyFill="1" applyBorder="1" applyAlignment="1">
      <alignment horizontal="center"/>
    </xf>
    <xf numFmtId="164" fontId="0" fillId="0" borderId="0" xfId="0" applyNumberFormat="1" applyAlignment="1">
      <alignment horizontal="center"/>
    </xf>
    <xf numFmtId="10" fontId="0" fillId="0" borderId="0" xfId="2" applyNumberFormat="1" applyFont="1"/>
    <xf numFmtId="0" fontId="0" fillId="0" borderId="0" xfId="0" applyAlignment="1">
      <alignment horizontal="left"/>
    </xf>
    <xf numFmtId="165" fontId="0" fillId="0" borderId="0" xfId="0" applyNumberFormat="1"/>
    <xf numFmtId="0" fontId="3" fillId="0" borderId="0" xfId="0" applyFont="1" applyAlignment="1">
      <alignment horizontal="center"/>
    </xf>
    <xf numFmtId="0" fontId="3" fillId="0" borderId="1" xfId="0" applyFont="1" applyBorder="1"/>
    <xf numFmtId="0" fontId="6" fillId="0" borderId="0" xfId="0" applyFont="1" applyAlignment="1">
      <alignment horizontal="left"/>
    </xf>
    <xf numFmtId="0" fontId="6" fillId="0" borderId="0" xfId="0" applyFont="1" applyAlignment="1">
      <alignment horizontal="right"/>
    </xf>
    <xf numFmtId="0" fontId="6" fillId="0" borderId="0" xfId="0" applyFont="1"/>
    <xf numFmtId="165" fontId="6" fillId="0" borderId="0" xfId="0" applyNumberFormat="1" applyFont="1"/>
    <xf numFmtId="170" fontId="6" fillId="0" borderId="0" xfId="0" applyNumberFormat="1" applyFont="1"/>
    <xf numFmtId="0" fontId="0" fillId="0" borderId="0" xfId="0" quotePrefix="1"/>
    <xf numFmtId="43" fontId="3" fillId="0" borderId="0" xfId="1" applyFont="1"/>
    <xf numFmtId="0" fontId="0" fillId="3" borderId="0" xfId="0" applyFill="1"/>
    <xf numFmtId="0" fontId="9" fillId="3" borderId="1" xfId="0" applyFont="1" applyFill="1" applyBorder="1"/>
    <xf numFmtId="9" fontId="0" fillId="0" borderId="0" xfId="2" applyFont="1"/>
    <xf numFmtId="10" fontId="0" fillId="0" borderId="0" xfId="2" applyNumberFormat="1" applyFont="1" applyBorder="1"/>
    <xf numFmtId="165" fontId="0" fillId="0" borderId="1" xfId="1" applyNumberFormat="1" applyFont="1" applyBorder="1"/>
    <xf numFmtId="43" fontId="0" fillId="0" borderId="0" xfId="0" applyNumberFormat="1"/>
    <xf numFmtId="165" fontId="0" fillId="0" borderId="0" xfId="1" applyNumberFormat="1" applyFont="1" applyBorder="1"/>
    <xf numFmtId="10" fontId="0" fillId="0" borderId="1" xfId="2" applyNumberFormat="1" applyFont="1" applyBorder="1"/>
    <xf numFmtId="0" fontId="3" fillId="3" borderId="6" xfId="0" applyFont="1" applyFill="1" applyBorder="1"/>
    <xf numFmtId="0" fontId="0" fillId="0" borderId="7" xfId="0" applyBorder="1"/>
    <xf numFmtId="0" fontId="0" fillId="0" borderId="8" xfId="0" applyBorder="1"/>
    <xf numFmtId="0" fontId="0" fillId="3" borderId="2" xfId="0" applyFill="1" applyBorder="1"/>
    <xf numFmtId="0" fontId="0" fillId="3" borderId="9" xfId="0" applyFill="1" applyBorder="1"/>
    <xf numFmtId="0" fontId="3" fillId="0" borderId="7" xfId="0" applyFont="1" applyBorder="1"/>
    <xf numFmtId="0" fontId="3" fillId="3" borderId="0" xfId="0" applyFont="1" applyFill="1"/>
    <xf numFmtId="0" fontId="6" fillId="0" borderId="1" xfId="0" applyFont="1" applyBorder="1"/>
    <xf numFmtId="165" fontId="0" fillId="0" borderId="0" xfId="1" applyNumberFormat="1" applyFont="1" applyAlignment="1">
      <alignment horizontal="center"/>
    </xf>
    <xf numFmtId="10" fontId="13" fillId="0" borderId="0" xfId="2" applyNumberFormat="1" applyFont="1" applyFill="1" applyBorder="1" applyAlignment="1">
      <alignment horizontal="right"/>
    </xf>
    <xf numFmtId="169" fontId="0" fillId="0" borderId="0" xfId="1" applyNumberFormat="1" applyFont="1" applyBorder="1"/>
    <xf numFmtId="165" fontId="13" fillId="0" borderId="0" xfId="1" applyNumberFormat="1" applyFont="1" applyFill="1" applyBorder="1" applyAlignment="1">
      <alignment horizontal="right"/>
    </xf>
    <xf numFmtId="10" fontId="0" fillId="0" borderId="2" xfId="2" applyNumberFormat="1" applyFont="1" applyBorder="1"/>
    <xf numFmtId="165" fontId="0" fillId="0" borderId="2" xfId="0" applyNumberFormat="1" applyBorder="1"/>
    <xf numFmtId="0" fontId="10" fillId="7" borderId="0" xfId="0" applyFont="1" applyFill="1"/>
    <xf numFmtId="0" fontId="10" fillId="7" borderId="0" xfId="0" applyFont="1" applyFill="1" applyAlignment="1">
      <alignment horizontal="center"/>
    </xf>
    <xf numFmtId="164" fontId="10" fillId="7" borderId="0" xfId="0" applyNumberFormat="1" applyFont="1" applyFill="1" applyAlignment="1">
      <alignment horizontal="center"/>
    </xf>
    <xf numFmtId="43" fontId="0" fillId="0" borderId="0" xfId="0" applyNumberFormat="1" applyAlignment="1">
      <alignment horizontal="center"/>
    </xf>
    <xf numFmtId="0" fontId="15" fillId="7" borderId="0" xfId="0" applyFont="1" applyFill="1"/>
    <xf numFmtId="165" fontId="3" fillId="0" borderId="0" xfId="0" applyNumberFormat="1" applyFont="1" applyAlignment="1">
      <alignment horizontal="center"/>
    </xf>
    <xf numFmtId="165" fontId="0" fillId="0" borderId="1" xfId="1" applyNumberFormat="1" applyFont="1" applyBorder="1" applyAlignment="1">
      <alignment horizontal="center"/>
    </xf>
    <xf numFmtId="165" fontId="6" fillId="0" borderId="1" xfId="0" applyNumberFormat="1" applyFont="1" applyBorder="1" applyAlignment="1">
      <alignment horizontal="center"/>
    </xf>
    <xf numFmtId="165" fontId="6" fillId="0" borderId="0" xfId="1" applyNumberFormat="1" applyFont="1" applyAlignment="1">
      <alignment horizontal="center"/>
    </xf>
    <xf numFmtId="165" fontId="6" fillId="0" borderId="1" xfId="1" applyNumberFormat="1" applyFont="1" applyBorder="1" applyAlignment="1">
      <alignment horizontal="center"/>
    </xf>
    <xf numFmtId="10" fontId="0" fillId="0" borderId="0" xfId="2" applyNumberFormat="1" applyFont="1" applyAlignment="1">
      <alignment horizontal="right"/>
    </xf>
    <xf numFmtId="164" fontId="16" fillId="7" borderId="0" xfId="0" applyNumberFormat="1" applyFont="1" applyFill="1" applyAlignment="1">
      <alignment horizontal="center"/>
    </xf>
    <xf numFmtId="0" fontId="3" fillId="0" borderId="0" xfId="0" applyFont="1" applyAlignment="1">
      <alignment horizontal="right"/>
    </xf>
    <xf numFmtId="0" fontId="0" fillId="0" borderId="0" xfId="0" applyAlignment="1">
      <alignment horizontal="right"/>
    </xf>
    <xf numFmtId="10" fontId="0" fillId="0" borderId="1" xfId="2" applyNumberFormat="1" applyFont="1" applyBorder="1" applyAlignment="1">
      <alignment horizontal="right"/>
    </xf>
    <xf numFmtId="0" fontId="15" fillId="7" borderId="3" xfId="0" applyFont="1" applyFill="1" applyBorder="1"/>
    <xf numFmtId="0" fontId="16" fillId="7" borderId="3" xfId="0" applyFont="1" applyFill="1" applyBorder="1" applyAlignment="1">
      <alignment horizontal="center"/>
    </xf>
    <xf numFmtId="0" fontId="15" fillId="7" borderId="3" xfId="0" applyFont="1" applyFill="1" applyBorder="1" applyAlignment="1">
      <alignment horizontal="center"/>
    </xf>
    <xf numFmtId="0" fontId="3" fillId="5" borderId="0" xfId="0" applyFont="1" applyFill="1"/>
    <xf numFmtId="172" fontId="3" fillId="5" borderId="0" xfId="0" applyNumberFormat="1" applyFont="1" applyFill="1" applyAlignment="1">
      <alignment horizontal="center"/>
    </xf>
    <xf numFmtId="172" fontId="3" fillId="5" borderId="0" xfId="1" applyNumberFormat="1" applyFont="1" applyFill="1"/>
    <xf numFmtId="172" fontId="3" fillId="5" borderId="0" xfId="0" applyNumberFormat="1" applyFont="1" applyFill="1"/>
    <xf numFmtId="0" fontId="15" fillId="7" borderId="1" xfId="0" applyFont="1" applyFill="1" applyBorder="1"/>
    <xf numFmtId="0" fontId="14" fillId="7" borderId="1" xfId="0" applyFont="1" applyFill="1" applyBorder="1" applyAlignment="1">
      <alignment horizontal="center"/>
    </xf>
    <xf numFmtId="9" fontId="3" fillId="0" borderId="0" xfId="0" applyNumberFormat="1" applyFont="1" applyAlignment="1">
      <alignment horizontal="center"/>
    </xf>
    <xf numFmtId="9" fontId="6" fillId="0" borderId="0" xfId="0" applyNumberFormat="1" applyFont="1" applyAlignment="1">
      <alignment horizontal="center"/>
    </xf>
    <xf numFmtId="0" fontId="6" fillId="5" borderId="1" xfId="0" applyFont="1" applyFill="1" applyBorder="1" applyAlignment="1">
      <alignment horizontal="center"/>
    </xf>
    <xf numFmtId="9" fontId="3" fillId="5" borderId="1" xfId="0" applyNumberFormat="1" applyFont="1" applyFill="1" applyBorder="1"/>
    <xf numFmtId="165" fontId="0" fillId="0" borderId="0" xfId="1" applyNumberFormat="1" applyFont="1" applyFill="1" applyBorder="1"/>
    <xf numFmtId="171" fontId="0" fillId="0" borderId="0" xfId="2" applyNumberFormat="1" applyFont="1" applyFill="1" applyBorder="1"/>
    <xf numFmtId="43" fontId="0" fillId="0" borderId="0" xfId="1" applyFont="1" applyFill="1" applyBorder="1"/>
    <xf numFmtId="2" fontId="0" fillId="0" borderId="0" xfId="2" applyNumberFormat="1" applyFont="1" applyFill="1" applyBorder="1"/>
    <xf numFmtId="0" fontId="6" fillId="0" borderId="0" xfId="0" applyFont="1" applyAlignment="1">
      <alignment horizontal="center"/>
    </xf>
    <xf numFmtId="43" fontId="6" fillId="0" borderId="0" xfId="1" applyFont="1" applyFill="1" applyBorder="1" applyAlignment="1">
      <alignment horizontal="center"/>
    </xf>
    <xf numFmtId="9" fontId="3" fillId="0" borderId="1" xfId="0" applyNumberFormat="1" applyFont="1" applyBorder="1" applyAlignment="1">
      <alignment horizontal="center"/>
    </xf>
    <xf numFmtId="0" fontId="6" fillId="0" borderId="1" xfId="0" applyFont="1" applyBorder="1" applyAlignment="1">
      <alignment horizontal="center"/>
    </xf>
    <xf numFmtId="9" fontId="6" fillId="0" borderId="1" xfId="0" applyNumberFormat="1" applyFont="1" applyBorder="1" applyAlignment="1">
      <alignment horizontal="center"/>
    </xf>
    <xf numFmtId="165" fontId="0" fillId="0" borderId="0" xfId="1" applyNumberFormat="1" applyFont="1" applyFill="1" applyBorder="1" applyAlignment="1">
      <alignment horizontal="center"/>
    </xf>
    <xf numFmtId="10" fontId="0" fillId="0" borderId="1" xfId="0" applyNumberFormat="1" applyBorder="1" applyAlignment="1">
      <alignment horizontal="center"/>
    </xf>
    <xf numFmtId="9" fontId="0" fillId="0" borderId="0" xfId="0" applyNumberFormat="1" applyAlignment="1">
      <alignment horizontal="center"/>
    </xf>
    <xf numFmtId="165" fontId="0" fillId="0" borderId="4" xfId="0" applyNumberFormat="1" applyBorder="1"/>
    <xf numFmtId="0" fontId="19" fillId="0" borderId="0" xfId="3" applyFont="1" applyProtection="1">
      <protection hidden="1"/>
    </xf>
    <xf numFmtId="165" fontId="0" fillId="0" borderId="10" xfId="0" applyNumberFormat="1" applyBorder="1"/>
    <xf numFmtId="0" fontId="20" fillId="0" borderId="0" xfId="3" applyFont="1" applyProtection="1">
      <protection hidden="1"/>
    </xf>
    <xf numFmtId="165" fontId="0" fillId="0" borderId="0" xfId="2" applyNumberFormat="1" applyFont="1"/>
    <xf numFmtId="165" fontId="21" fillId="0" borderId="0" xfId="0" applyNumberFormat="1" applyFont="1"/>
    <xf numFmtId="0" fontId="0" fillId="0" borderId="10" xfId="0" applyBorder="1"/>
    <xf numFmtId="171" fontId="0" fillId="0" borderId="0" xfId="0" applyNumberFormat="1"/>
    <xf numFmtId="0" fontId="6" fillId="0" borderId="0" xfId="0" applyFont="1" applyAlignment="1">
      <alignment horizontal="left" indent="1"/>
    </xf>
    <xf numFmtId="165" fontId="0" fillId="3" borderId="0" xfId="0" applyNumberFormat="1" applyFill="1"/>
    <xf numFmtId="169" fontId="6" fillId="0" borderId="1" xfId="0" applyNumberFormat="1" applyFont="1" applyBorder="1" applyAlignment="1">
      <alignment horizontal="center"/>
    </xf>
    <xf numFmtId="165" fontId="6" fillId="0" borderId="3" xfId="1" applyNumberFormat="1" applyFont="1" applyFill="1" applyBorder="1" applyAlignment="1">
      <alignment horizontal="center"/>
    </xf>
    <xf numFmtId="10" fontId="6" fillId="0" borderId="0" xfId="2" applyNumberFormat="1" applyFont="1" applyFill="1" applyAlignment="1">
      <alignment horizontal="center"/>
    </xf>
    <xf numFmtId="0" fontId="24" fillId="7" borderId="1" xfId="0" applyFont="1" applyFill="1" applyBorder="1"/>
    <xf numFmtId="0" fontId="25" fillId="7" borderId="1" xfId="0" applyFont="1" applyFill="1" applyBorder="1"/>
    <xf numFmtId="0" fontId="25" fillId="7" borderId="5" xfId="0" applyFont="1" applyFill="1" applyBorder="1"/>
    <xf numFmtId="0" fontId="24" fillId="7" borderId="1" xfId="0" applyFont="1" applyFill="1" applyBorder="1" applyAlignment="1">
      <alignment horizontal="center"/>
    </xf>
    <xf numFmtId="165" fontId="0" fillId="0" borderId="7" xfId="1" applyNumberFormat="1" applyFont="1" applyBorder="1"/>
    <xf numFmtId="0" fontId="25" fillId="7" borderId="0" xfId="0" applyFont="1" applyFill="1"/>
    <xf numFmtId="0" fontId="25" fillId="7" borderId="4" xfId="0" applyFont="1" applyFill="1" applyBorder="1"/>
    <xf numFmtId="164" fontId="24" fillId="7" borderId="0" xfId="0" applyNumberFormat="1" applyFont="1" applyFill="1" applyAlignment="1">
      <alignment horizontal="center"/>
    </xf>
    <xf numFmtId="0" fontId="13" fillId="0" borderId="0" xfId="0" applyFont="1" applyAlignment="1">
      <alignment horizontal="right"/>
    </xf>
    <xf numFmtId="172" fontId="0" fillId="0" borderId="4" xfId="0" applyNumberFormat="1" applyBorder="1" applyAlignment="1">
      <alignment horizontal="center"/>
    </xf>
    <xf numFmtId="172" fontId="0" fillId="0" borderId="5" xfId="0" applyNumberFormat="1" applyBorder="1" applyAlignment="1">
      <alignment horizontal="center"/>
    </xf>
    <xf numFmtId="0" fontId="3" fillId="0" borderId="2" xfId="0" applyFont="1" applyBorder="1" applyAlignment="1">
      <alignment horizontal="center"/>
    </xf>
    <xf numFmtId="0" fontId="3" fillId="0" borderId="9" xfId="0" applyFont="1" applyBorder="1" applyAlignment="1">
      <alignment horizontal="center"/>
    </xf>
    <xf numFmtId="0" fontId="3" fillId="6" borderId="2" xfId="0" applyFont="1" applyFill="1" applyBorder="1" applyAlignment="1">
      <alignment horizontal="center"/>
    </xf>
    <xf numFmtId="0" fontId="0" fillId="0" borderId="7" xfId="0" applyBorder="1" applyAlignment="1">
      <alignment horizontal="left" indent="1"/>
    </xf>
    <xf numFmtId="9" fontId="0" fillId="0" borderId="4" xfId="2" applyFont="1" applyBorder="1" applyAlignment="1">
      <alignment horizontal="center"/>
    </xf>
    <xf numFmtId="0" fontId="0" fillId="0" borderId="8" xfId="0" applyBorder="1" applyAlignment="1">
      <alignment horizontal="left" indent="1"/>
    </xf>
    <xf numFmtId="9" fontId="0" fillId="0" borderId="5" xfId="2" applyFont="1" applyBorder="1" applyAlignment="1">
      <alignment horizontal="center"/>
    </xf>
    <xf numFmtId="0" fontId="3" fillId="5" borderId="8" xfId="0" applyFont="1" applyFill="1" applyBorder="1"/>
    <xf numFmtId="0" fontId="0" fillId="5" borderId="5" xfId="0" applyFill="1" applyBorder="1"/>
    <xf numFmtId="9" fontId="4" fillId="2" borderId="0" xfId="0" applyNumberFormat="1" applyFont="1" applyFill="1" applyAlignment="1">
      <alignment horizontal="center"/>
    </xf>
    <xf numFmtId="0" fontId="0" fillId="0" borderId="4" xfId="0" applyBorder="1" applyAlignment="1">
      <alignment horizontal="center"/>
    </xf>
    <xf numFmtId="0" fontId="0" fillId="0" borderId="5" xfId="0" applyBorder="1" applyAlignment="1">
      <alignment horizontal="center"/>
    </xf>
    <xf numFmtId="10" fontId="4" fillId="2" borderId="0" xfId="0" applyNumberFormat="1" applyFont="1" applyFill="1" applyAlignment="1">
      <alignment horizontal="center"/>
    </xf>
    <xf numFmtId="165" fontId="0" fillId="3" borderId="1" xfId="0" applyNumberFormat="1" applyFill="1" applyBorder="1"/>
    <xf numFmtId="165" fontId="0" fillId="0" borderId="12" xfId="0" applyNumberFormat="1" applyBorder="1"/>
    <xf numFmtId="0" fontId="3" fillId="9" borderId="3" xfId="0" applyFont="1" applyFill="1" applyBorder="1" applyAlignment="1">
      <alignment horizontal="center"/>
    </xf>
    <xf numFmtId="0" fontId="0" fillId="0" borderId="13" xfId="0" applyBorder="1"/>
    <xf numFmtId="165" fontId="0" fillId="0" borderId="3" xfId="0" applyNumberFormat="1" applyBorder="1"/>
    <xf numFmtId="0" fontId="0" fillId="0" borderId="3" xfId="0" applyBorder="1"/>
    <xf numFmtId="0" fontId="3" fillId="9" borderId="14" xfId="0" applyFont="1" applyFill="1" applyBorder="1" applyAlignment="1">
      <alignment horizontal="center"/>
    </xf>
    <xf numFmtId="0" fontId="3" fillId="0" borderId="4" xfId="0" applyFont="1" applyBorder="1" applyAlignment="1">
      <alignment horizontal="left" indent="1"/>
    </xf>
    <xf numFmtId="0" fontId="3" fillId="0" borderId="5" xfId="0" applyFont="1" applyBorder="1" applyAlignment="1">
      <alignment horizontal="left" indent="1"/>
    </xf>
    <xf numFmtId="0" fontId="0" fillId="0" borderId="3" xfId="0" applyBorder="1" applyAlignment="1">
      <alignment horizontal="center"/>
    </xf>
    <xf numFmtId="9" fontId="0" fillId="0" borderId="3" xfId="0" applyNumberFormat="1" applyBorder="1"/>
    <xf numFmtId="165" fontId="0" fillId="0" borderId="3" xfId="1" applyNumberFormat="1" applyFont="1" applyBorder="1"/>
    <xf numFmtId="0" fontId="0" fillId="0" borderId="15" xfId="0" applyBorder="1"/>
    <xf numFmtId="0" fontId="25" fillId="7" borderId="15" xfId="0" applyFont="1" applyFill="1" applyBorder="1" applyAlignment="1">
      <alignment horizontal="center"/>
    </xf>
    <xf numFmtId="0" fontId="3" fillId="0" borderId="15" xfId="0" applyFont="1" applyBorder="1" applyAlignment="1">
      <alignment horizontal="left"/>
    </xf>
    <xf numFmtId="165" fontId="3" fillId="0" borderId="10" xfId="0" applyNumberFormat="1" applyFont="1" applyBorder="1" applyAlignment="1">
      <alignment horizontal="left"/>
    </xf>
    <xf numFmtId="0" fontId="26" fillId="0" borderId="3" xfId="0" applyFont="1" applyBorder="1" applyAlignment="1">
      <alignment horizontal="center"/>
    </xf>
    <xf numFmtId="0" fontId="3" fillId="0" borderId="3" xfId="0" applyFont="1" applyBorder="1" applyAlignment="1">
      <alignment horizontal="center"/>
    </xf>
    <xf numFmtId="0" fontId="0" fillId="5" borderId="8" xfId="0" applyFill="1" applyBorder="1"/>
    <xf numFmtId="165" fontId="0" fillId="5" borderId="1" xfId="0" applyNumberFormat="1" applyFill="1" applyBorder="1"/>
    <xf numFmtId="0" fontId="3" fillId="13" borderId="4" xfId="0" applyFont="1" applyFill="1" applyBorder="1" applyAlignment="1">
      <alignment horizontal="center"/>
    </xf>
    <xf numFmtId="0" fontId="3" fillId="14" borderId="11" xfId="0" applyFont="1" applyFill="1" applyBorder="1" applyAlignment="1">
      <alignment horizontal="center"/>
    </xf>
    <xf numFmtId="0" fontId="0" fillId="12" borderId="15" xfId="0" applyFill="1" applyBorder="1"/>
    <xf numFmtId="0" fontId="0" fillId="12" borderId="7" xfId="0" applyFill="1" applyBorder="1"/>
    <xf numFmtId="0" fontId="0" fillId="12" borderId="8" xfId="0" applyFill="1" applyBorder="1"/>
    <xf numFmtId="172" fontId="0" fillId="0" borderId="4" xfId="1" applyNumberFormat="1" applyFont="1" applyBorder="1"/>
    <xf numFmtId="169" fontId="0" fillId="0" borderId="5" xfId="0" applyNumberFormat="1" applyBorder="1"/>
    <xf numFmtId="171" fontId="0" fillId="0" borderId="14" xfId="2" applyNumberFormat="1" applyFont="1" applyBorder="1"/>
    <xf numFmtId="165" fontId="0" fillId="0" borderId="5" xfId="1" applyNumberFormat="1" applyFont="1" applyBorder="1"/>
    <xf numFmtId="0" fontId="15" fillId="7" borderId="6" xfId="0" applyFont="1" applyFill="1" applyBorder="1"/>
    <xf numFmtId="0" fontId="15" fillId="7" borderId="2" xfId="0" applyFont="1" applyFill="1" applyBorder="1"/>
    <xf numFmtId="0" fontId="15" fillId="7" borderId="9" xfId="0" applyFont="1" applyFill="1" applyBorder="1"/>
    <xf numFmtId="10" fontId="0" fillId="6" borderId="3" xfId="0" applyNumberFormat="1" applyFill="1" applyBorder="1"/>
    <xf numFmtId="169" fontId="0" fillId="6" borderId="0" xfId="0" applyNumberFormat="1" applyFill="1"/>
    <xf numFmtId="172" fontId="0" fillId="6" borderId="1" xfId="1" applyNumberFormat="1" applyFont="1" applyFill="1" applyBorder="1"/>
    <xf numFmtId="10" fontId="0" fillId="4" borderId="0" xfId="0" applyNumberFormat="1" applyFill="1"/>
    <xf numFmtId="169" fontId="0" fillId="4" borderId="0" xfId="0" applyNumberFormat="1" applyFill="1"/>
    <xf numFmtId="172" fontId="0" fillId="4" borderId="1" xfId="1" applyNumberFormat="1" applyFont="1" applyFill="1" applyBorder="1"/>
    <xf numFmtId="0" fontId="10" fillId="0" borderId="0" xfId="0" applyFont="1" applyAlignment="1">
      <alignment horizontal="center"/>
    </xf>
    <xf numFmtId="172" fontId="0" fillId="0" borderId="0" xfId="0" applyNumberFormat="1"/>
    <xf numFmtId="172" fontId="3" fillId="0" borderId="0" xfId="0" applyNumberFormat="1" applyFont="1"/>
    <xf numFmtId="0" fontId="6" fillId="0" borderId="0" xfId="0" applyFont="1" applyAlignment="1">
      <alignment horizontal="left" indent="2"/>
    </xf>
    <xf numFmtId="165" fontId="3" fillId="0" borderId="0" xfId="1" applyNumberFormat="1" applyFont="1" applyBorder="1"/>
    <xf numFmtId="0" fontId="3" fillId="0" borderId="0" xfId="0" applyFont="1" applyAlignment="1">
      <alignment horizontal="left" indent="1"/>
    </xf>
    <xf numFmtId="165" fontId="6" fillId="0" borderId="0" xfId="1" applyNumberFormat="1" applyFont="1" applyAlignment="1">
      <alignment horizontal="left" indent="2"/>
    </xf>
    <xf numFmtId="10" fontId="6" fillId="0" borderId="0" xfId="0" applyNumberFormat="1" applyFont="1" applyAlignment="1">
      <alignment horizontal="left" indent="2"/>
    </xf>
    <xf numFmtId="0" fontId="20" fillId="0" borderId="0" xfId="0" applyFont="1"/>
    <xf numFmtId="0" fontId="10" fillId="7" borderId="4" xfId="0" applyFont="1" applyFill="1" applyBorder="1"/>
    <xf numFmtId="0" fontId="0" fillId="0" borderId="4" xfId="0" applyBorder="1" applyAlignment="1">
      <alignment horizontal="left" indent="1"/>
    </xf>
    <xf numFmtId="0" fontId="3" fillId="0" borderId="4" xfId="0" applyFont="1" applyBorder="1"/>
    <xf numFmtId="0" fontId="0" fillId="0" borderId="9" xfId="0" applyBorder="1"/>
    <xf numFmtId="165" fontId="6" fillId="0" borderId="1" xfId="1" applyNumberFormat="1" applyFont="1" applyBorder="1" applyAlignment="1">
      <alignment horizontal="left" indent="2"/>
    </xf>
    <xf numFmtId="10" fontId="3" fillId="0" borderId="0" xfId="0" applyNumberFormat="1" applyFont="1" applyAlignment="1">
      <alignment horizontal="left" indent="2"/>
    </xf>
    <xf numFmtId="0" fontId="19" fillId="0" borderId="0" xfId="0" applyFont="1" applyAlignment="1">
      <alignment horizontal="center"/>
    </xf>
    <xf numFmtId="165" fontId="19" fillId="0" borderId="0" xfId="0" applyNumberFormat="1" applyFont="1"/>
    <xf numFmtId="171" fontId="0" fillId="0" borderId="4" xfId="2" applyNumberFormat="1" applyFont="1" applyBorder="1"/>
    <xf numFmtId="0" fontId="3" fillId="13" borderId="10" xfId="0" applyFont="1" applyFill="1" applyBorder="1" applyAlignment="1">
      <alignment horizontal="center"/>
    </xf>
    <xf numFmtId="165" fontId="3" fillId="0" borderId="12" xfId="0" applyNumberFormat="1" applyFont="1" applyBorder="1"/>
    <xf numFmtId="0" fontId="15" fillId="0" borderId="0" xfId="0" applyFont="1" applyAlignment="1">
      <alignment horizontal="center"/>
    </xf>
    <xf numFmtId="0" fontId="27" fillId="0" borderId="0" xfId="0" quotePrefix="1" applyFont="1"/>
    <xf numFmtId="43" fontId="0" fillId="0" borderId="0" xfId="1" applyFont="1"/>
    <xf numFmtId="164" fontId="10" fillId="0" borderId="0" xfId="0" applyNumberFormat="1" applyFont="1" applyAlignment="1">
      <alignment horizontal="center"/>
    </xf>
    <xf numFmtId="0" fontId="10" fillId="0" borderId="4" xfId="0" applyFont="1" applyBorder="1" applyAlignment="1">
      <alignment horizontal="center"/>
    </xf>
    <xf numFmtId="164" fontId="10" fillId="0" borderId="4" xfId="0" applyNumberFormat="1" applyFont="1" applyBorder="1" applyAlignment="1">
      <alignment horizontal="center"/>
    </xf>
    <xf numFmtId="173" fontId="0" fillId="0" borderId="0" xfId="0" applyNumberFormat="1"/>
    <xf numFmtId="0" fontId="24" fillId="0" borderId="0" xfId="0" applyFont="1" applyAlignment="1">
      <alignment horizontal="center"/>
    </xf>
    <xf numFmtId="164" fontId="24" fillId="0" borderId="0" xfId="0" applyNumberFormat="1" applyFont="1" applyAlignment="1">
      <alignment horizontal="center"/>
    </xf>
    <xf numFmtId="10" fontId="0" fillId="0" borderId="1" xfId="2" applyNumberFormat="1" applyFont="1" applyBorder="1" applyAlignment="1">
      <alignment horizontal="center"/>
    </xf>
    <xf numFmtId="0" fontId="10" fillId="0" borderId="0" xfId="0" applyFont="1" applyAlignment="1">
      <alignment vertical="center"/>
    </xf>
    <xf numFmtId="169" fontId="0" fillId="0" borderId="0" xfId="0" applyNumberFormat="1"/>
    <xf numFmtId="0" fontId="32" fillId="2" borderId="1" xfId="0" applyFont="1" applyFill="1" applyBorder="1" applyAlignment="1">
      <alignment horizontal="left" vertical="center" indent="1"/>
    </xf>
    <xf numFmtId="172" fontId="3" fillId="0" borderId="0" xfId="1" applyNumberFormat="1" applyFont="1" applyAlignment="1">
      <alignment horizontal="center"/>
    </xf>
    <xf numFmtId="172" fontId="3" fillId="0" borderId="0" xfId="0" applyNumberFormat="1" applyFont="1" applyAlignment="1">
      <alignment horizontal="center"/>
    </xf>
    <xf numFmtId="165" fontId="0" fillId="3" borderId="0" xfId="1" applyNumberFormat="1" applyFont="1" applyFill="1" applyAlignment="1">
      <alignment horizontal="center"/>
    </xf>
    <xf numFmtId="10" fontId="0" fillId="3" borderId="0" xfId="0" applyNumberFormat="1" applyFill="1" applyAlignment="1">
      <alignment horizontal="center"/>
    </xf>
    <xf numFmtId="0" fontId="0" fillId="3" borderId="0" xfId="0" applyFill="1" applyAlignment="1">
      <alignment horizontal="center"/>
    </xf>
    <xf numFmtId="14" fontId="0" fillId="3" borderId="0" xfId="0" applyNumberFormat="1" applyFill="1" applyAlignment="1">
      <alignment horizontal="center"/>
    </xf>
    <xf numFmtId="0" fontId="0" fillId="3" borderId="0" xfId="0" applyFill="1">
      <extLst>
        <ext xmlns:xfpb="http://schemas.microsoft.com/office/spreadsheetml/2022/featurepropertybag" uri="{C7286773-470A-42A8-94C5-96B5CB345126}">
          <xfpb:xfComplement i="0"/>
        </ext>
      </extLst>
    </xf>
    <xf numFmtId="0" fontId="0" fillId="0" borderId="14" xfId="0" applyBorder="1"/>
    <xf numFmtId="0" fontId="3" fillId="14" borderId="9" xfId="0" applyFont="1" applyFill="1" applyBorder="1" applyAlignment="1">
      <alignment horizontal="center"/>
    </xf>
    <xf numFmtId="165" fontId="3" fillId="0" borderId="4" xfId="0" applyNumberFormat="1" applyFont="1" applyBorder="1" applyAlignment="1">
      <alignment horizontal="left"/>
    </xf>
    <xf numFmtId="165" fontId="3" fillId="0" borderId="4" xfId="0" applyNumberFormat="1" applyFont="1" applyBorder="1"/>
    <xf numFmtId="0" fontId="15" fillId="0" borderId="0" xfId="0" applyFont="1"/>
    <xf numFmtId="10" fontId="3" fillId="0" borderId="0" xfId="2" applyNumberFormat="1" applyFont="1" applyAlignment="1">
      <alignment horizontal="center"/>
    </xf>
    <xf numFmtId="172" fontId="0" fillId="0" borderId="0" xfId="0" applyNumberFormat="1" applyAlignment="1">
      <alignment horizontal="center"/>
    </xf>
    <xf numFmtId="168" fontId="4" fillId="2" borderId="0" xfId="0" applyNumberFormat="1" applyFont="1" applyFill="1" applyAlignment="1">
      <alignment vertical="center"/>
    </xf>
    <xf numFmtId="165" fontId="4" fillId="2" borderId="0" xfId="1" applyNumberFormat="1" applyFont="1" applyFill="1" applyAlignment="1">
      <alignment vertical="center"/>
    </xf>
    <xf numFmtId="168" fontId="4" fillId="2" borderId="1" xfId="0" applyNumberFormat="1" applyFont="1" applyFill="1" applyBorder="1" applyAlignment="1">
      <alignment vertical="center"/>
    </xf>
    <xf numFmtId="165" fontId="13" fillId="0" borderId="0" xfId="1" applyNumberFormat="1" applyFont="1" applyFill="1" applyAlignment="1">
      <alignment vertical="center"/>
    </xf>
    <xf numFmtId="171" fontId="0" fillId="6" borderId="1" xfId="2" applyNumberFormat="1" applyFont="1" applyFill="1" applyBorder="1" applyAlignment="1">
      <alignment horizontal="center"/>
    </xf>
    <xf numFmtId="0" fontId="3" fillId="12" borderId="9" xfId="0" applyFont="1" applyFill="1" applyBorder="1" applyAlignment="1">
      <alignment horizontal="center"/>
    </xf>
    <xf numFmtId="169" fontId="0" fillId="12" borderId="4" xfId="2" applyNumberFormat="1" applyFont="1" applyFill="1" applyBorder="1" applyAlignment="1">
      <alignment horizontal="center"/>
    </xf>
    <xf numFmtId="165" fontId="0" fillId="6" borderId="1" xfId="1" applyNumberFormat="1" applyFont="1" applyFill="1" applyBorder="1" applyAlignment="1">
      <alignment horizontal="center"/>
    </xf>
    <xf numFmtId="169" fontId="0" fillId="12" borderId="5" xfId="2" applyNumberFormat="1" applyFont="1" applyFill="1" applyBorder="1" applyAlignment="1">
      <alignment horizontal="center"/>
    </xf>
    <xf numFmtId="171" fontId="0" fillId="3" borderId="0" xfId="0" applyNumberFormat="1" applyFill="1" applyAlignment="1">
      <alignment horizontal="center"/>
    </xf>
    <xf numFmtId="171" fontId="0" fillId="3" borderId="1" xfId="0" applyNumberFormat="1" applyFill="1" applyBorder="1" applyAlignment="1">
      <alignment horizontal="center"/>
    </xf>
    <xf numFmtId="169" fontId="0" fillId="3" borderId="0" xfId="1" applyNumberFormat="1" applyFont="1" applyFill="1" applyAlignment="1">
      <alignment horizontal="center"/>
    </xf>
    <xf numFmtId="169" fontId="0" fillId="3" borderId="1" xfId="1" applyNumberFormat="1" applyFont="1" applyFill="1" applyBorder="1" applyAlignment="1">
      <alignment horizontal="center"/>
    </xf>
    <xf numFmtId="0" fontId="31" fillId="0" borderId="0" xfId="4" applyFont="1" applyFill="1" applyBorder="1" applyAlignment="1">
      <alignment horizontal="center" vertical="center"/>
    </xf>
    <xf numFmtId="0" fontId="5" fillId="0" borderId="5" xfId="0" quotePrefix="1" applyFont="1" applyBorder="1" applyAlignment="1">
      <alignment horizontal="left" vertical="center" wrapText="1"/>
    </xf>
    <xf numFmtId="0" fontId="37" fillId="0" borderId="1" xfId="0" applyFont="1" applyBorder="1" applyAlignment="1">
      <alignment horizontal="center" vertical="center" wrapText="1"/>
    </xf>
    <xf numFmtId="0" fontId="27" fillId="0" borderId="1" xfId="0" applyFont="1" applyBorder="1" applyAlignment="1">
      <alignment horizontal="center"/>
    </xf>
    <xf numFmtId="14" fontId="27" fillId="0" borderId="1" xfId="0" applyNumberFormat="1" applyFont="1" applyBorder="1" applyAlignment="1">
      <alignment horizontal="center"/>
    </xf>
    <xf numFmtId="172" fontId="6" fillId="0" borderId="14" xfId="0" applyNumberFormat="1" applyFont="1" applyBorder="1" applyAlignment="1">
      <alignment horizontal="center"/>
    </xf>
    <xf numFmtId="172" fontId="0" fillId="0" borderId="5" xfId="0" applyNumberFormat="1" applyBorder="1"/>
    <xf numFmtId="0" fontId="19" fillId="0" borderId="15" xfId="0" applyFont="1" applyBorder="1" applyAlignment="1">
      <alignment horizontal="left"/>
    </xf>
    <xf numFmtId="172" fontId="0" fillId="0" borderId="0" xfId="1" applyNumberFormat="1" applyFont="1" applyBorder="1"/>
    <xf numFmtId="172" fontId="0" fillId="0" borderId="1" xfId="1" applyNumberFormat="1" applyFont="1" applyBorder="1"/>
    <xf numFmtId="173" fontId="0" fillId="0" borderId="5" xfId="1" applyNumberFormat="1" applyFont="1" applyBorder="1"/>
    <xf numFmtId="0" fontId="23" fillId="0" borderId="0" xfId="0" applyFont="1" applyAlignment="1">
      <alignment horizontal="left" vertical="center"/>
    </xf>
    <xf numFmtId="172" fontId="6" fillId="0" borderId="8" xfId="0" applyNumberFormat="1" applyFont="1" applyBorder="1"/>
    <xf numFmtId="172" fontId="0" fillId="0" borderId="1" xfId="0" applyNumberFormat="1" applyBorder="1"/>
    <xf numFmtId="0" fontId="3" fillId="0" borderId="15" xfId="0" applyFont="1" applyBorder="1" applyAlignment="1">
      <alignment horizontal="center"/>
    </xf>
    <xf numFmtId="0" fontId="3" fillId="0" borderId="14" xfId="0" applyFont="1" applyBorder="1" applyAlignment="1">
      <alignment horizontal="center"/>
    </xf>
    <xf numFmtId="10" fontId="0" fillId="0" borderId="0" xfId="2" applyNumberFormat="1" applyFont="1" applyAlignment="1">
      <alignment horizontal="center"/>
    </xf>
    <xf numFmtId="0" fontId="10" fillId="7" borderId="6" xfId="0" applyFont="1" applyFill="1" applyBorder="1"/>
    <xf numFmtId="0" fontId="10" fillId="7" borderId="9" xfId="0" applyFont="1" applyFill="1" applyBorder="1"/>
    <xf numFmtId="0" fontId="3" fillId="0" borderId="8" xfId="0" applyFont="1" applyBorder="1"/>
    <xf numFmtId="0" fontId="13" fillId="0" borderId="0" xfId="0" applyFont="1" applyAlignment="1">
      <alignment horizontal="center" vertical="center"/>
    </xf>
    <xf numFmtId="0" fontId="0" fillId="0" borderId="0" xfId="0" applyAlignment="1">
      <alignment horizontal="center" vertical="center"/>
    </xf>
    <xf numFmtId="172" fontId="13" fillId="0" borderId="0" xfId="0" applyNumberFormat="1" applyFont="1" applyAlignment="1">
      <alignment horizontal="center" vertical="center"/>
    </xf>
    <xf numFmtId="173" fontId="0" fillId="0" borderId="0" xfId="0" applyNumberFormat="1" applyAlignment="1">
      <alignment vertical="center"/>
    </xf>
    <xf numFmtId="173" fontId="13" fillId="0" borderId="0" xfId="0" applyNumberFormat="1" applyFont="1" applyAlignment="1">
      <alignment horizontal="center" vertical="center"/>
    </xf>
    <xf numFmtId="10" fontId="13" fillId="0" borderId="0" xfId="2" applyNumberFormat="1" applyFont="1" applyAlignment="1">
      <alignment horizontal="center" vertical="center"/>
    </xf>
    <xf numFmtId="0" fontId="20" fillId="0" borderId="0" xfId="0" applyFont="1" applyAlignment="1">
      <alignment horizontal="center" vertical="center"/>
    </xf>
    <xf numFmtId="0" fontId="2" fillId="0" borderId="0" xfId="0" applyFont="1" applyAlignment="1">
      <alignment vertical="center"/>
    </xf>
    <xf numFmtId="0" fontId="0" fillId="0" borderId="0" xfId="0" applyAlignment="1">
      <alignment vertical="center"/>
    </xf>
    <xf numFmtId="0" fontId="0" fillId="6" borderId="3" xfId="0" applyFill="1" applyBorder="1" applyAlignment="1">
      <alignment vertical="center"/>
    </xf>
    <xf numFmtId="10" fontId="0" fillId="6" borderId="3" xfId="0" applyNumberFormat="1" applyFill="1" applyBorder="1" applyAlignment="1">
      <alignment vertical="center"/>
    </xf>
    <xf numFmtId="0" fontId="20" fillId="0" borderId="0" xfId="0" applyFont="1" applyAlignment="1">
      <alignment vertical="center"/>
    </xf>
    <xf numFmtId="0" fontId="0" fillId="6" borderId="0" xfId="0" applyFill="1" applyAlignment="1">
      <alignment vertical="center"/>
    </xf>
    <xf numFmtId="169" fontId="0" fillId="6" borderId="0" xfId="0" applyNumberFormat="1" applyFill="1" applyAlignment="1">
      <alignment vertical="center"/>
    </xf>
    <xf numFmtId="0" fontId="0" fillId="6" borderId="1" xfId="0" applyFill="1" applyBorder="1" applyAlignment="1">
      <alignment vertical="center"/>
    </xf>
    <xf numFmtId="172" fontId="0" fillId="6" borderId="1" xfId="1" applyNumberFormat="1" applyFont="1" applyFill="1" applyBorder="1" applyAlignment="1">
      <alignment vertical="center"/>
    </xf>
    <xf numFmtId="166" fontId="0" fillId="0" borderId="0" xfId="0" applyNumberFormat="1" applyAlignment="1">
      <alignment vertical="center"/>
    </xf>
    <xf numFmtId="172" fontId="20" fillId="0" borderId="0" xfId="2" applyNumberFormat="1" applyFont="1" applyFill="1" applyBorder="1" applyAlignment="1">
      <alignment horizontal="center" vertical="center"/>
    </xf>
    <xf numFmtId="172" fontId="20" fillId="0" borderId="0" xfId="1" applyNumberFormat="1" applyFont="1" applyFill="1" applyBorder="1" applyAlignment="1">
      <alignment horizontal="center" vertical="center"/>
    </xf>
    <xf numFmtId="165" fontId="20" fillId="0" borderId="0" xfId="1" applyNumberFormat="1" applyFont="1" applyFill="1" applyBorder="1" applyAlignment="1">
      <alignment vertical="center"/>
    </xf>
    <xf numFmtId="10" fontId="0" fillId="0" borderId="0" xfId="2" applyNumberFormat="1" applyFont="1" applyAlignment="1">
      <alignment vertical="center"/>
    </xf>
    <xf numFmtId="0" fontId="0" fillId="4" borderId="0" xfId="0" applyFill="1" applyAlignment="1">
      <alignment vertical="center"/>
    </xf>
    <xf numFmtId="10" fontId="0" fillId="4" borderId="0" xfId="0" applyNumberFormat="1" applyFill="1" applyAlignment="1">
      <alignment vertical="center"/>
    </xf>
    <xf numFmtId="172" fontId="20" fillId="0" borderId="0" xfId="0" applyNumberFormat="1" applyFont="1" applyAlignment="1">
      <alignment horizontal="center" vertical="center"/>
    </xf>
    <xf numFmtId="169" fontId="0" fillId="4" borderId="0" xfId="0" applyNumberFormat="1" applyFill="1" applyAlignment="1">
      <alignment vertical="center"/>
    </xf>
    <xf numFmtId="0" fontId="0" fillId="4" borderId="1" xfId="0" applyFill="1" applyBorder="1" applyAlignment="1">
      <alignment vertical="center"/>
    </xf>
    <xf numFmtId="172" fontId="0" fillId="4" borderId="1" xfId="1" applyNumberFormat="1" applyFont="1" applyFill="1" applyBorder="1" applyAlignment="1">
      <alignment vertical="center"/>
    </xf>
    <xf numFmtId="0" fontId="0" fillId="0" borderId="1" xfId="0" applyBorder="1" applyAlignment="1">
      <alignment vertical="center"/>
    </xf>
    <xf numFmtId="172" fontId="0" fillId="0" borderId="1" xfId="1" applyNumberFormat="1" applyFont="1" applyFill="1" applyBorder="1" applyAlignment="1">
      <alignment vertical="center"/>
    </xf>
    <xf numFmtId="0" fontId="15" fillId="7" borderId="6" xfId="0" applyFont="1" applyFill="1" applyBorder="1" applyAlignment="1">
      <alignment vertical="center"/>
    </xf>
    <xf numFmtId="0" fontId="15" fillId="7" borderId="2" xfId="0" applyFont="1" applyFill="1" applyBorder="1" applyAlignment="1">
      <alignment vertical="center"/>
    </xf>
    <xf numFmtId="0" fontId="15" fillId="7" borderId="9" xfId="0" applyFont="1" applyFill="1" applyBorder="1" applyAlignment="1">
      <alignment vertical="center"/>
    </xf>
    <xf numFmtId="0" fontId="6" fillId="0" borderId="0" xfId="0" applyFont="1" applyAlignment="1">
      <alignment vertical="center"/>
    </xf>
    <xf numFmtId="0" fontId="0" fillId="0" borderId="7" xfId="0" applyBorder="1" applyAlignment="1">
      <alignment vertical="center"/>
    </xf>
    <xf numFmtId="166" fontId="4" fillId="2" borderId="0" xfId="1" applyNumberFormat="1" applyFont="1" applyFill="1" applyBorder="1" applyAlignment="1">
      <alignment vertical="center"/>
    </xf>
    <xf numFmtId="0" fontId="5" fillId="0" borderId="4" xfId="0" applyFont="1" applyBorder="1" applyAlignment="1">
      <alignment vertical="center"/>
    </xf>
    <xf numFmtId="0" fontId="5" fillId="0" borderId="0" xfId="0" applyFont="1" applyAlignment="1">
      <alignment vertical="center"/>
    </xf>
    <xf numFmtId="164" fontId="4" fillId="2" borderId="0" xfId="1" applyNumberFormat="1" applyFont="1" applyFill="1" applyBorder="1" applyAlignment="1">
      <alignment vertical="center"/>
    </xf>
    <xf numFmtId="0" fontId="0" fillId="0" borderId="4" xfId="0" applyBorder="1" applyAlignment="1">
      <alignment vertical="center"/>
    </xf>
    <xf numFmtId="0" fontId="0" fillId="0" borderId="8" xfId="0" applyBorder="1" applyAlignment="1">
      <alignment vertical="center"/>
    </xf>
    <xf numFmtId="166" fontId="4" fillId="2" borderId="1" xfId="1" applyNumberFormat="1" applyFont="1" applyFill="1" applyBorder="1" applyAlignment="1">
      <alignment vertical="center"/>
    </xf>
    <xf numFmtId="0" fontId="0" fillId="0" borderId="5" xfId="0" applyBorder="1" applyAlignment="1">
      <alignment vertical="center"/>
    </xf>
    <xf numFmtId="0" fontId="20" fillId="0" borderId="2" xfId="0" applyFont="1" applyBorder="1" applyAlignment="1">
      <alignment vertical="center"/>
    </xf>
    <xf numFmtId="0" fontId="19" fillId="0" borderId="0" xfId="0" applyFont="1" applyAlignment="1">
      <alignment vertical="center"/>
    </xf>
    <xf numFmtId="0" fontId="19" fillId="0" borderId="0" xfId="0" applyFont="1" applyAlignment="1">
      <alignment horizontal="center" vertical="center"/>
    </xf>
    <xf numFmtId="172" fontId="19" fillId="0" borderId="0" xfId="0" applyNumberFormat="1" applyFont="1" applyAlignment="1">
      <alignment vertical="center"/>
    </xf>
    <xf numFmtId="9" fontId="0" fillId="0" borderId="0" xfId="0" applyNumberFormat="1" applyAlignment="1">
      <alignment vertical="center"/>
    </xf>
    <xf numFmtId="166" fontId="0" fillId="0" borderId="4" xfId="0" applyNumberFormat="1" applyBorder="1" applyAlignment="1">
      <alignment vertical="center"/>
    </xf>
    <xf numFmtId="166" fontId="0" fillId="0" borderId="5" xfId="0" applyNumberFormat="1" applyBorder="1" applyAlignment="1">
      <alignment vertical="center"/>
    </xf>
    <xf numFmtId="167" fontId="5" fillId="0" borderId="4" xfId="2" applyNumberFormat="1" applyFont="1" applyBorder="1" applyAlignment="1">
      <alignment vertical="center"/>
    </xf>
    <xf numFmtId="0" fontId="4" fillId="2" borderId="0" xfId="0" applyFont="1" applyFill="1" applyAlignment="1">
      <alignment vertical="center"/>
    </xf>
    <xf numFmtId="168" fontId="4" fillId="2" borderId="0" xfId="0" applyNumberFormat="1" applyFont="1" applyFill="1" applyAlignment="1">
      <alignment horizontal="center" vertical="center"/>
    </xf>
    <xf numFmtId="167" fontId="5" fillId="0" borderId="0" xfId="2" applyNumberFormat="1" applyFont="1" applyBorder="1" applyAlignment="1">
      <alignment vertical="center"/>
    </xf>
    <xf numFmtId="165" fontId="1" fillId="0" borderId="1" xfId="1" applyNumberFormat="1" applyFont="1" applyFill="1" applyBorder="1" applyAlignment="1">
      <alignment horizontal="center" vertical="center"/>
    </xf>
    <xf numFmtId="0" fontId="0" fillId="0" borderId="1" xfId="0" applyBorder="1" applyAlignment="1">
      <alignment horizontal="center" vertical="center"/>
    </xf>
    <xf numFmtId="0" fontId="20" fillId="0" borderId="7" xfId="0" applyFont="1" applyBorder="1" applyAlignment="1">
      <alignment vertical="center"/>
    </xf>
    <xf numFmtId="0" fontId="0" fillId="0" borderId="0" xfId="0" quotePrefix="1" applyAlignment="1">
      <alignment horizontal="left" vertical="center"/>
    </xf>
    <xf numFmtId="0" fontId="3" fillId="0" borderId="7" xfId="0" applyFont="1" applyBorder="1" applyAlignment="1">
      <alignment vertical="center"/>
    </xf>
    <xf numFmtId="0" fontId="3" fillId="0" borderId="0" xfId="0" applyFont="1" applyAlignment="1">
      <alignment vertical="center"/>
    </xf>
    <xf numFmtId="172" fontId="3" fillId="0" borderId="0" xfId="1" applyNumberFormat="1" applyFont="1" applyAlignment="1">
      <alignment vertical="center"/>
    </xf>
    <xf numFmtId="0" fontId="3" fillId="0" borderId="6" xfId="0" applyFont="1" applyBorder="1" applyAlignment="1">
      <alignment vertical="center"/>
    </xf>
    <xf numFmtId="0" fontId="0" fillId="0" borderId="2" xfId="0" applyBorder="1" applyAlignment="1">
      <alignment vertical="center"/>
    </xf>
    <xf numFmtId="0" fontId="0" fillId="0" borderId="9" xfId="0" applyBorder="1" applyAlignment="1">
      <alignment vertical="center"/>
    </xf>
    <xf numFmtId="0" fontId="15" fillId="7" borderId="15" xfId="0" applyFont="1" applyFill="1" applyBorder="1" applyAlignment="1">
      <alignment vertical="center"/>
    </xf>
    <xf numFmtId="0" fontId="15" fillId="7" borderId="3" xfId="0" applyFont="1" applyFill="1" applyBorder="1" applyAlignment="1">
      <alignment vertical="center"/>
    </xf>
    <xf numFmtId="0" fontId="15" fillId="7" borderId="14" xfId="0" applyFont="1" applyFill="1" applyBorder="1" applyAlignment="1">
      <alignment vertical="center"/>
    </xf>
    <xf numFmtId="0" fontId="35" fillId="7" borderId="15" xfId="0" applyFont="1" applyFill="1" applyBorder="1" applyAlignment="1">
      <alignment horizontal="center" vertical="center"/>
    </xf>
    <xf numFmtId="0" fontId="35" fillId="7" borderId="3" xfId="0" applyFont="1" applyFill="1" applyBorder="1" applyAlignment="1">
      <alignment horizontal="center" vertical="center"/>
    </xf>
    <xf numFmtId="0" fontId="35" fillId="7" borderId="14" xfId="0" applyFont="1" applyFill="1" applyBorder="1" applyAlignment="1">
      <alignment horizontal="center" vertical="center"/>
    </xf>
    <xf numFmtId="0" fontId="33" fillId="0" borderId="0" xfId="0" applyFont="1" applyAlignment="1">
      <alignment horizontal="center" vertical="center"/>
    </xf>
    <xf numFmtId="0" fontId="6" fillId="0" borderId="15" xfId="0" applyFont="1" applyBorder="1" applyAlignment="1">
      <alignment vertical="center"/>
    </xf>
    <xf numFmtId="0" fontId="6" fillId="0" borderId="3" xfId="0" applyFont="1" applyBorder="1" applyAlignment="1">
      <alignment vertical="center"/>
    </xf>
    <xf numFmtId="165" fontId="36" fillId="2" borderId="3" xfId="1" applyNumberFormat="1" applyFont="1" applyFill="1" applyBorder="1" applyAlignment="1">
      <alignment vertical="center"/>
    </xf>
    <xf numFmtId="0" fontId="0" fillId="0" borderId="3" xfId="0" applyBorder="1" applyAlignment="1">
      <alignment horizontal="center" vertical="center"/>
    </xf>
    <xf numFmtId="0" fontId="0" fillId="0" borderId="14" xfId="0" applyBorder="1" applyAlignment="1">
      <alignment vertical="center"/>
    </xf>
    <xf numFmtId="0" fontId="34" fillId="0" borderId="7" xfId="0" applyFont="1" applyBorder="1" applyAlignment="1">
      <alignment vertical="center"/>
    </xf>
    <xf numFmtId="10" fontId="34" fillId="0" borderId="0" xfId="0" applyNumberFormat="1" applyFont="1" applyAlignment="1">
      <alignment vertical="center"/>
    </xf>
    <xf numFmtId="165" fontId="36" fillId="2" borderId="0" xfId="1" applyNumberFormat="1" applyFont="1" applyFill="1" applyBorder="1" applyAlignment="1">
      <alignment vertical="center"/>
    </xf>
    <xf numFmtId="0" fontId="6" fillId="0" borderId="7" xfId="0" applyFont="1" applyBorder="1" applyAlignment="1">
      <alignment vertical="center"/>
    </xf>
    <xf numFmtId="0" fontId="6" fillId="0" borderId="8" xfId="0" applyFont="1" applyBorder="1" applyAlignment="1">
      <alignment vertical="center"/>
    </xf>
    <xf numFmtId="0" fontId="6" fillId="0" borderId="1" xfId="0" applyFont="1" applyBorder="1" applyAlignment="1">
      <alignment vertical="center"/>
    </xf>
    <xf numFmtId="165" fontId="36" fillId="2" borderId="1" xfId="1" applyNumberFormat="1" applyFont="1" applyFill="1" applyBorder="1" applyAlignment="1">
      <alignment vertical="center"/>
    </xf>
    <xf numFmtId="173" fontId="0" fillId="0" borderId="1" xfId="0" applyNumberFormat="1" applyBorder="1" applyAlignment="1">
      <alignment vertical="center"/>
    </xf>
    <xf numFmtId="0" fontId="34" fillId="0" borderId="8" xfId="0" applyFont="1" applyBorder="1" applyAlignment="1">
      <alignment vertical="center"/>
    </xf>
    <xf numFmtId="10" fontId="34" fillId="0" borderId="1" xfId="0" applyNumberFormat="1" applyFont="1" applyBorder="1" applyAlignment="1">
      <alignment vertical="center"/>
    </xf>
    <xf numFmtId="166" fontId="13" fillId="0" borderId="0" xfId="1" applyNumberFormat="1" applyFont="1" applyFill="1" applyBorder="1" applyAlignment="1">
      <alignment vertical="center"/>
    </xf>
    <xf numFmtId="165" fontId="3" fillId="0" borderId="0" xfId="0" applyNumberFormat="1" applyFont="1"/>
    <xf numFmtId="0" fontId="13" fillId="0" borderId="1" xfId="0" applyFont="1" applyBorder="1" applyAlignment="1">
      <alignment horizontal="center" vertical="center"/>
    </xf>
    <xf numFmtId="172" fontId="13" fillId="0" borderId="1" xfId="0" applyNumberFormat="1" applyFont="1" applyBorder="1" applyAlignment="1">
      <alignment horizontal="center" vertical="center"/>
    </xf>
    <xf numFmtId="173" fontId="13" fillId="0" borderId="1" xfId="0" applyNumberFormat="1" applyFont="1" applyBorder="1" applyAlignment="1">
      <alignment horizontal="center" vertical="center"/>
    </xf>
    <xf numFmtId="10" fontId="13" fillId="0" borderId="1" xfId="2" applyNumberFormat="1" applyFont="1" applyBorder="1" applyAlignment="1">
      <alignment horizontal="center" vertical="center"/>
    </xf>
    <xf numFmtId="0" fontId="22" fillId="0" borderId="1" xfId="0" applyFont="1" applyBorder="1"/>
    <xf numFmtId="0" fontId="22" fillId="0" borderId="0" xfId="0" applyFont="1"/>
    <xf numFmtId="0" fontId="15" fillId="0" borderId="0" xfId="0" applyFont="1" applyAlignment="1">
      <alignment vertical="center"/>
    </xf>
    <xf numFmtId="0" fontId="19" fillId="0" borderId="7" xfId="0" applyFont="1" applyBorder="1" applyAlignment="1">
      <alignment vertical="center"/>
    </xf>
    <xf numFmtId="0" fontId="20" fillId="0" borderId="4" xfId="0" applyFont="1" applyBorder="1" applyAlignment="1">
      <alignment vertical="center"/>
    </xf>
    <xf numFmtId="168" fontId="4" fillId="0" borderId="0" xfId="0" applyNumberFormat="1" applyFont="1" applyAlignment="1">
      <alignment vertical="center"/>
    </xf>
    <xf numFmtId="0" fontId="41" fillId="0" borderId="4" xfId="0" applyFont="1" applyBorder="1" applyAlignment="1">
      <alignment horizontal="left" vertical="center"/>
    </xf>
    <xf numFmtId="165" fontId="4" fillId="2" borderId="1" xfId="1" applyNumberFormat="1" applyFont="1" applyFill="1" applyBorder="1" applyAlignment="1">
      <alignment vertical="center"/>
    </xf>
    <xf numFmtId="165" fontId="40" fillId="0" borderId="0" xfId="1" applyNumberFormat="1" applyFont="1" applyFill="1" applyAlignment="1">
      <alignment vertical="center"/>
    </xf>
    <xf numFmtId="10" fontId="0" fillId="0" borderId="0" xfId="2" applyNumberFormat="1" applyFont="1" applyBorder="1" applyAlignment="1">
      <alignment horizontal="center"/>
    </xf>
    <xf numFmtId="0" fontId="3" fillId="0" borderId="16" xfId="0" applyFont="1" applyBorder="1"/>
    <xf numFmtId="10" fontId="4" fillId="2" borderId="0" xfId="2" applyNumberFormat="1" applyFont="1" applyFill="1" applyAlignment="1">
      <alignment vertical="center"/>
    </xf>
    <xf numFmtId="0" fontId="6" fillId="0" borderId="1" xfId="0" applyFont="1" applyBorder="1" applyAlignment="1">
      <alignment horizontal="left"/>
    </xf>
    <xf numFmtId="10" fontId="6" fillId="0" borderId="0" xfId="2" applyNumberFormat="1" applyFont="1" applyAlignment="1">
      <alignment horizontal="center"/>
    </xf>
    <xf numFmtId="10" fontId="6" fillId="0" borderId="1" xfId="0" applyNumberFormat="1" applyFont="1" applyBorder="1" applyAlignment="1">
      <alignment horizontal="center"/>
    </xf>
    <xf numFmtId="0" fontId="38" fillId="0" borderId="0" xfId="0" applyFont="1"/>
    <xf numFmtId="0" fontId="3" fillId="0" borderId="1" xfId="0" applyFont="1" applyBorder="1" applyAlignment="1">
      <alignment horizontal="center" vertical="center" wrapText="1"/>
    </xf>
    <xf numFmtId="172" fontId="0" fillId="0" borderId="0" xfId="0" applyNumberFormat="1" applyAlignment="1">
      <alignment horizontal="center" vertical="center"/>
    </xf>
    <xf numFmtId="172" fontId="0" fillId="0" borderId="1" xfId="0" applyNumberFormat="1" applyBorder="1" applyAlignment="1">
      <alignment horizontal="center" vertical="center"/>
    </xf>
    <xf numFmtId="172" fontId="3" fillId="0" borderId="15" xfId="0" applyNumberFormat="1" applyFont="1" applyBorder="1" applyAlignment="1">
      <alignment horizontal="left"/>
    </xf>
    <xf numFmtId="172" fontId="0" fillId="0" borderId="14" xfId="0" applyNumberFormat="1" applyBorder="1"/>
    <xf numFmtId="9" fontId="0" fillId="0" borderId="5" xfId="2" applyFont="1" applyBorder="1"/>
    <xf numFmtId="0" fontId="0" fillId="0" borderId="15" xfId="0" applyBorder="1" applyAlignment="1">
      <alignment horizontal="left"/>
    </xf>
    <xf numFmtId="0" fontId="0" fillId="0" borderId="8" xfId="0" applyBorder="1" applyAlignment="1">
      <alignment horizontal="left"/>
    </xf>
    <xf numFmtId="165" fontId="0" fillId="0" borderId="4" xfId="1" applyNumberFormat="1" applyFont="1" applyBorder="1"/>
    <xf numFmtId="165" fontId="0" fillId="0" borderId="5" xfId="0" applyNumberFormat="1" applyBorder="1"/>
    <xf numFmtId="165" fontId="3" fillId="0" borderId="17" xfId="0" applyNumberFormat="1" applyFont="1" applyBorder="1"/>
    <xf numFmtId="0" fontId="3" fillId="0" borderId="17" xfId="0" applyFont="1" applyBorder="1"/>
    <xf numFmtId="165" fontId="0" fillId="0" borderId="12" xfId="1" applyNumberFormat="1" applyFont="1" applyBorder="1"/>
    <xf numFmtId="0" fontId="39" fillId="15" borderId="0" xfId="0" applyFont="1" applyFill="1" applyAlignment="1">
      <alignment horizontal="left"/>
    </xf>
    <xf numFmtId="0" fontId="0" fillId="15" borderId="0" xfId="0" applyFill="1"/>
    <xf numFmtId="0" fontId="6" fillId="0" borderId="1" xfId="0" applyFont="1" applyBorder="1" applyAlignment="1">
      <alignment horizontal="right"/>
    </xf>
    <xf numFmtId="165" fontId="0" fillId="0" borderId="9" xfId="0" applyNumberFormat="1" applyBorder="1"/>
    <xf numFmtId="0" fontId="6" fillId="0" borderId="1" xfId="0" quotePrefix="1" applyFont="1" applyBorder="1" applyAlignment="1">
      <alignment horizontal="left" vertical="center"/>
    </xf>
    <xf numFmtId="0" fontId="6" fillId="0" borderId="0" xfId="0" quotePrefix="1" applyFont="1" applyAlignment="1">
      <alignment horizontal="left" vertical="center"/>
    </xf>
    <xf numFmtId="0" fontId="6" fillId="0" borderId="4" xfId="0" quotePrefix="1" applyFont="1" applyBorder="1" applyAlignment="1">
      <alignment horizontal="left" vertical="center"/>
    </xf>
    <xf numFmtId="0" fontId="6" fillId="0" borderId="0" xfId="0" applyFont="1" applyAlignment="1">
      <alignment horizontal="left" vertical="center"/>
    </xf>
    <xf numFmtId="0" fontId="6" fillId="0" borderId="4" xfId="0" applyFont="1" applyBorder="1" applyAlignment="1">
      <alignment horizontal="left" vertical="center"/>
    </xf>
    <xf numFmtId="0" fontId="6" fillId="0" borderId="1" xfId="0" applyFont="1" applyBorder="1" applyAlignment="1">
      <alignment horizontal="left" vertical="center"/>
    </xf>
    <xf numFmtId="0" fontId="6" fillId="0" borderId="5" xfId="0" applyFont="1" applyBorder="1" applyAlignment="1">
      <alignment horizontal="left" vertical="center"/>
    </xf>
    <xf numFmtId="0" fontId="3" fillId="0" borderId="0" xfId="0" applyFont="1" applyAlignment="1">
      <alignment horizontal="left" vertical="center"/>
    </xf>
    <xf numFmtId="167" fontId="0" fillId="0" borderId="0" xfId="2" applyNumberFormat="1" applyFont="1" applyBorder="1" applyAlignment="1">
      <alignment horizontal="center" vertical="center"/>
    </xf>
    <xf numFmtId="0" fontId="0" fillId="0" borderId="1" xfId="0" quotePrefix="1" applyBorder="1" applyAlignment="1">
      <alignment horizontal="left" vertical="center"/>
    </xf>
    <xf numFmtId="167" fontId="1" fillId="0" borderId="0" xfId="2" quotePrefix="1" applyNumberFormat="1" applyFont="1" applyBorder="1" applyAlignment="1">
      <alignment horizontal="left" vertical="center"/>
    </xf>
    <xf numFmtId="0" fontId="1" fillId="0" borderId="0" xfId="0" applyFont="1" applyAlignment="1">
      <alignment horizontal="center" vertical="center"/>
    </xf>
    <xf numFmtId="0" fontId="1" fillId="0" borderId="1" xfId="0" quotePrefix="1" applyFont="1" applyBorder="1" applyAlignment="1">
      <alignment horizontal="left" vertical="center"/>
    </xf>
    <xf numFmtId="165" fontId="0" fillId="0" borderId="5" xfId="1" applyNumberFormat="1" applyFont="1" applyBorder="1" applyAlignment="1">
      <alignment vertical="center"/>
    </xf>
    <xf numFmtId="172" fontId="19" fillId="0" borderId="9" xfId="1" applyNumberFormat="1" applyFont="1" applyFill="1" applyBorder="1" applyAlignment="1">
      <alignment vertical="center"/>
    </xf>
    <xf numFmtId="10" fontId="43" fillId="0" borderId="0" xfId="0" applyNumberFormat="1" applyFont="1" applyAlignment="1">
      <alignment horizontal="center" vertical="center"/>
    </xf>
    <xf numFmtId="10" fontId="0" fillId="0" borderId="1" xfId="0" applyNumberFormat="1" applyBorder="1" applyAlignment="1">
      <alignment horizontal="center" vertical="center"/>
    </xf>
    <xf numFmtId="10" fontId="34" fillId="0" borderId="4" xfId="0" applyNumberFormat="1" applyFont="1" applyBorder="1" applyAlignment="1">
      <alignment horizontal="center" vertical="center"/>
    </xf>
    <xf numFmtId="10" fontId="34" fillId="0" borderId="5" xfId="0" applyNumberFormat="1" applyFont="1" applyBorder="1" applyAlignment="1">
      <alignment horizontal="center" vertical="center"/>
    </xf>
    <xf numFmtId="0" fontId="0" fillId="0" borderId="15" xfId="0" applyBorder="1" applyAlignment="1">
      <alignment vertical="center"/>
    </xf>
    <xf numFmtId="0" fontId="0" fillId="0" borderId="3" xfId="0" applyBorder="1" applyAlignment="1">
      <alignment vertical="center"/>
    </xf>
    <xf numFmtId="168" fontId="4" fillId="2" borderId="3" xfId="0" applyNumberFormat="1" applyFont="1" applyFill="1" applyBorder="1" applyAlignment="1">
      <alignment vertical="center"/>
    </xf>
    <xf numFmtId="166" fontId="6" fillId="0" borderId="3" xfId="2" applyNumberFormat="1" applyFont="1" applyBorder="1" applyAlignment="1">
      <alignment horizontal="left" vertical="center"/>
    </xf>
    <xf numFmtId="0" fontId="6" fillId="0" borderId="14" xfId="0" applyFont="1" applyBorder="1" applyAlignment="1">
      <alignment vertical="center"/>
    </xf>
    <xf numFmtId="166" fontId="6" fillId="0" borderId="1" xfId="2" applyNumberFormat="1" applyFont="1" applyBorder="1" applyAlignment="1">
      <alignment horizontal="left" vertical="center"/>
    </xf>
    <xf numFmtId="0" fontId="6" fillId="0" borderId="5" xfId="0" applyFont="1" applyBorder="1" applyAlignment="1">
      <alignment vertical="center"/>
    </xf>
    <xf numFmtId="10" fontId="6" fillId="0" borderId="0" xfId="2" applyNumberFormat="1" applyFont="1" applyAlignment="1">
      <alignment horizontal="right"/>
    </xf>
    <xf numFmtId="10" fontId="6" fillId="0" borderId="1" xfId="2" applyNumberFormat="1" applyFont="1" applyBorder="1" applyAlignment="1">
      <alignment horizontal="right"/>
    </xf>
    <xf numFmtId="165" fontId="6" fillId="0" borderId="0" xfId="1" applyNumberFormat="1" applyFont="1" applyAlignment="1">
      <alignment horizontal="right"/>
    </xf>
    <xf numFmtId="165" fontId="6" fillId="0" borderId="1" xfId="1" applyNumberFormat="1" applyFont="1" applyBorder="1" applyAlignment="1">
      <alignment horizontal="right"/>
    </xf>
    <xf numFmtId="165" fontId="6" fillId="0" borderId="0" xfId="1" applyNumberFormat="1" applyFont="1"/>
    <xf numFmtId="10" fontId="6" fillId="0" borderId="0" xfId="0" applyNumberFormat="1" applyFont="1"/>
    <xf numFmtId="43" fontId="6" fillId="0" borderId="0" xfId="0" applyNumberFormat="1" applyFont="1"/>
    <xf numFmtId="166" fontId="1" fillId="0" borderId="0" xfId="2" applyNumberFormat="1" applyFont="1" applyBorder="1" applyAlignment="1">
      <alignment horizontal="left" vertical="center"/>
    </xf>
    <xf numFmtId="167" fontId="1" fillId="0" borderId="0" xfId="2" applyNumberFormat="1" applyFont="1" applyBorder="1" applyAlignment="1">
      <alignment horizontal="center" vertical="center"/>
    </xf>
    <xf numFmtId="0" fontId="1" fillId="0" borderId="0" xfId="0" quotePrefix="1" applyFont="1" applyAlignment="1">
      <alignment horizontal="left" vertical="center"/>
    </xf>
    <xf numFmtId="0" fontId="1" fillId="0" borderId="1" xfId="0" applyFont="1" applyBorder="1" applyAlignment="1">
      <alignment horizontal="center" vertical="center"/>
    </xf>
    <xf numFmtId="165" fontId="0" fillId="0" borderId="0" xfId="1" applyNumberFormat="1" applyFont="1" applyAlignment="1">
      <alignment vertical="center"/>
    </xf>
    <xf numFmtId="165" fontId="0" fillId="0" borderId="0" xfId="0" applyNumberFormat="1" applyAlignment="1">
      <alignment vertical="center"/>
    </xf>
    <xf numFmtId="165" fontId="0" fillId="0" borderId="5" xfId="0" applyNumberFormat="1" applyBorder="1" applyAlignment="1">
      <alignment vertical="center"/>
    </xf>
    <xf numFmtId="165" fontId="0" fillId="0" borderId="18" xfId="0" applyNumberFormat="1" applyBorder="1"/>
    <xf numFmtId="165" fontId="0" fillId="0" borderId="5" xfId="1" applyNumberFormat="1" applyFont="1" applyBorder="1" applyAlignment="1">
      <alignment horizontal="center"/>
    </xf>
    <xf numFmtId="0" fontId="13" fillId="0" borderId="0" xfId="0" applyFont="1"/>
    <xf numFmtId="0" fontId="9" fillId="0" borderId="0" xfId="0" applyFont="1" applyAlignment="1">
      <alignment vertical="center"/>
    </xf>
    <xf numFmtId="0" fontId="10" fillId="7" borderId="3" xfId="0" applyFont="1" applyFill="1" applyBorder="1" applyAlignment="1">
      <alignment vertical="center"/>
    </xf>
    <xf numFmtId="0" fontId="16" fillId="7" borderId="3" xfId="0" applyFont="1" applyFill="1" applyBorder="1" applyAlignment="1">
      <alignment horizontal="center" vertical="center"/>
    </xf>
    <xf numFmtId="0" fontId="10" fillId="7" borderId="3" xfId="0" applyFont="1" applyFill="1" applyBorder="1" applyAlignment="1">
      <alignment horizontal="center" vertical="center"/>
    </xf>
    <xf numFmtId="165" fontId="0" fillId="0" borderId="3" xfId="1" applyNumberFormat="1" applyFont="1" applyBorder="1" applyAlignment="1">
      <alignment vertical="center"/>
    </xf>
    <xf numFmtId="10" fontId="0" fillId="0" borderId="1" xfId="2" applyNumberFormat="1" applyFont="1" applyBorder="1" applyAlignment="1">
      <alignment vertical="center"/>
    </xf>
    <xf numFmtId="0" fontId="0" fillId="11" borderId="5" xfId="0" applyFill="1" applyBorder="1" applyAlignment="1">
      <alignment horizontal="center" vertical="center"/>
    </xf>
    <xf numFmtId="10" fontId="0" fillId="0" borderId="4" xfId="0" applyNumberFormat="1" applyBorder="1" applyAlignment="1">
      <alignment vertical="center"/>
    </xf>
    <xf numFmtId="165" fontId="0" fillId="0" borderId="1" xfId="1" applyNumberFormat="1" applyFont="1" applyBorder="1" applyAlignment="1">
      <alignment vertical="center"/>
    </xf>
    <xf numFmtId="10" fontId="0" fillId="0" borderId="5" xfId="2" applyNumberFormat="1" applyFont="1" applyBorder="1" applyAlignment="1">
      <alignment vertical="center"/>
    </xf>
    <xf numFmtId="10" fontId="3" fillId="0" borderId="1" xfId="0" applyNumberFormat="1" applyFont="1" applyBorder="1" applyAlignment="1">
      <alignment horizontal="center" vertical="center"/>
    </xf>
    <xf numFmtId="10" fontId="0" fillId="0" borderId="0" xfId="2" applyNumberFormat="1" applyFont="1" applyBorder="1" applyAlignment="1">
      <alignment vertical="center"/>
    </xf>
    <xf numFmtId="10" fontId="3" fillId="0" borderId="4" xfId="0" applyNumberFormat="1" applyFont="1" applyBorder="1" applyAlignment="1">
      <alignment vertical="center"/>
    </xf>
    <xf numFmtId="10" fontId="0" fillId="0" borderId="5" xfId="0" applyNumberFormat="1" applyBorder="1" applyAlignment="1">
      <alignment vertical="center"/>
    </xf>
    <xf numFmtId="10" fontId="0" fillId="0" borderId="1" xfId="2" applyNumberFormat="1" applyFont="1" applyBorder="1" applyAlignment="1">
      <alignment horizontal="center" vertical="center"/>
    </xf>
    <xf numFmtId="10" fontId="0" fillId="0" borderId="4" xfId="2" applyNumberFormat="1" applyFont="1" applyBorder="1" applyAlignment="1">
      <alignment vertical="center"/>
    </xf>
    <xf numFmtId="165" fontId="0" fillId="0" borderId="0" xfId="1" applyNumberFormat="1" applyFont="1" applyBorder="1" applyAlignment="1">
      <alignment vertical="center"/>
    </xf>
    <xf numFmtId="0" fontId="0" fillId="0" borderId="6" xfId="0" applyBorder="1" applyAlignment="1">
      <alignment vertical="center"/>
    </xf>
    <xf numFmtId="166" fontId="0" fillId="0" borderId="9" xfId="0" applyNumberFormat="1" applyBorder="1" applyAlignment="1">
      <alignment vertical="center"/>
    </xf>
    <xf numFmtId="10" fontId="0" fillId="12" borderId="4" xfId="0" applyNumberFormat="1" applyFill="1" applyBorder="1" applyAlignment="1">
      <alignment vertical="center"/>
    </xf>
    <xf numFmtId="169" fontId="0" fillId="12" borderId="4" xfId="1" applyNumberFormat="1" applyFont="1" applyFill="1" applyBorder="1" applyAlignment="1">
      <alignment vertical="center"/>
    </xf>
    <xf numFmtId="165" fontId="0" fillId="12" borderId="5" xfId="1" applyNumberFormat="1" applyFont="1" applyFill="1" applyBorder="1" applyAlignment="1">
      <alignment vertical="center"/>
    </xf>
    <xf numFmtId="10" fontId="0" fillId="6" borderId="4" xfId="0" applyNumberFormat="1" applyFill="1" applyBorder="1" applyAlignment="1">
      <alignment vertical="center"/>
    </xf>
    <xf numFmtId="169" fontId="0" fillId="6" borderId="4" xfId="1" applyNumberFormat="1" applyFont="1" applyFill="1" applyBorder="1" applyAlignment="1">
      <alignment vertical="center"/>
    </xf>
    <xf numFmtId="165" fontId="0" fillId="6" borderId="5" xfId="1" applyNumberFormat="1" applyFont="1" applyFill="1" applyBorder="1" applyAlignment="1">
      <alignment vertical="center"/>
    </xf>
    <xf numFmtId="0" fontId="0" fillId="13" borderId="5" xfId="0" applyFill="1" applyBorder="1" applyAlignment="1">
      <alignment horizontal="center" vertical="center"/>
    </xf>
    <xf numFmtId="10" fontId="3" fillId="0" borderId="1" xfId="2" applyNumberFormat="1" applyFont="1" applyBorder="1" applyAlignment="1">
      <alignment horizontal="center" vertical="center"/>
    </xf>
    <xf numFmtId="10" fontId="3" fillId="0" borderId="4" xfId="2" applyNumberFormat="1" applyFont="1" applyBorder="1" applyAlignment="1">
      <alignment vertical="center"/>
    </xf>
    <xf numFmtId="173" fontId="0" fillId="0" borderId="0" xfId="1" applyNumberFormat="1" applyFont="1" applyBorder="1" applyAlignment="1">
      <alignment vertical="center"/>
    </xf>
    <xf numFmtId="0" fontId="24" fillId="7" borderId="6" xfId="0" applyFont="1" applyFill="1" applyBorder="1" applyAlignment="1">
      <alignment vertical="center"/>
    </xf>
    <xf numFmtId="0" fontId="15" fillId="7" borderId="2" xfId="0" applyFont="1" applyFill="1" applyBorder="1" applyAlignment="1">
      <alignment horizontal="right" vertical="center"/>
    </xf>
    <xf numFmtId="10" fontId="15" fillId="7" borderId="9" xfId="2" applyNumberFormat="1" applyFont="1" applyFill="1" applyBorder="1" applyAlignment="1">
      <alignment vertical="center"/>
    </xf>
    <xf numFmtId="0" fontId="3" fillId="0" borderId="8" xfId="0" applyFont="1" applyBorder="1" applyAlignment="1">
      <alignment vertical="center"/>
    </xf>
    <xf numFmtId="0" fontId="29" fillId="7" borderId="15" xfId="0" applyFont="1" applyFill="1" applyBorder="1" applyAlignment="1">
      <alignment vertical="center"/>
    </xf>
    <xf numFmtId="0" fontId="10" fillId="7" borderId="14" xfId="0" applyFont="1" applyFill="1" applyBorder="1" applyAlignment="1">
      <alignment vertical="center"/>
    </xf>
    <xf numFmtId="0" fontId="24" fillId="7" borderId="15" xfId="0" applyFont="1" applyFill="1" applyBorder="1" applyAlignment="1">
      <alignment vertical="center"/>
    </xf>
    <xf numFmtId="0" fontId="15" fillId="7" borderId="3" xfId="0" applyFont="1" applyFill="1" applyBorder="1" applyAlignment="1">
      <alignment horizontal="right" vertical="center"/>
    </xf>
    <xf numFmtId="10" fontId="15" fillId="7" borderId="3" xfId="0" applyNumberFormat="1" applyFont="1" applyFill="1" applyBorder="1" applyAlignment="1">
      <alignment horizontal="center" vertical="center"/>
    </xf>
    <xf numFmtId="10" fontId="15" fillId="7" borderId="3" xfId="2" applyNumberFormat="1" applyFont="1" applyFill="1" applyBorder="1" applyAlignment="1">
      <alignment vertical="center"/>
    </xf>
    <xf numFmtId="0" fontId="0" fillId="0" borderId="8" xfId="0" applyBorder="1" applyAlignment="1">
      <alignment horizontal="center" vertical="center"/>
    </xf>
    <xf numFmtId="10" fontId="0" fillId="0" borderId="5" xfId="0" applyNumberFormat="1" applyBorder="1" applyAlignment="1">
      <alignment horizontal="center" vertical="center"/>
    </xf>
    <xf numFmtId="10" fontId="0" fillId="0" borderId="7" xfId="0" applyNumberFormat="1" applyBorder="1" applyAlignment="1">
      <alignment horizontal="center" vertical="center"/>
    </xf>
    <xf numFmtId="10" fontId="0" fillId="0" borderId="5" xfId="2" applyNumberFormat="1" applyFont="1" applyBorder="1" applyAlignment="1">
      <alignment horizontal="center" vertical="center"/>
    </xf>
    <xf numFmtId="165" fontId="0" fillId="0" borderId="4" xfId="1" applyNumberFormat="1" applyFont="1" applyBorder="1" applyAlignment="1">
      <alignment vertical="center"/>
    </xf>
    <xf numFmtId="0" fontId="0" fillId="0" borderId="0" xfId="0" applyAlignment="1">
      <alignment horizontal="left" vertical="center"/>
    </xf>
    <xf numFmtId="10" fontId="0" fillId="0" borderId="0" xfId="0" applyNumberFormat="1" applyAlignment="1">
      <alignment horizontal="center" vertical="center"/>
    </xf>
    <xf numFmtId="0" fontId="0" fillId="0" borderId="6" xfId="0" applyBorder="1"/>
    <xf numFmtId="0" fontId="4" fillId="2" borderId="9" xfId="0" applyFont="1" applyFill="1" applyBorder="1" applyAlignment="1">
      <alignment horizontal="center"/>
    </xf>
    <xf numFmtId="0" fontId="4" fillId="2" borderId="0" xfId="0" applyFont="1" applyFill="1"/>
    <xf numFmtId="171" fontId="0" fillId="6" borderId="0" xfId="2" applyNumberFormat="1" applyFont="1" applyFill="1" applyBorder="1" applyAlignment="1">
      <alignment horizontal="center"/>
    </xf>
    <xf numFmtId="165" fontId="0" fillId="6" borderId="0" xfId="1" applyNumberFormat="1" applyFont="1" applyFill="1" applyBorder="1" applyAlignment="1">
      <alignment horizontal="center"/>
    </xf>
    <xf numFmtId="0" fontId="0" fillId="0" borderId="12" xfId="0" applyBorder="1"/>
    <xf numFmtId="9" fontId="13" fillId="0" borderId="0" xfId="0" applyNumberFormat="1" applyFont="1" applyAlignment="1">
      <alignment horizontal="center"/>
    </xf>
    <xf numFmtId="10" fontId="0" fillId="0" borderId="0" xfId="2" applyNumberFormat="1" applyFont="1" applyBorder="1" applyAlignment="1">
      <alignment horizontal="right"/>
    </xf>
    <xf numFmtId="43" fontId="6" fillId="0" borderId="0" xfId="1" applyFont="1"/>
    <xf numFmtId="10" fontId="0" fillId="0" borderId="1" xfId="0" applyNumberFormat="1" applyBorder="1"/>
    <xf numFmtId="10" fontId="0" fillId="0" borderId="0" xfId="0" applyNumberFormat="1"/>
    <xf numFmtId="173" fontId="0" fillId="0" borderId="18" xfId="1" applyNumberFormat="1" applyFont="1" applyBorder="1"/>
    <xf numFmtId="0" fontId="13" fillId="0" borderId="0" xfId="0" applyFont="1" applyAlignment="1">
      <alignment vertical="center"/>
    </xf>
    <xf numFmtId="165" fontId="0" fillId="0" borderId="18" xfId="0" applyNumberFormat="1" applyBorder="1" applyAlignment="1">
      <alignment vertical="center"/>
    </xf>
    <xf numFmtId="10" fontId="0" fillId="0" borderId="18" xfId="2" applyNumberFormat="1" applyFont="1" applyBorder="1" applyAlignment="1">
      <alignment vertical="center"/>
    </xf>
    <xf numFmtId="165" fontId="0" fillId="0" borderId="18" xfId="1" applyNumberFormat="1" applyFont="1" applyBorder="1" applyAlignment="1">
      <alignment vertical="center"/>
    </xf>
    <xf numFmtId="0" fontId="44" fillId="0" borderId="0" xfId="0" applyFont="1"/>
    <xf numFmtId="0" fontId="45" fillId="0" borderId="0" xfId="0" applyFont="1"/>
    <xf numFmtId="0" fontId="46" fillId="0" borderId="0" xfId="0" applyFont="1"/>
    <xf numFmtId="3" fontId="0" fillId="0" borderId="0" xfId="0" applyNumberFormat="1"/>
    <xf numFmtId="0" fontId="47" fillId="0" borderId="0" xfId="0" applyFont="1"/>
    <xf numFmtId="0" fontId="48" fillId="0" borderId="0" xfId="0" applyFont="1" applyAlignment="1">
      <alignment horizontal="center"/>
    </xf>
    <xf numFmtId="172" fontId="48" fillId="0" borderId="0" xfId="1" applyNumberFormat="1" applyFont="1" applyBorder="1"/>
    <xf numFmtId="0" fontId="48" fillId="0" borderId="1" xfId="0" applyFont="1" applyBorder="1" applyAlignment="1">
      <alignment horizontal="center"/>
    </xf>
    <xf numFmtId="172" fontId="48" fillId="0" borderId="1" xfId="1" applyNumberFormat="1" applyFont="1" applyFill="1" applyBorder="1"/>
    <xf numFmtId="9" fontId="49" fillId="0" borderId="1" xfId="0" applyNumberFormat="1" applyFont="1" applyBorder="1" applyAlignment="1">
      <alignment horizontal="center"/>
    </xf>
    <xf numFmtId="0" fontId="50" fillId="0" borderId="0" xfId="0" applyFont="1"/>
    <xf numFmtId="0" fontId="30" fillId="7" borderId="1" xfId="0" applyFont="1" applyFill="1" applyBorder="1" applyAlignment="1">
      <alignment horizontal="center"/>
    </xf>
    <xf numFmtId="0" fontId="0" fillId="14" borderId="1" xfId="0" applyFill="1" applyBorder="1" applyAlignment="1">
      <alignment horizontal="center"/>
    </xf>
    <xf numFmtId="0" fontId="42" fillId="0" borderId="7" xfId="0" applyFont="1" applyBorder="1" applyAlignment="1">
      <alignment horizontal="center"/>
    </xf>
    <xf numFmtId="0" fontId="42" fillId="0" borderId="4" xfId="0" applyFont="1" applyBorder="1" applyAlignment="1">
      <alignment horizontal="center"/>
    </xf>
    <xf numFmtId="0" fontId="0" fillId="0" borderId="7" xfId="0" applyBorder="1" applyAlignment="1">
      <alignment horizontal="center"/>
    </xf>
    <xf numFmtId="0" fontId="0" fillId="0" borderId="4" xfId="0" applyBorder="1" applyAlignment="1">
      <alignment horizontal="center"/>
    </xf>
    <xf numFmtId="0" fontId="6" fillId="0" borderId="1" xfId="0" quotePrefix="1" applyFont="1" applyBorder="1" applyAlignment="1">
      <alignment horizontal="left" vertical="center"/>
    </xf>
    <xf numFmtId="0" fontId="6" fillId="0" borderId="5" xfId="0" quotePrefix="1" applyFont="1" applyBorder="1" applyAlignment="1">
      <alignment horizontal="left" vertical="center"/>
    </xf>
    <xf numFmtId="0" fontId="0" fillId="0" borderId="7" xfId="0" applyBorder="1" applyAlignment="1">
      <alignment horizontal="right" vertical="center" textRotation="90"/>
    </xf>
    <xf numFmtId="0" fontId="0" fillId="0" borderId="8" xfId="0" applyBorder="1" applyAlignment="1">
      <alignment horizontal="right" vertical="center" textRotation="90"/>
    </xf>
    <xf numFmtId="0" fontId="13" fillId="0" borderId="0" xfId="0" applyFont="1" applyAlignment="1">
      <alignment horizontal="left" vertical="top" wrapText="1"/>
    </xf>
    <xf numFmtId="0" fontId="24" fillId="7" borderId="0" xfId="0" applyFont="1" applyFill="1" applyAlignment="1">
      <alignment horizontal="center" vertical="center" textRotation="90"/>
    </xf>
    <xf numFmtId="0" fontId="24" fillId="10" borderId="0" xfId="0" applyFont="1" applyFill="1" applyAlignment="1">
      <alignment horizontal="center" vertical="center" textRotation="90"/>
    </xf>
    <xf numFmtId="0" fontId="23" fillId="11" borderId="0" xfId="0" applyFont="1" applyFill="1" applyAlignment="1">
      <alignment horizontal="center" vertical="center" textRotation="90"/>
    </xf>
    <xf numFmtId="0" fontId="22" fillId="12" borderId="0" xfId="0" applyFont="1" applyFill="1" applyAlignment="1">
      <alignment horizontal="center" vertical="center" textRotation="90"/>
    </xf>
    <xf numFmtId="0" fontId="22" fillId="8" borderId="1" xfId="0" applyFont="1" applyFill="1" applyBorder="1" applyAlignment="1">
      <alignment horizontal="center" vertical="center" textRotation="90"/>
    </xf>
    <xf numFmtId="0" fontId="20" fillId="0" borderId="0" xfId="0" applyFont="1" applyBorder="1" applyAlignment="1">
      <alignment horizontal="center" vertical="center"/>
    </xf>
    <xf numFmtId="0" fontId="20" fillId="0" borderId="1" xfId="0" applyFont="1" applyBorder="1" applyAlignment="1">
      <alignment horizontal="center" vertical="center"/>
    </xf>
    <xf numFmtId="0" fontId="48" fillId="0" borderId="0" xfId="0" applyFont="1" applyAlignment="1">
      <alignment horizontal="center" vertical="center"/>
    </xf>
    <xf numFmtId="0" fontId="48" fillId="0" borderId="1" xfId="0" applyFont="1" applyBorder="1" applyAlignment="1">
      <alignment horizontal="center" vertical="center"/>
    </xf>
    <xf numFmtId="0" fontId="48" fillId="0" borderId="3" xfId="0" applyFont="1" applyBorder="1" applyAlignment="1">
      <alignment horizontal="center"/>
    </xf>
    <xf numFmtId="3" fontId="48" fillId="0" borderId="0" xfId="1" applyNumberFormat="1" applyFont="1" applyBorder="1" applyAlignment="1">
      <alignment horizontal="center"/>
    </xf>
    <xf numFmtId="172" fontId="48" fillId="0" borderId="4" xfId="0" applyNumberFormat="1" applyFont="1" applyBorder="1"/>
    <xf numFmtId="172" fontId="48" fillId="0" borderId="0" xfId="0" applyNumberFormat="1" applyFont="1" applyFill="1" applyAlignment="1">
      <alignment horizontal="center" vertical="center"/>
    </xf>
    <xf numFmtId="172" fontId="48" fillId="0" borderId="1" xfId="0" applyNumberFormat="1" applyFont="1" applyFill="1" applyBorder="1" applyAlignment="1">
      <alignment horizontal="center" vertical="center"/>
    </xf>
    <xf numFmtId="1" fontId="13" fillId="0" borderId="0" xfId="0" applyNumberFormat="1" applyFont="1" applyAlignment="1">
      <alignment horizontal="center"/>
    </xf>
    <xf numFmtId="1" fontId="13" fillId="0" borderId="1" xfId="0" applyNumberFormat="1" applyFont="1" applyBorder="1" applyAlignment="1">
      <alignment horizontal="center"/>
    </xf>
    <xf numFmtId="0" fontId="0" fillId="0" borderId="8" xfId="0" applyFill="1" applyBorder="1" applyAlignment="1">
      <alignment horizontal="left" indent="1"/>
    </xf>
    <xf numFmtId="172" fontId="0" fillId="0" borderId="1" xfId="0" applyNumberFormat="1" applyBorder="1" applyAlignment="1">
      <alignment vertical="center"/>
    </xf>
    <xf numFmtId="0" fontId="0" fillId="0" borderId="0" xfId="0" applyBorder="1" applyAlignment="1">
      <alignment vertical="center"/>
    </xf>
    <xf numFmtId="172" fontId="0" fillId="0" borderId="0" xfId="0" applyNumberFormat="1" applyBorder="1" applyAlignment="1">
      <alignment vertical="center"/>
    </xf>
    <xf numFmtId="172" fontId="0" fillId="0" borderId="18" xfId="0" applyNumberFormat="1" applyBorder="1" applyAlignment="1">
      <alignment vertical="center"/>
    </xf>
    <xf numFmtId="172" fontId="0" fillId="0" borderId="5" xfId="0" applyNumberFormat="1" applyBorder="1" applyAlignment="1">
      <alignment vertical="center"/>
    </xf>
    <xf numFmtId="9" fontId="0" fillId="0" borderId="5" xfId="2" applyFont="1" applyBorder="1" applyAlignment="1">
      <alignment vertical="center"/>
    </xf>
    <xf numFmtId="0" fontId="22" fillId="0" borderId="0" xfId="0" applyFont="1" applyAlignment="1">
      <alignment vertical="center"/>
    </xf>
    <xf numFmtId="49" fontId="13" fillId="0" borderId="3" xfId="2" applyNumberFormat="1" applyFont="1" applyFill="1" applyBorder="1" applyAlignment="1">
      <alignment vertical="center"/>
    </xf>
    <xf numFmtId="49" fontId="13" fillId="0" borderId="0" xfId="2" applyNumberFormat="1" applyFont="1" applyFill="1" applyBorder="1" applyAlignment="1">
      <alignment vertical="center"/>
    </xf>
    <xf numFmtId="49" fontId="13" fillId="0" borderId="0" xfId="0" applyNumberFormat="1" applyFont="1" applyAlignment="1">
      <alignment vertical="center"/>
    </xf>
    <xf numFmtId="49" fontId="0" fillId="0" borderId="1" xfId="0" applyNumberFormat="1" applyBorder="1" applyAlignment="1">
      <alignment vertical="center"/>
    </xf>
    <xf numFmtId="165" fontId="48" fillId="0" borderId="4" xfId="0" applyNumberFormat="1" applyFont="1" applyBorder="1"/>
    <xf numFmtId="165" fontId="48" fillId="0" borderId="5" xfId="1" applyNumberFormat="1" applyFont="1" applyBorder="1"/>
    <xf numFmtId="10" fontId="48" fillId="0" borderId="4" xfId="0" applyNumberFormat="1" applyFont="1" applyBorder="1" applyAlignment="1">
      <alignment horizontal="center"/>
    </xf>
    <xf numFmtId="9" fontId="48" fillId="0" borderId="5" xfId="0" applyNumberFormat="1" applyFont="1" applyBorder="1" applyAlignment="1">
      <alignment horizontal="center"/>
    </xf>
    <xf numFmtId="0" fontId="0" fillId="16" borderId="1" xfId="0" applyFill="1" applyBorder="1" applyAlignment="1">
      <alignment horizontal="center"/>
    </xf>
    <xf numFmtId="0" fontId="0" fillId="12" borderId="1" xfId="0" applyFill="1" applyBorder="1" applyAlignment="1">
      <alignment horizontal="center"/>
    </xf>
    <xf numFmtId="165" fontId="0" fillId="0" borderId="10" xfId="1" applyNumberFormat="1" applyFont="1" applyBorder="1"/>
    <xf numFmtId="0" fontId="0" fillId="0" borderId="18" xfId="0" applyBorder="1"/>
    <xf numFmtId="0" fontId="0" fillId="16" borderId="5" xfId="0" applyFill="1" applyBorder="1" applyAlignment="1">
      <alignment horizontal="center"/>
    </xf>
    <xf numFmtId="165" fontId="13" fillId="0" borderId="5" xfId="1" applyNumberFormat="1" applyFont="1" applyBorder="1" applyAlignment="1">
      <alignment horizontal="center"/>
    </xf>
    <xf numFmtId="165" fontId="13" fillId="0" borderId="5" xfId="1" applyNumberFormat="1" applyFont="1" applyBorder="1"/>
    <xf numFmtId="0" fontId="10" fillId="7" borderId="18" xfId="0" applyFont="1" applyFill="1" applyBorder="1" applyAlignment="1">
      <alignment horizontal="center"/>
    </xf>
    <xf numFmtId="164" fontId="10" fillId="7" borderId="18" xfId="0" applyNumberFormat="1" applyFont="1" applyFill="1" applyBorder="1" applyAlignment="1">
      <alignment horizontal="center"/>
    </xf>
    <xf numFmtId="0" fontId="0" fillId="0" borderId="18" xfId="0" applyBorder="1" applyAlignment="1">
      <alignment horizontal="center"/>
    </xf>
    <xf numFmtId="165" fontId="0" fillId="0" borderId="18" xfId="1" applyNumberFormat="1" applyFont="1" applyBorder="1" applyAlignment="1">
      <alignment horizontal="center"/>
    </xf>
    <xf numFmtId="165" fontId="0" fillId="0" borderId="18" xfId="0" applyNumberFormat="1" applyBorder="1" applyAlignment="1">
      <alignment horizontal="center"/>
    </xf>
    <xf numFmtId="10" fontId="0" fillId="0" borderId="18" xfId="2" applyNumberFormat="1" applyFont="1" applyBorder="1"/>
    <xf numFmtId="165" fontId="0" fillId="0" borderId="18" xfId="1" applyNumberFormat="1" applyFont="1" applyBorder="1"/>
    <xf numFmtId="165" fontId="3" fillId="0" borderId="18" xfId="1" applyNumberFormat="1" applyFont="1" applyBorder="1"/>
    <xf numFmtId="165" fontId="6" fillId="0" borderId="18" xfId="0" applyNumberFormat="1" applyFont="1" applyBorder="1"/>
    <xf numFmtId="43" fontId="0" fillId="0" borderId="18" xfId="1" applyFont="1" applyBorder="1"/>
    <xf numFmtId="0" fontId="0" fillId="0" borderId="0" xfId="0" applyBorder="1"/>
    <xf numFmtId="0" fontId="10" fillId="7" borderId="0" xfId="0" applyFont="1" applyFill="1" applyBorder="1" applyAlignment="1">
      <alignment horizontal="center"/>
    </xf>
    <xf numFmtId="164" fontId="10" fillId="7" borderId="0" xfId="0" applyNumberFormat="1" applyFont="1" applyFill="1" applyBorder="1" applyAlignment="1">
      <alignment horizontal="center"/>
    </xf>
    <xf numFmtId="0" fontId="0" fillId="0" borderId="0" xfId="0" applyBorder="1" applyAlignment="1">
      <alignment horizontal="center"/>
    </xf>
    <xf numFmtId="165" fontId="0" fillId="0" borderId="0" xfId="1" applyNumberFormat="1" applyFont="1" applyBorder="1" applyAlignment="1">
      <alignment horizontal="center"/>
    </xf>
    <xf numFmtId="165" fontId="0" fillId="0" borderId="0" xfId="0" applyNumberFormat="1" applyBorder="1" applyAlignment="1">
      <alignment horizontal="center"/>
    </xf>
    <xf numFmtId="165" fontId="0" fillId="0" borderId="0" xfId="0" applyNumberFormat="1" applyBorder="1"/>
    <xf numFmtId="165" fontId="6" fillId="0" borderId="0" xfId="0" applyNumberFormat="1" applyFont="1" applyBorder="1"/>
    <xf numFmtId="43" fontId="0" fillId="0" borderId="0" xfId="1" applyFont="1" applyBorder="1"/>
    <xf numFmtId="0" fontId="15" fillId="7" borderId="2" xfId="0" applyFont="1" applyFill="1" applyBorder="1" applyAlignment="1">
      <alignment horizontal="center" vertical="center"/>
    </xf>
    <xf numFmtId="0" fontId="15" fillId="7" borderId="9" xfId="0" applyFont="1" applyFill="1" applyBorder="1" applyAlignment="1">
      <alignment horizontal="center" vertical="center"/>
    </xf>
    <xf numFmtId="0" fontId="15" fillId="7" borderId="1" xfId="0" applyFont="1" applyFill="1" applyBorder="1" applyAlignment="1">
      <alignment vertical="center"/>
    </xf>
    <xf numFmtId="0" fontId="0" fillId="0" borderId="7" xfId="0" applyBorder="1" applyAlignment="1">
      <alignment horizontal="left" vertical="top" wrapText="1"/>
    </xf>
    <xf numFmtId="0" fontId="0" fillId="0" borderId="0" xfId="0" applyBorder="1" applyAlignment="1">
      <alignment horizontal="left" vertical="top" wrapText="1"/>
    </xf>
    <xf numFmtId="0" fontId="0" fillId="0" borderId="18" xfId="0" applyBorder="1" applyAlignment="1">
      <alignment horizontal="left" vertical="top" wrapText="1"/>
    </xf>
    <xf numFmtId="0" fontId="0" fillId="0" borderId="8" xfId="0" applyBorder="1" applyAlignment="1">
      <alignment horizontal="left" vertical="top" wrapText="1"/>
    </xf>
    <xf numFmtId="0" fontId="0" fillId="0" borderId="1" xfId="0" applyBorder="1" applyAlignment="1">
      <alignment horizontal="left" vertical="top" wrapText="1"/>
    </xf>
    <xf numFmtId="0" fontId="0" fillId="0" borderId="5" xfId="0" applyBorder="1" applyAlignment="1">
      <alignment horizontal="left" vertical="top" wrapText="1"/>
    </xf>
  </cellXfs>
  <cellStyles count="5">
    <cellStyle name="Comma" xfId="1" builtinId="3"/>
    <cellStyle name="Hyperlink" xfId="4" builtinId="8"/>
    <cellStyle name="Normal" xfId="0" builtinId="0"/>
    <cellStyle name="Normal 2" xfId="3" xr:uid="{3ECF7AAA-418E-1845-B33D-B2F4A9830394}"/>
    <cellStyle name="Percent" xfId="2" builtinId="5"/>
  </cellStyles>
  <dxfs count="11">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theme="0"/>
      </font>
      <fill>
        <patternFill>
          <bgColor theme="3"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1C1EFF"/>
      <color rgb="FFCD3C3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22/11/relationships/FeaturePropertyBag" Target="featurePropertyBag/featurePropertyBag.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Project</a:t>
            </a:r>
            <a:r>
              <a:rPr lang="en-US" b="1" baseline="0"/>
              <a:t> Unlevered Cash Flows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spPr>
            <a:solidFill>
              <a:srgbClr val="215F9A"/>
            </a:solidFill>
            <a:ln>
              <a:noFill/>
            </a:ln>
            <a:effectLst/>
          </c:spPr>
          <c:invertIfNegative val="1"/>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H"/>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[0]!Deal_time</c:f>
              <c:strCache>
                <c:ptCount val="16"/>
                <c:pt idx="0">
                  <c:v>Purchase</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strCache>
            </c:strRef>
          </c:cat>
          <c:val>
            <c:numRef>
              <c:f>[0]!Deal_unlevered</c:f>
              <c:numCache>
                <c:formatCode>_(* #,##0_);_(* \(#,##0\);_(* "-"??_);_(@_)</c:formatCode>
                <c:ptCount val="16"/>
                <c:pt idx="0">
                  <c:v>-6224400</c:v>
                </c:pt>
                <c:pt idx="1">
                  <c:v>-78452.841899999999</c:v>
                </c:pt>
                <c:pt idx="2">
                  <c:v>330953.04108199995</c:v>
                </c:pt>
                <c:pt idx="3">
                  <c:v>341595.54450363992</c:v>
                </c:pt>
                <c:pt idx="4">
                  <c:v>352572.40359046275</c:v>
                </c:pt>
                <c:pt idx="5">
                  <c:v>363893.97068164329</c:v>
                </c:pt>
                <c:pt idx="6">
                  <c:v>375570.91562136548</c:v>
                </c:pt>
                <c:pt idx="7">
                  <c:v>387614.2354352047</c:v>
                </c:pt>
                <c:pt idx="8">
                  <c:v>400035.26430014148</c:v>
                </c:pt>
                <c:pt idx="9">
                  <c:v>412845.68381708727</c:v>
                </c:pt>
                <c:pt idx="10">
                  <c:v>426057.5335950742</c:v>
                </c:pt>
                <c:pt idx="11">
                  <c:v>439683.22215653793</c:v>
                </c:pt>
                <c:pt idx="12">
                  <c:v>453735.53817340767</c:v>
                </c:pt>
                <c:pt idx="13">
                  <c:v>468227.6620440039</c:v>
                </c:pt>
                <c:pt idx="14">
                  <c:v>483173.17782105727</c:v>
                </c:pt>
                <c:pt idx="15">
                  <c:v>9871721.7100292817</c:v>
                </c:pt>
              </c:numCache>
            </c:numRef>
          </c:val>
          <c:extLst>
            <c:ext xmlns:c14="http://schemas.microsoft.com/office/drawing/2007/8/2/chart" uri="{6F2FDCE9-48DA-4B69-8628-5D25D57E5C99}">
              <c14:invertSolidFillFmt>
                <c14:spPr xmlns:c14="http://schemas.microsoft.com/office/drawing/2007/8/2/chart">
                  <a:solidFill>
                    <a:srgbClr val="CD3C38"/>
                  </a:solidFill>
                  <a:ln>
                    <a:noFill/>
                  </a:ln>
                  <a:effectLst/>
                </c14:spPr>
              </c14:invertSolidFillFmt>
            </c:ext>
            <c:ext xmlns:c16="http://schemas.microsoft.com/office/drawing/2014/chart" uri="{C3380CC4-5D6E-409C-BE32-E72D297353CC}">
              <c16:uniqueId val="{00000001-739B-3B43-928A-F5C88BA2D6A2}"/>
            </c:ext>
          </c:extLst>
        </c:ser>
        <c:dLbls>
          <c:showLegendKey val="0"/>
          <c:showVal val="0"/>
          <c:showCatName val="0"/>
          <c:showSerName val="0"/>
          <c:showPercent val="0"/>
          <c:showBubbleSize val="0"/>
        </c:dLbls>
        <c:gapWidth val="219"/>
        <c:overlap val="-27"/>
        <c:axId val="545769631"/>
        <c:axId val="1470938671"/>
      </c:barChart>
      <c:catAx>
        <c:axId val="545769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Project</a:t>
                </a:r>
                <a:r>
                  <a:rPr lang="en-US" b="1" baseline="0"/>
                  <a:t> Timeline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TH"/>
          </a:p>
        </c:txPr>
        <c:crossAx val="1470938671"/>
        <c:crosses val="autoZero"/>
        <c:auto val="1"/>
        <c:lblAlgn val="ctr"/>
        <c:lblOffset val="100"/>
        <c:noMultiLvlLbl val="0"/>
      </c:catAx>
      <c:valAx>
        <c:axId val="1470938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Cash Flows ($</a:t>
                </a:r>
                <a:r>
                  <a:rPr lang="en-US" b="1" baseline="0"/>
                  <a:t> Millions</a:t>
                </a:r>
                <a:r>
                  <a:rPr lang="en-US" b="1"/>
                  <a:t>)</a:t>
                </a:r>
                <a:r>
                  <a:rPr lang="en-US" b="1" baseline="0"/>
                  <a:t> </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TH"/>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crossAx val="545769631"/>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dispUnitsLbl>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D9D9D9"/>
      </a:solidFill>
      <a:prstDash val="solid"/>
      <a:round/>
    </a:ln>
    <a:effectLst>
      <a:outerShdw blurRad="50800" dist="38100" dir="2700000" algn="tl" rotWithShape="0">
        <a:prstClr val="black">
          <a:alpha val="40000"/>
        </a:prstClr>
      </a:outerShdw>
    </a:effectLst>
  </c:spPr>
  <c:txPr>
    <a:bodyPr/>
    <a:lstStyle/>
    <a:p>
      <a:pPr>
        <a:defRPr/>
      </a:pPr>
      <a:endParaRPr lang="en-TH"/>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Project</a:t>
            </a:r>
            <a:r>
              <a:rPr lang="en-US" b="1" baseline="0"/>
              <a:t> Leverd Cash Flows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rgbClr val="215F9A"/>
            </a:solidFill>
            <a:ln>
              <a:noFill/>
            </a:ln>
            <a:effectLst/>
          </c:spPr>
          <c:invertIfNegative val="1"/>
          <c:dLbls>
            <c:dLbl>
              <c:idx val="1"/>
              <c:layout>
                <c:manualLayout>
                  <c:x val="0"/>
                  <c:y val="-4.580122618260503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851-4242-84A0-264CE83D01E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H"/>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[0]!Deal_time</c:f>
              <c:strCache>
                <c:ptCount val="16"/>
                <c:pt idx="0">
                  <c:v>Purchase</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strCache>
            </c:strRef>
          </c:cat>
          <c:val>
            <c:numRef>
              <c:f>[0]!Deal_levered</c:f>
              <c:numCache>
                <c:formatCode>_(* #,##0_);_(* \(#,##0\);_(* "-"??_);_(@_)</c:formatCode>
                <c:ptCount val="16"/>
                <c:pt idx="0">
                  <c:v>-2519684</c:v>
                </c:pt>
                <c:pt idx="1">
                  <c:v>-319385.13322500006</c:v>
                </c:pt>
                <c:pt idx="2">
                  <c:v>-2.9103830456733704E-11</c:v>
                </c:pt>
                <c:pt idx="3">
                  <c:v>-5.8207660913467407E-11</c:v>
                </c:pt>
                <c:pt idx="4">
                  <c:v>4429.0097663133638</c:v>
                </c:pt>
                <c:pt idx="5">
                  <c:v>15750.576857493899</c:v>
                </c:pt>
                <c:pt idx="6">
                  <c:v>27427.521797216148</c:v>
                </c:pt>
                <c:pt idx="7">
                  <c:v>39470.841611055308</c:v>
                </c:pt>
                <c:pt idx="8">
                  <c:v>51891.870475992095</c:v>
                </c:pt>
                <c:pt idx="9">
                  <c:v>64702.289992937935</c:v>
                </c:pt>
                <c:pt idx="10">
                  <c:v>77914.139770924812</c:v>
                </c:pt>
                <c:pt idx="11">
                  <c:v>91539.828332388599</c:v>
                </c:pt>
                <c:pt idx="12">
                  <c:v>105592.14434925828</c:v>
                </c:pt>
                <c:pt idx="13">
                  <c:v>120084.26821985451</c:v>
                </c:pt>
                <c:pt idx="14">
                  <c:v>135029.78399690788</c:v>
                </c:pt>
                <c:pt idx="15">
                  <c:v>7239048.0632305276</c:v>
                </c:pt>
              </c:numCache>
            </c:numRef>
          </c:val>
          <c:extLst>
            <c:ext xmlns:c14="http://schemas.microsoft.com/office/drawing/2007/8/2/chart" uri="{6F2FDCE9-48DA-4B69-8628-5D25D57E5C99}">
              <c14:invertSolidFillFmt>
                <c14:spPr xmlns:c14="http://schemas.microsoft.com/office/drawing/2007/8/2/chart">
                  <a:solidFill>
                    <a:srgbClr val="CD3C38"/>
                  </a:solidFill>
                  <a:ln>
                    <a:noFill/>
                  </a:ln>
                  <a:effectLst/>
                </c14:spPr>
              </c14:invertSolidFillFmt>
            </c:ext>
            <c:ext xmlns:c16="http://schemas.microsoft.com/office/drawing/2014/chart" uri="{C3380CC4-5D6E-409C-BE32-E72D297353CC}">
              <c16:uniqueId val="{00000001-0851-4242-84A0-264CE83D01EC}"/>
            </c:ext>
          </c:extLst>
        </c:ser>
        <c:dLbls>
          <c:showLegendKey val="0"/>
          <c:showVal val="0"/>
          <c:showCatName val="0"/>
          <c:showSerName val="0"/>
          <c:showPercent val="0"/>
          <c:showBubbleSize val="0"/>
        </c:dLbls>
        <c:gapWidth val="219"/>
        <c:overlap val="-27"/>
        <c:axId val="545769631"/>
        <c:axId val="1470938671"/>
      </c:barChart>
      <c:catAx>
        <c:axId val="545769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Project</a:t>
                </a:r>
                <a:r>
                  <a:rPr lang="en-US" b="1" baseline="0"/>
                  <a:t> Timeline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TH"/>
          </a:p>
        </c:txPr>
        <c:crossAx val="1470938671"/>
        <c:crosses val="autoZero"/>
        <c:auto val="1"/>
        <c:lblAlgn val="ctr"/>
        <c:lblOffset val="100"/>
        <c:noMultiLvlLbl val="0"/>
      </c:catAx>
      <c:valAx>
        <c:axId val="1470938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Cash Flows ($ Millions)</a:t>
                </a:r>
                <a:r>
                  <a:rPr lang="en-US" b="1" baseline="0"/>
                  <a:t> </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TH"/>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crossAx val="545769631"/>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dispUnitsLbl>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D9D9D9"/>
      </a:solidFill>
      <a:prstDash val="solid"/>
      <a:round/>
    </a:ln>
    <a:effectLst>
      <a:outerShdw blurRad="50800" dist="38100" dir="2700000" algn="tl" rotWithShape="0">
        <a:prstClr val="black">
          <a:alpha val="40000"/>
        </a:prstClr>
      </a:outerShdw>
    </a:effectLst>
  </c:spPr>
  <c:txPr>
    <a:bodyPr/>
    <a:lstStyle/>
    <a:p>
      <a:pPr>
        <a:defRPr/>
      </a:pPr>
      <a:endParaRPr lang="en-TH"/>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Aaron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spPr>
            <a:solidFill>
              <a:srgbClr val="215F9A"/>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H"/>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[0]!Investor_1_time</c:f>
              <c:strCache>
                <c:ptCount val="16"/>
                <c:pt idx="0">
                  <c:v>Purchase</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strCache>
            </c:strRef>
          </c:cat>
          <c:val>
            <c:numRef>
              <c:f>[0]!Investor_1_values</c:f>
              <c:numCache>
                <c:formatCode>_(* #,##0_);_(* \(#,##0\);_(* "-"??_);_(@_)</c:formatCode>
                <c:ptCount val="16"/>
                <c:pt idx="0">
                  <c:v>-755905.20000000007</c:v>
                </c:pt>
                <c:pt idx="1">
                  <c:v>-95815.539967500023</c:v>
                </c:pt>
                <c:pt idx="2">
                  <c:v>0</c:v>
                </c:pt>
                <c:pt idx="3">
                  <c:v>0</c:v>
                </c:pt>
                <c:pt idx="4">
                  <c:v>1328.7029298940536</c:v>
                </c:pt>
                <c:pt idx="5">
                  <c:v>4725.1730572481902</c:v>
                </c:pt>
                <c:pt idx="6">
                  <c:v>8228.2565391647877</c:v>
                </c:pt>
                <c:pt idx="7">
                  <c:v>11841.252483316577</c:v>
                </c:pt>
                <c:pt idx="8">
                  <c:v>15567.561142797655</c:v>
                </c:pt>
                <c:pt idx="9">
                  <c:v>19410.686997881414</c:v>
                </c:pt>
                <c:pt idx="10">
                  <c:v>23374.241931277407</c:v>
                </c:pt>
                <c:pt idx="11">
                  <c:v>27461.948499716575</c:v>
                </c:pt>
                <c:pt idx="12">
                  <c:v>31677.643304777535</c:v>
                </c:pt>
                <c:pt idx="13">
                  <c:v>36025.28046595637</c:v>
                </c:pt>
                <c:pt idx="14">
                  <c:v>40508.935199072381</c:v>
                </c:pt>
                <c:pt idx="15">
                  <c:v>2171714.4189691553</c:v>
                </c:pt>
              </c:numCache>
            </c:numRef>
          </c:val>
          <c:extLst>
            <c:ext xmlns:c14="http://schemas.microsoft.com/office/drawing/2007/8/2/chart" uri="{6F2FDCE9-48DA-4B69-8628-5D25D57E5C99}">
              <c14:invertSolidFillFmt>
                <c14:spPr xmlns:c14="http://schemas.microsoft.com/office/drawing/2007/8/2/chart">
                  <a:solidFill>
                    <a:srgbClr val="CD3C38"/>
                  </a:solidFill>
                  <a:ln>
                    <a:noFill/>
                  </a:ln>
                  <a:effectLst/>
                </c14:spPr>
              </c14:invertSolidFillFmt>
            </c:ext>
            <c:ext xmlns:c16="http://schemas.microsoft.com/office/drawing/2014/chart" uri="{C3380CC4-5D6E-409C-BE32-E72D297353CC}">
              <c16:uniqueId val="{00000000-646E-CF43-B4F1-BAD87B174AFB}"/>
            </c:ext>
          </c:extLst>
        </c:ser>
        <c:dLbls>
          <c:showLegendKey val="0"/>
          <c:showVal val="0"/>
          <c:showCatName val="0"/>
          <c:showSerName val="0"/>
          <c:showPercent val="0"/>
          <c:showBubbleSize val="0"/>
        </c:dLbls>
        <c:gapWidth val="219"/>
        <c:overlap val="-27"/>
        <c:axId val="545769631"/>
        <c:axId val="1470938671"/>
      </c:barChart>
      <c:catAx>
        <c:axId val="545769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Project</a:t>
                </a:r>
                <a:r>
                  <a:rPr lang="en-US" b="1" baseline="0"/>
                  <a:t> Timeline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TH"/>
          </a:p>
        </c:txPr>
        <c:crossAx val="1470938671"/>
        <c:crosses val="autoZero"/>
        <c:auto val="1"/>
        <c:lblAlgn val="ctr"/>
        <c:lblOffset val="100"/>
        <c:noMultiLvlLbl val="0"/>
      </c:catAx>
      <c:valAx>
        <c:axId val="1470938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Cash Flows ($)</a:t>
                </a:r>
                <a:r>
                  <a:rPr lang="en-US" b="1" baseline="0"/>
                  <a:t> </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TH"/>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crossAx val="545769631"/>
        <c:crosses val="autoZero"/>
        <c:crossBetween val="between"/>
        <c:dispUnits>
          <c:builtInUnit val="hundred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dispUnitsLbl>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D9D9D9"/>
      </a:solidFill>
      <a:prstDash val="solid"/>
      <a:round/>
    </a:ln>
    <a:effectLst>
      <a:outerShdw blurRad="50800" dist="38100" dir="2700000" algn="tl" rotWithShape="0">
        <a:prstClr val="black">
          <a:alpha val="40000"/>
        </a:prstClr>
      </a:outerShdw>
    </a:effectLst>
  </c:spPr>
  <c:txPr>
    <a:bodyPr/>
    <a:lstStyle/>
    <a:p>
      <a:pPr>
        <a:defRPr/>
      </a:pPr>
      <a:endParaRPr lang="en-TH"/>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Chris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spPr>
            <a:solidFill>
              <a:srgbClr val="215F9A"/>
            </a:solidFill>
            <a:ln>
              <a:noFill/>
            </a:ln>
            <a:effectLst>
              <a:outerShdw blurRad="50800" dist="38100" dir="2700000" algn="tl" rotWithShape="0">
                <a:prstClr val="black">
                  <a:alpha val="40000"/>
                </a:prst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H"/>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[0]!Investor_1_time</c:f>
              <c:strCache>
                <c:ptCount val="16"/>
                <c:pt idx="0">
                  <c:v>Purchase</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strCache>
            </c:strRef>
          </c:cat>
          <c:val>
            <c:numRef>
              <c:f>[0]!Investor_3_values</c:f>
              <c:numCache>
                <c:formatCode>_(* #,##0_);_(* \(#,##0\);_(* "-"??_);_(@_)</c:formatCode>
                <c:ptCount val="16"/>
                <c:pt idx="0">
                  <c:v>-1007873.6000000001</c:v>
                </c:pt>
                <c:pt idx="1">
                  <c:v>-127754.05329</c:v>
                </c:pt>
                <c:pt idx="2">
                  <c:v>0</c:v>
                </c:pt>
                <c:pt idx="3">
                  <c:v>0</c:v>
                </c:pt>
                <c:pt idx="4">
                  <c:v>1771.6039065254022</c:v>
                </c:pt>
                <c:pt idx="5">
                  <c:v>6300.2307429975781</c:v>
                </c:pt>
                <c:pt idx="6">
                  <c:v>10971.008718886371</c:v>
                </c:pt>
                <c:pt idx="7">
                  <c:v>15788.336644422081</c:v>
                </c:pt>
                <c:pt idx="8">
                  <c:v>20756.748190396855</c:v>
                </c:pt>
                <c:pt idx="9">
                  <c:v>25880.915997175223</c:v>
                </c:pt>
                <c:pt idx="10">
                  <c:v>31165.655908369885</c:v>
                </c:pt>
                <c:pt idx="11">
                  <c:v>36615.93133295545</c:v>
                </c:pt>
                <c:pt idx="12">
                  <c:v>42236.857739703351</c:v>
                </c:pt>
                <c:pt idx="13">
                  <c:v>48033.707287941797</c:v>
                </c:pt>
                <c:pt idx="14">
                  <c:v>54011.913598763203</c:v>
                </c:pt>
                <c:pt idx="15">
                  <c:v>2895619.2252922119</c:v>
                </c:pt>
              </c:numCache>
            </c:numRef>
          </c:val>
          <c:extLst>
            <c:ext xmlns:c14="http://schemas.microsoft.com/office/drawing/2007/8/2/chart" uri="{6F2FDCE9-48DA-4B69-8628-5D25D57E5C99}">
              <c14:invertSolidFillFmt>
                <c14:spPr xmlns:c14="http://schemas.microsoft.com/office/drawing/2007/8/2/chart">
                  <a:solidFill>
                    <a:srgbClr val="CD3C38"/>
                  </a:solidFill>
                  <a:ln>
                    <a:noFill/>
                  </a:ln>
                  <a:effectLst>
                    <a:outerShdw blurRad="50800" dist="38100" dir="2700000" algn="tl" rotWithShape="0">
                      <a:prstClr val="black">
                        <a:alpha val="40000"/>
                      </a:prstClr>
                    </a:outerShdw>
                  </a:effectLst>
                </c14:spPr>
              </c14:invertSolidFillFmt>
            </c:ext>
            <c:ext xmlns:c16="http://schemas.microsoft.com/office/drawing/2014/chart" uri="{C3380CC4-5D6E-409C-BE32-E72D297353CC}">
              <c16:uniqueId val="{00000000-4823-FE44-9531-6660D06BAF80}"/>
            </c:ext>
          </c:extLst>
        </c:ser>
        <c:dLbls>
          <c:showLegendKey val="0"/>
          <c:showVal val="0"/>
          <c:showCatName val="0"/>
          <c:showSerName val="0"/>
          <c:showPercent val="0"/>
          <c:showBubbleSize val="0"/>
        </c:dLbls>
        <c:gapWidth val="219"/>
        <c:overlap val="-27"/>
        <c:axId val="545769631"/>
        <c:axId val="1470938671"/>
      </c:barChart>
      <c:catAx>
        <c:axId val="545769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Project</a:t>
                </a:r>
                <a:r>
                  <a:rPr lang="en-US" b="1" baseline="0"/>
                  <a:t> Timeline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TH"/>
          </a:p>
        </c:txPr>
        <c:crossAx val="1470938671"/>
        <c:crosses val="autoZero"/>
        <c:auto val="1"/>
        <c:lblAlgn val="ctr"/>
        <c:lblOffset val="100"/>
        <c:noMultiLvlLbl val="0"/>
      </c:catAx>
      <c:valAx>
        <c:axId val="1470938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Cash Flows ($)</a:t>
                </a:r>
                <a:r>
                  <a:rPr lang="en-US" b="1" baseline="0"/>
                  <a:t> </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TH"/>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crossAx val="545769631"/>
        <c:crosses val="autoZero"/>
        <c:crossBetween val="between"/>
        <c:dispUnits>
          <c:builtInUnit val="hundred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dispUnitsLbl>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D9D9D9"/>
      </a:solidFill>
      <a:prstDash val="solid"/>
      <a:round/>
    </a:ln>
    <a:effectLst>
      <a:outerShdw blurRad="50800" dist="38100" dir="2700000" algn="tl" rotWithShape="0">
        <a:prstClr val="black">
          <a:alpha val="40000"/>
        </a:prstClr>
      </a:outerShdw>
    </a:effectLst>
  </c:spPr>
  <c:txPr>
    <a:bodyPr/>
    <a:lstStyle/>
    <a:p>
      <a:pPr>
        <a:defRPr/>
      </a:pPr>
      <a:endParaRPr lang="en-TH"/>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Dancy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spPr>
            <a:solidFill>
              <a:srgbClr val="215F9A"/>
            </a:solidFill>
            <a:ln>
              <a:noFill/>
            </a:ln>
            <a:effectLst>
              <a:outerShdw blurRad="50800" dist="38100" dir="2700000" algn="tl" rotWithShape="0">
                <a:prstClr val="black">
                  <a:alpha val="40000"/>
                </a:prst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H"/>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[0]!Investor_1_time</c:f>
              <c:strCache>
                <c:ptCount val="16"/>
                <c:pt idx="0">
                  <c:v>Purchase</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strCache>
            </c:strRef>
          </c:cat>
          <c:val>
            <c:numRef>
              <c:f>[0]!Investor_4_values</c:f>
              <c:numCache>
                <c:formatCode>_(* #,##0_);_(* \(#,##0\);_(* "-"??_);_(@_)</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4="http://schemas.microsoft.com/office/drawing/2007/8/2/chart" uri="{6F2FDCE9-48DA-4B69-8628-5D25D57E5C99}">
              <c14:invertSolidFillFmt>
                <c14:spPr xmlns:c14="http://schemas.microsoft.com/office/drawing/2007/8/2/chart">
                  <a:solidFill>
                    <a:srgbClr val="CD3C38"/>
                  </a:solidFill>
                  <a:ln>
                    <a:noFill/>
                  </a:ln>
                  <a:effectLst>
                    <a:outerShdw blurRad="50800" dist="38100" dir="2700000" algn="tl" rotWithShape="0">
                      <a:prstClr val="black">
                        <a:alpha val="40000"/>
                      </a:prstClr>
                    </a:outerShdw>
                  </a:effectLst>
                </c14:spPr>
              </c14:invertSolidFillFmt>
            </c:ext>
            <c:ext xmlns:c16="http://schemas.microsoft.com/office/drawing/2014/chart" uri="{C3380CC4-5D6E-409C-BE32-E72D297353CC}">
              <c16:uniqueId val="{00000000-4E2A-F84D-AEE4-706793EA700B}"/>
            </c:ext>
          </c:extLst>
        </c:ser>
        <c:dLbls>
          <c:dLblPos val="outEnd"/>
          <c:showLegendKey val="0"/>
          <c:showVal val="1"/>
          <c:showCatName val="0"/>
          <c:showSerName val="0"/>
          <c:showPercent val="0"/>
          <c:showBubbleSize val="0"/>
        </c:dLbls>
        <c:gapWidth val="219"/>
        <c:overlap val="-27"/>
        <c:axId val="545769631"/>
        <c:axId val="1470938671"/>
      </c:barChart>
      <c:catAx>
        <c:axId val="545769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Project</a:t>
                </a:r>
                <a:r>
                  <a:rPr lang="en-US" b="1" baseline="0"/>
                  <a:t> Timeline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TH"/>
          </a:p>
        </c:txPr>
        <c:crossAx val="1470938671"/>
        <c:crosses val="autoZero"/>
        <c:auto val="1"/>
        <c:lblAlgn val="ctr"/>
        <c:lblOffset val="100"/>
        <c:noMultiLvlLbl val="0"/>
      </c:catAx>
      <c:valAx>
        <c:axId val="1470938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Cash Flows ($)</a:t>
                </a:r>
                <a:r>
                  <a:rPr lang="en-US" b="1" baseline="0"/>
                  <a:t> </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TH"/>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crossAx val="545769631"/>
        <c:crosses val="autoZero"/>
        <c:crossBetween val="between"/>
        <c:dispUnits>
          <c:builtInUnit val="hundred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dispUnitsLbl>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D9D9D9"/>
      </a:solidFill>
      <a:prstDash val="solid"/>
      <a:round/>
    </a:ln>
    <a:effectLst>
      <a:outerShdw blurRad="50800" dist="38100" dir="2700000" algn="tl" rotWithShape="0">
        <a:prstClr val="black">
          <a:alpha val="40000"/>
        </a:prstClr>
      </a:outerShdw>
    </a:effectLst>
  </c:spPr>
  <c:txPr>
    <a:bodyPr/>
    <a:lstStyle/>
    <a:p>
      <a:pPr>
        <a:defRPr/>
      </a:pPr>
      <a:endParaRPr lang="en-TH"/>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Emma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spPr>
            <a:solidFill>
              <a:srgbClr val="215F9A"/>
            </a:solidFill>
            <a:ln>
              <a:noFill/>
            </a:ln>
            <a:effectLst>
              <a:outerShdw blurRad="50800" dist="38100" dir="2700000" algn="tl" rotWithShape="0">
                <a:prstClr val="black">
                  <a:alpha val="40000"/>
                </a:prst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H"/>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[0]!Investor_1_time</c:f>
              <c:strCache>
                <c:ptCount val="16"/>
                <c:pt idx="0">
                  <c:v>Purchase</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strCache>
            </c:strRef>
          </c:cat>
          <c:val>
            <c:numRef>
              <c:f>[0]!Investor_5_values</c:f>
              <c:numCache>
                <c:formatCode>_(* #,##0_);_(* \(#,##0\);_(* "-"??_);_(@_)</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4="http://schemas.microsoft.com/office/drawing/2007/8/2/chart" uri="{6F2FDCE9-48DA-4B69-8628-5D25D57E5C99}">
              <c14:invertSolidFillFmt>
                <c14:spPr xmlns:c14="http://schemas.microsoft.com/office/drawing/2007/8/2/chart">
                  <a:solidFill>
                    <a:srgbClr val="CD3C38"/>
                  </a:solidFill>
                  <a:ln>
                    <a:noFill/>
                  </a:ln>
                  <a:effectLst>
                    <a:outerShdw blurRad="50800" dist="38100" dir="2700000" algn="tl" rotWithShape="0">
                      <a:prstClr val="black">
                        <a:alpha val="40000"/>
                      </a:prstClr>
                    </a:outerShdw>
                  </a:effectLst>
                </c14:spPr>
              </c14:invertSolidFillFmt>
            </c:ext>
            <c:ext xmlns:c16="http://schemas.microsoft.com/office/drawing/2014/chart" uri="{C3380CC4-5D6E-409C-BE32-E72D297353CC}">
              <c16:uniqueId val="{00000000-F1A7-7045-BDF8-06801AFC3572}"/>
            </c:ext>
          </c:extLst>
        </c:ser>
        <c:dLbls>
          <c:showLegendKey val="0"/>
          <c:showVal val="0"/>
          <c:showCatName val="0"/>
          <c:showSerName val="0"/>
          <c:showPercent val="0"/>
          <c:showBubbleSize val="0"/>
        </c:dLbls>
        <c:gapWidth val="219"/>
        <c:overlap val="-27"/>
        <c:axId val="545769631"/>
        <c:axId val="1470938671"/>
      </c:barChart>
      <c:catAx>
        <c:axId val="545769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Project</a:t>
                </a:r>
                <a:r>
                  <a:rPr lang="en-US" b="1" baseline="0"/>
                  <a:t> Timeline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TH"/>
          </a:p>
        </c:txPr>
        <c:crossAx val="1470938671"/>
        <c:crosses val="autoZero"/>
        <c:auto val="1"/>
        <c:lblAlgn val="ctr"/>
        <c:lblOffset val="100"/>
        <c:noMultiLvlLbl val="0"/>
      </c:catAx>
      <c:valAx>
        <c:axId val="1470938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Cash Flows ($)</a:t>
                </a:r>
                <a:r>
                  <a:rPr lang="en-US" b="1" baseline="0"/>
                  <a:t> </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TH"/>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crossAx val="545769631"/>
        <c:crosses val="autoZero"/>
        <c:crossBetween val="between"/>
        <c:dispUnits>
          <c:builtInUnit val="hundred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dispUnitsLbl>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D9D9D9"/>
      </a:solidFill>
      <a:prstDash val="solid"/>
      <a:round/>
    </a:ln>
    <a:effectLst>
      <a:outerShdw blurRad="50800" dist="38100" dir="2700000" algn="tl" rotWithShape="0">
        <a:prstClr val="black">
          <a:alpha val="40000"/>
        </a:prstClr>
      </a:outerShdw>
    </a:effectLst>
  </c:spPr>
  <c:txPr>
    <a:bodyPr/>
    <a:lstStyle/>
    <a:p>
      <a:pPr>
        <a:defRPr/>
      </a:pPr>
      <a:endParaRPr lang="en-TH"/>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Brian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spPr>
            <a:solidFill>
              <a:srgbClr val="215F9A"/>
            </a:solidFill>
            <a:ln>
              <a:noFill/>
            </a:ln>
            <a:effectLst>
              <a:outerShdw blurRad="50800" dist="38100" dir="2700000" algn="tl" rotWithShape="0">
                <a:prstClr val="black">
                  <a:alpha val="40000"/>
                </a:prst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H"/>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[0]!Investor_1_time</c:f>
              <c:strCache>
                <c:ptCount val="16"/>
                <c:pt idx="0">
                  <c:v>Purchase</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strCache>
            </c:strRef>
          </c:cat>
          <c:val>
            <c:numRef>
              <c:f>[0]!Investor_2_values</c:f>
              <c:numCache>
                <c:formatCode>_(* #,##0_);_(* \(#,##0\);_(* "-"??_);_(@_)</c:formatCode>
                <c:ptCount val="16"/>
                <c:pt idx="0">
                  <c:v>-755905.2</c:v>
                </c:pt>
                <c:pt idx="1">
                  <c:v>-95815.539967499994</c:v>
                </c:pt>
                <c:pt idx="2">
                  <c:v>0</c:v>
                </c:pt>
                <c:pt idx="3">
                  <c:v>0</c:v>
                </c:pt>
                <c:pt idx="4">
                  <c:v>1328.7029298940536</c:v>
                </c:pt>
                <c:pt idx="5">
                  <c:v>4725.1730572481883</c:v>
                </c:pt>
                <c:pt idx="6">
                  <c:v>8228.2565391647859</c:v>
                </c:pt>
                <c:pt idx="7">
                  <c:v>11841.252483316573</c:v>
                </c:pt>
                <c:pt idx="8">
                  <c:v>15567.561142797653</c:v>
                </c:pt>
                <c:pt idx="9">
                  <c:v>19410.68699788141</c:v>
                </c:pt>
                <c:pt idx="10">
                  <c:v>23374.241931277404</c:v>
                </c:pt>
                <c:pt idx="11">
                  <c:v>27461.948499716575</c:v>
                </c:pt>
                <c:pt idx="12">
                  <c:v>31677.643304777535</c:v>
                </c:pt>
                <c:pt idx="13">
                  <c:v>36025.28046595637</c:v>
                </c:pt>
                <c:pt idx="14">
                  <c:v>40508.935199072366</c:v>
                </c:pt>
                <c:pt idx="15">
                  <c:v>2171714.4189691548</c:v>
                </c:pt>
              </c:numCache>
            </c:numRef>
          </c:val>
          <c:extLst>
            <c:ext xmlns:c14="http://schemas.microsoft.com/office/drawing/2007/8/2/chart" uri="{6F2FDCE9-48DA-4B69-8628-5D25D57E5C99}">
              <c14:invertSolidFillFmt>
                <c14:spPr xmlns:c14="http://schemas.microsoft.com/office/drawing/2007/8/2/chart">
                  <a:solidFill>
                    <a:srgbClr val="CD3C38"/>
                  </a:solidFill>
                  <a:ln>
                    <a:noFill/>
                  </a:ln>
                  <a:effectLst>
                    <a:outerShdw blurRad="50800" dist="38100" dir="2700000" algn="tl" rotWithShape="0">
                      <a:prstClr val="black">
                        <a:alpha val="40000"/>
                      </a:prstClr>
                    </a:outerShdw>
                  </a:effectLst>
                </c14:spPr>
              </c14:invertSolidFillFmt>
            </c:ext>
            <c:ext xmlns:c16="http://schemas.microsoft.com/office/drawing/2014/chart" uri="{C3380CC4-5D6E-409C-BE32-E72D297353CC}">
              <c16:uniqueId val="{00000000-0857-1048-A7E1-9370F702F666}"/>
            </c:ext>
          </c:extLst>
        </c:ser>
        <c:dLbls>
          <c:showLegendKey val="0"/>
          <c:showVal val="0"/>
          <c:showCatName val="0"/>
          <c:showSerName val="0"/>
          <c:showPercent val="0"/>
          <c:showBubbleSize val="0"/>
        </c:dLbls>
        <c:gapWidth val="219"/>
        <c:overlap val="-27"/>
        <c:axId val="545769631"/>
        <c:axId val="1470938671"/>
      </c:barChart>
      <c:catAx>
        <c:axId val="545769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Project</a:t>
                </a:r>
                <a:r>
                  <a:rPr lang="en-US" b="1" baseline="0"/>
                  <a:t> Timeline (Years)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TH"/>
          </a:p>
        </c:txPr>
        <c:crossAx val="1470938671"/>
        <c:crosses val="autoZero"/>
        <c:auto val="1"/>
        <c:lblAlgn val="ctr"/>
        <c:lblOffset val="100"/>
        <c:noMultiLvlLbl val="0"/>
      </c:catAx>
      <c:valAx>
        <c:axId val="14709386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Cash Flows ($)</a:t>
                </a:r>
                <a:r>
                  <a:rPr lang="en-US" b="1" baseline="0"/>
                  <a:t> </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TH"/>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crossAx val="545769631"/>
        <c:crosses val="autoZero"/>
        <c:crossBetween val="between"/>
        <c:dispUnits>
          <c:builtInUnit val="hundred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dispUnitsLbl>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D9D9D9"/>
      </a:solidFill>
      <a:prstDash val="solid"/>
      <a:round/>
    </a:ln>
    <a:effectLst>
      <a:outerShdw blurRad="50800" dist="38100" dir="2700000" algn="tl" rotWithShape="0">
        <a:prstClr val="black">
          <a:alpha val="40000"/>
        </a:prstClr>
      </a:outerShdw>
    </a:effectLst>
  </c:spPr>
  <c:txPr>
    <a:bodyPr/>
    <a:lstStyle/>
    <a:p>
      <a:pPr>
        <a:defRPr/>
      </a:pPr>
      <a:endParaRPr lang="en-TH"/>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Annual Net Operating Income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TH"/>
        </a:p>
      </c:txPr>
    </c:title>
    <c:autoTitleDeleted val="0"/>
    <c:plotArea>
      <c:layout/>
      <c:lineChart>
        <c:grouping val="standard"/>
        <c:varyColors val="0"/>
        <c:ser>
          <c:idx val="1"/>
          <c:order val="0"/>
          <c:tx>
            <c:strRef>
              <c:f>Graphs!$BA$16</c:f>
              <c:strCache>
                <c:ptCount val="1"/>
                <c:pt idx="0">
                  <c:v>Annual NOI</c:v>
                </c:pt>
              </c:strCache>
            </c:strRef>
          </c:tx>
          <c:spPr>
            <a:ln w="28575" cap="rnd">
              <a:solidFill>
                <a:srgbClr val="2E7D32"/>
              </a:solidFill>
              <a:prstDash val="solid"/>
              <a:round/>
            </a:ln>
            <a:effectLst/>
          </c:spPr>
          <c:marker>
            <c:symbol val="none"/>
          </c:marker>
          <c:cat>
            <c:numRef>
              <c:f>Graphs!$BB$15:$BP$15</c:f>
              <c:numCache>
                <c:formatCode>General</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cat>
          <c:val>
            <c:numRef>
              <c:f>Graphs!$BB$16:$BP$16</c:f>
              <c:numCache>
                <c:formatCode>#,##0</c:formatCode>
                <c:ptCount val="15"/>
                <c:pt idx="0">
                  <c:v>321547.1581</c:v>
                </c:pt>
                <c:pt idx="1">
                  <c:v>330953.04108199995</c:v>
                </c:pt>
                <c:pt idx="2">
                  <c:v>341595.54450363992</c:v>
                </c:pt>
                <c:pt idx="3">
                  <c:v>352572.40359046275</c:v>
                </c:pt>
                <c:pt idx="4">
                  <c:v>363893.97068164329</c:v>
                </c:pt>
                <c:pt idx="5">
                  <c:v>375570.91562136548</c:v>
                </c:pt>
                <c:pt idx="6">
                  <c:v>387614.2354352047</c:v>
                </c:pt>
                <c:pt idx="7">
                  <c:v>400035.26430014148</c:v>
                </c:pt>
                <c:pt idx="8">
                  <c:v>412845.68381708727</c:v>
                </c:pt>
                <c:pt idx="9">
                  <c:v>426057.5335950742</c:v>
                </c:pt>
                <c:pt idx="10">
                  <c:v>439683.22215653793</c:v>
                </c:pt>
                <c:pt idx="11">
                  <c:v>453735.53817340767</c:v>
                </c:pt>
                <c:pt idx="12">
                  <c:v>468227.6620440039</c:v>
                </c:pt>
                <c:pt idx="13">
                  <c:v>483173.17782105727</c:v>
                </c:pt>
                <c:pt idx="14">
                  <c:v>498586.08550146408</c:v>
                </c:pt>
              </c:numCache>
            </c:numRef>
          </c:val>
          <c:smooth val="0"/>
          <c:extLst>
            <c:ext xmlns:c16="http://schemas.microsoft.com/office/drawing/2014/chart" uri="{C3380CC4-5D6E-409C-BE32-E72D297353CC}">
              <c16:uniqueId val="{00000001-A76F-4E47-AAC8-27FFD7C86238}"/>
            </c:ext>
          </c:extLst>
        </c:ser>
        <c:dLbls>
          <c:showLegendKey val="0"/>
          <c:showVal val="0"/>
          <c:showCatName val="0"/>
          <c:showSerName val="0"/>
          <c:showPercent val="0"/>
          <c:showBubbleSize val="0"/>
        </c:dLbls>
        <c:smooth val="0"/>
        <c:axId val="566110128"/>
        <c:axId val="1228530463"/>
      </c:lineChart>
      <c:catAx>
        <c:axId val="5661101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crossAx val="1228530463"/>
        <c:crosses val="autoZero"/>
        <c:auto val="1"/>
        <c:lblAlgn val="ctr"/>
        <c:lblOffset val="100"/>
        <c:noMultiLvlLbl val="0"/>
      </c:catAx>
      <c:valAx>
        <c:axId val="12285304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NOI ($)</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crossAx val="5661101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D9D9D9"/>
      </a:solidFill>
      <a:prstDash val="solid"/>
      <a:round/>
    </a:ln>
    <a:effectLst/>
  </c:spPr>
  <c:txPr>
    <a:bodyPr/>
    <a:lstStyle/>
    <a:p>
      <a:pPr>
        <a:defRPr/>
      </a:pPr>
      <a:endParaRPr lang="en-TH"/>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Debt Service Coverage Ratio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TH"/>
        </a:p>
      </c:txPr>
    </c:title>
    <c:autoTitleDeleted val="0"/>
    <c:plotArea>
      <c:layout/>
      <c:lineChart>
        <c:grouping val="standard"/>
        <c:varyColors val="0"/>
        <c:ser>
          <c:idx val="1"/>
          <c:order val="0"/>
          <c:tx>
            <c:strRef>
              <c:f>Graphs!$BA$20</c:f>
              <c:strCache>
                <c:ptCount val="1"/>
                <c:pt idx="0">
                  <c:v>DSCR</c:v>
                </c:pt>
              </c:strCache>
            </c:strRef>
          </c:tx>
          <c:spPr>
            <a:ln w="28575" cap="rnd">
              <a:solidFill>
                <a:srgbClr val="1F4E79"/>
              </a:solidFill>
              <a:prstDash val="solid"/>
              <a:round/>
            </a:ln>
            <a:effectLst/>
          </c:spPr>
          <c:marker>
            <c:symbol val="none"/>
          </c:marker>
          <c:cat>
            <c:numRef>
              <c:f>Graphs!$BB$19:$BP$19</c:f>
              <c:numCache>
                <c:formatCode>General</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cat>
          <c:val>
            <c:numRef>
              <c:f>Graphs!$BB$20:$BP$20</c:f>
              <c:numCache>
                <c:formatCode>0.00\x</c:formatCode>
                <c:ptCount val="15"/>
                <c:pt idx="0">
                  <c:v>0.92360551371661703</c:v>
                </c:pt>
                <c:pt idx="1">
                  <c:v>0.95062278059243466</c:v>
                </c:pt>
                <c:pt idx="2">
                  <c:v>0.98119209085490544</c:v>
                </c:pt>
                <c:pt idx="3">
                  <c:v>1.0127217975261955</c:v>
                </c:pt>
                <c:pt idx="4">
                  <c:v>1.0452416364546893</c:v>
                </c:pt>
                <c:pt idx="5">
                  <c:v>1.078782255483699</c:v>
                </c:pt>
                <c:pt idx="6">
                  <c:v>1.1133752422457064</c:v>
                </c:pt>
                <c:pt idx="7">
                  <c:v>1.1490531528000303</c:v>
                </c:pt>
                <c:pt idx="8">
                  <c:v>1.1858495411394183</c:v>
                </c:pt>
                <c:pt idx="9">
                  <c:v>1.2237989895918577</c:v>
                </c:pt>
                <c:pt idx="10">
                  <c:v>1.2629371401446907</c:v>
                </c:pt>
                <c:pt idx="11">
                  <c:v>1.3033007267189274</c:v>
                </c:pt>
                <c:pt idx="12">
                  <c:v>1.3449276084224946</c:v>
                </c:pt>
                <c:pt idx="13">
                  <c:v>1.3878568038120314</c:v>
                </c:pt>
                <c:pt idx="14">
                  <c:v>1.4321285261937349</c:v>
                </c:pt>
              </c:numCache>
            </c:numRef>
          </c:val>
          <c:smooth val="0"/>
          <c:extLst>
            <c:ext xmlns:c16="http://schemas.microsoft.com/office/drawing/2014/chart" uri="{C3380CC4-5D6E-409C-BE32-E72D297353CC}">
              <c16:uniqueId val="{00000001-0155-D442-8D46-08E236718B7B}"/>
            </c:ext>
          </c:extLst>
        </c:ser>
        <c:ser>
          <c:idx val="2"/>
          <c:order val="1"/>
          <c:tx>
            <c:strRef>
              <c:f>Graphs!$BA$21</c:f>
              <c:strCache>
                <c:ptCount val="1"/>
                <c:pt idx="0">
                  <c:v>Minimum DSCR (1.0x)</c:v>
                </c:pt>
              </c:strCache>
            </c:strRef>
          </c:tx>
          <c:spPr>
            <a:ln w="22225" cap="rnd">
              <a:solidFill>
                <a:srgbClr val="FF0000"/>
              </a:solidFill>
              <a:prstDash val="solid"/>
              <a:round/>
            </a:ln>
            <a:effectLst/>
          </c:spPr>
          <c:marker>
            <c:symbol val="none"/>
          </c:marker>
          <c:cat>
            <c:numRef>
              <c:f>Graphs!$BB$19:$BP$19</c:f>
              <c:numCache>
                <c:formatCode>General</c:formatCode>
                <c:ptCount val="1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numCache>
            </c:numRef>
          </c:cat>
          <c:val>
            <c:numRef>
              <c:f>Graphs!$BB$21:$BP$21</c:f>
              <c:numCache>
                <c:formatCode>0.00\x</c:formatCode>
                <c:ptCount val="1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numCache>
            </c:numRef>
          </c:val>
          <c:smooth val="0"/>
          <c:extLst>
            <c:ext xmlns:c16="http://schemas.microsoft.com/office/drawing/2014/chart" uri="{C3380CC4-5D6E-409C-BE32-E72D297353CC}">
              <c16:uniqueId val="{00000002-0155-D442-8D46-08E236718B7B}"/>
            </c:ext>
          </c:extLst>
        </c:ser>
        <c:dLbls>
          <c:showLegendKey val="0"/>
          <c:showVal val="0"/>
          <c:showCatName val="0"/>
          <c:showSerName val="0"/>
          <c:showPercent val="0"/>
          <c:showBubbleSize val="0"/>
        </c:dLbls>
        <c:smooth val="0"/>
        <c:axId val="1242471983"/>
        <c:axId val="814269424"/>
      </c:lineChart>
      <c:catAx>
        <c:axId val="124247198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crossAx val="814269424"/>
        <c:crosses val="autoZero"/>
        <c:auto val="1"/>
        <c:lblAlgn val="ctr"/>
        <c:lblOffset val="100"/>
        <c:noMultiLvlLbl val="0"/>
      </c:catAx>
      <c:valAx>
        <c:axId val="814269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DSCR (x)</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TH"/>
            </a:p>
          </c:txPr>
        </c:title>
        <c:numFmt formatCode="0.00\x"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crossAx val="124247198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D9D9D9"/>
      </a:solidFill>
      <a:prstDash val="solid"/>
      <a:round/>
    </a:ln>
    <a:effectLst/>
  </c:spPr>
  <c:txPr>
    <a:bodyPr/>
    <a:lstStyle/>
    <a:p>
      <a:pPr>
        <a:defRPr/>
      </a:pPr>
      <a:endParaRPr lang="en-TH"/>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Debt / Equity Mix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TH"/>
        </a:p>
      </c:txPr>
    </c:title>
    <c:autoTitleDeleted val="0"/>
    <c:plotArea>
      <c:layout/>
      <c:pieChart>
        <c:varyColors val="1"/>
        <c:ser>
          <c:idx val="0"/>
          <c:order val="0"/>
          <c:dPt>
            <c:idx val="0"/>
            <c:bubble3D val="0"/>
            <c:spPr>
              <a:solidFill>
                <a:schemeClr val="accent1">
                  <a:shade val="76000"/>
                </a:schemeClr>
              </a:solidFill>
              <a:ln w="19050">
                <a:solidFill>
                  <a:schemeClr val="lt1"/>
                </a:solidFill>
              </a:ln>
              <a:effectLst/>
            </c:spPr>
            <c:extLst>
              <c:ext xmlns:c16="http://schemas.microsoft.com/office/drawing/2014/chart" uri="{C3380CC4-5D6E-409C-BE32-E72D297353CC}">
                <c16:uniqueId val="{00000001-D455-514A-A9A1-9FFDE3A2936E}"/>
              </c:ext>
            </c:extLst>
          </c:dPt>
          <c:dPt>
            <c:idx val="1"/>
            <c:bubble3D val="0"/>
            <c:spPr>
              <a:solidFill>
                <a:schemeClr val="accent1">
                  <a:tint val="77000"/>
                </a:schemeClr>
              </a:solidFill>
              <a:ln w="19050">
                <a:solidFill>
                  <a:schemeClr val="lt1"/>
                </a:solidFill>
              </a:ln>
              <a:effectLst/>
            </c:spPr>
            <c:extLst>
              <c:ext xmlns:c16="http://schemas.microsoft.com/office/drawing/2014/chart" uri="{C3380CC4-5D6E-409C-BE32-E72D297353CC}">
                <c16:uniqueId val="{00000003-D455-514A-A9A1-9FFDE3A2936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H"/>
              </a:p>
            </c:txPr>
            <c:dLblPos val="out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Graphs!$BA$4:$BA$5</c:f>
              <c:strCache>
                <c:ptCount val="2"/>
                <c:pt idx="0">
                  <c:v>Equity</c:v>
                </c:pt>
                <c:pt idx="1">
                  <c:v>Debt</c:v>
                </c:pt>
              </c:strCache>
            </c:strRef>
          </c:cat>
          <c:val>
            <c:numRef>
              <c:f>Graphs!$BB$4:$BB$5</c:f>
              <c:numCache>
                <c:formatCode>#,##0</c:formatCode>
                <c:ptCount val="2"/>
                <c:pt idx="0">
                  <c:v>2519684</c:v>
                </c:pt>
                <c:pt idx="1">
                  <c:v>4724400</c:v>
                </c:pt>
              </c:numCache>
            </c:numRef>
          </c:val>
          <c:extLst>
            <c:ext xmlns:c16="http://schemas.microsoft.com/office/drawing/2014/chart" uri="{C3380CC4-5D6E-409C-BE32-E72D297353CC}">
              <c16:uniqueId val="{00000000-096C-5E48-BF2D-88674404D1C6}"/>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D9D9D9"/>
      </a:solidFill>
      <a:prstDash val="solid"/>
      <a:round/>
    </a:ln>
    <a:effectLst/>
  </c:spPr>
  <c:txPr>
    <a:bodyPr/>
    <a:lstStyle/>
    <a:p>
      <a:pPr>
        <a:defRPr/>
      </a:pPr>
      <a:endParaRPr lang="en-TH"/>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Financing Uses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TH"/>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AA4-9140-948A-9D49975F574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AA4-9140-948A-9D49975F574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AA4-9140-948A-9D49975F574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AA4-9140-948A-9D49975F574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AA4-9140-948A-9D49975F574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TH"/>
              </a:p>
            </c:txPr>
            <c:dLblPos val="out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Graphs!$BA$8:$BA$12</c:f>
              <c:strCache>
                <c:ptCount val="5"/>
                <c:pt idx="0">
                  <c:v>Purchasing Price</c:v>
                </c:pt>
                <c:pt idx="1">
                  <c:v>Closing Costs</c:v>
                </c:pt>
                <c:pt idx="2">
                  <c:v>Initial Renovations</c:v>
                </c:pt>
                <c:pt idx="3">
                  <c:v>Exit Renovations</c:v>
                </c:pt>
                <c:pt idx="4">
                  <c:v>Cash Reserve</c:v>
                </c:pt>
              </c:strCache>
            </c:strRef>
          </c:cat>
          <c:val>
            <c:numRef>
              <c:f>Graphs!$BB$8:$BB$12</c:f>
              <c:numCache>
                <c:formatCode>#,##0</c:formatCode>
                <c:ptCount val="5"/>
                <c:pt idx="0">
                  <c:v>5985000</c:v>
                </c:pt>
                <c:pt idx="1">
                  <c:v>239400</c:v>
                </c:pt>
                <c:pt idx="2">
                  <c:v>400000</c:v>
                </c:pt>
                <c:pt idx="3">
                  <c:v>100000</c:v>
                </c:pt>
                <c:pt idx="4">
                  <c:v>519684</c:v>
                </c:pt>
              </c:numCache>
            </c:numRef>
          </c:val>
          <c:extLst>
            <c:ext xmlns:c16="http://schemas.microsoft.com/office/drawing/2014/chart" uri="{C3380CC4-5D6E-409C-BE32-E72D297353CC}">
              <c16:uniqueId val="{00000000-90AE-E84E-9E60-37AB0C5E43A5}"/>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TH"/>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rgbClr val="D9D9D9"/>
      </a:solidFill>
      <a:prstDash val="solid"/>
      <a:round/>
    </a:ln>
    <a:effectLst/>
  </c:spPr>
  <c:txPr>
    <a:bodyPr/>
    <a:lstStyle/>
    <a:p>
      <a:pPr>
        <a:defRPr/>
      </a:pPr>
      <a:endParaRPr lang="en-TH"/>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withinLinear" id="14">
  <a:schemeClr val="accent1"/>
</cs:colorStyle>
</file>

<file path=xl/charts/colors5.xml><?xml version="1.0" encoding="utf-8"?>
<cs:colorStyle xmlns:cs="http://schemas.microsoft.com/office/drawing/2012/chartStyle" xmlns:a="http://schemas.openxmlformats.org/drawingml/2006/main" meth="withinLinear" id="14">
  <a:schemeClr val="accent1"/>
</cs:colorStyle>
</file>

<file path=xl/charts/colors6.xml><?xml version="1.0" encoding="utf-8"?>
<cs:colorStyle xmlns:cs="http://schemas.microsoft.com/office/drawing/2012/chartStyle" xmlns:a="http://schemas.openxmlformats.org/drawingml/2006/main" meth="withinLinear" id="14">
  <a:schemeClr val="accent1"/>
</cs:colorStyle>
</file>

<file path=xl/charts/colors7.xml><?xml version="1.0" encoding="utf-8"?>
<cs:colorStyle xmlns:cs="http://schemas.microsoft.com/office/drawing/2012/chartStyle" xmlns:a="http://schemas.openxmlformats.org/drawingml/2006/main" meth="withinLinear" id="14">
  <a:schemeClr val="accent1"/>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withinLinear" id="14">
  <a:schemeClr val="accent1"/>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17</xdr:col>
      <xdr:colOff>656166</xdr:colOff>
      <xdr:row>10</xdr:row>
      <xdr:rowOff>179915</xdr:rowOff>
    </xdr:from>
    <xdr:to>
      <xdr:col>34</xdr:col>
      <xdr:colOff>179916</xdr:colOff>
      <xdr:row>65</xdr:row>
      <xdr:rowOff>10583</xdr:rowOff>
    </xdr:to>
    <xdr:sp macro="" textlink="">
      <xdr:nvSpPr>
        <xdr:cNvPr id="2" name="TextBox 1">
          <a:extLst>
            <a:ext uri="{FF2B5EF4-FFF2-40B4-BE49-F238E27FC236}">
              <a16:creationId xmlns:a16="http://schemas.microsoft.com/office/drawing/2014/main" id="{A0C4A9FE-59FB-6CCE-C2EC-4370D4552350}"/>
            </a:ext>
          </a:extLst>
        </xdr:cNvPr>
        <xdr:cNvSpPr txBox="1"/>
      </xdr:nvSpPr>
      <xdr:spPr>
        <a:xfrm>
          <a:off x="13758333" y="2084915"/>
          <a:ext cx="9853083" cy="103081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tx2">
                  <a:lumMod val="75000"/>
                  <a:lumOff val="25000"/>
                </a:schemeClr>
              </a:solidFill>
            </a:rPr>
            <a:t>Key Considerations:</a:t>
          </a:r>
        </a:p>
        <a:p>
          <a:endParaRPr lang="en-US" sz="1100"/>
        </a:p>
        <a:p>
          <a:r>
            <a:rPr lang="en-US" sz="1100" b="1" baseline="0"/>
            <a:t>Zoning:</a:t>
          </a:r>
        </a:p>
        <a:p>
          <a:pPr rtl="0"/>
          <a:r>
            <a:rPr lang="en-TH"/>
            <a:t>2480 Dundas St W is classified as Industrial Commercial (IC), yet it is currently operated as a multi-residential live/work property. While this flexible use has merit, it creates potential issues for future redevelopment and could complicate the property's valuation. There is a risk that zoning restrictions may impose complications during any future sale or redevelopment. For this model, it is assumed all units will remain residential.</a:t>
          </a:r>
        </a:p>
        <a:p>
          <a:endParaRPr lang="en-US" sz="1100" b="1"/>
        </a:p>
        <a:p>
          <a:pPr rtl="0"/>
          <a:r>
            <a:rPr lang="en-US" sz="1100" b="1"/>
            <a:t>High</a:t>
          </a:r>
          <a:r>
            <a:rPr lang="en-US" sz="1100" b="1" baseline="0"/>
            <a:t> Purhcase Cap Rate:</a:t>
          </a:r>
          <a:br>
            <a:rPr lang="en-US" sz="1100" b="1" baseline="0"/>
          </a:br>
          <a:r>
            <a:rPr lang="en-TH"/>
            <a:t>The purchase cap rate is slightly over 6%, significantly higher than the recommended 4.0% to 4.75% range for Toronto Class A and Class B multifamily properties. This elevated cap rate signals substantial risks the buyer assumes at purchase. </a:t>
          </a:r>
        </a:p>
        <a:p>
          <a:pPr rtl="0"/>
          <a:endParaRPr lang="en-TH"/>
        </a:p>
        <a:p>
          <a:pPr rtl="0"/>
          <a:r>
            <a:rPr lang="en-TH"/>
            <a:t>As a standalone multifamily investment, the property carries risk due to its age and the need for ongoing major capital expenditures despite recent renovations. Additionally, the zoning complexity presents a future obstacle if redevelopment becomes necessary. Compounding these concerns, most rents are on month-to-month (MTM) leases, creating vacancy and rental rate volatility.</a:t>
          </a:r>
        </a:p>
        <a:p>
          <a:pPr rtl="0"/>
          <a:endParaRPr lang="en-TH"/>
        </a:p>
        <a:p>
          <a:pPr rtl="0"/>
          <a:r>
            <a:rPr lang="en-TH"/>
            <a:t>However, when viewed as an industrial property aligned with its actual zoning, the 6% cap rate aligns perfectly with industrial property cap rates from the Q2 2026 Colliers Toronto Cap Rate Report. This interpretation reconciles the pricing with the building's Industrial Commercial classification.</a:t>
          </a:r>
        </a:p>
        <a:p>
          <a:pPr rtl="0"/>
          <a:endParaRPr lang="en-TH"/>
        </a:p>
        <a:p>
          <a:pPr rtl="0"/>
          <a:r>
            <a:rPr lang="en-TH"/>
            <a:t>The exit cap rate assumes multifamily property logic, reduced to reflect the substantial renovations, but with an additional premium applied for zoning risk.</a:t>
          </a:r>
          <a:br>
            <a:rPr lang="en-US" sz="1100" b="0" baseline="0"/>
          </a:br>
          <a:endParaRPr lang="en-US" sz="1100" b="1"/>
        </a:p>
        <a:p>
          <a:r>
            <a:rPr lang="en-US" sz="1100" b="1"/>
            <a:t>Revenue Fall:</a:t>
          </a:r>
        </a:p>
        <a:p>
          <a:pPr rtl="0"/>
          <a:r>
            <a:rPr lang="en-TH"/>
            <a:t>Current in-place rents are above market rates. Because these rents are on MTM leases, fast tenant turnover is expected, and rents will decline to market rates quickly. The model projects market rental rates will be reached by the start of Month 7.</a:t>
          </a:r>
        </a:p>
        <a:p>
          <a:br>
            <a:rPr lang="en-US" sz="1100" b="1" baseline="0"/>
          </a:br>
          <a:r>
            <a:rPr lang="en-US" sz="1100" b="1" baseline="0"/>
            <a:t>DSCR Concern:</a:t>
          </a:r>
        </a:p>
        <a:p>
          <a:pPr rtl="0"/>
          <a:r>
            <a:rPr lang="en-TH"/>
            <a:t>This project shows debt service coverage concerns across Years 1 through 3, with a DSCR below 1.0x, driven by low NOI and high debt payments.</a:t>
          </a:r>
        </a:p>
        <a:p>
          <a:pPr rtl="0"/>
          <a:endParaRPr lang="en-TH"/>
        </a:p>
        <a:p>
          <a:pPr rtl="0"/>
          <a:r>
            <a:rPr lang="en-TH"/>
            <a:t>Substantial NOI expansion is unlikely because some leases are already above market rates. For this deal to be viable, the debt structure would need to be heavily favorable to the buyer. However, the three primary levers for improvement face practical constraints:</a:t>
          </a:r>
        </a:p>
        <a:p>
          <a:pPr lvl="0" rtl="0"/>
          <a:r>
            <a:rPr lang="en-TH" b="0"/>
            <a:t>- Lower interest rates: Currently at 5.5%—further reductions are unlikely</a:t>
          </a:r>
        </a:p>
        <a:p>
          <a:pPr lvl="0" rtl="0"/>
          <a:r>
            <a:rPr lang="en-TH" b="0"/>
            <a:t>- Higher equity investment: Already at 34% of the purchase price</a:t>
          </a:r>
        </a:p>
        <a:p>
          <a:pPr lvl="0" rtl="0"/>
          <a:r>
            <a:rPr lang="en-TH" b="0"/>
            <a:t>- Longer amortization periods: Already structured at 25 years</a:t>
          </a:r>
        </a:p>
        <a:p>
          <a:pPr lvl="0" rtl="0"/>
          <a:endParaRPr lang="en-TH" b="0"/>
        </a:p>
        <a:p>
          <a:pPr rtl="0"/>
          <a:r>
            <a:rPr lang="en-TH"/>
            <a:t>Without significant changes to these variables, the debt service burden remains unsustainable given the property's NOI trajectory.</a:t>
          </a:r>
          <a:br>
            <a:rPr lang="en-US" sz="1100" baseline="0"/>
          </a:br>
          <a:br>
            <a:rPr lang="en-US" sz="1100" baseline="0"/>
          </a:br>
          <a:r>
            <a:rPr lang="en-US" sz="1100" b="1" baseline="0"/>
            <a:t>Tax Payments:</a:t>
          </a:r>
        </a:p>
        <a:p>
          <a:pPr rtl="0"/>
          <a:r>
            <a:rPr lang="en-TH"/>
            <a:t>Property taxes are modeled as monthly accruals rather than annual lump-sum payments. While taxes are paid annually in practice, this approach smooths monthly cash flows and minimizes reserve draws during high-tax months. The total tax burden remains unchanged; this is a cash management approach that enhances model clarity.</a:t>
          </a:r>
        </a:p>
        <a:p>
          <a:pPr rtl="0"/>
          <a:endParaRPr lang="en-TH"/>
        </a:p>
        <a:p>
          <a:pPr rtl="0"/>
          <a:r>
            <a:rPr lang="en-TH"/>
            <a:t>The tax estimate was recalculated from the sale brochure information. The seller's claimed tax payment of approximately $17,350 appears suspiciously low for a property with an asking price near $6 million.</a:t>
          </a:r>
        </a:p>
        <a:p>
          <a:pPr rtl="0"/>
          <a:endParaRPr lang="en-TH" sz="1100" b="0" baseline="0">
            <a:effectLst/>
          </a:endParaRPr>
        </a:p>
        <a:p>
          <a:pPr rtl="0"/>
          <a:r>
            <a:rPr lang="en-TH" sz="1100" b="1" baseline="0">
              <a:effectLst/>
            </a:rPr>
            <a:t>Conclusion:</a:t>
          </a:r>
        </a:p>
        <a:p>
          <a:pPr rtl="0"/>
          <a:r>
            <a:rPr lang="en-TH"/>
            <a:t>Because current in-place rents are above market rates and leases are on an MTM basis, expected tenant turnover will cause rental income to fall to market rates. This revenue decline, combined with the likely need for significant ongoing capital expenditures to maintain a century-old building, will reduce projected NOI. Additionally, the property's claimed annual taxes of under $20,000 appear understated; future tax increases will further pressure NOI.</a:t>
          </a:r>
        </a:p>
        <a:p>
          <a:pPr rtl="0"/>
          <a:endParaRPr lang="en-TH"/>
        </a:p>
        <a:p>
          <a:pPr rtl="0"/>
          <a:r>
            <a:rPr lang="en-TH"/>
            <a:t>Using current market rental rates and revised tax estimates, the forecasted NOI is approximately $330,000. At the quoted purchase cap rate of 6.15%, this implies a property value of approximately $5.3 million, representing a 14% premium over the $6 million asking price. At this adjusted price point of $5.3 million, the projected levered NPV improves by approximately $800,000 and IRR increases by about 2 percentage points.</a:t>
          </a:r>
        </a:p>
        <a:p>
          <a:pPr rtl="0"/>
          <a:endParaRPr lang="en-TH"/>
        </a:p>
        <a:p>
          <a:pPr rtl="0"/>
          <a:r>
            <a:rPr lang="en-TH"/>
            <a:t>The combination of suspiciously low disclosed taxes, above-market MTM rents vulnerable to rapid decline, and the property's age requiring substantial ongoing capital investment creates significant headwinds. This property presents a poor investment opportunity at the current asking price.</a:t>
          </a:r>
        </a:p>
        <a:p>
          <a:endParaRPr lang="en-US" sz="1100" baseline="0"/>
        </a:p>
        <a:p>
          <a:endParaRPr lang="en-US" sz="1100" baseline="0"/>
        </a:p>
        <a:p>
          <a:endParaRPr lang="en-US" sz="1100" baseline="0"/>
        </a:p>
        <a:p>
          <a:br>
            <a:rPr lang="en-US" sz="1100"/>
          </a:br>
          <a:br>
            <a:rPr lang="en-US" sz="1100"/>
          </a:b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254000</xdr:colOff>
      <xdr:row>5</xdr:row>
      <xdr:rowOff>127000</xdr:rowOff>
    </xdr:from>
    <xdr:to>
      <xdr:col>14</xdr:col>
      <xdr:colOff>482600</xdr:colOff>
      <xdr:row>36</xdr:row>
      <xdr:rowOff>114300</xdr:rowOff>
    </xdr:to>
    <xdr:graphicFrame macro="">
      <xdr:nvGraphicFramePr>
        <xdr:cNvPr id="2" name="Chart 1">
          <a:extLst>
            <a:ext uri="{FF2B5EF4-FFF2-40B4-BE49-F238E27FC236}">
              <a16:creationId xmlns:a16="http://schemas.microsoft.com/office/drawing/2014/main" id="{E92F0BE6-4DB7-89A6-1AD2-AED3A883FC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317500</xdr:colOff>
      <xdr:row>5</xdr:row>
      <xdr:rowOff>126999</xdr:rowOff>
    </xdr:from>
    <xdr:to>
      <xdr:col>27</xdr:col>
      <xdr:colOff>393700</xdr:colOff>
      <xdr:row>36</xdr:row>
      <xdr:rowOff>114299</xdr:rowOff>
    </xdr:to>
    <xdr:graphicFrame macro="">
      <xdr:nvGraphicFramePr>
        <xdr:cNvPr id="3" name="Chart 2">
          <a:extLst>
            <a:ext uri="{FF2B5EF4-FFF2-40B4-BE49-F238E27FC236}">
              <a16:creationId xmlns:a16="http://schemas.microsoft.com/office/drawing/2014/main" id="{5B1931C1-A219-F047-A261-4F3216C849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254000</xdr:colOff>
      <xdr:row>108</xdr:row>
      <xdr:rowOff>25400</xdr:rowOff>
    </xdr:from>
    <xdr:to>
      <xdr:col>14</xdr:col>
      <xdr:colOff>482600</xdr:colOff>
      <xdr:row>139</xdr:row>
      <xdr:rowOff>12700</xdr:rowOff>
    </xdr:to>
    <xdr:graphicFrame macro="">
      <xdr:nvGraphicFramePr>
        <xdr:cNvPr id="4" name="Chart 3">
          <a:extLst>
            <a:ext uri="{FF2B5EF4-FFF2-40B4-BE49-F238E27FC236}">
              <a16:creationId xmlns:a16="http://schemas.microsoft.com/office/drawing/2014/main" id="{7405BB6E-F5D9-8341-AB43-A05137C8D0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254000</xdr:colOff>
      <xdr:row>142</xdr:row>
      <xdr:rowOff>38099</xdr:rowOff>
    </xdr:from>
    <xdr:to>
      <xdr:col>14</xdr:col>
      <xdr:colOff>482600</xdr:colOff>
      <xdr:row>173</xdr:row>
      <xdr:rowOff>25399</xdr:rowOff>
    </xdr:to>
    <xdr:graphicFrame macro="">
      <xdr:nvGraphicFramePr>
        <xdr:cNvPr id="6" name="Chart 5">
          <a:extLst>
            <a:ext uri="{FF2B5EF4-FFF2-40B4-BE49-F238E27FC236}">
              <a16:creationId xmlns:a16="http://schemas.microsoft.com/office/drawing/2014/main" id="{339D2506-0BF6-0040-A5ED-1DC0FA1943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317500</xdr:colOff>
      <xdr:row>142</xdr:row>
      <xdr:rowOff>38100</xdr:rowOff>
    </xdr:from>
    <xdr:to>
      <xdr:col>27</xdr:col>
      <xdr:colOff>393700</xdr:colOff>
      <xdr:row>173</xdr:row>
      <xdr:rowOff>25400</xdr:rowOff>
    </xdr:to>
    <xdr:graphicFrame macro="">
      <xdr:nvGraphicFramePr>
        <xdr:cNvPr id="7" name="Chart 6">
          <a:extLst>
            <a:ext uri="{FF2B5EF4-FFF2-40B4-BE49-F238E27FC236}">
              <a16:creationId xmlns:a16="http://schemas.microsoft.com/office/drawing/2014/main" id="{6C281B70-7EE3-5944-8F90-AFE37C704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254000</xdr:colOff>
      <xdr:row>176</xdr:row>
      <xdr:rowOff>50799</xdr:rowOff>
    </xdr:from>
    <xdr:to>
      <xdr:col>14</xdr:col>
      <xdr:colOff>482600</xdr:colOff>
      <xdr:row>207</xdr:row>
      <xdr:rowOff>38099</xdr:rowOff>
    </xdr:to>
    <xdr:graphicFrame macro="">
      <xdr:nvGraphicFramePr>
        <xdr:cNvPr id="8" name="Chart 7">
          <a:extLst>
            <a:ext uri="{FF2B5EF4-FFF2-40B4-BE49-F238E27FC236}">
              <a16:creationId xmlns:a16="http://schemas.microsoft.com/office/drawing/2014/main" id="{65EC0FA3-8C81-0B4B-B2A4-F708E20199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317500</xdr:colOff>
      <xdr:row>108</xdr:row>
      <xdr:rowOff>25400</xdr:rowOff>
    </xdr:from>
    <xdr:to>
      <xdr:col>27</xdr:col>
      <xdr:colOff>393700</xdr:colOff>
      <xdr:row>139</xdr:row>
      <xdr:rowOff>12700</xdr:rowOff>
    </xdr:to>
    <xdr:graphicFrame macro="">
      <xdr:nvGraphicFramePr>
        <xdr:cNvPr id="9" name="Chart 8">
          <a:extLst>
            <a:ext uri="{FF2B5EF4-FFF2-40B4-BE49-F238E27FC236}">
              <a16:creationId xmlns:a16="http://schemas.microsoft.com/office/drawing/2014/main" id="{2AF2F81A-4132-D141-950B-73D33D87DC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253999</xdr:colOff>
      <xdr:row>39</xdr:row>
      <xdr:rowOff>139699</xdr:rowOff>
    </xdr:from>
    <xdr:to>
      <xdr:col>14</xdr:col>
      <xdr:colOff>482599</xdr:colOff>
      <xdr:row>70</xdr:row>
      <xdr:rowOff>126999</xdr:rowOff>
    </xdr:to>
    <xdr:graphicFrame macro="">
      <xdr:nvGraphicFramePr>
        <xdr:cNvPr id="5" name="NOI Trend">
          <a:extLst>
            <a:ext uri="{FF2B5EF4-FFF2-40B4-BE49-F238E27FC236}">
              <a16:creationId xmlns:a16="http://schemas.microsoft.com/office/drawing/2014/main" id="{EBCBA57E-8F32-4ABD-F72E-171C135C27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15</xdr:col>
      <xdr:colOff>317499</xdr:colOff>
      <xdr:row>39</xdr:row>
      <xdr:rowOff>139699</xdr:rowOff>
    </xdr:from>
    <xdr:to>
      <xdr:col>27</xdr:col>
      <xdr:colOff>393699</xdr:colOff>
      <xdr:row>70</xdr:row>
      <xdr:rowOff>126999</xdr:rowOff>
    </xdr:to>
    <xdr:graphicFrame macro="">
      <xdr:nvGraphicFramePr>
        <xdr:cNvPr id="10" name="DSCR Trend">
          <a:extLst>
            <a:ext uri="{FF2B5EF4-FFF2-40B4-BE49-F238E27FC236}">
              <a16:creationId xmlns:a16="http://schemas.microsoft.com/office/drawing/2014/main" id="{105EED23-8514-5B7F-E7FB-CB87D56108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253999</xdr:colOff>
      <xdr:row>74</xdr:row>
      <xdr:rowOff>12699</xdr:rowOff>
    </xdr:from>
    <xdr:to>
      <xdr:col>14</xdr:col>
      <xdr:colOff>482599</xdr:colOff>
      <xdr:row>104</xdr:row>
      <xdr:rowOff>139699</xdr:rowOff>
    </xdr:to>
    <xdr:graphicFrame macro="">
      <xdr:nvGraphicFramePr>
        <xdr:cNvPr id="11" name="Debt Equity Mix">
          <a:extLst>
            <a:ext uri="{FF2B5EF4-FFF2-40B4-BE49-F238E27FC236}">
              <a16:creationId xmlns:a16="http://schemas.microsoft.com/office/drawing/2014/main" id="{549711A5-C47A-1BFC-814F-C9E49601B0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15</xdr:col>
      <xdr:colOff>317499</xdr:colOff>
      <xdr:row>74</xdr:row>
      <xdr:rowOff>12699</xdr:rowOff>
    </xdr:from>
    <xdr:to>
      <xdr:col>27</xdr:col>
      <xdr:colOff>393699</xdr:colOff>
      <xdr:row>104</xdr:row>
      <xdr:rowOff>139699</xdr:rowOff>
    </xdr:to>
    <xdr:graphicFrame macro="">
      <xdr:nvGraphicFramePr>
        <xdr:cNvPr id="12" name="Financing Uses">
          <a:extLst>
            <a:ext uri="{FF2B5EF4-FFF2-40B4-BE49-F238E27FC236}">
              <a16:creationId xmlns:a16="http://schemas.microsoft.com/office/drawing/2014/main" id="{0015D7EF-349B-9A29-D9E3-ACC56AEB66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4A3CF24-82CB-8A49-98C0-ADD1DB458D87}">
  <we:reference id="wa200009404" version="1.0.0.8" store="en-US" storeType="OMEX"/>
  <we:alternateReferences>
    <we:reference id="wa200009404" version="1.0.0.8" store="en-US" storeType="OMEX"/>
  </we:alternateReferences>
  <we:properties>
    <we:property name="claude.fileId" value="&quot;60e54dff-3e14-4f34-9d5d-390022159524&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1.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F55B4A-4A8E-8F4C-A268-300BFB338272}">
  <sheetPr codeName="Sheet3">
    <tabColor rgb="FFFFFF00"/>
  </sheetPr>
  <dimension ref="B2:P41"/>
  <sheetViews>
    <sheetView showGridLines="0" topLeftCell="B1" zoomScale="147" zoomScaleNormal="147" workbookViewId="0">
      <selection activeCell="G7" sqref="G7"/>
    </sheetView>
  </sheetViews>
  <sheetFormatPr baseColWidth="10" defaultRowHeight="11" x14ac:dyDescent="0.15"/>
  <cols>
    <col min="1" max="1" width="6.25" customWidth="1"/>
    <col min="2" max="2" width="22.5" customWidth="1"/>
    <col min="3" max="3" width="16.5" customWidth="1"/>
    <col min="4" max="4" width="17.5" customWidth="1"/>
    <col min="5" max="5" width="19.75" customWidth="1"/>
    <col min="6" max="7" width="16" customWidth="1"/>
    <col min="8" max="8" width="20" bestFit="1" customWidth="1"/>
    <col min="9" max="9" width="14" customWidth="1"/>
    <col min="10" max="10" width="19.5" customWidth="1"/>
    <col min="11" max="11" width="24" customWidth="1"/>
    <col min="12" max="12" width="16.75" customWidth="1"/>
    <col min="14" max="14" width="21.5" customWidth="1"/>
    <col min="15" max="15" width="43.75" customWidth="1"/>
  </cols>
  <sheetData>
    <row r="2" spans="2:16" ht="19" x14ac:dyDescent="0.25">
      <c r="B2" s="2" t="s">
        <v>263</v>
      </c>
      <c r="E2" s="507" t="s">
        <v>230</v>
      </c>
      <c r="F2" s="507"/>
      <c r="G2" s="507"/>
      <c r="H2" s="219" t="s">
        <v>382</v>
      </c>
      <c r="I2" s="35"/>
      <c r="J2" s="35"/>
      <c r="K2" s="35"/>
      <c r="L2" s="35"/>
      <c r="M2" s="247"/>
    </row>
    <row r="4" spans="2:16" x14ac:dyDescent="0.15">
      <c r="B4" s="178" t="s">
        <v>264</v>
      </c>
      <c r="C4" s="179"/>
      <c r="D4" s="180"/>
      <c r="F4" s="264" t="s">
        <v>301</v>
      </c>
      <c r="G4" s="265"/>
      <c r="I4" s="254" t="s">
        <v>209</v>
      </c>
      <c r="J4" s="154"/>
      <c r="K4" s="252">
        <f>IFERROR(IF(SUM('Rent Roll'!$O$28:$O$41)=0,$C$10/$C$11),"N/A")</f>
        <v>5985000</v>
      </c>
      <c r="O4" s="231"/>
      <c r="P4" s="231"/>
    </row>
    <row r="5" spans="2:16" x14ac:dyDescent="0.15">
      <c r="B5" s="161" t="s">
        <v>265</v>
      </c>
      <c r="C5" s="527">
        <v>1918</v>
      </c>
      <c r="D5" s="227"/>
      <c r="F5" s="59" t="s">
        <v>385</v>
      </c>
      <c r="G5" s="12"/>
      <c r="I5" s="59"/>
      <c r="K5" s="12"/>
    </row>
    <row r="6" spans="2:16" x14ac:dyDescent="0.15">
      <c r="B6" s="59" t="s">
        <v>266</v>
      </c>
      <c r="C6" s="7">
        <f ca="1">YEAR(TODAY())-C5</f>
        <v>108</v>
      </c>
      <c r="D6" s="12"/>
      <c r="F6" s="139" t="s">
        <v>386</v>
      </c>
      <c r="G6" s="146">
        <v>1</v>
      </c>
      <c r="I6" s="63" t="s">
        <v>267</v>
      </c>
      <c r="K6" s="529">
        <v>5985000</v>
      </c>
      <c r="O6" s="189"/>
    </row>
    <row r="7" spans="2:16" x14ac:dyDescent="0.15">
      <c r="B7" s="59" t="s">
        <v>206</v>
      </c>
      <c r="C7" s="501">
        <v>14</v>
      </c>
      <c r="D7" s="12"/>
      <c r="F7" s="534" t="s">
        <v>298</v>
      </c>
      <c r="G7" s="147">
        <v>500</v>
      </c>
      <c r="I7" s="60" t="s">
        <v>293</v>
      </c>
      <c r="J7" s="6"/>
      <c r="K7" s="253">
        <f>K6/C7</f>
        <v>427500</v>
      </c>
      <c r="O7" s="189"/>
    </row>
    <row r="8" spans="2:16" x14ac:dyDescent="0.15">
      <c r="B8" s="59" t="s">
        <v>294</v>
      </c>
      <c r="C8" s="501">
        <v>11937</v>
      </c>
      <c r="D8" s="146"/>
      <c r="O8" s="189"/>
    </row>
    <row r="9" spans="2:16" x14ac:dyDescent="0.15">
      <c r="B9" s="59" t="s">
        <v>295</v>
      </c>
      <c r="C9" s="501">
        <v>10756</v>
      </c>
      <c r="D9" s="146"/>
      <c r="O9" s="189"/>
    </row>
    <row r="10" spans="2:16" x14ac:dyDescent="0.15">
      <c r="B10" s="59" t="s">
        <v>268</v>
      </c>
      <c r="C10" s="528">
        <v>368120</v>
      </c>
      <c r="D10" s="12"/>
      <c r="O10" s="189"/>
    </row>
    <row r="11" spans="2:16" x14ac:dyDescent="0.15">
      <c r="B11" s="59" t="s">
        <v>269</v>
      </c>
      <c r="C11" s="367">
        <f>C10/K6</f>
        <v>6.1507101086048455E-2</v>
      </c>
      <c r="D11" s="12"/>
      <c r="O11" s="189"/>
    </row>
    <row r="12" spans="2:16" x14ac:dyDescent="0.15">
      <c r="B12" s="266" t="s">
        <v>302</v>
      </c>
      <c r="C12" s="505">
        <v>0</v>
      </c>
      <c r="D12" s="34"/>
      <c r="O12" s="189"/>
    </row>
    <row r="13" spans="2:16" x14ac:dyDescent="0.15">
      <c r="C13" s="7"/>
      <c r="O13" s="189"/>
    </row>
    <row r="14" spans="2:16" x14ac:dyDescent="0.15">
      <c r="B14" s="178" t="s">
        <v>282</v>
      </c>
      <c r="C14" s="179"/>
      <c r="D14" s="179"/>
      <c r="E14" s="179"/>
      <c r="F14" s="179"/>
      <c r="G14" s="180"/>
      <c r="O14" s="189"/>
    </row>
    <row r="15" spans="2:16" x14ac:dyDescent="0.15">
      <c r="B15" s="60" t="s">
        <v>270</v>
      </c>
      <c r="C15" s="8" t="s">
        <v>206</v>
      </c>
      <c r="D15" s="8" t="s">
        <v>383</v>
      </c>
      <c r="E15" s="8" t="s">
        <v>291</v>
      </c>
      <c r="F15" s="6" t="s">
        <v>280</v>
      </c>
      <c r="G15" s="34" t="s">
        <v>281</v>
      </c>
      <c r="O15" s="189"/>
    </row>
    <row r="16" spans="2:16" x14ac:dyDescent="0.15">
      <c r="B16" s="59" t="s">
        <v>379</v>
      </c>
      <c r="C16" s="501">
        <v>5</v>
      </c>
      <c r="D16" s="532">
        <f>AVERAGEIF($C$28:$C$41,$B16,$G$28:$G$41)</f>
        <v>338.4</v>
      </c>
      <c r="E16" s="502">
        <v>1699</v>
      </c>
      <c r="F16" s="255">
        <f t="shared" ref="F16:F18" si="0">E16*12</f>
        <v>20388</v>
      </c>
      <c r="G16" s="491">
        <f t="shared" ref="G16:G18" si="1">F16/D16</f>
        <v>60.248226950354614</v>
      </c>
      <c r="H16" s="188"/>
      <c r="O16" s="189"/>
    </row>
    <row r="17" spans="2:15" x14ac:dyDescent="0.15">
      <c r="B17" s="59" t="s">
        <v>380</v>
      </c>
      <c r="C17" s="501">
        <v>5</v>
      </c>
      <c r="D17" s="532">
        <f>AVERAGEIF($C$28:$C$41,$B17,$G$28:$G$41)</f>
        <v>618.4</v>
      </c>
      <c r="E17" s="502">
        <v>2480</v>
      </c>
      <c r="F17" s="255">
        <f t="shared" si="0"/>
        <v>29760</v>
      </c>
      <c r="G17" s="491">
        <f t="shared" si="1"/>
        <v>48.124191461837</v>
      </c>
      <c r="H17" s="188"/>
      <c r="O17" s="189"/>
    </row>
    <row r="18" spans="2:15" x14ac:dyDescent="0.15">
      <c r="B18" s="60" t="s">
        <v>381</v>
      </c>
      <c r="C18" s="503">
        <v>4</v>
      </c>
      <c r="D18" s="533">
        <f>AVERAGEIF($C$28:$C$41,$B18,$G$28:$G$41)</f>
        <v>1466.75</v>
      </c>
      <c r="E18" s="504">
        <v>3800</v>
      </c>
      <c r="F18" s="256">
        <f t="shared" si="0"/>
        <v>45600</v>
      </c>
      <c r="G18" s="257">
        <f t="shared" si="1"/>
        <v>31.089142662348731</v>
      </c>
      <c r="H18" s="188"/>
      <c r="I18" s="213"/>
      <c r="O18" s="189"/>
    </row>
    <row r="19" spans="2:15" x14ac:dyDescent="0.15">
      <c r="B19" s="506" t="s">
        <v>353</v>
      </c>
      <c r="C19" s="7"/>
      <c r="O19" s="189"/>
    </row>
    <row r="20" spans="2:15" x14ac:dyDescent="0.15">
      <c r="C20" s="7"/>
      <c r="K20" s="213"/>
      <c r="L20" s="213"/>
      <c r="M20" s="213"/>
      <c r="O20" s="189"/>
    </row>
    <row r="21" spans="2:15" x14ac:dyDescent="0.15">
      <c r="C21" s="7"/>
      <c r="H21" s="380" t="s">
        <v>322</v>
      </c>
      <c r="I21" s="154"/>
      <c r="J21" s="378">
        <f>H25*12</f>
        <v>441112.56000000006</v>
      </c>
      <c r="O21" s="189"/>
    </row>
    <row r="22" spans="2:15" x14ac:dyDescent="0.15">
      <c r="C22" s="7"/>
      <c r="H22" s="381" t="s">
        <v>323</v>
      </c>
      <c r="I22" s="6"/>
      <c r="J22" s="253">
        <f>F24*12</f>
        <v>433140</v>
      </c>
      <c r="O22" s="189"/>
    </row>
    <row r="23" spans="2:15" x14ac:dyDescent="0.15">
      <c r="C23" s="7"/>
      <c r="O23" s="189"/>
    </row>
    <row r="24" spans="2:15" ht="13" customHeight="1" x14ac:dyDescent="0.15">
      <c r="C24" s="7"/>
      <c r="D24" s="377" t="s">
        <v>320</v>
      </c>
      <c r="E24" s="154"/>
      <c r="F24" s="378">
        <f>SUM(J28:J41)</f>
        <v>36095</v>
      </c>
      <c r="H24" s="261" t="s">
        <v>288</v>
      </c>
      <c r="I24" s="166"/>
      <c r="J24" s="166" t="s">
        <v>289</v>
      </c>
      <c r="K24" s="262" t="s">
        <v>290</v>
      </c>
      <c r="O24" s="189"/>
    </row>
    <row r="25" spans="2:15" ht="14" x14ac:dyDescent="0.15">
      <c r="B25" s="258" t="s">
        <v>272</v>
      </c>
      <c r="D25" s="141" t="s">
        <v>302</v>
      </c>
      <c r="E25" s="6"/>
      <c r="F25" s="379">
        <f>(F24-H25)/H25</f>
        <v>-1.8073754236333818E-2</v>
      </c>
      <c r="H25" s="259">
        <f>SUM(H28:H41)</f>
        <v>36759.380000000005</v>
      </c>
      <c r="I25" s="6"/>
      <c r="J25" s="260">
        <f>SUM(K28:K41)</f>
        <v>0</v>
      </c>
      <c r="K25" s="253">
        <f>SUM(L28:L41)</f>
        <v>0</v>
      </c>
    </row>
    <row r="26" spans="2:15" x14ac:dyDescent="0.15">
      <c r="B26" s="250"/>
      <c r="C26" s="251"/>
      <c r="D26" s="6"/>
      <c r="E26" s="6"/>
      <c r="F26" s="6"/>
      <c r="G26" s="6"/>
      <c r="H26" s="6"/>
      <c r="I26" s="6"/>
      <c r="J26" s="6"/>
      <c r="K26" s="6"/>
      <c r="L26" s="6"/>
      <c r="M26" s="508" t="s">
        <v>273</v>
      </c>
      <c r="N26" s="508"/>
      <c r="O26" s="6"/>
    </row>
    <row r="27" spans="2:15" ht="27" customHeight="1" x14ac:dyDescent="0.15">
      <c r="B27" s="249" t="s">
        <v>271</v>
      </c>
      <c r="C27" s="249" t="s">
        <v>279</v>
      </c>
      <c r="D27" s="249" t="s">
        <v>274</v>
      </c>
      <c r="E27" s="249" t="s">
        <v>275</v>
      </c>
      <c r="F27" s="249" t="s">
        <v>276</v>
      </c>
      <c r="G27" s="249" t="s">
        <v>208</v>
      </c>
      <c r="H27" s="249" t="s">
        <v>277</v>
      </c>
      <c r="I27" s="249" t="s">
        <v>278</v>
      </c>
      <c r="J27" s="374" t="s">
        <v>321</v>
      </c>
      <c r="K27" s="249" t="s">
        <v>218</v>
      </c>
      <c r="L27" s="249" t="s">
        <v>285</v>
      </c>
      <c r="M27" s="249" t="s">
        <v>64</v>
      </c>
      <c r="N27" s="249" t="s">
        <v>287</v>
      </c>
      <c r="O27" s="249" t="s">
        <v>292</v>
      </c>
    </row>
    <row r="28" spans="2:15" ht="17" customHeight="1" x14ac:dyDescent="0.15">
      <c r="B28" s="523" t="s">
        <v>365</v>
      </c>
      <c r="C28" s="268" t="s">
        <v>379</v>
      </c>
      <c r="D28" s="267" t="s">
        <v>238</v>
      </c>
      <c r="E28" s="267" t="s">
        <v>238</v>
      </c>
      <c r="F28" s="267" t="s">
        <v>238</v>
      </c>
      <c r="G28" s="525">
        <v>415</v>
      </c>
      <c r="H28" s="530">
        <v>2295.62</v>
      </c>
      <c r="I28" s="270">
        <f>H28/G28</f>
        <v>5.5316144578313251</v>
      </c>
      <c r="J28" s="375">
        <f>_xlfn.XLOOKUP(C28,$B$16:$B$18,$E$16:$E$18)</f>
        <v>1699</v>
      </c>
      <c r="K28" s="269">
        <v>0</v>
      </c>
      <c r="L28" s="269">
        <v>0</v>
      </c>
      <c r="M28" s="271" t="s">
        <v>286</v>
      </c>
      <c r="N28" s="272">
        <v>0.03</v>
      </c>
      <c r="O28" s="478" t="s">
        <v>384</v>
      </c>
    </row>
    <row r="29" spans="2:15" ht="17" customHeight="1" x14ac:dyDescent="0.15">
      <c r="B29" s="523" t="s">
        <v>366</v>
      </c>
      <c r="C29" s="268" t="s">
        <v>380</v>
      </c>
      <c r="D29" s="267" t="s">
        <v>238</v>
      </c>
      <c r="E29" s="267" t="s">
        <v>238</v>
      </c>
      <c r="F29" s="267" t="s">
        <v>238</v>
      </c>
      <c r="G29" s="525">
        <v>721</v>
      </c>
      <c r="H29" s="530">
        <v>2843.49</v>
      </c>
      <c r="I29" s="270">
        <f t="shared" ref="I29:I41" si="2">H29/G29</f>
        <v>3.9438141470180303</v>
      </c>
      <c r="J29" s="375">
        <f>_xlfn.XLOOKUP(C29,$B$16:$B$18,$E$16:$E$18)</f>
        <v>2480</v>
      </c>
      <c r="K29" s="269">
        <v>0</v>
      </c>
      <c r="L29" s="269">
        <v>0</v>
      </c>
      <c r="M29" s="271" t="s">
        <v>286</v>
      </c>
      <c r="N29" s="272">
        <v>0.03</v>
      </c>
    </row>
    <row r="30" spans="2:15" ht="17" customHeight="1" x14ac:dyDescent="0.15">
      <c r="B30" s="523" t="s">
        <v>367</v>
      </c>
      <c r="C30" s="268" t="s">
        <v>380</v>
      </c>
      <c r="D30" s="267" t="s">
        <v>238</v>
      </c>
      <c r="E30" s="267" t="s">
        <v>238</v>
      </c>
      <c r="F30" s="267" t="s">
        <v>238</v>
      </c>
      <c r="G30" s="525">
        <v>532</v>
      </c>
      <c r="H30" s="530">
        <v>1996.14</v>
      </c>
      <c r="I30" s="270">
        <f t="shared" si="2"/>
        <v>3.7521428571428572</v>
      </c>
      <c r="J30" s="375">
        <f>_xlfn.XLOOKUP(C30,$B$16:$B$18,$E$16:$E$18)</f>
        <v>2480</v>
      </c>
      <c r="K30" s="269">
        <v>0</v>
      </c>
      <c r="L30" s="269">
        <v>0</v>
      </c>
      <c r="M30" s="271" t="s">
        <v>286</v>
      </c>
      <c r="N30" s="272">
        <v>0.03</v>
      </c>
    </row>
    <row r="31" spans="2:15" ht="17" customHeight="1" x14ac:dyDescent="0.15">
      <c r="B31" s="523" t="s">
        <v>368</v>
      </c>
      <c r="C31" s="268" t="s">
        <v>381</v>
      </c>
      <c r="D31" s="267" t="s">
        <v>238</v>
      </c>
      <c r="E31" s="267" t="s">
        <v>238</v>
      </c>
      <c r="F31" s="267" t="s">
        <v>238</v>
      </c>
      <c r="G31" s="525">
        <v>1845</v>
      </c>
      <c r="H31" s="530">
        <v>4200</v>
      </c>
      <c r="I31" s="270">
        <f t="shared" si="2"/>
        <v>2.2764227642276422</v>
      </c>
      <c r="J31" s="375">
        <f>_xlfn.XLOOKUP(C31,$B$16:$B$18,$E$16:$E$18)</f>
        <v>3800</v>
      </c>
      <c r="K31" s="269">
        <v>0</v>
      </c>
      <c r="L31" s="269">
        <v>0</v>
      </c>
      <c r="M31" s="271" t="s">
        <v>286</v>
      </c>
      <c r="N31" s="272">
        <v>0.03</v>
      </c>
    </row>
    <row r="32" spans="2:15" ht="17" customHeight="1" x14ac:dyDescent="0.15">
      <c r="B32" s="523" t="s">
        <v>369</v>
      </c>
      <c r="C32" s="268" t="s">
        <v>379</v>
      </c>
      <c r="D32" s="267" t="s">
        <v>238</v>
      </c>
      <c r="E32" s="267" t="s">
        <v>238</v>
      </c>
      <c r="F32" s="267" t="s">
        <v>238</v>
      </c>
      <c r="G32" s="525">
        <v>196</v>
      </c>
      <c r="H32" s="530">
        <v>1346.11</v>
      </c>
      <c r="I32" s="270">
        <f t="shared" si="2"/>
        <v>6.8679081632653052</v>
      </c>
      <c r="J32" s="375">
        <f>_xlfn.XLOOKUP(C32,$B$16:$B$18,$E$16:$E$18)</f>
        <v>1699</v>
      </c>
      <c r="K32" s="269">
        <v>0</v>
      </c>
      <c r="L32" s="269">
        <v>0</v>
      </c>
      <c r="M32" s="271" t="s">
        <v>286</v>
      </c>
      <c r="N32" s="272">
        <v>0.03</v>
      </c>
    </row>
    <row r="33" spans="2:15" ht="17" customHeight="1" x14ac:dyDescent="0.15">
      <c r="B33" s="523" t="s">
        <v>370</v>
      </c>
      <c r="C33" s="268" t="s">
        <v>381</v>
      </c>
      <c r="D33" s="267" t="s">
        <v>238</v>
      </c>
      <c r="E33" s="267" t="s">
        <v>238</v>
      </c>
      <c r="F33" s="267" t="s">
        <v>238</v>
      </c>
      <c r="G33" s="525">
        <v>1361</v>
      </c>
      <c r="H33" s="530">
        <v>4485</v>
      </c>
      <c r="I33" s="270">
        <f t="shared" si="2"/>
        <v>3.2953710506980163</v>
      </c>
      <c r="J33" s="375">
        <f>_xlfn.XLOOKUP(C33,$B$16:$B$18,$E$16:$E$18)</f>
        <v>3800</v>
      </c>
      <c r="K33" s="269">
        <v>0</v>
      </c>
      <c r="L33" s="269">
        <v>0</v>
      </c>
      <c r="M33" s="271" t="s">
        <v>286</v>
      </c>
      <c r="N33" s="272">
        <v>0.03</v>
      </c>
    </row>
    <row r="34" spans="2:15" ht="17" customHeight="1" x14ac:dyDescent="0.15">
      <c r="B34" s="523" t="s">
        <v>371</v>
      </c>
      <c r="C34" s="268" t="s">
        <v>380</v>
      </c>
      <c r="D34" s="267" t="s">
        <v>238</v>
      </c>
      <c r="E34" s="267" t="s">
        <v>238</v>
      </c>
      <c r="F34" s="267" t="s">
        <v>238</v>
      </c>
      <c r="G34" s="525">
        <v>623</v>
      </c>
      <c r="H34" s="530">
        <v>2040.24</v>
      </c>
      <c r="I34" s="270">
        <f t="shared" si="2"/>
        <v>3.2748635634028891</v>
      </c>
      <c r="J34" s="375">
        <f>_xlfn.XLOOKUP(C34,$B$16:$B$18,$E$16:$E$18)</f>
        <v>2480</v>
      </c>
      <c r="K34" s="269">
        <v>0</v>
      </c>
      <c r="L34" s="269">
        <v>0</v>
      </c>
      <c r="M34" s="271" t="s">
        <v>286</v>
      </c>
      <c r="N34" s="272">
        <v>0.03</v>
      </c>
    </row>
    <row r="35" spans="2:15" ht="17" customHeight="1" x14ac:dyDescent="0.15">
      <c r="B35" s="523" t="s">
        <v>372</v>
      </c>
      <c r="C35" s="268" t="s">
        <v>380</v>
      </c>
      <c r="D35" s="267" t="s">
        <v>238</v>
      </c>
      <c r="E35" s="267" t="s">
        <v>238</v>
      </c>
      <c r="F35" s="267" t="s">
        <v>238</v>
      </c>
      <c r="G35" s="525">
        <v>521</v>
      </c>
      <c r="H35" s="530">
        <v>2547.13</v>
      </c>
      <c r="I35" s="270">
        <f t="shared" si="2"/>
        <v>4.8889251439539345</v>
      </c>
      <c r="J35" s="375">
        <f>_xlfn.XLOOKUP(C35,$B$16:$B$18,$E$16:$E$18)</f>
        <v>2480</v>
      </c>
      <c r="K35" s="269">
        <v>0</v>
      </c>
      <c r="L35" s="269">
        <v>0</v>
      </c>
      <c r="M35" s="271" t="s">
        <v>286</v>
      </c>
      <c r="N35" s="272">
        <v>0.03</v>
      </c>
    </row>
    <row r="36" spans="2:15" ht="17" customHeight="1" x14ac:dyDescent="0.15">
      <c r="B36" s="523" t="s">
        <v>373</v>
      </c>
      <c r="C36" s="268" t="s">
        <v>380</v>
      </c>
      <c r="D36" s="267" t="s">
        <v>238</v>
      </c>
      <c r="E36" s="267" t="s">
        <v>238</v>
      </c>
      <c r="F36" s="267" t="s">
        <v>238</v>
      </c>
      <c r="G36" s="525">
        <v>695</v>
      </c>
      <c r="H36" s="530">
        <v>2665.64</v>
      </c>
      <c r="I36" s="270">
        <f t="shared" si="2"/>
        <v>3.8354532374100718</v>
      </c>
      <c r="J36" s="375">
        <f>_xlfn.XLOOKUP(C36,$B$16:$B$18,$E$16:$E$18)</f>
        <v>2480</v>
      </c>
      <c r="K36" s="269">
        <v>0</v>
      </c>
      <c r="L36" s="269">
        <v>0</v>
      </c>
      <c r="M36" s="271" t="s">
        <v>286</v>
      </c>
      <c r="N36" s="272">
        <v>0.03</v>
      </c>
    </row>
    <row r="37" spans="2:15" ht="17" customHeight="1" x14ac:dyDescent="0.15">
      <c r="B37" s="523" t="s">
        <v>374</v>
      </c>
      <c r="C37" s="268" t="s">
        <v>381</v>
      </c>
      <c r="D37" s="267" t="s">
        <v>238</v>
      </c>
      <c r="E37" s="267" t="s">
        <v>238</v>
      </c>
      <c r="F37" s="267" t="s">
        <v>238</v>
      </c>
      <c r="G37" s="525">
        <v>1356</v>
      </c>
      <c r="H37" s="530">
        <v>4239.04</v>
      </c>
      <c r="I37" s="270">
        <f t="shared" si="2"/>
        <v>3.126135693215339</v>
      </c>
      <c r="J37" s="375">
        <f>_xlfn.XLOOKUP(C37,$B$16:$B$18,$E$16:$E$18)</f>
        <v>3800</v>
      </c>
      <c r="K37" s="269">
        <v>0</v>
      </c>
      <c r="L37" s="269">
        <v>0</v>
      </c>
      <c r="M37" s="271" t="s">
        <v>286</v>
      </c>
      <c r="N37" s="272">
        <v>0.03</v>
      </c>
    </row>
    <row r="38" spans="2:15" ht="17" customHeight="1" x14ac:dyDescent="0.15">
      <c r="B38" s="523" t="s">
        <v>375</v>
      </c>
      <c r="C38" s="268" t="s">
        <v>379</v>
      </c>
      <c r="D38" s="267" t="s">
        <v>238</v>
      </c>
      <c r="E38" s="267" t="s">
        <v>238</v>
      </c>
      <c r="F38" s="267" t="s">
        <v>238</v>
      </c>
      <c r="G38" s="525">
        <v>418</v>
      </c>
      <c r="H38" s="530">
        <v>1822.49</v>
      </c>
      <c r="I38" s="270">
        <f t="shared" si="2"/>
        <v>4.3600239234449765</v>
      </c>
      <c r="J38" s="375">
        <f>_xlfn.XLOOKUP(C38,$B$16:$B$18,$E$16:$E$18)</f>
        <v>1699</v>
      </c>
      <c r="K38" s="269">
        <v>0</v>
      </c>
      <c r="L38" s="269">
        <v>0</v>
      </c>
      <c r="M38" s="271" t="s">
        <v>286</v>
      </c>
      <c r="N38" s="272">
        <v>0.03</v>
      </c>
    </row>
    <row r="39" spans="2:15" ht="17" customHeight="1" x14ac:dyDescent="0.15">
      <c r="B39" s="523" t="s">
        <v>376</v>
      </c>
      <c r="C39" s="268" t="s">
        <v>381</v>
      </c>
      <c r="D39" s="267" t="s">
        <v>238</v>
      </c>
      <c r="E39" s="267" t="s">
        <v>238</v>
      </c>
      <c r="F39" s="267" t="s">
        <v>238</v>
      </c>
      <c r="G39" s="525">
        <v>1305</v>
      </c>
      <c r="H39" s="530">
        <v>3588.38</v>
      </c>
      <c r="I39" s="270">
        <f t="shared" si="2"/>
        <v>2.7497164750957857</v>
      </c>
      <c r="J39" s="375">
        <f>_xlfn.XLOOKUP(C39,$B$16:$B$18,$E$16:$E$18)</f>
        <v>3800</v>
      </c>
      <c r="K39" s="269">
        <v>0</v>
      </c>
      <c r="L39" s="269">
        <v>0</v>
      </c>
      <c r="M39" s="271" t="s">
        <v>286</v>
      </c>
      <c r="N39" s="272">
        <v>0.03</v>
      </c>
    </row>
    <row r="40" spans="2:15" ht="17" customHeight="1" x14ac:dyDescent="0.15">
      <c r="B40" s="523" t="s">
        <v>377</v>
      </c>
      <c r="C40" s="268" t="s">
        <v>379</v>
      </c>
      <c r="D40" s="267" t="s">
        <v>238</v>
      </c>
      <c r="E40" s="267" t="s">
        <v>238</v>
      </c>
      <c r="F40" s="267" t="s">
        <v>238</v>
      </c>
      <c r="G40" s="525">
        <v>427</v>
      </c>
      <c r="H40" s="530">
        <v>1507.65</v>
      </c>
      <c r="I40" s="270">
        <f t="shared" si="2"/>
        <v>3.5307962529274008</v>
      </c>
      <c r="J40" s="375">
        <f>_xlfn.XLOOKUP(C40,$B$16:$B$18,$E$16:$E$18)</f>
        <v>1699</v>
      </c>
      <c r="K40" s="269">
        <v>0</v>
      </c>
      <c r="L40" s="269">
        <v>0</v>
      </c>
      <c r="M40" s="271" t="s">
        <v>286</v>
      </c>
      <c r="N40" s="272">
        <v>0.03</v>
      </c>
    </row>
    <row r="41" spans="2:15" ht="17" customHeight="1" x14ac:dyDescent="0.15">
      <c r="B41" s="524" t="s">
        <v>378</v>
      </c>
      <c r="C41" s="321" t="s">
        <v>379</v>
      </c>
      <c r="D41" s="354" t="s">
        <v>238</v>
      </c>
      <c r="E41" s="354" t="s">
        <v>238</v>
      </c>
      <c r="F41" s="354" t="s">
        <v>238</v>
      </c>
      <c r="G41" s="526">
        <v>236</v>
      </c>
      <c r="H41" s="531">
        <v>1182.45</v>
      </c>
      <c r="I41" s="349">
        <f t="shared" si="2"/>
        <v>5.0103813559322035</v>
      </c>
      <c r="J41" s="376">
        <f>_xlfn.XLOOKUP(C41,$B$16:$B$18,$E$16:$E$18)</f>
        <v>1699</v>
      </c>
      <c r="K41" s="355">
        <v>0</v>
      </c>
      <c r="L41" s="355">
        <v>0</v>
      </c>
      <c r="M41" s="356" t="s">
        <v>286</v>
      </c>
      <c r="N41" s="357">
        <v>0.03</v>
      </c>
      <c r="O41" s="6"/>
    </row>
  </sheetData>
  <mergeCells count="2">
    <mergeCell ref="E2:G2"/>
    <mergeCell ref="M26:N26"/>
  </mergeCells>
  <phoneticPr fontId="13" type="noConversion"/>
  <conditionalFormatting sqref="H28:H41">
    <cfRule type="expression" dxfId="10" priority="1">
      <formula>AND(H28&lt;&gt;"",J28&lt;&gt;"",H28&lt;J28)</formula>
    </cfRule>
    <cfRule type="cellIs" dxfId="9" priority="2" operator="lessThan">
      <formula>$J$28</formula>
    </cfRule>
  </conditionalFormatting>
  <pageMargins left="0.7" right="0.7" top="0.75" bottom="0.75" header="0.3" footer="0.3"/>
  <ignoredErrors>
    <ignoredError sqref="B28:B41" numberStoredAsText="1"/>
  </ignoredErrors>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FCBD3D-A0F5-974A-B6DF-8A01EAC1B809}">
  <sheetPr>
    <tabColor rgb="FFFFFF00"/>
  </sheetPr>
  <dimension ref="A2:S29"/>
  <sheetViews>
    <sheetView showGridLines="0" topLeftCell="E1" zoomScale="132" workbookViewId="0">
      <selection activeCell="L19" sqref="L19"/>
    </sheetView>
  </sheetViews>
  <sheetFormatPr baseColWidth="10" defaultColWidth="0" defaultRowHeight="11" x14ac:dyDescent="0.15"/>
  <cols>
    <col min="1" max="1" width="4.5" customWidth="1"/>
    <col min="2" max="2" width="27" customWidth="1"/>
    <col min="3" max="4" width="16.75" customWidth="1"/>
    <col min="5" max="8" width="20.75" customWidth="1"/>
    <col min="9" max="12" width="22.75" customWidth="1"/>
    <col min="13" max="19" width="16.75" customWidth="1"/>
    <col min="20" max="16384" width="16.75" hidden="1"/>
  </cols>
  <sheetData>
    <row r="2" spans="2:18" ht="16" x14ac:dyDescent="0.2">
      <c r="B2" s="26" t="s">
        <v>284</v>
      </c>
      <c r="E2" s="550" t="s">
        <v>406</v>
      </c>
      <c r="F2" s="550"/>
      <c r="G2" s="550"/>
      <c r="H2" s="554"/>
      <c r="I2" s="551" t="s">
        <v>407</v>
      </c>
      <c r="J2" s="551"/>
      <c r="K2" s="551"/>
      <c r="L2" s="551"/>
    </row>
    <row r="3" spans="2:18" x14ac:dyDescent="0.15">
      <c r="B3" s="4"/>
      <c r="D3" s="12"/>
      <c r="E3" s="511" t="s">
        <v>325</v>
      </c>
      <c r="F3" s="512"/>
      <c r="G3" s="509" t="s">
        <v>392</v>
      </c>
      <c r="H3" s="510"/>
      <c r="I3" s="511" t="s">
        <v>325</v>
      </c>
      <c r="J3" s="512"/>
      <c r="K3" s="509" t="s">
        <v>324</v>
      </c>
      <c r="L3" s="510"/>
    </row>
    <row r="4" spans="2:18" ht="14" x14ac:dyDescent="0.2">
      <c r="B4" s="358" t="s">
        <v>296</v>
      </c>
      <c r="C4" s="6"/>
      <c r="D4" s="34"/>
      <c r="E4" s="147" t="s">
        <v>78</v>
      </c>
      <c r="F4" s="147" t="s">
        <v>286</v>
      </c>
      <c r="G4" s="147" t="s">
        <v>78</v>
      </c>
      <c r="H4" s="147" t="s">
        <v>286</v>
      </c>
      <c r="I4" s="147" t="s">
        <v>78</v>
      </c>
      <c r="J4" s="147" t="s">
        <v>286</v>
      </c>
      <c r="K4" s="147" t="s">
        <v>78</v>
      </c>
      <c r="L4" s="147" t="s">
        <v>391</v>
      </c>
    </row>
    <row r="5" spans="2:18" x14ac:dyDescent="0.15">
      <c r="B5" s="4" t="s">
        <v>283</v>
      </c>
      <c r="D5" s="12"/>
      <c r="E5" s="152"/>
      <c r="F5" s="152"/>
      <c r="G5" s="152"/>
      <c r="H5" s="553"/>
      <c r="I5" s="12"/>
      <c r="J5" s="12"/>
      <c r="K5" s="12"/>
      <c r="L5" s="12"/>
    </row>
    <row r="6" spans="2:18" x14ac:dyDescent="0.15">
      <c r="B6" t="s">
        <v>299</v>
      </c>
      <c r="D6" s="12"/>
      <c r="E6" s="552">
        <f>'Rent Roll'!H25</f>
        <v>36759.380000000005</v>
      </c>
      <c r="F6" s="552">
        <f>E6*12</f>
        <v>441112.56000000006</v>
      </c>
      <c r="G6" s="552">
        <f>'Rent Roll'!F24</f>
        <v>36095</v>
      </c>
      <c r="H6" s="552">
        <f>G6*12</f>
        <v>433140</v>
      </c>
      <c r="I6" s="382">
        <f>'Rent Roll'!H25</f>
        <v>36759.380000000005</v>
      </c>
      <c r="J6" s="382">
        <f>'Rent Roll'!$H$25*12</f>
        <v>441112.56000000006</v>
      </c>
      <c r="K6" s="382">
        <f>'Rent Roll'!F24</f>
        <v>36095</v>
      </c>
      <c r="L6" s="382">
        <f>'Rent Roll'!J22</f>
        <v>433140</v>
      </c>
      <c r="M6" s="56"/>
      <c r="N6" s="56"/>
      <c r="O6" s="56"/>
      <c r="P6" s="56"/>
      <c r="Q6" s="56"/>
      <c r="R6" s="56"/>
    </row>
    <row r="7" spans="2:18" x14ac:dyDescent="0.15">
      <c r="B7" s="6" t="s">
        <v>385</v>
      </c>
      <c r="C7" s="6"/>
      <c r="D7" s="34"/>
      <c r="E7" s="485">
        <f>'Rent Roll'!G7*'Rent Roll'!G6</f>
        <v>500</v>
      </c>
      <c r="F7" s="386">
        <f>E7*12</f>
        <v>6000</v>
      </c>
      <c r="G7" s="386">
        <f>E7</f>
        <v>500</v>
      </c>
      <c r="H7" s="386">
        <f>G7*12</f>
        <v>6000</v>
      </c>
      <c r="I7" s="177">
        <f>'Rent Roll'!G6*'Rent Roll'!G7</f>
        <v>500</v>
      </c>
      <c r="J7" s="177">
        <f>'Rent Roll'!$G$6*'Rent Roll'!$G$7*12</f>
        <v>6000</v>
      </c>
      <c r="K7" s="177">
        <f>I7</f>
        <v>500</v>
      </c>
      <c r="L7" s="177">
        <f>H7</f>
        <v>6000</v>
      </c>
      <c r="M7" s="56"/>
      <c r="N7" s="56"/>
      <c r="O7" s="56"/>
      <c r="P7" s="56"/>
      <c r="Q7" s="56"/>
      <c r="R7" s="56"/>
    </row>
    <row r="8" spans="2:18" x14ac:dyDescent="0.15">
      <c r="B8" s="4" t="s">
        <v>300</v>
      </c>
      <c r="D8" s="12"/>
      <c r="E8" s="114">
        <f>SUM(E6:E7)</f>
        <v>37259.380000000005</v>
      </c>
      <c r="F8" s="114">
        <f t="shared" ref="F8:H8" si="0">SUM(F6:F7)</f>
        <v>447112.56000000006</v>
      </c>
      <c r="G8" s="114">
        <f t="shared" si="0"/>
        <v>36595</v>
      </c>
      <c r="H8" s="114">
        <f t="shared" si="0"/>
        <v>439140</v>
      </c>
      <c r="I8" s="112">
        <f>SUM(I6:I7)</f>
        <v>37259.380000000005</v>
      </c>
      <c r="J8" s="112">
        <f>SUM(J6:J7)</f>
        <v>447112.56000000006</v>
      </c>
      <c r="K8" s="112">
        <f>SUM(K6:K7)</f>
        <v>36595</v>
      </c>
      <c r="L8" s="112">
        <f t="shared" ref="L8" si="1">SUM(L6:L7)</f>
        <v>439140</v>
      </c>
      <c r="M8" s="40"/>
      <c r="N8" s="40"/>
      <c r="O8" s="40"/>
      <c r="P8" s="40"/>
      <c r="Q8" s="40"/>
      <c r="R8" s="40"/>
    </row>
    <row r="9" spans="2:18" x14ac:dyDescent="0.15">
      <c r="C9" s="7" t="s">
        <v>399</v>
      </c>
      <c r="D9" s="146" t="s">
        <v>400</v>
      </c>
      <c r="E9" s="118"/>
      <c r="F9" s="118"/>
      <c r="G9" s="118"/>
      <c r="H9" s="118"/>
      <c r="I9" s="12"/>
      <c r="J9" s="12"/>
      <c r="K9" s="12"/>
      <c r="L9" s="12"/>
    </row>
    <row r="10" spans="2:18" x14ac:dyDescent="0.15">
      <c r="B10" t="s">
        <v>214</v>
      </c>
      <c r="C10" s="263">
        <f>management_fee</f>
        <v>3.5000000000000003E-2</v>
      </c>
      <c r="D10" s="548">
        <v>3.5000000000000003E-2</v>
      </c>
      <c r="E10" s="552">
        <f>-$D$10*E8</f>
        <v>-1304.0783000000004</v>
      </c>
      <c r="F10" s="552">
        <f t="shared" ref="F10:H10" si="2">-$D$10*F8</f>
        <v>-15648.939600000003</v>
      </c>
      <c r="G10" s="552">
        <f t="shared" si="2"/>
        <v>-1280.825</v>
      </c>
      <c r="H10" s="552">
        <f t="shared" si="2"/>
        <v>-15369.900000000001</v>
      </c>
      <c r="I10" s="112">
        <f>-C10*I8</f>
        <v>-1304.0783000000004</v>
      </c>
      <c r="J10" s="112">
        <f>-$C$10*J$8</f>
        <v>-15648.939600000003</v>
      </c>
      <c r="K10" s="112">
        <f>-$C$10*K$8</f>
        <v>-1280.825</v>
      </c>
      <c r="L10" s="112">
        <f>-$C$10*L$8</f>
        <v>-15369.900000000001</v>
      </c>
      <c r="M10" s="40"/>
      <c r="N10" s="40"/>
      <c r="O10" s="40"/>
      <c r="P10" s="40"/>
      <c r="Q10" s="40"/>
      <c r="R10" s="40"/>
    </row>
    <row r="11" spans="2:18" x14ac:dyDescent="0.15">
      <c r="B11" s="6" t="s">
        <v>135</v>
      </c>
      <c r="C11" s="216">
        <f>vacancy_allowance</f>
        <v>0.04</v>
      </c>
      <c r="D11" s="549">
        <v>0.02</v>
      </c>
      <c r="E11" s="555">
        <f>-$D$11*E8</f>
        <v>-745.18760000000009</v>
      </c>
      <c r="F11" s="555">
        <f t="shared" ref="F11:H11" si="3">-$D$11*F8</f>
        <v>-8942.2512000000006</v>
      </c>
      <c r="G11" s="555">
        <f t="shared" si="3"/>
        <v>-731.9</v>
      </c>
      <c r="H11" s="555">
        <f t="shared" si="3"/>
        <v>-8782.8000000000011</v>
      </c>
      <c r="I11" s="383">
        <f>-$C$11*I6</f>
        <v>-1470.3752000000002</v>
      </c>
      <c r="J11" s="383">
        <f t="shared" ref="J11:L11" si="4">-$C$11*J6</f>
        <v>-17644.502400000001</v>
      </c>
      <c r="K11" s="383">
        <f t="shared" si="4"/>
        <v>-1443.8</v>
      </c>
      <c r="L11" s="383">
        <f t="shared" si="4"/>
        <v>-17325.599999999999</v>
      </c>
      <c r="M11" s="40"/>
      <c r="N11" s="40"/>
      <c r="O11" s="40"/>
      <c r="P11" s="40"/>
      <c r="Q11" s="40"/>
      <c r="R11" s="40"/>
    </row>
    <row r="12" spans="2:18" x14ac:dyDescent="0.15">
      <c r="B12" t="s">
        <v>304</v>
      </c>
      <c r="D12" s="12"/>
      <c r="E12" s="114">
        <f>E8+SUM(E10:E11)</f>
        <v>35210.114100000006</v>
      </c>
      <c r="F12" s="114">
        <f t="shared" ref="F12:H12" si="5">F8+SUM(F10:F11)</f>
        <v>422521.36920000007</v>
      </c>
      <c r="G12" s="114">
        <f t="shared" si="5"/>
        <v>34582.275000000001</v>
      </c>
      <c r="H12" s="114">
        <f t="shared" si="5"/>
        <v>414987.3</v>
      </c>
      <c r="I12" s="112">
        <f>I8+SUM(I10:I11)</f>
        <v>34484.926500000001</v>
      </c>
      <c r="J12" s="112">
        <f>J8+SUM(J10:J11)</f>
        <v>413819.11800000007</v>
      </c>
      <c r="K12" s="112">
        <f>K8+SUM(K10:K11)</f>
        <v>33870.375</v>
      </c>
      <c r="L12" s="112">
        <f t="shared" ref="L12" si="6">L8+SUM(L10:L11)</f>
        <v>406444.5</v>
      </c>
      <c r="M12" s="40"/>
      <c r="N12" s="40"/>
      <c r="O12" s="40"/>
      <c r="P12" s="40"/>
      <c r="Q12" s="40"/>
      <c r="R12" s="40"/>
    </row>
    <row r="13" spans="2:18" x14ac:dyDescent="0.15">
      <c r="D13" s="12"/>
      <c r="E13" s="118"/>
      <c r="F13" s="118"/>
      <c r="G13" s="118"/>
      <c r="H13" s="118"/>
      <c r="I13" s="12"/>
      <c r="J13" s="12"/>
      <c r="K13" s="12"/>
      <c r="L13" s="12"/>
    </row>
    <row r="14" spans="2:18" x14ac:dyDescent="0.15">
      <c r="B14" s="4" t="s">
        <v>217</v>
      </c>
      <c r="C14" s="7" t="s">
        <v>399</v>
      </c>
      <c r="D14" s="146" t="s">
        <v>400</v>
      </c>
      <c r="E14" s="118"/>
      <c r="F14" s="118"/>
      <c r="G14" s="118"/>
      <c r="H14" s="118"/>
      <c r="I14" s="12"/>
      <c r="J14" s="12"/>
      <c r="K14" s="12"/>
      <c r="L14" s="12"/>
    </row>
    <row r="15" spans="2:18" x14ac:dyDescent="0.15">
      <c r="B15" t="s">
        <v>138</v>
      </c>
      <c r="C15" s="1">
        <f>'Main Assumptions'!E36</f>
        <v>21810</v>
      </c>
      <c r="D15" s="546">
        <f>5704.02+3593.39+949.2+9200.21+949.2+1200</f>
        <v>21596.02</v>
      </c>
      <c r="E15" s="114">
        <f>-D15/12</f>
        <v>-1799.6683333333333</v>
      </c>
      <c r="F15" s="114">
        <f>E15*12</f>
        <v>-21596.02</v>
      </c>
      <c r="G15" s="114">
        <f>-D15/12</f>
        <v>-1799.6683333333333</v>
      </c>
      <c r="H15" s="114">
        <f>G15*12</f>
        <v>-21596.02</v>
      </c>
      <c r="I15" s="382">
        <f>-C15/12</f>
        <v>-1817.5</v>
      </c>
      <c r="J15" s="382">
        <f>-C15</f>
        <v>-21810</v>
      </c>
      <c r="K15" s="382">
        <f>I15</f>
        <v>-1817.5</v>
      </c>
      <c r="L15" s="382">
        <f>J15</f>
        <v>-21810</v>
      </c>
      <c r="M15" s="56"/>
      <c r="N15" s="56"/>
      <c r="O15" s="56"/>
      <c r="P15" s="56"/>
      <c r="Q15" s="56"/>
      <c r="R15" s="56"/>
    </row>
    <row r="16" spans="2:18" x14ac:dyDescent="0.15">
      <c r="B16" t="s">
        <v>328</v>
      </c>
      <c r="C16" s="1">
        <f>repair_allowance</f>
        <v>8400</v>
      </c>
      <c r="D16" s="546">
        <v>8400</v>
      </c>
      <c r="E16" s="114">
        <f t="shared" ref="E16:G18" si="7">-D16/12</f>
        <v>-700</v>
      </c>
      <c r="F16" s="114">
        <f t="shared" ref="F16:H18" si="8">E16*12</f>
        <v>-8400</v>
      </c>
      <c r="G16" s="114">
        <f t="shared" ref="G16:G18" si="9">-D16/12</f>
        <v>-700</v>
      </c>
      <c r="H16" s="114">
        <f t="shared" si="8"/>
        <v>-8400</v>
      </c>
      <c r="I16" s="382">
        <f>-C16/12</f>
        <v>-700</v>
      </c>
      <c r="J16" s="382">
        <f>-C16</f>
        <v>-8400</v>
      </c>
      <c r="K16" s="382">
        <f t="shared" ref="K16:K18" si="10">I16</f>
        <v>-700</v>
      </c>
      <c r="L16" s="382">
        <f t="shared" ref="L16:L18" si="11">J16</f>
        <v>-8400</v>
      </c>
      <c r="M16" s="56"/>
      <c r="N16" s="56"/>
      <c r="O16" s="56"/>
      <c r="P16" s="56"/>
      <c r="Q16" s="56"/>
      <c r="R16" s="56"/>
    </row>
    <row r="17" spans="2:18" x14ac:dyDescent="0.15">
      <c r="B17" t="s">
        <v>140</v>
      </c>
      <c r="C17" s="56">
        <f>insurance</f>
        <v>7100</v>
      </c>
      <c r="D17" s="546">
        <v>7053.48</v>
      </c>
      <c r="E17" s="114">
        <f t="shared" si="7"/>
        <v>-587.79</v>
      </c>
      <c r="F17" s="114">
        <f t="shared" si="8"/>
        <v>-7053.48</v>
      </c>
      <c r="G17" s="114">
        <f t="shared" si="9"/>
        <v>-587.79</v>
      </c>
      <c r="H17" s="114">
        <f t="shared" si="8"/>
        <v>-7053.48</v>
      </c>
      <c r="I17" s="382">
        <f>-C17/12</f>
        <v>-591.66666666666663</v>
      </c>
      <c r="J17" s="382">
        <f>-C17</f>
        <v>-7100</v>
      </c>
      <c r="K17" s="382">
        <f t="shared" si="10"/>
        <v>-591.66666666666663</v>
      </c>
      <c r="L17" s="382">
        <f t="shared" si="11"/>
        <v>-7100</v>
      </c>
      <c r="M17" s="56"/>
      <c r="N17" s="56"/>
      <c r="O17" s="56"/>
      <c r="P17" s="56"/>
      <c r="Q17" s="56"/>
      <c r="R17" s="56"/>
    </row>
    <row r="18" spans="2:18" x14ac:dyDescent="0.15">
      <c r="B18" s="6" t="s">
        <v>308</v>
      </c>
      <c r="C18" s="54">
        <f>taxes</f>
        <v>54259.650900000001</v>
      </c>
      <c r="D18" s="547">
        <f>17356</f>
        <v>17356</v>
      </c>
      <c r="E18" s="556">
        <f t="shared" si="7"/>
        <v>-1446.3333333333333</v>
      </c>
      <c r="F18" s="556">
        <f t="shared" si="8"/>
        <v>-17356</v>
      </c>
      <c r="G18" s="556">
        <f t="shared" si="9"/>
        <v>-1446.3333333333333</v>
      </c>
      <c r="H18" s="556">
        <f t="shared" si="8"/>
        <v>-17356</v>
      </c>
      <c r="I18" s="177">
        <f>-C18/12</f>
        <v>-4521.6375749999997</v>
      </c>
      <c r="J18" s="177">
        <f>-C18</f>
        <v>-54259.650900000001</v>
      </c>
      <c r="K18" s="177">
        <f t="shared" si="10"/>
        <v>-4521.6375749999997</v>
      </c>
      <c r="L18" s="177">
        <f t="shared" si="11"/>
        <v>-54259.650900000001</v>
      </c>
      <c r="M18" s="56"/>
      <c r="N18" s="56"/>
      <c r="O18" s="56"/>
      <c r="P18" s="56"/>
      <c r="Q18" s="56"/>
      <c r="R18" s="56"/>
    </row>
    <row r="19" spans="2:18" x14ac:dyDescent="0.15">
      <c r="B19" s="4" t="s">
        <v>309</v>
      </c>
      <c r="D19" s="12"/>
      <c r="E19" s="112">
        <f t="shared" ref="E19:H19" si="12">SUM(E15:E18)</f>
        <v>-4533.7916666666661</v>
      </c>
      <c r="F19" s="112">
        <f t="shared" si="12"/>
        <v>-54405.5</v>
      </c>
      <c r="G19" s="112">
        <f t="shared" si="12"/>
        <v>-4533.7916666666661</v>
      </c>
      <c r="H19" s="112">
        <f t="shared" si="12"/>
        <v>-54405.5</v>
      </c>
      <c r="I19" s="112">
        <f>SUM(I15:I18)</f>
        <v>-7630.8042416666667</v>
      </c>
      <c r="J19" s="112">
        <f>SUM(J15:J18)</f>
        <v>-91569.650900000008</v>
      </c>
      <c r="K19" s="112">
        <f>SUM(K15:K18)</f>
        <v>-7630.8042416666667</v>
      </c>
      <c r="L19" s="112">
        <f>SUM(L15:L18)</f>
        <v>-91569.650900000008</v>
      </c>
      <c r="M19" s="40"/>
      <c r="N19" s="40"/>
      <c r="O19" s="40"/>
      <c r="P19" s="40"/>
      <c r="Q19" s="40"/>
      <c r="R19" s="40"/>
    </row>
    <row r="20" spans="2:18" x14ac:dyDescent="0.15">
      <c r="D20" s="12"/>
      <c r="E20" s="118"/>
      <c r="F20" s="118"/>
      <c r="G20" s="118"/>
      <c r="H20" s="118"/>
      <c r="I20" s="12"/>
      <c r="J20" s="12"/>
      <c r="K20" s="12"/>
      <c r="L20" s="12"/>
    </row>
    <row r="21" spans="2:18" ht="12" thickBot="1" x14ac:dyDescent="0.2">
      <c r="B21" s="368" t="s">
        <v>99</v>
      </c>
      <c r="C21" s="368"/>
      <c r="D21" s="385"/>
      <c r="E21" s="384">
        <f>E12+E19</f>
        <v>30676.322433333342</v>
      </c>
      <c r="F21" s="384">
        <f t="shared" ref="E21:H21" si="13">F12+F19</f>
        <v>368115.86920000007</v>
      </c>
      <c r="G21" s="384">
        <f t="shared" si="13"/>
        <v>30048.483333333337</v>
      </c>
      <c r="H21" s="384">
        <f t="shared" si="13"/>
        <v>360581.8</v>
      </c>
      <c r="I21" s="384">
        <f>I12+I19</f>
        <v>26854.122258333337</v>
      </c>
      <c r="J21" s="384">
        <f>J12+J19</f>
        <v>322249.46710000007</v>
      </c>
      <c r="K21" s="384">
        <f>K12+K19</f>
        <v>26239.570758333335</v>
      </c>
      <c r="L21" s="384">
        <f>L12+L19</f>
        <v>314874.84909999999</v>
      </c>
      <c r="M21" s="353"/>
      <c r="N21" s="353"/>
      <c r="O21" s="353"/>
      <c r="P21" s="353"/>
      <c r="Q21" s="353"/>
      <c r="R21" s="353"/>
    </row>
    <row r="22" spans="2:18" ht="12" thickTop="1" x14ac:dyDescent="0.15"/>
    <row r="23" spans="2:18" x14ac:dyDescent="0.15">
      <c r="B23" s="4"/>
      <c r="C23" s="40"/>
      <c r="H23" s="55"/>
    </row>
    <row r="24" spans="2:18" x14ac:dyDescent="0.15">
      <c r="C24" s="263"/>
      <c r="E24" s="55"/>
      <c r="F24" s="40"/>
      <c r="G24" s="40"/>
      <c r="H24" s="40"/>
      <c r="I24" s="40"/>
      <c r="J24" s="40"/>
      <c r="K24" s="40"/>
      <c r="L24" s="40"/>
      <c r="M24" s="40"/>
      <c r="N24" s="40"/>
      <c r="O24" s="40"/>
      <c r="P24" s="40"/>
      <c r="Q24" s="40"/>
      <c r="R24" s="40"/>
    </row>
    <row r="26" spans="2:18" x14ac:dyDescent="0.15">
      <c r="F26" s="40"/>
      <c r="G26" s="40"/>
      <c r="H26" s="40"/>
    </row>
    <row r="27" spans="2:18" ht="14" x14ac:dyDescent="0.2">
      <c r="B27" s="359" t="s">
        <v>311</v>
      </c>
    </row>
    <row r="29" spans="2:18" x14ac:dyDescent="0.15">
      <c r="B29" t="s">
        <v>312</v>
      </c>
    </row>
  </sheetData>
  <mergeCells count="6">
    <mergeCell ref="K3:L3"/>
    <mergeCell ref="I3:J3"/>
    <mergeCell ref="E2:H2"/>
    <mergeCell ref="I2:L2"/>
    <mergeCell ref="E3:F3"/>
    <mergeCell ref="G3:H3"/>
  </mergeCells>
  <phoneticPr fontId="13" type="noConversion"/>
  <pageMargins left="0.7" right="0.7" top="0.75" bottom="0.75" header="0.3" footer="0.3"/>
  <ignoredErrors>
    <ignoredError sqref="G6:G7 G15:G18" formula="1"/>
  </ignoredError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DC9C8-054F-B149-A9B1-C1241A31F582}">
  <sheetPr codeName="Sheet1">
    <tabColor rgb="FFFFFF00"/>
  </sheetPr>
  <dimension ref="B2:U69"/>
  <sheetViews>
    <sheetView showGridLines="0" zoomScale="120" zoomScaleNormal="120" workbookViewId="0">
      <selection activeCell="K13" sqref="K13"/>
    </sheetView>
  </sheetViews>
  <sheetFormatPr baseColWidth="10" defaultRowHeight="16" customHeight="1" x14ac:dyDescent="0.15"/>
  <cols>
    <col min="1" max="1" width="10.75" style="275"/>
    <col min="2" max="3" width="17" style="275" customWidth="1"/>
    <col min="4" max="4" width="19.5" style="275" bestFit="1" customWidth="1"/>
    <col min="5" max="5" width="19.25" style="275" bestFit="1" customWidth="1"/>
    <col min="6" max="6" width="21.5" style="275" customWidth="1"/>
    <col min="7" max="7" width="91.25" style="275" customWidth="1"/>
    <col min="8" max="8" width="8.5" style="275" customWidth="1"/>
    <col min="9" max="9" width="13.25" style="275" customWidth="1"/>
    <col min="10" max="10" width="23.5" style="275" bestFit="1" customWidth="1"/>
    <col min="11" max="11" width="16" style="275" bestFit="1" customWidth="1"/>
    <col min="12" max="12" width="18.5" style="275" customWidth="1"/>
    <col min="13" max="13" width="10.75" style="275" customWidth="1"/>
    <col min="14" max="14" width="12.75" style="275" customWidth="1"/>
    <col min="15" max="15" width="10.75" style="275" customWidth="1"/>
    <col min="16" max="16" width="18.5" style="275" bestFit="1" customWidth="1"/>
    <col min="17" max="17" width="14.75" style="275" customWidth="1"/>
    <col min="18" max="18" width="16.75" style="275" customWidth="1"/>
    <col min="19" max="19" width="16.5" style="275" bestFit="1" customWidth="1"/>
    <col min="20" max="20" width="10.75" style="275"/>
    <col min="21" max="21" width="14.75" style="275" bestFit="1" customWidth="1"/>
    <col min="22" max="16384" width="10.75" style="275"/>
  </cols>
  <sheetData>
    <row r="2" spans="2:21" ht="16" customHeight="1" x14ac:dyDescent="0.15">
      <c r="B2" s="274" t="s">
        <v>207</v>
      </c>
    </row>
    <row r="3" spans="2:21" ht="16" customHeight="1" x14ac:dyDescent="0.15">
      <c r="B3" s="274"/>
    </row>
    <row r="4" spans="2:21" ht="16" customHeight="1" x14ac:dyDescent="0.15">
      <c r="B4" s="276" t="s">
        <v>30</v>
      </c>
      <c r="C4" s="276"/>
      <c r="D4" s="277">
        <f ca="1">'Investors Breakdown'!E4</f>
        <v>7.3946443200111414E-2</v>
      </c>
      <c r="I4" s="278"/>
      <c r="J4" s="278"/>
      <c r="K4" s="278"/>
      <c r="L4" s="278"/>
      <c r="M4" s="278"/>
      <c r="N4" s="278"/>
      <c r="O4" s="278"/>
      <c r="P4" s="278"/>
      <c r="Q4" s="278"/>
      <c r="R4" s="278"/>
      <c r="S4" s="278"/>
    </row>
    <row r="5" spans="2:21" ht="16" customHeight="1" x14ac:dyDescent="0.15">
      <c r="B5" s="279" t="s">
        <v>31</v>
      </c>
      <c r="C5" s="279"/>
      <c r="D5" s="280">
        <f ca="1">'Investors Breakdown'!E5</f>
        <v>3.0374821625155675</v>
      </c>
      <c r="I5" s="273"/>
      <c r="J5" s="273"/>
      <c r="K5" s="273"/>
      <c r="L5" s="273"/>
      <c r="M5" s="273"/>
      <c r="N5" s="273"/>
      <c r="O5" s="273"/>
      <c r="P5" s="273"/>
      <c r="Q5" s="273"/>
      <c r="R5" s="273"/>
      <c r="S5" s="273"/>
    </row>
    <row r="6" spans="2:21" ht="16" customHeight="1" x14ac:dyDescent="0.15">
      <c r="B6" s="281" t="s">
        <v>32</v>
      </c>
      <c r="C6" s="281"/>
      <c r="D6" s="282">
        <f ca="1">'Investors Breakdown'!E6</f>
        <v>168947.22704712953</v>
      </c>
      <c r="G6" s="283"/>
      <c r="I6" s="273"/>
      <c r="J6" s="273"/>
      <c r="K6" s="273"/>
      <c r="L6" s="273"/>
      <c r="M6" s="273"/>
      <c r="N6" s="273"/>
      <c r="O6" s="273"/>
      <c r="P6" s="284"/>
      <c r="Q6" s="285"/>
      <c r="R6" s="285"/>
      <c r="S6" s="286"/>
      <c r="U6" s="287"/>
    </row>
    <row r="7" spans="2:21" ht="16" customHeight="1" x14ac:dyDescent="0.15">
      <c r="B7" s="288" t="s">
        <v>33</v>
      </c>
      <c r="C7" s="288"/>
      <c r="D7" s="289">
        <f ca="1">'Investors Breakdown'!E7</f>
        <v>7.6174494624137862E-2</v>
      </c>
      <c r="I7" s="273"/>
      <c r="J7" s="273"/>
      <c r="K7" s="273"/>
      <c r="L7" s="273"/>
      <c r="M7" s="273"/>
      <c r="N7" s="273"/>
      <c r="O7" s="273"/>
      <c r="P7" s="284"/>
      <c r="Q7" s="290"/>
      <c r="R7" s="290"/>
      <c r="S7" s="286"/>
    </row>
    <row r="8" spans="2:21" ht="16" customHeight="1" x14ac:dyDescent="0.15">
      <c r="B8" s="288" t="s">
        <v>34</v>
      </c>
      <c r="C8" s="288"/>
      <c r="D8" s="291">
        <f ca="1">'Investors Breakdown'!E8</f>
        <v>2.2154507127403416</v>
      </c>
      <c r="I8" s="273"/>
      <c r="J8" s="273"/>
      <c r="K8" s="273"/>
      <c r="L8" s="273"/>
      <c r="M8" s="273"/>
      <c r="N8" s="273"/>
      <c r="O8" s="273"/>
      <c r="P8" s="284"/>
      <c r="Q8" s="290"/>
      <c r="R8" s="290"/>
      <c r="S8" s="286"/>
    </row>
    <row r="9" spans="2:21" ht="16" customHeight="1" x14ac:dyDescent="0.15">
      <c r="B9" s="292" t="s">
        <v>35</v>
      </c>
      <c r="C9" s="292"/>
      <c r="D9" s="293">
        <f ca="1">'Investors Breakdown'!E9</f>
        <v>457766.26516234316</v>
      </c>
      <c r="I9" s="273"/>
      <c r="J9" s="273"/>
      <c r="K9" s="273"/>
      <c r="L9" s="273"/>
      <c r="M9" s="273"/>
      <c r="N9" s="273"/>
      <c r="O9" s="273"/>
      <c r="P9" s="284"/>
      <c r="Q9" s="285"/>
      <c r="R9" s="285"/>
      <c r="S9" s="286"/>
    </row>
    <row r="10" spans="2:21" ht="16" customHeight="1" x14ac:dyDescent="0.15">
      <c r="B10" s="294"/>
      <c r="C10" s="294"/>
      <c r="D10" s="295"/>
      <c r="I10" s="273"/>
      <c r="J10" s="273"/>
      <c r="K10" s="273"/>
      <c r="L10" s="273"/>
      <c r="M10" s="273"/>
      <c r="N10" s="273"/>
      <c r="O10" s="273"/>
      <c r="P10" s="284"/>
      <c r="Q10" s="290"/>
      <c r="R10" s="290"/>
      <c r="S10" s="286"/>
    </row>
    <row r="11" spans="2:21" ht="16" customHeight="1" x14ac:dyDescent="0.15">
      <c r="B11" s="296" t="s">
        <v>210</v>
      </c>
      <c r="C11" s="297"/>
      <c r="D11" s="297"/>
      <c r="E11" s="297"/>
      <c r="F11" s="297" t="s">
        <v>232</v>
      </c>
      <c r="G11" s="298"/>
      <c r="H11" s="299"/>
      <c r="N11" s="273"/>
      <c r="O11" s="273"/>
      <c r="P11" s="284"/>
      <c r="Q11" s="290"/>
      <c r="R11" s="290"/>
      <c r="S11" s="286"/>
    </row>
    <row r="12" spans="2:21" ht="16" customHeight="1" x14ac:dyDescent="0.15">
      <c r="B12" s="300" t="s">
        <v>0</v>
      </c>
      <c r="E12" s="301">
        <f>'Rent Roll'!K6</f>
        <v>5985000</v>
      </c>
      <c r="F12" s="401" t="s">
        <v>231</v>
      </c>
      <c r="G12" s="302"/>
      <c r="H12" s="303"/>
      <c r="N12" s="273"/>
      <c r="O12" s="273"/>
      <c r="P12" s="284"/>
      <c r="Q12" s="290"/>
      <c r="R12" s="290"/>
      <c r="S12" s="286"/>
    </row>
    <row r="13" spans="2:21" ht="16" customHeight="1" x14ac:dyDescent="0.15">
      <c r="B13" s="300" t="s">
        <v>310</v>
      </c>
      <c r="D13" s="479">
        <v>0.75</v>
      </c>
      <c r="E13" s="352">
        <f>D13*purchase_price</f>
        <v>4488750</v>
      </c>
      <c r="F13" s="401"/>
      <c r="G13" s="302"/>
      <c r="H13" s="303"/>
      <c r="N13" s="273"/>
      <c r="O13" s="273"/>
      <c r="P13" s="284"/>
      <c r="Q13" s="290"/>
      <c r="R13" s="290"/>
      <c r="S13" s="286"/>
    </row>
    <row r="14" spans="2:21" ht="16" customHeight="1" x14ac:dyDescent="0.15">
      <c r="B14" s="300" t="s">
        <v>1</v>
      </c>
      <c r="E14" s="304">
        <v>46266</v>
      </c>
      <c r="F14" s="402"/>
      <c r="G14" s="305"/>
      <c r="N14" s="273"/>
      <c r="O14" s="273"/>
      <c r="P14" s="284"/>
      <c r="Q14" s="290"/>
      <c r="R14" s="290"/>
      <c r="S14" s="286"/>
    </row>
    <row r="15" spans="2:21" ht="16" customHeight="1" x14ac:dyDescent="0.15">
      <c r="B15" s="306" t="s">
        <v>2</v>
      </c>
      <c r="C15" s="294"/>
      <c r="D15" s="407">
        <v>0.04</v>
      </c>
      <c r="E15" s="307">
        <f>ROUNDUP(D15*E12,-2)</f>
        <v>239400</v>
      </c>
      <c r="F15" s="403" t="s">
        <v>234</v>
      </c>
      <c r="G15" s="308"/>
      <c r="N15" s="273"/>
      <c r="O15" s="273"/>
      <c r="P15" s="284"/>
      <c r="Q15" s="290"/>
      <c r="R15" s="290"/>
      <c r="S15" s="286"/>
    </row>
    <row r="16" spans="2:21" ht="16" customHeight="1" x14ac:dyDescent="0.15">
      <c r="F16" s="268"/>
      <c r="N16" s="273"/>
      <c r="O16" s="273"/>
      <c r="P16" s="284"/>
      <c r="Q16" s="290"/>
      <c r="R16" s="290"/>
      <c r="S16" s="286"/>
    </row>
    <row r="17" spans="2:21" ht="16" customHeight="1" x14ac:dyDescent="0.15">
      <c r="B17" s="296" t="s">
        <v>211</v>
      </c>
      <c r="C17" s="297"/>
      <c r="D17" s="309"/>
      <c r="E17" s="405">
        <f>purchase_price+closing_costs</f>
        <v>6224400</v>
      </c>
      <c r="F17" s="273"/>
      <c r="N17" s="273"/>
      <c r="O17" s="273"/>
      <c r="P17" s="284"/>
      <c r="Q17" s="290"/>
      <c r="R17" s="290"/>
      <c r="S17" s="286"/>
    </row>
    <row r="18" spans="2:21" ht="16" customHeight="1" x14ac:dyDescent="0.15">
      <c r="B18" s="306" t="s">
        <v>212</v>
      </c>
      <c r="C18" s="294"/>
      <c r="D18" s="294"/>
      <c r="E18" s="404">
        <f>E17/'Rent Roll'!C7</f>
        <v>444600</v>
      </c>
      <c r="N18" s="273"/>
      <c r="O18" s="273"/>
      <c r="P18" s="284"/>
      <c r="Q18" s="290"/>
      <c r="R18" s="290"/>
      <c r="S18" s="286"/>
    </row>
    <row r="19" spans="2:21" ht="16" customHeight="1" x14ac:dyDescent="0.15">
      <c r="N19" s="273"/>
      <c r="O19" s="273"/>
      <c r="P19" s="284"/>
      <c r="Q19" s="290"/>
      <c r="R19" s="290"/>
      <c r="S19" s="286"/>
    </row>
    <row r="20" spans="2:21" ht="16" customHeight="1" x14ac:dyDescent="0.15">
      <c r="B20" s="296" t="s">
        <v>3</v>
      </c>
      <c r="C20" s="297"/>
      <c r="D20" s="297"/>
      <c r="E20" s="297"/>
      <c r="F20" s="297" t="s">
        <v>232</v>
      </c>
      <c r="G20" s="298"/>
      <c r="H20" s="303"/>
      <c r="N20" s="273"/>
      <c r="O20" s="273"/>
      <c r="P20" s="284"/>
      <c r="Q20" s="290"/>
      <c r="R20" s="290"/>
      <c r="S20" s="286"/>
    </row>
    <row r="21" spans="2:21" ht="16" customHeight="1" x14ac:dyDescent="0.15">
      <c r="B21" s="300" t="s">
        <v>4</v>
      </c>
      <c r="E21" s="301">
        <v>400000</v>
      </c>
      <c r="F21" s="323" t="s">
        <v>387</v>
      </c>
      <c r="G21" s="305"/>
      <c r="N21" s="273"/>
      <c r="O21" s="273"/>
      <c r="P21" s="284"/>
      <c r="Q21" s="290"/>
      <c r="R21" s="290"/>
      <c r="S21" s="286"/>
    </row>
    <row r="22" spans="2:21" ht="16" customHeight="1" x14ac:dyDescent="0.15">
      <c r="B22" s="300" t="s">
        <v>233</v>
      </c>
      <c r="E22" s="301">
        <v>3</v>
      </c>
      <c r="F22" s="399"/>
      <c r="G22" s="302"/>
      <c r="N22" s="310"/>
      <c r="O22" s="311"/>
      <c r="P22" s="312"/>
      <c r="Q22" s="312"/>
      <c r="R22" s="312"/>
      <c r="S22" s="312"/>
    </row>
    <row r="23" spans="2:21" ht="16" customHeight="1" x14ac:dyDescent="0.15">
      <c r="B23" s="306" t="s">
        <v>5</v>
      </c>
      <c r="C23" s="294"/>
      <c r="D23" s="294"/>
      <c r="E23" s="307">
        <v>100000</v>
      </c>
      <c r="F23" s="400" t="s">
        <v>240</v>
      </c>
      <c r="G23" s="308"/>
      <c r="U23" s="270"/>
    </row>
    <row r="24" spans="2:21" ht="16" customHeight="1" x14ac:dyDescent="0.15">
      <c r="F24" s="268"/>
    </row>
    <row r="25" spans="2:21" ht="16" customHeight="1" x14ac:dyDescent="0.15">
      <c r="B25" s="296" t="s">
        <v>6</v>
      </c>
      <c r="C25" s="297"/>
      <c r="D25" s="309"/>
      <c r="E25" s="405">
        <f>E23+E21+E15+E12</f>
        <v>6724400</v>
      </c>
      <c r="F25" s="273"/>
    </row>
    <row r="27" spans="2:21" ht="16" customHeight="1" x14ac:dyDescent="0.15">
      <c r="B27" s="330" t="s">
        <v>101</v>
      </c>
      <c r="C27" s="331"/>
      <c r="D27" s="331"/>
      <c r="E27" s="331"/>
      <c r="F27" s="331" t="s">
        <v>232</v>
      </c>
      <c r="G27" s="332"/>
      <c r="I27" s="330" t="s">
        <v>307</v>
      </c>
      <c r="J27" s="331"/>
      <c r="K27" s="331"/>
      <c r="L27" s="331"/>
      <c r="M27" s="331"/>
      <c r="N27" s="332"/>
    </row>
    <row r="28" spans="2:21" ht="16" customHeight="1" x14ac:dyDescent="0.15">
      <c r="B28" s="361" t="s">
        <v>313</v>
      </c>
      <c r="C28" s="322"/>
      <c r="D28" s="278"/>
      <c r="E28" s="278"/>
      <c r="F28" s="278"/>
      <c r="G28" s="362"/>
      <c r="I28" s="337" t="s">
        <v>257</v>
      </c>
      <c r="J28" s="338"/>
      <c r="K28" s="339">
        <v>5710</v>
      </c>
      <c r="L28" s="542" t="s">
        <v>401</v>
      </c>
      <c r="M28" s="340"/>
      <c r="N28" s="341"/>
    </row>
    <row r="29" spans="2:21" ht="16" customHeight="1" x14ac:dyDescent="0.15">
      <c r="B29" s="306" t="s">
        <v>15</v>
      </c>
      <c r="C29" s="294"/>
      <c r="D29" s="294"/>
      <c r="E29" s="236">
        <v>0.03</v>
      </c>
      <c r="F29" s="513" t="s">
        <v>315</v>
      </c>
      <c r="G29" s="514"/>
      <c r="I29" s="322" t="s">
        <v>258</v>
      </c>
      <c r="J29" s="278"/>
      <c r="K29" s="344">
        <v>3600</v>
      </c>
      <c r="L29" s="543" t="s">
        <v>402</v>
      </c>
      <c r="M29" s="268"/>
      <c r="N29" s="305"/>
    </row>
    <row r="30" spans="2:21" ht="16" customHeight="1" x14ac:dyDescent="0.15">
      <c r="B30" s="324" t="s">
        <v>314</v>
      </c>
      <c r="E30" s="363"/>
      <c r="F30" s="392"/>
      <c r="G30" s="393"/>
      <c r="I30" s="322" t="s">
        <v>259</v>
      </c>
      <c r="J30" s="278"/>
      <c r="K30" s="344">
        <v>1000</v>
      </c>
      <c r="L30" s="543" t="s">
        <v>403</v>
      </c>
      <c r="M30" s="268"/>
      <c r="N30" s="305"/>
    </row>
    <row r="31" spans="2:21" ht="16" customHeight="1" x14ac:dyDescent="0.15">
      <c r="B31" s="410" t="s">
        <v>18</v>
      </c>
      <c r="C31" s="411"/>
      <c r="D31" s="411"/>
      <c r="E31" s="412">
        <v>3.5000000000000003E-2</v>
      </c>
      <c r="F31" s="413" t="s">
        <v>389</v>
      </c>
      <c r="G31" s="414"/>
      <c r="I31" s="322" t="s">
        <v>260</v>
      </c>
      <c r="J31" s="278"/>
      <c r="K31" s="344">
        <v>9300</v>
      </c>
      <c r="L31" s="544" t="s">
        <v>404</v>
      </c>
      <c r="M31" s="268"/>
      <c r="N31" s="305"/>
    </row>
    <row r="32" spans="2:21" ht="16" customHeight="1" x14ac:dyDescent="0.15">
      <c r="B32" s="306" t="s">
        <v>303</v>
      </c>
      <c r="C32" s="294"/>
      <c r="D32" s="294"/>
      <c r="E32" s="236">
        <v>0.04</v>
      </c>
      <c r="F32" s="415" t="str">
        <f>""&amp;ROUND(E32*365,0)&amp;" days vacant per year. Represents the current majority MTM leases in the building"</f>
        <v>15 days vacant per year. Represents the current majority MTM leases in the building</v>
      </c>
      <c r="G32" s="416"/>
      <c r="I32" s="345" t="s">
        <v>261</v>
      </c>
      <c r="J32" s="299"/>
      <c r="K32" s="344">
        <v>1000</v>
      </c>
      <c r="L32" s="544" t="s">
        <v>403</v>
      </c>
      <c r="N32" s="305"/>
    </row>
    <row r="33" spans="2:18" ht="16" customHeight="1" x14ac:dyDescent="0.15">
      <c r="B33" s="300" t="s">
        <v>305</v>
      </c>
      <c r="E33" s="234">
        <v>2.5000000000000001E-2</v>
      </c>
      <c r="F33" s="392" t="s">
        <v>352</v>
      </c>
      <c r="G33" s="393"/>
      <c r="I33" s="346" t="s">
        <v>262</v>
      </c>
      <c r="J33" s="347"/>
      <c r="K33" s="348">
        <v>1200</v>
      </c>
      <c r="L33" s="545" t="s">
        <v>405</v>
      </c>
      <c r="M33" s="294"/>
      <c r="N33" s="308"/>
    </row>
    <row r="34" spans="2:18" ht="16" customHeight="1" x14ac:dyDescent="0.15">
      <c r="B34" s="300" t="s">
        <v>329</v>
      </c>
      <c r="E34" s="235">
        <v>8400</v>
      </c>
      <c r="F34" s="392" t="str">
        <f>"Represents a "&amp;ROUND(repair_allowance/'Rent Roll'!$C$7,0)&amp;" per unit annually. A little higher considering the property is 67 years old"</f>
        <v>Represents a 600 per unit annually. A little higher considering the property is 67 years old</v>
      </c>
      <c r="G34" s="393"/>
      <c r="I34" s="306" t="s">
        <v>157</v>
      </c>
      <c r="J34" s="294"/>
      <c r="K34" s="349">
        <f>SUM(K28:K33)</f>
        <v>21810</v>
      </c>
      <c r="L34" s="294"/>
      <c r="M34" s="294"/>
      <c r="N34" s="308"/>
    </row>
    <row r="35" spans="2:18" ht="16" customHeight="1" x14ac:dyDescent="0.15">
      <c r="B35" s="300" t="s">
        <v>17</v>
      </c>
      <c r="E35" s="235">
        <v>7100</v>
      </c>
      <c r="F35" s="392" t="s">
        <v>388</v>
      </c>
      <c r="G35" s="305"/>
    </row>
    <row r="36" spans="2:18" ht="16" customHeight="1" x14ac:dyDescent="0.15">
      <c r="B36" s="300" t="s">
        <v>306</v>
      </c>
      <c r="E36" s="237">
        <f>K34</f>
        <v>21810</v>
      </c>
      <c r="F36" s="299"/>
      <c r="G36" s="305"/>
    </row>
    <row r="37" spans="2:18" ht="16" customHeight="1" x14ac:dyDescent="0.15">
      <c r="B37" s="300" t="s">
        <v>16</v>
      </c>
      <c r="D37" s="406">
        <f>F63</f>
        <v>1.208792E-2</v>
      </c>
      <c r="E37" s="235">
        <f>D37*(purchase_price*75%)</f>
        <v>54259.650900000001</v>
      </c>
      <c r="F37" s="394" t="str">
        <f>"Assessed value estimated to be "&amp;D13*100&amp;"% of purchase price"</f>
        <v>Assessed value estimated to be 75% of purchase price</v>
      </c>
      <c r="G37" s="395"/>
    </row>
    <row r="38" spans="2:18" ht="16" customHeight="1" x14ac:dyDescent="0.15">
      <c r="B38" s="300" t="s">
        <v>319</v>
      </c>
      <c r="D38" s="406"/>
      <c r="E38" s="369">
        <v>0.02</v>
      </c>
      <c r="F38" s="394"/>
      <c r="G38" s="395"/>
    </row>
    <row r="39" spans="2:18" ht="16" customHeight="1" x14ac:dyDescent="0.15">
      <c r="B39" s="306" t="s">
        <v>219</v>
      </c>
      <c r="C39" s="294"/>
      <c r="D39" s="294"/>
      <c r="E39" s="365">
        <v>0</v>
      </c>
      <c r="F39" s="396" t="s">
        <v>327</v>
      </c>
      <c r="G39" s="397"/>
    </row>
    <row r="40" spans="2:18" ht="16" customHeight="1" x14ac:dyDescent="0.15">
      <c r="B40" s="324" t="s">
        <v>316</v>
      </c>
      <c r="C40" s="325"/>
      <c r="D40" s="325"/>
      <c r="E40" s="366"/>
      <c r="F40" s="398"/>
      <c r="G40" s="364"/>
      <c r="I40" s="273"/>
      <c r="J40" s="273"/>
      <c r="K40" s="273"/>
      <c r="L40" s="273"/>
    </row>
    <row r="41" spans="2:18" ht="16" customHeight="1" x14ac:dyDescent="0.15">
      <c r="B41" s="306" t="s">
        <v>19</v>
      </c>
      <c r="C41" s="294"/>
      <c r="D41" s="294"/>
      <c r="E41" s="236">
        <v>7.0000000000000007E-2</v>
      </c>
      <c r="F41" s="391" t="s">
        <v>256</v>
      </c>
      <c r="G41" s="248"/>
      <c r="I41" s="273"/>
      <c r="J41" s="273"/>
      <c r="K41" s="273"/>
      <c r="L41" s="273"/>
    </row>
    <row r="42" spans="2:18" ht="16" customHeight="1" x14ac:dyDescent="0.15">
      <c r="I42" s="273"/>
      <c r="J42" s="273"/>
      <c r="K42" s="273"/>
      <c r="L42" s="273"/>
    </row>
    <row r="43" spans="2:18" ht="16" customHeight="1" x14ac:dyDescent="0.15">
      <c r="B43" s="296" t="s">
        <v>7</v>
      </c>
      <c r="C43" s="297"/>
      <c r="D43" s="297"/>
      <c r="E43" s="297"/>
      <c r="F43" s="297" t="s">
        <v>232</v>
      </c>
      <c r="G43" s="298"/>
      <c r="I43" s="296" t="s">
        <v>20</v>
      </c>
      <c r="J43" s="297"/>
      <c r="K43" s="297"/>
      <c r="L43" s="297"/>
      <c r="M43" s="298"/>
    </row>
    <row r="44" spans="2:18" ht="16" customHeight="1" x14ac:dyDescent="0.15">
      <c r="B44" s="300" t="s">
        <v>334</v>
      </c>
      <c r="E44" s="429">
        <f>E45+E46</f>
        <v>2519684</v>
      </c>
      <c r="F44" s="424" t="str">
        <f>"Equity Investment  "&amp;ROUND(L44*100,2)&amp;"% of Total Project Cost"</f>
        <v>Equity Investment  34.78% of Total Project Cost</v>
      </c>
      <c r="G44" s="316"/>
      <c r="I44" s="300" t="s">
        <v>21</v>
      </c>
      <c r="L44" s="313">
        <f>equity_invested/M47</f>
        <v>0.34782644707046467</v>
      </c>
      <c r="M44" s="314">
        <f>E44</f>
        <v>2519684</v>
      </c>
      <c r="R44" s="268"/>
    </row>
    <row r="45" spans="2:18" ht="16" customHeight="1" x14ac:dyDescent="0.15">
      <c r="B45" s="300" t="s">
        <v>333</v>
      </c>
      <c r="E45" s="235">
        <v>2000000</v>
      </c>
      <c r="G45" s="316"/>
      <c r="I45" s="300" t="s">
        <v>22</v>
      </c>
      <c r="L45" s="313">
        <f>1-L44</f>
        <v>0.65217355292953538</v>
      </c>
      <c r="M45" s="314">
        <f>E25-E45</f>
        <v>4724400</v>
      </c>
    </row>
    <row r="46" spans="2:18" ht="16" customHeight="1" x14ac:dyDescent="0.15">
      <c r="B46" s="300" t="s">
        <v>335</v>
      </c>
      <c r="D46" s="525">
        <v>2</v>
      </c>
      <c r="E46" s="428">
        <f>(interest_rate*(E25-E45))*D46</f>
        <v>519684</v>
      </c>
      <c r="F46" s="275" t="str">
        <f>"Equal to "&amp;D46&amp;"-yr of interest"</f>
        <v>Equal to 2-yr of interest</v>
      </c>
      <c r="G46" s="305"/>
      <c r="I46" s="300"/>
      <c r="M46" s="305"/>
      <c r="N46" s="360"/>
    </row>
    <row r="47" spans="2:18" ht="16" customHeight="1" x14ac:dyDescent="0.15">
      <c r="B47" s="300" t="s">
        <v>8</v>
      </c>
      <c r="E47" s="283">
        <f>debt</f>
        <v>4724400</v>
      </c>
      <c r="F47" s="402"/>
      <c r="G47" s="305"/>
      <c r="I47" s="306" t="s">
        <v>23</v>
      </c>
      <c r="J47" s="294"/>
      <c r="K47" s="294"/>
      <c r="L47" s="294"/>
      <c r="M47" s="315">
        <f>SUM(M44:M45)</f>
        <v>7244084</v>
      </c>
    </row>
    <row r="48" spans="2:18" ht="16" customHeight="1" x14ac:dyDescent="0.15">
      <c r="B48" s="300" t="s">
        <v>9</v>
      </c>
      <c r="E48" s="317">
        <v>25</v>
      </c>
      <c r="F48" s="425"/>
      <c r="G48" s="305"/>
      <c r="H48" s="319"/>
    </row>
    <row r="49" spans="2:13" ht="16" customHeight="1" x14ac:dyDescent="0.15">
      <c r="B49" s="300" t="s">
        <v>10</v>
      </c>
      <c r="E49" s="234">
        <v>5.5E-2</v>
      </c>
      <c r="F49" s="426" t="s">
        <v>235</v>
      </c>
      <c r="G49" s="305"/>
      <c r="I49" s="296" t="s">
        <v>24</v>
      </c>
      <c r="J49" s="297"/>
      <c r="K49" s="297"/>
      <c r="L49" s="297"/>
      <c r="M49" s="298"/>
    </row>
    <row r="50" spans="2:13" ht="16" customHeight="1" x14ac:dyDescent="0.15">
      <c r="B50" s="300" t="s">
        <v>203</v>
      </c>
      <c r="E50" s="318" t="s">
        <v>204</v>
      </c>
      <c r="F50" s="402"/>
      <c r="G50" s="305"/>
      <c r="I50" s="300" t="s">
        <v>25</v>
      </c>
      <c r="M50" s="314">
        <f>E12</f>
        <v>5985000</v>
      </c>
    </row>
    <row r="51" spans="2:13" ht="16" customHeight="1" x14ac:dyDescent="0.15">
      <c r="B51" s="306" t="s">
        <v>205</v>
      </c>
      <c r="C51" s="294"/>
      <c r="D51" s="294"/>
      <c r="E51" s="320">
        <f>IF($E$50="Amortized",'Debt Amort'!$H$7,'Debt Amort'!$H$8)</f>
        <v>8703584.8456037343</v>
      </c>
      <c r="F51" s="427"/>
      <c r="G51" s="308"/>
      <c r="I51" s="300" t="s">
        <v>2</v>
      </c>
      <c r="M51" s="314">
        <f>E15</f>
        <v>239400</v>
      </c>
    </row>
    <row r="52" spans="2:13" ht="16" customHeight="1" x14ac:dyDescent="0.15">
      <c r="F52" s="268"/>
      <c r="I52" s="300" t="s">
        <v>26</v>
      </c>
      <c r="M52" s="314">
        <f>E21</f>
        <v>400000</v>
      </c>
    </row>
    <row r="53" spans="2:13" ht="16" customHeight="1" x14ac:dyDescent="0.15">
      <c r="B53" s="296" t="s">
        <v>11</v>
      </c>
      <c r="C53" s="297"/>
      <c r="D53" s="297"/>
      <c r="E53" s="297"/>
      <c r="F53" s="297" t="s">
        <v>232</v>
      </c>
      <c r="G53" s="298"/>
      <c r="I53" s="300" t="s">
        <v>27</v>
      </c>
      <c r="M53" s="314">
        <f>E23</f>
        <v>100000</v>
      </c>
    </row>
    <row r="54" spans="2:13" ht="16" customHeight="1" x14ac:dyDescent="0.15">
      <c r="B54" s="300" t="s">
        <v>12</v>
      </c>
      <c r="E54" s="317">
        <v>15</v>
      </c>
      <c r="F54" s="268"/>
      <c r="G54" s="305"/>
      <c r="I54" s="306" t="s">
        <v>332</v>
      </c>
      <c r="J54" s="294"/>
      <c r="K54" s="294"/>
      <c r="L54" s="294"/>
      <c r="M54" s="430">
        <f>E46</f>
        <v>519684</v>
      </c>
    </row>
    <row r="55" spans="2:13" ht="16" customHeight="1" x14ac:dyDescent="0.15">
      <c r="B55" s="300" t="s">
        <v>146</v>
      </c>
      <c r="E55" s="234">
        <v>0.05</v>
      </c>
      <c r="F55" s="323" t="s">
        <v>390</v>
      </c>
      <c r="G55" s="305"/>
      <c r="I55" s="306" t="s">
        <v>28</v>
      </c>
      <c r="J55" s="294"/>
      <c r="K55" s="294"/>
      <c r="L55" s="294"/>
      <c r="M55" s="315">
        <f>SUM(M50:M54)</f>
        <v>7244084</v>
      </c>
    </row>
    <row r="56" spans="2:13" ht="16" customHeight="1" x14ac:dyDescent="0.15">
      <c r="B56" s="324" t="s">
        <v>13</v>
      </c>
      <c r="C56" s="325"/>
      <c r="D56" s="325"/>
      <c r="E56" s="326">
        <f ca="1">'Annual P&amp;L'!$J$4</f>
        <v>9971721.7100292817</v>
      </c>
      <c r="F56" s="268"/>
      <c r="G56" s="305"/>
    </row>
    <row r="57" spans="2:13" ht="16" customHeight="1" x14ac:dyDescent="0.15">
      <c r="B57" s="300" t="s">
        <v>236</v>
      </c>
      <c r="E57" s="287">
        <f ca="1">POWER(sale_price/E25,1/20)-1</f>
        <v>1.9895863827974702E-2</v>
      </c>
      <c r="G57" s="305"/>
    </row>
    <row r="58" spans="2:13" ht="16" customHeight="1" x14ac:dyDescent="0.15">
      <c r="B58" s="306" t="s">
        <v>14</v>
      </c>
      <c r="C58" s="294"/>
      <c r="D58" s="294"/>
      <c r="E58" s="236">
        <v>0.05</v>
      </c>
      <c r="F58" s="321"/>
      <c r="G58" s="308"/>
    </row>
    <row r="60" spans="2:13" ht="16" customHeight="1" x14ac:dyDescent="0.15">
      <c r="B60" s="327" t="s">
        <v>254</v>
      </c>
      <c r="C60" s="328"/>
      <c r="D60" s="328"/>
      <c r="E60" s="328"/>
      <c r="F60" s="329"/>
    </row>
    <row r="61" spans="2:13" ht="16" customHeight="1" x14ac:dyDescent="0.15">
      <c r="B61" s="333" t="s">
        <v>241</v>
      </c>
      <c r="C61" s="334" t="s">
        <v>242</v>
      </c>
      <c r="D61" s="334" t="s">
        <v>243</v>
      </c>
      <c r="E61" s="334" t="s">
        <v>244</v>
      </c>
      <c r="F61" s="335" t="s">
        <v>245</v>
      </c>
      <c r="G61" s="336"/>
    </row>
    <row r="62" spans="2:13" ht="16" customHeight="1" x14ac:dyDescent="0.15">
      <c r="B62" s="342" t="s">
        <v>246</v>
      </c>
      <c r="C62" s="343">
        <v>6.0529499999999997E-3</v>
      </c>
      <c r="D62" s="343">
        <v>1.5299999999999999E-3</v>
      </c>
      <c r="E62" s="343">
        <v>9.0160000000000004E-5</v>
      </c>
      <c r="F62" s="408">
        <v>7.6731100000000003E-3</v>
      </c>
    </row>
    <row r="63" spans="2:13" ht="16" customHeight="1" x14ac:dyDescent="0.15">
      <c r="B63" s="342" t="s">
        <v>247</v>
      </c>
      <c r="C63" s="343">
        <v>1.04796E-2</v>
      </c>
      <c r="D63" s="343">
        <v>1.5299999999999999E-3</v>
      </c>
      <c r="E63" s="343">
        <v>7.8319999999999996E-5</v>
      </c>
      <c r="F63" s="408">
        <v>1.208792E-2</v>
      </c>
    </row>
    <row r="64" spans="2:13" ht="16" customHeight="1" x14ac:dyDescent="0.15">
      <c r="B64" s="342" t="s">
        <v>248</v>
      </c>
      <c r="C64" s="343">
        <v>6.0529499999999997E-3</v>
      </c>
      <c r="D64" s="343">
        <v>1.5299999999999999E-3</v>
      </c>
      <c r="E64" s="343">
        <v>9.0160000000000004E-5</v>
      </c>
      <c r="F64" s="408">
        <v>7.6731100000000003E-3</v>
      </c>
    </row>
    <row r="65" spans="2:6" ht="16" customHeight="1" x14ac:dyDescent="0.15">
      <c r="B65" s="342" t="s">
        <v>249</v>
      </c>
      <c r="C65" s="343">
        <v>1.411477E-2</v>
      </c>
      <c r="D65" s="343">
        <v>8.8000000000000005E-3</v>
      </c>
      <c r="E65" s="343">
        <v>1.0509E-4</v>
      </c>
      <c r="F65" s="408">
        <v>2.301986E-2</v>
      </c>
    </row>
    <row r="66" spans="2:6" ht="16" customHeight="1" x14ac:dyDescent="0.15">
      <c r="B66" s="342" t="s">
        <v>250</v>
      </c>
      <c r="C66" s="343">
        <v>1.5142330000000001E-2</v>
      </c>
      <c r="D66" s="343">
        <v>8.8000000000000005E-3</v>
      </c>
      <c r="E66" s="343">
        <v>2.2541E-4</v>
      </c>
      <c r="F66" s="408">
        <v>2.416774E-2</v>
      </c>
    </row>
    <row r="67" spans="2:6" ht="16" customHeight="1" x14ac:dyDescent="0.15">
      <c r="B67" s="342" t="s">
        <v>251</v>
      </c>
      <c r="C67" s="343">
        <v>1.1642390000000001E-2</v>
      </c>
      <c r="D67" s="343">
        <v>8.8000000000000005E-3</v>
      </c>
      <c r="E67" s="343">
        <v>1.7342E-4</v>
      </c>
      <c r="F67" s="408">
        <v>2.0615809999999998E-2</v>
      </c>
    </row>
    <row r="68" spans="2:6" ht="16" customHeight="1" x14ac:dyDescent="0.15">
      <c r="B68" s="342" t="s">
        <v>252</v>
      </c>
      <c r="C68" s="343">
        <v>1.5132399999999999E-3</v>
      </c>
      <c r="D68" s="343">
        <v>3.8249999999999997E-4</v>
      </c>
      <c r="E68" s="343">
        <v>2.2540000000000001E-5</v>
      </c>
      <c r="F68" s="408">
        <v>1.9182800000000001E-3</v>
      </c>
    </row>
    <row r="69" spans="2:6" ht="16" customHeight="1" x14ac:dyDescent="0.15">
      <c r="B69" s="350" t="s">
        <v>253</v>
      </c>
      <c r="C69" s="351">
        <v>1.5132399999999999E-3</v>
      </c>
      <c r="D69" s="351">
        <v>3.8249999999999997E-4</v>
      </c>
      <c r="E69" s="351">
        <v>2.2540000000000001E-5</v>
      </c>
      <c r="F69" s="409">
        <v>1.9182800000000001E-3</v>
      </c>
    </row>
  </sheetData>
  <mergeCells count="1">
    <mergeCell ref="F29:G29"/>
  </mergeCells>
  <dataValidations count="1">
    <dataValidation type="list" allowBlank="1" showInputMessage="1" showErrorMessage="1" sqref="E50" xr:uid="{CC1DEE6B-28E0-CD47-AA40-633761623E74}">
      <formula1>"Interest-only, Amortized"</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27FF19-2283-2D47-9AD2-94EBD1D2531D}">
  <sheetPr codeName="Sheet2">
    <tabColor rgb="FFFFFF00"/>
  </sheetPr>
  <dimension ref="B2:H48"/>
  <sheetViews>
    <sheetView showGridLines="0" zoomScale="150" workbookViewId="0">
      <selection activeCell="J22" sqref="J22"/>
    </sheetView>
  </sheetViews>
  <sheetFormatPr baseColWidth="10" defaultRowHeight="11" x14ac:dyDescent="0.15"/>
  <cols>
    <col min="1" max="1" width="4.5" customWidth="1"/>
    <col min="2" max="2" width="5.25" customWidth="1"/>
    <col min="3" max="3" width="34" customWidth="1"/>
    <col min="4" max="4" width="16.75" customWidth="1"/>
    <col min="5" max="5" width="15.75" customWidth="1"/>
    <col min="7" max="7" width="15.25" customWidth="1"/>
  </cols>
  <sheetData>
    <row r="2" spans="3:7" ht="16" x14ac:dyDescent="0.2">
      <c r="C2" s="26" t="s">
        <v>29</v>
      </c>
    </row>
    <row r="4" spans="3:7" x14ac:dyDescent="0.15">
      <c r="C4" s="27" t="s">
        <v>30</v>
      </c>
      <c r="D4" s="27"/>
      <c r="E4" s="181">
        <f ca="1">'Deal Summary'!D14</f>
        <v>7.3946443200111414E-2</v>
      </c>
    </row>
    <row r="5" spans="3:7" x14ac:dyDescent="0.15">
      <c r="C5" s="28" t="s">
        <v>31</v>
      </c>
      <c r="D5" s="28"/>
      <c r="E5" s="182">
        <f ca="1">'Deal Summary'!D15</f>
        <v>3.0374821625155675</v>
      </c>
    </row>
    <row r="6" spans="3:7" x14ac:dyDescent="0.15">
      <c r="C6" s="29" t="s">
        <v>32</v>
      </c>
      <c r="D6" s="29"/>
      <c r="E6" s="183">
        <f ca="1">'Deal Summary'!D16</f>
        <v>168947.22704712953</v>
      </c>
    </row>
    <row r="7" spans="3:7" x14ac:dyDescent="0.15">
      <c r="C7" s="30" t="s">
        <v>33</v>
      </c>
      <c r="D7" s="30"/>
      <c r="E7" s="184">
        <f ca="1">'Deal Summary'!C14</f>
        <v>7.6174494624137862E-2</v>
      </c>
    </row>
    <row r="8" spans="3:7" x14ac:dyDescent="0.15">
      <c r="C8" s="30" t="s">
        <v>31</v>
      </c>
      <c r="D8" s="30"/>
      <c r="E8" s="185">
        <f ca="1">'Deal Summary'!C15</f>
        <v>2.2154507127403416</v>
      </c>
    </row>
    <row r="9" spans="3:7" x14ac:dyDescent="0.15">
      <c r="C9" s="31" t="s">
        <v>35</v>
      </c>
      <c r="D9" s="31"/>
      <c r="E9" s="186">
        <f ca="1">'Deal Summary'!C16</f>
        <v>457766.26516234316</v>
      </c>
    </row>
    <row r="11" spans="3:7" x14ac:dyDescent="0.15">
      <c r="C11" s="10" t="s">
        <v>20</v>
      </c>
      <c r="D11" s="9"/>
      <c r="E11" s="9"/>
    </row>
    <row r="12" spans="3:7" x14ac:dyDescent="0.15">
      <c r="C12" s="16" t="s">
        <v>21</v>
      </c>
      <c r="D12" s="17">
        <f>'Main Assumptions'!L44</f>
        <v>0.34782644707046467</v>
      </c>
      <c r="E12" s="18">
        <f>'Main Assumptions'!M44</f>
        <v>2519684</v>
      </c>
      <c r="F12" s="5"/>
      <c r="G12" s="3"/>
    </row>
    <row r="13" spans="3:7" x14ac:dyDescent="0.15">
      <c r="C13" t="s">
        <v>22</v>
      </c>
      <c r="D13" s="5">
        <f>'Main Assumptions'!L45</f>
        <v>0.65217355292953538</v>
      </c>
      <c r="E13" s="1">
        <f>'Main Assumptions'!M45</f>
        <v>4724400</v>
      </c>
      <c r="F13" s="5"/>
      <c r="G13" s="3"/>
    </row>
    <row r="15" spans="3:7" x14ac:dyDescent="0.15">
      <c r="C15" s="6" t="s">
        <v>23</v>
      </c>
      <c r="D15" s="6"/>
      <c r="E15" s="15">
        <f>E12+E13</f>
        <v>7244084</v>
      </c>
      <c r="G15" s="3"/>
    </row>
    <row r="17" spans="2:8" x14ac:dyDescent="0.15">
      <c r="B17" s="480"/>
      <c r="C17" s="136" t="s">
        <v>36</v>
      </c>
      <c r="D17" s="137" t="s">
        <v>37</v>
      </c>
      <c r="E17" s="137" t="s">
        <v>38</v>
      </c>
      <c r="F17" s="138" t="s">
        <v>39</v>
      </c>
      <c r="G17" s="138" t="s">
        <v>40</v>
      </c>
      <c r="H17" s="239" t="s">
        <v>41</v>
      </c>
    </row>
    <row r="18" spans="2:8" x14ac:dyDescent="0.15">
      <c r="B18" s="118">
        <v>1</v>
      </c>
      <c r="C18" s="482" t="s">
        <v>351</v>
      </c>
      <c r="D18" s="13">
        <f>1-SUM(D19:D22)</f>
        <v>0.30000000000000004</v>
      </c>
      <c r="E18" s="134">
        <f>D18*$E$12</f>
        <v>755905.20000000007</v>
      </c>
      <c r="F18" s="483">
        <f ca="1">IFERROR('Investor Monthly'!D119,"-")</f>
        <v>7.3946443200111414E-2</v>
      </c>
      <c r="G18" s="484">
        <f ca="1">IFERROR('Investor Monthly'!E119,"-")</f>
        <v>50684.168114138301</v>
      </c>
      <c r="H18" s="240">
        <f ca="1">IFERROR('Investor Monthly'!F119,"-")</f>
        <v>3.0374821625155617</v>
      </c>
    </row>
    <row r="19" spans="2:8" x14ac:dyDescent="0.15">
      <c r="B19" s="118">
        <v>2</v>
      </c>
      <c r="C19" s="482" t="s">
        <v>42</v>
      </c>
      <c r="D19" s="32">
        <v>0.3</v>
      </c>
      <c r="E19" s="134">
        <f t="shared" ref="E19:E20" si="0">D19*$E$12</f>
        <v>755905.2</v>
      </c>
      <c r="F19" s="483">
        <f ca="1">IFERROR('Investor Monthly'!D120,"-")</f>
        <v>7.3946443200111414E-2</v>
      </c>
      <c r="G19" s="484">
        <f ca="1">'Investor Monthly'!E120</f>
        <v>50684.168114138185</v>
      </c>
      <c r="H19" s="240">
        <f ca="1">IFERROR('Investor Monthly'!F120,"-")</f>
        <v>3.0374821625155617</v>
      </c>
    </row>
    <row r="20" spans="2:8" x14ac:dyDescent="0.15">
      <c r="B20" s="118">
        <v>3</v>
      </c>
      <c r="C20" s="482" t="s">
        <v>43</v>
      </c>
      <c r="D20" s="32">
        <v>0.4</v>
      </c>
      <c r="E20" s="134">
        <f t="shared" si="0"/>
        <v>1007873.6000000001</v>
      </c>
      <c r="F20" s="483">
        <f ca="1">IFERROR('Investor Monthly'!D121,"-")</f>
        <v>7.3946443200111414E-2</v>
      </c>
      <c r="G20" s="484">
        <f ca="1">'Investor Monthly'!E121</f>
        <v>67578.890818852931</v>
      </c>
      <c r="H20" s="240">
        <f ca="1">IFERROR('Investor Monthly'!F121,"-")</f>
        <v>3.0374821625155688</v>
      </c>
    </row>
    <row r="21" spans="2:8" x14ac:dyDescent="0.15">
      <c r="B21" s="118">
        <v>4</v>
      </c>
      <c r="C21" s="482"/>
      <c r="D21" s="32"/>
      <c r="E21" s="134">
        <f>D21*$E$12</f>
        <v>0</v>
      </c>
      <c r="F21" s="483" t="str">
        <f ca="1">IFERROR('Investor Monthly'!D122,"-")</f>
        <v>-</v>
      </c>
      <c r="G21" s="484">
        <f ca="1">'Investor Monthly'!E122</f>
        <v>0</v>
      </c>
      <c r="H21" s="240" t="str">
        <f ca="1">IFERROR('Investor Monthly'!F122,"-")</f>
        <v>-</v>
      </c>
    </row>
    <row r="22" spans="2:8" x14ac:dyDescent="0.15">
      <c r="B22" s="485">
        <v>5</v>
      </c>
      <c r="C22" s="35"/>
      <c r="D22" s="36"/>
      <c r="E22" s="135">
        <f>D22*$E$12</f>
        <v>0</v>
      </c>
      <c r="F22" s="238" t="str">
        <f ca="1">IFERROR('Investor Monthly'!D123,"-")</f>
        <v>-</v>
      </c>
      <c r="G22" s="241">
        <f ca="1">'Investor Monthly'!E123</f>
        <v>0</v>
      </c>
      <c r="H22" s="242" t="str">
        <f ca="1">IFERROR('Investor Monthly'!F123,"-")</f>
        <v>-</v>
      </c>
    </row>
    <row r="23" spans="2:8" x14ac:dyDescent="0.15">
      <c r="C23" s="133" t="s">
        <v>157</v>
      </c>
      <c r="D23" s="486">
        <f>SUM(D18:D22)</f>
        <v>1</v>
      </c>
      <c r="E23" s="20">
        <f>SUM(E18:E22)</f>
        <v>2519684</v>
      </c>
    </row>
    <row r="25" spans="2:8" x14ac:dyDescent="0.15">
      <c r="C25" s="480" t="s">
        <v>44</v>
      </c>
      <c r="D25" s="481" t="s">
        <v>45</v>
      </c>
    </row>
    <row r="27" spans="2:8" x14ac:dyDescent="0.15">
      <c r="C27" s="58" t="s">
        <v>150</v>
      </c>
      <c r="D27" s="61"/>
      <c r="E27" s="61"/>
      <c r="F27" s="62"/>
    </row>
    <row r="28" spans="2:8" x14ac:dyDescent="0.15">
      <c r="C28" s="59" t="s">
        <v>48</v>
      </c>
      <c r="E28" s="20">
        <f>SUM(E29:E30)</f>
        <v>2519684</v>
      </c>
      <c r="F28" s="12"/>
    </row>
    <row r="29" spans="2:8" x14ac:dyDescent="0.15">
      <c r="C29" s="139" t="s">
        <v>49</v>
      </c>
      <c r="E29" s="20">
        <f>SUM(E19:E22)</f>
        <v>1763778.8</v>
      </c>
      <c r="F29" s="140">
        <f>E29/E28</f>
        <v>0.70000000000000007</v>
      </c>
    </row>
    <row r="30" spans="2:8" x14ac:dyDescent="0.15">
      <c r="C30" s="141" t="s">
        <v>50</v>
      </c>
      <c r="D30" s="6"/>
      <c r="E30" s="21">
        <f>E18</f>
        <v>755905.20000000007</v>
      </c>
      <c r="F30" s="142">
        <f>E30/E28</f>
        <v>0.30000000000000004</v>
      </c>
    </row>
    <row r="31" spans="2:8" x14ac:dyDescent="0.15">
      <c r="C31" s="59"/>
      <c r="E31" s="7"/>
      <c r="F31" s="12"/>
    </row>
    <row r="32" spans="2:8" x14ac:dyDescent="0.15">
      <c r="C32" s="143" t="s">
        <v>46</v>
      </c>
      <c r="D32" s="24"/>
      <c r="E32" s="25"/>
      <c r="F32" s="144"/>
    </row>
    <row r="33" spans="3:6" x14ac:dyDescent="0.15">
      <c r="C33" s="59" t="s">
        <v>47</v>
      </c>
      <c r="E33" s="145">
        <v>0.12</v>
      </c>
      <c r="F33" s="146" t="s">
        <v>51</v>
      </c>
    </row>
    <row r="34" spans="3:6" x14ac:dyDescent="0.15">
      <c r="C34" s="59"/>
      <c r="E34" s="7"/>
      <c r="F34" s="12"/>
    </row>
    <row r="35" spans="3:6" x14ac:dyDescent="0.15">
      <c r="C35" s="59" t="s">
        <v>52</v>
      </c>
      <c r="E35" s="145">
        <v>1</v>
      </c>
      <c r="F35" s="12"/>
    </row>
    <row r="36" spans="3:6" x14ac:dyDescent="0.15">
      <c r="C36" s="60" t="s">
        <v>54</v>
      </c>
      <c r="D36" s="6"/>
      <c r="E36" s="22">
        <f>1-E35</f>
        <v>0</v>
      </c>
      <c r="F36" s="147" t="s">
        <v>53</v>
      </c>
    </row>
    <row r="37" spans="3:6" x14ac:dyDescent="0.15">
      <c r="C37" s="59"/>
      <c r="E37" s="7"/>
      <c r="F37" s="12"/>
    </row>
    <row r="38" spans="3:6" x14ac:dyDescent="0.15">
      <c r="C38" s="143" t="s">
        <v>55</v>
      </c>
      <c r="D38" s="24"/>
      <c r="E38" s="25"/>
      <c r="F38" s="144"/>
    </row>
    <row r="39" spans="3:6" x14ac:dyDescent="0.15">
      <c r="C39" s="59" t="s">
        <v>39</v>
      </c>
      <c r="E39" s="148">
        <v>0.11799999999999999</v>
      </c>
      <c r="F39" s="12"/>
    </row>
    <row r="40" spans="3:6" x14ac:dyDescent="0.15">
      <c r="C40" s="60" t="s">
        <v>56</v>
      </c>
      <c r="D40" s="6"/>
      <c r="E40" s="33">
        <v>1.5</v>
      </c>
      <c r="F40" s="147" t="s">
        <v>51</v>
      </c>
    </row>
    <row r="41" spans="3:6" x14ac:dyDescent="0.15">
      <c r="C41" s="59"/>
      <c r="F41" s="146"/>
    </row>
    <row r="42" spans="3:6" x14ac:dyDescent="0.15">
      <c r="C42" s="143" t="s">
        <v>57</v>
      </c>
      <c r="D42" s="24"/>
      <c r="E42" s="25"/>
      <c r="F42" s="144"/>
    </row>
    <row r="43" spans="3:6" x14ac:dyDescent="0.15">
      <c r="C43" s="59" t="s">
        <v>58</v>
      </c>
      <c r="E43" s="145">
        <v>1</v>
      </c>
      <c r="F43" s="146"/>
    </row>
    <row r="44" spans="3:6" x14ac:dyDescent="0.15">
      <c r="C44" s="60" t="s">
        <v>59</v>
      </c>
      <c r="D44" s="6"/>
      <c r="E44" s="22">
        <f>1-E43</f>
        <v>0</v>
      </c>
      <c r="F44" s="147" t="s">
        <v>53</v>
      </c>
    </row>
    <row r="45" spans="3:6" x14ac:dyDescent="0.15">
      <c r="C45" s="59"/>
      <c r="F45" s="12"/>
    </row>
    <row r="46" spans="3:6" x14ac:dyDescent="0.15">
      <c r="C46" s="143" t="s">
        <v>60</v>
      </c>
      <c r="D46" s="24"/>
      <c r="E46" s="25"/>
      <c r="F46" s="144"/>
    </row>
    <row r="47" spans="3:6" x14ac:dyDescent="0.15">
      <c r="C47" s="59" t="s">
        <v>61</v>
      </c>
      <c r="E47" s="145">
        <v>0.7</v>
      </c>
      <c r="F47" s="12"/>
    </row>
    <row r="48" spans="3:6" x14ac:dyDescent="0.15">
      <c r="C48" s="60" t="s">
        <v>62</v>
      </c>
      <c r="D48" s="6"/>
      <c r="E48" s="22">
        <f>1-E47</f>
        <v>0.30000000000000004</v>
      </c>
      <c r="F48" s="34"/>
    </row>
  </sheetData>
  <dataValidations count="1">
    <dataValidation type="list" allowBlank="1" showInputMessage="1" showErrorMessage="1" sqref="D25" xr:uid="{94A8E155-9F13-B846-A93F-0DE0A360BC57}">
      <formula1>"Yes,No"</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21DD9-85A4-8F44-81BE-AF075C41A91D}">
  <sheetPr codeName="Sheet5">
    <tabColor theme="3" tint="0.499984740745262"/>
  </sheetPr>
  <dimension ref="B2:AH74"/>
  <sheetViews>
    <sheetView showGridLines="0" tabSelected="1" topLeftCell="M1" zoomScale="120" zoomScaleNormal="120" workbookViewId="0">
      <selection activeCell="Q15" sqref="Q15"/>
    </sheetView>
  </sheetViews>
  <sheetFormatPr baseColWidth="10" defaultRowHeight="15" customHeight="1" x14ac:dyDescent="0.15"/>
  <cols>
    <col min="1" max="1" width="10.75" style="275"/>
    <col min="2" max="2" width="39" style="275" bestFit="1" customWidth="1"/>
    <col min="3" max="3" width="15.25" style="275" customWidth="1"/>
    <col min="4" max="4" width="15.75" style="275" customWidth="1"/>
    <col min="5" max="9" width="13.75" style="275" customWidth="1"/>
    <col min="10" max="10" width="12" style="275" customWidth="1"/>
    <col min="11" max="22" width="13.75" style="275" customWidth="1"/>
    <col min="23" max="23" width="14" style="275" customWidth="1"/>
    <col min="24" max="32" width="10.75" style="275"/>
    <col min="33" max="33" width="12.25" style="275" bestFit="1" customWidth="1"/>
    <col min="34" max="16384" width="10.75" style="275"/>
  </cols>
  <sheetData>
    <row r="2" spans="2:34" ht="15" customHeight="1" x14ac:dyDescent="0.15">
      <c r="B2" s="434" t="s">
        <v>199</v>
      </c>
    </row>
    <row r="3" spans="2:34" ht="15" customHeight="1" x14ac:dyDescent="0.15">
      <c r="B3" s="435"/>
      <c r="C3" s="436" t="s">
        <v>134</v>
      </c>
      <c r="D3" s="437">
        <v>1</v>
      </c>
      <c r="E3" s="437">
        <f>D3+1</f>
        <v>2</v>
      </c>
      <c r="F3" s="437">
        <f t="shared" ref="F3:J3" si="0">E3+1</f>
        <v>3</v>
      </c>
      <c r="G3" s="437">
        <f t="shared" si="0"/>
        <v>4</v>
      </c>
      <c r="H3" s="437">
        <f t="shared" si="0"/>
        <v>5</v>
      </c>
      <c r="I3" s="437">
        <f t="shared" si="0"/>
        <v>6</v>
      </c>
      <c r="J3" s="437">
        <f t="shared" si="0"/>
        <v>7</v>
      </c>
      <c r="K3" s="437">
        <f t="shared" ref="K3" si="1">J3+1</f>
        <v>8</v>
      </c>
      <c r="L3" s="437">
        <f t="shared" ref="L3" si="2">K3+1</f>
        <v>9</v>
      </c>
      <c r="M3" s="437">
        <f t="shared" ref="M3" si="3">L3+1</f>
        <v>10</v>
      </c>
      <c r="N3" s="437">
        <f t="shared" ref="N3" si="4">M3+1</f>
        <v>11</v>
      </c>
      <c r="O3" s="437">
        <f t="shared" ref="O3" si="5">N3+1</f>
        <v>12</v>
      </c>
      <c r="P3" s="437">
        <f t="shared" ref="P3" si="6">O3+1</f>
        <v>13</v>
      </c>
      <c r="Q3" s="437">
        <f t="shared" ref="Q3" si="7">P3+1</f>
        <v>14</v>
      </c>
      <c r="R3" s="437">
        <f t="shared" ref="R3" si="8">Q3+1</f>
        <v>15</v>
      </c>
      <c r="S3" s="437">
        <f t="shared" ref="S3" si="9">R3+1</f>
        <v>16</v>
      </c>
      <c r="T3" s="437">
        <f t="shared" ref="T3" si="10">S3+1</f>
        <v>17</v>
      </c>
      <c r="U3" s="437">
        <f t="shared" ref="U3" si="11">T3+1</f>
        <v>18</v>
      </c>
      <c r="V3" s="437">
        <f t="shared" ref="V3:W3" si="12">U3+1</f>
        <v>19</v>
      </c>
      <c r="W3" s="437">
        <f t="shared" si="12"/>
        <v>20</v>
      </c>
      <c r="X3" s="437">
        <f t="shared" ref="X3" si="13">W3+1</f>
        <v>21</v>
      </c>
      <c r="Y3" s="437">
        <f t="shared" ref="Y3" si="14">X3+1</f>
        <v>22</v>
      </c>
      <c r="Z3" s="437">
        <f t="shared" ref="Z3" si="15">Y3+1</f>
        <v>23</v>
      </c>
      <c r="AA3" s="437">
        <f t="shared" ref="AA3" si="16">Z3+1</f>
        <v>24</v>
      </c>
      <c r="AB3" s="437">
        <f t="shared" ref="AB3" si="17">AA3+1</f>
        <v>25</v>
      </c>
      <c r="AC3" s="437">
        <f t="shared" ref="AC3" si="18">AB3+1</f>
        <v>26</v>
      </c>
      <c r="AD3" s="437">
        <f t="shared" ref="AD3" si="19">AC3+1</f>
        <v>27</v>
      </c>
      <c r="AE3" s="437">
        <f t="shared" ref="AE3" si="20">AD3+1</f>
        <v>28</v>
      </c>
      <c r="AF3" s="437">
        <f t="shared" ref="AF3" si="21">AE3+1</f>
        <v>29</v>
      </c>
      <c r="AG3" s="437">
        <f t="shared" ref="AG3" si="22">AF3+1</f>
        <v>30</v>
      </c>
    </row>
    <row r="4" spans="2:34" ht="15" customHeight="1" x14ac:dyDescent="0.15">
      <c r="B4" s="411" t="s">
        <v>118</v>
      </c>
      <c r="C4" s="438">
        <f>'Annual P&amp;L'!D26</f>
        <v>-6224400</v>
      </c>
      <c r="D4" s="438">
        <f>'Annual P&amp;L'!E26</f>
        <v>-78452.841899999999</v>
      </c>
      <c r="E4" s="438">
        <f>'Annual P&amp;L'!F26</f>
        <v>330953.04108199995</v>
      </c>
      <c r="F4" s="438">
        <f>'Annual P&amp;L'!G26</f>
        <v>341595.54450363992</v>
      </c>
      <c r="G4" s="438">
        <f>'Annual P&amp;L'!H26</f>
        <v>352572.40359046275</v>
      </c>
      <c r="H4" s="438">
        <f>'Annual P&amp;L'!I26</f>
        <v>363893.97068164329</v>
      </c>
      <c r="I4" s="438">
        <f>'Annual P&amp;L'!J26</f>
        <v>375570.91562136548</v>
      </c>
      <c r="J4" s="438">
        <f>'Annual P&amp;L'!K26</f>
        <v>387614.2354352047</v>
      </c>
      <c r="K4" s="438">
        <f>'Annual P&amp;L'!L26</f>
        <v>400035.26430014148</v>
      </c>
      <c r="L4" s="438">
        <f>'Annual P&amp;L'!M26</f>
        <v>412845.68381708727</v>
      </c>
      <c r="M4" s="438">
        <f>'Annual P&amp;L'!N26</f>
        <v>426057.5335950742</v>
      </c>
      <c r="N4" s="438">
        <f>'Annual P&amp;L'!O26</f>
        <v>439683.22215653793</v>
      </c>
      <c r="O4" s="438">
        <f>'Annual P&amp;L'!P26</f>
        <v>453735.53817340767</v>
      </c>
      <c r="P4" s="438">
        <f>'Annual P&amp;L'!Q26</f>
        <v>468227.6620440039</v>
      </c>
      <c r="Q4" s="438">
        <f>'Annual P&amp;L'!R26</f>
        <v>483173.17782105727</v>
      </c>
      <c r="R4" s="438">
        <f ca="1">'Annual P&amp;L'!S26</f>
        <v>9871721.7100292817</v>
      </c>
      <c r="S4" s="438">
        <f>'Annual P&amp;L'!T26</f>
        <v>0</v>
      </c>
      <c r="T4" s="438">
        <f>'Annual P&amp;L'!U26</f>
        <v>0</v>
      </c>
      <c r="U4" s="438">
        <f>'Annual P&amp;L'!V26</f>
        <v>0</v>
      </c>
      <c r="V4" s="438">
        <f>'Annual P&amp;L'!W26</f>
        <v>0</v>
      </c>
      <c r="W4" s="438">
        <f>'Annual P&amp;L'!X26</f>
        <v>0</v>
      </c>
      <c r="X4" s="438">
        <f>'Annual P&amp;L'!Y26</f>
        <v>0</v>
      </c>
      <c r="Y4" s="438">
        <f>'Annual P&amp;L'!Z26</f>
        <v>0</v>
      </c>
      <c r="Z4" s="438">
        <f>'Annual P&amp;L'!AA26</f>
        <v>0</v>
      </c>
      <c r="AA4" s="438">
        <f>'Annual P&amp;L'!AB26</f>
        <v>0</v>
      </c>
      <c r="AB4" s="438">
        <f>'Annual P&amp;L'!AC26</f>
        <v>0</v>
      </c>
      <c r="AC4" s="438">
        <f>'Annual P&amp;L'!AD26</f>
        <v>0</v>
      </c>
      <c r="AD4" s="438">
        <f>'Annual P&amp;L'!AE26</f>
        <v>0</v>
      </c>
      <c r="AE4" s="438">
        <f>'Annual P&amp;L'!AF26</f>
        <v>0</v>
      </c>
      <c r="AF4" s="438">
        <f>'Annual P&amp;L'!AG26</f>
        <v>0</v>
      </c>
      <c r="AG4" s="438">
        <f>'Annual P&amp;L'!AH26</f>
        <v>0</v>
      </c>
    </row>
    <row r="5" spans="2:34" ht="15" customHeight="1" x14ac:dyDescent="0.15">
      <c r="B5" s="275" t="s">
        <v>125</v>
      </c>
      <c r="C5" s="428">
        <f>'Annual P&amp;L'!D35</f>
        <v>-2519684</v>
      </c>
      <c r="D5" s="428">
        <f>'Annual P&amp;L'!E35</f>
        <v>-319385.13322500006</v>
      </c>
      <c r="E5" s="428">
        <f>'Annual P&amp;L'!F35</f>
        <v>-2.9103830456733704E-11</v>
      </c>
      <c r="F5" s="428">
        <f>'Annual P&amp;L'!G35</f>
        <v>-5.8207660913467407E-11</v>
      </c>
      <c r="G5" s="428">
        <f>'Annual P&amp;L'!H35</f>
        <v>4429.0097663133638</v>
      </c>
      <c r="H5" s="428">
        <f>'Annual P&amp;L'!I35</f>
        <v>15750.576857493899</v>
      </c>
      <c r="I5" s="428">
        <f>'Annual P&amp;L'!J35</f>
        <v>27427.521797216148</v>
      </c>
      <c r="J5" s="428">
        <f>'Annual P&amp;L'!K35</f>
        <v>39470.841611055308</v>
      </c>
      <c r="K5" s="428">
        <f>'Annual P&amp;L'!L35</f>
        <v>51891.870475992095</v>
      </c>
      <c r="L5" s="428">
        <f>'Annual P&amp;L'!M35</f>
        <v>64702.289992937935</v>
      </c>
      <c r="M5" s="428">
        <f>'Annual P&amp;L'!N35</f>
        <v>77914.139770924812</v>
      </c>
      <c r="N5" s="428">
        <f>'Annual P&amp;L'!O35</f>
        <v>91539.828332388599</v>
      </c>
      <c r="O5" s="428">
        <f>'Annual P&amp;L'!P35</f>
        <v>105592.14434925828</v>
      </c>
      <c r="P5" s="428">
        <f>'Annual P&amp;L'!Q35</f>
        <v>120084.26821985451</v>
      </c>
      <c r="Q5" s="428">
        <f>'Annual P&amp;L'!R35</f>
        <v>135029.78399690788</v>
      </c>
      <c r="R5" s="428">
        <f ca="1">'Annual P&amp;L'!S35</f>
        <v>7239048.0632305276</v>
      </c>
      <c r="S5" s="428">
        <f>'Annual P&amp;L'!T35</f>
        <v>0</v>
      </c>
      <c r="T5" s="428">
        <f>'Annual P&amp;L'!U35</f>
        <v>0</v>
      </c>
      <c r="U5" s="428">
        <f>'Annual P&amp;L'!V35</f>
        <v>0</v>
      </c>
      <c r="V5" s="428">
        <f>'Annual P&amp;L'!W35</f>
        <v>0</v>
      </c>
      <c r="W5" s="428">
        <f>'Annual P&amp;L'!X35</f>
        <v>0</v>
      </c>
      <c r="X5" s="428">
        <f>'Annual P&amp;L'!Y35</f>
        <v>0</v>
      </c>
      <c r="Y5" s="428">
        <f>'Annual P&amp;L'!Z35</f>
        <v>0</v>
      </c>
      <c r="Z5" s="428">
        <f>'Annual P&amp;L'!AA35</f>
        <v>0</v>
      </c>
      <c r="AA5" s="428">
        <f>'Annual P&amp;L'!AB35</f>
        <v>0</v>
      </c>
      <c r="AB5" s="428">
        <f>'Annual P&amp;L'!AC35</f>
        <v>0</v>
      </c>
      <c r="AC5" s="428">
        <f>'Annual P&amp;L'!AD35</f>
        <v>0</v>
      </c>
      <c r="AD5" s="428">
        <f>'Annual P&amp;L'!AE35</f>
        <v>0</v>
      </c>
      <c r="AE5" s="428">
        <f>'Annual P&amp;L'!AF35</f>
        <v>0</v>
      </c>
      <c r="AF5" s="428">
        <f>'Annual P&amp;L'!AG35</f>
        <v>0</v>
      </c>
      <c r="AG5" s="428">
        <f>'Annual P&amp;L'!AH35</f>
        <v>0</v>
      </c>
    </row>
    <row r="6" spans="2:34" ht="15" customHeight="1" x14ac:dyDescent="0.15">
      <c r="B6" s="275" t="s">
        <v>99</v>
      </c>
      <c r="C6" s="428"/>
      <c r="D6" s="428">
        <f>'Annual P&amp;L'!E22</f>
        <v>321547.1581</v>
      </c>
      <c r="E6" s="428">
        <f>'Annual P&amp;L'!F22</f>
        <v>330953.04108199995</v>
      </c>
      <c r="F6" s="428">
        <f>'Annual P&amp;L'!G22</f>
        <v>341595.54450363992</v>
      </c>
      <c r="G6" s="428">
        <f>'Annual P&amp;L'!H22</f>
        <v>352572.40359046275</v>
      </c>
      <c r="H6" s="428">
        <f>'Annual P&amp;L'!I22</f>
        <v>363893.97068164329</v>
      </c>
      <c r="I6" s="428">
        <f>'Annual P&amp;L'!J22</f>
        <v>375570.91562136548</v>
      </c>
      <c r="J6" s="428">
        <f>'Annual P&amp;L'!K22</f>
        <v>387614.2354352047</v>
      </c>
      <c r="K6" s="428">
        <f>'Annual P&amp;L'!L22</f>
        <v>400035.26430014148</v>
      </c>
      <c r="L6" s="428">
        <f>'Annual P&amp;L'!M22</f>
        <v>412845.68381708727</v>
      </c>
      <c r="M6" s="428">
        <f>'Annual P&amp;L'!N22</f>
        <v>426057.5335950742</v>
      </c>
      <c r="N6" s="428">
        <f>'Annual P&amp;L'!O22</f>
        <v>439683.22215653793</v>
      </c>
      <c r="O6" s="428">
        <f>'Annual P&amp;L'!P22</f>
        <v>453735.53817340767</v>
      </c>
      <c r="P6" s="428">
        <f>'Annual P&amp;L'!Q22</f>
        <v>468227.6620440039</v>
      </c>
      <c r="Q6" s="428">
        <f>'Annual P&amp;L'!R22</f>
        <v>483173.17782105727</v>
      </c>
      <c r="R6" s="428">
        <f>'Annual P&amp;L'!S22</f>
        <v>498586.08550146408</v>
      </c>
      <c r="S6" s="428">
        <f>'Annual P&amp;L'!T22</f>
        <v>0</v>
      </c>
      <c r="T6" s="428">
        <f>'Annual P&amp;L'!U22</f>
        <v>0</v>
      </c>
      <c r="U6" s="428">
        <f>'Annual P&amp;L'!V22</f>
        <v>0</v>
      </c>
      <c r="V6" s="428">
        <f>'Annual P&amp;L'!W22</f>
        <v>0</v>
      </c>
      <c r="W6" s="428">
        <f>'Annual P&amp;L'!X22</f>
        <v>0</v>
      </c>
      <c r="X6" s="428">
        <f>'Annual P&amp;L'!Y22</f>
        <v>0</v>
      </c>
      <c r="Y6" s="428">
        <f>'Annual P&amp;L'!Z22</f>
        <v>0</v>
      </c>
      <c r="Z6" s="428">
        <f>'Annual P&amp;L'!AA22</f>
        <v>0</v>
      </c>
      <c r="AA6" s="428">
        <f>'Annual P&amp;L'!AB22</f>
        <v>0</v>
      </c>
      <c r="AB6" s="428">
        <f>'Annual P&amp;L'!AC22</f>
        <v>0</v>
      </c>
      <c r="AC6" s="428">
        <f>'Annual P&amp;L'!AD22</f>
        <v>0</v>
      </c>
      <c r="AD6" s="428">
        <f>'Annual P&amp;L'!AE22</f>
        <v>0</v>
      </c>
      <c r="AE6" s="428">
        <f>'Annual P&amp;L'!AF22</f>
        <v>0</v>
      </c>
      <c r="AF6" s="428">
        <f>'Annual P&amp;L'!AG22</f>
        <v>0</v>
      </c>
      <c r="AG6" s="428">
        <f>'Annual P&amp;L'!AH22</f>
        <v>0</v>
      </c>
    </row>
    <row r="7" spans="2:34" ht="15" customHeight="1" x14ac:dyDescent="0.15">
      <c r="C7" s="428"/>
      <c r="D7" s="428"/>
      <c r="E7" s="428"/>
      <c r="F7" s="428"/>
      <c r="G7" s="428"/>
      <c r="H7" s="428"/>
      <c r="I7" s="428"/>
      <c r="J7" s="428"/>
      <c r="K7" s="428"/>
      <c r="L7" s="428"/>
      <c r="M7" s="428"/>
      <c r="N7" s="428"/>
      <c r="O7" s="428"/>
      <c r="P7" s="428"/>
      <c r="Q7" s="428"/>
      <c r="R7" s="428"/>
      <c r="S7" s="428"/>
      <c r="T7" s="428"/>
      <c r="U7" s="428"/>
      <c r="V7" s="428"/>
      <c r="W7" s="428"/>
      <c r="X7" s="428"/>
      <c r="Y7" s="428"/>
      <c r="Z7" s="428"/>
      <c r="AA7" s="428"/>
      <c r="AB7" s="428"/>
      <c r="AC7" s="428"/>
      <c r="AD7" s="428"/>
      <c r="AE7" s="428"/>
      <c r="AF7" s="428"/>
      <c r="AG7" s="428"/>
    </row>
    <row r="8" spans="2:34" ht="15" customHeight="1" x14ac:dyDescent="0.15">
      <c r="B8" t="s">
        <v>147</v>
      </c>
      <c r="C8" s="45"/>
      <c r="D8" s="488">
        <f>'Annual P&amp;L'!E37</f>
        <v>0.92360551371661703</v>
      </c>
      <c r="E8" s="488">
        <f>'Annual P&amp;L'!F37</f>
        <v>0.95062278059243466</v>
      </c>
      <c r="F8" s="488">
        <f>'Annual P&amp;L'!G37</f>
        <v>0.98119209085490544</v>
      </c>
      <c r="G8" s="488">
        <f>'Annual P&amp;L'!H37</f>
        <v>1.0127217975261955</v>
      </c>
      <c r="H8" s="488">
        <f>'Annual P&amp;L'!I37</f>
        <v>1.0452416364546893</v>
      </c>
      <c r="I8" s="488">
        <f>'Annual P&amp;L'!J37</f>
        <v>1.078782255483699</v>
      </c>
      <c r="J8" s="488">
        <f>'Annual P&amp;L'!K37</f>
        <v>1.1133752422457064</v>
      </c>
      <c r="K8" s="488">
        <f>'Annual P&amp;L'!L37</f>
        <v>1.1490531528000303</v>
      </c>
      <c r="L8" s="488">
        <f>'Annual P&amp;L'!M37</f>
        <v>1.1858495411394183</v>
      </c>
      <c r="M8" s="488">
        <f>'Annual P&amp;L'!N37</f>
        <v>1.2237989895918577</v>
      </c>
      <c r="N8" s="488">
        <f>'Annual P&amp;L'!O37</f>
        <v>1.2629371401446907</v>
      </c>
      <c r="O8" s="488">
        <f>'Annual P&amp;L'!P37</f>
        <v>1.3033007267189274</v>
      </c>
      <c r="P8" s="488">
        <f>'Annual P&amp;L'!Q37</f>
        <v>1.3449276084224946</v>
      </c>
      <c r="Q8" s="488">
        <f>'Annual P&amp;L'!R37</f>
        <v>1.3878568038120314</v>
      </c>
      <c r="R8" s="488">
        <f>'Annual P&amp;L'!S37</f>
        <v>1.4321285261937349</v>
      </c>
      <c r="S8" s="488">
        <f>'Annual P&amp;L'!T37</f>
        <v>0</v>
      </c>
      <c r="T8" s="488">
        <f>'Annual P&amp;L'!U37</f>
        <v>0</v>
      </c>
      <c r="U8" s="488">
        <f>'Annual P&amp;L'!V37</f>
        <v>0</v>
      </c>
      <c r="V8" s="488">
        <f>'Annual P&amp;L'!W37</f>
        <v>0</v>
      </c>
      <c r="W8" s="488">
        <f>'Annual P&amp;L'!X37</f>
        <v>0</v>
      </c>
      <c r="X8" s="488">
        <f>'Annual P&amp;L'!Y37</f>
        <v>0</v>
      </c>
      <c r="Y8" s="488">
        <f>'Annual P&amp;L'!Z37</f>
        <v>0</v>
      </c>
      <c r="Z8" s="488">
        <f>'Annual P&amp;L'!AA37</f>
        <v>0</v>
      </c>
      <c r="AA8" s="488">
        <f>'Annual P&amp;L'!AB37</f>
        <v>0</v>
      </c>
      <c r="AB8" s="488">
        <f>'Annual P&amp;L'!AC37</f>
        <v>0</v>
      </c>
      <c r="AC8" s="488">
        <f>'Annual P&amp;L'!AD37</f>
        <v>0</v>
      </c>
      <c r="AD8" s="488">
        <f>'Annual P&amp;L'!AE37</f>
        <v>0</v>
      </c>
      <c r="AE8" s="488">
        <f>'Annual P&amp;L'!AF37</f>
        <v>0</v>
      </c>
      <c r="AF8" s="488">
        <f>'Annual P&amp;L'!AG37</f>
        <v>0</v>
      </c>
      <c r="AG8" s="488">
        <f>'Annual P&amp;L'!AH37</f>
        <v>0</v>
      </c>
      <c r="AH8" s="75"/>
    </row>
    <row r="9" spans="2:34" ht="15" customHeight="1" x14ac:dyDescent="0.15">
      <c r="B9" t="s">
        <v>148</v>
      </c>
      <c r="C9" s="45"/>
      <c r="D9" s="490">
        <f>'Annual P&amp;L'!E38</f>
        <v>-1.1666891008863244E-2</v>
      </c>
      <c r="E9" s="490">
        <f>'Annual P&amp;L'!F38</f>
        <v>4.9216739200820883E-2</v>
      </c>
      <c r="F9" s="490">
        <f>'Annual P&amp;L'!G38</f>
        <v>5.0799408795378011E-2</v>
      </c>
      <c r="G9" s="490">
        <f>'Annual P&amp;L'!H38</f>
        <v>5.2431801140691028E-2</v>
      </c>
      <c r="H9" s="490">
        <f>'Annual P&amp;L'!I38</f>
        <v>5.411545575540469E-2</v>
      </c>
      <c r="I9" s="490">
        <f>'Annual P&amp;L'!J38</f>
        <v>5.585195937501717E-2</v>
      </c>
      <c r="J9" s="490">
        <f>'Annual P&amp;L'!K38</f>
        <v>5.7642947390875721E-2</v>
      </c>
      <c r="K9" s="490">
        <f>'Annual P&amp;L'!L38</f>
        <v>5.9490105332838841E-2</v>
      </c>
      <c r="L9" s="490">
        <f>'Annual P&amp;L'!M38</f>
        <v>6.1395170396925713E-2</v>
      </c>
      <c r="M9" s="490">
        <f>'Annual P&amp;L'!N38</f>
        <v>6.3359933019313877E-2</v>
      </c>
      <c r="N9" s="490">
        <f>'Annual P&amp;L'!O38</f>
        <v>6.5386238498087251E-2</v>
      </c>
      <c r="O9" s="490">
        <f>'Annual P&amp;L'!P38</f>
        <v>6.7475988664179351E-2</v>
      </c>
      <c r="P9" s="490">
        <f>'Annual P&amp;L'!Q38</f>
        <v>6.9631143602998616E-2</v>
      </c>
      <c r="Q9" s="490">
        <f>'Annual P&amp;L'!R38</f>
        <v>7.1853723428269775E-2</v>
      </c>
      <c r="R9" s="490">
        <f ca="1">'Annual P&amp;L'!S38</f>
        <v>1.468044986917685</v>
      </c>
      <c r="S9" s="490">
        <f>'Annual P&amp;L'!T38</f>
        <v>0</v>
      </c>
      <c r="T9" s="490">
        <f>'Annual P&amp;L'!U38</f>
        <v>0</v>
      </c>
      <c r="U9" s="490">
        <f>'Annual P&amp;L'!V38</f>
        <v>0</v>
      </c>
      <c r="V9" s="490">
        <f>'Annual P&amp;L'!W38</f>
        <v>0</v>
      </c>
      <c r="W9" s="490">
        <f>'Annual P&amp;L'!X38</f>
        <v>0</v>
      </c>
      <c r="X9" s="490">
        <f>'Annual P&amp;L'!Y38</f>
        <v>0</v>
      </c>
      <c r="Y9" s="490">
        <f>'Annual P&amp;L'!Z38</f>
        <v>0</v>
      </c>
      <c r="Z9" s="490">
        <f>'Annual P&amp;L'!AA38</f>
        <v>0</v>
      </c>
      <c r="AA9" s="490">
        <f>'Annual P&amp;L'!AB38</f>
        <v>0</v>
      </c>
      <c r="AB9" s="490">
        <f>'Annual P&amp;L'!AC38</f>
        <v>0</v>
      </c>
      <c r="AC9" s="490">
        <f>'Annual P&amp;L'!AD38</f>
        <v>0</v>
      </c>
      <c r="AD9" s="490">
        <f>'Annual P&amp;L'!AE38</f>
        <v>0</v>
      </c>
      <c r="AE9" s="490">
        <f>'Annual P&amp;L'!AF38</f>
        <v>0</v>
      </c>
      <c r="AF9" s="490">
        <f>'Annual P&amp;L'!AG38</f>
        <v>0</v>
      </c>
      <c r="AG9" s="490">
        <f>'Annual P&amp;L'!AH38</f>
        <v>0</v>
      </c>
      <c r="AH9" s="487"/>
    </row>
    <row r="10" spans="2:34" ht="15" customHeight="1" x14ac:dyDescent="0.15">
      <c r="B10" s="6" t="s">
        <v>149</v>
      </c>
      <c r="C10" s="65"/>
      <c r="D10" s="489">
        <f>'Annual P&amp;L'!E39</f>
        <v>-0.12675602703553304</v>
      </c>
      <c r="E10" s="489">
        <f>'Annual P&amp;L'!F39</f>
        <v>-1.1550587477133523E-17</v>
      </c>
      <c r="F10" s="489">
        <f>'Annual P&amp;L'!G39</f>
        <v>-2.3101174954267046E-17</v>
      </c>
      <c r="G10" s="489">
        <f>'Annual P&amp;L'!H39</f>
        <v>1.7577639760832564E-3</v>
      </c>
      <c r="H10" s="489">
        <f>'Annual P&amp;L'!I39</f>
        <v>6.2510127688606585E-3</v>
      </c>
      <c r="I10" s="489">
        <f>'Annual P&amp;L'!J39</f>
        <v>1.0885302203457318E-2</v>
      </c>
      <c r="J10" s="489">
        <f>'Annual P&amp;L'!K39</f>
        <v>1.5664996726198727E-2</v>
      </c>
      <c r="K10" s="489">
        <f>'Annual P&amp;L'!L39</f>
        <v>2.059459459042963E-2</v>
      </c>
      <c r="L10" s="489">
        <f>'Annual P&amp;L'!M39</f>
        <v>2.5678731933424164E-2</v>
      </c>
      <c r="M10" s="489">
        <f>'Annual P&amp;L'!N39</f>
        <v>3.0922186976987912E-2</v>
      </c>
      <c r="N10" s="489">
        <f>'Annual P&amp;L'!O39</f>
        <v>3.6329884355494023E-2</v>
      </c>
      <c r="O10" s="489">
        <f>'Annual P&amp;L'!P39</f>
        <v>4.1906899575207955E-2</v>
      </c>
      <c r="P10" s="489">
        <f>'Annual P&amp;L'!Q39</f>
        <v>4.7658463608870993E-2</v>
      </c>
      <c r="Q10" s="489">
        <f>'Annual P&amp;L'!R39</f>
        <v>5.3589967629634458E-2</v>
      </c>
      <c r="R10" s="489">
        <f ca="1">'Annual P&amp;L'!S39</f>
        <v>2.8729983852064493</v>
      </c>
      <c r="S10" s="489">
        <f>'Annual P&amp;L'!T39</f>
        <v>0</v>
      </c>
      <c r="T10" s="489">
        <f>'Annual P&amp;L'!U39</f>
        <v>0</v>
      </c>
      <c r="U10" s="489">
        <f>'Annual P&amp;L'!V39</f>
        <v>0</v>
      </c>
      <c r="V10" s="489">
        <f>'Annual P&amp;L'!W39</f>
        <v>0</v>
      </c>
      <c r="W10" s="489">
        <f>'Annual P&amp;L'!X39</f>
        <v>0</v>
      </c>
      <c r="X10" s="489">
        <f>'Annual P&amp;L'!Y39</f>
        <v>0</v>
      </c>
      <c r="Y10" s="489">
        <f>'Annual P&amp;L'!Z39</f>
        <v>0</v>
      </c>
      <c r="Z10" s="489">
        <f>'Annual P&amp;L'!AA39</f>
        <v>0</v>
      </c>
      <c r="AA10" s="489">
        <f>'Annual P&amp;L'!AB39</f>
        <v>0</v>
      </c>
      <c r="AB10" s="489">
        <f>'Annual P&amp;L'!AC39</f>
        <v>0</v>
      </c>
      <c r="AC10" s="489">
        <f>'Annual P&amp;L'!AD39</f>
        <v>0</v>
      </c>
      <c r="AD10" s="489">
        <f>'Annual P&amp;L'!AE39</f>
        <v>0</v>
      </c>
      <c r="AE10" s="489">
        <f>'Annual P&amp;L'!AF39</f>
        <v>0</v>
      </c>
      <c r="AF10" s="489">
        <f>'Annual P&amp;L'!AG39</f>
        <v>0</v>
      </c>
      <c r="AG10" s="489">
        <f>'Annual P&amp;L'!AH39</f>
        <v>0</v>
      </c>
      <c r="AH10" s="487"/>
    </row>
    <row r="12" spans="2:34" ht="15" customHeight="1" x14ac:dyDescent="0.15">
      <c r="B12" s="463" t="s">
        <v>200</v>
      </c>
      <c r="C12" s="464" t="s">
        <v>161</v>
      </c>
      <c r="D12" s="465">
        <f>discount_rate</f>
        <v>7.0000000000000007E-2</v>
      </c>
      <c r="H12" s="492"/>
      <c r="I12" s="492"/>
      <c r="J12" s="492"/>
      <c r="K12" s="492"/>
      <c r="L12" s="492"/>
      <c r="M12" s="492"/>
      <c r="N12" s="492"/>
    </row>
    <row r="13" spans="2:34" ht="15" customHeight="1" x14ac:dyDescent="0.15">
      <c r="B13" s="300"/>
      <c r="C13" s="440" t="s">
        <v>201</v>
      </c>
      <c r="D13" s="459" t="s">
        <v>202</v>
      </c>
      <c r="H13" s="517"/>
      <c r="I13" s="517"/>
      <c r="J13" s="517"/>
      <c r="K13" s="517"/>
      <c r="L13" s="517"/>
      <c r="M13" s="517"/>
      <c r="N13" s="517"/>
    </row>
    <row r="14" spans="2:34" ht="15" customHeight="1" x14ac:dyDescent="0.15">
      <c r="B14" s="324" t="s">
        <v>39</v>
      </c>
      <c r="C14" s="453">
        <f ca="1">'Monthly P&amp;L'!D72</f>
        <v>7.6174494624137862E-2</v>
      </c>
      <c r="D14" s="456">
        <f ca="1">'Monthly P&amp;L'!D80</f>
        <v>7.3946443200111414E-2</v>
      </c>
      <c r="H14" s="517"/>
      <c r="I14" s="517"/>
      <c r="J14" s="517"/>
      <c r="K14" s="517"/>
      <c r="L14" s="517"/>
      <c r="M14" s="517"/>
      <c r="N14" s="517"/>
    </row>
    <row r="15" spans="2:34" ht="15" customHeight="1" x14ac:dyDescent="0.15">
      <c r="B15" s="324" t="s">
        <v>197</v>
      </c>
      <c r="C15" s="454">
        <f ca="1">'Monthly P&amp;L'!D73</f>
        <v>2.2154507127403416</v>
      </c>
      <c r="D15" s="457">
        <f ca="1">'Monthly P&amp;L'!D81</f>
        <v>3.0374821625155675</v>
      </c>
      <c r="F15" s="429"/>
      <c r="H15" s="517"/>
      <c r="I15" s="517"/>
      <c r="J15" s="517"/>
      <c r="K15" s="517"/>
      <c r="L15" s="517"/>
      <c r="M15" s="517"/>
      <c r="N15" s="517"/>
    </row>
    <row r="16" spans="2:34" ht="15" customHeight="1" x14ac:dyDescent="0.15">
      <c r="B16" s="466" t="s">
        <v>40</v>
      </c>
      <c r="C16" s="455">
        <f ca="1">'Monthly P&amp;L'!D74</f>
        <v>457766.26516234316</v>
      </c>
      <c r="D16" s="458">
        <f ca="1">'Monthly P&amp;L'!D82</f>
        <v>168947.22704712953</v>
      </c>
      <c r="H16" s="517"/>
      <c r="I16" s="517"/>
      <c r="J16" s="517"/>
      <c r="K16" s="517"/>
      <c r="L16" s="517"/>
      <c r="M16" s="517"/>
      <c r="N16" s="517"/>
    </row>
    <row r="18" spans="2:17" ht="15" customHeight="1" x14ac:dyDescent="0.15">
      <c r="B18" s="330" t="s">
        <v>313</v>
      </c>
      <c r="C18" s="331"/>
      <c r="D18" s="331"/>
      <c r="E18" s="331"/>
      <c r="F18" s="332"/>
      <c r="H18" s="330" t="s">
        <v>116</v>
      </c>
      <c r="I18" s="331"/>
      <c r="J18" s="332"/>
    </row>
    <row r="19" spans="2:17" ht="15" customHeight="1" x14ac:dyDescent="0.15">
      <c r="B19" s="300" t="s">
        <v>343</v>
      </c>
      <c r="C19" s="445">
        <f>rental_growth_rate</f>
        <v>0.03</v>
      </c>
      <c r="F19" s="305"/>
      <c r="H19" s="300" t="s">
        <v>237</v>
      </c>
      <c r="J19" s="493">
        <f>R6</f>
        <v>498586.08550146408</v>
      </c>
    </row>
    <row r="20" spans="2:17" ht="15" customHeight="1" x14ac:dyDescent="0.15">
      <c r="B20" s="306" t="s">
        <v>344</v>
      </c>
      <c r="C20" s="439">
        <f>inflation</f>
        <v>2.5000000000000001E-2</v>
      </c>
      <c r="D20" s="294"/>
      <c r="E20" s="294"/>
      <c r="F20" s="308"/>
      <c r="H20" s="300" t="s">
        <v>146</v>
      </c>
      <c r="J20" s="494">
        <f>exit_cap_rate</f>
        <v>0.05</v>
      </c>
    </row>
    <row r="21" spans="2:17" ht="15" customHeight="1" x14ac:dyDescent="0.15">
      <c r="H21" s="300" t="s">
        <v>95</v>
      </c>
      <c r="J21" s="495">
        <f>J19/J20</f>
        <v>9971721.7100292817</v>
      </c>
    </row>
    <row r="22" spans="2:17" ht="15" customHeight="1" x14ac:dyDescent="0.15">
      <c r="B22" s="330" t="s">
        <v>314</v>
      </c>
      <c r="C22" s="331"/>
      <c r="D22" s="331"/>
      <c r="E22" s="331"/>
      <c r="F22" s="332"/>
      <c r="H22" s="306" t="s">
        <v>14</v>
      </c>
      <c r="I22" s="294"/>
      <c r="J22" s="443">
        <f>cost_sale</f>
        <v>0.05</v>
      </c>
    </row>
    <row r="23" spans="2:17" ht="15" customHeight="1" x14ac:dyDescent="0.15">
      <c r="B23" s="300" t="s">
        <v>346</v>
      </c>
      <c r="C23" s="445">
        <f>management_fee</f>
        <v>3.5000000000000003E-2</v>
      </c>
      <c r="F23" s="305"/>
      <c r="H23" s="306" t="s">
        <v>97</v>
      </c>
      <c r="I23" s="294"/>
      <c r="J23" s="430">
        <f>J21*(1-J22)</f>
        <v>9473135.6245278176</v>
      </c>
    </row>
    <row r="24" spans="2:17" ht="15" customHeight="1" x14ac:dyDescent="0.15">
      <c r="B24" s="300" t="s">
        <v>347</v>
      </c>
      <c r="C24" s="445">
        <f>vacancy_allowance</f>
        <v>0.04</v>
      </c>
      <c r="D24" s="275" t="str">
        <f>"Assumed "&amp;ROUND(C24*365,0)&amp;" days vacant per year"</f>
        <v>Assumed 15 days vacant per year</v>
      </c>
      <c r="F24" s="305"/>
    </row>
    <row r="25" spans="2:17" ht="15" customHeight="1" x14ac:dyDescent="0.15">
      <c r="B25" s="300" t="s">
        <v>345</v>
      </c>
      <c r="C25" s="445">
        <f>inflation</f>
        <v>2.5000000000000001E-2</v>
      </c>
      <c r="D25" s="275" t="s">
        <v>349</v>
      </c>
      <c r="F25" s="305"/>
    </row>
    <row r="26" spans="2:17" ht="15" customHeight="1" x14ac:dyDescent="0.15">
      <c r="B26" s="300" t="s">
        <v>329</v>
      </c>
      <c r="C26" s="462">
        <f>repair_allowance</f>
        <v>8400</v>
      </c>
      <c r="F26" s="305"/>
      <c r="H26" s="541" t="s">
        <v>397</v>
      </c>
    </row>
    <row r="27" spans="2:17" ht="15" customHeight="1" x14ac:dyDescent="0.15">
      <c r="B27" s="300" t="s">
        <v>17</v>
      </c>
      <c r="C27" s="462">
        <f>insurance</f>
        <v>7100</v>
      </c>
      <c r="D27" s="275" t="s">
        <v>255</v>
      </c>
      <c r="F27" s="305"/>
      <c r="H27" s="296" t="s">
        <v>408</v>
      </c>
      <c r="I27" s="297"/>
      <c r="J27" s="576" t="s">
        <v>394</v>
      </c>
      <c r="K27" s="577" t="s">
        <v>395</v>
      </c>
      <c r="L27" s="296" t="str">
        <f>"Performance w/ "&amp;TEXT($J$29,"$#,##0")&amp;" as purchase price"</f>
        <v>Performance w/ $5,862,442 as purchase price</v>
      </c>
      <c r="M27" s="578"/>
      <c r="N27" s="298"/>
      <c r="O27" s="330" t="s">
        <v>292</v>
      </c>
      <c r="P27" s="331"/>
      <c r="Q27" s="332"/>
    </row>
    <row r="28" spans="2:17" ht="15" customHeight="1" x14ac:dyDescent="0.15">
      <c r="B28" s="300" t="s">
        <v>306</v>
      </c>
      <c r="C28" s="462">
        <f>'Main Assumptions'!E36</f>
        <v>21810</v>
      </c>
      <c r="F28" s="305"/>
      <c r="H28" s="300" t="s">
        <v>99</v>
      </c>
      <c r="I28" s="536"/>
      <c r="J28" s="537">
        <f>Financials!H21</f>
        <v>360581.8</v>
      </c>
      <c r="K28" s="538">
        <v>368120</v>
      </c>
      <c r="L28" s="306"/>
      <c r="M28" s="440" t="s">
        <v>201</v>
      </c>
      <c r="N28" s="459" t="s">
        <v>202</v>
      </c>
      <c r="O28" s="579" t="s">
        <v>412</v>
      </c>
      <c r="P28" s="580"/>
      <c r="Q28" s="581"/>
    </row>
    <row r="29" spans="2:17" ht="15" customHeight="1" x14ac:dyDescent="0.15">
      <c r="B29" s="300" t="s">
        <v>16</v>
      </c>
      <c r="C29" s="462">
        <f>taxes</f>
        <v>54259.650900000001</v>
      </c>
      <c r="F29" s="305"/>
      <c r="H29" s="306" t="s">
        <v>393</v>
      </c>
      <c r="I29" s="294"/>
      <c r="J29" s="535">
        <f>J28/'Rent Roll'!$C$11</f>
        <v>5862441.7934369221</v>
      </c>
      <c r="K29" s="539">
        <f>K28/'Rent Roll'!$C$11</f>
        <v>5985000</v>
      </c>
      <c r="L29" s="324" t="s">
        <v>39</v>
      </c>
      <c r="M29" s="453">
        <v>7.8465154767036457E-2</v>
      </c>
      <c r="N29" s="456">
        <v>7.7249255776405346E-2</v>
      </c>
      <c r="O29" s="579"/>
      <c r="P29" s="580"/>
      <c r="Q29" s="581"/>
    </row>
    <row r="30" spans="2:17" ht="15" customHeight="1" x14ac:dyDescent="0.15">
      <c r="B30" s="300" t="s">
        <v>319</v>
      </c>
      <c r="C30" s="445">
        <f>tax_growth_rate</f>
        <v>0.02</v>
      </c>
      <c r="F30" s="305"/>
      <c r="H30" s="300" t="s">
        <v>398</v>
      </c>
      <c r="K30" s="538">
        <f>K29-J29</f>
        <v>122558.20656307787</v>
      </c>
      <c r="L30" s="324" t="s">
        <v>197</v>
      </c>
      <c r="M30" s="454">
        <v>2.264234052131588</v>
      </c>
      <c r="N30" s="457">
        <v>3.1526790961488493</v>
      </c>
      <c r="O30" s="579"/>
      <c r="P30" s="580"/>
      <c r="Q30" s="581"/>
    </row>
    <row r="31" spans="2:17" ht="15" customHeight="1" x14ac:dyDescent="0.15">
      <c r="B31" s="306" t="s">
        <v>219</v>
      </c>
      <c r="C31" s="349">
        <f>initial_renovations+'Main Assumptions'!E23</f>
        <v>500000</v>
      </c>
      <c r="D31" s="294" t="s">
        <v>348</v>
      </c>
      <c r="E31" s="294"/>
      <c r="F31" s="308"/>
      <c r="H31" s="306" t="s">
        <v>396</v>
      </c>
      <c r="I31" s="294"/>
      <c r="J31" s="294"/>
      <c r="K31" s="540">
        <f>(K29-J29)/J29</f>
        <v>2.0905658577332627E-2</v>
      </c>
      <c r="L31" s="466" t="s">
        <v>40</v>
      </c>
      <c r="M31" s="455">
        <v>607174.69741659798</v>
      </c>
      <c r="N31" s="458">
        <v>299746.54352669511</v>
      </c>
      <c r="O31" s="582"/>
      <c r="P31" s="583"/>
      <c r="Q31" s="584"/>
    </row>
    <row r="33" spans="2:17" ht="15" customHeight="1" x14ac:dyDescent="0.15">
      <c r="B33" s="296" t="s">
        <v>20</v>
      </c>
      <c r="C33" s="297"/>
      <c r="D33" s="297"/>
      <c r="E33" s="297"/>
      <c r="F33" s="298"/>
      <c r="H33" s="296" t="s">
        <v>409</v>
      </c>
      <c r="I33" s="297"/>
      <c r="J33" s="576" t="s">
        <v>394</v>
      </c>
      <c r="K33" s="577" t="s">
        <v>395</v>
      </c>
      <c r="L33" s="296" t="str">
        <f>"Performance w/ "&amp;TEXT($J$35,"$#,##0")&amp;" as purchase price"</f>
        <v>Performance w/ $5,262,452 as purchase price</v>
      </c>
      <c r="M33" s="578"/>
      <c r="N33" s="297"/>
      <c r="O33" s="330" t="s">
        <v>292</v>
      </c>
      <c r="P33" s="331"/>
      <c r="Q33" s="332"/>
    </row>
    <row r="34" spans="2:17" ht="15" customHeight="1" x14ac:dyDescent="0.15">
      <c r="B34" s="300" t="s">
        <v>21</v>
      </c>
      <c r="E34" s="313">
        <f>equity_invested/F37</f>
        <v>0.34782644707046467</v>
      </c>
      <c r="F34" s="314">
        <f>equity_invested</f>
        <v>2519684</v>
      </c>
      <c r="H34" s="300" t="s">
        <v>99</v>
      </c>
      <c r="I34" s="536"/>
      <c r="J34" s="537">
        <f>Financials!$H$12+SUM(Financials!H15:H17)-Financials!C18</f>
        <v>323678.14909999998</v>
      </c>
      <c r="K34" s="538">
        <f>'Rent Roll'!C10</f>
        <v>368120</v>
      </c>
      <c r="L34" s="306"/>
      <c r="M34" s="440" t="s">
        <v>201</v>
      </c>
      <c r="N34" s="459" t="s">
        <v>202</v>
      </c>
      <c r="O34" s="579" t="s">
        <v>413</v>
      </c>
      <c r="P34" s="580"/>
      <c r="Q34" s="581"/>
    </row>
    <row r="35" spans="2:17" ht="15" customHeight="1" x14ac:dyDescent="0.15">
      <c r="B35" s="300" t="s">
        <v>22</v>
      </c>
      <c r="D35" s="275" t="str">
        <f>"@ "&amp;interest_rate*100&amp;"% - "&amp;'Main Assumptions'!$E$48&amp;" years"</f>
        <v>@ 5.5% - 25 years</v>
      </c>
      <c r="E35" s="313">
        <f>1-E34</f>
        <v>0.65217355292953538</v>
      </c>
      <c r="F35" s="314">
        <f>debt</f>
        <v>4724400</v>
      </c>
      <c r="H35" s="306" t="s">
        <v>393</v>
      </c>
      <c r="I35" s="294"/>
      <c r="J35" s="535">
        <f>J34/'Rent Roll'!$C$11</f>
        <v>5262451.706952895</v>
      </c>
      <c r="K35" s="539">
        <f>K34/'Rent Roll'!$C$11</f>
        <v>5985000</v>
      </c>
      <c r="L35" s="324" t="s">
        <v>39</v>
      </c>
      <c r="M35" s="453">
        <v>9.0553608536720301E-2</v>
      </c>
      <c r="N35" s="456">
        <v>9.4931533932685844E-2</v>
      </c>
      <c r="O35" s="579"/>
      <c r="P35" s="580"/>
      <c r="Q35" s="581"/>
    </row>
    <row r="36" spans="2:17" ht="15" customHeight="1" x14ac:dyDescent="0.15">
      <c r="B36" s="300"/>
      <c r="F36" s="305"/>
      <c r="H36" s="300" t="s">
        <v>398</v>
      </c>
      <c r="K36" s="538">
        <f>K35-J35</f>
        <v>722548.29304710496</v>
      </c>
      <c r="L36" s="324" t="s">
        <v>197</v>
      </c>
      <c r="M36" s="454">
        <v>2.5341368376068161</v>
      </c>
      <c r="N36" s="457">
        <v>3.7357691371714932</v>
      </c>
      <c r="O36" s="579"/>
      <c r="P36" s="580"/>
      <c r="Q36" s="581"/>
    </row>
    <row r="37" spans="2:17" ht="15" customHeight="1" x14ac:dyDescent="0.15">
      <c r="B37" s="451" t="s">
        <v>23</v>
      </c>
      <c r="C37" s="328"/>
      <c r="D37" s="328"/>
      <c r="E37" s="328"/>
      <c r="F37" s="452">
        <f>'Main Assumptions'!M47</f>
        <v>7244084</v>
      </c>
      <c r="H37" s="306" t="s">
        <v>396</v>
      </c>
      <c r="I37" s="294"/>
      <c r="J37" s="294"/>
      <c r="K37" s="540">
        <f>(K35-J35)/J35</f>
        <v>0.13730259834830491</v>
      </c>
      <c r="L37" s="466" t="s">
        <v>40</v>
      </c>
      <c r="M37" s="455">
        <v>1338623.2575526079</v>
      </c>
      <c r="N37" s="458">
        <v>995570.99954020092</v>
      </c>
      <c r="O37" s="582"/>
      <c r="P37" s="583"/>
      <c r="Q37" s="584"/>
    </row>
    <row r="39" spans="2:17" ht="15" customHeight="1" x14ac:dyDescent="0.15">
      <c r="B39" s="296" t="s">
        <v>24</v>
      </c>
      <c r="C39" s="297"/>
      <c r="D39" s="297"/>
      <c r="E39" s="297"/>
      <c r="F39" s="298"/>
    </row>
    <row r="40" spans="2:17" ht="15" customHeight="1" x14ac:dyDescent="0.15">
      <c r="B40" s="300" t="s">
        <v>25</v>
      </c>
      <c r="F40" s="314">
        <f>purchase_price</f>
        <v>5985000</v>
      </c>
    </row>
    <row r="41" spans="2:17" ht="15" customHeight="1" x14ac:dyDescent="0.15">
      <c r="B41" s="300" t="s">
        <v>2</v>
      </c>
      <c r="F41" s="314">
        <f>closing_costs</f>
        <v>239400</v>
      </c>
    </row>
    <row r="42" spans="2:17" ht="15" customHeight="1" x14ac:dyDescent="0.15">
      <c r="B42" s="300" t="s">
        <v>26</v>
      </c>
      <c r="F42" s="314">
        <f>initial_renovations</f>
        <v>400000</v>
      </c>
    </row>
    <row r="43" spans="2:17" ht="15" customHeight="1" x14ac:dyDescent="0.15">
      <c r="B43" s="300" t="s">
        <v>27</v>
      </c>
      <c r="F43" s="314">
        <f>'Main Assumptions'!$E$23</f>
        <v>100000</v>
      </c>
    </row>
    <row r="44" spans="2:17" ht="15" customHeight="1" x14ac:dyDescent="0.15">
      <c r="B44" s="306" t="s">
        <v>332</v>
      </c>
      <c r="C44" s="294"/>
      <c r="D44" s="294"/>
      <c r="E44" s="294"/>
      <c r="F44" s="430">
        <f>'Main Assumptions'!E46</f>
        <v>519684</v>
      </c>
    </row>
    <row r="45" spans="2:17" ht="15" customHeight="1" x14ac:dyDescent="0.15">
      <c r="B45" s="306" t="s">
        <v>28</v>
      </c>
      <c r="C45" s="294"/>
      <c r="D45" s="294"/>
      <c r="E45" s="294"/>
      <c r="F45" s="315">
        <f>SUM(F40:F44)</f>
        <v>7244084</v>
      </c>
    </row>
    <row r="47" spans="2:17" ht="15" customHeight="1" x14ac:dyDescent="0.15">
      <c r="B47" s="434" t="s">
        <v>222</v>
      </c>
    </row>
    <row r="48" spans="2:17" ht="15" customHeight="1" x14ac:dyDescent="0.15">
      <c r="B48" s="434"/>
    </row>
    <row r="49" spans="2:19" ht="15" customHeight="1" x14ac:dyDescent="0.15">
      <c r="B49" s="469" t="s">
        <v>39</v>
      </c>
      <c r="C49" s="331"/>
      <c r="D49" s="470" t="s">
        <v>227</v>
      </c>
      <c r="E49" s="471">
        <f>P50</f>
        <v>0.03</v>
      </c>
      <c r="F49" s="331"/>
      <c r="G49" s="470" t="s">
        <v>226</v>
      </c>
      <c r="H49" s="472">
        <f>P51</f>
        <v>0.05</v>
      </c>
      <c r="I49" s="331"/>
      <c r="J49" s="331"/>
      <c r="K49" s="331"/>
      <c r="L49" s="332"/>
      <c r="N49" s="467" t="s">
        <v>228</v>
      </c>
      <c r="O49" s="435"/>
      <c r="P49" s="468"/>
      <c r="Q49" s="217"/>
      <c r="R49" s="217"/>
      <c r="S49" s="217"/>
    </row>
    <row r="50" spans="2:19" ht="15" customHeight="1" x14ac:dyDescent="0.15">
      <c r="B50" s="410"/>
      <c r="C50" s="411"/>
      <c r="D50" s="411"/>
      <c r="E50" s="411"/>
      <c r="F50" s="411"/>
      <c r="G50" s="411"/>
      <c r="H50" s="340" t="str">
        <f>D49</f>
        <v>Base Rental Growth Rate</v>
      </c>
      <c r="I50" s="411"/>
      <c r="J50" s="411"/>
      <c r="K50" s="411"/>
      <c r="L50" s="341"/>
      <c r="N50" s="300" t="s">
        <v>93</v>
      </c>
      <c r="P50" s="449">
        <f>rental_growth_rate</f>
        <v>0.03</v>
      </c>
    </row>
    <row r="51" spans="2:19" ht="15" customHeight="1" x14ac:dyDescent="0.15">
      <c r="B51" s="473" t="s">
        <v>223</v>
      </c>
      <c r="C51" s="443">
        <f ca="1">D14</f>
        <v>7.3946443200111414E-2</v>
      </c>
      <c r="D51" s="407">
        <f t="shared" ref="D51:F51" si="23">E51-$B$52</f>
        <v>2.0000000000000004E-2</v>
      </c>
      <c r="E51" s="407">
        <f t="shared" si="23"/>
        <v>2.2500000000000003E-2</v>
      </c>
      <c r="F51" s="407">
        <f t="shared" si="23"/>
        <v>2.5000000000000001E-2</v>
      </c>
      <c r="G51" s="407">
        <f>H51-$B$52</f>
        <v>2.75E-2</v>
      </c>
      <c r="H51" s="444">
        <v>0.03</v>
      </c>
      <c r="I51" s="407">
        <f>H51+$B$52</f>
        <v>3.2500000000000001E-2</v>
      </c>
      <c r="J51" s="407">
        <f t="shared" ref="J51:L51" si="24">I51+$B$52</f>
        <v>3.5000000000000003E-2</v>
      </c>
      <c r="K51" s="407">
        <f t="shared" si="24"/>
        <v>3.7500000000000006E-2</v>
      </c>
      <c r="L51" s="474">
        <f t="shared" si="24"/>
        <v>4.0000000000000008E-2</v>
      </c>
      <c r="N51" s="300" t="s">
        <v>146</v>
      </c>
      <c r="P51" s="449">
        <f>exit_cap_rate</f>
        <v>0.05</v>
      </c>
    </row>
    <row r="52" spans="2:19" ht="15" customHeight="1" x14ac:dyDescent="0.15">
      <c r="B52" s="475">
        <v>2.5000000000000001E-3</v>
      </c>
      <c r="C52" s="441">
        <f t="shared" ref="C52:C54" si="25">C53-$B$52</f>
        <v>2.9999999999999995E-2</v>
      </c>
      <c r="D52" s="445">
        <f t="dataTable" ref="D52:L60" dt2D="1" dtr="1" r1="P50" r2="P51" ca="1"/>
        <v>9.7309488058090199E-2</v>
      </c>
      <c r="E52" s="445">
        <v>0.10224583745002749</v>
      </c>
      <c r="F52" s="445">
        <v>0.10708726048469544</v>
      </c>
      <c r="G52" s="445">
        <v>0.11183930039405823</v>
      </c>
      <c r="H52" s="445">
        <v>0.1165209949016571</v>
      </c>
      <c r="I52" s="445">
        <v>0.12111341357231142</v>
      </c>
      <c r="J52" s="445">
        <v>0.12562258839607243</v>
      </c>
      <c r="K52" s="445">
        <v>0.1300540030002594</v>
      </c>
      <c r="L52" s="449">
        <v>0.13444265723228457</v>
      </c>
      <c r="N52" s="306" t="s">
        <v>161</v>
      </c>
      <c r="O52" s="294"/>
      <c r="P52" s="443">
        <f>discount_rate</f>
        <v>7.0000000000000007E-2</v>
      </c>
    </row>
    <row r="53" spans="2:19" ht="15" customHeight="1" x14ac:dyDescent="0.15">
      <c r="B53" s="515" t="str">
        <f>G49</f>
        <v>Base Exit Cap Rate</v>
      </c>
      <c r="C53" s="441">
        <f t="shared" si="25"/>
        <v>3.2499999999999994E-2</v>
      </c>
      <c r="D53" s="445">
        <v>9.0372017025947562E-2</v>
      </c>
      <c r="E53" s="445">
        <v>9.5414969325065588E-2</v>
      </c>
      <c r="F53" s="445">
        <v>0.10035396218299866</v>
      </c>
      <c r="G53" s="445">
        <v>0.10519562363624577</v>
      </c>
      <c r="H53" s="445">
        <v>0.10995977520942687</v>
      </c>
      <c r="I53" s="445">
        <v>0.11462857127189635</v>
      </c>
      <c r="J53" s="445">
        <v>0.11920866370201111</v>
      </c>
      <c r="K53" s="445">
        <v>0.12370601296424866</v>
      </c>
      <c r="L53" s="449">
        <v>0.12815584540367123</v>
      </c>
    </row>
    <row r="54" spans="2:19" ht="15" customHeight="1" x14ac:dyDescent="0.15">
      <c r="B54" s="515"/>
      <c r="C54" s="441">
        <f t="shared" si="25"/>
        <v>3.4999999999999996E-2</v>
      </c>
      <c r="D54" s="445">
        <v>8.3885690569877616E-2</v>
      </c>
      <c r="E54" s="445">
        <v>8.903824388980866E-2</v>
      </c>
      <c r="F54" s="445">
        <v>9.4077268242836007E-2</v>
      </c>
      <c r="G54" s="445">
        <v>9.9010604619979847E-2</v>
      </c>
      <c r="H54" s="445">
        <v>0.10385889410972596</v>
      </c>
      <c r="I54" s="445">
        <v>0.10860550999641419</v>
      </c>
      <c r="J54" s="445">
        <v>0.11325772404670714</v>
      </c>
      <c r="K54" s="445">
        <v>0.11782205700874329</v>
      </c>
      <c r="L54" s="449">
        <v>0.1223339259624481</v>
      </c>
    </row>
    <row r="55" spans="2:19" ht="15" customHeight="1" x14ac:dyDescent="0.15">
      <c r="B55" s="515"/>
      <c r="C55" s="441">
        <f>C56-$B$52</f>
        <v>3.7499999999999999E-2</v>
      </c>
      <c r="D55" s="445">
        <v>7.7783635258674655E-2</v>
      </c>
      <c r="E55" s="445">
        <v>8.3048853278160112E-2</v>
      </c>
      <c r="F55" s="445">
        <v>8.8190415501594552E-2</v>
      </c>
      <c r="G55" s="445">
        <v>9.3217477202415466E-2</v>
      </c>
      <c r="H55" s="445">
        <v>9.8151594400405884E-2</v>
      </c>
      <c r="I55" s="445">
        <v>0.10297744870185854</v>
      </c>
      <c r="J55" s="445">
        <v>0.10770297646522523</v>
      </c>
      <c r="K55" s="445">
        <v>0.11233529448509216</v>
      </c>
      <c r="L55" s="449">
        <v>0.11691003441810607</v>
      </c>
    </row>
    <row r="56" spans="2:19" ht="15" customHeight="1" x14ac:dyDescent="0.15">
      <c r="B56" s="515"/>
      <c r="C56" s="446">
        <v>0.04</v>
      </c>
      <c r="D56" s="445">
        <v>7.2012075781822213E-2</v>
      </c>
      <c r="E56" s="445">
        <v>7.7393105626106282E-2</v>
      </c>
      <c r="F56" s="445">
        <v>8.2639768719673171E-2</v>
      </c>
      <c r="G56" s="445">
        <v>8.7762650847434995E-2</v>
      </c>
      <c r="H56" s="445">
        <v>9.2784300446510329E-2</v>
      </c>
      <c r="I56" s="445">
        <v>9.7690814733505243E-2</v>
      </c>
      <c r="J56" s="445">
        <v>0.10249082446098329</v>
      </c>
      <c r="K56" s="445">
        <v>0.10719211697578432</v>
      </c>
      <c r="L56" s="449">
        <v>0.11183050274848938</v>
      </c>
    </row>
    <row r="57" spans="2:19" ht="15" customHeight="1" x14ac:dyDescent="0.15">
      <c r="B57" s="515"/>
      <c r="C57" s="441">
        <f>C56+$B$52</f>
        <v>4.2500000000000003E-2</v>
      </c>
      <c r="D57" s="445">
        <v>6.6527065634727461E-2</v>
      </c>
      <c r="E57" s="445">
        <v>7.2027185559272802E-2</v>
      </c>
      <c r="F57" s="445">
        <v>7.738158404827121E-2</v>
      </c>
      <c r="G57" s="445">
        <v>8.2602432370185871E-2</v>
      </c>
      <c r="H57" s="445">
        <v>8.7713345885276822E-2</v>
      </c>
      <c r="I57" s="445">
        <v>9.2701932787895222E-2</v>
      </c>
      <c r="J57" s="445">
        <v>9.7577625513076804E-2</v>
      </c>
      <c r="K57" s="445">
        <v>0.10234884619712831</v>
      </c>
      <c r="L57" s="449">
        <v>0.1070516884326935</v>
      </c>
    </row>
    <row r="58" spans="2:19" ht="15" customHeight="1" x14ac:dyDescent="0.15">
      <c r="B58" s="515"/>
      <c r="C58" s="441">
        <f t="shared" ref="C58:C60" si="26">C57+$B$52</f>
        <v>4.5000000000000005E-2</v>
      </c>
      <c r="D58" s="445">
        <v>6.1292228102684018E-2</v>
      </c>
      <c r="E58" s="445">
        <v>6.6914841532707228E-2</v>
      </c>
      <c r="F58" s="445">
        <v>7.2379705309867856E-2</v>
      </c>
      <c r="G58" s="445">
        <v>7.7700725197792087E-2</v>
      </c>
      <c r="H58" s="445">
        <v>8.2902678847312922E-2</v>
      </c>
      <c r="I58" s="445">
        <v>8.7974789738655093E-2</v>
      </c>
      <c r="J58" s="445">
        <v>9.2927345633506783E-2</v>
      </c>
      <c r="K58" s="445">
        <v>9.7769480943679793E-2</v>
      </c>
      <c r="L58" s="449">
        <v>0.10253755450248719</v>
      </c>
    </row>
    <row r="59" spans="2:19" ht="15" customHeight="1" x14ac:dyDescent="0.15">
      <c r="B59" s="515"/>
      <c r="C59" s="441">
        <f t="shared" si="26"/>
        <v>4.7500000000000007E-2</v>
      </c>
      <c r="D59" s="445">
        <v>5.627705752849578E-2</v>
      </c>
      <c r="E59" s="445">
        <v>6.2025722861289975E-2</v>
      </c>
      <c r="F59" s="445">
        <v>6.7603895068168676E-2</v>
      </c>
      <c r="G59" s="445">
        <v>7.3027369379997237E-2</v>
      </c>
      <c r="H59" s="445">
        <v>7.8322181105613717E-2</v>
      </c>
      <c r="I59" s="445">
        <v>8.3479306101799003E-2</v>
      </c>
      <c r="J59" s="445">
        <v>8.8509932160377516E-2</v>
      </c>
      <c r="K59" s="445">
        <v>9.3423965573310855E-2</v>
      </c>
      <c r="L59" s="449">
        <v>9.8258048295974759E-2</v>
      </c>
    </row>
    <row r="60" spans="2:19" ht="15" customHeight="1" x14ac:dyDescent="0.15">
      <c r="B60" s="516"/>
      <c r="C60" s="447">
        <f t="shared" si="26"/>
        <v>5.000000000000001E-2</v>
      </c>
      <c r="D60" s="439">
        <v>5.1455715298652643E-2</v>
      </c>
      <c r="E60" s="439">
        <v>5.7334163784980782E-2</v>
      </c>
      <c r="F60" s="439">
        <v>6.302860081195831E-2</v>
      </c>
      <c r="G60" s="439">
        <v>6.8556895852088934E-2</v>
      </c>
      <c r="H60" s="439">
        <v>7.3946443200111414E-2</v>
      </c>
      <c r="I60" s="439">
        <v>7.9190108180046098E-2</v>
      </c>
      <c r="J60" s="439">
        <v>8.4300044178962724E-2</v>
      </c>
      <c r="K60" s="439">
        <v>8.9286968111991868E-2</v>
      </c>
      <c r="L60" s="443">
        <v>9.4187858700752261E-2</v>
      </c>
    </row>
    <row r="63" spans="2:19" ht="15" customHeight="1" x14ac:dyDescent="0.15">
      <c r="B63" s="469" t="s">
        <v>40</v>
      </c>
      <c r="C63" s="331"/>
      <c r="D63" s="470" t="s">
        <v>225</v>
      </c>
      <c r="E63" s="471">
        <f>P52</f>
        <v>7.0000000000000007E-2</v>
      </c>
      <c r="F63" s="331"/>
      <c r="G63" s="470" t="s">
        <v>226</v>
      </c>
      <c r="H63" s="472">
        <f>P51</f>
        <v>0.05</v>
      </c>
      <c r="I63" s="331"/>
      <c r="J63" s="331"/>
      <c r="K63" s="331"/>
      <c r="L63" s="332"/>
    </row>
    <row r="64" spans="2:19" ht="15" customHeight="1" x14ac:dyDescent="0.15">
      <c r="B64" s="410"/>
      <c r="C64" s="411"/>
      <c r="D64" s="411"/>
      <c r="E64" s="411"/>
      <c r="F64" s="411"/>
      <c r="G64" s="411"/>
      <c r="H64" s="340" t="str">
        <f>D63</f>
        <v>Base Discount Rate</v>
      </c>
      <c r="I64" s="411"/>
      <c r="J64" s="411"/>
      <c r="K64" s="411"/>
      <c r="L64" s="341"/>
    </row>
    <row r="65" spans="2:12" ht="15" customHeight="1" x14ac:dyDescent="0.15">
      <c r="B65" s="473" t="s">
        <v>223</v>
      </c>
      <c r="C65" s="404">
        <f ca="1">D16</f>
        <v>168947.22704712953</v>
      </c>
      <c r="D65" s="448">
        <f t="shared" ref="D65:F65" si="27">E65-$B$52</f>
        <v>0.06</v>
      </c>
      <c r="E65" s="448">
        <f t="shared" si="27"/>
        <v>6.25E-2</v>
      </c>
      <c r="F65" s="448">
        <f t="shared" si="27"/>
        <v>6.5000000000000002E-2</v>
      </c>
      <c r="G65" s="448">
        <f>H65-$B$52</f>
        <v>6.7500000000000004E-2</v>
      </c>
      <c r="H65" s="460">
        <v>7.0000000000000007E-2</v>
      </c>
      <c r="I65" s="448">
        <f>H65+$B$52</f>
        <v>7.2500000000000009E-2</v>
      </c>
      <c r="J65" s="448">
        <f t="shared" ref="J65:L65" si="28">I65+$B$52</f>
        <v>7.5000000000000011E-2</v>
      </c>
      <c r="K65" s="448">
        <f t="shared" si="28"/>
        <v>7.7500000000000013E-2</v>
      </c>
      <c r="L65" s="476">
        <f t="shared" si="28"/>
        <v>8.0000000000000016E-2</v>
      </c>
    </row>
    <row r="66" spans="2:12" ht="15" customHeight="1" x14ac:dyDescent="0.15">
      <c r="B66" s="475">
        <v>2.5000000000000001E-3</v>
      </c>
      <c r="C66" s="449">
        <f t="shared" ref="C66:C68" si="29">C67-$B$52</f>
        <v>3.9999999999999994E-2</v>
      </c>
      <c r="D66" s="450">
        <f t="dataTable" ref="D66:L74" dt2D="1" dtr="1" r1="P52" r2="P51" ca="1"/>
        <v>1593933.6636237414</v>
      </c>
      <c r="E66" s="450">
        <v>1445465.9958066125</v>
      </c>
      <c r="F66" s="450">
        <v>1302369.4675119878</v>
      </c>
      <c r="G66" s="450">
        <v>1164436.8122422816</v>
      </c>
      <c r="H66" s="450">
        <v>1031469.2432978973</v>
      </c>
      <c r="I66" s="450">
        <v>903276.08759842347</v>
      </c>
      <c r="J66" s="450">
        <v>779674.4361349442</v>
      </c>
      <c r="K66" s="450">
        <v>660488.8102615308</v>
      </c>
      <c r="L66" s="477">
        <v>545550.8430731399</v>
      </c>
    </row>
    <row r="67" spans="2:12" ht="15" customHeight="1" x14ac:dyDescent="0.15">
      <c r="B67" s="515" t="str">
        <f>G63</f>
        <v>Base Exit Cap Rate</v>
      </c>
      <c r="C67" s="449">
        <f t="shared" si="29"/>
        <v>4.2499999999999996E-2</v>
      </c>
      <c r="D67" s="450">
        <v>1302077.0915469574</v>
      </c>
      <c r="E67" s="450">
        <v>1163695.0226738588</v>
      </c>
      <c r="F67" s="450">
        <v>1030313.0835827058</v>
      </c>
      <c r="G67" s="450">
        <v>901738.4790781131</v>
      </c>
      <c r="H67" s="450">
        <v>777786.29734178912</v>
      </c>
      <c r="I67" s="450">
        <v>658279.16964600282</v>
      </c>
      <c r="J67" s="450">
        <v>543046.94551744778</v>
      </c>
      <c r="K67" s="450">
        <v>431926.38261596672</v>
      </c>
      <c r="L67" s="477">
        <v>324760.85062898183</v>
      </c>
    </row>
    <row r="68" spans="2:12" ht="15" customHeight="1" x14ac:dyDescent="0.15">
      <c r="B68" s="515"/>
      <c r="C68" s="449">
        <f t="shared" si="29"/>
        <v>4.4999999999999998E-2</v>
      </c>
      <c r="D68" s="450">
        <v>1042649.0274787061</v>
      </c>
      <c r="E68" s="450">
        <v>913231.93544474524</v>
      </c>
      <c r="F68" s="450">
        <v>788485.18675667886</v>
      </c>
      <c r="G68" s="450">
        <v>668228.84959885292</v>
      </c>
      <c r="H68" s="450">
        <v>552290.3453808045</v>
      </c>
      <c r="I68" s="450">
        <v>440504.13146607438</v>
      </c>
      <c r="J68" s="450">
        <v>332711.39830189571</v>
      </c>
      <c r="K68" s="450">
        <v>228759.78026435478</v>
      </c>
      <c r="L68" s="477">
        <v>128503.07956750831</v>
      </c>
    </row>
    <row r="69" spans="2:12" ht="15" customHeight="1" x14ac:dyDescent="0.15">
      <c r="B69" s="515"/>
      <c r="C69" s="449">
        <f>C70-$B$52</f>
        <v>4.7500000000000001E-2</v>
      </c>
      <c r="D69" s="450">
        <v>810529.18068079604</v>
      </c>
      <c r="E69" s="450">
        <v>689133.38371343212</v>
      </c>
      <c r="F69" s="450">
        <v>572112.85801760061</v>
      </c>
      <c r="G69" s="450">
        <v>459299.18111740844</v>
      </c>
      <c r="H69" s="450">
        <v>350530.80941571202</v>
      </c>
      <c r="I69" s="450">
        <v>245652.78151561134</v>
      </c>
      <c r="J69" s="450">
        <v>144516.43500376958</v>
      </c>
      <c r="K69" s="450">
        <v>46979.136055017356</v>
      </c>
      <c r="L69" s="477">
        <v>-47095.978750652634</v>
      </c>
    </row>
    <row r="70" spans="2:12" ht="15" customHeight="1" x14ac:dyDescent="0.15">
      <c r="B70" s="515"/>
      <c r="C70" s="461">
        <v>0.05</v>
      </c>
      <c r="D70" s="450">
        <v>601621.3185626776</v>
      </c>
      <c r="E70" s="450">
        <v>487444.68715525093</v>
      </c>
      <c r="F70" s="450">
        <v>377377.76215243107</v>
      </c>
      <c r="G70" s="450">
        <v>271262.47948410921</v>
      </c>
      <c r="H70" s="450">
        <v>168947.22704712953</v>
      </c>
      <c r="I70" s="450">
        <v>70286.566560194828</v>
      </c>
      <c r="J70" s="450">
        <v>-24859.031964543276</v>
      </c>
      <c r="K70" s="450">
        <v>-116623.44373338623</v>
      </c>
      <c r="L70" s="477">
        <v>-205135.13123699743</v>
      </c>
    </row>
    <row r="71" spans="2:12" ht="15" customHeight="1" x14ac:dyDescent="0.15">
      <c r="B71" s="515"/>
      <c r="C71" s="449">
        <f>C70+$B$52</f>
        <v>5.2500000000000005E-2</v>
      </c>
      <c r="D71" s="450">
        <v>412609.44331295136</v>
      </c>
      <c r="E71" s="450">
        <v>304964.43788832473</v>
      </c>
      <c r="F71" s="450">
        <v>201188.8658934678</v>
      </c>
      <c r="G71" s="450">
        <v>101134.03514921945</v>
      </c>
      <c r="H71" s="450">
        <v>4657.3191898404621</v>
      </c>
      <c r="I71" s="450">
        <v>-88378.104113753419</v>
      </c>
      <c r="J71" s="450">
        <v>-178103.50207873154</v>
      </c>
      <c r="K71" s="450">
        <v>-264644.82544670347</v>
      </c>
      <c r="L71" s="477">
        <v>-348122.93586749956</v>
      </c>
    </row>
    <row r="72" spans="2:12" ht="15" customHeight="1" x14ac:dyDescent="0.15">
      <c r="B72" s="515"/>
      <c r="C72" s="449">
        <f t="shared" ref="C72:C74" si="30">C71+$B$52</f>
        <v>5.5000000000000007E-2</v>
      </c>
      <c r="D72" s="450">
        <v>240780.46581320046</v>
      </c>
      <c r="E72" s="450">
        <v>139073.30219111964</v>
      </c>
      <c r="F72" s="450">
        <v>41017.14202168351</v>
      </c>
      <c r="G72" s="450">
        <v>-53528.186973407399</v>
      </c>
      <c r="H72" s="450">
        <v>-144697.14249860356</v>
      </c>
      <c r="I72" s="450">
        <v>-232618.71381734218</v>
      </c>
      <c r="J72" s="450">
        <v>-317416.65672799293</v>
      </c>
      <c r="K72" s="450">
        <v>-399209.71791335568</v>
      </c>
      <c r="L72" s="477">
        <v>-478111.84916795581</v>
      </c>
    </row>
    <row r="73" spans="2:12" ht="15" customHeight="1" x14ac:dyDescent="0.15">
      <c r="B73" s="515"/>
      <c r="C73" s="449">
        <f t="shared" si="30"/>
        <v>5.7500000000000009E-2</v>
      </c>
      <c r="D73" s="450">
        <v>83893.13853081828</v>
      </c>
      <c r="E73" s="450">
        <v>-12392.517358503304</v>
      </c>
      <c r="F73" s="450">
        <v>-105226.60586125124</v>
      </c>
      <c r="G73" s="450">
        <v>-194741.52021580702</v>
      </c>
      <c r="H73" s="450">
        <v>-281064.25969240163</v>
      </c>
      <c r="I73" s="450">
        <v>-364316.66180757666</v>
      </c>
      <c r="J73" s="450">
        <v>-444615.62401644979</v>
      </c>
      <c r="K73" s="450">
        <v>-522073.3153829081</v>
      </c>
      <c r="L73" s="477">
        <v>-596797.37870315579</v>
      </c>
    </row>
    <row r="74" spans="2:12" ht="15" customHeight="1" x14ac:dyDescent="0.15">
      <c r="B74" s="516"/>
      <c r="C74" s="443">
        <f t="shared" si="30"/>
        <v>6.0000000000000012E-2</v>
      </c>
      <c r="D74" s="442">
        <v>-59920.244811363984</v>
      </c>
      <c r="E74" s="442">
        <v>-151236.18527898984</v>
      </c>
      <c r="F74" s="442">
        <v>-239283.37475393992</v>
      </c>
      <c r="G74" s="442">
        <v>-324187.07568800496</v>
      </c>
      <c r="H74" s="442">
        <v>-406067.45045338152</v>
      </c>
      <c r="I74" s="442">
        <v>-485039.7807986238</v>
      </c>
      <c r="J74" s="442">
        <v>-561214.67736420105</v>
      </c>
      <c r="K74" s="442">
        <v>-634698.27972999704</v>
      </c>
      <c r="L74" s="404">
        <v>-705592.44744375488</v>
      </c>
    </row>
  </sheetData>
  <mergeCells count="5">
    <mergeCell ref="B53:B60"/>
    <mergeCell ref="B67:B74"/>
    <mergeCell ref="H13:N16"/>
    <mergeCell ref="O28:Q31"/>
    <mergeCell ref="O34:Q37"/>
  </mergeCells>
  <conditionalFormatting sqref="D52:L60">
    <cfRule type="colorScale" priority="4">
      <colorScale>
        <cfvo type="min"/>
        <cfvo type="percentile" val="50"/>
        <cfvo type="max"/>
        <color rgb="FFF8696B"/>
        <color rgb="FFFFEB84"/>
        <color rgb="FF63BE7B"/>
      </colorScale>
    </cfRule>
  </conditionalFormatting>
  <conditionalFormatting sqref="D66:L74">
    <cfRule type="colorScale" priority="3">
      <colorScale>
        <cfvo type="min"/>
        <cfvo type="percentile" val="50"/>
        <cfvo type="max"/>
        <color rgb="FFF8696B"/>
        <color rgb="FFFFEB84"/>
        <color rgb="FF63BE7B"/>
      </colorScale>
    </cfRule>
  </conditionalFormatting>
  <conditionalFormatting sqref="AH8">
    <cfRule type="expression" dxfId="8" priority="2">
      <formula>AND(AH8&lt;&gt;0,AH8&lt;1)</formula>
    </cfRule>
  </conditionalFormatting>
  <conditionalFormatting sqref="D8:AG8">
    <cfRule type="expression" dxfId="7" priority="1">
      <formula>AND(D8&lt;&gt;0,D8&lt;1)</formula>
    </cfRule>
  </conditionalFormatting>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BFBAC-F152-2C41-A688-A7C7A38035AF}">
  <sheetPr codeName="Sheet6"/>
  <dimension ref="B1:BP75"/>
  <sheetViews>
    <sheetView topLeftCell="A77" zoomScale="70" zoomScaleNormal="70" workbookViewId="0">
      <selection activeCell="AD70" sqref="AD70"/>
    </sheetView>
  </sheetViews>
  <sheetFormatPr baseColWidth="10" defaultRowHeight="11" x14ac:dyDescent="0.15"/>
  <cols>
    <col min="22" max="22" width="35.25" bestFit="1" customWidth="1"/>
    <col min="53" max="53" width="35.25" bestFit="1" customWidth="1"/>
  </cols>
  <sheetData>
    <row r="1" spans="2:68" ht="16" x14ac:dyDescent="0.2">
      <c r="BA1" s="497" t="s">
        <v>354</v>
      </c>
    </row>
    <row r="2" spans="2:68" ht="24" x14ac:dyDescent="0.3">
      <c r="B2" s="498" t="s">
        <v>360</v>
      </c>
    </row>
    <row r="3" spans="2:68" x14ac:dyDescent="0.15">
      <c r="BA3" s="496" t="s">
        <v>355</v>
      </c>
    </row>
    <row r="4" spans="2:68" ht="19" x14ac:dyDescent="0.25">
      <c r="B4" s="500" t="s">
        <v>361</v>
      </c>
      <c r="BA4" t="str">
        <f>'Main Assumptions'!I44</f>
        <v>Equity</v>
      </c>
      <c r="BB4" s="499">
        <f>'Main Assumptions'!M44</f>
        <v>2519684</v>
      </c>
    </row>
    <row r="5" spans="2:68" x14ac:dyDescent="0.15">
      <c r="BA5" t="str">
        <f>'Main Assumptions'!I45</f>
        <v>Debt</v>
      </c>
      <c r="BB5" s="499">
        <f>'Main Assumptions'!M45</f>
        <v>4724400</v>
      </c>
    </row>
    <row r="6" spans="2:68" x14ac:dyDescent="0.15">
      <c r="BB6" s="499"/>
    </row>
    <row r="7" spans="2:68" x14ac:dyDescent="0.15">
      <c r="BA7" s="496" t="s">
        <v>356</v>
      </c>
      <c r="BB7" s="499"/>
    </row>
    <row r="8" spans="2:68" x14ac:dyDescent="0.15">
      <c r="BA8" t="str">
        <f>'Main Assumptions'!I50</f>
        <v>Purchasing Price</v>
      </c>
      <c r="BB8" s="499">
        <f>'Main Assumptions'!M50</f>
        <v>5985000</v>
      </c>
    </row>
    <row r="9" spans="2:68" x14ac:dyDescent="0.15">
      <c r="BA9" t="str">
        <f>'Main Assumptions'!I51</f>
        <v>Closing Costs</v>
      </c>
      <c r="BB9" s="499">
        <f>'Main Assumptions'!M51</f>
        <v>239400</v>
      </c>
    </row>
    <row r="10" spans="2:68" x14ac:dyDescent="0.15">
      <c r="BA10" t="str">
        <f>'Main Assumptions'!I52</f>
        <v>Initial Renovations</v>
      </c>
      <c r="BB10" s="499">
        <f>'Main Assumptions'!M52</f>
        <v>400000</v>
      </c>
    </row>
    <row r="11" spans="2:68" x14ac:dyDescent="0.15">
      <c r="BA11" t="str">
        <f>'Main Assumptions'!I53</f>
        <v>Exit Renovations</v>
      </c>
      <c r="BB11" s="499">
        <f>'Main Assumptions'!M53</f>
        <v>100000</v>
      </c>
    </row>
    <row r="12" spans="2:68" x14ac:dyDescent="0.15">
      <c r="BA12" t="str">
        <f>'Main Assumptions'!I54</f>
        <v>Cash Reserve</v>
      </c>
      <c r="BB12" s="499">
        <f>'Main Assumptions'!M54</f>
        <v>519684</v>
      </c>
    </row>
    <row r="15" spans="2:68" x14ac:dyDescent="0.15">
      <c r="BA15" t="s">
        <v>133</v>
      </c>
      <c r="BB15">
        <f>'Deal Summary'!D$3</f>
        <v>1</v>
      </c>
      <c r="BC15">
        <f>'Deal Summary'!E$3</f>
        <v>2</v>
      </c>
      <c r="BD15">
        <f>'Deal Summary'!F$3</f>
        <v>3</v>
      </c>
      <c r="BE15">
        <f>'Deal Summary'!G$3</f>
        <v>4</v>
      </c>
      <c r="BF15">
        <f>'Deal Summary'!H$3</f>
        <v>5</v>
      </c>
      <c r="BG15">
        <f>'Deal Summary'!I$3</f>
        <v>6</v>
      </c>
      <c r="BH15">
        <f>'Deal Summary'!J$3</f>
        <v>7</v>
      </c>
      <c r="BI15">
        <f>'Deal Summary'!K$3</f>
        <v>8</v>
      </c>
      <c r="BJ15">
        <f>'Deal Summary'!L$3</f>
        <v>9</v>
      </c>
      <c r="BK15">
        <f>'Deal Summary'!M$3</f>
        <v>10</v>
      </c>
      <c r="BL15">
        <f>'Deal Summary'!N$3</f>
        <v>11</v>
      </c>
      <c r="BM15">
        <f>'Deal Summary'!O$3</f>
        <v>12</v>
      </c>
      <c r="BN15">
        <f>'Deal Summary'!P$3</f>
        <v>13</v>
      </c>
      <c r="BO15">
        <f>'Deal Summary'!Q$3</f>
        <v>14</v>
      </c>
      <c r="BP15">
        <f>'Deal Summary'!R$3</f>
        <v>15</v>
      </c>
    </row>
    <row r="16" spans="2:68" x14ac:dyDescent="0.15">
      <c r="BA16" t="s">
        <v>357</v>
      </c>
      <c r="BB16" s="499">
        <f>'Deal Summary'!D$6</f>
        <v>321547.1581</v>
      </c>
      <c r="BC16" s="499">
        <f>'Deal Summary'!E$6</f>
        <v>330953.04108199995</v>
      </c>
      <c r="BD16" s="499">
        <f>'Deal Summary'!F$6</f>
        <v>341595.54450363992</v>
      </c>
      <c r="BE16" s="499">
        <f>'Deal Summary'!G$6</f>
        <v>352572.40359046275</v>
      </c>
      <c r="BF16" s="499">
        <f>'Deal Summary'!H$6</f>
        <v>363893.97068164329</v>
      </c>
      <c r="BG16" s="499">
        <f>'Deal Summary'!I$6</f>
        <v>375570.91562136548</v>
      </c>
      <c r="BH16" s="499">
        <f>'Deal Summary'!J$6</f>
        <v>387614.2354352047</v>
      </c>
      <c r="BI16" s="499">
        <f>'Deal Summary'!K$6</f>
        <v>400035.26430014148</v>
      </c>
      <c r="BJ16" s="499">
        <f>'Deal Summary'!L$6</f>
        <v>412845.68381708727</v>
      </c>
      <c r="BK16" s="499">
        <f>'Deal Summary'!M$6</f>
        <v>426057.5335950742</v>
      </c>
      <c r="BL16" s="499">
        <f>'Deal Summary'!N$6</f>
        <v>439683.22215653793</v>
      </c>
      <c r="BM16" s="499">
        <f>'Deal Summary'!O$6</f>
        <v>453735.53817340767</v>
      </c>
      <c r="BN16" s="499">
        <f>'Deal Summary'!P$6</f>
        <v>468227.6620440039</v>
      </c>
      <c r="BO16" s="499">
        <f>'Deal Summary'!Q$6</f>
        <v>483173.17782105727</v>
      </c>
      <c r="BP16" s="499">
        <f>'Deal Summary'!R$6</f>
        <v>498586.08550146408</v>
      </c>
    </row>
    <row r="19" spans="2:68" x14ac:dyDescent="0.15">
      <c r="BA19" t="s">
        <v>133</v>
      </c>
      <c r="BB19">
        <f>'Deal Summary'!D$3</f>
        <v>1</v>
      </c>
      <c r="BC19">
        <f>'Deal Summary'!E$3</f>
        <v>2</v>
      </c>
      <c r="BD19">
        <f>'Deal Summary'!F$3</f>
        <v>3</v>
      </c>
      <c r="BE19">
        <f>'Deal Summary'!G$3</f>
        <v>4</v>
      </c>
      <c r="BF19">
        <f>'Deal Summary'!H$3</f>
        <v>5</v>
      </c>
      <c r="BG19">
        <f>'Deal Summary'!I$3</f>
        <v>6</v>
      </c>
      <c r="BH19">
        <f>'Deal Summary'!J$3</f>
        <v>7</v>
      </c>
      <c r="BI19">
        <f>'Deal Summary'!K$3</f>
        <v>8</v>
      </c>
      <c r="BJ19">
        <f>'Deal Summary'!L$3</f>
        <v>9</v>
      </c>
      <c r="BK19">
        <f>'Deal Summary'!M$3</f>
        <v>10</v>
      </c>
      <c r="BL19">
        <f>'Deal Summary'!N$3</f>
        <v>11</v>
      </c>
      <c r="BM19">
        <f>'Deal Summary'!O$3</f>
        <v>12</v>
      </c>
      <c r="BN19">
        <f>'Deal Summary'!P$3</f>
        <v>13</v>
      </c>
      <c r="BO19">
        <f>'Deal Summary'!Q$3</f>
        <v>14</v>
      </c>
      <c r="BP19">
        <f>'Deal Summary'!R$3</f>
        <v>15</v>
      </c>
    </row>
    <row r="20" spans="2:68" x14ac:dyDescent="0.15">
      <c r="BA20" t="s">
        <v>358</v>
      </c>
      <c r="BB20" s="218">
        <f>'Deal Summary'!D$8</f>
        <v>0.92360551371661703</v>
      </c>
      <c r="BC20" s="218">
        <f>'Deal Summary'!E$8</f>
        <v>0.95062278059243466</v>
      </c>
      <c r="BD20" s="218">
        <f>'Deal Summary'!F$8</f>
        <v>0.98119209085490544</v>
      </c>
      <c r="BE20" s="218">
        <f>'Deal Summary'!G$8</f>
        <v>1.0127217975261955</v>
      </c>
      <c r="BF20" s="218">
        <f>'Deal Summary'!H$8</f>
        <v>1.0452416364546893</v>
      </c>
      <c r="BG20" s="218">
        <f>'Deal Summary'!I$8</f>
        <v>1.078782255483699</v>
      </c>
      <c r="BH20" s="218">
        <f>'Deal Summary'!J$8</f>
        <v>1.1133752422457064</v>
      </c>
      <c r="BI20" s="218">
        <f>'Deal Summary'!K$8</f>
        <v>1.1490531528000303</v>
      </c>
      <c r="BJ20" s="218">
        <f>'Deal Summary'!L$8</f>
        <v>1.1858495411394183</v>
      </c>
      <c r="BK20" s="218">
        <f>'Deal Summary'!M$8</f>
        <v>1.2237989895918577</v>
      </c>
      <c r="BL20" s="218">
        <f>'Deal Summary'!N$8</f>
        <v>1.2629371401446907</v>
      </c>
      <c r="BM20" s="218">
        <f>'Deal Summary'!O$8</f>
        <v>1.3033007267189274</v>
      </c>
      <c r="BN20" s="218">
        <f>'Deal Summary'!P$8</f>
        <v>1.3449276084224946</v>
      </c>
      <c r="BO20" s="218">
        <f>'Deal Summary'!Q$8</f>
        <v>1.3878568038120314</v>
      </c>
      <c r="BP20" s="218">
        <f>'Deal Summary'!R$8</f>
        <v>1.4321285261937349</v>
      </c>
    </row>
    <row r="21" spans="2:68" x14ac:dyDescent="0.15">
      <c r="BA21" t="s">
        <v>359</v>
      </c>
      <c r="BB21" s="218">
        <v>1</v>
      </c>
      <c r="BC21" s="218">
        <v>1</v>
      </c>
      <c r="BD21" s="218">
        <v>1</v>
      </c>
      <c r="BE21" s="218">
        <v>1</v>
      </c>
      <c r="BF21" s="218">
        <v>1</v>
      </c>
      <c r="BG21" s="218">
        <v>1</v>
      </c>
      <c r="BH21" s="218">
        <v>1</v>
      </c>
      <c r="BI21" s="218">
        <v>1</v>
      </c>
      <c r="BJ21" s="218">
        <v>1</v>
      </c>
      <c r="BK21" s="218">
        <v>1</v>
      </c>
      <c r="BL21" s="218">
        <v>1</v>
      </c>
      <c r="BM21" s="218">
        <v>1</v>
      </c>
      <c r="BN21" s="218">
        <v>1</v>
      </c>
      <c r="BO21" s="218">
        <v>1</v>
      </c>
      <c r="BP21" s="218">
        <v>1</v>
      </c>
    </row>
    <row r="28" spans="2:68" ht="19" x14ac:dyDescent="0.25">
      <c r="B28" s="500" t="s">
        <v>362</v>
      </c>
    </row>
    <row r="51" spans="2:2" ht="19" x14ac:dyDescent="0.25">
      <c r="B51" s="500" t="s">
        <v>363</v>
      </c>
    </row>
    <row r="75" spans="2:2" ht="19" x14ac:dyDescent="0.25">
      <c r="B75" s="500" t="s">
        <v>364</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93189-9478-4F43-9EE7-D124353D7346}">
  <sheetPr codeName="Sheet7"/>
  <dimension ref="B2:AW43"/>
  <sheetViews>
    <sheetView showGridLines="0" zoomScale="120" zoomScaleNormal="120" workbookViewId="0">
      <pane xSplit="3" ySplit="7" topLeftCell="D8" activePane="bottomRight" state="frozen"/>
      <selection pane="topRight" activeCell="D1" sqref="D1"/>
      <selection pane="bottomLeft" activeCell="A8" sqref="A8"/>
      <selection pane="bottomRight" activeCell="S35" sqref="S35"/>
    </sheetView>
  </sheetViews>
  <sheetFormatPr baseColWidth="10" defaultRowHeight="11" x14ac:dyDescent="0.15"/>
  <cols>
    <col min="2" max="2" width="28" bestFit="1" customWidth="1"/>
    <col min="3" max="3" width="14.25" style="45" bestFit="1" customWidth="1"/>
    <col min="4" max="4" width="18.75" customWidth="1"/>
    <col min="5" max="11" width="18.75" style="7" customWidth="1"/>
    <col min="12" max="12" width="16.75" style="7" customWidth="1"/>
    <col min="13" max="24" width="16.75" customWidth="1"/>
    <col min="25" max="33" width="13" customWidth="1"/>
    <col min="34" max="34" width="14.5" bestFit="1" customWidth="1"/>
    <col min="36" max="36" width="16" bestFit="1" customWidth="1"/>
  </cols>
  <sheetData>
    <row r="2" spans="2:49" ht="16" x14ac:dyDescent="0.2">
      <c r="B2" s="26" t="s">
        <v>131</v>
      </c>
    </row>
    <row r="3" spans="2:49" x14ac:dyDescent="0.15">
      <c r="G3" s="85"/>
      <c r="H3" s="232"/>
      <c r="L3" s="233"/>
    </row>
    <row r="4" spans="2:49" x14ac:dyDescent="0.15">
      <c r="B4" t="s">
        <v>132</v>
      </c>
      <c r="D4" s="7">
        <f>hold_length</f>
        <v>15</v>
      </c>
      <c r="E4" s="7" t="s">
        <v>224</v>
      </c>
      <c r="F4" s="7" t="str">
        <f>SUBSTITUTE(ADDRESS(1,D4+4,4),"1","")</f>
        <v>S</v>
      </c>
      <c r="G4" s="41" t="s">
        <v>237</v>
      </c>
      <c r="H4" s="220" cm="1">
        <f t="array" aca="1" ref="H4" ca="1">INDIRECT(F4&amp;"22")</f>
        <v>498586.08550146408</v>
      </c>
      <c r="I4" s="41" t="s">
        <v>95</v>
      </c>
      <c r="J4" s="221">
        <f ca="1">H4/'Deal Summary'!H49</f>
        <v>9971721.7100292817</v>
      </c>
    </row>
    <row r="5" spans="2:49" x14ac:dyDescent="0.15">
      <c r="D5" s="7"/>
    </row>
    <row r="6" spans="2:49" x14ac:dyDescent="0.15">
      <c r="B6" s="87" t="s">
        <v>133</v>
      </c>
      <c r="C6" s="87"/>
      <c r="D6" s="88" t="s">
        <v>134</v>
      </c>
      <c r="E6" s="89">
        <v>1</v>
      </c>
      <c r="F6" s="89">
        <f>IF(E6&lt;$D$4,E6+1,"")</f>
        <v>2</v>
      </c>
      <c r="G6" s="89">
        <f t="shared" ref="G6:K6" si="0">IF(F6&lt;$D$4,F6+1,"")</f>
        <v>3</v>
      </c>
      <c r="H6" s="89">
        <f t="shared" si="0"/>
        <v>4</v>
      </c>
      <c r="I6" s="89">
        <f t="shared" si="0"/>
        <v>5</v>
      </c>
      <c r="J6" s="89">
        <f t="shared" si="0"/>
        <v>6</v>
      </c>
      <c r="K6" s="89">
        <f t="shared" si="0"/>
        <v>7</v>
      </c>
      <c r="L6" s="89">
        <f t="shared" ref="L6" si="1">IF(K6&lt;$D$4,K6+1,"")</f>
        <v>8</v>
      </c>
      <c r="M6" s="89">
        <f t="shared" ref="M6" si="2">IF(L6&lt;$D$4,L6+1,"")</f>
        <v>9</v>
      </c>
      <c r="N6" s="89">
        <f t="shared" ref="N6" si="3">IF(M6&lt;$D$4,M6+1,"")</f>
        <v>10</v>
      </c>
      <c r="O6" s="89">
        <f t="shared" ref="O6" si="4">IF(N6&lt;$D$4,N6+1,"")</f>
        <v>11</v>
      </c>
      <c r="P6" s="89">
        <f t="shared" ref="P6" si="5">IF(O6&lt;$D$4,O6+1,"")</f>
        <v>12</v>
      </c>
      <c r="Q6" s="89">
        <f t="shared" ref="Q6" si="6">IF(P6&lt;$D$4,P6+1,"")</f>
        <v>13</v>
      </c>
      <c r="R6" s="89">
        <f t="shared" ref="R6" si="7">IF(Q6&lt;$D$4,Q6+1,"")</f>
        <v>14</v>
      </c>
      <c r="S6" s="89">
        <f t="shared" ref="S6" si="8">IF(R6&lt;$D$4,R6+1,"")</f>
        <v>15</v>
      </c>
      <c r="T6" s="89" t="str">
        <f t="shared" ref="T6" si="9">IF(S6&lt;$D$4,S6+1,"")</f>
        <v/>
      </c>
      <c r="U6" s="89" t="str">
        <f t="shared" ref="U6" si="10">IF(T6&lt;$D$4,T6+1,"")</f>
        <v/>
      </c>
      <c r="V6" s="89" t="str">
        <f t="shared" ref="V6" si="11">IF(U6&lt;$D$4,U6+1,"")</f>
        <v/>
      </c>
      <c r="W6" s="89" t="str">
        <f t="shared" ref="W6" si="12">IF(V6&lt;$D$4,V6+1,"")</f>
        <v/>
      </c>
      <c r="X6" s="89" t="str">
        <f t="shared" ref="X6" si="13">IF(W6&lt;$D$4,W6+1,"")</f>
        <v/>
      </c>
      <c r="Y6" s="89" t="str">
        <f t="shared" ref="Y6" si="14">IF(X6&lt;$D$4,X6+1,"")</f>
        <v/>
      </c>
      <c r="Z6" s="89" t="str">
        <f t="shared" ref="Z6" si="15">IF(Y6&lt;$D$4,Y6+1,"")</f>
        <v/>
      </c>
      <c r="AA6" s="89" t="str">
        <f t="shared" ref="AA6" si="16">IF(Z6&lt;$D$4,Z6+1,"")</f>
        <v/>
      </c>
      <c r="AB6" s="89" t="str">
        <f t="shared" ref="AB6" si="17">IF(AA6&lt;$D$4,AA6+1,"")</f>
        <v/>
      </c>
      <c r="AC6" s="89" t="str">
        <f t="shared" ref="AC6" si="18">IF(AB6&lt;$D$4,AB6+1,"")</f>
        <v/>
      </c>
      <c r="AD6" s="89" t="str">
        <f t="shared" ref="AD6" si="19">IF(AC6&lt;$D$4,AC6+1,"")</f>
        <v/>
      </c>
      <c r="AE6" s="89" t="str">
        <f t="shared" ref="AE6" si="20">IF(AD6&lt;$D$4,AD6+1,"")</f>
        <v/>
      </c>
      <c r="AF6" s="89" t="str">
        <f t="shared" ref="AF6" si="21">IF(AE6&lt;$D$4,AE6+1,"")</f>
        <v/>
      </c>
      <c r="AG6" s="89" t="str">
        <f t="shared" ref="AG6" si="22">IF(AF6&lt;$D$4,AF6+1,"")</f>
        <v/>
      </c>
      <c r="AH6" s="89" t="str">
        <f t="shared" ref="AH6" si="23">IF(AG6&lt;$D$4,AG6+1,"")</f>
        <v/>
      </c>
      <c r="AI6" s="207"/>
      <c r="AJ6" s="207"/>
      <c r="AK6" s="207"/>
      <c r="AL6" s="207"/>
      <c r="AM6" s="207"/>
      <c r="AN6" s="207"/>
      <c r="AO6" s="207"/>
      <c r="AP6" s="207"/>
      <c r="AQ6" s="207"/>
      <c r="AR6" s="207"/>
      <c r="AS6" s="207"/>
      <c r="AT6" s="207"/>
      <c r="AU6" s="207"/>
      <c r="AV6" s="207"/>
      <c r="AW6" s="207"/>
    </row>
    <row r="7" spans="2:49" x14ac:dyDescent="0.15">
      <c r="B7" s="76" t="s">
        <v>64</v>
      </c>
      <c r="C7" s="76"/>
      <c r="D7" s="83">
        <f>purchase_date</f>
        <v>46266</v>
      </c>
      <c r="E7" s="83">
        <f>EDATE(D7,12)</f>
        <v>46631</v>
      </c>
      <c r="F7" s="83">
        <f t="shared" ref="F7:K7" si="24">EDATE(E7,12)</f>
        <v>46997</v>
      </c>
      <c r="G7" s="83">
        <f t="shared" si="24"/>
        <v>47362</v>
      </c>
      <c r="H7" s="83">
        <f t="shared" si="24"/>
        <v>47727</v>
      </c>
      <c r="I7" s="83">
        <f t="shared" si="24"/>
        <v>48092</v>
      </c>
      <c r="J7" s="83">
        <f t="shared" si="24"/>
        <v>48458</v>
      </c>
      <c r="K7" s="83">
        <f t="shared" si="24"/>
        <v>48823</v>
      </c>
      <c r="L7" s="83">
        <f t="shared" ref="L7" si="25">EDATE(K7,12)</f>
        <v>49188</v>
      </c>
      <c r="M7" s="83">
        <f t="shared" ref="M7" si="26">EDATE(L7,12)</f>
        <v>49553</v>
      </c>
      <c r="N7" s="83">
        <f t="shared" ref="N7" si="27">EDATE(M7,12)</f>
        <v>49919</v>
      </c>
      <c r="O7" s="83">
        <f t="shared" ref="O7" si="28">EDATE(N7,12)</f>
        <v>50284</v>
      </c>
      <c r="P7" s="83">
        <f t="shared" ref="P7" si="29">EDATE(O7,12)</f>
        <v>50649</v>
      </c>
      <c r="Q7" s="83">
        <f t="shared" ref="Q7" si="30">EDATE(P7,12)</f>
        <v>51014</v>
      </c>
      <c r="R7" s="83">
        <f t="shared" ref="R7" si="31">EDATE(Q7,12)</f>
        <v>51380</v>
      </c>
      <c r="S7" s="83">
        <f t="shared" ref="S7" si="32">EDATE(R7,12)</f>
        <v>51745</v>
      </c>
      <c r="T7" s="83">
        <f t="shared" ref="T7" si="33">EDATE(S7,12)</f>
        <v>52110</v>
      </c>
      <c r="U7" s="83">
        <f t="shared" ref="U7" si="34">EDATE(T7,12)</f>
        <v>52475</v>
      </c>
      <c r="V7" s="83">
        <f t="shared" ref="V7" si="35">EDATE(U7,12)</f>
        <v>52841</v>
      </c>
      <c r="W7" s="83">
        <f t="shared" ref="W7" si="36">EDATE(V7,12)</f>
        <v>53206</v>
      </c>
      <c r="X7" s="83">
        <f t="shared" ref="X7" si="37">EDATE(W7,12)</f>
        <v>53571</v>
      </c>
      <c r="Y7" s="83">
        <f t="shared" ref="Y7" si="38">EDATE(X7,12)</f>
        <v>53936</v>
      </c>
      <c r="Z7" s="83">
        <f t="shared" ref="Z7" si="39">EDATE(Y7,12)</f>
        <v>54302</v>
      </c>
      <c r="AA7" s="83">
        <f t="shared" ref="AA7" si="40">EDATE(Z7,12)</f>
        <v>54667</v>
      </c>
      <c r="AB7" s="83">
        <f t="shared" ref="AB7" si="41">EDATE(AA7,12)</f>
        <v>55032</v>
      </c>
      <c r="AC7" s="83">
        <f t="shared" ref="AC7" si="42">EDATE(AB7,12)</f>
        <v>55397</v>
      </c>
      <c r="AD7" s="83">
        <f t="shared" ref="AD7" si="43">EDATE(AC7,12)</f>
        <v>55763</v>
      </c>
      <c r="AE7" s="83">
        <f t="shared" ref="AE7" si="44">EDATE(AD7,12)</f>
        <v>56128</v>
      </c>
      <c r="AF7" s="83">
        <f t="shared" ref="AF7" si="45">EDATE(AE7,12)</f>
        <v>56493</v>
      </c>
      <c r="AG7" s="83">
        <f t="shared" ref="AG7" si="46">EDATE(AF7,12)</f>
        <v>56858</v>
      </c>
      <c r="AH7" s="83">
        <f t="shared" ref="AH7" si="47">EDATE(AG7,12)</f>
        <v>57224</v>
      </c>
      <c r="AI7" s="207"/>
    </row>
    <row r="8" spans="2:49" x14ac:dyDescent="0.15">
      <c r="B8" s="45" t="s">
        <v>102</v>
      </c>
      <c r="C8" s="44"/>
      <c r="D8" s="45"/>
      <c r="E8" s="80">
        <f>IFERROR(SUM(INDEX('Monthly P&amp;L'!$G20:$NB20,1,(COLUMN(A1)-1)*12+1):INDEX('Monthly P&amp;L'!$G$20:$NB$20,1,(COLUMN(A1)-1)*12+12)),0)</f>
        <v>440126.28</v>
      </c>
      <c r="F8" s="80">
        <f>IFERROR(SUM(INDEX('Monthly P&amp;L'!$G20:$NB20,1,(COLUMN(B1)-1)*12+1):INDEX('Monthly P&amp;L'!$G$20:$NB$20,1,(COLUMN(B1)-1)*12+12)),0)</f>
        <v>452314.1999999999</v>
      </c>
      <c r="G8" s="80">
        <f>IFERROR(SUM(INDEX('Monthly P&amp;L'!$G20:$NB20,1,(COLUMN(C1)-1)*12+1):INDEX('Monthly P&amp;L'!$G$20:$NB$20,1,(COLUMN(C1)-1)*12+12)),0)</f>
        <v>465883.62599999987</v>
      </c>
      <c r="H8" s="80">
        <f>IFERROR(SUM(INDEX('Monthly P&amp;L'!$G20:$NB20,1,(COLUMN(D1)-1)*12+1):INDEX('Monthly P&amp;L'!$G$20:$NB$20,1,(COLUMN(D1)-1)*12+12)),0)</f>
        <v>479860.13477999991</v>
      </c>
      <c r="I8" s="80">
        <f>IFERROR(SUM(INDEX('Monthly P&amp;L'!$G20:$NB20,1,(COLUMN(E1)-1)*12+1):INDEX('Monthly P&amp;L'!$G$20:$NB$20,1,(COLUMN(E1)-1)*12+12)),0)</f>
        <v>494255.93882340001</v>
      </c>
      <c r="J8" s="80">
        <f>IFERROR(SUM(INDEX('Monthly P&amp;L'!$G20:$NB20,1,(COLUMN(F1)-1)*12+1):INDEX('Monthly P&amp;L'!$G$20:$NB$20,1,(COLUMN(F1)-1)*12+12)),0)</f>
        <v>509083.61698810215</v>
      </c>
      <c r="K8" s="80">
        <f>IFERROR(SUM(INDEX('Monthly P&amp;L'!$G20:$NB20,1,(COLUMN(G1)-1)*12+1):INDEX('Monthly P&amp;L'!$G$20:$NB$20,1,(COLUMN(G1)-1)*12+12)),0)</f>
        <v>524356.12549774523</v>
      </c>
      <c r="L8" s="80">
        <f>IFERROR(SUM(INDEX('Monthly P&amp;L'!$G20:$NB20,1,(COLUMN(H1)-1)*12+1):INDEX('Monthly P&amp;L'!$G$20:$NB$20,1,(COLUMN(H1)-1)*12+12)),0)</f>
        <v>540086.80926267733</v>
      </c>
      <c r="M8" s="80">
        <f>IFERROR(SUM(INDEX('Monthly P&amp;L'!$G20:$NB20,1,(COLUMN(I1)-1)*12+1):INDEX('Monthly P&amp;L'!$G$20:$NB$20,1,(COLUMN(I1)-1)*12+12)),0)</f>
        <v>556289.41354055761</v>
      </c>
      <c r="N8" s="80">
        <f>IFERROR(SUM(INDEX('Monthly P&amp;L'!$G20:$NB20,1,(COLUMN(J1)-1)*12+1):INDEX('Monthly P&amp;L'!$G$20:$NB$20,1,(COLUMN(J1)-1)*12+12)),0)</f>
        <v>572978.09594677459</v>
      </c>
      <c r="O8" s="80">
        <f>IFERROR(SUM(INDEX('Monthly P&amp;L'!$G20:$NB20,1,(COLUMN(K1)-1)*12+1):INDEX('Monthly P&amp;L'!$G$20:$NB$20,1,(COLUMN(K1)-1)*12+12)),0)</f>
        <v>590167.43882517773</v>
      </c>
      <c r="P8" s="80">
        <f>IFERROR(SUM(INDEX('Monthly P&amp;L'!$G20:$NB20,1,(COLUMN(L1)-1)*12+1):INDEX('Monthly P&amp;L'!$G$20:$NB$20,1,(COLUMN(L1)-1)*12+12)),0)</f>
        <v>607872.46198993304</v>
      </c>
      <c r="Q8" s="80">
        <f>IFERROR(SUM(INDEX('Monthly P&amp;L'!$G20:$NB20,1,(COLUMN(M1)-1)*12+1):INDEX('Monthly P&amp;L'!$G$20:$NB$20,1,(COLUMN(M1)-1)*12+12)),0)</f>
        <v>626108.63584963104</v>
      </c>
      <c r="R8" s="80">
        <f>IFERROR(SUM(INDEX('Monthly P&amp;L'!$G20:$NB20,1,(COLUMN(N1)-1)*12+1):INDEX('Monthly P&amp;L'!$G$20:$NB$20,1,(COLUMN(N1)-1)*12+12)),0)</f>
        <v>644891.89492511994</v>
      </c>
      <c r="S8" s="80">
        <f>IFERROR(SUM(INDEX('Monthly P&amp;L'!$G20:$NB20,1,(COLUMN(O1)-1)*12+1):INDEX('Monthly P&amp;L'!$G$20:$NB$20,1,(COLUMN(O1)-1)*12+12)),0)</f>
        <v>664238.65177287348</v>
      </c>
      <c r="T8" s="80">
        <f>IFERROR(SUM(INDEX('Monthly P&amp;L'!$G20:$NB20,1,(COLUMN(P1)-1)*12+1):INDEX('Monthly P&amp;L'!$G$20:$NB$20,1,(COLUMN(P1)-1)*12+12)),0)</f>
        <v>0</v>
      </c>
      <c r="U8" s="80">
        <f>IFERROR(SUM(INDEX('Monthly P&amp;L'!$G20:$NB20,1,(COLUMN(Q1)-1)*12+1):INDEX('Monthly P&amp;L'!$G$20:$NB$20,1,(COLUMN(Q1)-1)*12+12)),0)</f>
        <v>0</v>
      </c>
      <c r="V8" s="80">
        <f>IFERROR(SUM(INDEX('Monthly P&amp;L'!$G20:$NB20,1,(COLUMN(R1)-1)*12+1):INDEX('Monthly P&amp;L'!$G$20:$NB$20,1,(COLUMN(R1)-1)*12+12)),0)</f>
        <v>0</v>
      </c>
      <c r="W8" s="80">
        <f>IFERROR(SUM(INDEX('Monthly P&amp;L'!$G20:$NB20,1,(COLUMN(S1)-1)*12+1):INDEX('Monthly P&amp;L'!$G$20:$NB$20,1,(COLUMN(S1)-1)*12+12)),0)</f>
        <v>0</v>
      </c>
      <c r="X8" s="80">
        <f>IFERROR(SUM(INDEX('Monthly P&amp;L'!$G20:$NB20,1,(COLUMN(T1)-1)*12+1):INDEX('Monthly P&amp;L'!$G$20:$NB$20,1,(COLUMN(T1)-1)*12+12)),0)</f>
        <v>0</v>
      </c>
      <c r="Y8" s="80">
        <f>IFERROR(SUM(INDEX('Monthly P&amp;L'!$G20:$NB20,1,(COLUMN(U1)-1)*12+1):INDEX('Monthly P&amp;L'!$G$20:$NB$20,1,(COLUMN(U1)-1)*12+12)),0)</f>
        <v>0</v>
      </c>
      <c r="Z8" s="80">
        <f>IFERROR(SUM(INDEX('Monthly P&amp;L'!$G20:$NB20,1,(COLUMN(V1)-1)*12+1):INDEX('Monthly P&amp;L'!$G$20:$NB$20,1,(COLUMN(V1)-1)*12+12)),0)</f>
        <v>0</v>
      </c>
      <c r="AA8" s="80">
        <f>IFERROR(SUM(INDEX('Monthly P&amp;L'!$G20:$NB20,1,(COLUMN(W1)-1)*12+1):INDEX('Monthly P&amp;L'!$G$20:$NB$20,1,(COLUMN(W1)-1)*12+12)),0)</f>
        <v>0</v>
      </c>
      <c r="AB8" s="80">
        <f>IFERROR(SUM(INDEX('Monthly P&amp;L'!$G20:$NB20,1,(COLUMN(X1)-1)*12+1):INDEX('Monthly P&amp;L'!$G$20:$NB$20,1,(COLUMN(X1)-1)*12+12)),0)</f>
        <v>0</v>
      </c>
      <c r="AC8" s="80">
        <f>IFERROR(SUM(INDEX('Monthly P&amp;L'!$G20:$NB20,1,(COLUMN(Y1)-1)*12+1):INDEX('Monthly P&amp;L'!$G$20:$NB$20,1,(COLUMN(Y1)-1)*12+12)),0)</f>
        <v>0</v>
      </c>
      <c r="AD8" s="80">
        <f>IFERROR(SUM(INDEX('Monthly P&amp;L'!$G20:$NB20,1,(COLUMN(Z1)-1)*12+1):INDEX('Monthly P&amp;L'!$G$20:$NB$20,1,(COLUMN(Z1)-1)*12+12)),0)</f>
        <v>0</v>
      </c>
      <c r="AE8" s="80">
        <f>IFERROR(SUM(INDEX('Monthly P&amp;L'!$G20:$NB20,1,(COLUMN(AA1)-1)*12+1):INDEX('Monthly P&amp;L'!$G$20:$NB$20,1,(COLUMN(AA1)-1)*12+12)),0)</f>
        <v>0</v>
      </c>
      <c r="AF8" s="80">
        <f>IFERROR(SUM(INDEX('Monthly P&amp;L'!$G20:$NB20,1,(COLUMN(AB1)-1)*12+1):INDEX('Monthly P&amp;L'!$G$20:$NB$20,1,(COLUMN(AB1)-1)*12+12)),0)</f>
        <v>0</v>
      </c>
      <c r="AG8" s="80">
        <f>IFERROR(SUM(INDEX('Monthly P&amp;L'!$G20:$NB20,1,(COLUMN(AC1)-1)*12+1):INDEX('Monthly P&amp;L'!$G$20:$NB$20,1,(COLUMN(AC1)-1)*12+12)),0)</f>
        <v>0</v>
      </c>
      <c r="AH8" s="80">
        <f>IFERROR(SUM(INDEX('Monthly P&amp;L'!$G20:$NB20,1,(COLUMN(AD1)-1)*12+1):INDEX('Monthly P&amp;L'!$G$20:$NB$20,1,(COLUMN(AD1)-1)*12+12)),0)</f>
        <v>0</v>
      </c>
    </row>
    <row r="9" spans="2:49" x14ac:dyDescent="0.15">
      <c r="B9" s="65" t="s">
        <v>297</v>
      </c>
      <c r="C9" s="389"/>
      <c r="D9" s="65"/>
      <c r="E9" s="81">
        <f>IFERROR(SUM(INDEX('Monthly P&amp;L'!$G21:$NB21,1,(COLUMN(A2)-1)*12+1):INDEX('Monthly P&amp;L'!$G$21:$NB$21,1,(COLUMN(A2)-1)*12+12)),0)</f>
        <v>6000</v>
      </c>
      <c r="F9" s="81">
        <f>IFERROR(SUM(INDEX('Monthly P&amp;L'!$G21:$NB21,1,(COLUMN(B2)-1)*12+1):INDEX('Monthly P&amp;L'!$G$21:$NB$21,1,(COLUMN(B2)-1)*12+12)),0)</f>
        <v>6150</v>
      </c>
      <c r="G9" s="81">
        <f>IFERROR(SUM(INDEX('Monthly P&amp;L'!$G21:$NB21,1,(COLUMN(C2)-1)*12+1):INDEX('Monthly P&amp;L'!$G$21:$NB$21,1,(COLUMN(C2)-1)*12+12)),0)</f>
        <v>6303.75</v>
      </c>
      <c r="H9" s="81">
        <f>IFERROR(SUM(INDEX('Monthly P&amp;L'!$G21:$NB21,1,(COLUMN(D2)-1)*12+1):INDEX('Monthly P&amp;L'!$G$21:$NB$21,1,(COLUMN(D2)-1)*12+12)),0)</f>
        <v>6461.34375</v>
      </c>
      <c r="I9" s="81">
        <f>IFERROR(SUM(INDEX('Monthly P&amp;L'!$G21:$NB21,1,(COLUMN(E2)-1)*12+1):INDEX('Monthly P&amp;L'!$G$21:$NB$21,1,(COLUMN(E2)-1)*12+12)),0)</f>
        <v>6622.8773437500013</v>
      </c>
      <c r="J9" s="81">
        <f>IFERROR(SUM(INDEX('Monthly P&amp;L'!$G21:$NB21,1,(COLUMN(F2)-1)*12+1):INDEX('Monthly P&amp;L'!$G$21:$NB$21,1,(COLUMN(F2)-1)*12+12)),0)</f>
        <v>6788.4492773437487</v>
      </c>
      <c r="K9" s="81">
        <f>IFERROR(SUM(INDEX('Monthly P&amp;L'!$G21:$NB21,1,(COLUMN(G2)-1)*12+1):INDEX('Monthly P&amp;L'!$G$21:$NB$21,1,(COLUMN(G2)-1)*12+12)),0)</f>
        <v>6958.1605092773398</v>
      </c>
      <c r="L9" s="81">
        <f>IFERROR(SUM(INDEX('Monthly P&amp;L'!$G21:$NB21,1,(COLUMN(H2)-1)*12+1):INDEX('Monthly P&amp;L'!$G$21:$NB$21,1,(COLUMN(H2)-1)*12+12)),0)</f>
        <v>7132.1145220092758</v>
      </c>
      <c r="M9" s="81">
        <f>IFERROR(SUM(INDEX('Monthly P&amp;L'!$G21:$NB21,1,(COLUMN(I2)-1)*12+1):INDEX('Monthly P&amp;L'!$G$21:$NB$21,1,(COLUMN(I2)-1)*12+12)),0)</f>
        <v>7310.4173850595043</v>
      </c>
      <c r="N9" s="81">
        <f>IFERROR(SUM(INDEX('Monthly P&amp;L'!$G21:$NB21,1,(COLUMN(J2)-1)*12+1):INDEX('Monthly P&amp;L'!$G$21:$NB$21,1,(COLUMN(J2)-1)*12+12)),0)</f>
        <v>7493.1778196859932</v>
      </c>
      <c r="O9" s="81">
        <f>IFERROR(SUM(INDEX('Monthly P&amp;L'!$G21:$NB21,1,(COLUMN(K2)-1)*12+1):INDEX('Monthly P&amp;L'!$G$21:$NB$21,1,(COLUMN(K2)-1)*12+12)),0)</f>
        <v>7680.507265178142</v>
      </c>
      <c r="P9" s="81">
        <f>IFERROR(SUM(INDEX('Monthly P&amp;L'!$G21:$NB21,1,(COLUMN(L2)-1)*12+1):INDEX('Monthly P&amp;L'!$G$21:$NB$21,1,(COLUMN(L2)-1)*12+12)),0)</f>
        <v>7872.5199468075916</v>
      </c>
      <c r="Q9" s="81">
        <f>IFERROR(SUM(INDEX('Monthly P&amp;L'!$G21:$NB21,1,(COLUMN(M2)-1)*12+1):INDEX('Monthly P&amp;L'!$G$21:$NB$21,1,(COLUMN(M2)-1)*12+12)),0)</f>
        <v>8069.3329454777813</v>
      </c>
      <c r="R9" s="81">
        <f>IFERROR(SUM(INDEX('Monthly P&amp;L'!$G21:$NB21,1,(COLUMN(N2)-1)*12+1):INDEX('Monthly P&amp;L'!$G$21:$NB$21,1,(COLUMN(N2)-1)*12+12)),0)</f>
        <v>8271.0662691147245</v>
      </c>
      <c r="S9" s="81">
        <f>IFERROR(SUM(INDEX('Monthly P&amp;L'!$G21:$NB21,1,(COLUMN(O2)-1)*12+1):INDEX('Monthly P&amp;L'!$G$21:$NB$21,1,(COLUMN(O2)-1)*12+12)),0)</f>
        <v>8477.8429258425949</v>
      </c>
      <c r="T9" s="81">
        <f>IFERROR(SUM(INDEX('Monthly P&amp;L'!$G21:$NB21,1,(COLUMN(P2)-1)*12+1):INDEX('Monthly P&amp;L'!$G$21:$NB$21,1,(COLUMN(P2)-1)*12+12)),0)</f>
        <v>0</v>
      </c>
      <c r="U9" s="81">
        <f>IFERROR(SUM(INDEX('Monthly P&amp;L'!$G21:$NB21,1,(COLUMN(Q2)-1)*12+1):INDEX('Monthly P&amp;L'!$G$21:$NB$21,1,(COLUMN(Q2)-1)*12+12)),0)</f>
        <v>0</v>
      </c>
      <c r="V9" s="81">
        <f>IFERROR(SUM(INDEX('Monthly P&amp;L'!$G21:$NB21,1,(COLUMN(R2)-1)*12+1):INDEX('Monthly P&amp;L'!$G$21:$NB$21,1,(COLUMN(R2)-1)*12+12)),0)</f>
        <v>0</v>
      </c>
      <c r="W9" s="81">
        <f>IFERROR(SUM(INDEX('Monthly P&amp;L'!$G21:$NB21,1,(COLUMN(S2)-1)*12+1):INDEX('Monthly P&amp;L'!$G$21:$NB$21,1,(COLUMN(S2)-1)*12+12)),0)</f>
        <v>0</v>
      </c>
      <c r="X9" s="81">
        <f>IFERROR(SUM(INDEX('Monthly P&amp;L'!$G21:$NB21,1,(COLUMN(T2)-1)*12+1):INDEX('Monthly P&amp;L'!$G$21:$NB$21,1,(COLUMN(T2)-1)*12+12)),0)</f>
        <v>0</v>
      </c>
      <c r="Y9" s="81">
        <f>IFERROR(SUM(INDEX('Monthly P&amp;L'!$G21:$NB21,1,(COLUMN(U2)-1)*12+1):INDEX('Monthly P&amp;L'!$G$21:$NB$21,1,(COLUMN(U2)-1)*12+12)),0)</f>
        <v>0</v>
      </c>
      <c r="Z9" s="81">
        <f>IFERROR(SUM(INDEX('Monthly P&amp;L'!$G21:$NB21,1,(COLUMN(V2)-1)*12+1):INDEX('Monthly P&amp;L'!$G$21:$NB$21,1,(COLUMN(V2)-1)*12+12)),0)</f>
        <v>0</v>
      </c>
      <c r="AA9" s="81">
        <f>IFERROR(SUM(INDEX('Monthly P&amp;L'!$G21:$NB21,1,(COLUMN(W2)-1)*12+1):INDEX('Monthly P&amp;L'!$G$21:$NB$21,1,(COLUMN(W2)-1)*12+12)),0)</f>
        <v>0</v>
      </c>
      <c r="AB9" s="81">
        <f>IFERROR(SUM(INDEX('Monthly P&amp;L'!$G21:$NB21,1,(COLUMN(X2)-1)*12+1):INDEX('Monthly P&amp;L'!$G$21:$NB$21,1,(COLUMN(X2)-1)*12+12)),0)</f>
        <v>0</v>
      </c>
      <c r="AC9" s="81">
        <f>IFERROR(SUM(INDEX('Monthly P&amp;L'!$G21:$NB21,1,(COLUMN(Y2)-1)*12+1):INDEX('Monthly P&amp;L'!$G$21:$NB$21,1,(COLUMN(Y2)-1)*12+12)),0)</f>
        <v>0</v>
      </c>
      <c r="AD9" s="81">
        <f>IFERROR(SUM(INDEX('Monthly P&amp;L'!$G21:$NB21,1,(COLUMN(Z2)-1)*12+1):INDEX('Monthly P&amp;L'!$G$21:$NB$21,1,(COLUMN(Z2)-1)*12+12)),0)</f>
        <v>0</v>
      </c>
      <c r="AE9" s="81">
        <f>IFERROR(SUM(INDEX('Monthly P&amp;L'!$G21:$NB21,1,(COLUMN(AA2)-1)*12+1):INDEX('Monthly P&amp;L'!$G$21:$NB$21,1,(COLUMN(AA2)-1)*12+12)),0)</f>
        <v>0</v>
      </c>
      <c r="AF9" s="81">
        <f>IFERROR(SUM(INDEX('Monthly P&amp;L'!$G21:$NB21,1,(COLUMN(AB2)-1)*12+1):INDEX('Monthly P&amp;L'!$G$21:$NB$21,1,(COLUMN(AB2)-1)*12+12)),0)</f>
        <v>0</v>
      </c>
      <c r="AG9" s="81">
        <f>IFERROR(SUM(INDEX('Monthly P&amp;L'!$G21:$NB21,1,(COLUMN(AC2)-1)*12+1):INDEX('Monthly P&amp;L'!$G$21:$NB$21,1,(COLUMN(AC2)-1)*12+12)),0)</f>
        <v>0</v>
      </c>
      <c r="AH9" s="81">
        <f>IFERROR(SUM(INDEX('Monthly P&amp;L'!$G21:$NB21,1,(COLUMN(AD2)-1)*12+1):INDEX('Monthly P&amp;L'!$G$21:$NB$21,1,(COLUMN(AD2)-1)*12+12)),0)</f>
        <v>0</v>
      </c>
    </row>
    <row r="10" spans="2:49" x14ac:dyDescent="0.15">
      <c r="B10" s="45" t="s">
        <v>350</v>
      </c>
      <c r="C10" s="44"/>
      <c r="D10" s="45"/>
      <c r="E10" s="80">
        <f>SUM(E8:E9)</f>
        <v>446126.28</v>
      </c>
      <c r="F10" s="80">
        <f t="shared" ref="F10:AH10" si="48">SUM(F8:F9)</f>
        <v>458464.1999999999</v>
      </c>
      <c r="G10" s="80">
        <f t="shared" si="48"/>
        <v>472187.37599999987</v>
      </c>
      <c r="H10" s="80">
        <f t="shared" si="48"/>
        <v>486321.47852999991</v>
      </c>
      <c r="I10" s="80">
        <f t="shared" si="48"/>
        <v>500878.81616714998</v>
      </c>
      <c r="J10" s="80">
        <f t="shared" si="48"/>
        <v>515872.0662654459</v>
      </c>
      <c r="K10" s="80">
        <f t="shared" si="48"/>
        <v>531314.2860070226</v>
      </c>
      <c r="L10" s="80">
        <f t="shared" si="48"/>
        <v>547218.9237846866</v>
      </c>
      <c r="M10" s="80">
        <f t="shared" si="48"/>
        <v>563599.83092561713</v>
      </c>
      <c r="N10" s="80">
        <f t="shared" si="48"/>
        <v>580471.2737664606</v>
      </c>
      <c r="O10" s="80">
        <f t="shared" si="48"/>
        <v>597847.94609035586</v>
      </c>
      <c r="P10" s="80">
        <f t="shared" si="48"/>
        <v>615744.98193674069</v>
      </c>
      <c r="Q10" s="80">
        <f t="shared" si="48"/>
        <v>634177.96879510884</v>
      </c>
      <c r="R10" s="80">
        <f t="shared" si="48"/>
        <v>653162.96119423467</v>
      </c>
      <c r="S10" s="80">
        <f t="shared" si="48"/>
        <v>672716.49469871609</v>
      </c>
      <c r="T10" s="80">
        <f t="shared" si="48"/>
        <v>0</v>
      </c>
      <c r="U10" s="80">
        <f t="shared" si="48"/>
        <v>0</v>
      </c>
      <c r="V10" s="80">
        <f t="shared" si="48"/>
        <v>0</v>
      </c>
      <c r="W10" s="80">
        <f t="shared" si="48"/>
        <v>0</v>
      </c>
      <c r="X10" s="80">
        <f t="shared" si="48"/>
        <v>0</v>
      </c>
      <c r="Y10" s="80">
        <f t="shared" si="48"/>
        <v>0</v>
      </c>
      <c r="Z10" s="80">
        <f t="shared" si="48"/>
        <v>0</v>
      </c>
      <c r="AA10" s="80">
        <f t="shared" si="48"/>
        <v>0</v>
      </c>
      <c r="AB10" s="80">
        <f t="shared" si="48"/>
        <v>0</v>
      </c>
      <c r="AC10" s="80">
        <f t="shared" si="48"/>
        <v>0</v>
      </c>
      <c r="AD10" s="80">
        <f t="shared" si="48"/>
        <v>0</v>
      </c>
      <c r="AE10" s="80">
        <f t="shared" si="48"/>
        <v>0</v>
      </c>
      <c r="AF10" s="80">
        <f t="shared" si="48"/>
        <v>0</v>
      </c>
      <c r="AG10" s="80">
        <f t="shared" si="48"/>
        <v>0</v>
      </c>
      <c r="AH10" s="80">
        <f t="shared" si="48"/>
        <v>0</v>
      </c>
    </row>
    <row r="11" spans="2:49" x14ac:dyDescent="0.15">
      <c r="B11" s="45"/>
      <c r="C11" s="44"/>
      <c r="D11" s="45"/>
      <c r="E11" s="80"/>
      <c r="F11" s="80"/>
      <c r="G11" s="80"/>
      <c r="H11" s="80"/>
      <c r="I11" s="80"/>
      <c r="J11" s="80"/>
      <c r="K11" s="80"/>
      <c r="L11" s="80"/>
      <c r="M11" s="80"/>
      <c r="N11" s="80"/>
      <c r="O11" s="80"/>
      <c r="P11" s="80"/>
      <c r="Q11" s="80"/>
      <c r="R11" s="80"/>
      <c r="S11" s="80"/>
      <c r="T11" s="80"/>
      <c r="U11" s="80"/>
      <c r="V11" s="80"/>
      <c r="W11" s="80"/>
      <c r="X11" s="80"/>
      <c r="Y11" s="80"/>
      <c r="Z11" s="80"/>
      <c r="AA11" s="80"/>
      <c r="AB11" s="80"/>
      <c r="AC11" s="80"/>
      <c r="AD11" s="80"/>
      <c r="AE11" s="80"/>
      <c r="AF11" s="80"/>
      <c r="AG11" s="80"/>
      <c r="AH11" s="80"/>
    </row>
    <row r="12" spans="2:49" x14ac:dyDescent="0.15">
      <c r="B12" t="s">
        <v>136</v>
      </c>
      <c r="C12" s="417">
        <f>management_fee</f>
        <v>3.5000000000000003E-2</v>
      </c>
      <c r="E12" s="66">
        <f>-$C$12*E8</f>
        <v>-15404.419800000003</v>
      </c>
      <c r="F12" s="66">
        <f t="shared" ref="F12:AH12" si="49">-$C$12*F8</f>
        <v>-15830.996999999998</v>
      </c>
      <c r="G12" s="66">
        <f t="shared" si="49"/>
        <v>-16305.926909999996</v>
      </c>
      <c r="H12" s="66">
        <f t="shared" si="49"/>
        <v>-16795.104717299997</v>
      </c>
      <c r="I12" s="66">
        <f t="shared" si="49"/>
        <v>-17298.957858819002</v>
      </c>
      <c r="J12" s="66">
        <f t="shared" si="49"/>
        <v>-17817.926594583576</v>
      </c>
      <c r="K12" s="66">
        <f t="shared" si="49"/>
        <v>-18352.464392421083</v>
      </c>
      <c r="L12" s="66">
        <f t="shared" si="49"/>
        <v>-18903.038324193709</v>
      </c>
      <c r="M12" s="66">
        <f t="shared" si="49"/>
        <v>-19470.129473919518</v>
      </c>
      <c r="N12" s="66">
        <f t="shared" si="49"/>
        <v>-20054.233358137113</v>
      </c>
      <c r="O12" s="66">
        <f t="shared" si="49"/>
        <v>-20655.860358881222</v>
      </c>
      <c r="P12" s="66">
        <f t="shared" si="49"/>
        <v>-21275.536169647658</v>
      </c>
      <c r="Q12" s="66">
        <f t="shared" si="49"/>
        <v>-21913.802254737089</v>
      </c>
      <c r="R12" s="66">
        <f t="shared" si="49"/>
        <v>-22571.216322379201</v>
      </c>
      <c r="S12" s="66">
        <f t="shared" si="49"/>
        <v>-23248.352812050573</v>
      </c>
      <c r="T12" s="66">
        <f t="shared" si="49"/>
        <v>0</v>
      </c>
      <c r="U12" s="66">
        <f t="shared" si="49"/>
        <v>0</v>
      </c>
      <c r="V12" s="66">
        <f t="shared" si="49"/>
        <v>0</v>
      </c>
      <c r="W12" s="66">
        <f t="shared" si="49"/>
        <v>0</v>
      </c>
      <c r="X12" s="66">
        <f t="shared" si="49"/>
        <v>0</v>
      </c>
      <c r="Y12" s="66">
        <f t="shared" si="49"/>
        <v>0</v>
      </c>
      <c r="Z12" s="66">
        <f t="shared" si="49"/>
        <v>0</v>
      </c>
      <c r="AA12" s="66">
        <f t="shared" si="49"/>
        <v>0</v>
      </c>
      <c r="AB12" s="66">
        <f t="shared" si="49"/>
        <v>0</v>
      </c>
      <c r="AC12" s="66">
        <f t="shared" si="49"/>
        <v>0</v>
      </c>
      <c r="AD12" s="66">
        <f t="shared" si="49"/>
        <v>0</v>
      </c>
      <c r="AE12" s="66">
        <f t="shared" si="49"/>
        <v>0</v>
      </c>
      <c r="AF12" s="66">
        <f t="shared" si="49"/>
        <v>0</v>
      </c>
      <c r="AG12" s="66">
        <f t="shared" si="49"/>
        <v>0</v>
      </c>
      <c r="AH12" s="66">
        <f t="shared" si="49"/>
        <v>0</v>
      </c>
    </row>
    <row r="13" spans="2:49" x14ac:dyDescent="0.15">
      <c r="B13" s="6" t="s">
        <v>135</v>
      </c>
      <c r="C13" s="418">
        <f>vacancy_allowance</f>
        <v>0.04</v>
      </c>
      <c r="D13" s="6"/>
      <c r="E13" s="81">
        <f>-$C$13*E8</f>
        <v>-17605.051200000002</v>
      </c>
      <c r="F13" s="81">
        <f t="shared" ref="F13:AH13" si="50">-$C$13*F8</f>
        <v>-18092.567999999996</v>
      </c>
      <c r="G13" s="81">
        <f t="shared" si="50"/>
        <v>-18635.345039999997</v>
      </c>
      <c r="H13" s="81">
        <f t="shared" si="50"/>
        <v>-19194.405391199998</v>
      </c>
      <c r="I13" s="81">
        <f t="shared" si="50"/>
        <v>-19770.237552936</v>
      </c>
      <c r="J13" s="81">
        <f t="shared" si="50"/>
        <v>-20363.344679524085</v>
      </c>
      <c r="K13" s="81">
        <f t="shared" si="50"/>
        <v>-20974.245019909809</v>
      </c>
      <c r="L13" s="81">
        <f t="shared" si="50"/>
        <v>-21603.472370507094</v>
      </c>
      <c r="M13" s="81">
        <f t="shared" si="50"/>
        <v>-22251.576541622304</v>
      </c>
      <c r="N13" s="81">
        <f t="shared" si="50"/>
        <v>-22919.123837870982</v>
      </c>
      <c r="O13" s="81">
        <f t="shared" si="50"/>
        <v>-23606.69755300711</v>
      </c>
      <c r="P13" s="81">
        <f t="shared" si="50"/>
        <v>-24314.898479597323</v>
      </c>
      <c r="Q13" s="81">
        <f t="shared" si="50"/>
        <v>-25044.345433985243</v>
      </c>
      <c r="R13" s="81">
        <f t="shared" si="50"/>
        <v>-25795.675797004798</v>
      </c>
      <c r="S13" s="81">
        <f t="shared" si="50"/>
        <v>-26569.546070914941</v>
      </c>
      <c r="T13" s="81">
        <f t="shared" si="50"/>
        <v>0</v>
      </c>
      <c r="U13" s="81">
        <f t="shared" si="50"/>
        <v>0</v>
      </c>
      <c r="V13" s="81">
        <f t="shared" si="50"/>
        <v>0</v>
      </c>
      <c r="W13" s="81">
        <f t="shared" si="50"/>
        <v>0</v>
      </c>
      <c r="X13" s="81">
        <f t="shared" si="50"/>
        <v>0</v>
      </c>
      <c r="Y13" s="81">
        <f t="shared" si="50"/>
        <v>0</v>
      </c>
      <c r="Z13" s="81">
        <f t="shared" si="50"/>
        <v>0</v>
      </c>
      <c r="AA13" s="81">
        <f t="shared" si="50"/>
        <v>0</v>
      </c>
      <c r="AB13" s="81">
        <f t="shared" si="50"/>
        <v>0</v>
      </c>
      <c r="AC13" s="81">
        <f t="shared" si="50"/>
        <v>0</v>
      </c>
      <c r="AD13" s="81">
        <f t="shared" si="50"/>
        <v>0</v>
      </c>
      <c r="AE13" s="81">
        <f t="shared" si="50"/>
        <v>0</v>
      </c>
      <c r="AF13" s="81">
        <f t="shared" si="50"/>
        <v>0</v>
      </c>
      <c r="AG13" s="81">
        <f t="shared" si="50"/>
        <v>0</v>
      </c>
      <c r="AH13" s="81">
        <f t="shared" si="50"/>
        <v>0</v>
      </c>
    </row>
    <row r="14" spans="2:49" x14ac:dyDescent="0.15">
      <c r="B14" s="4" t="s">
        <v>100</v>
      </c>
      <c r="C14" s="84"/>
      <c r="D14" s="4"/>
      <c r="E14" s="77">
        <f>SUM(E10:E13)</f>
        <v>413116.80900000001</v>
      </c>
      <c r="F14" s="77">
        <f t="shared" ref="F14:AH14" si="51">SUM(F10:F13)</f>
        <v>424540.63499999995</v>
      </c>
      <c r="G14" s="77">
        <f t="shared" si="51"/>
        <v>437246.10404999991</v>
      </c>
      <c r="H14" s="77">
        <f t="shared" si="51"/>
        <v>450331.96842149994</v>
      </c>
      <c r="I14" s="77">
        <f t="shared" si="51"/>
        <v>463809.62075539498</v>
      </c>
      <c r="J14" s="77">
        <f t="shared" si="51"/>
        <v>477690.79499133828</v>
      </c>
      <c r="K14" s="77">
        <f t="shared" si="51"/>
        <v>491987.57659469172</v>
      </c>
      <c r="L14" s="77">
        <f t="shared" si="51"/>
        <v>506712.41308998584</v>
      </c>
      <c r="M14" s="77">
        <f t="shared" si="51"/>
        <v>521878.12491007533</v>
      </c>
      <c r="N14" s="77">
        <f t="shared" si="51"/>
        <v>537497.91657045251</v>
      </c>
      <c r="O14" s="77">
        <f t="shared" si="51"/>
        <v>553585.38817846752</v>
      </c>
      <c r="P14" s="77">
        <f t="shared" si="51"/>
        <v>570154.54728749569</v>
      </c>
      <c r="Q14" s="77">
        <f t="shared" si="51"/>
        <v>587219.82110638649</v>
      </c>
      <c r="R14" s="77">
        <f t="shared" si="51"/>
        <v>604796.06907485065</v>
      </c>
      <c r="S14" s="77">
        <f t="shared" si="51"/>
        <v>622898.59581575054</v>
      </c>
      <c r="T14" s="77">
        <f t="shared" si="51"/>
        <v>0</v>
      </c>
      <c r="U14" s="77">
        <f t="shared" si="51"/>
        <v>0</v>
      </c>
      <c r="V14" s="77">
        <f t="shared" si="51"/>
        <v>0</v>
      </c>
      <c r="W14" s="77">
        <f t="shared" si="51"/>
        <v>0</v>
      </c>
      <c r="X14" s="77">
        <f t="shared" si="51"/>
        <v>0</v>
      </c>
      <c r="Y14" s="77">
        <f t="shared" si="51"/>
        <v>0</v>
      </c>
      <c r="Z14" s="77">
        <f t="shared" si="51"/>
        <v>0</v>
      </c>
      <c r="AA14" s="77">
        <f t="shared" si="51"/>
        <v>0</v>
      </c>
      <c r="AB14" s="77">
        <f t="shared" si="51"/>
        <v>0</v>
      </c>
      <c r="AC14" s="77">
        <f t="shared" si="51"/>
        <v>0</v>
      </c>
      <c r="AD14" s="77">
        <f t="shared" si="51"/>
        <v>0</v>
      </c>
      <c r="AE14" s="77">
        <f t="shared" si="51"/>
        <v>0</v>
      </c>
      <c r="AF14" s="77">
        <f t="shared" si="51"/>
        <v>0</v>
      </c>
      <c r="AG14" s="77">
        <f t="shared" si="51"/>
        <v>0</v>
      </c>
      <c r="AH14" s="77">
        <f t="shared" si="51"/>
        <v>0</v>
      </c>
    </row>
    <row r="15" spans="2:49" x14ac:dyDescent="0.15">
      <c r="C15" s="44"/>
      <c r="M15" s="7"/>
      <c r="N15" s="7"/>
      <c r="O15" s="7"/>
      <c r="P15" s="7"/>
      <c r="Q15" s="7"/>
      <c r="R15" s="7"/>
      <c r="S15" s="7"/>
      <c r="T15" s="7"/>
      <c r="U15" s="7"/>
      <c r="V15" s="7"/>
      <c r="W15" s="7"/>
      <c r="X15" s="7"/>
      <c r="Y15" s="7"/>
      <c r="Z15" s="7"/>
      <c r="AA15" s="7"/>
      <c r="AB15" s="7"/>
      <c r="AC15" s="7"/>
      <c r="AD15" s="7"/>
      <c r="AE15" s="7"/>
      <c r="AF15" s="7"/>
      <c r="AG15" s="7"/>
      <c r="AH15" s="7"/>
    </row>
    <row r="16" spans="2:49" x14ac:dyDescent="0.15">
      <c r="B16" s="433" t="s">
        <v>137</v>
      </c>
      <c r="C16" s="419">
        <f>repair_allowance</f>
        <v>8400</v>
      </c>
      <c r="E16" s="66">
        <f t="shared" ref="E16:AH16" si="52">-IF(E$6&lt;=$D$4,MAX($C$16,ABS(D$16),ABS(D$16)*(1+inflation)),0)</f>
        <v>-8400</v>
      </c>
      <c r="F16" s="66">
        <f t="shared" si="52"/>
        <v>-8610</v>
      </c>
      <c r="G16" s="66">
        <f t="shared" si="52"/>
        <v>-8825.25</v>
      </c>
      <c r="H16" s="66">
        <f t="shared" si="52"/>
        <v>-9045.8812499999985</v>
      </c>
      <c r="I16" s="66">
        <f t="shared" si="52"/>
        <v>-9272.0282812499972</v>
      </c>
      <c r="J16" s="66">
        <f t="shared" si="52"/>
        <v>-9503.828988281246</v>
      </c>
      <c r="K16" s="66">
        <f t="shared" si="52"/>
        <v>-9741.424712988277</v>
      </c>
      <c r="L16" s="66">
        <f t="shared" si="52"/>
        <v>-9984.9603308129826</v>
      </c>
      <c r="M16" s="66">
        <f t="shared" si="52"/>
        <v>-10234.584339083307</v>
      </c>
      <c r="N16" s="66">
        <f t="shared" si="52"/>
        <v>-10490.44894756039</v>
      </c>
      <c r="O16" s="66">
        <f t="shared" si="52"/>
        <v>-10752.710171249399</v>
      </c>
      <c r="P16" s="66">
        <f t="shared" si="52"/>
        <v>-11021.527925530632</v>
      </c>
      <c r="Q16" s="66">
        <f t="shared" si="52"/>
        <v>-11297.066123668897</v>
      </c>
      <c r="R16" s="66">
        <f t="shared" si="52"/>
        <v>-11579.492776760619</v>
      </c>
      <c r="S16" s="66">
        <f t="shared" si="52"/>
        <v>-11868.980096179634</v>
      </c>
      <c r="T16" s="66">
        <f t="shared" si="52"/>
        <v>0</v>
      </c>
      <c r="U16" s="66">
        <f t="shared" si="52"/>
        <v>0</v>
      </c>
      <c r="V16" s="66">
        <f t="shared" si="52"/>
        <v>0</v>
      </c>
      <c r="W16" s="66">
        <f t="shared" si="52"/>
        <v>0</v>
      </c>
      <c r="X16" s="66">
        <f t="shared" si="52"/>
        <v>0</v>
      </c>
      <c r="Y16" s="66">
        <f t="shared" si="52"/>
        <v>0</v>
      </c>
      <c r="Z16" s="66">
        <f t="shared" si="52"/>
        <v>0</v>
      </c>
      <c r="AA16" s="66">
        <f t="shared" si="52"/>
        <v>0</v>
      </c>
      <c r="AB16" s="66">
        <f t="shared" si="52"/>
        <v>0</v>
      </c>
      <c r="AC16" s="66">
        <f t="shared" si="52"/>
        <v>0</v>
      </c>
      <c r="AD16" s="66">
        <f t="shared" si="52"/>
        <v>0</v>
      </c>
      <c r="AE16" s="66">
        <f t="shared" si="52"/>
        <v>0</v>
      </c>
      <c r="AF16" s="66">
        <f t="shared" si="52"/>
        <v>0</v>
      </c>
      <c r="AG16" s="66">
        <f t="shared" si="52"/>
        <v>0</v>
      </c>
      <c r="AH16" s="66">
        <f t="shared" si="52"/>
        <v>0</v>
      </c>
    </row>
    <row r="17" spans="2:36" x14ac:dyDescent="0.15">
      <c r="B17" t="s">
        <v>138</v>
      </c>
      <c r="C17" s="419">
        <f>'Main Assumptions'!$E$36</f>
        <v>21810</v>
      </c>
      <c r="E17" s="66">
        <f t="shared" ref="E17:AH17" si="53">-IF(E6&lt;=$D$4,MAX($C$17,ABS(D$17),ABS(D$17)*(1+inflation)),0)</f>
        <v>-21810</v>
      </c>
      <c r="F17" s="66">
        <f t="shared" si="53"/>
        <v>-22355.249999999996</v>
      </c>
      <c r="G17" s="66">
        <f t="shared" si="53"/>
        <v>-22914.131249999995</v>
      </c>
      <c r="H17" s="66">
        <f t="shared" si="53"/>
        <v>-23486.984531249993</v>
      </c>
      <c r="I17" s="66">
        <f t="shared" si="53"/>
        <v>-24074.159144531241</v>
      </c>
      <c r="J17" s="66">
        <f t="shared" si="53"/>
        <v>-24676.013123144519</v>
      </c>
      <c r="K17" s="66">
        <f t="shared" si="53"/>
        <v>-25292.913451223129</v>
      </c>
      <c r="L17" s="66">
        <f t="shared" si="53"/>
        <v>-25925.236287503703</v>
      </c>
      <c r="M17" s="66">
        <f t="shared" si="53"/>
        <v>-26573.367194691295</v>
      </c>
      <c r="N17" s="66">
        <f t="shared" si="53"/>
        <v>-27237.701374558575</v>
      </c>
      <c r="O17" s="66">
        <f t="shared" si="53"/>
        <v>-27918.643908922539</v>
      </c>
      <c r="P17" s="66">
        <f t="shared" si="53"/>
        <v>-28616.610006645598</v>
      </c>
      <c r="Q17" s="66">
        <f t="shared" si="53"/>
        <v>-29332.025256811736</v>
      </c>
      <c r="R17" s="66">
        <f t="shared" si="53"/>
        <v>-30065.325888232026</v>
      </c>
      <c r="S17" s="66">
        <f t="shared" si="53"/>
        <v>-30816.959035437823</v>
      </c>
      <c r="T17" s="66">
        <f t="shared" si="53"/>
        <v>0</v>
      </c>
      <c r="U17" s="66">
        <f t="shared" si="53"/>
        <v>0</v>
      </c>
      <c r="V17" s="66">
        <f t="shared" si="53"/>
        <v>0</v>
      </c>
      <c r="W17" s="66">
        <f t="shared" si="53"/>
        <v>0</v>
      </c>
      <c r="X17" s="66">
        <f t="shared" si="53"/>
        <v>0</v>
      </c>
      <c r="Y17" s="66">
        <f t="shared" si="53"/>
        <v>0</v>
      </c>
      <c r="Z17" s="66">
        <f t="shared" si="53"/>
        <v>0</v>
      </c>
      <c r="AA17" s="66">
        <f t="shared" si="53"/>
        <v>0</v>
      </c>
      <c r="AB17" s="66">
        <f t="shared" si="53"/>
        <v>0</v>
      </c>
      <c r="AC17" s="66">
        <f t="shared" si="53"/>
        <v>0</v>
      </c>
      <c r="AD17" s="66">
        <f t="shared" si="53"/>
        <v>0</v>
      </c>
      <c r="AE17" s="66">
        <f t="shared" si="53"/>
        <v>0</v>
      </c>
      <c r="AF17" s="66">
        <f t="shared" si="53"/>
        <v>0</v>
      </c>
      <c r="AG17" s="66">
        <f t="shared" si="53"/>
        <v>0</v>
      </c>
      <c r="AH17" s="66">
        <f t="shared" si="53"/>
        <v>0</v>
      </c>
    </row>
    <row r="18" spans="2:36" x14ac:dyDescent="0.15">
      <c r="B18" t="s">
        <v>139</v>
      </c>
      <c r="C18" s="419">
        <f>taxes</f>
        <v>54259.650900000001</v>
      </c>
      <c r="E18" s="66">
        <f t="shared" ref="E18:AH18" si="54">-IF(E6&lt;=$D$4,MAX($C$18,ABS(D$18)*(1+tax_growth_rate),ABS(D$18)),0)</f>
        <v>-54259.650900000001</v>
      </c>
      <c r="F18" s="66">
        <f t="shared" si="54"/>
        <v>-55344.843917999999</v>
      </c>
      <c r="G18" s="66">
        <f t="shared" si="54"/>
        <v>-56451.740796359998</v>
      </c>
      <c r="H18" s="66">
        <f t="shared" si="54"/>
        <v>-57580.775612287202</v>
      </c>
      <c r="I18" s="66">
        <f t="shared" si="54"/>
        <v>-58732.391124532944</v>
      </c>
      <c r="J18" s="66">
        <f t="shared" si="54"/>
        <v>-59907.038947023604</v>
      </c>
      <c r="K18" s="66">
        <f t="shared" si="54"/>
        <v>-61105.179725964081</v>
      </c>
      <c r="L18" s="66">
        <f t="shared" si="54"/>
        <v>-62327.283320483366</v>
      </c>
      <c r="M18" s="66">
        <f t="shared" si="54"/>
        <v>-63573.828986893037</v>
      </c>
      <c r="N18" s="66">
        <f t="shared" si="54"/>
        <v>-64845.305566630901</v>
      </c>
      <c r="O18" s="66">
        <f t="shared" si="54"/>
        <v>-66142.211677963525</v>
      </c>
      <c r="P18" s="66">
        <f t="shared" si="54"/>
        <v>-67465.055911522795</v>
      </c>
      <c r="Q18" s="66">
        <f t="shared" si="54"/>
        <v>-68814.357029753257</v>
      </c>
      <c r="R18" s="66">
        <f t="shared" si="54"/>
        <v>-70190.644170348329</v>
      </c>
      <c r="S18" s="66">
        <f t="shared" si="54"/>
        <v>-71594.457053755294</v>
      </c>
      <c r="T18" s="66">
        <f t="shared" si="54"/>
        <v>0</v>
      </c>
      <c r="U18" s="66">
        <f t="shared" si="54"/>
        <v>0</v>
      </c>
      <c r="V18" s="66">
        <f t="shared" si="54"/>
        <v>0</v>
      </c>
      <c r="W18" s="66">
        <f t="shared" si="54"/>
        <v>0</v>
      </c>
      <c r="X18" s="66">
        <f t="shared" si="54"/>
        <v>0</v>
      </c>
      <c r="Y18" s="66">
        <f t="shared" si="54"/>
        <v>0</v>
      </c>
      <c r="Z18" s="66">
        <f t="shared" si="54"/>
        <v>0</v>
      </c>
      <c r="AA18" s="66">
        <f t="shared" si="54"/>
        <v>0</v>
      </c>
      <c r="AB18" s="66">
        <f t="shared" si="54"/>
        <v>0</v>
      </c>
      <c r="AC18" s="66">
        <f t="shared" si="54"/>
        <v>0</v>
      </c>
      <c r="AD18" s="66">
        <f t="shared" si="54"/>
        <v>0</v>
      </c>
      <c r="AE18" s="66">
        <f t="shared" si="54"/>
        <v>0</v>
      </c>
      <c r="AF18" s="66">
        <f t="shared" si="54"/>
        <v>0</v>
      </c>
      <c r="AG18" s="66">
        <f t="shared" si="54"/>
        <v>0</v>
      </c>
      <c r="AH18" s="66">
        <f t="shared" si="54"/>
        <v>0</v>
      </c>
    </row>
    <row r="19" spans="2:36" x14ac:dyDescent="0.15">
      <c r="B19" s="6" t="s">
        <v>140</v>
      </c>
      <c r="C19" s="420">
        <f>insurance</f>
        <v>7100</v>
      </c>
      <c r="D19" s="6"/>
      <c r="E19" s="78">
        <f t="shared" ref="E19:AH19" si="55">-IF(E$6&lt;=$D$4,MAX($C$19,ABS(D$19)*(1+inflation),ABS(D$19)),0)</f>
        <v>-7100</v>
      </c>
      <c r="F19" s="78">
        <f t="shared" si="55"/>
        <v>-7277.4999999999991</v>
      </c>
      <c r="G19" s="78">
        <f t="shared" si="55"/>
        <v>-7459.4374999999982</v>
      </c>
      <c r="H19" s="78">
        <f t="shared" si="55"/>
        <v>-7645.9234374999978</v>
      </c>
      <c r="I19" s="78">
        <f t="shared" si="55"/>
        <v>-7837.0715234374975</v>
      </c>
      <c r="J19" s="78">
        <f t="shared" si="55"/>
        <v>-8032.9983115234345</v>
      </c>
      <c r="K19" s="78">
        <f t="shared" si="55"/>
        <v>-8233.8232693115187</v>
      </c>
      <c r="L19" s="78">
        <f t="shared" si="55"/>
        <v>-8439.6688510443055</v>
      </c>
      <c r="M19" s="78">
        <f t="shared" si="55"/>
        <v>-8650.660572320412</v>
      </c>
      <c r="N19" s="78">
        <f t="shared" si="55"/>
        <v>-8866.9270866284223</v>
      </c>
      <c r="O19" s="78">
        <f t="shared" si="55"/>
        <v>-9088.6002637941328</v>
      </c>
      <c r="P19" s="78">
        <f t="shared" si="55"/>
        <v>-9315.8152703889846</v>
      </c>
      <c r="Q19" s="78">
        <f t="shared" si="55"/>
        <v>-9548.7106521487076</v>
      </c>
      <c r="R19" s="78">
        <f t="shared" si="55"/>
        <v>-9787.428418452424</v>
      </c>
      <c r="S19" s="78">
        <f t="shared" si="55"/>
        <v>-10032.114128913734</v>
      </c>
      <c r="T19" s="78">
        <f t="shared" si="55"/>
        <v>0</v>
      </c>
      <c r="U19" s="78">
        <f t="shared" si="55"/>
        <v>0</v>
      </c>
      <c r="V19" s="78">
        <f t="shared" si="55"/>
        <v>0</v>
      </c>
      <c r="W19" s="78">
        <f t="shared" si="55"/>
        <v>0</v>
      </c>
      <c r="X19" s="78">
        <f t="shared" si="55"/>
        <v>0</v>
      </c>
      <c r="Y19" s="78">
        <f t="shared" si="55"/>
        <v>0</v>
      </c>
      <c r="Z19" s="78">
        <f t="shared" si="55"/>
        <v>0</v>
      </c>
      <c r="AA19" s="78">
        <f t="shared" si="55"/>
        <v>0</v>
      </c>
      <c r="AB19" s="78">
        <f t="shared" si="55"/>
        <v>0</v>
      </c>
      <c r="AC19" s="78">
        <f t="shared" si="55"/>
        <v>0</v>
      </c>
      <c r="AD19" s="78">
        <f t="shared" si="55"/>
        <v>0</v>
      </c>
      <c r="AE19" s="78">
        <f t="shared" si="55"/>
        <v>0</v>
      </c>
      <c r="AF19" s="78">
        <f t="shared" si="55"/>
        <v>0</v>
      </c>
      <c r="AG19" s="78">
        <f t="shared" si="55"/>
        <v>0</v>
      </c>
      <c r="AH19" s="78">
        <f t="shared" si="55"/>
        <v>0</v>
      </c>
    </row>
    <row r="20" spans="2:36" x14ac:dyDescent="0.15">
      <c r="B20" t="s">
        <v>141</v>
      </c>
      <c r="E20" s="20">
        <f>SUM(E16:E19)</f>
        <v>-91569.650900000008</v>
      </c>
      <c r="F20" s="20">
        <f t="shared" ref="F20:AH20" si="56">SUM(F16:F19)</f>
        <v>-93587.593917999999</v>
      </c>
      <c r="G20" s="20">
        <f t="shared" si="56"/>
        <v>-95650.559546359989</v>
      </c>
      <c r="H20" s="20">
        <f t="shared" si="56"/>
        <v>-97759.564831037191</v>
      </c>
      <c r="I20" s="20">
        <f t="shared" si="56"/>
        <v>-99915.650073751676</v>
      </c>
      <c r="J20" s="20">
        <f t="shared" si="56"/>
        <v>-102119.8793699728</v>
      </c>
      <c r="K20" s="20">
        <f t="shared" si="56"/>
        <v>-104373.341159487</v>
      </c>
      <c r="L20" s="20">
        <f t="shared" si="56"/>
        <v>-106677.14878984436</v>
      </c>
      <c r="M20" s="20">
        <f t="shared" si="56"/>
        <v>-109032.44109298805</v>
      </c>
      <c r="N20" s="20">
        <f t="shared" si="56"/>
        <v>-111440.38297537828</v>
      </c>
      <c r="O20" s="20">
        <f t="shared" si="56"/>
        <v>-113902.16602192959</v>
      </c>
      <c r="P20" s="20">
        <f t="shared" si="56"/>
        <v>-116419.00911408801</v>
      </c>
      <c r="Q20" s="20">
        <f t="shared" si="56"/>
        <v>-118992.15906238259</v>
      </c>
      <c r="R20" s="20">
        <f t="shared" si="56"/>
        <v>-121622.89125379339</v>
      </c>
      <c r="S20" s="20">
        <f t="shared" si="56"/>
        <v>-124312.51031428648</v>
      </c>
      <c r="T20" s="20">
        <f t="shared" si="56"/>
        <v>0</v>
      </c>
      <c r="U20" s="20">
        <f t="shared" si="56"/>
        <v>0</v>
      </c>
      <c r="V20" s="20">
        <f t="shared" si="56"/>
        <v>0</v>
      </c>
      <c r="W20" s="20">
        <f t="shared" si="56"/>
        <v>0</v>
      </c>
      <c r="X20" s="20">
        <f t="shared" si="56"/>
        <v>0</v>
      </c>
      <c r="Y20" s="20">
        <f t="shared" si="56"/>
        <v>0</v>
      </c>
      <c r="Z20" s="20">
        <f t="shared" si="56"/>
        <v>0</v>
      </c>
      <c r="AA20" s="20">
        <f t="shared" si="56"/>
        <v>0</v>
      </c>
      <c r="AB20" s="20">
        <f t="shared" si="56"/>
        <v>0</v>
      </c>
      <c r="AC20" s="20">
        <f t="shared" si="56"/>
        <v>0</v>
      </c>
      <c r="AD20" s="20">
        <f t="shared" si="56"/>
        <v>0</v>
      </c>
      <c r="AE20" s="20">
        <f t="shared" si="56"/>
        <v>0</v>
      </c>
      <c r="AF20" s="20">
        <f t="shared" si="56"/>
        <v>0</v>
      </c>
      <c r="AG20" s="20">
        <f t="shared" si="56"/>
        <v>0</v>
      </c>
      <c r="AH20" s="20">
        <f t="shared" si="56"/>
        <v>0</v>
      </c>
    </row>
    <row r="21" spans="2:36" x14ac:dyDescent="0.15">
      <c r="M21" s="7"/>
      <c r="N21" s="7"/>
      <c r="O21" s="7"/>
      <c r="P21" s="7"/>
      <c r="Q21" s="7"/>
      <c r="R21" s="7"/>
      <c r="S21" s="7"/>
      <c r="T21" s="7"/>
      <c r="U21" s="7"/>
      <c r="V21" s="7"/>
      <c r="W21" s="7"/>
      <c r="X21" s="7"/>
      <c r="Y21" s="7"/>
      <c r="Z21" s="7"/>
      <c r="AA21" s="7"/>
      <c r="AB21" s="7"/>
      <c r="AC21" s="7"/>
      <c r="AD21" s="7"/>
      <c r="AE21" s="7"/>
      <c r="AF21" s="7"/>
      <c r="AG21" s="7"/>
      <c r="AH21" s="7"/>
    </row>
    <row r="22" spans="2:36" x14ac:dyDescent="0.15">
      <c r="B22" s="90" t="s">
        <v>99</v>
      </c>
      <c r="C22" s="90"/>
      <c r="D22" s="90"/>
      <c r="E22" s="91">
        <f>E14+E20</f>
        <v>321547.1581</v>
      </c>
      <c r="F22" s="91">
        <f t="shared" ref="F22:AH22" si="57">F14+F20</f>
        <v>330953.04108199995</v>
      </c>
      <c r="G22" s="91">
        <f t="shared" si="57"/>
        <v>341595.54450363992</v>
      </c>
      <c r="H22" s="91">
        <f t="shared" si="57"/>
        <v>352572.40359046275</v>
      </c>
      <c r="I22" s="91">
        <f t="shared" si="57"/>
        <v>363893.97068164329</v>
      </c>
      <c r="J22" s="91">
        <f t="shared" si="57"/>
        <v>375570.91562136548</v>
      </c>
      <c r="K22" s="91">
        <f t="shared" si="57"/>
        <v>387614.2354352047</v>
      </c>
      <c r="L22" s="91">
        <f t="shared" si="57"/>
        <v>400035.26430014148</v>
      </c>
      <c r="M22" s="91">
        <f t="shared" si="57"/>
        <v>412845.68381708727</v>
      </c>
      <c r="N22" s="91">
        <f t="shared" si="57"/>
        <v>426057.5335950742</v>
      </c>
      <c r="O22" s="91">
        <f t="shared" si="57"/>
        <v>439683.22215653793</v>
      </c>
      <c r="P22" s="91">
        <f t="shared" si="57"/>
        <v>453735.53817340767</v>
      </c>
      <c r="Q22" s="91">
        <f t="shared" si="57"/>
        <v>468227.6620440039</v>
      </c>
      <c r="R22" s="91">
        <f t="shared" si="57"/>
        <v>483173.17782105727</v>
      </c>
      <c r="S22" s="91">
        <f t="shared" si="57"/>
        <v>498586.08550146408</v>
      </c>
      <c r="T22" s="91">
        <f t="shared" si="57"/>
        <v>0</v>
      </c>
      <c r="U22" s="91">
        <f t="shared" si="57"/>
        <v>0</v>
      </c>
      <c r="V22" s="91">
        <f t="shared" si="57"/>
        <v>0</v>
      </c>
      <c r="W22" s="91">
        <f t="shared" si="57"/>
        <v>0</v>
      </c>
      <c r="X22" s="91">
        <f t="shared" si="57"/>
        <v>0</v>
      </c>
      <c r="Y22" s="91">
        <f t="shared" si="57"/>
        <v>0</v>
      </c>
      <c r="Z22" s="91">
        <f t="shared" si="57"/>
        <v>0</v>
      </c>
      <c r="AA22" s="91">
        <f t="shared" si="57"/>
        <v>0</v>
      </c>
      <c r="AB22" s="91">
        <f t="shared" si="57"/>
        <v>0</v>
      </c>
      <c r="AC22" s="91">
        <f t="shared" si="57"/>
        <v>0</v>
      </c>
      <c r="AD22" s="91">
        <f t="shared" si="57"/>
        <v>0</v>
      </c>
      <c r="AE22" s="91">
        <f t="shared" si="57"/>
        <v>0</v>
      </c>
      <c r="AF22" s="91">
        <f t="shared" si="57"/>
        <v>0</v>
      </c>
      <c r="AG22" s="91">
        <f t="shared" si="57"/>
        <v>0</v>
      </c>
      <c r="AH22" s="91">
        <f t="shared" si="57"/>
        <v>0</v>
      </c>
      <c r="AJ22" s="213"/>
    </row>
    <row r="23" spans="2:36" x14ac:dyDescent="0.15">
      <c r="B23" s="4"/>
      <c r="C23" s="4"/>
      <c r="D23" s="4"/>
      <c r="E23" s="221"/>
      <c r="F23" s="221"/>
      <c r="G23" s="221"/>
      <c r="H23" s="221"/>
      <c r="I23" s="221"/>
      <c r="J23" s="221"/>
      <c r="K23" s="221"/>
      <c r="L23" s="221"/>
      <c r="M23" s="221"/>
      <c r="N23" s="221"/>
      <c r="O23" s="221"/>
      <c r="P23" s="221"/>
      <c r="Q23" s="221"/>
      <c r="R23" s="221"/>
      <c r="S23" s="221"/>
      <c r="T23" s="221"/>
      <c r="U23" s="221"/>
      <c r="V23" s="221"/>
      <c r="W23" s="221"/>
      <c r="X23" s="221"/>
      <c r="Y23" s="221"/>
      <c r="Z23" s="221"/>
      <c r="AA23" s="221"/>
      <c r="AB23" s="221"/>
      <c r="AC23" s="221"/>
      <c r="AD23" s="221"/>
      <c r="AE23" s="221"/>
      <c r="AF23" s="221"/>
      <c r="AG23" s="221"/>
      <c r="AH23" s="221"/>
      <c r="AJ23" s="213"/>
    </row>
    <row r="24" spans="2:36" x14ac:dyDescent="0.15">
      <c r="B24" s="45" t="s">
        <v>331</v>
      </c>
      <c r="C24" s="421"/>
      <c r="D24" s="4"/>
      <c r="E24" s="81">
        <f>IFERROR(SUM(INDEX('Monthly P&amp;L'!$F38:$NB38,1,(COLUMN(A15)-1)*12+1):INDEX('Monthly P&amp;L'!$F$38:$NB$38,1,(COLUMN(A15)-1)*12+12)),0)</f>
        <v>-400000</v>
      </c>
      <c r="F24" s="81">
        <f>IFERROR(SUM(INDEX('Monthly P&amp;L'!$F38:$NB38,1,(COLUMN(B15)-1)*12+1):INDEX('Monthly P&amp;L'!$F$38:$NB$38,1,(COLUMN(B15)-1)*12+12)),0)</f>
        <v>0</v>
      </c>
      <c r="G24" s="81">
        <f>IFERROR(SUM(INDEX('Monthly P&amp;L'!$F38:$NB38,1,(COLUMN(C15)-1)*12+1):INDEX('Monthly P&amp;L'!$F$38:$NB$38,1,(COLUMN(C15)-1)*12+12)),0)</f>
        <v>0</v>
      </c>
      <c r="H24" s="81">
        <f>IFERROR(SUM(INDEX('Monthly P&amp;L'!$F38:$NB38,1,(COLUMN(D15)-1)*12+1):INDEX('Monthly P&amp;L'!$F$38:$NB$38,1,(COLUMN(D15)-1)*12+12)),0)</f>
        <v>0</v>
      </c>
      <c r="I24" s="81">
        <f>IFERROR(SUM(INDEX('Monthly P&amp;L'!$F38:$NB38,1,(COLUMN(E15)-1)*12+1):INDEX('Monthly P&amp;L'!$F$38:$NB$38,1,(COLUMN(E15)-1)*12+12)),0)</f>
        <v>0</v>
      </c>
      <c r="J24" s="81">
        <f>IFERROR(SUM(INDEX('Monthly P&amp;L'!$F38:$NB38,1,(COLUMN(F15)-1)*12+1):INDEX('Monthly P&amp;L'!$F$38:$NB$38,1,(COLUMN(F15)-1)*12+12)),0)</f>
        <v>0</v>
      </c>
      <c r="K24" s="81">
        <f>IFERROR(SUM(INDEX('Monthly P&amp;L'!$F38:$NB38,1,(COLUMN(G15)-1)*12+1):INDEX('Monthly P&amp;L'!$F$38:$NB$38,1,(COLUMN(G15)-1)*12+12)),0)</f>
        <v>0</v>
      </c>
      <c r="L24" s="81">
        <f>IFERROR(SUM(INDEX('Monthly P&amp;L'!$F38:$NB38,1,(COLUMN(H15)-1)*12+1):INDEX('Monthly P&amp;L'!$F$38:$NB$38,1,(COLUMN(H15)-1)*12+12)),0)</f>
        <v>0</v>
      </c>
      <c r="M24" s="81">
        <f>IFERROR(SUM(INDEX('Monthly P&amp;L'!$F38:$NB38,1,(COLUMN(I15)-1)*12+1):INDEX('Monthly P&amp;L'!$F$38:$NB$38,1,(COLUMN(I15)-1)*12+12)),0)</f>
        <v>0</v>
      </c>
      <c r="N24" s="81">
        <f>IFERROR(SUM(INDEX('Monthly P&amp;L'!$F38:$NB38,1,(COLUMN(J15)-1)*12+1):INDEX('Monthly P&amp;L'!$F$38:$NB$38,1,(COLUMN(J15)-1)*12+12)),0)</f>
        <v>0</v>
      </c>
      <c r="O24" s="81">
        <f>IFERROR(SUM(INDEX('Monthly P&amp;L'!$F38:$NB38,1,(COLUMN(K15)-1)*12+1):INDEX('Monthly P&amp;L'!$F$38:$NB$38,1,(COLUMN(K15)-1)*12+12)),0)</f>
        <v>0</v>
      </c>
      <c r="P24" s="81">
        <f>IFERROR(SUM(INDEX('Monthly P&amp;L'!$F38:$NB38,1,(COLUMN(L15)-1)*12+1):INDEX('Monthly P&amp;L'!$F$38:$NB$38,1,(COLUMN(L15)-1)*12+12)),0)</f>
        <v>0</v>
      </c>
      <c r="Q24" s="81">
        <f>IFERROR(SUM(INDEX('Monthly P&amp;L'!$F38:$NB38,1,(COLUMN(M15)-1)*12+1):INDEX('Monthly P&amp;L'!$F$38:$NB$38,1,(COLUMN(M15)-1)*12+12)),0)</f>
        <v>0</v>
      </c>
      <c r="R24" s="81">
        <f>IFERROR(SUM(INDEX('Monthly P&amp;L'!$F38:$NB38,1,(COLUMN(N15)-1)*12+1):INDEX('Monthly P&amp;L'!$F$38:$NB$38,1,(COLUMN(N15)-1)*12+12)),0)</f>
        <v>0</v>
      </c>
      <c r="S24" s="81">
        <f>IFERROR(SUM(INDEX('Monthly P&amp;L'!$F38:$NB38,1,(COLUMN(O15)-1)*12+1):INDEX('Monthly P&amp;L'!$F$38:$NB$38,1,(COLUMN(O15)-1)*12+12)),0)</f>
        <v>-100000</v>
      </c>
      <c r="T24" s="81">
        <f>IFERROR(SUM(INDEX('Monthly P&amp;L'!$F38:$NB38,1,(COLUMN(P15)-1)*12+1):INDEX('Monthly P&amp;L'!$F$38:$NB$38,1,(COLUMN(P15)-1)*12+12)),0)</f>
        <v>0</v>
      </c>
      <c r="U24" s="81">
        <f>IFERROR(SUM(INDEX('Monthly P&amp;L'!$F38:$NB38,1,(COLUMN(Q15)-1)*12+1):INDEX('Monthly P&amp;L'!$F$38:$NB$38,1,(COLUMN(Q15)-1)*12+12)),0)</f>
        <v>0</v>
      </c>
      <c r="V24" s="81">
        <f>IFERROR(SUM(INDEX('Monthly P&amp;L'!$F38:$NB38,1,(COLUMN(R15)-1)*12+1):INDEX('Monthly P&amp;L'!$F$38:$NB$38,1,(COLUMN(R15)-1)*12+12)),0)</f>
        <v>0</v>
      </c>
      <c r="W24" s="81">
        <f>IFERROR(SUM(INDEX('Monthly P&amp;L'!$F38:$NB38,1,(COLUMN(S15)-1)*12+1):INDEX('Monthly P&amp;L'!$F$38:$NB$38,1,(COLUMN(S15)-1)*12+12)),0)</f>
        <v>0</v>
      </c>
      <c r="X24" s="81">
        <f>IFERROR(SUM(INDEX('Monthly P&amp;L'!$F38:$NB38,1,(COLUMN(T15)-1)*12+1):INDEX('Monthly P&amp;L'!$F$38:$NB$38,1,(COLUMN(T15)-1)*12+12)),0)</f>
        <v>0</v>
      </c>
      <c r="Y24" s="81">
        <f>IFERROR(SUM(INDEX('Monthly P&amp;L'!$F38:$NB38,1,(COLUMN(U15)-1)*12+1):INDEX('Monthly P&amp;L'!$F$38:$NB$38,1,(COLUMN(U15)-1)*12+12)),0)</f>
        <v>0</v>
      </c>
      <c r="Z24" s="81">
        <f>IFERROR(SUM(INDEX('Monthly P&amp;L'!$F38:$NB38,1,(COLUMN(V15)-1)*12+1):INDEX('Monthly P&amp;L'!$F$38:$NB$38,1,(COLUMN(V15)-1)*12+12)),0)</f>
        <v>0</v>
      </c>
      <c r="AA24" s="81">
        <f>IFERROR(SUM(INDEX('Monthly P&amp;L'!$F38:$NB38,1,(COLUMN(W15)-1)*12+1):INDEX('Monthly P&amp;L'!$F$38:$NB$38,1,(COLUMN(W15)-1)*12+12)),0)</f>
        <v>0</v>
      </c>
      <c r="AB24" s="81">
        <f>IFERROR(SUM(INDEX('Monthly P&amp;L'!$F38:$NB38,1,(COLUMN(X15)-1)*12+1):INDEX('Monthly P&amp;L'!$F$38:$NB$38,1,(COLUMN(X15)-1)*12+12)),0)</f>
        <v>0</v>
      </c>
      <c r="AC24" s="81">
        <f>IFERROR(SUM(INDEX('Monthly P&amp;L'!$F38:$NB38,1,(COLUMN(Y15)-1)*12+1):INDEX('Monthly P&amp;L'!$F$38:$NB$38,1,(COLUMN(Y15)-1)*12+12)),0)</f>
        <v>0</v>
      </c>
      <c r="AD24" s="81">
        <f>IFERROR(SUM(INDEX('Monthly P&amp;L'!$F38:$NB38,1,(COLUMN(Z15)-1)*12+1):INDEX('Monthly P&amp;L'!$F$38:$NB$38,1,(COLUMN(Z15)-1)*12+12)),0)</f>
        <v>0</v>
      </c>
      <c r="AE24" s="81">
        <f>IFERROR(SUM(INDEX('Monthly P&amp;L'!$F38:$NB38,1,(COLUMN(AA15)-1)*12+1):INDEX('Monthly P&amp;L'!$F$38:$NB$38,1,(COLUMN(AA15)-1)*12+12)),0)</f>
        <v>0</v>
      </c>
      <c r="AF24" s="81">
        <f>IFERROR(SUM(INDEX('Monthly P&amp;L'!$F38:$NB38,1,(COLUMN(AB15)-1)*12+1):INDEX('Monthly P&amp;L'!$F$38:$NB$38,1,(COLUMN(AB15)-1)*12+12)),0)</f>
        <v>0</v>
      </c>
      <c r="AG24" s="81">
        <f>IFERROR(SUM(INDEX('Monthly P&amp;L'!$F38:$NB38,1,(COLUMN(AC15)-1)*12+1):INDEX('Monthly P&amp;L'!$F$38:$NB$38,1,(COLUMN(AC15)-1)*12+12)),0)</f>
        <v>0</v>
      </c>
      <c r="AH24" s="81">
        <f>IFERROR(SUM(INDEX('Monthly P&amp;L'!$F38:$NB38,1,(COLUMN(AD15)-1)*12+1):INDEX('Monthly P&amp;L'!$F$38:$NB$38,1,(COLUMN(AD15)-1)*12+12)),0)</f>
        <v>0</v>
      </c>
    </row>
    <row r="25" spans="2:36" x14ac:dyDescent="0.15">
      <c r="B25" s="65" t="s">
        <v>142</v>
      </c>
      <c r="C25" s="42"/>
      <c r="D25" s="42"/>
      <c r="E25" s="79">
        <f t="shared" ref="E25:AH25" si="58">IF(E6=$D$4,sale_price*(1-cost_sale),0)</f>
        <v>0</v>
      </c>
      <c r="F25" s="79">
        <f t="shared" si="58"/>
        <v>0</v>
      </c>
      <c r="G25" s="79">
        <f t="shared" si="58"/>
        <v>0</v>
      </c>
      <c r="H25" s="79">
        <f t="shared" si="58"/>
        <v>0</v>
      </c>
      <c r="I25" s="79">
        <f t="shared" si="58"/>
        <v>0</v>
      </c>
      <c r="J25" s="79">
        <f t="shared" si="58"/>
        <v>0</v>
      </c>
      <c r="K25" s="79">
        <f t="shared" si="58"/>
        <v>0</v>
      </c>
      <c r="L25" s="79">
        <f t="shared" si="58"/>
        <v>0</v>
      </c>
      <c r="M25" s="79">
        <f t="shared" si="58"/>
        <v>0</v>
      </c>
      <c r="N25" s="79">
        <f t="shared" si="58"/>
        <v>0</v>
      </c>
      <c r="O25" s="79">
        <f t="shared" si="58"/>
        <v>0</v>
      </c>
      <c r="P25" s="79">
        <f t="shared" si="58"/>
        <v>0</v>
      </c>
      <c r="Q25" s="79">
        <f t="shared" si="58"/>
        <v>0</v>
      </c>
      <c r="R25" s="79">
        <f t="shared" si="58"/>
        <v>0</v>
      </c>
      <c r="S25" s="79">
        <f t="shared" ca="1" si="58"/>
        <v>9473135.6245278176</v>
      </c>
      <c r="T25" s="79">
        <f t="shared" si="58"/>
        <v>0</v>
      </c>
      <c r="U25" s="79">
        <f t="shared" si="58"/>
        <v>0</v>
      </c>
      <c r="V25" s="79">
        <f t="shared" si="58"/>
        <v>0</v>
      </c>
      <c r="W25" s="79">
        <f t="shared" si="58"/>
        <v>0</v>
      </c>
      <c r="X25" s="79">
        <f t="shared" si="58"/>
        <v>0</v>
      </c>
      <c r="Y25" s="79">
        <f t="shared" si="58"/>
        <v>0</v>
      </c>
      <c r="Z25" s="79">
        <f t="shared" si="58"/>
        <v>0</v>
      </c>
      <c r="AA25" s="79">
        <f t="shared" si="58"/>
        <v>0</v>
      </c>
      <c r="AB25" s="79">
        <f t="shared" si="58"/>
        <v>0</v>
      </c>
      <c r="AC25" s="79">
        <f t="shared" si="58"/>
        <v>0</v>
      </c>
      <c r="AD25" s="79">
        <f t="shared" si="58"/>
        <v>0</v>
      </c>
      <c r="AE25" s="79">
        <f t="shared" si="58"/>
        <v>0</v>
      </c>
      <c r="AF25" s="79">
        <f t="shared" si="58"/>
        <v>0</v>
      </c>
      <c r="AG25" s="79">
        <f t="shared" si="58"/>
        <v>0</v>
      </c>
      <c r="AH25" s="79">
        <f t="shared" si="58"/>
        <v>0</v>
      </c>
    </row>
    <row r="26" spans="2:36" x14ac:dyDescent="0.15">
      <c r="B26" s="90" t="s">
        <v>106</v>
      </c>
      <c r="C26" s="90"/>
      <c r="D26" s="92">
        <f>-purchase_price-closing_costs</f>
        <v>-6224400</v>
      </c>
      <c r="E26" s="91">
        <f t="shared" ref="E26:AH26" si="59">SUM(E22:E25)</f>
        <v>-78452.841899999999</v>
      </c>
      <c r="F26" s="91">
        <f t="shared" si="59"/>
        <v>330953.04108199995</v>
      </c>
      <c r="G26" s="91">
        <f t="shared" si="59"/>
        <v>341595.54450363992</v>
      </c>
      <c r="H26" s="91">
        <f t="shared" si="59"/>
        <v>352572.40359046275</v>
      </c>
      <c r="I26" s="91">
        <f t="shared" si="59"/>
        <v>363893.97068164329</v>
      </c>
      <c r="J26" s="91">
        <f t="shared" si="59"/>
        <v>375570.91562136548</v>
      </c>
      <c r="K26" s="91">
        <f t="shared" si="59"/>
        <v>387614.2354352047</v>
      </c>
      <c r="L26" s="91">
        <f t="shared" si="59"/>
        <v>400035.26430014148</v>
      </c>
      <c r="M26" s="91">
        <f t="shared" si="59"/>
        <v>412845.68381708727</v>
      </c>
      <c r="N26" s="91">
        <f t="shared" si="59"/>
        <v>426057.5335950742</v>
      </c>
      <c r="O26" s="91">
        <f t="shared" si="59"/>
        <v>439683.22215653793</v>
      </c>
      <c r="P26" s="91">
        <f t="shared" si="59"/>
        <v>453735.53817340767</v>
      </c>
      <c r="Q26" s="91">
        <f t="shared" si="59"/>
        <v>468227.6620440039</v>
      </c>
      <c r="R26" s="91">
        <f t="shared" si="59"/>
        <v>483173.17782105727</v>
      </c>
      <c r="S26" s="91">
        <f ca="1">SUM(S22:S25)</f>
        <v>9871721.7100292817</v>
      </c>
      <c r="T26" s="91">
        <f t="shared" si="59"/>
        <v>0</v>
      </c>
      <c r="U26" s="91">
        <f t="shared" si="59"/>
        <v>0</v>
      </c>
      <c r="V26" s="91">
        <f t="shared" si="59"/>
        <v>0</v>
      </c>
      <c r="W26" s="91">
        <f t="shared" si="59"/>
        <v>0</v>
      </c>
      <c r="X26" s="91">
        <f t="shared" si="59"/>
        <v>0</v>
      </c>
      <c r="Y26" s="91">
        <f t="shared" si="59"/>
        <v>0</v>
      </c>
      <c r="Z26" s="91">
        <f t="shared" si="59"/>
        <v>0</v>
      </c>
      <c r="AA26" s="91">
        <f t="shared" si="59"/>
        <v>0</v>
      </c>
      <c r="AB26" s="91">
        <f t="shared" si="59"/>
        <v>0</v>
      </c>
      <c r="AC26" s="91">
        <f t="shared" si="59"/>
        <v>0</v>
      </c>
      <c r="AD26" s="91">
        <f t="shared" si="59"/>
        <v>0</v>
      </c>
      <c r="AE26" s="91">
        <f t="shared" si="59"/>
        <v>0</v>
      </c>
      <c r="AF26" s="91">
        <f t="shared" si="59"/>
        <v>0</v>
      </c>
      <c r="AG26" s="91">
        <f t="shared" si="59"/>
        <v>0</v>
      </c>
      <c r="AH26" s="91">
        <f t="shared" si="59"/>
        <v>0</v>
      </c>
    </row>
    <row r="27" spans="2:36" x14ac:dyDescent="0.15">
      <c r="D27" s="188"/>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c r="AG27" s="20"/>
      <c r="AH27" s="20"/>
    </row>
    <row r="28" spans="2:36" x14ac:dyDescent="0.15">
      <c r="B28" s="45" t="s">
        <v>109</v>
      </c>
      <c r="C28" s="371"/>
      <c r="E28" s="80">
        <f>IFERROR(SUM(INDEX('Monthly P&amp;L'!$G44:$NB44,1,(COLUMN(A1)-1)*12+1):INDEX('Monthly P&amp;L'!$G$44:$NB$44,1,(COLUMN(A1)-1)*12+12)),0)</f>
        <v>257581.70846631678</v>
      </c>
      <c r="F28" s="80">
        <f>IFERROR(SUM(INDEX('Monthly P&amp;L'!$G44:$NB44,1,(COLUMN(B1)-1)*12+1):INDEX('Monthly P&amp;L'!$G$44:$NB$44,1,(COLUMN(B1)-1)*12+12)),0)</f>
        <v>252473.31756237336</v>
      </c>
      <c r="G28" s="80">
        <f>IFERROR(SUM(INDEX('Monthly P&amp;L'!$G44:$NB44,1,(COLUMN(C1)-1)*12+1):INDEX('Monthly P&amp;L'!$G$44:$NB$44,1,(COLUMN(C1)-1)*12+12)),0)</f>
        <v>247076.77325752552</v>
      </c>
      <c r="H28" s="80">
        <f>IFERROR(SUM(INDEX('Monthly P&amp;L'!$G44:$NB44,1,(COLUMN(D1)-1)*12+1):INDEX('Monthly P&amp;L'!$G$44:$NB$44,1,(COLUMN(D1)-1)*12+12)),0)</f>
        <v>241375.82143496542</v>
      </c>
      <c r="I28" s="80">
        <f>IFERROR(SUM(INDEX('Monthly P&amp;L'!$G44:$NB44,1,(COLUMN(E1)-1)*12+1):INDEX('Monthly P&amp;L'!$G$44:$NB$44,1,(COLUMN(E1)-1)*12+12)),0)</f>
        <v>235353.29111793375</v>
      </c>
      <c r="J28" s="80">
        <f>IFERROR(SUM(INDEX('Monthly P&amp;L'!$G44:$NB44,1,(COLUMN(F1)-1)*12+1):INDEX('Monthly P&amp;L'!$G$44:$NB$44,1,(COLUMN(F1)-1)*12+12)),0)</f>
        <v>228991.04275161133</v>
      </c>
      <c r="K28" s="80">
        <f>IFERROR(SUM(INDEX('Monthly P&amp;L'!$G44:$NB44,1,(COLUMN(G1)-1)*12+1):INDEX('Monthly P&amp;L'!$G$44:$NB$44,1,(COLUMN(G1)-1)*12+12)),0)</f>
        <v>222269.91356770333</v>
      </c>
      <c r="L28" s="80">
        <f>IFERROR(SUM(INDEX('Monthly P&amp;L'!$G44:$NB44,1,(COLUMN(H1)-1)*12+1):INDEX('Monthly P&amp;L'!$G$44:$NB$44,1,(COLUMN(H1)-1)*12+12)),0)</f>
        <v>215169.6598671563</v>
      </c>
      <c r="M28" s="80">
        <f>IFERROR(SUM(INDEX('Monthly P&amp;L'!$G44:$NB44,1,(COLUMN(I1)-1)*12+1):INDEX('Monthly P&amp;L'!$G$44:$NB$44,1,(COLUMN(I1)-1)*12+12)),0)</f>
        <v>207668.89604716687</v>
      </c>
      <c r="N28" s="80">
        <f>IFERROR(SUM(INDEX('Monthly P&amp;L'!$G44:$NB44,1,(COLUMN(J1)-1)*12+1):INDEX('Monthly P&amp;L'!$G$44:$NB$44,1,(COLUMN(J1)-1)*12+12)),0)</f>
        <v>199745.0301888347</v>
      </c>
      <c r="O28" s="80">
        <f>IFERROR(SUM(INDEX('Monthly P&amp;L'!$G44:$NB44,1,(COLUMN(K1)-1)*12+1):INDEX('Monthly P&amp;L'!$G$44:$NB$44,1,(COLUMN(K1)-1)*12+12)),0)</f>
        <v>191374.19601145195</v>
      </c>
      <c r="P28" s="80">
        <f>IFERROR(SUM(INDEX('Monthly P&amp;L'!$G44:$NB44,1,(COLUMN(L1)-1)*12+1):INDEX('Monthly P&amp;L'!$G$44:$NB$44,1,(COLUMN(L1)-1)*12+12)),0)</f>
        <v>182531.18098848098</v>
      </c>
      <c r="Q28" s="80">
        <f>IFERROR(SUM(INDEX('Monthly P&amp;L'!$G44:$NB44,1,(COLUMN(M1)-1)*12+1):INDEX('Monthly P&amp;L'!$G$44:$NB$44,1,(COLUMN(M1)-1)*12+12)),0)</f>
        <v>173189.35040870699</v>
      </c>
      <c r="R28" s="80">
        <f>IFERROR(SUM(INDEX('Monthly P&amp;L'!$G44:$NB44,1,(COLUMN(N1)-1)*12+1):INDEX('Monthly P&amp;L'!$G$44:$NB$44,1,(COLUMN(N1)-1)*12+12)),0)</f>
        <v>163320.56715384388</v>
      </c>
      <c r="S28" s="80">
        <f>IFERROR(SUM(INDEX('Monthly P&amp;L'!$G44:$NB44,1,(COLUMN(O1)-1)*12+1):INDEX('Monthly P&amp;L'!$G$44:$NB$44,1,(COLUMN(O1)-1)*12+12)),0)</f>
        <v>152895.10695096527</v>
      </c>
      <c r="T28" s="80">
        <f>IFERROR(SUM(INDEX('Monthly P&amp;L'!$G44:$NB44,1,(COLUMN(P1)-1)*12+1):INDEX('Monthly P&amp;L'!$G$44:$NB$44,1,(COLUMN(P1)-1)*12+12)),0)</f>
        <v>0</v>
      </c>
      <c r="U28" s="80">
        <f>IFERROR(SUM(INDEX('Monthly P&amp;L'!$G44:$NB44,1,(COLUMN(Q1)-1)*12+1):INDEX('Monthly P&amp;L'!$G$44:$NB$44,1,(COLUMN(Q1)-1)*12+12)),0)</f>
        <v>0</v>
      </c>
      <c r="V28" s="80">
        <f>IFERROR(SUM(INDEX('Monthly P&amp;L'!$G44:$NB44,1,(COLUMN(R1)-1)*12+1):INDEX('Monthly P&amp;L'!$G$44:$NB$44,1,(COLUMN(R1)-1)*12+12)),0)</f>
        <v>0</v>
      </c>
      <c r="W28" s="80">
        <f>IFERROR(SUM(INDEX('Monthly P&amp;L'!$G44:$NB44,1,(COLUMN(S1)-1)*12+1):INDEX('Monthly P&amp;L'!$G$44:$NB$44,1,(COLUMN(S1)-1)*12+12)),0)</f>
        <v>0</v>
      </c>
      <c r="X28" s="80">
        <f>IFERROR(SUM(INDEX('Monthly P&amp;L'!$G44:$NB44,1,(COLUMN(T1)-1)*12+1):INDEX('Monthly P&amp;L'!$G$44:$NB$44,1,(COLUMN(T1)-1)*12+12)),0)</f>
        <v>0</v>
      </c>
      <c r="Y28" s="80">
        <f>IFERROR(SUM(INDEX('Monthly P&amp;L'!$G44:$NB44,1,(COLUMN(U1)-1)*12+1):INDEX('Monthly P&amp;L'!$G$44:$NB$44,1,(COLUMN(U1)-1)*12+12)),0)</f>
        <v>0</v>
      </c>
      <c r="Z28" s="80">
        <f>IFERROR(SUM(INDEX('Monthly P&amp;L'!$G44:$NB44,1,(COLUMN(V1)-1)*12+1):INDEX('Monthly P&amp;L'!$G$44:$NB$44,1,(COLUMN(V1)-1)*12+12)),0)</f>
        <v>0</v>
      </c>
      <c r="AA28" s="80">
        <f>IFERROR(SUM(INDEX('Monthly P&amp;L'!$G44:$NB44,1,(COLUMN(W1)-1)*12+1):INDEX('Monthly P&amp;L'!$G$44:$NB$44,1,(COLUMN(W1)-1)*12+12)),0)</f>
        <v>0</v>
      </c>
      <c r="AB28" s="80">
        <f>IFERROR(SUM(INDEX('Monthly P&amp;L'!$G44:$NB44,1,(COLUMN(X1)-1)*12+1):INDEX('Monthly P&amp;L'!$G$44:$NB$44,1,(COLUMN(X1)-1)*12+12)),0)</f>
        <v>0</v>
      </c>
      <c r="AC28" s="80">
        <f>IFERROR(SUM(INDEX('Monthly P&amp;L'!$G44:$NB44,1,(COLUMN(Y1)-1)*12+1):INDEX('Monthly P&amp;L'!$G$44:$NB$44,1,(COLUMN(Y1)-1)*12+12)),0)</f>
        <v>0</v>
      </c>
      <c r="AD28" s="80">
        <f>IFERROR(SUM(INDEX('Monthly P&amp;L'!$G44:$NB44,1,(COLUMN(Z1)-1)*12+1):INDEX('Monthly P&amp;L'!$G$44:$NB$44,1,(COLUMN(Z1)-1)*12+12)),0)</f>
        <v>0</v>
      </c>
      <c r="AE28" s="80">
        <f>IFERROR(SUM(INDEX('Monthly P&amp;L'!$G44:$NB44,1,(COLUMN(AA1)-1)*12+1):INDEX('Monthly P&amp;L'!$G$44:$NB$44,1,(COLUMN(AA1)-1)*12+12)),0)</f>
        <v>0</v>
      </c>
      <c r="AF28" s="80">
        <f>IFERROR(SUM(INDEX('Monthly P&amp;L'!$G44:$NB44,1,(COLUMN(AB1)-1)*12+1):INDEX('Monthly P&amp;L'!$G$44:$NB$44,1,(COLUMN(AB1)-1)*12+12)),0)</f>
        <v>0</v>
      </c>
      <c r="AG28" s="80">
        <f>IFERROR(SUM(INDEX('Monthly P&amp;L'!$G44:$NB44,1,(COLUMN(AC1)-1)*12+1):INDEX('Monthly P&amp;L'!$G$44:$NB$44,1,(COLUMN(AC1)-1)*12+12)),0)</f>
        <v>0</v>
      </c>
      <c r="AH28" s="80">
        <f>IFERROR(SUM(INDEX('Monthly P&amp;L'!$G44:$NB44,1,(COLUMN(AD1)-1)*12+1):INDEX('Monthly P&amp;L'!$G$44:$NB$44,1,(COLUMN(AD1)-1)*12+12)),0)</f>
        <v>0</v>
      </c>
    </row>
    <row r="29" spans="2:36" x14ac:dyDescent="0.15">
      <c r="B29" s="6" t="s">
        <v>111</v>
      </c>
      <c r="C29" s="65"/>
      <c r="D29" s="6"/>
      <c r="E29" s="81">
        <f>IFERROR(SUM(INDEX('Monthly P&amp;L'!$G47:$NB47,1,(COLUMN(A2)-1)*12+1):INDEX('Monthly P&amp;L'!$G47:$NB47,1,(COLUMN(A2)-1)*12+12)),0)</f>
        <v>90561.685357832583</v>
      </c>
      <c r="F29" s="81">
        <f>IFERROR(SUM(INDEX('Monthly P&amp;L'!$G47:$NB47,1,(COLUMN(B2)-1)*12+1):INDEX('Monthly P&amp;L'!$G47:$NB47,1,(COLUMN(B2)-1)*12+12)),0)</f>
        <v>95670.076261776019</v>
      </c>
      <c r="G29" s="81">
        <f>IFERROR(SUM(INDEX('Monthly P&amp;L'!$G47:$NB47,1,(COLUMN(C2)-1)*12+1):INDEX('Monthly P&amp;L'!$G47:$NB47,1,(COLUMN(C2)-1)*12+12)),0)</f>
        <v>101066.62056662385</v>
      </c>
      <c r="H29" s="81">
        <f>IFERROR(SUM(INDEX('Monthly P&amp;L'!$G47:$NB47,1,(COLUMN(D2)-1)*12+1):INDEX('Monthly P&amp;L'!$G47:$NB47,1,(COLUMN(D2)-1)*12+12)),0)</f>
        <v>106767.57238918394</v>
      </c>
      <c r="I29" s="81">
        <f>IFERROR(SUM(INDEX('Monthly P&amp;L'!$G47:$NB47,1,(COLUMN(E2)-1)*12+1):INDEX('Monthly P&amp;L'!$G47:$NB47,1,(COLUMN(E2)-1)*12+12)),0)</f>
        <v>112790.10270621561</v>
      </c>
      <c r="J29" s="81">
        <f>IFERROR(SUM(INDEX('Monthly P&amp;L'!$G47:$NB47,1,(COLUMN(F2)-1)*12+1):INDEX('Monthly P&amp;L'!$G47:$NB47,1,(COLUMN(F2)-1)*12+12)),0)</f>
        <v>119152.35107253802</v>
      </c>
      <c r="K29" s="81">
        <f>IFERROR(SUM(INDEX('Monthly P&amp;L'!$G47:$NB47,1,(COLUMN(G2)-1)*12+1):INDEX('Monthly P&amp;L'!$G47:$NB47,1,(COLUMN(G2)-1)*12+12)),0)</f>
        <v>125873.48025644603</v>
      </c>
      <c r="L29" s="81">
        <f>IFERROR(SUM(INDEX('Monthly P&amp;L'!$G47:$NB47,1,(COLUMN(H2)-1)*12+1):INDEX('Monthly P&amp;L'!$G47:$NB47,1,(COLUMN(H2)-1)*12+12)),0)</f>
        <v>132973.73395699309</v>
      </c>
      <c r="M29" s="81">
        <f>IFERROR(SUM(INDEX('Monthly P&amp;L'!$G47:$NB47,1,(COLUMN(I2)-1)*12+1):INDEX('Monthly P&amp;L'!$G47:$NB47,1,(COLUMN(I2)-1)*12+12)),0)</f>
        <v>140474.49777698246</v>
      </c>
      <c r="N29" s="81">
        <f>IFERROR(SUM(INDEX('Monthly P&amp;L'!$G47:$NB47,1,(COLUMN(J2)-1)*12+1):INDEX('Monthly P&amp;L'!$G47:$NB47,1,(COLUMN(J2)-1)*12+12)),0)</f>
        <v>148398.36363531469</v>
      </c>
      <c r="O29" s="81">
        <f>IFERROR(SUM(INDEX('Monthly P&amp;L'!$G47:$NB47,1,(COLUMN(K2)-1)*12+1):INDEX('Monthly P&amp;L'!$G47:$NB47,1,(COLUMN(K2)-1)*12+12)),0)</f>
        <v>156769.19781269738</v>
      </c>
      <c r="P29" s="81">
        <f>IFERROR(SUM(INDEX('Monthly P&amp;L'!$G47:$NB47,1,(COLUMN(L2)-1)*12+1):INDEX('Monthly P&amp;L'!$G47:$NB47,1,(COLUMN(L2)-1)*12+12)),0)</f>
        <v>165612.21283566841</v>
      </c>
      <c r="Q29" s="81">
        <f>IFERROR(SUM(INDEX('Monthly P&amp;L'!$G47:$NB47,1,(COLUMN(M2)-1)*12+1):INDEX('Monthly P&amp;L'!$G47:$NB47,1,(COLUMN(M2)-1)*12+12)),0)</f>
        <v>174954.04341544237</v>
      </c>
      <c r="R29" s="81">
        <f>IFERROR(SUM(INDEX('Monthly P&amp;L'!$G47:$NB47,1,(COLUMN(N2)-1)*12+1):INDEX('Monthly P&amp;L'!$G47:$NB47,1,(COLUMN(N2)-1)*12+12)),0)</f>
        <v>184822.82667030551</v>
      </c>
      <c r="S29" s="81">
        <f>IFERROR(SUM(INDEX('Monthly P&amp;L'!$G47:$NB47,1,(COLUMN(O2)-1)*12+1):INDEX('Monthly P&amp;L'!$G47:$NB47,1,(COLUMN(O2)-1)*12+12)),0)</f>
        <v>195248.28687318409</v>
      </c>
      <c r="T29" s="81">
        <f>IFERROR(SUM(INDEX('Monthly P&amp;L'!$G47:$NB47,1,(COLUMN(P2)-1)*12+1):INDEX('Monthly P&amp;L'!$G47:$NB47,1,(COLUMN(P2)-1)*12+12)),0)</f>
        <v>0</v>
      </c>
      <c r="U29" s="81">
        <f>IFERROR(SUM(INDEX('Monthly P&amp;L'!$G47:$NB47,1,(COLUMN(Q2)-1)*12+1):INDEX('Monthly P&amp;L'!$G47:$NB47,1,(COLUMN(Q2)-1)*12+12)),0)</f>
        <v>0</v>
      </c>
      <c r="V29" s="81">
        <f>IFERROR(SUM(INDEX('Monthly P&amp;L'!$G47:$NB47,1,(COLUMN(R2)-1)*12+1):INDEX('Monthly P&amp;L'!$G47:$NB47,1,(COLUMN(R2)-1)*12+12)),0)</f>
        <v>0</v>
      </c>
      <c r="W29" s="81">
        <f>IFERROR(SUM(INDEX('Monthly P&amp;L'!$G47:$NB47,1,(COLUMN(S2)-1)*12+1):INDEX('Monthly P&amp;L'!$G47:$NB47,1,(COLUMN(S2)-1)*12+12)),0)</f>
        <v>0</v>
      </c>
      <c r="X29" s="81">
        <f>IFERROR(SUM(INDEX('Monthly P&amp;L'!$G47:$NB47,1,(COLUMN(T2)-1)*12+1):INDEX('Monthly P&amp;L'!$G47:$NB47,1,(COLUMN(T2)-1)*12+12)),0)</f>
        <v>0</v>
      </c>
      <c r="Y29" s="81">
        <f>IFERROR(SUM(INDEX('Monthly P&amp;L'!$G47:$NB47,1,(COLUMN(U2)-1)*12+1):INDEX('Monthly P&amp;L'!$G47:$NB47,1,(COLUMN(U2)-1)*12+12)),0)</f>
        <v>0</v>
      </c>
      <c r="Z29" s="81">
        <f>IFERROR(SUM(INDEX('Monthly P&amp;L'!$G47:$NB47,1,(COLUMN(V2)-1)*12+1):INDEX('Monthly P&amp;L'!$G47:$NB47,1,(COLUMN(V2)-1)*12+12)),0)</f>
        <v>0</v>
      </c>
      <c r="AA29" s="81">
        <f>IFERROR(SUM(INDEX('Monthly P&amp;L'!$G47:$NB47,1,(COLUMN(W2)-1)*12+1):INDEX('Monthly P&amp;L'!$G47:$NB47,1,(COLUMN(W2)-1)*12+12)),0)</f>
        <v>0</v>
      </c>
      <c r="AB29" s="81">
        <f>IFERROR(SUM(INDEX('Monthly P&amp;L'!$G47:$NB47,1,(COLUMN(X2)-1)*12+1):INDEX('Monthly P&amp;L'!$G47:$NB47,1,(COLUMN(X2)-1)*12+12)),0)</f>
        <v>0</v>
      </c>
      <c r="AC29" s="81">
        <f>IFERROR(SUM(INDEX('Monthly P&amp;L'!$G47:$NB47,1,(COLUMN(Y2)-1)*12+1):INDEX('Monthly P&amp;L'!$G47:$NB47,1,(COLUMN(Y2)-1)*12+12)),0)</f>
        <v>0</v>
      </c>
      <c r="AD29" s="81">
        <f>IFERROR(SUM(INDEX('Monthly P&amp;L'!$G47:$NB47,1,(COLUMN(Z2)-1)*12+1):INDEX('Monthly P&amp;L'!$G47:$NB47,1,(COLUMN(Z2)-1)*12+12)),0)</f>
        <v>0</v>
      </c>
      <c r="AE29" s="81">
        <f>IFERROR(SUM(INDEX('Monthly P&amp;L'!$G47:$NB47,1,(COLUMN(AA2)-1)*12+1):INDEX('Monthly P&amp;L'!$G47:$NB47,1,(COLUMN(AA2)-1)*12+12)),0)</f>
        <v>0</v>
      </c>
      <c r="AF29" s="81">
        <f>IFERROR(SUM(INDEX('Monthly P&amp;L'!$G47:$NB47,1,(COLUMN(AB2)-1)*12+1):INDEX('Monthly P&amp;L'!$G47:$NB47,1,(COLUMN(AB2)-1)*12+12)),0)</f>
        <v>0</v>
      </c>
      <c r="AG29" s="81">
        <f>IFERROR(SUM(INDEX('Monthly P&amp;L'!$G47:$NB47,1,(COLUMN(AC2)-1)*12+1):INDEX('Monthly P&amp;L'!$G47:$NB47,1,(COLUMN(AC2)-1)*12+12)),0)</f>
        <v>0</v>
      </c>
      <c r="AH29" s="81">
        <f>IFERROR(SUM(INDEX('Monthly P&amp;L'!$G47:$NB47,1,(COLUMN(AD2)-1)*12+1):INDEX('Monthly P&amp;L'!$G47:$NB47,1,(COLUMN(AD2)-1)*12+12)),0)</f>
        <v>0</v>
      </c>
    </row>
    <row r="30" spans="2:36" x14ac:dyDescent="0.15">
      <c r="B30" t="s">
        <v>143</v>
      </c>
      <c r="E30" s="66">
        <f>SUM(E28:E29)</f>
        <v>348143.39382414939</v>
      </c>
      <c r="F30" s="66">
        <f t="shared" ref="F30:AH30" si="60">SUM(F28:F29)</f>
        <v>348143.39382414939</v>
      </c>
      <c r="G30" s="66">
        <f t="shared" si="60"/>
        <v>348143.39382414939</v>
      </c>
      <c r="H30" s="66">
        <f t="shared" si="60"/>
        <v>348143.39382414939</v>
      </c>
      <c r="I30" s="66">
        <f t="shared" si="60"/>
        <v>348143.39382414939</v>
      </c>
      <c r="J30" s="66">
        <f t="shared" si="60"/>
        <v>348143.39382414933</v>
      </c>
      <c r="K30" s="66">
        <f t="shared" si="60"/>
        <v>348143.39382414939</v>
      </c>
      <c r="L30" s="66">
        <f t="shared" si="60"/>
        <v>348143.39382414939</v>
      </c>
      <c r="M30" s="66">
        <f t="shared" si="60"/>
        <v>348143.39382414933</v>
      </c>
      <c r="N30" s="66">
        <f t="shared" si="60"/>
        <v>348143.39382414939</v>
      </c>
      <c r="O30" s="66">
        <f t="shared" si="60"/>
        <v>348143.39382414933</v>
      </c>
      <c r="P30" s="66">
        <f t="shared" si="60"/>
        <v>348143.39382414939</v>
      </c>
      <c r="Q30" s="66">
        <f t="shared" si="60"/>
        <v>348143.39382414939</v>
      </c>
      <c r="R30" s="66">
        <f t="shared" si="60"/>
        <v>348143.39382414939</v>
      </c>
      <c r="S30" s="66">
        <f t="shared" si="60"/>
        <v>348143.39382414939</v>
      </c>
      <c r="T30" s="66">
        <f t="shared" si="60"/>
        <v>0</v>
      </c>
      <c r="U30" s="66">
        <f t="shared" si="60"/>
        <v>0</v>
      </c>
      <c r="V30" s="66">
        <f t="shared" si="60"/>
        <v>0</v>
      </c>
      <c r="W30" s="66">
        <f t="shared" si="60"/>
        <v>0</v>
      </c>
      <c r="X30" s="66">
        <f t="shared" si="60"/>
        <v>0</v>
      </c>
      <c r="Y30" s="66">
        <f t="shared" si="60"/>
        <v>0</v>
      </c>
      <c r="Z30" s="66">
        <f t="shared" si="60"/>
        <v>0</v>
      </c>
      <c r="AA30" s="66">
        <f t="shared" si="60"/>
        <v>0</v>
      </c>
      <c r="AB30" s="66">
        <f t="shared" si="60"/>
        <v>0</v>
      </c>
      <c r="AC30" s="66">
        <f t="shared" si="60"/>
        <v>0</v>
      </c>
      <c r="AD30" s="66">
        <f t="shared" si="60"/>
        <v>0</v>
      </c>
      <c r="AE30" s="66">
        <f t="shared" si="60"/>
        <v>0</v>
      </c>
      <c r="AF30" s="66">
        <f t="shared" si="60"/>
        <v>0</v>
      </c>
      <c r="AG30" s="66">
        <f t="shared" si="60"/>
        <v>0</v>
      </c>
      <c r="AH30" s="66">
        <f t="shared" si="60"/>
        <v>0</v>
      </c>
    </row>
    <row r="31" spans="2:36" x14ac:dyDescent="0.15">
      <c r="B31" t="s">
        <v>144</v>
      </c>
      <c r="D31" s="66">
        <f>debt</f>
        <v>4724400</v>
      </c>
      <c r="E31" s="66">
        <f>IF(E$6&lt;=$D$4,D31-E29,0)</f>
        <v>4633838.3146421677</v>
      </c>
      <c r="F31" s="66">
        <f t="shared" ref="F31:AG31" si="61">IF(F$6&lt;=$D$4,E31-F29,0)</f>
        <v>4538168.2383803921</v>
      </c>
      <c r="G31" s="66">
        <f t="shared" si="61"/>
        <v>4437101.6178137679</v>
      </c>
      <c r="H31" s="66">
        <f t="shared" si="61"/>
        <v>4330334.0454245843</v>
      </c>
      <c r="I31" s="66">
        <f t="shared" si="61"/>
        <v>4217543.942718369</v>
      </c>
      <c r="J31" s="66">
        <f t="shared" si="61"/>
        <v>4098391.5916458308</v>
      </c>
      <c r="K31" s="66">
        <f t="shared" si="61"/>
        <v>3972518.1113893846</v>
      </c>
      <c r="L31" s="66">
        <f t="shared" si="61"/>
        <v>3839544.3774323915</v>
      </c>
      <c r="M31" s="66">
        <f t="shared" si="61"/>
        <v>3699069.8796554091</v>
      </c>
      <c r="N31" s="66">
        <f t="shared" si="61"/>
        <v>3550671.5160200945</v>
      </c>
      <c r="O31" s="66">
        <f t="shared" si="61"/>
        <v>3393902.3182073971</v>
      </c>
      <c r="P31" s="66">
        <f t="shared" si="61"/>
        <v>3228290.1053717285</v>
      </c>
      <c r="Q31" s="66">
        <f t="shared" si="61"/>
        <v>3053336.061956286</v>
      </c>
      <c r="R31" s="66">
        <f t="shared" si="61"/>
        <v>2868513.2352859806</v>
      </c>
      <c r="S31" s="66">
        <f t="shared" si="61"/>
        <v>2673264.9484127965</v>
      </c>
      <c r="T31" s="66">
        <f t="shared" si="61"/>
        <v>0</v>
      </c>
      <c r="U31" s="66">
        <f t="shared" si="61"/>
        <v>0</v>
      </c>
      <c r="V31" s="66">
        <f t="shared" si="61"/>
        <v>0</v>
      </c>
      <c r="W31" s="66">
        <f t="shared" si="61"/>
        <v>0</v>
      </c>
      <c r="X31" s="66">
        <f t="shared" si="61"/>
        <v>0</v>
      </c>
      <c r="Y31" s="66">
        <f t="shared" si="61"/>
        <v>0</v>
      </c>
      <c r="Z31" s="66">
        <f t="shared" si="61"/>
        <v>0</v>
      </c>
      <c r="AA31" s="66">
        <f t="shared" si="61"/>
        <v>0</v>
      </c>
      <c r="AB31" s="66">
        <f t="shared" si="61"/>
        <v>0</v>
      </c>
      <c r="AC31" s="66">
        <f t="shared" si="61"/>
        <v>0</v>
      </c>
      <c r="AD31" s="66">
        <f t="shared" si="61"/>
        <v>0</v>
      </c>
      <c r="AE31" s="66">
        <f t="shared" si="61"/>
        <v>0</v>
      </c>
      <c r="AF31" s="66">
        <f t="shared" si="61"/>
        <v>0</v>
      </c>
      <c r="AG31" s="66">
        <f t="shared" si="61"/>
        <v>0</v>
      </c>
      <c r="AH31" s="66">
        <f>IF(AH$6&lt;=$D$4,AG31-AH29,0)</f>
        <v>0</v>
      </c>
    </row>
    <row r="32" spans="2:36" x14ac:dyDescent="0.15">
      <c r="D32" s="66"/>
      <c r="E32" s="66"/>
      <c r="F32" s="66"/>
      <c r="G32" s="66"/>
      <c r="H32" s="66"/>
      <c r="I32" s="66"/>
      <c r="J32" s="66"/>
      <c r="K32" s="66"/>
      <c r="L32" s="66"/>
      <c r="M32" s="66"/>
      <c r="N32" s="66"/>
      <c r="O32" s="66"/>
      <c r="P32" s="66"/>
      <c r="Q32" s="66"/>
      <c r="R32" s="66"/>
      <c r="S32" s="66"/>
      <c r="T32" s="66"/>
      <c r="U32" s="66"/>
      <c r="V32" s="66"/>
      <c r="W32" s="66"/>
      <c r="X32" s="66"/>
      <c r="Y32" s="66"/>
      <c r="Z32" s="66"/>
      <c r="AA32" s="66"/>
      <c r="AB32" s="66"/>
      <c r="AC32" s="66"/>
      <c r="AD32" s="66"/>
      <c r="AE32" s="66"/>
      <c r="AF32" s="66"/>
      <c r="AG32" s="66"/>
      <c r="AH32" s="66"/>
    </row>
    <row r="33" spans="2:34" x14ac:dyDescent="0.15">
      <c r="B33" t="s">
        <v>220</v>
      </c>
      <c r="D33" s="66"/>
      <c r="E33" s="66">
        <f>IFERROR(SUM(INDEX('Monthly P&amp;L'!$G46:$NB46,1,(COLUMN(A1)-1)*12+1):INDEX('Monthly P&amp;L'!$G$46:$NB$46,1,(COLUMN(A1)-1)*12+12)),0)+IFERROR(SUM(INDEX('Monthly P&amp;L'!$G49:$NB49,1,(COLUMN(A1)-1)*12+1):INDEX('Monthly P&amp;L'!$G$49:$NB$49,1,(COLUMN(A1)-1)*12+12)),0)</f>
        <v>107211.10249914933</v>
      </c>
      <c r="F33" s="66">
        <f>IFERROR(SUM(INDEX('Monthly P&amp;L'!$G46:$NB46,1,(COLUMN(B1)-1)*12+1):INDEX('Monthly P&amp;L'!$G$46:$NB$46,1,(COLUMN(B1)-1)*12+12)),0)+IFERROR(SUM(INDEX('Monthly P&amp;L'!$G49:$NB49,1,(COLUMN(B1)-1)*12+1):INDEX('Monthly P&amp;L'!$G$49:$NB$49,1,(COLUMN(B1)-1)*12+12)),0)</f>
        <v>17190.352742149407</v>
      </c>
      <c r="G33" s="66">
        <f>IFERROR(SUM(INDEX('Monthly P&amp;L'!$G46:$NB46,1,(COLUMN(C1)-1)*12+1):INDEX('Monthly P&amp;L'!$G$46:$NB$46,1,(COLUMN(C1)-1)*12+12)),0)+IFERROR(SUM(INDEX('Monthly P&amp;L'!$G49:$NB49,1,(COLUMN(C1)-1)*12+1):INDEX('Monthly P&amp;L'!$G$49:$NB$49,1,(COLUMN(C1)-1)*12+12)),0)</f>
        <v>6547.8493205094128</v>
      </c>
      <c r="H33" s="66">
        <f>IFERROR(SUM(INDEX('Monthly P&amp;L'!$G46:$NB46,1,(COLUMN(D1)-1)*12+1):INDEX('Monthly P&amp;L'!$G$46:$NB$46,1,(COLUMN(D1)-1)*12+12)),0)+IFERROR(SUM(INDEX('Monthly P&amp;L'!$G49:$NB49,1,(COLUMN(D1)-1)*12+1):INDEX('Monthly P&amp;L'!$G$49:$NB$49,1,(COLUMN(D1)-1)*12+12)),0)</f>
        <v>0</v>
      </c>
      <c r="I33" s="66">
        <f>IFERROR(SUM(INDEX('Monthly P&amp;L'!$G46:$NB46,1,(COLUMN(E1)-1)*12+1):INDEX('Monthly P&amp;L'!$G$46:$NB$46,1,(COLUMN(E1)-1)*12+12)),0)+IFERROR(SUM(INDEX('Monthly P&amp;L'!$G49:$NB49,1,(COLUMN(E1)-1)*12+1):INDEX('Monthly P&amp;L'!$G$49:$NB$49,1,(COLUMN(E1)-1)*12+12)),0)</f>
        <v>0</v>
      </c>
      <c r="J33" s="66">
        <f>IFERROR(SUM(INDEX('Monthly P&amp;L'!$G46:$NB46,1,(COLUMN(F1)-1)*12+1):INDEX('Monthly P&amp;L'!$G$46:$NB$46,1,(COLUMN(F1)-1)*12+12)),0)+IFERROR(SUM(INDEX('Monthly P&amp;L'!$G49:$NB49,1,(COLUMN(F1)-1)*12+1):INDEX('Monthly P&amp;L'!$G$49:$NB$49,1,(COLUMN(F1)-1)*12+12)),0)</f>
        <v>0</v>
      </c>
      <c r="K33" s="66">
        <f>IFERROR(SUM(INDEX('Monthly P&amp;L'!$G46:$NB46,1,(COLUMN(G1)-1)*12+1):INDEX('Monthly P&amp;L'!$G$46:$NB$46,1,(COLUMN(G1)-1)*12+12)),0)+IFERROR(SUM(INDEX('Monthly P&amp;L'!$G49:$NB49,1,(COLUMN(G1)-1)*12+1):INDEX('Monthly P&amp;L'!$G$49:$NB$49,1,(COLUMN(G1)-1)*12+12)),0)</f>
        <v>0</v>
      </c>
      <c r="L33" s="66">
        <f>IFERROR(SUM(INDEX('Monthly P&amp;L'!$G46:$NB46,1,(COLUMN(H1)-1)*12+1):INDEX('Monthly P&amp;L'!$G$46:$NB$46,1,(COLUMN(H1)-1)*12+12)),0)+IFERROR(SUM(INDEX('Monthly P&amp;L'!$G49:$NB49,1,(COLUMN(H1)-1)*12+1):INDEX('Monthly P&amp;L'!$G$49:$NB$49,1,(COLUMN(H1)-1)*12+12)),0)</f>
        <v>0</v>
      </c>
      <c r="M33" s="66">
        <f>IFERROR(SUM(INDEX('Monthly P&amp;L'!$G46:$NB46,1,(COLUMN(I1)-1)*12+1):INDEX('Monthly P&amp;L'!$G$46:$NB$46,1,(COLUMN(I1)-1)*12+12)),0)+IFERROR(SUM(INDEX('Monthly P&amp;L'!$G49:$NB49,1,(COLUMN(I1)-1)*12+1):INDEX('Monthly P&amp;L'!$G$49:$NB$49,1,(COLUMN(I1)-1)*12+12)),0)</f>
        <v>0</v>
      </c>
      <c r="N33" s="66">
        <f>IFERROR(SUM(INDEX('Monthly P&amp;L'!$G46:$NB46,1,(COLUMN(J1)-1)*12+1):INDEX('Monthly P&amp;L'!$G$46:$NB$46,1,(COLUMN(J1)-1)*12+12)),0)+IFERROR(SUM(INDEX('Monthly P&amp;L'!$G49:$NB49,1,(COLUMN(J1)-1)*12+1):INDEX('Monthly P&amp;L'!$G$49:$NB$49,1,(COLUMN(J1)-1)*12+12)),0)</f>
        <v>0</v>
      </c>
      <c r="O33" s="66">
        <f>IFERROR(SUM(INDEX('Monthly P&amp;L'!$G46:$NB46,1,(COLUMN(K1)-1)*12+1):INDEX('Monthly P&amp;L'!$G$46:$NB$46,1,(COLUMN(K1)-1)*12+12)),0)+IFERROR(SUM(INDEX('Monthly P&amp;L'!$G49:$NB49,1,(COLUMN(K1)-1)*12+1):INDEX('Monthly P&amp;L'!$G$49:$NB$49,1,(COLUMN(K1)-1)*12+12)),0)</f>
        <v>0</v>
      </c>
      <c r="P33" s="66">
        <f>IFERROR(SUM(INDEX('Monthly P&amp;L'!$G46:$NB46,1,(COLUMN(L1)-1)*12+1):INDEX('Monthly P&amp;L'!$G$46:$NB$46,1,(COLUMN(L1)-1)*12+12)),0)+IFERROR(SUM(INDEX('Monthly P&amp;L'!$G49:$NB49,1,(COLUMN(L1)-1)*12+1):INDEX('Monthly P&amp;L'!$G$49:$NB$49,1,(COLUMN(L1)-1)*12+12)),0)</f>
        <v>0</v>
      </c>
      <c r="Q33" s="66">
        <f>IFERROR(SUM(INDEX('Monthly P&amp;L'!$G46:$NB46,1,(COLUMN(M1)-1)*12+1):INDEX('Monthly P&amp;L'!$G$46:$NB$46,1,(COLUMN(M1)-1)*12+12)),0)+IFERROR(SUM(INDEX('Monthly P&amp;L'!$G49:$NB49,1,(COLUMN(M1)-1)*12+1):INDEX('Monthly P&amp;L'!$G$49:$NB$49,1,(COLUMN(M1)-1)*12+12)),0)</f>
        <v>0</v>
      </c>
      <c r="R33" s="66">
        <f>IFERROR(SUM(INDEX('Monthly P&amp;L'!$G46:$NB46,1,(COLUMN(N1)-1)*12+1):INDEX('Monthly P&amp;L'!$G$46:$NB$46,1,(COLUMN(N1)-1)*12+12)),0)+IFERROR(SUM(INDEX('Monthly P&amp;L'!$G49:$NB49,1,(COLUMN(N1)-1)*12+1):INDEX('Monthly P&amp;L'!$G$49:$NB$49,1,(COLUMN(N1)-1)*12+12)),0)</f>
        <v>0</v>
      </c>
      <c r="S33" s="66">
        <f>IFERROR(SUM(INDEX('Monthly P&amp;L'!$G46:$NB46,1,(COLUMN(O1)-1)*12+1):INDEX('Monthly P&amp;L'!$G$46:$NB$46,1,(COLUMN(O1)-1)*12+12)),0)+IFERROR(SUM(INDEX('Monthly P&amp;L'!$G49:$NB49,1,(COLUMN(O1)-1)*12+1):INDEX('Monthly P&amp;L'!$G$49:$NB$49,1,(COLUMN(O1)-1)*12+12)),0)</f>
        <v>62389.327080671297</v>
      </c>
      <c r="T33" s="66">
        <f>IFERROR(SUM(INDEX('Monthly P&amp;L'!$G46:$NB46,1,(COLUMN(P1)-1)*12+1):INDEX('Monthly P&amp;L'!$G$46:$NB$46,1,(COLUMN(P1)-1)*12+12)),0)+IFERROR(SUM(INDEX('Monthly P&amp;L'!$G49:$NB49,1,(COLUMN(P1)-1)*12+1):INDEX('Monthly P&amp;L'!$G$49:$NB$49,1,(COLUMN(P1)-1)*12+12)),0)</f>
        <v>0</v>
      </c>
      <c r="U33" s="66">
        <f>IFERROR(SUM(INDEX('Monthly P&amp;L'!$G46:$NB46,1,(COLUMN(Q1)-1)*12+1):INDEX('Monthly P&amp;L'!$G$46:$NB$46,1,(COLUMN(Q1)-1)*12+12)),0)+IFERROR(SUM(INDEX('Monthly P&amp;L'!$G49:$NB49,1,(COLUMN(Q1)-1)*12+1):INDEX('Monthly P&amp;L'!$G$49:$NB$49,1,(COLUMN(Q1)-1)*12+12)),0)</f>
        <v>0</v>
      </c>
      <c r="V33" s="66">
        <f>IFERROR(SUM(INDEX('Monthly P&amp;L'!$G46:$NB46,1,(COLUMN(R1)-1)*12+1):INDEX('Monthly P&amp;L'!$G$46:$NB$46,1,(COLUMN(R1)-1)*12+12)),0)+IFERROR(SUM(INDEX('Monthly P&amp;L'!$G49:$NB49,1,(COLUMN(R1)-1)*12+1):INDEX('Monthly P&amp;L'!$G$49:$NB$49,1,(COLUMN(R1)-1)*12+12)),0)</f>
        <v>0</v>
      </c>
      <c r="W33" s="66">
        <f>IFERROR(SUM(INDEX('Monthly P&amp;L'!$G46:$NB46,1,(COLUMN(S1)-1)*12+1):INDEX('Monthly P&amp;L'!$G$46:$NB$46,1,(COLUMN(S1)-1)*12+12)),0)+IFERROR(SUM(INDEX('Monthly P&amp;L'!$G49:$NB49,1,(COLUMN(S1)-1)*12+1):INDEX('Monthly P&amp;L'!$G$49:$NB$49,1,(COLUMN(S1)-1)*12+12)),0)</f>
        <v>0</v>
      </c>
      <c r="X33" s="66">
        <f>IFERROR(SUM(INDEX('Monthly P&amp;L'!$G46:$NB46,1,(COLUMN(T1)-1)*12+1):INDEX('Monthly P&amp;L'!$G$46:$NB$46,1,(COLUMN(T1)-1)*12+12)),0)+IFERROR(SUM(INDEX('Monthly P&amp;L'!$G49:$NB49,1,(COLUMN(T1)-1)*12+1):INDEX('Monthly P&amp;L'!$G$49:$NB$49,1,(COLUMN(T1)-1)*12+12)),0)</f>
        <v>0</v>
      </c>
      <c r="Y33" s="66">
        <f>IFERROR(SUM(INDEX('Monthly P&amp;L'!$G46:$NB46,1,(COLUMN(U1)-1)*12+1):INDEX('Monthly P&amp;L'!$G$46:$NB$46,1,(COLUMN(U1)-1)*12+12)),0)+IFERROR(SUM(INDEX('Monthly P&amp;L'!$G49:$NB49,1,(COLUMN(U1)-1)*12+1):INDEX('Monthly P&amp;L'!$G$49:$NB$49,1,(COLUMN(U1)-1)*12+12)),0)</f>
        <v>0</v>
      </c>
      <c r="Z33" s="66">
        <f>IFERROR(SUM(INDEX('Monthly P&amp;L'!$G46:$NB46,1,(COLUMN(V1)-1)*12+1):INDEX('Monthly P&amp;L'!$G$46:$NB$46,1,(COLUMN(V1)-1)*12+12)),0)+IFERROR(SUM(INDEX('Monthly P&amp;L'!$G49:$NB49,1,(COLUMN(V1)-1)*12+1):INDEX('Monthly P&amp;L'!$G$49:$NB$49,1,(COLUMN(V1)-1)*12+12)),0)</f>
        <v>0</v>
      </c>
      <c r="AA33" s="66">
        <f>IFERROR(SUM(INDEX('Monthly P&amp;L'!$G46:$NB46,1,(COLUMN(W1)-1)*12+1):INDEX('Monthly P&amp;L'!$G$46:$NB$46,1,(COLUMN(W1)-1)*12+12)),0)+IFERROR(SUM(INDEX('Monthly P&amp;L'!$G49:$NB49,1,(COLUMN(W1)-1)*12+1):INDEX('Monthly P&amp;L'!$G$49:$NB$49,1,(COLUMN(W1)-1)*12+12)),0)</f>
        <v>0</v>
      </c>
      <c r="AB33" s="66">
        <f>IFERROR(SUM(INDEX('Monthly P&amp;L'!$G46:$NB46,1,(COLUMN(X1)-1)*12+1):INDEX('Monthly P&amp;L'!$G$46:$NB$46,1,(COLUMN(X1)-1)*12+12)),0)+IFERROR(SUM(INDEX('Monthly P&amp;L'!$G49:$NB49,1,(COLUMN(X1)-1)*12+1):INDEX('Monthly P&amp;L'!$G$49:$NB$49,1,(COLUMN(X1)-1)*12+12)),0)</f>
        <v>0</v>
      </c>
      <c r="AC33" s="66">
        <f>IFERROR(SUM(INDEX('Monthly P&amp;L'!$G46:$NB46,1,(COLUMN(Y1)-1)*12+1):INDEX('Monthly P&amp;L'!$G$46:$NB$46,1,(COLUMN(Y1)-1)*12+12)),0)+IFERROR(SUM(INDEX('Monthly P&amp;L'!$G49:$NB49,1,(COLUMN(Y1)-1)*12+1):INDEX('Monthly P&amp;L'!$G$49:$NB$49,1,(COLUMN(Y1)-1)*12+12)),0)</f>
        <v>0</v>
      </c>
      <c r="AD33" s="66">
        <f>IFERROR(SUM(INDEX('Monthly P&amp;L'!$G46:$NB46,1,(COLUMN(Z1)-1)*12+1):INDEX('Monthly P&amp;L'!$G$46:$NB$46,1,(COLUMN(Z1)-1)*12+12)),0)+IFERROR(SUM(INDEX('Monthly P&amp;L'!$G49:$NB49,1,(COLUMN(Z1)-1)*12+1):INDEX('Monthly P&amp;L'!$G$49:$NB$49,1,(COLUMN(Z1)-1)*12+12)),0)</f>
        <v>0</v>
      </c>
      <c r="AE33" s="66">
        <f>IFERROR(SUM(INDEX('Monthly P&amp;L'!$G46:$NB46,1,(COLUMN(AA1)-1)*12+1):INDEX('Monthly P&amp;L'!$G$46:$NB$46,1,(COLUMN(AA1)-1)*12+12)),0)+IFERROR(SUM(INDEX('Monthly P&amp;L'!$G49:$NB49,1,(COLUMN(AA1)-1)*12+1):INDEX('Monthly P&amp;L'!$G$49:$NB$49,1,(COLUMN(AA1)-1)*12+12)),0)</f>
        <v>0</v>
      </c>
      <c r="AF33" s="66">
        <f>IFERROR(SUM(INDEX('Monthly P&amp;L'!$G46:$NB46,1,(COLUMN(AB1)-1)*12+1):INDEX('Monthly P&amp;L'!$G$46:$NB$46,1,(COLUMN(AB1)-1)*12+12)),0)+IFERROR(SUM(INDEX('Monthly P&amp;L'!$G49:$NB49,1,(COLUMN(AB1)-1)*12+1):INDEX('Monthly P&amp;L'!$G$49:$NB$49,1,(COLUMN(AB1)-1)*12+12)),0)</f>
        <v>0</v>
      </c>
      <c r="AG33" s="66">
        <f>IFERROR(SUM(INDEX('Monthly P&amp;L'!$G46:$NB46,1,(COLUMN(AC1)-1)*12+1):INDEX('Monthly P&amp;L'!$G$46:$NB$46,1,(COLUMN(AC1)-1)*12+12)),0)+IFERROR(SUM(INDEX('Monthly P&amp;L'!$G49:$NB49,1,(COLUMN(AC1)-1)*12+1):INDEX('Monthly P&amp;L'!$G$49:$NB$49,1,(COLUMN(AC1)-1)*12+12)),0)</f>
        <v>0</v>
      </c>
      <c r="AH33" s="66">
        <f>IFERROR(SUM(INDEX('Monthly P&amp;L'!$G46:$NB46,1,(COLUMN(AD1)-1)*12+1):INDEX('Monthly P&amp;L'!$G$46:$NB$46,1,(COLUMN(AD1)-1)*12+12)),0)+IFERROR(SUM(INDEX('Monthly P&amp;L'!$G49:$NB49,1,(COLUMN(AD1)-1)*12+1):INDEX('Monthly P&amp;L'!$G$49:$NB$49,1,(COLUMN(AD1)-1)*12+12)),0)</f>
        <v>0</v>
      </c>
    </row>
    <row r="34" spans="2:34" x14ac:dyDescent="0.15">
      <c r="B34" t="s">
        <v>340</v>
      </c>
      <c r="D34" s="66"/>
      <c r="E34" s="66">
        <f>IFERROR(SUM(INDEX('Monthly P&amp;L'!$G56:$NB56,1,(COLUMN(A1)-1)*12+1):INDEX('Monthly P&amp;L'!$G$56:$NB$56,1,(COLUMN(A1)-1)*12+12)),0)</f>
        <v>0</v>
      </c>
      <c r="F34" s="66">
        <f>IFERROR(SUM(INDEX('Monthly P&amp;L'!$G56:$NB56,1,(COLUMN(B1)-1)*12+1):INDEX('Monthly P&amp;L'!$G$56:$NB$56,1,(COLUMN(B1)-1)*12+12)),0)</f>
        <v>0</v>
      </c>
      <c r="G34" s="66">
        <f>IFERROR(SUM(INDEX('Monthly P&amp;L'!$G56:$NB56,1,(COLUMN(C1)-1)*12+1):INDEX('Monthly P&amp;L'!$G$56:$NB$56,1,(COLUMN(C1)-1)*12+12)),0)</f>
        <v>0</v>
      </c>
      <c r="H34" s="66">
        <f>IFERROR(SUM(INDEX('Monthly P&amp;L'!$G56:$NB56,1,(COLUMN(D1)-1)*12+1):INDEX('Monthly P&amp;L'!$G$56:$NB$56,1,(COLUMN(D1)-1)*12+12)),0)</f>
        <v>0</v>
      </c>
      <c r="I34" s="66">
        <f>IFERROR(SUM(INDEX('Monthly P&amp;L'!$G56:$NB56,1,(COLUMN(E1)-1)*12+1):INDEX('Monthly P&amp;L'!$G$56:$NB$56,1,(COLUMN(E1)-1)*12+12)),0)</f>
        <v>0</v>
      </c>
      <c r="J34" s="66">
        <f>IFERROR(SUM(INDEX('Monthly P&amp;L'!$G56:$NB56,1,(COLUMN(F1)-1)*12+1):INDEX('Monthly P&amp;L'!$G$56:$NB$56,1,(COLUMN(F1)-1)*12+12)),0)</f>
        <v>0</v>
      </c>
      <c r="K34" s="66">
        <f>IFERROR(SUM(INDEX('Monthly P&amp;L'!$G56:$NB56,1,(COLUMN(G1)-1)*12+1):INDEX('Monthly P&amp;L'!$G$56:$NB$56,1,(COLUMN(G1)-1)*12+12)),0)</f>
        <v>0</v>
      </c>
      <c r="L34" s="66">
        <f>IFERROR(SUM(INDEX('Monthly P&amp;L'!$G56:$NB56,1,(COLUMN(H1)-1)*12+1):INDEX('Monthly P&amp;L'!$G$56:$NB$56,1,(COLUMN(H1)-1)*12+12)),0)</f>
        <v>0</v>
      </c>
      <c r="M34" s="66">
        <f>IFERROR(SUM(INDEX('Monthly P&amp;L'!$G56:$NB56,1,(COLUMN(I1)-1)*12+1):INDEX('Monthly P&amp;L'!$G$56:$NB$56,1,(COLUMN(I1)-1)*12+12)),0)</f>
        <v>0</v>
      </c>
      <c r="N34" s="66">
        <f>IFERROR(SUM(INDEX('Monthly P&amp;L'!$G56:$NB56,1,(COLUMN(J1)-1)*12+1):INDEX('Monthly P&amp;L'!$G$56:$NB$56,1,(COLUMN(J1)-1)*12+12)),0)</f>
        <v>0</v>
      </c>
      <c r="O34" s="66">
        <f>IFERROR(SUM(INDEX('Monthly P&amp;L'!$G56:$NB56,1,(COLUMN(K1)-1)*12+1):INDEX('Monthly P&amp;L'!$G$56:$NB$56,1,(COLUMN(K1)-1)*12+12)),0)</f>
        <v>0</v>
      </c>
      <c r="P34" s="66">
        <f>IFERROR(SUM(INDEX('Monthly P&amp;L'!$G56:$NB56,1,(COLUMN(L1)-1)*12+1):INDEX('Monthly P&amp;L'!$G$56:$NB$56,1,(COLUMN(L1)-1)*12+12)),0)</f>
        <v>0</v>
      </c>
      <c r="Q34" s="66">
        <f>IFERROR(SUM(INDEX('Monthly P&amp;L'!$G56:$NB56,1,(COLUMN(M1)-1)*12+1):INDEX('Monthly P&amp;L'!$G$56:$NB$56,1,(COLUMN(M1)-1)*12+12)),0)</f>
        <v>0</v>
      </c>
      <c r="R34" s="66">
        <f>IFERROR(SUM(INDEX('Monthly P&amp;L'!$G56:$NB56,1,(COLUMN(N1)-1)*12+1):INDEX('Monthly P&amp;L'!$G$56:$NB$56,1,(COLUMN(N1)-1)*12+12)),0)</f>
        <v>0</v>
      </c>
      <c r="S34" s="66">
        <f>IFERROR(SUM(INDEX('Monthly P&amp;L'!$G56:$NB56,1,(COLUMN(O1)-1)*12+1):INDEX('Monthly P&amp;L'!$G$56:$NB$56,1,(COLUMN(O1)-1)*12+12)),0)</f>
        <v>326345.36835752073</v>
      </c>
      <c r="T34" s="66">
        <f>IFERROR(SUM(INDEX('Monthly P&amp;L'!$G56:$NB56,1,(COLUMN(P1)-1)*12+1):INDEX('Monthly P&amp;L'!$G$56:$NB$56,1,(COLUMN(P1)-1)*12+12)),0)</f>
        <v>0</v>
      </c>
      <c r="U34" s="66">
        <f>IFERROR(SUM(INDEX('Monthly P&amp;L'!$G56:$NB56,1,(COLUMN(Q1)-1)*12+1):INDEX('Monthly P&amp;L'!$G$56:$NB$56,1,(COLUMN(Q1)-1)*12+12)),0)</f>
        <v>0</v>
      </c>
      <c r="V34" s="66">
        <f>IFERROR(SUM(INDEX('Monthly P&amp;L'!$G56:$NB56,1,(COLUMN(R1)-1)*12+1):INDEX('Monthly P&amp;L'!$G$56:$NB$56,1,(COLUMN(R1)-1)*12+12)),0)</f>
        <v>0</v>
      </c>
      <c r="W34" s="66">
        <f>IFERROR(SUM(INDEX('Monthly P&amp;L'!$G56:$NB56,1,(COLUMN(S1)-1)*12+1):INDEX('Monthly P&amp;L'!$G$56:$NB$56,1,(COLUMN(S1)-1)*12+12)),0)</f>
        <v>0</v>
      </c>
      <c r="X34" s="66">
        <f>IFERROR(SUM(INDEX('Monthly P&amp;L'!$G56:$NB56,1,(COLUMN(T1)-1)*12+1):INDEX('Monthly P&amp;L'!$G$56:$NB$56,1,(COLUMN(T1)-1)*12+12)),0)</f>
        <v>0</v>
      </c>
      <c r="Y34" s="66">
        <f>IFERROR(SUM(INDEX('Monthly P&amp;L'!$G56:$NB56,1,(COLUMN(U1)-1)*12+1):INDEX('Monthly P&amp;L'!$G$56:$NB$56,1,(COLUMN(U1)-1)*12+12)),0)</f>
        <v>0</v>
      </c>
      <c r="Z34" s="66">
        <f>IFERROR(SUM(INDEX('Monthly P&amp;L'!$G56:$NB56,1,(COLUMN(V1)-1)*12+1):INDEX('Monthly P&amp;L'!$G$56:$NB$56,1,(COLUMN(V1)-1)*12+12)),0)</f>
        <v>0</v>
      </c>
      <c r="AA34" s="66">
        <f>IFERROR(SUM(INDEX('Monthly P&amp;L'!$G56:$NB56,1,(COLUMN(W1)-1)*12+1):INDEX('Monthly P&amp;L'!$G$56:$NB$56,1,(COLUMN(W1)-1)*12+12)),0)</f>
        <v>0</v>
      </c>
      <c r="AB34" s="66">
        <f>IFERROR(SUM(INDEX('Monthly P&amp;L'!$G56:$NB56,1,(COLUMN(X1)-1)*12+1):INDEX('Monthly P&amp;L'!$G$56:$NB$56,1,(COLUMN(X1)-1)*12+12)),0)</f>
        <v>0</v>
      </c>
      <c r="AC34" s="66">
        <f>IFERROR(SUM(INDEX('Monthly P&amp;L'!$G56:$NB56,1,(COLUMN(Y1)-1)*12+1):INDEX('Monthly P&amp;L'!$G$56:$NB$56,1,(COLUMN(Y1)-1)*12+12)),0)</f>
        <v>0</v>
      </c>
      <c r="AD34" s="66">
        <f>IFERROR(SUM(INDEX('Monthly P&amp;L'!$G56:$NB56,1,(COLUMN(Z1)-1)*12+1):INDEX('Monthly P&amp;L'!$G$56:$NB$56,1,(COLUMN(Z1)-1)*12+12)),0)</f>
        <v>0</v>
      </c>
      <c r="AE34" s="66">
        <f>IFERROR(SUM(INDEX('Monthly P&amp;L'!$G56:$NB56,1,(COLUMN(AA1)-1)*12+1):INDEX('Monthly P&amp;L'!$G$56:$NB$56,1,(COLUMN(AA1)-1)*12+12)),0)</f>
        <v>0</v>
      </c>
      <c r="AF34" s="66">
        <f>IFERROR(SUM(INDEX('Monthly P&amp;L'!$G56:$NB56,1,(COLUMN(AB1)-1)*12+1):INDEX('Monthly P&amp;L'!$G$56:$NB$56,1,(COLUMN(AB1)-1)*12+12)),0)</f>
        <v>0</v>
      </c>
      <c r="AG34" s="66">
        <f>IFERROR(SUM(INDEX('Monthly P&amp;L'!$G56:$NB56,1,(COLUMN(AC1)-1)*12+1):INDEX('Monthly P&amp;L'!$G$56:$NB$56,1,(COLUMN(AC1)-1)*12+12)),0)</f>
        <v>0</v>
      </c>
      <c r="AH34" s="66">
        <f>IFERROR(SUM(INDEX('Monthly P&amp;L'!$G56:$NB56,1,(COLUMN(AD1)-1)*12+1):INDEX('Monthly P&amp;L'!$G$56:$NB$56,1,(COLUMN(AD1)-1)*12+12)),0)</f>
        <v>0</v>
      </c>
    </row>
    <row r="35" spans="2:34" x14ac:dyDescent="0.15">
      <c r="B35" s="90" t="s">
        <v>145</v>
      </c>
      <c r="C35" s="90"/>
      <c r="D35" s="93">
        <f>-equity_invested</f>
        <v>-2519684</v>
      </c>
      <c r="E35" s="91">
        <f>IF(E$6="",0,E26-E30+E33+E34-IF(E25&gt;0,E31,0))</f>
        <v>-319385.13322500006</v>
      </c>
      <c r="F35" s="91">
        <f t="shared" ref="F35:AH35" si="62">IF(F$6="",0,F26-F30+F33+F34-IF(F25&gt;0,F31,0))</f>
        <v>-2.9103830456733704E-11</v>
      </c>
      <c r="G35" s="91">
        <f t="shared" si="62"/>
        <v>-5.8207660913467407E-11</v>
      </c>
      <c r="H35" s="91">
        <f t="shared" si="62"/>
        <v>4429.0097663133638</v>
      </c>
      <c r="I35" s="91">
        <f t="shared" si="62"/>
        <v>15750.576857493899</v>
      </c>
      <c r="J35" s="91">
        <f t="shared" si="62"/>
        <v>27427.521797216148</v>
      </c>
      <c r="K35" s="91">
        <f t="shared" si="62"/>
        <v>39470.841611055308</v>
      </c>
      <c r="L35" s="91">
        <f t="shared" si="62"/>
        <v>51891.870475992095</v>
      </c>
      <c r="M35" s="91">
        <f t="shared" si="62"/>
        <v>64702.289992937935</v>
      </c>
      <c r="N35" s="91">
        <f t="shared" si="62"/>
        <v>77914.139770924812</v>
      </c>
      <c r="O35" s="91">
        <f t="shared" si="62"/>
        <v>91539.828332388599</v>
      </c>
      <c r="P35" s="91">
        <f t="shared" si="62"/>
        <v>105592.14434925828</v>
      </c>
      <c r="Q35" s="91">
        <f t="shared" si="62"/>
        <v>120084.26821985451</v>
      </c>
      <c r="R35" s="91">
        <f t="shared" si="62"/>
        <v>135029.78399690788</v>
      </c>
      <c r="S35" s="91">
        <f t="shared" ca="1" si="62"/>
        <v>7239048.0632305276</v>
      </c>
      <c r="T35" s="91">
        <f t="shared" si="62"/>
        <v>0</v>
      </c>
      <c r="U35" s="91">
        <f t="shared" si="62"/>
        <v>0</v>
      </c>
      <c r="V35" s="91">
        <f t="shared" si="62"/>
        <v>0</v>
      </c>
      <c r="W35" s="91">
        <f t="shared" si="62"/>
        <v>0</v>
      </c>
      <c r="X35" s="91">
        <f t="shared" si="62"/>
        <v>0</v>
      </c>
      <c r="Y35" s="91">
        <f t="shared" si="62"/>
        <v>0</v>
      </c>
      <c r="Z35" s="91">
        <f t="shared" si="62"/>
        <v>0</v>
      </c>
      <c r="AA35" s="91">
        <f t="shared" si="62"/>
        <v>0</v>
      </c>
      <c r="AB35" s="91">
        <f t="shared" si="62"/>
        <v>0</v>
      </c>
      <c r="AC35" s="91">
        <f t="shared" si="62"/>
        <v>0</v>
      </c>
      <c r="AD35" s="91">
        <f t="shared" si="62"/>
        <v>0</v>
      </c>
      <c r="AE35" s="91">
        <f t="shared" si="62"/>
        <v>0</v>
      </c>
      <c r="AF35" s="91">
        <f t="shared" si="62"/>
        <v>0</v>
      </c>
      <c r="AG35" s="91">
        <f t="shared" si="62"/>
        <v>0</v>
      </c>
      <c r="AH35" s="91">
        <f t="shared" si="62"/>
        <v>0</v>
      </c>
    </row>
    <row r="36" spans="2:34" x14ac:dyDescent="0.15">
      <c r="D36" s="188"/>
      <c r="M36" s="7"/>
      <c r="N36" s="7"/>
      <c r="O36" s="7"/>
      <c r="P36" s="7"/>
      <c r="Q36" s="7"/>
      <c r="R36" s="7"/>
      <c r="S36" s="7"/>
      <c r="T36" s="7"/>
      <c r="U36" s="7"/>
      <c r="V36" s="7"/>
      <c r="W36" s="7"/>
      <c r="X36" s="7"/>
      <c r="Y36" s="7"/>
      <c r="Z36" s="7"/>
      <c r="AA36" s="7"/>
      <c r="AB36" s="7"/>
      <c r="AC36" s="7"/>
      <c r="AD36" s="7"/>
      <c r="AE36" s="7"/>
      <c r="AF36" s="7"/>
      <c r="AG36" s="7"/>
      <c r="AH36" s="7"/>
    </row>
    <row r="37" spans="2:34" x14ac:dyDescent="0.15">
      <c r="B37" t="s">
        <v>147</v>
      </c>
      <c r="E37" s="75">
        <f>IFERROR(E22/E30,0)</f>
        <v>0.92360551371661703</v>
      </c>
      <c r="F37" s="75">
        <f t="shared" ref="F37:AH37" si="63">IFERROR(F22/F30,0)</f>
        <v>0.95062278059243466</v>
      </c>
      <c r="G37" s="75">
        <f t="shared" si="63"/>
        <v>0.98119209085490544</v>
      </c>
      <c r="H37" s="75">
        <f t="shared" si="63"/>
        <v>1.0127217975261955</v>
      </c>
      <c r="I37" s="75">
        <f t="shared" si="63"/>
        <v>1.0452416364546893</v>
      </c>
      <c r="J37" s="75">
        <f t="shared" si="63"/>
        <v>1.078782255483699</v>
      </c>
      <c r="K37" s="75">
        <f t="shared" si="63"/>
        <v>1.1133752422457064</v>
      </c>
      <c r="L37" s="75">
        <f t="shared" si="63"/>
        <v>1.1490531528000303</v>
      </c>
      <c r="M37" s="75">
        <f t="shared" si="63"/>
        <v>1.1858495411394183</v>
      </c>
      <c r="N37" s="75">
        <f t="shared" si="63"/>
        <v>1.2237989895918577</v>
      </c>
      <c r="O37" s="75">
        <f t="shared" si="63"/>
        <v>1.2629371401446907</v>
      </c>
      <c r="P37" s="75">
        <f t="shared" si="63"/>
        <v>1.3033007267189274</v>
      </c>
      <c r="Q37" s="75">
        <f t="shared" si="63"/>
        <v>1.3449276084224946</v>
      </c>
      <c r="R37" s="75">
        <f t="shared" si="63"/>
        <v>1.3878568038120314</v>
      </c>
      <c r="S37" s="75">
        <f t="shared" si="63"/>
        <v>1.4321285261937349</v>
      </c>
      <c r="T37" s="75">
        <f t="shared" si="63"/>
        <v>0</v>
      </c>
      <c r="U37" s="75">
        <f t="shared" si="63"/>
        <v>0</v>
      </c>
      <c r="V37" s="75">
        <f t="shared" si="63"/>
        <v>0</v>
      </c>
      <c r="W37" s="75">
        <f t="shared" si="63"/>
        <v>0</v>
      </c>
      <c r="X37" s="75">
        <f t="shared" si="63"/>
        <v>0</v>
      </c>
      <c r="Y37" s="75">
        <f t="shared" si="63"/>
        <v>0</v>
      </c>
      <c r="Z37" s="75">
        <f t="shared" si="63"/>
        <v>0</v>
      </c>
      <c r="AA37" s="75">
        <f t="shared" si="63"/>
        <v>0</v>
      </c>
      <c r="AB37" s="75">
        <f t="shared" si="63"/>
        <v>0</v>
      </c>
      <c r="AC37" s="75">
        <f t="shared" si="63"/>
        <v>0</v>
      </c>
      <c r="AD37" s="75">
        <f t="shared" si="63"/>
        <v>0</v>
      </c>
      <c r="AE37" s="75">
        <f t="shared" si="63"/>
        <v>0</v>
      </c>
      <c r="AF37" s="75">
        <f t="shared" si="63"/>
        <v>0</v>
      </c>
      <c r="AG37" s="75">
        <f t="shared" si="63"/>
        <v>0</v>
      </c>
      <c r="AH37" s="75">
        <f t="shared" si="63"/>
        <v>0</v>
      </c>
    </row>
    <row r="38" spans="2:34" x14ac:dyDescent="0.15">
      <c r="B38" t="s">
        <v>148</v>
      </c>
      <c r="E38" s="82">
        <f>IFERROR(E26/'Main Assumptions'!$E$25,0)</f>
        <v>-1.1666891008863244E-2</v>
      </c>
      <c r="F38" s="82">
        <f>IFERROR(F26/'Main Assumptions'!$E$25,0)</f>
        <v>4.9216739200820883E-2</v>
      </c>
      <c r="G38" s="82">
        <f>IFERROR(G26/'Main Assumptions'!$E$25,0)</f>
        <v>5.0799408795378011E-2</v>
      </c>
      <c r="H38" s="82">
        <f>IFERROR(H26/'Main Assumptions'!$E$25,0)</f>
        <v>5.2431801140691028E-2</v>
      </c>
      <c r="I38" s="82">
        <f>IFERROR(I26/'Main Assumptions'!$E$25,0)</f>
        <v>5.411545575540469E-2</v>
      </c>
      <c r="J38" s="82">
        <f>IFERROR(J26/'Main Assumptions'!$E$25,0)</f>
        <v>5.585195937501717E-2</v>
      </c>
      <c r="K38" s="82">
        <f>IFERROR(K26/'Main Assumptions'!$E$25,0)</f>
        <v>5.7642947390875721E-2</v>
      </c>
      <c r="L38" s="82">
        <f>IFERROR(L26/'Main Assumptions'!$E$25,0)</f>
        <v>5.9490105332838841E-2</v>
      </c>
      <c r="M38" s="82">
        <f>IFERROR(M26/'Main Assumptions'!$E$25,0)</f>
        <v>6.1395170396925713E-2</v>
      </c>
      <c r="N38" s="82">
        <f>IFERROR(N26/'Main Assumptions'!$E$25,0)</f>
        <v>6.3359933019313877E-2</v>
      </c>
      <c r="O38" s="82">
        <f>IFERROR(O26/'Main Assumptions'!$E$25,0)</f>
        <v>6.5386238498087251E-2</v>
      </c>
      <c r="P38" s="82">
        <f>IFERROR(P26/'Main Assumptions'!$E$25,0)</f>
        <v>6.7475988664179351E-2</v>
      </c>
      <c r="Q38" s="82">
        <f>IFERROR(Q26/'Main Assumptions'!$E$25,0)</f>
        <v>6.9631143602998616E-2</v>
      </c>
      <c r="R38" s="82">
        <f>IFERROR(R26/'Main Assumptions'!$E$25,0)</f>
        <v>7.1853723428269775E-2</v>
      </c>
      <c r="S38" s="82">
        <f ca="1">IFERROR(S26/'Main Assumptions'!$E$25,0)</f>
        <v>1.468044986917685</v>
      </c>
      <c r="T38" s="82">
        <f>IFERROR(T26/'Main Assumptions'!$E$25,0)</f>
        <v>0</v>
      </c>
      <c r="U38" s="82">
        <f>IFERROR(U26/'Main Assumptions'!$E$25,0)</f>
        <v>0</v>
      </c>
      <c r="V38" s="82">
        <f>IFERROR(V26/'Main Assumptions'!$E$25,0)</f>
        <v>0</v>
      </c>
      <c r="W38" s="82">
        <f>IFERROR(W26/'Main Assumptions'!$E$25,0)</f>
        <v>0</v>
      </c>
      <c r="X38" s="82">
        <f>IFERROR(X26/'Main Assumptions'!$E$25,0)</f>
        <v>0</v>
      </c>
      <c r="Y38" s="82">
        <f>IFERROR(Y26/'Main Assumptions'!$E$25,0)</f>
        <v>0</v>
      </c>
      <c r="Z38" s="82">
        <f>IFERROR(Z26/'Main Assumptions'!$E$25,0)</f>
        <v>0</v>
      </c>
      <c r="AA38" s="82">
        <f>IFERROR(AA26/'Main Assumptions'!$E$25,0)</f>
        <v>0</v>
      </c>
      <c r="AB38" s="82">
        <f>IFERROR(AB26/'Main Assumptions'!$E$25,0)</f>
        <v>0</v>
      </c>
      <c r="AC38" s="82">
        <f>IFERROR(AC26/'Main Assumptions'!$E$25,0)</f>
        <v>0</v>
      </c>
      <c r="AD38" s="82">
        <f>IFERROR(AD26/'Main Assumptions'!$E$25,0)</f>
        <v>0</v>
      </c>
      <c r="AE38" s="82">
        <f>IFERROR(AE26/'Main Assumptions'!$E$25,0)</f>
        <v>0</v>
      </c>
      <c r="AF38" s="82">
        <f>IFERROR(AF26/'Main Assumptions'!$E$25,0)</f>
        <v>0</v>
      </c>
      <c r="AG38" s="82">
        <f>IFERROR(AG26/'Main Assumptions'!$E$25,0)</f>
        <v>0</v>
      </c>
      <c r="AH38" s="82">
        <f>IFERROR(AH26/'Main Assumptions'!$E$25,0)</f>
        <v>0</v>
      </c>
    </row>
    <row r="39" spans="2:34" x14ac:dyDescent="0.15">
      <c r="B39" s="6" t="s">
        <v>149</v>
      </c>
      <c r="C39" s="65"/>
      <c r="D39" s="6"/>
      <c r="E39" s="86">
        <f t="shared" ref="E39:AH39" si="64">E35/equity_invested</f>
        <v>-0.12675602703553304</v>
      </c>
      <c r="F39" s="86">
        <f t="shared" si="64"/>
        <v>-1.1550587477133523E-17</v>
      </c>
      <c r="G39" s="86">
        <f t="shared" si="64"/>
        <v>-2.3101174954267046E-17</v>
      </c>
      <c r="H39" s="86">
        <f t="shared" si="64"/>
        <v>1.7577639760832564E-3</v>
      </c>
      <c r="I39" s="86">
        <f t="shared" si="64"/>
        <v>6.2510127688606585E-3</v>
      </c>
      <c r="J39" s="86">
        <f t="shared" si="64"/>
        <v>1.0885302203457318E-2</v>
      </c>
      <c r="K39" s="86">
        <f t="shared" si="64"/>
        <v>1.5664996726198727E-2</v>
      </c>
      <c r="L39" s="86">
        <f t="shared" si="64"/>
        <v>2.059459459042963E-2</v>
      </c>
      <c r="M39" s="86">
        <f t="shared" si="64"/>
        <v>2.5678731933424164E-2</v>
      </c>
      <c r="N39" s="86">
        <f t="shared" si="64"/>
        <v>3.0922186976987912E-2</v>
      </c>
      <c r="O39" s="86">
        <f t="shared" si="64"/>
        <v>3.6329884355494023E-2</v>
      </c>
      <c r="P39" s="86">
        <f t="shared" si="64"/>
        <v>4.1906899575207955E-2</v>
      </c>
      <c r="Q39" s="86">
        <f t="shared" si="64"/>
        <v>4.7658463608870993E-2</v>
      </c>
      <c r="R39" s="86">
        <f t="shared" si="64"/>
        <v>5.3589967629634458E-2</v>
      </c>
      <c r="S39" s="86">
        <f t="shared" ca="1" si="64"/>
        <v>2.8729983852064493</v>
      </c>
      <c r="T39" s="86">
        <f t="shared" si="64"/>
        <v>0</v>
      </c>
      <c r="U39" s="86">
        <f t="shared" si="64"/>
        <v>0</v>
      </c>
      <c r="V39" s="86">
        <f t="shared" si="64"/>
        <v>0</v>
      </c>
      <c r="W39" s="86">
        <f t="shared" si="64"/>
        <v>0</v>
      </c>
      <c r="X39" s="86">
        <f t="shared" si="64"/>
        <v>0</v>
      </c>
      <c r="Y39" s="86">
        <f t="shared" si="64"/>
        <v>0</v>
      </c>
      <c r="Z39" s="86">
        <f t="shared" si="64"/>
        <v>0</v>
      </c>
      <c r="AA39" s="86">
        <f t="shared" si="64"/>
        <v>0</v>
      </c>
      <c r="AB39" s="86">
        <f t="shared" si="64"/>
        <v>0</v>
      </c>
      <c r="AC39" s="86">
        <f t="shared" si="64"/>
        <v>0</v>
      </c>
      <c r="AD39" s="86">
        <f t="shared" si="64"/>
        <v>0</v>
      </c>
      <c r="AE39" s="86">
        <f t="shared" si="64"/>
        <v>0</v>
      </c>
      <c r="AF39" s="86">
        <f t="shared" si="64"/>
        <v>0</v>
      </c>
      <c r="AG39" s="86">
        <f t="shared" si="64"/>
        <v>0</v>
      </c>
      <c r="AH39" s="86">
        <f t="shared" si="64"/>
        <v>0</v>
      </c>
    </row>
    <row r="41" spans="2:34" x14ac:dyDescent="0.15">
      <c r="C41" s="422"/>
    </row>
    <row r="42" spans="2:34" x14ac:dyDescent="0.15">
      <c r="C42" s="421"/>
      <c r="D42" s="40"/>
      <c r="E42" s="20"/>
    </row>
    <row r="43" spans="2:34" x14ac:dyDescent="0.15">
      <c r="C43" s="423"/>
    </row>
  </sheetData>
  <conditionalFormatting sqref="E37:AH37">
    <cfRule type="expression" dxfId="6" priority="1">
      <formula>AND(E37&lt;&gt;0,E37&lt;1)</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29E64-DDE0-E441-9196-2DE05B0376F9}">
  <sheetPr codeName="Sheet4"/>
  <dimension ref="A2:NC83"/>
  <sheetViews>
    <sheetView showGridLines="0" zoomScale="130" zoomScaleNormal="130" workbookViewId="0">
      <pane xSplit="5" ySplit="8" topLeftCell="FX50" activePane="bottomRight" state="frozen"/>
      <selection pane="topRight" activeCell="F1" sqref="F1"/>
      <selection pane="bottomLeft" activeCell="A9" sqref="A9"/>
      <selection pane="bottomRight" activeCell="GD59" sqref="GD59"/>
    </sheetView>
  </sheetViews>
  <sheetFormatPr baseColWidth="10" defaultColWidth="0" defaultRowHeight="11" x14ac:dyDescent="0.15"/>
  <cols>
    <col min="1" max="1" width="7.25" customWidth="1"/>
    <col min="2" max="2" width="29.75" customWidth="1"/>
    <col min="3" max="3" width="14.25" customWidth="1"/>
    <col min="4" max="4" width="17.5" bestFit="1" customWidth="1"/>
    <col min="5" max="5" width="6.5" style="12" customWidth="1"/>
    <col min="6" max="11" width="13.75" customWidth="1"/>
    <col min="12" max="12" width="13.75" style="553" customWidth="1"/>
    <col min="13" max="29" width="13.75" customWidth="1"/>
    <col min="30" max="30" width="13.75" style="567" customWidth="1"/>
    <col min="31" max="367" width="13.75" customWidth="1"/>
  </cols>
  <sheetData>
    <row r="2" spans="1:366" ht="16" x14ac:dyDescent="0.2">
      <c r="B2" s="26" t="s">
        <v>130</v>
      </c>
      <c r="C2" s="26"/>
    </row>
    <row r="3" spans="1:366" x14ac:dyDescent="0.15">
      <c r="O3" s="48"/>
      <c r="AF3" s="39"/>
    </row>
    <row r="4" spans="1:366" x14ac:dyDescent="0.15">
      <c r="B4" t="s">
        <v>132</v>
      </c>
      <c r="F4">
        <f>'Main Assumptions'!E54</f>
        <v>15</v>
      </c>
      <c r="J4" s="41" t="s">
        <v>92</v>
      </c>
      <c r="K4" s="41" t="str">
        <f>SUBSTITUTE(ADDRESS(1,$F$5+6,4),"1","")</f>
        <v>GD</v>
      </c>
      <c r="M4" s="373"/>
      <c r="AC4" s="567"/>
    </row>
    <row r="5" spans="1:366" x14ac:dyDescent="0.15">
      <c r="B5" t="s">
        <v>63</v>
      </c>
      <c r="F5">
        <f>F4*12</f>
        <v>180</v>
      </c>
      <c r="GD5" s="55"/>
    </row>
    <row r="6" spans="1:366" x14ac:dyDescent="0.15">
      <c r="M6" s="387" t="s">
        <v>410</v>
      </c>
      <c r="N6" s="388"/>
      <c r="CK6" t="s">
        <v>94</v>
      </c>
    </row>
    <row r="7" spans="1:366" s="7" customFormat="1" x14ac:dyDescent="0.15">
      <c r="A7"/>
      <c r="B7" s="72" t="s">
        <v>65</v>
      </c>
      <c r="C7" s="72"/>
      <c r="D7" s="72"/>
      <c r="E7" s="196"/>
      <c r="F7" s="73">
        <v>0</v>
      </c>
      <c r="G7" s="73">
        <f t="shared" ref="G7:BR7" si="0">IF(F$7&lt;$F$5,F$7+1," ")</f>
        <v>1</v>
      </c>
      <c r="H7" s="73">
        <f t="shared" si="0"/>
        <v>2</v>
      </c>
      <c r="I7" s="73">
        <f t="shared" si="0"/>
        <v>3</v>
      </c>
      <c r="J7" s="73">
        <f t="shared" si="0"/>
        <v>4</v>
      </c>
      <c r="K7" s="73">
        <f t="shared" si="0"/>
        <v>5</v>
      </c>
      <c r="L7" s="557">
        <f t="shared" si="0"/>
        <v>6</v>
      </c>
      <c r="M7" s="73">
        <f t="shared" si="0"/>
        <v>7</v>
      </c>
      <c r="N7" s="73">
        <f t="shared" si="0"/>
        <v>8</v>
      </c>
      <c r="O7" s="73">
        <f t="shared" si="0"/>
        <v>9</v>
      </c>
      <c r="P7" s="73">
        <f t="shared" si="0"/>
        <v>10</v>
      </c>
      <c r="Q7" s="73">
        <f t="shared" si="0"/>
        <v>11</v>
      </c>
      <c r="R7" s="73">
        <f t="shared" si="0"/>
        <v>12</v>
      </c>
      <c r="S7" s="73">
        <f t="shared" si="0"/>
        <v>13</v>
      </c>
      <c r="T7" s="73">
        <f t="shared" si="0"/>
        <v>14</v>
      </c>
      <c r="U7" s="73">
        <f t="shared" si="0"/>
        <v>15</v>
      </c>
      <c r="V7" s="73">
        <f t="shared" si="0"/>
        <v>16</v>
      </c>
      <c r="W7" s="73">
        <f t="shared" si="0"/>
        <v>17</v>
      </c>
      <c r="X7" s="73">
        <f t="shared" si="0"/>
        <v>18</v>
      </c>
      <c r="Y7" s="73">
        <f t="shared" si="0"/>
        <v>19</v>
      </c>
      <c r="Z7" s="73">
        <f t="shared" si="0"/>
        <v>20</v>
      </c>
      <c r="AA7" s="73">
        <f t="shared" si="0"/>
        <v>21</v>
      </c>
      <c r="AB7" s="73">
        <f t="shared" si="0"/>
        <v>22</v>
      </c>
      <c r="AC7" s="73">
        <f t="shared" si="0"/>
        <v>23</v>
      </c>
      <c r="AD7" s="568">
        <f t="shared" si="0"/>
        <v>24</v>
      </c>
      <c r="AE7" s="73">
        <f t="shared" si="0"/>
        <v>25</v>
      </c>
      <c r="AF7" s="73">
        <f t="shared" si="0"/>
        <v>26</v>
      </c>
      <c r="AG7" s="73">
        <f t="shared" si="0"/>
        <v>27</v>
      </c>
      <c r="AH7" s="73">
        <f t="shared" si="0"/>
        <v>28</v>
      </c>
      <c r="AI7" s="73">
        <f t="shared" si="0"/>
        <v>29</v>
      </c>
      <c r="AJ7" s="73">
        <f t="shared" si="0"/>
        <v>30</v>
      </c>
      <c r="AK7" s="73">
        <f t="shared" si="0"/>
        <v>31</v>
      </c>
      <c r="AL7" s="73">
        <f t="shared" si="0"/>
        <v>32</v>
      </c>
      <c r="AM7" s="73">
        <f t="shared" si="0"/>
        <v>33</v>
      </c>
      <c r="AN7" s="73">
        <f t="shared" si="0"/>
        <v>34</v>
      </c>
      <c r="AO7" s="73">
        <f t="shared" si="0"/>
        <v>35</v>
      </c>
      <c r="AP7" s="73">
        <f t="shared" si="0"/>
        <v>36</v>
      </c>
      <c r="AQ7" s="73">
        <f t="shared" si="0"/>
        <v>37</v>
      </c>
      <c r="AR7" s="73">
        <f t="shared" si="0"/>
        <v>38</v>
      </c>
      <c r="AS7" s="73">
        <f t="shared" si="0"/>
        <v>39</v>
      </c>
      <c r="AT7" s="73">
        <f t="shared" si="0"/>
        <v>40</v>
      </c>
      <c r="AU7" s="73">
        <f t="shared" si="0"/>
        <v>41</v>
      </c>
      <c r="AV7" s="73">
        <f t="shared" si="0"/>
        <v>42</v>
      </c>
      <c r="AW7" s="73">
        <f t="shared" si="0"/>
        <v>43</v>
      </c>
      <c r="AX7" s="73">
        <f t="shared" si="0"/>
        <v>44</v>
      </c>
      <c r="AY7" s="73">
        <f t="shared" si="0"/>
        <v>45</v>
      </c>
      <c r="AZ7" s="73">
        <f t="shared" si="0"/>
        <v>46</v>
      </c>
      <c r="BA7" s="73">
        <f t="shared" si="0"/>
        <v>47</v>
      </c>
      <c r="BB7" s="73">
        <f t="shared" si="0"/>
        <v>48</v>
      </c>
      <c r="BC7" s="73">
        <f t="shared" si="0"/>
        <v>49</v>
      </c>
      <c r="BD7" s="73">
        <f t="shared" si="0"/>
        <v>50</v>
      </c>
      <c r="BE7" s="73">
        <f t="shared" si="0"/>
        <v>51</v>
      </c>
      <c r="BF7" s="73">
        <f t="shared" si="0"/>
        <v>52</v>
      </c>
      <c r="BG7" s="73">
        <f t="shared" si="0"/>
        <v>53</v>
      </c>
      <c r="BH7" s="73">
        <f t="shared" si="0"/>
        <v>54</v>
      </c>
      <c r="BI7" s="73">
        <f t="shared" si="0"/>
        <v>55</v>
      </c>
      <c r="BJ7" s="73">
        <f t="shared" si="0"/>
        <v>56</v>
      </c>
      <c r="BK7" s="73">
        <f t="shared" si="0"/>
        <v>57</v>
      </c>
      <c r="BL7" s="73">
        <f t="shared" si="0"/>
        <v>58</v>
      </c>
      <c r="BM7" s="73">
        <f t="shared" si="0"/>
        <v>59</v>
      </c>
      <c r="BN7" s="73">
        <f t="shared" si="0"/>
        <v>60</v>
      </c>
      <c r="BO7" s="73">
        <f t="shared" si="0"/>
        <v>61</v>
      </c>
      <c r="BP7" s="73">
        <f t="shared" si="0"/>
        <v>62</v>
      </c>
      <c r="BQ7" s="73">
        <f t="shared" si="0"/>
        <v>63</v>
      </c>
      <c r="BR7" s="73">
        <f t="shared" si="0"/>
        <v>64</v>
      </c>
      <c r="BS7" s="73">
        <f t="shared" ref="BS7:ED7" si="1">IF(BR$7&lt;$F$5,BR$7+1," ")</f>
        <v>65</v>
      </c>
      <c r="BT7" s="73">
        <f t="shared" si="1"/>
        <v>66</v>
      </c>
      <c r="BU7" s="73">
        <f t="shared" si="1"/>
        <v>67</v>
      </c>
      <c r="BV7" s="73">
        <f t="shared" si="1"/>
        <v>68</v>
      </c>
      <c r="BW7" s="73">
        <f t="shared" si="1"/>
        <v>69</v>
      </c>
      <c r="BX7" s="73">
        <f t="shared" si="1"/>
        <v>70</v>
      </c>
      <c r="BY7" s="73">
        <f t="shared" si="1"/>
        <v>71</v>
      </c>
      <c r="BZ7" s="73">
        <f t="shared" si="1"/>
        <v>72</v>
      </c>
      <c r="CA7" s="73">
        <f t="shared" si="1"/>
        <v>73</v>
      </c>
      <c r="CB7" s="73">
        <f t="shared" si="1"/>
        <v>74</v>
      </c>
      <c r="CC7" s="73">
        <f t="shared" si="1"/>
        <v>75</v>
      </c>
      <c r="CD7" s="73">
        <f t="shared" si="1"/>
        <v>76</v>
      </c>
      <c r="CE7" s="73">
        <f t="shared" si="1"/>
        <v>77</v>
      </c>
      <c r="CF7" s="73">
        <f t="shared" si="1"/>
        <v>78</v>
      </c>
      <c r="CG7" s="73">
        <f t="shared" si="1"/>
        <v>79</v>
      </c>
      <c r="CH7" s="73">
        <f t="shared" si="1"/>
        <v>80</v>
      </c>
      <c r="CI7" s="73">
        <f t="shared" si="1"/>
        <v>81</v>
      </c>
      <c r="CJ7" s="73">
        <f t="shared" si="1"/>
        <v>82</v>
      </c>
      <c r="CK7" s="73">
        <f t="shared" si="1"/>
        <v>83</v>
      </c>
      <c r="CL7" s="73">
        <f t="shared" si="1"/>
        <v>84</v>
      </c>
      <c r="CM7" s="73">
        <f t="shared" si="1"/>
        <v>85</v>
      </c>
      <c r="CN7" s="73">
        <f t="shared" si="1"/>
        <v>86</v>
      </c>
      <c r="CO7" s="73">
        <f t="shared" si="1"/>
        <v>87</v>
      </c>
      <c r="CP7" s="73">
        <f t="shared" si="1"/>
        <v>88</v>
      </c>
      <c r="CQ7" s="73">
        <f t="shared" si="1"/>
        <v>89</v>
      </c>
      <c r="CR7" s="73">
        <f t="shared" si="1"/>
        <v>90</v>
      </c>
      <c r="CS7" s="73">
        <f t="shared" si="1"/>
        <v>91</v>
      </c>
      <c r="CT7" s="73">
        <f t="shared" si="1"/>
        <v>92</v>
      </c>
      <c r="CU7" s="73">
        <f t="shared" si="1"/>
        <v>93</v>
      </c>
      <c r="CV7" s="73">
        <f t="shared" si="1"/>
        <v>94</v>
      </c>
      <c r="CW7" s="73">
        <f t="shared" si="1"/>
        <v>95</v>
      </c>
      <c r="CX7" s="73">
        <f t="shared" si="1"/>
        <v>96</v>
      </c>
      <c r="CY7" s="73">
        <f t="shared" si="1"/>
        <v>97</v>
      </c>
      <c r="CZ7" s="73">
        <f t="shared" si="1"/>
        <v>98</v>
      </c>
      <c r="DA7" s="73">
        <f t="shared" si="1"/>
        <v>99</v>
      </c>
      <c r="DB7" s="73">
        <f t="shared" si="1"/>
        <v>100</v>
      </c>
      <c r="DC7" s="73">
        <f t="shared" si="1"/>
        <v>101</v>
      </c>
      <c r="DD7" s="73">
        <f t="shared" si="1"/>
        <v>102</v>
      </c>
      <c r="DE7" s="73">
        <f t="shared" si="1"/>
        <v>103</v>
      </c>
      <c r="DF7" s="73">
        <f t="shared" si="1"/>
        <v>104</v>
      </c>
      <c r="DG7" s="73">
        <f t="shared" si="1"/>
        <v>105</v>
      </c>
      <c r="DH7" s="73">
        <f t="shared" si="1"/>
        <v>106</v>
      </c>
      <c r="DI7" s="73">
        <f t="shared" si="1"/>
        <v>107</v>
      </c>
      <c r="DJ7" s="73">
        <f t="shared" si="1"/>
        <v>108</v>
      </c>
      <c r="DK7" s="73">
        <f t="shared" si="1"/>
        <v>109</v>
      </c>
      <c r="DL7" s="73">
        <f t="shared" si="1"/>
        <v>110</v>
      </c>
      <c r="DM7" s="73">
        <f t="shared" si="1"/>
        <v>111</v>
      </c>
      <c r="DN7" s="73">
        <f t="shared" si="1"/>
        <v>112</v>
      </c>
      <c r="DO7" s="73">
        <f t="shared" si="1"/>
        <v>113</v>
      </c>
      <c r="DP7" s="73">
        <f t="shared" si="1"/>
        <v>114</v>
      </c>
      <c r="DQ7" s="73">
        <f t="shared" si="1"/>
        <v>115</v>
      </c>
      <c r="DR7" s="73">
        <f t="shared" si="1"/>
        <v>116</v>
      </c>
      <c r="DS7" s="73">
        <f t="shared" si="1"/>
        <v>117</v>
      </c>
      <c r="DT7" s="73">
        <f t="shared" si="1"/>
        <v>118</v>
      </c>
      <c r="DU7" s="73">
        <f t="shared" si="1"/>
        <v>119</v>
      </c>
      <c r="DV7" s="73">
        <f t="shared" si="1"/>
        <v>120</v>
      </c>
      <c r="DW7" s="73">
        <f t="shared" si="1"/>
        <v>121</v>
      </c>
      <c r="DX7" s="73">
        <f t="shared" si="1"/>
        <v>122</v>
      </c>
      <c r="DY7" s="73">
        <f t="shared" si="1"/>
        <v>123</v>
      </c>
      <c r="DZ7" s="73">
        <f t="shared" si="1"/>
        <v>124</v>
      </c>
      <c r="EA7" s="73">
        <f t="shared" si="1"/>
        <v>125</v>
      </c>
      <c r="EB7" s="73">
        <f t="shared" si="1"/>
        <v>126</v>
      </c>
      <c r="EC7" s="73">
        <f t="shared" si="1"/>
        <v>127</v>
      </c>
      <c r="ED7" s="73">
        <f t="shared" si="1"/>
        <v>128</v>
      </c>
      <c r="EE7" s="73">
        <f t="shared" ref="EE7:GP7" si="2">IF(ED$7&lt;$F$5,ED$7+1," ")</f>
        <v>129</v>
      </c>
      <c r="EF7" s="73">
        <f t="shared" si="2"/>
        <v>130</v>
      </c>
      <c r="EG7" s="73">
        <f t="shared" si="2"/>
        <v>131</v>
      </c>
      <c r="EH7" s="73">
        <f t="shared" si="2"/>
        <v>132</v>
      </c>
      <c r="EI7" s="73">
        <f t="shared" si="2"/>
        <v>133</v>
      </c>
      <c r="EJ7" s="73">
        <f t="shared" si="2"/>
        <v>134</v>
      </c>
      <c r="EK7" s="73">
        <f t="shared" si="2"/>
        <v>135</v>
      </c>
      <c r="EL7" s="73">
        <f t="shared" si="2"/>
        <v>136</v>
      </c>
      <c r="EM7" s="73">
        <f t="shared" si="2"/>
        <v>137</v>
      </c>
      <c r="EN7" s="73">
        <f t="shared" si="2"/>
        <v>138</v>
      </c>
      <c r="EO7" s="73">
        <f t="shared" si="2"/>
        <v>139</v>
      </c>
      <c r="EP7" s="73">
        <f t="shared" si="2"/>
        <v>140</v>
      </c>
      <c r="EQ7" s="73">
        <f t="shared" si="2"/>
        <v>141</v>
      </c>
      <c r="ER7" s="73">
        <f t="shared" si="2"/>
        <v>142</v>
      </c>
      <c r="ES7" s="73">
        <f t="shared" si="2"/>
        <v>143</v>
      </c>
      <c r="ET7" s="73">
        <f t="shared" si="2"/>
        <v>144</v>
      </c>
      <c r="EU7" s="73">
        <f t="shared" si="2"/>
        <v>145</v>
      </c>
      <c r="EV7" s="73">
        <f t="shared" si="2"/>
        <v>146</v>
      </c>
      <c r="EW7" s="73">
        <f t="shared" si="2"/>
        <v>147</v>
      </c>
      <c r="EX7" s="73">
        <f t="shared" si="2"/>
        <v>148</v>
      </c>
      <c r="EY7" s="73">
        <f t="shared" si="2"/>
        <v>149</v>
      </c>
      <c r="EZ7" s="73">
        <f t="shared" si="2"/>
        <v>150</v>
      </c>
      <c r="FA7" s="73">
        <f t="shared" si="2"/>
        <v>151</v>
      </c>
      <c r="FB7" s="73">
        <f t="shared" si="2"/>
        <v>152</v>
      </c>
      <c r="FC7" s="73">
        <f t="shared" si="2"/>
        <v>153</v>
      </c>
      <c r="FD7" s="73">
        <f t="shared" si="2"/>
        <v>154</v>
      </c>
      <c r="FE7" s="73">
        <f t="shared" si="2"/>
        <v>155</v>
      </c>
      <c r="FF7" s="73">
        <f t="shared" si="2"/>
        <v>156</v>
      </c>
      <c r="FG7" s="73">
        <f t="shared" si="2"/>
        <v>157</v>
      </c>
      <c r="FH7" s="73">
        <f t="shared" si="2"/>
        <v>158</v>
      </c>
      <c r="FI7" s="73">
        <f t="shared" si="2"/>
        <v>159</v>
      </c>
      <c r="FJ7" s="73">
        <f t="shared" si="2"/>
        <v>160</v>
      </c>
      <c r="FK7" s="73">
        <f t="shared" si="2"/>
        <v>161</v>
      </c>
      <c r="FL7" s="73">
        <f t="shared" si="2"/>
        <v>162</v>
      </c>
      <c r="FM7" s="73">
        <f t="shared" si="2"/>
        <v>163</v>
      </c>
      <c r="FN7" s="73">
        <f t="shared" si="2"/>
        <v>164</v>
      </c>
      <c r="FO7" s="73">
        <f t="shared" si="2"/>
        <v>165</v>
      </c>
      <c r="FP7" s="73">
        <f t="shared" si="2"/>
        <v>166</v>
      </c>
      <c r="FQ7" s="73">
        <f t="shared" si="2"/>
        <v>167</v>
      </c>
      <c r="FR7" s="73">
        <f t="shared" si="2"/>
        <v>168</v>
      </c>
      <c r="FS7" s="73">
        <f t="shared" si="2"/>
        <v>169</v>
      </c>
      <c r="FT7" s="73">
        <f t="shared" si="2"/>
        <v>170</v>
      </c>
      <c r="FU7" s="73">
        <f t="shared" si="2"/>
        <v>171</v>
      </c>
      <c r="FV7" s="73">
        <f t="shared" si="2"/>
        <v>172</v>
      </c>
      <c r="FW7" s="73">
        <f t="shared" si="2"/>
        <v>173</v>
      </c>
      <c r="FX7" s="73">
        <f t="shared" si="2"/>
        <v>174</v>
      </c>
      <c r="FY7" s="73">
        <f t="shared" si="2"/>
        <v>175</v>
      </c>
      <c r="FZ7" s="73">
        <f t="shared" si="2"/>
        <v>176</v>
      </c>
      <c r="GA7" s="73">
        <f t="shared" si="2"/>
        <v>177</v>
      </c>
      <c r="GB7" s="73">
        <f t="shared" si="2"/>
        <v>178</v>
      </c>
      <c r="GC7" s="73">
        <f t="shared" si="2"/>
        <v>179</v>
      </c>
      <c r="GD7" s="73">
        <f t="shared" si="2"/>
        <v>180</v>
      </c>
      <c r="GE7" s="73" t="str">
        <f t="shared" si="2"/>
        <v xml:space="preserve"> </v>
      </c>
      <c r="GF7" s="73" t="str">
        <f t="shared" si="2"/>
        <v xml:space="preserve"> </v>
      </c>
      <c r="GG7" s="73" t="str">
        <f t="shared" si="2"/>
        <v xml:space="preserve"> </v>
      </c>
      <c r="GH7" s="73" t="str">
        <f t="shared" si="2"/>
        <v xml:space="preserve"> </v>
      </c>
      <c r="GI7" s="73" t="str">
        <f t="shared" si="2"/>
        <v xml:space="preserve"> </v>
      </c>
      <c r="GJ7" s="73" t="str">
        <f t="shared" si="2"/>
        <v xml:space="preserve"> </v>
      </c>
      <c r="GK7" s="73" t="str">
        <f t="shared" si="2"/>
        <v xml:space="preserve"> </v>
      </c>
      <c r="GL7" s="73" t="str">
        <f t="shared" si="2"/>
        <v xml:space="preserve"> </v>
      </c>
      <c r="GM7" s="73" t="str">
        <f t="shared" si="2"/>
        <v xml:space="preserve"> </v>
      </c>
      <c r="GN7" s="73" t="str">
        <f t="shared" si="2"/>
        <v xml:space="preserve"> </v>
      </c>
      <c r="GO7" s="73" t="str">
        <f t="shared" si="2"/>
        <v xml:space="preserve"> </v>
      </c>
      <c r="GP7" s="73" t="str">
        <f t="shared" si="2"/>
        <v xml:space="preserve"> </v>
      </c>
      <c r="GQ7" s="73" t="str">
        <f t="shared" ref="GQ7:JB7" si="3">IF(GP$7&lt;$F$5,GP$7+1," ")</f>
        <v xml:space="preserve"> </v>
      </c>
      <c r="GR7" s="73" t="str">
        <f t="shared" si="3"/>
        <v xml:space="preserve"> </v>
      </c>
      <c r="GS7" s="73" t="str">
        <f t="shared" si="3"/>
        <v xml:space="preserve"> </v>
      </c>
      <c r="GT7" s="73" t="str">
        <f t="shared" si="3"/>
        <v xml:space="preserve"> </v>
      </c>
      <c r="GU7" s="73" t="str">
        <f t="shared" si="3"/>
        <v xml:space="preserve"> </v>
      </c>
      <c r="GV7" s="73" t="str">
        <f t="shared" si="3"/>
        <v xml:space="preserve"> </v>
      </c>
      <c r="GW7" s="73" t="str">
        <f t="shared" si="3"/>
        <v xml:space="preserve"> </v>
      </c>
      <c r="GX7" s="73" t="str">
        <f t="shared" si="3"/>
        <v xml:space="preserve"> </v>
      </c>
      <c r="GY7" s="73" t="str">
        <f t="shared" si="3"/>
        <v xml:space="preserve"> </v>
      </c>
      <c r="GZ7" s="73" t="str">
        <f t="shared" si="3"/>
        <v xml:space="preserve"> </v>
      </c>
      <c r="HA7" s="73" t="str">
        <f t="shared" si="3"/>
        <v xml:space="preserve"> </v>
      </c>
      <c r="HB7" s="73" t="str">
        <f t="shared" si="3"/>
        <v xml:space="preserve"> </v>
      </c>
      <c r="HC7" s="73" t="str">
        <f t="shared" si="3"/>
        <v xml:space="preserve"> </v>
      </c>
      <c r="HD7" s="73" t="str">
        <f t="shared" si="3"/>
        <v xml:space="preserve"> </v>
      </c>
      <c r="HE7" s="73" t="str">
        <f t="shared" si="3"/>
        <v xml:space="preserve"> </v>
      </c>
      <c r="HF7" s="73" t="str">
        <f t="shared" si="3"/>
        <v xml:space="preserve"> </v>
      </c>
      <c r="HG7" s="73" t="str">
        <f t="shared" si="3"/>
        <v xml:space="preserve"> </v>
      </c>
      <c r="HH7" s="73" t="str">
        <f t="shared" si="3"/>
        <v xml:space="preserve"> </v>
      </c>
      <c r="HI7" s="73" t="str">
        <f t="shared" si="3"/>
        <v xml:space="preserve"> </v>
      </c>
      <c r="HJ7" s="73" t="str">
        <f t="shared" si="3"/>
        <v xml:space="preserve"> </v>
      </c>
      <c r="HK7" s="73" t="str">
        <f t="shared" si="3"/>
        <v xml:space="preserve"> </v>
      </c>
      <c r="HL7" s="73" t="str">
        <f t="shared" si="3"/>
        <v xml:space="preserve"> </v>
      </c>
      <c r="HM7" s="73" t="str">
        <f t="shared" si="3"/>
        <v xml:space="preserve"> </v>
      </c>
      <c r="HN7" s="73" t="str">
        <f t="shared" si="3"/>
        <v xml:space="preserve"> </v>
      </c>
      <c r="HO7" s="73" t="str">
        <f t="shared" si="3"/>
        <v xml:space="preserve"> </v>
      </c>
      <c r="HP7" s="73" t="str">
        <f t="shared" si="3"/>
        <v xml:space="preserve"> </v>
      </c>
      <c r="HQ7" s="73" t="str">
        <f t="shared" si="3"/>
        <v xml:space="preserve"> </v>
      </c>
      <c r="HR7" s="73" t="str">
        <f t="shared" si="3"/>
        <v xml:space="preserve"> </v>
      </c>
      <c r="HS7" s="73" t="str">
        <f t="shared" si="3"/>
        <v xml:space="preserve"> </v>
      </c>
      <c r="HT7" s="73" t="str">
        <f t="shared" si="3"/>
        <v xml:space="preserve"> </v>
      </c>
      <c r="HU7" s="73" t="str">
        <f t="shared" si="3"/>
        <v xml:space="preserve"> </v>
      </c>
      <c r="HV7" s="73" t="str">
        <f t="shared" si="3"/>
        <v xml:space="preserve"> </v>
      </c>
      <c r="HW7" s="73" t="str">
        <f t="shared" si="3"/>
        <v xml:space="preserve"> </v>
      </c>
      <c r="HX7" s="73" t="str">
        <f t="shared" si="3"/>
        <v xml:space="preserve"> </v>
      </c>
      <c r="HY7" s="73" t="str">
        <f t="shared" si="3"/>
        <v xml:space="preserve"> </v>
      </c>
      <c r="HZ7" s="73" t="str">
        <f t="shared" si="3"/>
        <v xml:space="preserve"> </v>
      </c>
      <c r="IA7" s="73" t="str">
        <f t="shared" si="3"/>
        <v xml:space="preserve"> </v>
      </c>
      <c r="IB7" s="73" t="str">
        <f t="shared" si="3"/>
        <v xml:space="preserve"> </v>
      </c>
      <c r="IC7" s="73" t="str">
        <f t="shared" si="3"/>
        <v xml:space="preserve"> </v>
      </c>
      <c r="ID7" s="73" t="str">
        <f t="shared" si="3"/>
        <v xml:space="preserve"> </v>
      </c>
      <c r="IE7" s="73" t="str">
        <f t="shared" si="3"/>
        <v xml:space="preserve"> </v>
      </c>
      <c r="IF7" s="73" t="str">
        <f t="shared" si="3"/>
        <v xml:space="preserve"> </v>
      </c>
      <c r="IG7" s="73" t="str">
        <f t="shared" si="3"/>
        <v xml:space="preserve"> </v>
      </c>
      <c r="IH7" s="73" t="str">
        <f t="shared" si="3"/>
        <v xml:space="preserve"> </v>
      </c>
      <c r="II7" s="73" t="str">
        <f t="shared" si="3"/>
        <v xml:space="preserve"> </v>
      </c>
      <c r="IJ7" s="73" t="str">
        <f t="shared" si="3"/>
        <v xml:space="preserve"> </v>
      </c>
      <c r="IK7" s="73" t="str">
        <f t="shared" si="3"/>
        <v xml:space="preserve"> </v>
      </c>
      <c r="IL7" s="73" t="str">
        <f t="shared" si="3"/>
        <v xml:space="preserve"> </v>
      </c>
      <c r="IM7" s="73" t="str">
        <f t="shared" si="3"/>
        <v xml:space="preserve"> </v>
      </c>
      <c r="IN7" s="73" t="str">
        <f t="shared" si="3"/>
        <v xml:space="preserve"> </v>
      </c>
      <c r="IO7" s="73" t="str">
        <f t="shared" si="3"/>
        <v xml:space="preserve"> </v>
      </c>
      <c r="IP7" s="73" t="str">
        <f t="shared" si="3"/>
        <v xml:space="preserve"> </v>
      </c>
      <c r="IQ7" s="73" t="str">
        <f t="shared" si="3"/>
        <v xml:space="preserve"> </v>
      </c>
      <c r="IR7" s="73" t="str">
        <f t="shared" si="3"/>
        <v xml:space="preserve"> </v>
      </c>
      <c r="IS7" s="73" t="str">
        <f t="shared" si="3"/>
        <v xml:space="preserve"> </v>
      </c>
      <c r="IT7" s="73" t="str">
        <f t="shared" si="3"/>
        <v xml:space="preserve"> </v>
      </c>
      <c r="IU7" s="73" t="str">
        <f t="shared" si="3"/>
        <v xml:space="preserve"> </v>
      </c>
      <c r="IV7" s="73" t="str">
        <f t="shared" si="3"/>
        <v xml:space="preserve"> </v>
      </c>
      <c r="IW7" s="73" t="str">
        <f t="shared" si="3"/>
        <v xml:space="preserve"> </v>
      </c>
      <c r="IX7" s="73" t="str">
        <f t="shared" si="3"/>
        <v xml:space="preserve"> </v>
      </c>
      <c r="IY7" s="73" t="str">
        <f t="shared" si="3"/>
        <v xml:space="preserve"> </v>
      </c>
      <c r="IZ7" s="73" t="str">
        <f t="shared" si="3"/>
        <v xml:space="preserve"> </v>
      </c>
      <c r="JA7" s="73" t="str">
        <f t="shared" si="3"/>
        <v xml:space="preserve"> </v>
      </c>
      <c r="JB7" s="73" t="str">
        <f t="shared" si="3"/>
        <v xml:space="preserve"> </v>
      </c>
      <c r="JC7" s="73" t="str">
        <f t="shared" ref="JC7:LN7" si="4">IF(JB$7&lt;$F$5,JB$7+1," ")</f>
        <v xml:space="preserve"> </v>
      </c>
      <c r="JD7" s="73" t="str">
        <f t="shared" si="4"/>
        <v xml:space="preserve"> </v>
      </c>
      <c r="JE7" s="73" t="str">
        <f t="shared" si="4"/>
        <v xml:space="preserve"> </v>
      </c>
      <c r="JF7" s="73" t="str">
        <f t="shared" si="4"/>
        <v xml:space="preserve"> </v>
      </c>
      <c r="JG7" s="73" t="str">
        <f t="shared" si="4"/>
        <v xml:space="preserve"> </v>
      </c>
      <c r="JH7" s="73" t="str">
        <f t="shared" si="4"/>
        <v xml:space="preserve"> </v>
      </c>
      <c r="JI7" s="73" t="str">
        <f t="shared" si="4"/>
        <v xml:space="preserve"> </v>
      </c>
      <c r="JJ7" s="73" t="str">
        <f t="shared" si="4"/>
        <v xml:space="preserve"> </v>
      </c>
      <c r="JK7" s="73" t="str">
        <f t="shared" si="4"/>
        <v xml:space="preserve"> </v>
      </c>
      <c r="JL7" s="73" t="str">
        <f t="shared" si="4"/>
        <v xml:space="preserve"> </v>
      </c>
      <c r="JM7" s="73" t="str">
        <f t="shared" si="4"/>
        <v xml:space="preserve"> </v>
      </c>
      <c r="JN7" s="73" t="str">
        <f t="shared" si="4"/>
        <v xml:space="preserve"> </v>
      </c>
      <c r="JO7" s="73" t="str">
        <f t="shared" si="4"/>
        <v xml:space="preserve"> </v>
      </c>
      <c r="JP7" s="73" t="str">
        <f t="shared" si="4"/>
        <v xml:space="preserve"> </v>
      </c>
      <c r="JQ7" s="73" t="str">
        <f t="shared" si="4"/>
        <v xml:space="preserve"> </v>
      </c>
      <c r="JR7" s="73" t="str">
        <f t="shared" si="4"/>
        <v xml:space="preserve"> </v>
      </c>
      <c r="JS7" s="73" t="str">
        <f t="shared" si="4"/>
        <v xml:space="preserve"> </v>
      </c>
      <c r="JT7" s="73" t="str">
        <f t="shared" si="4"/>
        <v xml:space="preserve"> </v>
      </c>
      <c r="JU7" s="73" t="str">
        <f t="shared" si="4"/>
        <v xml:space="preserve"> </v>
      </c>
      <c r="JV7" s="73" t="str">
        <f t="shared" si="4"/>
        <v xml:space="preserve"> </v>
      </c>
      <c r="JW7" s="73" t="str">
        <f t="shared" si="4"/>
        <v xml:space="preserve"> </v>
      </c>
      <c r="JX7" s="73" t="str">
        <f t="shared" si="4"/>
        <v xml:space="preserve"> </v>
      </c>
      <c r="JY7" s="73" t="str">
        <f t="shared" si="4"/>
        <v xml:space="preserve"> </v>
      </c>
      <c r="JZ7" s="73" t="str">
        <f t="shared" si="4"/>
        <v xml:space="preserve"> </v>
      </c>
      <c r="KA7" s="73" t="str">
        <f t="shared" si="4"/>
        <v xml:space="preserve"> </v>
      </c>
      <c r="KB7" s="73" t="str">
        <f t="shared" si="4"/>
        <v xml:space="preserve"> </v>
      </c>
      <c r="KC7" s="73" t="str">
        <f t="shared" si="4"/>
        <v xml:space="preserve"> </v>
      </c>
      <c r="KD7" s="73" t="str">
        <f t="shared" si="4"/>
        <v xml:space="preserve"> </v>
      </c>
      <c r="KE7" s="73" t="str">
        <f t="shared" si="4"/>
        <v xml:space="preserve"> </v>
      </c>
      <c r="KF7" s="73" t="str">
        <f t="shared" si="4"/>
        <v xml:space="preserve"> </v>
      </c>
      <c r="KG7" s="73" t="str">
        <f t="shared" si="4"/>
        <v xml:space="preserve"> </v>
      </c>
      <c r="KH7" s="73" t="str">
        <f t="shared" si="4"/>
        <v xml:space="preserve"> </v>
      </c>
      <c r="KI7" s="73" t="str">
        <f t="shared" si="4"/>
        <v xml:space="preserve"> </v>
      </c>
      <c r="KJ7" s="73" t="str">
        <f t="shared" si="4"/>
        <v xml:space="preserve"> </v>
      </c>
      <c r="KK7" s="73" t="str">
        <f t="shared" si="4"/>
        <v xml:space="preserve"> </v>
      </c>
      <c r="KL7" s="73" t="str">
        <f t="shared" si="4"/>
        <v xml:space="preserve"> </v>
      </c>
      <c r="KM7" s="73" t="str">
        <f t="shared" si="4"/>
        <v xml:space="preserve"> </v>
      </c>
      <c r="KN7" s="73" t="str">
        <f t="shared" si="4"/>
        <v xml:space="preserve"> </v>
      </c>
      <c r="KO7" s="73" t="str">
        <f t="shared" si="4"/>
        <v xml:space="preserve"> </v>
      </c>
      <c r="KP7" s="73" t="str">
        <f t="shared" si="4"/>
        <v xml:space="preserve"> </v>
      </c>
      <c r="KQ7" s="73" t="str">
        <f t="shared" si="4"/>
        <v xml:space="preserve"> </v>
      </c>
      <c r="KR7" s="73" t="str">
        <f t="shared" si="4"/>
        <v xml:space="preserve"> </v>
      </c>
      <c r="KS7" s="73" t="str">
        <f t="shared" si="4"/>
        <v xml:space="preserve"> </v>
      </c>
      <c r="KT7" s="73" t="str">
        <f t="shared" si="4"/>
        <v xml:space="preserve"> </v>
      </c>
      <c r="KU7" s="73" t="str">
        <f t="shared" si="4"/>
        <v xml:space="preserve"> </v>
      </c>
      <c r="KV7" s="73" t="str">
        <f t="shared" si="4"/>
        <v xml:space="preserve"> </v>
      </c>
      <c r="KW7" s="73" t="str">
        <f t="shared" si="4"/>
        <v xml:space="preserve"> </v>
      </c>
      <c r="KX7" s="73" t="str">
        <f t="shared" si="4"/>
        <v xml:space="preserve"> </v>
      </c>
      <c r="KY7" s="73" t="str">
        <f t="shared" si="4"/>
        <v xml:space="preserve"> </v>
      </c>
      <c r="KZ7" s="73" t="str">
        <f t="shared" si="4"/>
        <v xml:space="preserve"> </v>
      </c>
      <c r="LA7" s="73" t="str">
        <f t="shared" si="4"/>
        <v xml:space="preserve"> </v>
      </c>
      <c r="LB7" s="73" t="str">
        <f t="shared" si="4"/>
        <v xml:space="preserve"> </v>
      </c>
      <c r="LC7" s="73" t="str">
        <f t="shared" si="4"/>
        <v xml:space="preserve"> </v>
      </c>
      <c r="LD7" s="73" t="str">
        <f t="shared" si="4"/>
        <v xml:space="preserve"> </v>
      </c>
      <c r="LE7" s="73" t="str">
        <f t="shared" si="4"/>
        <v xml:space="preserve"> </v>
      </c>
      <c r="LF7" s="73" t="str">
        <f t="shared" si="4"/>
        <v xml:space="preserve"> </v>
      </c>
      <c r="LG7" s="73" t="str">
        <f t="shared" si="4"/>
        <v xml:space="preserve"> </v>
      </c>
      <c r="LH7" s="73" t="str">
        <f t="shared" si="4"/>
        <v xml:space="preserve"> </v>
      </c>
      <c r="LI7" s="73" t="str">
        <f t="shared" si="4"/>
        <v xml:space="preserve"> </v>
      </c>
      <c r="LJ7" s="73" t="str">
        <f t="shared" si="4"/>
        <v xml:space="preserve"> </v>
      </c>
      <c r="LK7" s="73" t="str">
        <f t="shared" si="4"/>
        <v xml:space="preserve"> </v>
      </c>
      <c r="LL7" s="73" t="str">
        <f t="shared" si="4"/>
        <v xml:space="preserve"> </v>
      </c>
      <c r="LM7" s="73" t="str">
        <f t="shared" si="4"/>
        <v xml:space="preserve"> </v>
      </c>
      <c r="LN7" s="73" t="str">
        <f t="shared" si="4"/>
        <v xml:space="preserve"> </v>
      </c>
      <c r="LO7" s="73" t="str">
        <f t="shared" ref="LO7:NB7" si="5">IF(LN$7&lt;$F$5,LN$7+1," ")</f>
        <v xml:space="preserve"> </v>
      </c>
      <c r="LP7" s="73" t="str">
        <f t="shared" si="5"/>
        <v xml:space="preserve"> </v>
      </c>
      <c r="LQ7" s="73" t="str">
        <f t="shared" si="5"/>
        <v xml:space="preserve"> </v>
      </c>
      <c r="LR7" s="73" t="str">
        <f t="shared" si="5"/>
        <v xml:space="preserve"> </v>
      </c>
      <c r="LS7" s="73" t="str">
        <f t="shared" si="5"/>
        <v xml:space="preserve"> </v>
      </c>
      <c r="LT7" s="73" t="str">
        <f t="shared" si="5"/>
        <v xml:space="preserve"> </v>
      </c>
      <c r="LU7" s="73" t="str">
        <f t="shared" si="5"/>
        <v xml:space="preserve"> </v>
      </c>
      <c r="LV7" s="73" t="str">
        <f t="shared" si="5"/>
        <v xml:space="preserve"> </v>
      </c>
      <c r="LW7" s="73" t="str">
        <f t="shared" si="5"/>
        <v xml:space="preserve"> </v>
      </c>
      <c r="LX7" s="73" t="str">
        <f t="shared" si="5"/>
        <v xml:space="preserve"> </v>
      </c>
      <c r="LY7" s="73" t="str">
        <f t="shared" si="5"/>
        <v xml:space="preserve"> </v>
      </c>
      <c r="LZ7" s="73" t="str">
        <f t="shared" si="5"/>
        <v xml:space="preserve"> </v>
      </c>
      <c r="MA7" s="73" t="str">
        <f t="shared" si="5"/>
        <v xml:space="preserve"> </v>
      </c>
      <c r="MB7" s="73" t="str">
        <f t="shared" si="5"/>
        <v xml:space="preserve"> </v>
      </c>
      <c r="MC7" s="73" t="str">
        <f t="shared" si="5"/>
        <v xml:space="preserve"> </v>
      </c>
      <c r="MD7" s="73" t="str">
        <f t="shared" si="5"/>
        <v xml:space="preserve"> </v>
      </c>
      <c r="ME7" s="73" t="str">
        <f t="shared" si="5"/>
        <v xml:space="preserve"> </v>
      </c>
      <c r="MF7" s="73" t="str">
        <f t="shared" si="5"/>
        <v xml:space="preserve"> </v>
      </c>
      <c r="MG7" s="73" t="str">
        <f t="shared" si="5"/>
        <v xml:space="preserve"> </v>
      </c>
      <c r="MH7" s="73" t="str">
        <f t="shared" si="5"/>
        <v xml:space="preserve"> </v>
      </c>
      <c r="MI7" s="73" t="str">
        <f t="shared" si="5"/>
        <v xml:space="preserve"> </v>
      </c>
      <c r="MJ7" s="73" t="str">
        <f t="shared" si="5"/>
        <v xml:space="preserve"> </v>
      </c>
      <c r="MK7" s="73" t="str">
        <f t="shared" si="5"/>
        <v xml:space="preserve"> </v>
      </c>
      <c r="ML7" s="73" t="str">
        <f t="shared" si="5"/>
        <v xml:space="preserve"> </v>
      </c>
      <c r="MM7" s="73" t="str">
        <f t="shared" si="5"/>
        <v xml:space="preserve"> </v>
      </c>
      <c r="MN7" s="73" t="str">
        <f t="shared" si="5"/>
        <v xml:space="preserve"> </v>
      </c>
      <c r="MO7" s="73" t="str">
        <f t="shared" si="5"/>
        <v xml:space="preserve"> </v>
      </c>
      <c r="MP7" s="73" t="str">
        <f t="shared" si="5"/>
        <v xml:space="preserve"> </v>
      </c>
      <c r="MQ7" s="73" t="str">
        <f t="shared" si="5"/>
        <v xml:space="preserve"> </v>
      </c>
      <c r="MR7" s="73" t="str">
        <f t="shared" si="5"/>
        <v xml:space="preserve"> </v>
      </c>
      <c r="MS7" s="73" t="str">
        <f t="shared" si="5"/>
        <v xml:space="preserve"> </v>
      </c>
      <c r="MT7" s="73" t="str">
        <f t="shared" si="5"/>
        <v xml:space="preserve"> </v>
      </c>
      <c r="MU7" s="73" t="str">
        <f t="shared" si="5"/>
        <v xml:space="preserve"> </v>
      </c>
      <c r="MV7" s="73" t="str">
        <f t="shared" si="5"/>
        <v xml:space="preserve"> </v>
      </c>
      <c r="MW7" s="73" t="str">
        <f t="shared" si="5"/>
        <v xml:space="preserve"> </v>
      </c>
      <c r="MX7" s="73" t="str">
        <f t="shared" si="5"/>
        <v xml:space="preserve"> </v>
      </c>
      <c r="MY7" s="73" t="str">
        <f t="shared" si="5"/>
        <v xml:space="preserve"> </v>
      </c>
      <c r="MZ7" s="73" t="str">
        <f t="shared" si="5"/>
        <v xml:space="preserve"> </v>
      </c>
      <c r="NA7" s="73" t="str">
        <f t="shared" si="5"/>
        <v xml:space="preserve"> </v>
      </c>
      <c r="NB7" s="73" t="str">
        <f t="shared" si="5"/>
        <v xml:space="preserve"> </v>
      </c>
    </row>
    <row r="8" spans="1:366" s="7" customFormat="1" x14ac:dyDescent="0.15">
      <c r="A8"/>
      <c r="B8" s="72" t="s">
        <v>64</v>
      </c>
      <c r="C8" s="72"/>
      <c r="D8" s="72"/>
      <c r="E8" s="196"/>
      <c r="F8" s="74">
        <f>'Main Assumptions'!E14</f>
        <v>46266</v>
      </c>
      <c r="G8" s="74">
        <f>EDATE(F8,1)</f>
        <v>46296</v>
      </c>
      <c r="H8" s="74">
        <f t="shared" ref="H8:BS8" si="6">EDATE(G8,1)</f>
        <v>46327</v>
      </c>
      <c r="I8" s="74">
        <f t="shared" si="6"/>
        <v>46357</v>
      </c>
      <c r="J8" s="74">
        <f t="shared" si="6"/>
        <v>46388</v>
      </c>
      <c r="K8" s="74">
        <f t="shared" si="6"/>
        <v>46419</v>
      </c>
      <c r="L8" s="558">
        <f t="shared" si="6"/>
        <v>46447</v>
      </c>
      <c r="M8" s="74">
        <f t="shared" si="6"/>
        <v>46478</v>
      </c>
      <c r="N8" s="74">
        <f t="shared" si="6"/>
        <v>46508</v>
      </c>
      <c r="O8" s="74">
        <f t="shared" si="6"/>
        <v>46539</v>
      </c>
      <c r="P8" s="74">
        <f t="shared" si="6"/>
        <v>46569</v>
      </c>
      <c r="Q8" s="74">
        <f t="shared" si="6"/>
        <v>46600</v>
      </c>
      <c r="R8" s="74">
        <f t="shared" si="6"/>
        <v>46631</v>
      </c>
      <c r="S8" s="74">
        <f t="shared" si="6"/>
        <v>46661</v>
      </c>
      <c r="T8" s="74">
        <f t="shared" si="6"/>
        <v>46692</v>
      </c>
      <c r="U8" s="74">
        <f t="shared" si="6"/>
        <v>46722</v>
      </c>
      <c r="V8" s="74">
        <f t="shared" si="6"/>
        <v>46753</v>
      </c>
      <c r="W8" s="74">
        <f t="shared" si="6"/>
        <v>46784</v>
      </c>
      <c r="X8" s="74">
        <f t="shared" si="6"/>
        <v>46813</v>
      </c>
      <c r="Y8" s="74">
        <f t="shared" si="6"/>
        <v>46844</v>
      </c>
      <c r="Z8" s="74">
        <f t="shared" si="6"/>
        <v>46874</v>
      </c>
      <c r="AA8" s="74">
        <f t="shared" si="6"/>
        <v>46905</v>
      </c>
      <c r="AB8" s="74">
        <f t="shared" si="6"/>
        <v>46935</v>
      </c>
      <c r="AC8" s="74">
        <f t="shared" si="6"/>
        <v>46966</v>
      </c>
      <c r="AD8" s="569">
        <f t="shared" si="6"/>
        <v>46997</v>
      </c>
      <c r="AE8" s="74">
        <f t="shared" si="6"/>
        <v>47027</v>
      </c>
      <c r="AF8" s="74">
        <f t="shared" si="6"/>
        <v>47058</v>
      </c>
      <c r="AG8" s="74">
        <f t="shared" si="6"/>
        <v>47088</v>
      </c>
      <c r="AH8" s="74">
        <f t="shared" si="6"/>
        <v>47119</v>
      </c>
      <c r="AI8" s="74">
        <f t="shared" si="6"/>
        <v>47150</v>
      </c>
      <c r="AJ8" s="74">
        <f t="shared" si="6"/>
        <v>47178</v>
      </c>
      <c r="AK8" s="74">
        <f t="shared" si="6"/>
        <v>47209</v>
      </c>
      <c r="AL8" s="74">
        <f t="shared" si="6"/>
        <v>47239</v>
      </c>
      <c r="AM8" s="74">
        <f t="shared" si="6"/>
        <v>47270</v>
      </c>
      <c r="AN8" s="74">
        <f t="shared" si="6"/>
        <v>47300</v>
      </c>
      <c r="AO8" s="74">
        <f t="shared" si="6"/>
        <v>47331</v>
      </c>
      <c r="AP8" s="74">
        <f t="shared" si="6"/>
        <v>47362</v>
      </c>
      <c r="AQ8" s="74">
        <f t="shared" si="6"/>
        <v>47392</v>
      </c>
      <c r="AR8" s="74">
        <f t="shared" si="6"/>
        <v>47423</v>
      </c>
      <c r="AS8" s="74">
        <f t="shared" si="6"/>
        <v>47453</v>
      </c>
      <c r="AT8" s="74">
        <f t="shared" si="6"/>
        <v>47484</v>
      </c>
      <c r="AU8" s="74">
        <f t="shared" si="6"/>
        <v>47515</v>
      </c>
      <c r="AV8" s="74">
        <f t="shared" si="6"/>
        <v>47543</v>
      </c>
      <c r="AW8" s="74">
        <f t="shared" si="6"/>
        <v>47574</v>
      </c>
      <c r="AX8" s="74">
        <f t="shared" si="6"/>
        <v>47604</v>
      </c>
      <c r="AY8" s="74">
        <f t="shared" si="6"/>
        <v>47635</v>
      </c>
      <c r="AZ8" s="74">
        <f t="shared" si="6"/>
        <v>47665</v>
      </c>
      <c r="BA8" s="74">
        <f t="shared" si="6"/>
        <v>47696</v>
      </c>
      <c r="BB8" s="74">
        <f t="shared" si="6"/>
        <v>47727</v>
      </c>
      <c r="BC8" s="74">
        <f t="shared" si="6"/>
        <v>47757</v>
      </c>
      <c r="BD8" s="74">
        <f t="shared" si="6"/>
        <v>47788</v>
      </c>
      <c r="BE8" s="74">
        <f t="shared" si="6"/>
        <v>47818</v>
      </c>
      <c r="BF8" s="74">
        <f t="shared" si="6"/>
        <v>47849</v>
      </c>
      <c r="BG8" s="74">
        <f t="shared" si="6"/>
        <v>47880</v>
      </c>
      <c r="BH8" s="74">
        <f t="shared" si="6"/>
        <v>47908</v>
      </c>
      <c r="BI8" s="74">
        <f t="shared" si="6"/>
        <v>47939</v>
      </c>
      <c r="BJ8" s="74">
        <f t="shared" si="6"/>
        <v>47969</v>
      </c>
      <c r="BK8" s="74">
        <f t="shared" si="6"/>
        <v>48000</v>
      </c>
      <c r="BL8" s="74">
        <f t="shared" si="6"/>
        <v>48030</v>
      </c>
      <c r="BM8" s="74">
        <f t="shared" si="6"/>
        <v>48061</v>
      </c>
      <c r="BN8" s="74">
        <f t="shared" si="6"/>
        <v>48092</v>
      </c>
      <c r="BO8" s="74">
        <f t="shared" si="6"/>
        <v>48122</v>
      </c>
      <c r="BP8" s="74">
        <f t="shared" si="6"/>
        <v>48153</v>
      </c>
      <c r="BQ8" s="74">
        <f t="shared" si="6"/>
        <v>48183</v>
      </c>
      <c r="BR8" s="74">
        <f t="shared" si="6"/>
        <v>48214</v>
      </c>
      <c r="BS8" s="74">
        <f t="shared" si="6"/>
        <v>48245</v>
      </c>
      <c r="BT8" s="74">
        <f t="shared" ref="BT8:EE8" si="7">EDATE(BS8,1)</f>
        <v>48274</v>
      </c>
      <c r="BU8" s="74">
        <f t="shared" si="7"/>
        <v>48305</v>
      </c>
      <c r="BV8" s="74">
        <f t="shared" si="7"/>
        <v>48335</v>
      </c>
      <c r="BW8" s="74">
        <f t="shared" si="7"/>
        <v>48366</v>
      </c>
      <c r="BX8" s="74">
        <f t="shared" si="7"/>
        <v>48396</v>
      </c>
      <c r="BY8" s="74">
        <f t="shared" si="7"/>
        <v>48427</v>
      </c>
      <c r="BZ8" s="74">
        <f t="shared" si="7"/>
        <v>48458</v>
      </c>
      <c r="CA8" s="74">
        <f t="shared" si="7"/>
        <v>48488</v>
      </c>
      <c r="CB8" s="74">
        <f t="shared" si="7"/>
        <v>48519</v>
      </c>
      <c r="CC8" s="74">
        <f t="shared" si="7"/>
        <v>48549</v>
      </c>
      <c r="CD8" s="74">
        <f t="shared" si="7"/>
        <v>48580</v>
      </c>
      <c r="CE8" s="74">
        <f t="shared" si="7"/>
        <v>48611</v>
      </c>
      <c r="CF8" s="74">
        <f t="shared" si="7"/>
        <v>48639</v>
      </c>
      <c r="CG8" s="74">
        <f t="shared" si="7"/>
        <v>48670</v>
      </c>
      <c r="CH8" s="74">
        <f t="shared" si="7"/>
        <v>48700</v>
      </c>
      <c r="CI8" s="74">
        <f t="shared" si="7"/>
        <v>48731</v>
      </c>
      <c r="CJ8" s="74">
        <f t="shared" si="7"/>
        <v>48761</v>
      </c>
      <c r="CK8" s="74">
        <f t="shared" si="7"/>
        <v>48792</v>
      </c>
      <c r="CL8" s="74">
        <f t="shared" si="7"/>
        <v>48823</v>
      </c>
      <c r="CM8" s="74">
        <f t="shared" si="7"/>
        <v>48853</v>
      </c>
      <c r="CN8" s="74">
        <f t="shared" si="7"/>
        <v>48884</v>
      </c>
      <c r="CO8" s="74">
        <f t="shared" si="7"/>
        <v>48914</v>
      </c>
      <c r="CP8" s="74">
        <f t="shared" si="7"/>
        <v>48945</v>
      </c>
      <c r="CQ8" s="74">
        <f t="shared" si="7"/>
        <v>48976</v>
      </c>
      <c r="CR8" s="74">
        <f t="shared" si="7"/>
        <v>49004</v>
      </c>
      <c r="CS8" s="74">
        <f t="shared" si="7"/>
        <v>49035</v>
      </c>
      <c r="CT8" s="74">
        <f t="shared" si="7"/>
        <v>49065</v>
      </c>
      <c r="CU8" s="74">
        <f t="shared" si="7"/>
        <v>49096</v>
      </c>
      <c r="CV8" s="74">
        <f t="shared" si="7"/>
        <v>49126</v>
      </c>
      <c r="CW8" s="74">
        <f t="shared" si="7"/>
        <v>49157</v>
      </c>
      <c r="CX8" s="74">
        <f t="shared" si="7"/>
        <v>49188</v>
      </c>
      <c r="CY8" s="74">
        <f t="shared" si="7"/>
        <v>49218</v>
      </c>
      <c r="CZ8" s="74">
        <f t="shared" si="7"/>
        <v>49249</v>
      </c>
      <c r="DA8" s="74">
        <f t="shared" si="7"/>
        <v>49279</v>
      </c>
      <c r="DB8" s="74">
        <f t="shared" si="7"/>
        <v>49310</v>
      </c>
      <c r="DC8" s="74">
        <f t="shared" si="7"/>
        <v>49341</v>
      </c>
      <c r="DD8" s="74">
        <f t="shared" si="7"/>
        <v>49369</v>
      </c>
      <c r="DE8" s="74">
        <f t="shared" si="7"/>
        <v>49400</v>
      </c>
      <c r="DF8" s="74">
        <f t="shared" si="7"/>
        <v>49430</v>
      </c>
      <c r="DG8" s="74">
        <f t="shared" si="7"/>
        <v>49461</v>
      </c>
      <c r="DH8" s="74">
        <f t="shared" si="7"/>
        <v>49491</v>
      </c>
      <c r="DI8" s="74">
        <f t="shared" si="7"/>
        <v>49522</v>
      </c>
      <c r="DJ8" s="74">
        <f t="shared" si="7"/>
        <v>49553</v>
      </c>
      <c r="DK8" s="74">
        <f t="shared" si="7"/>
        <v>49583</v>
      </c>
      <c r="DL8" s="74">
        <f t="shared" si="7"/>
        <v>49614</v>
      </c>
      <c r="DM8" s="74">
        <f t="shared" si="7"/>
        <v>49644</v>
      </c>
      <c r="DN8" s="74">
        <f t="shared" si="7"/>
        <v>49675</v>
      </c>
      <c r="DO8" s="74">
        <f t="shared" si="7"/>
        <v>49706</v>
      </c>
      <c r="DP8" s="74">
        <f t="shared" si="7"/>
        <v>49735</v>
      </c>
      <c r="DQ8" s="74">
        <f t="shared" si="7"/>
        <v>49766</v>
      </c>
      <c r="DR8" s="74">
        <f t="shared" si="7"/>
        <v>49796</v>
      </c>
      <c r="DS8" s="74">
        <f t="shared" si="7"/>
        <v>49827</v>
      </c>
      <c r="DT8" s="74">
        <f t="shared" si="7"/>
        <v>49857</v>
      </c>
      <c r="DU8" s="74">
        <f t="shared" si="7"/>
        <v>49888</v>
      </c>
      <c r="DV8" s="74">
        <f t="shared" si="7"/>
        <v>49919</v>
      </c>
      <c r="DW8" s="74">
        <f t="shared" si="7"/>
        <v>49949</v>
      </c>
      <c r="DX8" s="74">
        <f t="shared" si="7"/>
        <v>49980</v>
      </c>
      <c r="DY8" s="74">
        <f t="shared" si="7"/>
        <v>50010</v>
      </c>
      <c r="DZ8" s="74">
        <f t="shared" si="7"/>
        <v>50041</v>
      </c>
      <c r="EA8" s="74">
        <f t="shared" si="7"/>
        <v>50072</v>
      </c>
      <c r="EB8" s="74">
        <f t="shared" si="7"/>
        <v>50100</v>
      </c>
      <c r="EC8" s="74">
        <f t="shared" si="7"/>
        <v>50131</v>
      </c>
      <c r="ED8" s="74">
        <f t="shared" si="7"/>
        <v>50161</v>
      </c>
      <c r="EE8" s="74">
        <f t="shared" si="7"/>
        <v>50192</v>
      </c>
      <c r="EF8" s="74">
        <f t="shared" ref="EF8:GQ8" si="8">EDATE(EE8,1)</f>
        <v>50222</v>
      </c>
      <c r="EG8" s="74">
        <f t="shared" si="8"/>
        <v>50253</v>
      </c>
      <c r="EH8" s="74">
        <f t="shared" si="8"/>
        <v>50284</v>
      </c>
      <c r="EI8" s="74">
        <f t="shared" si="8"/>
        <v>50314</v>
      </c>
      <c r="EJ8" s="74">
        <f t="shared" si="8"/>
        <v>50345</v>
      </c>
      <c r="EK8" s="74">
        <f t="shared" si="8"/>
        <v>50375</v>
      </c>
      <c r="EL8" s="74">
        <f t="shared" si="8"/>
        <v>50406</v>
      </c>
      <c r="EM8" s="74">
        <f t="shared" si="8"/>
        <v>50437</v>
      </c>
      <c r="EN8" s="74">
        <f t="shared" si="8"/>
        <v>50465</v>
      </c>
      <c r="EO8" s="74">
        <f t="shared" si="8"/>
        <v>50496</v>
      </c>
      <c r="EP8" s="74">
        <f t="shared" si="8"/>
        <v>50526</v>
      </c>
      <c r="EQ8" s="74">
        <f t="shared" si="8"/>
        <v>50557</v>
      </c>
      <c r="ER8" s="74">
        <f t="shared" si="8"/>
        <v>50587</v>
      </c>
      <c r="ES8" s="74">
        <f t="shared" si="8"/>
        <v>50618</v>
      </c>
      <c r="ET8" s="74">
        <f t="shared" si="8"/>
        <v>50649</v>
      </c>
      <c r="EU8" s="74">
        <f t="shared" si="8"/>
        <v>50679</v>
      </c>
      <c r="EV8" s="74">
        <f t="shared" si="8"/>
        <v>50710</v>
      </c>
      <c r="EW8" s="74">
        <f t="shared" si="8"/>
        <v>50740</v>
      </c>
      <c r="EX8" s="74">
        <f t="shared" si="8"/>
        <v>50771</v>
      </c>
      <c r="EY8" s="74">
        <f t="shared" si="8"/>
        <v>50802</v>
      </c>
      <c r="EZ8" s="74">
        <f t="shared" si="8"/>
        <v>50830</v>
      </c>
      <c r="FA8" s="74">
        <f t="shared" si="8"/>
        <v>50861</v>
      </c>
      <c r="FB8" s="74">
        <f t="shared" si="8"/>
        <v>50891</v>
      </c>
      <c r="FC8" s="74">
        <f t="shared" si="8"/>
        <v>50922</v>
      </c>
      <c r="FD8" s="74">
        <f t="shared" si="8"/>
        <v>50952</v>
      </c>
      <c r="FE8" s="74">
        <f t="shared" si="8"/>
        <v>50983</v>
      </c>
      <c r="FF8" s="74">
        <f t="shared" si="8"/>
        <v>51014</v>
      </c>
      <c r="FG8" s="74">
        <f t="shared" si="8"/>
        <v>51044</v>
      </c>
      <c r="FH8" s="74">
        <f t="shared" si="8"/>
        <v>51075</v>
      </c>
      <c r="FI8" s="74">
        <f t="shared" si="8"/>
        <v>51105</v>
      </c>
      <c r="FJ8" s="74">
        <f t="shared" si="8"/>
        <v>51136</v>
      </c>
      <c r="FK8" s="74">
        <f t="shared" si="8"/>
        <v>51167</v>
      </c>
      <c r="FL8" s="74">
        <f t="shared" si="8"/>
        <v>51196</v>
      </c>
      <c r="FM8" s="74">
        <f t="shared" si="8"/>
        <v>51227</v>
      </c>
      <c r="FN8" s="74">
        <f t="shared" si="8"/>
        <v>51257</v>
      </c>
      <c r="FO8" s="74">
        <f t="shared" si="8"/>
        <v>51288</v>
      </c>
      <c r="FP8" s="74">
        <f t="shared" si="8"/>
        <v>51318</v>
      </c>
      <c r="FQ8" s="74">
        <f t="shared" si="8"/>
        <v>51349</v>
      </c>
      <c r="FR8" s="74">
        <f t="shared" si="8"/>
        <v>51380</v>
      </c>
      <c r="FS8" s="74">
        <f t="shared" si="8"/>
        <v>51410</v>
      </c>
      <c r="FT8" s="74">
        <f t="shared" si="8"/>
        <v>51441</v>
      </c>
      <c r="FU8" s="74">
        <f t="shared" si="8"/>
        <v>51471</v>
      </c>
      <c r="FV8" s="74">
        <f t="shared" si="8"/>
        <v>51502</v>
      </c>
      <c r="FW8" s="74">
        <f t="shared" si="8"/>
        <v>51533</v>
      </c>
      <c r="FX8" s="74">
        <f t="shared" si="8"/>
        <v>51561</v>
      </c>
      <c r="FY8" s="74">
        <f t="shared" si="8"/>
        <v>51592</v>
      </c>
      <c r="FZ8" s="74">
        <f t="shared" si="8"/>
        <v>51622</v>
      </c>
      <c r="GA8" s="74">
        <f t="shared" si="8"/>
        <v>51653</v>
      </c>
      <c r="GB8" s="74">
        <f t="shared" si="8"/>
        <v>51683</v>
      </c>
      <c r="GC8" s="74">
        <f t="shared" si="8"/>
        <v>51714</v>
      </c>
      <c r="GD8" s="74">
        <f t="shared" si="8"/>
        <v>51745</v>
      </c>
      <c r="GE8" s="74">
        <f t="shared" si="8"/>
        <v>51775</v>
      </c>
      <c r="GF8" s="74">
        <f t="shared" si="8"/>
        <v>51806</v>
      </c>
      <c r="GG8" s="74">
        <f t="shared" si="8"/>
        <v>51836</v>
      </c>
      <c r="GH8" s="74">
        <f t="shared" si="8"/>
        <v>51867</v>
      </c>
      <c r="GI8" s="74">
        <f t="shared" si="8"/>
        <v>51898</v>
      </c>
      <c r="GJ8" s="74">
        <f t="shared" si="8"/>
        <v>51926</v>
      </c>
      <c r="GK8" s="74">
        <f t="shared" si="8"/>
        <v>51957</v>
      </c>
      <c r="GL8" s="74">
        <f t="shared" si="8"/>
        <v>51987</v>
      </c>
      <c r="GM8" s="74">
        <f t="shared" si="8"/>
        <v>52018</v>
      </c>
      <c r="GN8" s="74">
        <f t="shared" si="8"/>
        <v>52048</v>
      </c>
      <c r="GO8" s="74">
        <f t="shared" si="8"/>
        <v>52079</v>
      </c>
      <c r="GP8" s="74">
        <f t="shared" si="8"/>
        <v>52110</v>
      </c>
      <c r="GQ8" s="74">
        <f t="shared" si="8"/>
        <v>52140</v>
      </c>
      <c r="GR8" s="74">
        <f t="shared" ref="GR8:JC8" si="9">EDATE(GQ8,1)</f>
        <v>52171</v>
      </c>
      <c r="GS8" s="74">
        <f t="shared" si="9"/>
        <v>52201</v>
      </c>
      <c r="GT8" s="74">
        <f t="shared" si="9"/>
        <v>52232</v>
      </c>
      <c r="GU8" s="74">
        <f t="shared" si="9"/>
        <v>52263</v>
      </c>
      <c r="GV8" s="74">
        <f t="shared" si="9"/>
        <v>52291</v>
      </c>
      <c r="GW8" s="74">
        <f t="shared" si="9"/>
        <v>52322</v>
      </c>
      <c r="GX8" s="74">
        <f t="shared" si="9"/>
        <v>52352</v>
      </c>
      <c r="GY8" s="74">
        <f t="shared" si="9"/>
        <v>52383</v>
      </c>
      <c r="GZ8" s="74">
        <f t="shared" si="9"/>
        <v>52413</v>
      </c>
      <c r="HA8" s="74">
        <f t="shared" si="9"/>
        <v>52444</v>
      </c>
      <c r="HB8" s="74">
        <f t="shared" si="9"/>
        <v>52475</v>
      </c>
      <c r="HC8" s="74">
        <f t="shared" si="9"/>
        <v>52505</v>
      </c>
      <c r="HD8" s="74">
        <f t="shared" si="9"/>
        <v>52536</v>
      </c>
      <c r="HE8" s="74">
        <f t="shared" si="9"/>
        <v>52566</v>
      </c>
      <c r="HF8" s="74">
        <f t="shared" si="9"/>
        <v>52597</v>
      </c>
      <c r="HG8" s="74">
        <f t="shared" si="9"/>
        <v>52628</v>
      </c>
      <c r="HH8" s="74">
        <f t="shared" si="9"/>
        <v>52657</v>
      </c>
      <c r="HI8" s="74">
        <f t="shared" si="9"/>
        <v>52688</v>
      </c>
      <c r="HJ8" s="74">
        <f t="shared" si="9"/>
        <v>52718</v>
      </c>
      <c r="HK8" s="74">
        <f t="shared" si="9"/>
        <v>52749</v>
      </c>
      <c r="HL8" s="74">
        <f t="shared" si="9"/>
        <v>52779</v>
      </c>
      <c r="HM8" s="74">
        <f t="shared" si="9"/>
        <v>52810</v>
      </c>
      <c r="HN8" s="74">
        <f t="shared" si="9"/>
        <v>52841</v>
      </c>
      <c r="HO8" s="74">
        <f t="shared" si="9"/>
        <v>52871</v>
      </c>
      <c r="HP8" s="74">
        <f t="shared" si="9"/>
        <v>52902</v>
      </c>
      <c r="HQ8" s="74">
        <f t="shared" si="9"/>
        <v>52932</v>
      </c>
      <c r="HR8" s="74">
        <f t="shared" si="9"/>
        <v>52963</v>
      </c>
      <c r="HS8" s="74">
        <f t="shared" si="9"/>
        <v>52994</v>
      </c>
      <c r="HT8" s="74">
        <f t="shared" si="9"/>
        <v>53022</v>
      </c>
      <c r="HU8" s="74">
        <f t="shared" si="9"/>
        <v>53053</v>
      </c>
      <c r="HV8" s="74">
        <f t="shared" si="9"/>
        <v>53083</v>
      </c>
      <c r="HW8" s="74">
        <f t="shared" si="9"/>
        <v>53114</v>
      </c>
      <c r="HX8" s="74">
        <f t="shared" si="9"/>
        <v>53144</v>
      </c>
      <c r="HY8" s="74">
        <f t="shared" si="9"/>
        <v>53175</v>
      </c>
      <c r="HZ8" s="74">
        <f t="shared" si="9"/>
        <v>53206</v>
      </c>
      <c r="IA8" s="74">
        <f t="shared" si="9"/>
        <v>53236</v>
      </c>
      <c r="IB8" s="74">
        <f t="shared" si="9"/>
        <v>53267</v>
      </c>
      <c r="IC8" s="74">
        <f t="shared" si="9"/>
        <v>53297</v>
      </c>
      <c r="ID8" s="74">
        <f t="shared" si="9"/>
        <v>53328</v>
      </c>
      <c r="IE8" s="74">
        <f t="shared" si="9"/>
        <v>53359</v>
      </c>
      <c r="IF8" s="74">
        <f t="shared" si="9"/>
        <v>53387</v>
      </c>
      <c r="IG8" s="74">
        <f t="shared" si="9"/>
        <v>53418</v>
      </c>
      <c r="IH8" s="74">
        <f t="shared" si="9"/>
        <v>53448</v>
      </c>
      <c r="II8" s="74">
        <f t="shared" si="9"/>
        <v>53479</v>
      </c>
      <c r="IJ8" s="74">
        <f t="shared" si="9"/>
        <v>53509</v>
      </c>
      <c r="IK8" s="74">
        <f t="shared" si="9"/>
        <v>53540</v>
      </c>
      <c r="IL8" s="74">
        <f t="shared" si="9"/>
        <v>53571</v>
      </c>
      <c r="IM8" s="74">
        <f t="shared" si="9"/>
        <v>53601</v>
      </c>
      <c r="IN8" s="74">
        <f t="shared" si="9"/>
        <v>53632</v>
      </c>
      <c r="IO8" s="74">
        <f t="shared" si="9"/>
        <v>53662</v>
      </c>
      <c r="IP8" s="74">
        <f t="shared" si="9"/>
        <v>53693</v>
      </c>
      <c r="IQ8" s="74">
        <f t="shared" si="9"/>
        <v>53724</v>
      </c>
      <c r="IR8" s="74">
        <f t="shared" si="9"/>
        <v>53752</v>
      </c>
      <c r="IS8" s="74">
        <f t="shared" si="9"/>
        <v>53783</v>
      </c>
      <c r="IT8" s="74">
        <f t="shared" si="9"/>
        <v>53813</v>
      </c>
      <c r="IU8" s="74">
        <f t="shared" si="9"/>
        <v>53844</v>
      </c>
      <c r="IV8" s="74">
        <f t="shared" si="9"/>
        <v>53874</v>
      </c>
      <c r="IW8" s="74">
        <f t="shared" si="9"/>
        <v>53905</v>
      </c>
      <c r="IX8" s="74">
        <f t="shared" si="9"/>
        <v>53936</v>
      </c>
      <c r="IY8" s="74">
        <f t="shared" si="9"/>
        <v>53966</v>
      </c>
      <c r="IZ8" s="74">
        <f t="shared" si="9"/>
        <v>53997</v>
      </c>
      <c r="JA8" s="74">
        <f t="shared" si="9"/>
        <v>54027</v>
      </c>
      <c r="JB8" s="74">
        <f t="shared" si="9"/>
        <v>54058</v>
      </c>
      <c r="JC8" s="74">
        <f t="shared" si="9"/>
        <v>54089</v>
      </c>
      <c r="JD8" s="74">
        <f t="shared" ref="JD8:LO8" si="10">EDATE(JC8,1)</f>
        <v>54118</v>
      </c>
      <c r="JE8" s="74">
        <f t="shared" si="10"/>
        <v>54149</v>
      </c>
      <c r="JF8" s="74">
        <f t="shared" si="10"/>
        <v>54179</v>
      </c>
      <c r="JG8" s="74">
        <f t="shared" si="10"/>
        <v>54210</v>
      </c>
      <c r="JH8" s="74">
        <f t="shared" si="10"/>
        <v>54240</v>
      </c>
      <c r="JI8" s="74">
        <f t="shared" si="10"/>
        <v>54271</v>
      </c>
      <c r="JJ8" s="74">
        <f t="shared" si="10"/>
        <v>54302</v>
      </c>
      <c r="JK8" s="74">
        <f t="shared" si="10"/>
        <v>54332</v>
      </c>
      <c r="JL8" s="74">
        <f t="shared" si="10"/>
        <v>54363</v>
      </c>
      <c r="JM8" s="74">
        <f t="shared" si="10"/>
        <v>54393</v>
      </c>
      <c r="JN8" s="74">
        <f t="shared" si="10"/>
        <v>54424</v>
      </c>
      <c r="JO8" s="74">
        <f t="shared" si="10"/>
        <v>54455</v>
      </c>
      <c r="JP8" s="74">
        <f t="shared" si="10"/>
        <v>54483</v>
      </c>
      <c r="JQ8" s="74">
        <f t="shared" si="10"/>
        <v>54514</v>
      </c>
      <c r="JR8" s="74">
        <f t="shared" si="10"/>
        <v>54544</v>
      </c>
      <c r="JS8" s="74">
        <f t="shared" si="10"/>
        <v>54575</v>
      </c>
      <c r="JT8" s="74">
        <f t="shared" si="10"/>
        <v>54605</v>
      </c>
      <c r="JU8" s="74">
        <f t="shared" si="10"/>
        <v>54636</v>
      </c>
      <c r="JV8" s="74">
        <f t="shared" si="10"/>
        <v>54667</v>
      </c>
      <c r="JW8" s="74">
        <f t="shared" si="10"/>
        <v>54697</v>
      </c>
      <c r="JX8" s="74">
        <f t="shared" si="10"/>
        <v>54728</v>
      </c>
      <c r="JY8" s="74">
        <f t="shared" si="10"/>
        <v>54758</v>
      </c>
      <c r="JZ8" s="74">
        <f t="shared" si="10"/>
        <v>54789</v>
      </c>
      <c r="KA8" s="74">
        <f t="shared" si="10"/>
        <v>54820</v>
      </c>
      <c r="KB8" s="74">
        <f t="shared" si="10"/>
        <v>54848</v>
      </c>
      <c r="KC8" s="74">
        <f t="shared" si="10"/>
        <v>54879</v>
      </c>
      <c r="KD8" s="74">
        <f t="shared" si="10"/>
        <v>54909</v>
      </c>
      <c r="KE8" s="74">
        <f t="shared" si="10"/>
        <v>54940</v>
      </c>
      <c r="KF8" s="74">
        <f t="shared" si="10"/>
        <v>54970</v>
      </c>
      <c r="KG8" s="74">
        <f t="shared" si="10"/>
        <v>55001</v>
      </c>
      <c r="KH8" s="74">
        <f t="shared" si="10"/>
        <v>55032</v>
      </c>
      <c r="KI8" s="74">
        <f t="shared" si="10"/>
        <v>55062</v>
      </c>
      <c r="KJ8" s="74">
        <f t="shared" si="10"/>
        <v>55093</v>
      </c>
      <c r="KK8" s="74">
        <f t="shared" si="10"/>
        <v>55123</v>
      </c>
      <c r="KL8" s="74">
        <f t="shared" si="10"/>
        <v>55154</v>
      </c>
      <c r="KM8" s="74">
        <f t="shared" si="10"/>
        <v>55185</v>
      </c>
      <c r="KN8" s="74">
        <f t="shared" si="10"/>
        <v>55213</v>
      </c>
      <c r="KO8" s="74">
        <f t="shared" si="10"/>
        <v>55244</v>
      </c>
      <c r="KP8" s="74">
        <f t="shared" si="10"/>
        <v>55274</v>
      </c>
      <c r="KQ8" s="74">
        <f t="shared" si="10"/>
        <v>55305</v>
      </c>
      <c r="KR8" s="74">
        <f t="shared" si="10"/>
        <v>55335</v>
      </c>
      <c r="KS8" s="74">
        <f t="shared" si="10"/>
        <v>55366</v>
      </c>
      <c r="KT8" s="74">
        <f t="shared" si="10"/>
        <v>55397</v>
      </c>
      <c r="KU8" s="74">
        <f t="shared" si="10"/>
        <v>55427</v>
      </c>
      <c r="KV8" s="74">
        <f t="shared" si="10"/>
        <v>55458</v>
      </c>
      <c r="KW8" s="74">
        <f t="shared" si="10"/>
        <v>55488</v>
      </c>
      <c r="KX8" s="74">
        <f t="shared" si="10"/>
        <v>55519</v>
      </c>
      <c r="KY8" s="74">
        <f t="shared" si="10"/>
        <v>55550</v>
      </c>
      <c r="KZ8" s="74">
        <f t="shared" si="10"/>
        <v>55579</v>
      </c>
      <c r="LA8" s="74">
        <f t="shared" si="10"/>
        <v>55610</v>
      </c>
      <c r="LB8" s="74">
        <f t="shared" si="10"/>
        <v>55640</v>
      </c>
      <c r="LC8" s="74">
        <f t="shared" si="10"/>
        <v>55671</v>
      </c>
      <c r="LD8" s="74">
        <f t="shared" si="10"/>
        <v>55701</v>
      </c>
      <c r="LE8" s="74">
        <f t="shared" si="10"/>
        <v>55732</v>
      </c>
      <c r="LF8" s="74">
        <f t="shared" si="10"/>
        <v>55763</v>
      </c>
      <c r="LG8" s="74">
        <f t="shared" si="10"/>
        <v>55793</v>
      </c>
      <c r="LH8" s="74">
        <f t="shared" si="10"/>
        <v>55824</v>
      </c>
      <c r="LI8" s="74">
        <f t="shared" si="10"/>
        <v>55854</v>
      </c>
      <c r="LJ8" s="74">
        <f t="shared" si="10"/>
        <v>55885</v>
      </c>
      <c r="LK8" s="74">
        <f t="shared" si="10"/>
        <v>55916</v>
      </c>
      <c r="LL8" s="74">
        <f t="shared" si="10"/>
        <v>55944</v>
      </c>
      <c r="LM8" s="74">
        <f t="shared" si="10"/>
        <v>55975</v>
      </c>
      <c r="LN8" s="74">
        <f t="shared" si="10"/>
        <v>56005</v>
      </c>
      <c r="LO8" s="74">
        <f t="shared" si="10"/>
        <v>56036</v>
      </c>
      <c r="LP8" s="74">
        <f t="shared" ref="LP8:NB8" si="11">EDATE(LO8,1)</f>
        <v>56066</v>
      </c>
      <c r="LQ8" s="74">
        <f t="shared" si="11"/>
        <v>56097</v>
      </c>
      <c r="LR8" s="74">
        <f t="shared" si="11"/>
        <v>56128</v>
      </c>
      <c r="LS8" s="74">
        <f t="shared" si="11"/>
        <v>56158</v>
      </c>
      <c r="LT8" s="74">
        <f t="shared" si="11"/>
        <v>56189</v>
      </c>
      <c r="LU8" s="74">
        <f t="shared" si="11"/>
        <v>56219</v>
      </c>
      <c r="LV8" s="74">
        <f t="shared" si="11"/>
        <v>56250</v>
      </c>
      <c r="LW8" s="74">
        <f t="shared" si="11"/>
        <v>56281</v>
      </c>
      <c r="LX8" s="74">
        <f t="shared" si="11"/>
        <v>56309</v>
      </c>
      <c r="LY8" s="74">
        <f t="shared" si="11"/>
        <v>56340</v>
      </c>
      <c r="LZ8" s="74">
        <f t="shared" si="11"/>
        <v>56370</v>
      </c>
      <c r="MA8" s="74">
        <f t="shared" si="11"/>
        <v>56401</v>
      </c>
      <c r="MB8" s="74">
        <f t="shared" si="11"/>
        <v>56431</v>
      </c>
      <c r="MC8" s="74">
        <f t="shared" si="11"/>
        <v>56462</v>
      </c>
      <c r="MD8" s="74">
        <f t="shared" si="11"/>
        <v>56493</v>
      </c>
      <c r="ME8" s="74">
        <f t="shared" si="11"/>
        <v>56523</v>
      </c>
      <c r="MF8" s="74">
        <f t="shared" si="11"/>
        <v>56554</v>
      </c>
      <c r="MG8" s="74">
        <f t="shared" si="11"/>
        <v>56584</v>
      </c>
      <c r="MH8" s="74">
        <f t="shared" si="11"/>
        <v>56615</v>
      </c>
      <c r="MI8" s="74">
        <f t="shared" si="11"/>
        <v>56646</v>
      </c>
      <c r="MJ8" s="74">
        <f t="shared" si="11"/>
        <v>56674</v>
      </c>
      <c r="MK8" s="74">
        <f t="shared" si="11"/>
        <v>56705</v>
      </c>
      <c r="ML8" s="74">
        <f t="shared" si="11"/>
        <v>56735</v>
      </c>
      <c r="MM8" s="74">
        <f t="shared" si="11"/>
        <v>56766</v>
      </c>
      <c r="MN8" s="74">
        <f t="shared" si="11"/>
        <v>56796</v>
      </c>
      <c r="MO8" s="74">
        <f t="shared" si="11"/>
        <v>56827</v>
      </c>
      <c r="MP8" s="74">
        <f t="shared" si="11"/>
        <v>56858</v>
      </c>
      <c r="MQ8" s="74">
        <f t="shared" si="11"/>
        <v>56888</v>
      </c>
      <c r="MR8" s="74">
        <f t="shared" si="11"/>
        <v>56919</v>
      </c>
      <c r="MS8" s="74">
        <f t="shared" si="11"/>
        <v>56949</v>
      </c>
      <c r="MT8" s="74">
        <f t="shared" si="11"/>
        <v>56980</v>
      </c>
      <c r="MU8" s="74">
        <f t="shared" si="11"/>
        <v>57011</v>
      </c>
      <c r="MV8" s="74">
        <f t="shared" si="11"/>
        <v>57040</v>
      </c>
      <c r="MW8" s="74">
        <f t="shared" si="11"/>
        <v>57071</v>
      </c>
      <c r="MX8" s="74">
        <f t="shared" si="11"/>
        <v>57101</v>
      </c>
      <c r="MY8" s="74">
        <f t="shared" si="11"/>
        <v>57132</v>
      </c>
      <c r="MZ8" s="74">
        <f t="shared" si="11"/>
        <v>57162</v>
      </c>
      <c r="NA8" s="74">
        <f t="shared" si="11"/>
        <v>57193</v>
      </c>
      <c r="NB8" s="74">
        <f t="shared" si="11"/>
        <v>57224</v>
      </c>
    </row>
    <row r="10" spans="1:366" s="7" customFormat="1" x14ac:dyDescent="0.15">
      <c r="A10"/>
      <c r="B10" t="s">
        <v>66</v>
      </c>
      <c r="C10"/>
      <c r="D10"/>
      <c r="E10" s="12"/>
      <c r="F10" s="7">
        <f>IF(F$7&lt;&gt;" ",IF(F$7&lt;&gt;0,1,0),"")</f>
        <v>0</v>
      </c>
      <c r="G10" s="7">
        <f t="shared" ref="G10:BR10" si="12">IF(G$7&lt;&gt;" ",IF(G$7&lt;&gt;0,1,0),"")</f>
        <v>1</v>
      </c>
      <c r="H10" s="7">
        <f t="shared" si="12"/>
        <v>1</v>
      </c>
      <c r="I10" s="7">
        <f t="shared" si="12"/>
        <v>1</v>
      </c>
      <c r="J10" s="7">
        <f t="shared" si="12"/>
        <v>1</v>
      </c>
      <c r="K10" s="7">
        <f t="shared" si="12"/>
        <v>1</v>
      </c>
      <c r="L10" s="559">
        <f t="shared" si="12"/>
        <v>1</v>
      </c>
      <c r="M10" s="7">
        <f t="shared" si="12"/>
        <v>1</v>
      </c>
      <c r="N10" s="7">
        <f t="shared" si="12"/>
        <v>1</v>
      </c>
      <c r="O10" s="7">
        <f t="shared" si="12"/>
        <v>1</v>
      </c>
      <c r="P10" s="7">
        <f t="shared" si="12"/>
        <v>1</v>
      </c>
      <c r="Q10" s="7">
        <f t="shared" si="12"/>
        <v>1</v>
      </c>
      <c r="R10" s="7">
        <f t="shared" si="12"/>
        <v>1</v>
      </c>
      <c r="S10" s="7">
        <f t="shared" si="12"/>
        <v>1</v>
      </c>
      <c r="T10" s="7">
        <f t="shared" si="12"/>
        <v>1</v>
      </c>
      <c r="U10" s="7">
        <f t="shared" si="12"/>
        <v>1</v>
      </c>
      <c r="V10" s="7">
        <f t="shared" si="12"/>
        <v>1</v>
      </c>
      <c r="W10" s="7">
        <f t="shared" si="12"/>
        <v>1</v>
      </c>
      <c r="X10" s="7">
        <f t="shared" si="12"/>
        <v>1</v>
      </c>
      <c r="Y10" s="7">
        <f t="shared" si="12"/>
        <v>1</v>
      </c>
      <c r="Z10" s="7">
        <f t="shared" si="12"/>
        <v>1</v>
      </c>
      <c r="AA10" s="7">
        <f t="shared" si="12"/>
        <v>1</v>
      </c>
      <c r="AB10" s="7">
        <f t="shared" si="12"/>
        <v>1</v>
      </c>
      <c r="AC10" s="7">
        <f t="shared" si="12"/>
        <v>1</v>
      </c>
      <c r="AD10" s="570">
        <f t="shared" si="12"/>
        <v>1</v>
      </c>
      <c r="AE10" s="7">
        <f t="shared" si="12"/>
        <v>1</v>
      </c>
      <c r="AF10" s="7">
        <f t="shared" si="12"/>
        <v>1</v>
      </c>
      <c r="AG10" s="7">
        <f t="shared" si="12"/>
        <v>1</v>
      </c>
      <c r="AH10" s="7">
        <f t="shared" si="12"/>
        <v>1</v>
      </c>
      <c r="AI10" s="7">
        <f t="shared" si="12"/>
        <v>1</v>
      </c>
      <c r="AJ10" s="7">
        <f t="shared" si="12"/>
        <v>1</v>
      </c>
      <c r="AK10" s="7">
        <f t="shared" si="12"/>
        <v>1</v>
      </c>
      <c r="AL10" s="7">
        <f t="shared" si="12"/>
        <v>1</v>
      </c>
      <c r="AM10" s="7">
        <f t="shared" si="12"/>
        <v>1</v>
      </c>
      <c r="AN10" s="7">
        <f t="shared" si="12"/>
        <v>1</v>
      </c>
      <c r="AO10" s="7">
        <f t="shared" si="12"/>
        <v>1</v>
      </c>
      <c r="AP10" s="7">
        <f t="shared" si="12"/>
        <v>1</v>
      </c>
      <c r="AQ10" s="7">
        <f t="shared" si="12"/>
        <v>1</v>
      </c>
      <c r="AR10" s="7">
        <f t="shared" si="12"/>
        <v>1</v>
      </c>
      <c r="AS10" s="7">
        <f t="shared" si="12"/>
        <v>1</v>
      </c>
      <c r="AT10" s="7">
        <f t="shared" si="12"/>
        <v>1</v>
      </c>
      <c r="AU10" s="7">
        <f t="shared" si="12"/>
        <v>1</v>
      </c>
      <c r="AV10" s="7">
        <f t="shared" si="12"/>
        <v>1</v>
      </c>
      <c r="AW10" s="7">
        <f t="shared" si="12"/>
        <v>1</v>
      </c>
      <c r="AX10" s="7">
        <f t="shared" si="12"/>
        <v>1</v>
      </c>
      <c r="AY10" s="7">
        <f t="shared" si="12"/>
        <v>1</v>
      </c>
      <c r="AZ10" s="7">
        <f t="shared" si="12"/>
        <v>1</v>
      </c>
      <c r="BA10" s="7">
        <f t="shared" si="12"/>
        <v>1</v>
      </c>
      <c r="BB10" s="7">
        <f t="shared" si="12"/>
        <v>1</v>
      </c>
      <c r="BC10" s="7">
        <f t="shared" si="12"/>
        <v>1</v>
      </c>
      <c r="BD10" s="7">
        <f t="shared" si="12"/>
        <v>1</v>
      </c>
      <c r="BE10" s="7">
        <f t="shared" si="12"/>
        <v>1</v>
      </c>
      <c r="BF10" s="7">
        <f t="shared" si="12"/>
        <v>1</v>
      </c>
      <c r="BG10" s="7">
        <f t="shared" si="12"/>
        <v>1</v>
      </c>
      <c r="BH10" s="7">
        <f t="shared" si="12"/>
        <v>1</v>
      </c>
      <c r="BI10" s="7">
        <f t="shared" si="12"/>
        <v>1</v>
      </c>
      <c r="BJ10" s="7">
        <f t="shared" si="12"/>
        <v>1</v>
      </c>
      <c r="BK10" s="7">
        <f t="shared" si="12"/>
        <v>1</v>
      </c>
      <c r="BL10" s="7">
        <f t="shared" si="12"/>
        <v>1</v>
      </c>
      <c r="BM10" s="7">
        <f t="shared" si="12"/>
        <v>1</v>
      </c>
      <c r="BN10" s="7">
        <f t="shared" si="12"/>
        <v>1</v>
      </c>
      <c r="BO10" s="7">
        <f t="shared" si="12"/>
        <v>1</v>
      </c>
      <c r="BP10" s="7">
        <f t="shared" si="12"/>
        <v>1</v>
      </c>
      <c r="BQ10" s="7">
        <f t="shared" si="12"/>
        <v>1</v>
      </c>
      <c r="BR10" s="7">
        <f t="shared" si="12"/>
        <v>1</v>
      </c>
      <c r="BS10" s="7">
        <f t="shared" ref="BS10:ED10" si="13">IF(BS$7&lt;&gt;" ",IF(BS$7&lt;&gt;0,1,0),"")</f>
        <v>1</v>
      </c>
      <c r="BT10" s="7">
        <f t="shared" si="13"/>
        <v>1</v>
      </c>
      <c r="BU10" s="7">
        <f t="shared" si="13"/>
        <v>1</v>
      </c>
      <c r="BV10" s="7">
        <f t="shared" si="13"/>
        <v>1</v>
      </c>
      <c r="BW10" s="7">
        <f t="shared" si="13"/>
        <v>1</v>
      </c>
      <c r="BX10" s="7">
        <f t="shared" si="13"/>
        <v>1</v>
      </c>
      <c r="BY10" s="7">
        <f t="shared" si="13"/>
        <v>1</v>
      </c>
      <c r="BZ10" s="7">
        <f t="shared" si="13"/>
        <v>1</v>
      </c>
      <c r="CA10" s="7">
        <f t="shared" si="13"/>
        <v>1</v>
      </c>
      <c r="CB10" s="7">
        <f t="shared" si="13"/>
        <v>1</v>
      </c>
      <c r="CC10" s="7">
        <f t="shared" si="13"/>
        <v>1</v>
      </c>
      <c r="CD10" s="7">
        <f t="shared" si="13"/>
        <v>1</v>
      </c>
      <c r="CE10" s="7">
        <f t="shared" si="13"/>
        <v>1</v>
      </c>
      <c r="CF10" s="7">
        <f t="shared" si="13"/>
        <v>1</v>
      </c>
      <c r="CG10" s="7">
        <f t="shared" si="13"/>
        <v>1</v>
      </c>
      <c r="CH10" s="7">
        <f t="shared" si="13"/>
        <v>1</v>
      </c>
      <c r="CI10" s="7">
        <f t="shared" si="13"/>
        <v>1</v>
      </c>
      <c r="CJ10" s="7">
        <f t="shared" si="13"/>
        <v>1</v>
      </c>
      <c r="CK10" s="7">
        <f t="shared" si="13"/>
        <v>1</v>
      </c>
      <c r="CL10" s="7">
        <f t="shared" si="13"/>
        <v>1</v>
      </c>
      <c r="CM10" s="7">
        <f t="shared" si="13"/>
        <v>1</v>
      </c>
      <c r="CN10" s="7">
        <f t="shared" si="13"/>
        <v>1</v>
      </c>
      <c r="CO10" s="7">
        <f t="shared" si="13"/>
        <v>1</v>
      </c>
      <c r="CP10" s="7">
        <f t="shared" si="13"/>
        <v>1</v>
      </c>
      <c r="CQ10" s="7">
        <f t="shared" si="13"/>
        <v>1</v>
      </c>
      <c r="CR10" s="7">
        <f t="shared" si="13"/>
        <v>1</v>
      </c>
      <c r="CS10" s="7">
        <f t="shared" si="13"/>
        <v>1</v>
      </c>
      <c r="CT10" s="7">
        <f t="shared" si="13"/>
        <v>1</v>
      </c>
      <c r="CU10" s="7">
        <f t="shared" si="13"/>
        <v>1</v>
      </c>
      <c r="CV10" s="7">
        <f t="shared" si="13"/>
        <v>1</v>
      </c>
      <c r="CW10" s="7">
        <f t="shared" si="13"/>
        <v>1</v>
      </c>
      <c r="CX10" s="7">
        <f t="shared" si="13"/>
        <v>1</v>
      </c>
      <c r="CY10" s="7">
        <f t="shared" si="13"/>
        <v>1</v>
      </c>
      <c r="CZ10" s="7">
        <f t="shared" si="13"/>
        <v>1</v>
      </c>
      <c r="DA10" s="7">
        <f t="shared" si="13"/>
        <v>1</v>
      </c>
      <c r="DB10" s="7">
        <f t="shared" si="13"/>
        <v>1</v>
      </c>
      <c r="DC10" s="7">
        <f t="shared" si="13"/>
        <v>1</v>
      </c>
      <c r="DD10" s="7">
        <f t="shared" si="13"/>
        <v>1</v>
      </c>
      <c r="DE10" s="7">
        <f t="shared" si="13"/>
        <v>1</v>
      </c>
      <c r="DF10" s="7">
        <f t="shared" si="13"/>
        <v>1</v>
      </c>
      <c r="DG10" s="7">
        <f t="shared" si="13"/>
        <v>1</v>
      </c>
      <c r="DH10" s="7">
        <f t="shared" si="13"/>
        <v>1</v>
      </c>
      <c r="DI10" s="7">
        <f t="shared" si="13"/>
        <v>1</v>
      </c>
      <c r="DJ10" s="7">
        <f t="shared" si="13"/>
        <v>1</v>
      </c>
      <c r="DK10" s="7">
        <f t="shared" si="13"/>
        <v>1</v>
      </c>
      <c r="DL10" s="7">
        <f t="shared" si="13"/>
        <v>1</v>
      </c>
      <c r="DM10" s="7">
        <f t="shared" si="13"/>
        <v>1</v>
      </c>
      <c r="DN10" s="7">
        <f t="shared" si="13"/>
        <v>1</v>
      </c>
      <c r="DO10" s="7">
        <f t="shared" si="13"/>
        <v>1</v>
      </c>
      <c r="DP10" s="7">
        <f t="shared" si="13"/>
        <v>1</v>
      </c>
      <c r="DQ10" s="7">
        <f t="shared" si="13"/>
        <v>1</v>
      </c>
      <c r="DR10" s="7">
        <f t="shared" si="13"/>
        <v>1</v>
      </c>
      <c r="DS10" s="7">
        <f t="shared" si="13"/>
        <v>1</v>
      </c>
      <c r="DT10" s="7">
        <f t="shared" si="13"/>
        <v>1</v>
      </c>
      <c r="DU10" s="7">
        <f t="shared" si="13"/>
        <v>1</v>
      </c>
      <c r="DV10" s="7">
        <f t="shared" si="13"/>
        <v>1</v>
      </c>
      <c r="DW10" s="7">
        <f t="shared" si="13"/>
        <v>1</v>
      </c>
      <c r="DX10" s="7">
        <f t="shared" si="13"/>
        <v>1</v>
      </c>
      <c r="DY10" s="7">
        <f t="shared" si="13"/>
        <v>1</v>
      </c>
      <c r="DZ10" s="7">
        <f t="shared" si="13"/>
        <v>1</v>
      </c>
      <c r="EA10" s="7">
        <f t="shared" si="13"/>
        <v>1</v>
      </c>
      <c r="EB10" s="7">
        <f t="shared" si="13"/>
        <v>1</v>
      </c>
      <c r="EC10" s="7">
        <f t="shared" si="13"/>
        <v>1</v>
      </c>
      <c r="ED10" s="7">
        <f t="shared" si="13"/>
        <v>1</v>
      </c>
      <c r="EE10" s="7">
        <f t="shared" ref="EE10:GP10" si="14">IF(EE$7&lt;&gt;" ",IF(EE$7&lt;&gt;0,1,0),"")</f>
        <v>1</v>
      </c>
      <c r="EF10" s="7">
        <f t="shared" si="14"/>
        <v>1</v>
      </c>
      <c r="EG10" s="7">
        <f t="shared" si="14"/>
        <v>1</v>
      </c>
      <c r="EH10" s="7">
        <f t="shared" si="14"/>
        <v>1</v>
      </c>
      <c r="EI10" s="7">
        <f t="shared" si="14"/>
        <v>1</v>
      </c>
      <c r="EJ10" s="7">
        <f t="shared" si="14"/>
        <v>1</v>
      </c>
      <c r="EK10" s="7">
        <f t="shared" si="14"/>
        <v>1</v>
      </c>
      <c r="EL10" s="7">
        <f t="shared" si="14"/>
        <v>1</v>
      </c>
      <c r="EM10" s="7">
        <f t="shared" si="14"/>
        <v>1</v>
      </c>
      <c r="EN10" s="7">
        <f t="shared" si="14"/>
        <v>1</v>
      </c>
      <c r="EO10" s="7">
        <f t="shared" si="14"/>
        <v>1</v>
      </c>
      <c r="EP10" s="7">
        <f t="shared" si="14"/>
        <v>1</v>
      </c>
      <c r="EQ10" s="7">
        <f t="shared" si="14"/>
        <v>1</v>
      </c>
      <c r="ER10" s="7">
        <f t="shared" si="14"/>
        <v>1</v>
      </c>
      <c r="ES10" s="7">
        <f t="shared" si="14"/>
        <v>1</v>
      </c>
      <c r="ET10" s="7">
        <f t="shared" si="14"/>
        <v>1</v>
      </c>
      <c r="EU10" s="7">
        <f t="shared" si="14"/>
        <v>1</v>
      </c>
      <c r="EV10" s="7">
        <f t="shared" si="14"/>
        <v>1</v>
      </c>
      <c r="EW10" s="7">
        <f t="shared" si="14"/>
        <v>1</v>
      </c>
      <c r="EX10" s="7">
        <f t="shared" si="14"/>
        <v>1</v>
      </c>
      <c r="EY10" s="7">
        <f t="shared" si="14"/>
        <v>1</v>
      </c>
      <c r="EZ10" s="7">
        <f t="shared" si="14"/>
        <v>1</v>
      </c>
      <c r="FA10" s="7">
        <f t="shared" si="14"/>
        <v>1</v>
      </c>
      <c r="FB10" s="7">
        <f t="shared" si="14"/>
        <v>1</v>
      </c>
      <c r="FC10" s="7">
        <f t="shared" si="14"/>
        <v>1</v>
      </c>
      <c r="FD10" s="7">
        <f t="shared" si="14"/>
        <v>1</v>
      </c>
      <c r="FE10" s="7">
        <f t="shared" si="14"/>
        <v>1</v>
      </c>
      <c r="FF10" s="7">
        <f t="shared" si="14"/>
        <v>1</v>
      </c>
      <c r="FG10" s="7">
        <f t="shared" si="14"/>
        <v>1</v>
      </c>
      <c r="FH10" s="7">
        <f t="shared" si="14"/>
        <v>1</v>
      </c>
      <c r="FI10" s="7">
        <f t="shared" si="14"/>
        <v>1</v>
      </c>
      <c r="FJ10" s="7">
        <f t="shared" si="14"/>
        <v>1</v>
      </c>
      <c r="FK10" s="7">
        <f t="shared" si="14"/>
        <v>1</v>
      </c>
      <c r="FL10" s="7">
        <f t="shared" si="14"/>
        <v>1</v>
      </c>
      <c r="FM10" s="7">
        <f t="shared" si="14"/>
        <v>1</v>
      </c>
      <c r="FN10" s="7">
        <f t="shared" si="14"/>
        <v>1</v>
      </c>
      <c r="FO10" s="7">
        <f t="shared" si="14"/>
        <v>1</v>
      </c>
      <c r="FP10" s="7">
        <f t="shared" si="14"/>
        <v>1</v>
      </c>
      <c r="FQ10" s="7">
        <f t="shared" si="14"/>
        <v>1</v>
      </c>
      <c r="FR10" s="7">
        <f t="shared" si="14"/>
        <v>1</v>
      </c>
      <c r="FS10" s="7">
        <f t="shared" si="14"/>
        <v>1</v>
      </c>
      <c r="FT10" s="7">
        <f t="shared" si="14"/>
        <v>1</v>
      </c>
      <c r="FU10" s="7">
        <f t="shared" si="14"/>
        <v>1</v>
      </c>
      <c r="FV10" s="7">
        <f t="shared" si="14"/>
        <v>1</v>
      </c>
      <c r="FW10" s="7">
        <f t="shared" si="14"/>
        <v>1</v>
      </c>
      <c r="FX10" s="7">
        <f t="shared" si="14"/>
        <v>1</v>
      </c>
      <c r="FY10" s="7">
        <f t="shared" si="14"/>
        <v>1</v>
      </c>
      <c r="FZ10" s="7">
        <f t="shared" si="14"/>
        <v>1</v>
      </c>
      <c r="GA10" s="7">
        <f t="shared" si="14"/>
        <v>1</v>
      </c>
      <c r="GB10" s="7">
        <f t="shared" si="14"/>
        <v>1</v>
      </c>
      <c r="GC10" s="7">
        <f t="shared" si="14"/>
        <v>1</v>
      </c>
      <c r="GD10" s="7">
        <f t="shared" si="14"/>
        <v>1</v>
      </c>
      <c r="GE10" s="7" t="str">
        <f t="shared" si="14"/>
        <v/>
      </c>
      <c r="GF10" s="7" t="str">
        <f t="shared" si="14"/>
        <v/>
      </c>
      <c r="GG10" s="7" t="str">
        <f t="shared" si="14"/>
        <v/>
      </c>
      <c r="GH10" s="7" t="str">
        <f t="shared" si="14"/>
        <v/>
      </c>
      <c r="GI10" s="7" t="str">
        <f t="shared" si="14"/>
        <v/>
      </c>
      <c r="GJ10" s="7" t="str">
        <f t="shared" si="14"/>
        <v/>
      </c>
      <c r="GK10" s="7" t="str">
        <f t="shared" si="14"/>
        <v/>
      </c>
      <c r="GL10" s="7" t="str">
        <f t="shared" si="14"/>
        <v/>
      </c>
      <c r="GM10" s="7" t="str">
        <f t="shared" si="14"/>
        <v/>
      </c>
      <c r="GN10" s="7" t="str">
        <f t="shared" si="14"/>
        <v/>
      </c>
      <c r="GO10" s="7" t="str">
        <f t="shared" si="14"/>
        <v/>
      </c>
      <c r="GP10" s="7" t="str">
        <f t="shared" si="14"/>
        <v/>
      </c>
      <c r="GQ10" s="7" t="str">
        <f t="shared" ref="GQ10:JB10" si="15">IF(GQ$7&lt;&gt;" ",IF(GQ$7&lt;&gt;0,1,0),"")</f>
        <v/>
      </c>
      <c r="GR10" s="7" t="str">
        <f t="shared" si="15"/>
        <v/>
      </c>
      <c r="GS10" s="7" t="str">
        <f t="shared" si="15"/>
        <v/>
      </c>
      <c r="GT10" s="7" t="str">
        <f t="shared" si="15"/>
        <v/>
      </c>
      <c r="GU10" s="7" t="str">
        <f t="shared" si="15"/>
        <v/>
      </c>
      <c r="GV10" s="7" t="str">
        <f t="shared" si="15"/>
        <v/>
      </c>
      <c r="GW10" s="7" t="str">
        <f t="shared" si="15"/>
        <v/>
      </c>
      <c r="GX10" s="7" t="str">
        <f t="shared" si="15"/>
        <v/>
      </c>
      <c r="GY10" s="7" t="str">
        <f t="shared" si="15"/>
        <v/>
      </c>
      <c r="GZ10" s="7" t="str">
        <f t="shared" si="15"/>
        <v/>
      </c>
      <c r="HA10" s="7" t="str">
        <f t="shared" si="15"/>
        <v/>
      </c>
      <c r="HB10" s="7" t="str">
        <f t="shared" si="15"/>
        <v/>
      </c>
      <c r="HC10" s="7" t="str">
        <f t="shared" si="15"/>
        <v/>
      </c>
      <c r="HD10" s="7" t="str">
        <f t="shared" si="15"/>
        <v/>
      </c>
      <c r="HE10" s="7" t="str">
        <f t="shared" si="15"/>
        <v/>
      </c>
      <c r="HF10" s="7" t="str">
        <f t="shared" si="15"/>
        <v/>
      </c>
      <c r="HG10" s="7" t="str">
        <f t="shared" si="15"/>
        <v/>
      </c>
      <c r="HH10" s="7" t="str">
        <f t="shared" si="15"/>
        <v/>
      </c>
      <c r="HI10" s="7" t="str">
        <f t="shared" si="15"/>
        <v/>
      </c>
      <c r="HJ10" s="7" t="str">
        <f t="shared" si="15"/>
        <v/>
      </c>
      <c r="HK10" s="7" t="str">
        <f t="shared" si="15"/>
        <v/>
      </c>
      <c r="HL10" s="7" t="str">
        <f t="shared" si="15"/>
        <v/>
      </c>
      <c r="HM10" s="7" t="str">
        <f t="shared" si="15"/>
        <v/>
      </c>
      <c r="HN10" s="7" t="str">
        <f t="shared" si="15"/>
        <v/>
      </c>
      <c r="HO10" s="7" t="str">
        <f t="shared" si="15"/>
        <v/>
      </c>
      <c r="HP10" s="7" t="str">
        <f t="shared" si="15"/>
        <v/>
      </c>
      <c r="HQ10" s="7" t="str">
        <f t="shared" si="15"/>
        <v/>
      </c>
      <c r="HR10" s="7" t="str">
        <f t="shared" si="15"/>
        <v/>
      </c>
      <c r="HS10" s="7" t="str">
        <f t="shared" si="15"/>
        <v/>
      </c>
      <c r="HT10" s="7" t="str">
        <f t="shared" si="15"/>
        <v/>
      </c>
      <c r="HU10" s="7" t="str">
        <f t="shared" si="15"/>
        <v/>
      </c>
      <c r="HV10" s="7" t="str">
        <f t="shared" si="15"/>
        <v/>
      </c>
      <c r="HW10" s="7" t="str">
        <f t="shared" si="15"/>
        <v/>
      </c>
      <c r="HX10" s="7" t="str">
        <f t="shared" si="15"/>
        <v/>
      </c>
      <c r="HY10" s="7" t="str">
        <f t="shared" si="15"/>
        <v/>
      </c>
      <c r="HZ10" s="7" t="str">
        <f t="shared" si="15"/>
        <v/>
      </c>
      <c r="IA10" s="7" t="str">
        <f t="shared" si="15"/>
        <v/>
      </c>
      <c r="IB10" s="7" t="str">
        <f t="shared" si="15"/>
        <v/>
      </c>
      <c r="IC10" s="7" t="str">
        <f t="shared" si="15"/>
        <v/>
      </c>
      <c r="ID10" s="7" t="str">
        <f t="shared" si="15"/>
        <v/>
      </c>
      <c r="IE10" s="7" t="str">
        <f t="shared" si="15"/>
        <v/>
      </c>
      <c r="IF10" s="7" t="str">
        <f t="shared" si="15"/>
        <v/>
      </c>
      <c r="IG10" s="7" t="str">
        <f t="shared" si="15"/>
        <v/>
      </c>
      <c r="IH10" s="7" t="str">
        <f t="shared" si="15"/>
        <v/>
      </c>
      <c r="II10" s="7" t="str">
        <f t="shared" si="15"/>
        <v/>
      </c>
      <c r="IJ10" s="7" t="str">
        <f t="shared" si="15"/>
        <v/>
      </c>
      <c r="IK10" s="7" t="str">
        <f t="shared" si="15"/>
        <v/>
      </c>
      <c r="IL10" s="7" t="str">
        <f t="shared" si="15"/>
        <v/>
      </c>
      <c r="IM10" s="7" t="str">
        <f t="shared" si="15"/>
        <v/>
      </c>
      <c r="IN10" s="7" t="str">
        <f t="shared" si="15"/>
        <v/>
      </c>
      <c r="IO10" s="7" t="str">
        <f t="shared" si="15"/>
        <v/>
      </c>
      <c r="IP10" s="7" t="str">
        <f t="shared" si="15"/>
        <v/>
      </c>
      <c r="IQ10" s="7" t="str">
        <f t="shared" si="15"/>
        <v/>
      </c>
      <c r="IR10" s="7" t="str">
        <f t="shared" si="15"/>
        <v/>
      </c>
      <c r="IS10" s="7" t="str">
        <f t="shared" si="15"/>
        <v/>
      </c>
      <c r="IT10" s="7" t="str">
        <f t="shared" si="15"/>
        <v/>
      </c>
      <c r="IU10" s="7" t="str">
        <f t="shared" si="15"/>
        <v/>
      </c>
      <c r="IV10" s="7" t="str">
        <f t="shared" si="15"/>
        <v/>
      </c>
      <c r="IW10" s="7" t="str">
        <f t="shared" si="15"/>
        <v/>
      </c>
      <c r="IX10" s="7" t="str">
        <f t="shared" si="15"/>
        <v/>
      </c>
      <c r="IY10" s="7" t="str">
        <f t="shared" si="15"/>
        <v/>
      </c>
      <c r="IZ10" s="7" t="str">
        <f t="shared" si="15"/>
        <v/>
      </c>
      <c r="JA10" s="7" t="str">
        <f t="shared" si="15"/>
        <v/>
      </c>
      <c r="JB10" s="7" t="str">
        <f t="shared" si="15"/>
        <v/>
      </c>
      <c r="JC10" s="7" t="str">
        <f t="shared" ref="JC10:LN10" si="16">IF(JC$7&lt;&gt;" ",IF(JC$7&lt;&gt;0,1,0),"")</f>
        <v/>
      </c>
      <c r="JD10" s="7" t="str">
        <f t="shared" si="16"/>
        <v/>
      </c>
      <c r="JE10" s="7" t="str">
        <f t="shared" si="16"/>
        <v/>
      </c>
      <c r="JF10" s="7" t="str">
        <f t="shared" si="16"/>
        <v/>
      </c>
      <c r="JG10" s="7" t="str">
        <f t="shared" si="16"/>
        <v/>
      </c>
      <c r="JH10" s="7" t="str">
        <f t="shared" si="16"/>
        <v/>
      </c>
      <c r="JI10" s="7" t="str">
        <f t="shared" si="16"/>
        <v/>
      </c>
      <c r="JJ10" s="7" t="str">
        <f t="shared" si="16"/>
        <v/>
      </c>
      <c r="JK10" s="7" t="str">
        <f t="shared" si="16"/>
        <v/>
      </c>
      <c r="JL10" s="7" t="str">
        <f t="shared" si="16"/>
        <v/>
      </c>
      <c r="JM10" s="7" t="str">
        <f t="shared" si="16"/>
        <v/>
      </c>
      <c r="JN10" s="7" t="str">
        <f t="shared" si="16"/>
        <v/>
      </c>
      <c r="JO10" s="7" t="str">
        <f t="shared" si="16"/>
        <v/>
      </c>
      <c r="JP10" s="7" t="str">
        <f t="shared" si="16"/>
        <v/>
      </c>
      <c r="JQ10" s="7" t="str">
        <f t="shared" si="16"/>
        <v/>
      </c>
      <c r="JR10" s="7" t="str">
        <f t="shared" si="16"/>
        <v/>
      </c>
      <c r="JS10" s="7" t="str">
        <f t="shared" si="16"/>
        <v/>
      </c>
      <c r="JT10" s="7" t="str">
        <f t="shared" si="16"/>
        <v/>
      </c>
      <c r="JU10" s="7" t="str">
        <f t="shared" si="16"/>
        <v/>
      </c>
      <c r="JV10" s="7" t="str">
        <f t="shared" si="16"/>
        <v/>
      </c>
      <c r="JW10" s="7" t="str">
        <f t="shared" si="16"/>
        <v/>
      </c>
      <c r="JX10" s="7" t="str">
        <f t="shared" si="16"/>
        <v/>
      </c>
      <c r="JY10" s="7" t="str">
        <f t="shared" si="16"/>
        <v/>
      </c>
      <c r="JZ10" s="7" t="str">
        <f t="shared" si="16"/>
        <v/>
      </c>
      <c r="KA10" s="7" t="str">
        <f t="shared" si="16"/>
        <v/>
      </c>
      <c r="KB10" s="7" t="str">
        <f t="shared" si="16"/>
        <v/>
      </c>
      <c r="KC10" s="7" t="str">
        <f t="shared" si="16"/>
        <v/>
      </c>
      <c r="KD10" s="7" t="str">
        <f t="shared" si="16"/>
        <v/>
      </c>
      <c r="KE10" s="7" t="str">
        <f t="shared" si="16"/>
        <v/>
      </c>
      <c r="KF10" s="7" t="str">
        <f t="shared" si="16"/>
        <v/>
      </c>
      <c r="KG10" s="7" t="str">
        <f t="shared" si="16"/>
        <v/>
      </c>
      <c r="KH10" s="7" t="str">
        <f t="shared" si="16"/>
        <v/>
      </c>
      <c r="KI10" s="7" t="str">
        <f t="shared" si="16"/>
        <v/>
      </c>
      <c r="KJ10" s="7" t="str">
        <f t="shared" si="16"/>
        <v/>
      </c>
      <c r="KK10" s="7" t="str">
        <f t="shared" si="16"/>
        <v/>
      </c>
      <c r="KL10" s="7" t="str">
        <f t="shared" si="16"/>
        <v/>
      </c>
      <c r="KM10" s="7" t="str">
        <f t="shared" si="16"/>
        <v/>
      </c>
      <c r="KN10" s="7" t="str">
        <f t="shared" si="16"/>
        <v/>
      </c>
      <c r="KO10" s="7" t="str">
        <f t="shared" si="16"/>
        <v/>
      </c>
      <c r="KP10" s="7" t="str">
        <f t="shared" si="16"/>
        <v/>
      </c>
      <c r="KQ10" s="7" t="str">
        <f t="shared" si="16"/>
        <v/>
      </c>
      <c r="KR10" s="7" t="str">
        <f t="shared" si="16"/>
        <v/>
      </c>
      <c r="KS10" s="7" t="str">
        <f t="shared" si="16"/>
        <v/>
      </c>
      <c r="KT10" s="7" t="str">
        <f t="shared" si="16"/>
        <v/>
      </c>
      <c r="KU10" s="7" t="str">
        <f t="shared" si="16"/>
        <v/>
      </c>
      <c r="KV10" s="7" t="str">
        <f t="shared" si="16"/>
        <v/>
      </c>
      <c r="KW10" s="7" t="str">
        <f t="shared" si="16"/>
        <v/>
      </c>
      <c r="KX10" s="7" t="str">
        <f t="shared" si="16"/>
        <v/>
      </c>
      <c r="KY10" s="7" t="str">
        <f t="shared" si="16"/>
        <v/>
      </c>
      <c r="KZ10" s="7" t="str">
        <f t="shared" si="16"/>
        <v/>
      </c>
      <c r="LA10" s="7" t="str">
        <f t="shared" si="16"/>
        <v/>
      </c>
      <c r="LB10" s="7" t="str">
        <f t="shared" si="16"/>
        <v/>
      </c>
      <c r="LC10" s="7" t="str">
        <f t="shared" si="16"/>
        <v/>
      </c>
      <c r="LD10" s="7" t="str">
        <f t="shared" si="16"/>
        <v/>
      </c>
      <c r="LE10" s="7" t="str">
        <f t="shared" si="16"/>
        <v/>
      </c>
      <c r="LF10" s="7" t="str">
        <f t="shared" si="16"/>
        <v/>
      </c>
      <c r="LG10" s="7" t="str">
        <f t="shared" si="16"/>
        <v/>
      </c>
      <c r="LH10" s="7" t="str">
        <f t="shared" si="16"/>
        <v/>
      </c>
      <c r="LI10" s="7" t="str">
        <f t="shared" si="16"/>
        <v/>
      </c>
      <c r="LJ10" s="7" t="str">
        <f t="shared" si="16"/>
        <v/>
      </c>
      <c r="LK10" s="7" t="str">
        <f t="shared" si="16"/>
        <v/>
      </c>
      <c r="LL10" s="7" t="str">
        <f t="shared" si="16"/>
        <v/>
      </c>
      <c r="LM10" s="7" t="str">
        <f t="shared" si="16"/>
        <v/>
      </c>
      <c r="LN10" s="7" t="str">
        <f t="shared" si="16"/>
        <v/>
      </c>
      <c r="LO10" s="7" t="str">
        <f t="shared" ref="LO10:NB10" si="17">IF(LO$7&lt;&gt;" ",IF(LO$7&lt;&gt;0,1,0),"")</f>
        <v/>
      </c>
      <c r="LP10" s="7" t="str">
        <f t="shared" si="17"/>
        <v/>
      </c>
      <c r="LQ10" s="7" t="str">
        <f t="shared" si="17"/>
        <v/>
      </c>
      <c r="LR10" s="7" t="str">
        <f t="shared" si="17"/>
        <v/>
      </c>
      <c r="LS10" s="7" t="str">
        <f t="shared" si="17"/>
        <v/>
      </c>
      <c r="LT10" s="7" t="str">
        <f t="shared" si="17"/>
        <v/>
      </c>
      <c r="LU10" s="7" t="str">
        <f t="shared" si="17"/>
        <v/>
      </c>
      <c r="LV10" s="7" t="str">
        <f t="shared" si="17"/>
        <v/>
      </c>
      <c r="LW10" s="7" t="str">
        <f t="shared" si="17"/>
        <v/>
      </c>
      <c r="LX10" s="7" t="str">
        <f t="shared" si="17"/>
        <v/>
      </c>
      <c r="LY10" s="7" t="str">
        <f t="shared" si="17"/>
        <v/>
      </c>
      <c r="LZ10" s="7" t="str">
        <f t="shared" si="17"/>
        <v/>
      </c>
      <c r="MA10" s="7" t="str">
        <f t="shared" si="17"/>
        <v/>
      </c>
      <c r="MB10" s="7" t="str">
        <f t="shared" si="17"/>
        <v/>
      </c>
      <c r="MC10" s="7" t="str">
        <f t="shared" si="17"/>
        <v/>
      </c>
      <c r="MD10" s="7" t="str">
        <f t="shared" si="17"/>
        <v/>
      </c>
      <c r="ME10" s="7" t="str">
        <f t="shared" si="17"/>
        <v/>
      </c>
      <c r="MF10" s="7" t="str">
        <f t="shared" si="17"/>
        <v/>
      </c>
      <c r="MG10" s="7" t="str">
        <f t="shared" si="17"/>
        <v/>
      </c>
      <c r="MH10" s="7" t="str">
        <f t="shared" si="17"/>
        <v/>
      </c>
      <c r="MI10" s="7" t="str">
        <f t="shared" si="17"/>
        <v/>
      </c>
      <c r="MJ10" s="7" t="str">
        <f t="shared" si="17"/>
        <v/>
      </c>
      <c r="MK10" s="7" t="str">
        <f t="shared" si="17"/>
        <v/>
      </c>
      <c r="ML10" s="7" t="str">
        <f t="shared" si="17"/>
        <v/>
      </c>
      <c r="MM10" s="7" t="str">
        <f t="shared" si="17"/>
        <v/>
      </c>
      <c r="MN10" s="7" t="str">
        <f t="shared" si="17"/>
        <v/>
      </c>
      <c r="MO10" s="7" t="str">
        <f t="shared" si="17"/>
        <v/>
      </c>
      <c r="MP10" s="7" t="str">
        <f t="shared" si="17"/>
        <v/>
      </c>
      <c r="MQ10" s="7" t="str">
        <f t="shared" si="17"/>
        <v/>
      </c>
      <c r="MR10" s="7" t="str">
        <f t="shared" si="17"/>
        <v/>
      </c>
      <c r="MS10" s="7" t="str">
        <f t="shared" si="17"/>
        <v/>
      </c>
      <c r="MT10" s="7" t="str">
        <f t="shared" si="17"/>
        <v/>
      </c>
      <c r="MU10" s="7" t="str">
        <f t="shared" si="17"/>
        <v/>
      </c>
      <c r="MV10" s="7" t="str">
        <f t="shared" si="17"/>
        <v/>
      </c>
      <c r="MW10" s="7" t="str">
        <f t="shared" si="17"/>
        <v/>
      </c>
      <c r="MX10" s="7" t="str">
        <f t="shared" si="17"/>
        <v/>
      </c>
      <c r="MY10" s="7" t="str">
        <f t="shared" si="17"/>
        <v/>
      </c>
      <c r="MZ10" s="7" t="str">
        <f t="shared" si="17"/>
        <v/>
      </c>
      <c r="NA10" s="7" t="str">
        <f t="shared" si="17"/>
        <v/>
      </c>
      <c r="NB10" s="7" t="str">
        <f t="shared" si="17"/>
        <v/>
      </c>
    </row>
    <row r="11" spans="1:366" x14ac:dyDescent="0.15">
      <c r="B11" t="s">
        <v>91</v>
      </c>
      <c r="F11" s="7">
        <f t="shared" ref="F11:BQ11" si="18">IF(F$7&lt;&gt;" ",IF(F$7=$F$5,1,0)," ")</f>
        <v>0</v>
      </c>
      <c r="G11" s="7">
        <f t="shared" si="18"/>
        <v>0</v>
      </c>
      <c r="H11" s="7">
        <f t="shared" si="18"/>
        <v>0</v>
      </c>
      <c r="I11" s="7">
        <f t="shared" si="18"/>
        <v>0</v>
      </c>
      <c r="J11" s="7">
        <f t="shared" si="18"/>
        <v>0</v>
      </c>
      <c r="K11" s="7">
        <f t="shared" si="18"/>
        <v>0</v>
      </c>
      <c r="L11" s="559">
        <f t="shared" si="18"/>
        <v>0</v>
      </c>
      <c r="M11" s="7">
        <f t="shared" si="18"/>
        <v>0</v>
      </c>
      <c r="N11" s="7">
        <f t="shared" si="18"/>
        <v>0</v>
      </c>
      <c r="O11" s="7">
        <f t="shared" si="18"/>
        <v>0</v>
      </c>
      <c r="P11" s="7">
        <f t="shared" si="18"/>
        <v>0</v>
      </c>
      <c r="Q11" s="7">
        <f t="shared" si="18"/>
        <v>0</v>
      </c>
      <c r="R11" s="7">
        <f t="shared" si="18"/>
        <v>0</v>
      </c>
      <c r="S11" s="7">
        <f t="shared" si="18"/>
        <v>0</v>
      </c>
      <c r="T11" s="7">
        <f t="shared" si="18"/>
        <v>0</v>
      </c>
      <c r="U11" s="7">
        <f t="shared" si="18"/>
        <v>0</v>
      </c>
      <c r="V11" s="7">
        <f t="shared" si="18"/>
        <v>0</v>
      </c>
      <c r="W11" s="7">
        <f t="shared" si="18"/>
        <v>0</v>
      </c>
      <c r="X11" s="7">
        <f t="shared" si="18"/>
        <v>0</v>
      </c>
      <c r="Y11" s="7">
        <f t="shared" si="18"/>
        <v>0</v>
      </c>
      <c r="Z11" s="7">
        <f t="shared" si="18"/>
        <v>0</v>
      </c>
      <c r="AA11" s="7">
        <f t="shared" si="18"/>
        <v>0</v>
      </c>
      <c r="AB11" s="7">
        <f t="shared" si="18"/>
        <v>0</v>
      </c>
      <c r="AC11" s="7">
        <f t="shared" si="18"/>
        <v>0</v>
      </c>
      <c r="AD11" s="570">
        <f t="shared" si="18"/>
        <v>0</v>
      </c>
      <c r="AE11" s="7">
        <f t="shared" si="18"/>
        <v>0</v>
      </c>
      <c r="AF11" s="7">
        <f t="shared" si="18"/>
        <v>0</v>
      </c>
      <c r="AG11" s="7">
        <f t="shared" si="18"/>
        <v>0</v>
      </c>
      <c r="AH11" s="7">
        <f t="shared" si="18"/>
        <v>0</v>
      </c>
      <c r="AI11" s="7">
        <f t="shared" si="18"/>
        <v>0</v>
      </c>
      <c r="AJ11" s="7">
        <f t="shared" si="18"/>
        <v>0</v>
      </c>
      <c r="AK11" s="7">
        <f t="shared" si="18"/>
        <v>0</v>
      </c>
      <c r="AL11" s="7">
        <f t="shared" si="18"/>
        <v>0</v>
      </c>
      <c r="AM11" s="7">
        <f t="shared" si="18"/>
        <v>0</v>
      </c>
      <c r="AN11" s="7">
        <f t="shared" si="18"/>
        <v>0</v>
      </c>
      <c r="AO11" s="7">
        <f t="shared" si="18"/>
        <v>0</v>
      </c>
      <c r="AP11" s="7">
        <f t="shared" si="18"/>
        <v>0</v>
      </c>
      <c r="AQ11" s="7">
        <f t="shared" si="18"/>
        <v>0</v>
      </c>
      <c r="AR11" s="7">
        <f t="shared" si="18"/>
        <v>0</v>
      </c>
      <c r="AS11" s="7">
        <f t="shared" si="18"/>
        <v>0</v>
      </c>
      <c r="AT11" s="7">
        <f t="shared" si="18"/>
        <v>0</v>
      </c>
      <c r="AU11" s="7">
        <f t="shared" si="18"/>
        <v>0</v>
      </c>
      <c r="AV11" s="7">
        <f t="shared" si="18"/>
        <v>0</v>
      </c>
      <c r="AW11" s="7">
        <f t="shared" si="18"/>
        <v>0</v>
      </c>
      <c r="AX11" s="7">
        <f t="shared" si="18"/>
        <v>0</v>
      </c>
      <c r="AY11" s="7">
        <f t="shared" si="18"/>
        <v>0</v>
      </c>
      <c r="AZ11" s="7">
        <f t="shared" si="18"/>
        <v>0</v>
      </c>
      <c r="BA11" s="7">
        <f t="shared" si="18"/>
        <v>0</v>
      </c>
      <c r="BB11" s="7">
        <f t="shared" si="18"/>
        <v>0</v>
      </c>
      <c r="BC11" s="7">
        <f t="shared" si="18"/>
        <v>0</v>
      </c>
      <c r="BD11" s="7">
        <f t="shared" si="18"/>
        <v>0</v>
      </c>
      <c r="BE11" s="7">
        <f t="shared" si="18"/>
        <v>0</v>
      </c>
      <c r="BF11" s="7">
        <f t="shared" si="18"/>
        <v>0</v>
      </c>
      <c r="BG11" s="7">
        <f t="shared" si="18"/>
        <v>0</v>
      </c>
      <c r="BH11" s="7">
        <f t="shared" si="18"/>
        <v>0</v>
      </c>
      <c r="BI11" s="7">
        <f t="shared" si="18"/>
        <v>0</v>
      </c>
      <c r="BJ11" s="7">
        <f t="shared" si="18"/>
        <v>0</v>
      </c>
      <c r="BK11" s="7">
        <f t="shared" si="18"/>
        <v>0</v>
      </c>
      <c r="BL11" s="7">
        <f t="shared" si="18"/>
        <v>0</v>
      </c>
      <c r="BM11" s="7">
        <f t="shared" si="18"/>
        <v>0</v>
      </c>
      <c r="BN11" s="7">
        <f t="shared" si="18"/>
        <v>0</v>
      </c>
      <c r="BO11" s="7">
        <f t="shared" si="18"/>
        <v>0</v>
      </c>
      <c r="BP11" s="7">
        <f t="shared" si="18"/>
        <v>0</v>
      </c>
      <c r="BQ11" s="7">
        <f t="shared" si="18"/>
        <v>0</v>
      </c>
      <c r="BR11" s="7">
        <f t="shared" ref="BR11:EC11" si="19">IF(BR$7&lt;&gt;" ",IF(BR$7=$F$5,1,0)," ")</f>
        <v>0</v>
      </c>
      <c r="BS11" s="7">
        <f t="shared" si="19"/>
        <v>0</v>
      </c>
      <c r="BT11" s="7">
        <f t="shared" si="19"/>
        <v>0</v>
      </c>
      <c r="BU11" s="7">
        <f t="shared" si="19"/>
        <v>0</v>
      </c>
      <c r="BV11" s="7">
        <f t="shared" si="19"/>
        <v>0</v>
      </c>
      <c r="BW11" s="7">
        <f t="shared" si="19"/>
        <v>0</v>
      </c>
      <c r="BX11" s="7">
        <f t="shared" si="19"/>
        <v>0</v>
      </c>
      <c r="BY11" s="7">
        <f t="shared" si="19"/>
        <v>0</v>
      </c>
      <c r="BZ11" s="7">
        <f t="shared" si="19"/>
        <v>0</v>
      </c>
      <c r="CA11" s="7">
        <f t="shared" si="19"/>
        <v>0</v>
      </c>
      <c r="CB11" s="7">
        <f t="shared" si="19"/>
        <v>0</v>
      </c>
      <c r="CC11" s="7">
        <f t="shared" si="19"/>
        <v>0</v>
      </c>
      <c r="CD11" s="7">
        <f t="shared" si="19"/>
        <v>0</v>
      </c>
      <c r="CE11" s="7">
        <f t="shared" si="19"/>
        <v>0</v>
      </c>
      <c r="CF11" s="7">
        <f t="shared" si="19"/>
        <v>0</v>
      </c>
      <c r="CG11" s="7">
        <f t="shared" si="19"/>
        <v>0</v>
      </c>
      <c r="CH11" s="7">
        <f t="shared" si="19"/>
        <v>0</v>
      </c>
      <c r="CI11" s="7">
        <f t="shared" si="19"/>
        <v>0</v>
      </c>
      <c r="CJ11" s="7">
        <f t="shared" si="19"/>
        <v>0</v>
      </c>
      <c r="CK11" s="7">
        <f t="shared" si="19"/>
        <v>0</v>
      </c>
      <c r="CL11" s="7">
        <f t="shared" si="19"/>
        <v>0</v>
      </c>
      <c r="CM11" s="7">
        <f t="shared" si="19"/>
        <v>0</v>
      </c>
      <c r="CN11" s="7">
        <f t="shared" si="19"/>
        <v>0</v>
      </c>
      <c r="CO11" s="7">
        <f t="shared" si="19"/>
        <v>0</v>
      </c>
      <c r="CP11" s="7">
        <f t="shared" si="19"/>
        <v>0</v>
      </c>
      <c r="CQ11" s="7">
        <f t="shared" si="19"/>
        <v>0</v>
      </c>
      <c r="CR11" s="7">
        <f t="shared" si="19"/>
        <v>0</v>
      </c>
      <c r="CS11" s="7">
        <f t="shared" si="19"/>
        <v>0</v>
      </c>
      <c r="CT11" s="7">
        <f t="shared" si="19"/>
        <v>0</v>
      </c>
      <c r="CU11" s="7">
        <f t="shared" si="19"/>
        <v>0</v>
      </c>
      <c r="CV11" s="7">
        <f t="shared" si="19"/>
        <v>0</v>
      </c>
      <c r="CW11" s="7">
        <f t="shared" si="19"/>
        <v>0</v>
      </c>
      <c r="CX11" s="7">
        <f t="shared" si="19"/>
        <v>0</v>
      </c>
      <c r="CY11" s="7">
        <f t="shared" si="19"/>
        <v>0</v>
      </c>
      <c r="CZ11" s="7">
        <f t="shared" si="19"/>
        <v>0</v>
      </c>
      <c r="DA11" s="7">
        <f t="shared" si="19"/>
        <v>0</v>
      </c>
      <c r="DB11" s="7">
        <f t="shared" si="19"/>
        <v>0</v>
      </c>
      <c r="DC11" s="7">
        <f t="shared" si="19"/>
        <v>0</v>
      </c>
      <c r="DD11" s="7">
        <f t="shared" si="19"/>
        <v>0</v>
      </c>
      <c r="DE11" s="7">
        <f t="shared" si="19"/>
        <v>0</v>
      </c>
      <c r="DF11" s="7">
        <f t="shared" si="19"/>
        <v>0</v>
      </c>
      <c r="DG11" s="7">
        <f t="shared" si="19"/>
        <v>0</v>
      </c>
      <c r="DH11" s="7">
        <f t="shared" si="19"/>
        <v>0</v>
      </c>
      <c r="DI11" s="7">
        <f t="shared" si="19"/>
        <v>0</v>
      </c>
      <c r="DJ11" s="7">
        <f t="shared" si="19"/>
        <v>0</v>
      </c>
      <c r="DK11" s="7">
        <f t="shared" si="19"/>
        <v>0</v>
      </c>
      <c r="DL11" s="7">
        <f t="shared" si="19"/>
        <v>0</v>
      </c>
      <c r="DM11" s="7">
        <f t="shared" si="19"/>
        <v>0</v>
      </c>
      <c r="DN11" s="7">
        <f t="shared" si="19"/>
        <v>0</v>
      </c>
      <c r="DO11" s="7">
        <f t="shared" si="19"/>
        <v>0</v>
      </c>
      <c r="DP11" s="7">
        <f t="shared" si="19"/>
        <v>0</v>
      </c>
      <c r="DQ11" s="7">
        <f t="shared" si="19"/>
        <v>0</v>
      </c>
      <c r="DR11" s="7">
        <f t="shared" si="19"/>
        <v>0</v>
      </c>
      <c r="DS11" s="7">
        <f t="shared" si="19"/>
        <v>0</v>
      </c>
      <c r="DT11" s="7">
        <f t="shared" si="19"/>
        <v>0</v>
      </c>
      <c r="DU11" s="7">
        <f t="shared" si="19"/>
        <v>0</v>
      </c>
      <c r="DV11" s="7">
        <f t="shared" si="19"/>
        <v>0</v>
      </c>
      <c r="DW11" s="7">
        <f t="shared" si="19"/>
        <v>0</v>
      </c>
      <c r="DX11" s="7">
        <f t="shared" si="19"/>
        <v>0</v>
      </c>
      <c r="DY11" s="7">
        <f t="shared" si="19"/>
        <v>0</v>
      </c>
      <c r="DZ11" s="7">
        <f t="shared" si="19"/>
        <v>0</v>
      </c>
      <c r="EA11" s="7">
        <f t="shared" si="19"/>
        <v>0</v>
      </c>
      <c r="EB11" s="7">
        <f t="shared" si="19"/>
        <v>0</v>
      </c>
      <c r="EC11" s="7">
        <f t="shared" si="19"/>
        <v>0</v>
      </c>
      <c r="ED11" s="7">
        <f t="shared" ref="ED11:GO11" si="20">IF(ED$7&lt;&gt;" ",IF(ED$7=$F$5,1,0)," ")</f>
        <v>0</v>
      </c>
      <c r="EE11" s="7">
        <f t="shared" si="20"/>
        <v>0</v>
      </c>
      <c r="EF11" s="7">
        <f t="shared" si="20"/>
        <v>0</v>
      </c>
      <c r="EG11" s="7">
        <f t="shared" si="20"/>
        <v>0</v>
      </c>
      <c r="EH11" s="7">
        <f t="shared" si="20"/>
        <v>0</v>
      </c>
      <c r="EI11" s="7">
        <f t="shared" si="20"/>
        <v>0</v>
      </c>
      <c r="EJ11" s="7">
        <f t="shared" si="20"/>
        <v>0</v>
      </c>
      <c r="EK11" s="7">
        <f t="shared" si="20"/>
        <v>0</v>
      </c>
      <c r="EL11" s="7">
        <f t="shared" si="20"/>
        <v>0</v>
      </c>
      <c r="EM11" s="7">
        <f t="shared" si="20"/>
        <v>0</v>
      </c>
      <c r="EN11" s="7">
        <f t="shared" si="20"/>
        <v>0</v>
      </c>
      <c r="EO11" s="7">
        <f t="shared" si="20"/>
        <v>0</v>
      </c>
      <c r="EP11" s="7">
        <f t="shared" si="20"/>
        <v>0</v>
      </c>
      <c r="EQ11" s="7">
        <f t="shared" si="20"/>
        <v>0</v>
      </c>
      <c r="ER11" s="7">
        <f t="shared" si="20"/>
        <v>0</v>
      </c>
      <c r="ES11" s="7">
        <f t="shared" si="20"/>
        <v>0</v>
      </c>
      <c r="ET11" s="7">
        <f t="shared" si="20"/>
        <v>0</v>
      </c>
      <c r="EU11" s="7">
        <f t="shared" si="20"/>
        <v>0</v>
      </c>
      <c r="EV11" s="7">
        <f t="shared" si="20"/>
        <v>0</v>
      </c>
      <c r="EW11" s="7">
        <f t="shared" si="20"/>
        <v>0</v>
      </c>
      <c r="EX11" s="7">
        <f t="shared" si="20"/>
        <v>0</v>
      </c>
      <c r="EY11" s="7">
        <f t="shared" si="20"/>
        <v>0</v>
      </c>
      <c r="EZ11" s="7">
        <f t="shared" si="20"/>
        <v>0</v>
      </c>
      <c r="FA11" s="7">
        <f t="shared" si="20"/>
        <v>0</v>
      </c>
      <c r="FB11" s="7">
        <f t="shared" si="20"/>
        <v>0</v>
      </c>
      <c r="FC11" s="7">
        <f t="shared" si="20"/>
        <v>0</v>
      </c>
      <c r="FD11" s="7">
        <f t="shared" si="20"/>
        <v>0</v>
      </c>
      <c r="FE11" s="7">
        <f t="shared" si="20"/>
        <v>0</v>
      </c>
      <c r="FF11" s="7">
        <f t="shared" si="20"/>
        <v>0</v>
      </c>
      <c r="FG11" s="7">
        <f t="shared" si="20"/>
        <v>0</v>
      </c>
      <c r="FH11" s="7">
        <f t="shared" si="20"/>
        <v>0</v>
      </c>
      <c r="FI11" s="7">
        <f t="shared" si="20"/>
        <v>0</v>
      </c>
      <c r="FJ11" s="7">
        <f t="shared" si="20"/>
        <v>0</v>
      </c>
      <c r="FK11" s="7">
        <f t="shared" si="20"/>
        <v>0</v>
      </c>
      <c r="FL11" s="7">
        <f t="shared" si="20"/>
        <v>0</v>
      </c>
      <c r="FM11" s="7">
        <f t="shared" si="20"/>
        <v>0</v>
      </c>
      <c r="FN11" s="7">
        <f t="shared" si="20"/>
        <v>0</v>
      </c>
      <c r="FO11" s="7">
        <f t="shared" si="20"/>
        <v>0</v>
      </c>
      <c r="FP11" s="7">
        <f t="shared" si="20"/>
        <v>0</v>
      </c>
      <c r="FQ11" s="7">
        <f t="shared" si="20"/>
        <v>0</v>
      </c>
      <c r="FR11" s="7">
        <f t="shared" si="20"/>
        <v>0</v>
      </c>
      <c r="FS11" s="7">
        <f t="shared" si="20"/>
        <v>0</v>
      </c>
      <c r="FT11" s="7">
        <f t="shared" si="20"/>
        <v>0</v>
      </c>
      <c r="FU11" s="7">
        <f t="shared" si="20"/>
        <v>0</v>
      </c>
      <c r="FV11" s="7">
        <f t="shared" si="20"/>
        <v>0</v>
      </c>
      <c r="FW11" s="7">
        <f t="shared" si="20"/>
        <v>0</v>
      </c>
      <c r="FX11" s="7">
        <f t="shared" si="20"/>
        <v>0</v>
      </c>
      <c r="FY11" s="7">
        <f t="shared" si="20"/>
        <v>0</v>
      </c>
      <c r="FZ11" s="7">
        <f t="shared" si="20"/>
        <v>0</v>
      </c>
      <c r="GA11" s="7">
        <f t="shared" si="20"/>
        <v>0</v>
      </c>
      <c r="GB11" s="7">
        <f t="shared" si="20"/>
        <v>0</v>
      </c>
      <c r="GC11" s="7">
        <f t="shared" si="20"/>
        <v>0</v>
      </c>
      <c r="GD11" s="7">
        <f t="shared" si="20"/>
        <v>1</v>
      </c>
      <c r="GE11" s="7" t="str">
        <f t="shared" si="20"/>
        <v xml:space="preserve"> </v>
      </c>
      <c r="GF11" s="7" t="str">
        <f t="shared" si="20"/>
        <v xml:space="preserve"> </v>
      </c>
      <c r="GG11" s="7" t="str">
        <f t="shared" si="20"/>
        <v xml:space="preserve"> </v>
      </c>
      <c r="GH11" s="7" t="str">
        <f t="shared" si="20"/>
        <v xml:space="preserve"> </v>
      </c>
      <c r="GI11" s="7" t="str">
        <f t="shared" si="20"/>
        <v xml:space="preserve"> </v>
      </c>
      <c r="GJ11" s="7" t="str">
        <f t="shared" si="20"/>
        <v xml:space="preserve"> </v>
      </c>
      <c r="GK11" s="7" t="str">
        <f t="shared" si="20"/>
        <v xml:space="preserve"> </v>
      </c>
      <c r="GL11" s="7" t="str">
        <f t="shared" si="20"/>
        <v xml:space="preserve"> </v>
      </c>
      <c r="GM11" s="7" t="str">
        <f t="shared" si="20"/>
        <v xml:space="preserve"> </v>
      </c>
      <c r="GN11" s="7" t="str">
        <f t="shared" si="20"/>
        <v xml:space="preserve"> </v>
      </c>
      <c r="GO11" s="7" t="str">
        <f t="shared" si="20"/>
        <v xml:space="preserve"> </v>
      </c>
      <c r="GP11" s="7" t="str">
        <f t="shared" ref="GP11:JA11" si="21">IF(GP$7&lt;&gt;" ",IF(GP$7=$F$5,1,0)," ")</f>
        <v xml:space="preserve"> </v>
      </c>
      <c r="GQ11" s="7" t="str">
        <f t="shared" si="21"/>
        <v xml:space="preserve"> </v>
      </c>
      <c r="GR11" s="7" t="str">
        <f t="shared" si="21"/>
        <v xml:space="preserve"> </v>
      </c>
      <c r="GS11" s="7" t="str">
        <f t="shared" si="21"/>
        <v xml:space="preserve"> </v>
      </c>
      <c r="GT11" s="7" t="str">
        <f t="shared" si="21"/>
        <v xml:space="preserve"> </v>
      </c>
      <c r="GU11" s="7" t="str">
        <f t="shared" si="21"/>
        <v xml:space="preserve"> </v>
      </c>
      <c r="GV11" s="7" t="str">
        <f t="shared" si="21"/>
        <v xml:space="preserve"> </v>
      </c>
      <c r="GW11" s="7" t="str">
        <f t="shared" si="21"/>
        <v xml:space="preserve"> </v>
      </c>
      <c r="GX11" s="7" t="str">
        <f t="shared" si="21"/>
        <v xml:space="preserve"> </v>
      </c>
      <c r="GY11" s="7" t="str">
        <f t="shared" si="21"/>
        <v xml:space="preserve"> </v>
      </c>
      <c r="GZ11" s="7" t="str">
        <f t="shared" si="21"/>
        <v xml:space="preserve"> </v>
      </c>
      <c r="HA11" s="7" t="str">
        <f t="shared" si="21"/>
        <v xml:space="preserve"> </v>
      </c>
      <c r="HB11" s="7" t="str">
        <f t="shared" si="21"/>
        <v xml:space="preserve"> </v>
      </c>
      <c r="HC11" s="7" t="str">
        <f t="shared" si="21"/>
        <v xml:space="preserve"> </v>
      </c>
      <c r="HD11" s="7" t="str">
        <f t="shared" si="21"/>
        <v xml:space="preserve"> </v>
      </c>
      <c r="HE11" s="7" t="str">
        <f t="shared" si="21"/>
        <v xml:space="preserve"> </v>
      </c>
      <c r="HF11" s="7" t="str">
        <f t="shared" si="21"/>
        <v xml:space="preserve"> </v>
      </c>
      <c r="HG11" s="7" t="str">
        <f t="shared" si="21"/>
        <v xml:space="preserve"> </v>
      </c>
      <c r="HH11" s="7" t="str">
        <f t="shared" si="21"/>
        <v xml:space="preserve"> </v>
      </c>
      <c r="HI11" s="7" t="str">
        <f t="shared" si="21"/>
        <v xml:space="preserve"> </v>
      </c>
      <c r="HJ11" s="7" t="str">
        <f t="shared" si="21"/>
        <v xml:space="preserve"> </v>
      </c>
      <c r="HK11" s="7" t="str">
        <f t="shared" si="21"/>
        <v xml:space="preserve"> </v>
      </c>
      <c r="HL11" s="7" t="str">
        <f t="shared" si="21"/>
        <v xml:space="preserve"> </v>
      </c>
      <c r="HM11" s="7" t="str">
        <f t="shared" si="21"/>
        <v xml:space="preserve"> </v>
      </c>
      <c r="HN11" s="7" t="str">
        <f t="shared" si="21"/>
        <v xml:space="preserve"> </v>
      </c>
      <c r="HO11" s="7" t="str">
        <f t="shared" si="21"/>
        <v xml:space="preserve"> </v>
      </c>
      <c r="HP11" s="7" t="str">
        <f t="shared" si="21"/>
        <v xml:space="preserve"> </v>
      </c>
      <c r="HQ11" s="7" t="str">
        <f t="shared" si="21"/>
        <v xml:space="preserve"> </v>
      </c>
      <c r="HR11" s="7" t="str">
        <f t="shared" si="21"/>
        <v xml:space="preserve"> </v>
      </c>
      <c r="HS11" s="7" t="str">
        <f t="shared" si="21"/>
        <v xml:space="preserve"> </v>
      </c>
      <c r="HT11" s="7" t="str">
        <f t="shared" si="21"/>
        <v xml:space="preserve"> </v>
      </c>
      <c r="HU11" s="7" t="str">
        <f t="shared" si="21"/>
        <v xml:space="preserve"> </v>
      </c>
      <c r="HV11" s="7" t="str">
        <f t="shared" si="21"/>
        <v xml:space="preserve"> </v>
      </c>
      <c r="HW11" s="7" t="str">
        <f t="shared" si="21"/>
        <v xml:space="preserve"> </v>
      </c>
      <c r="HX11" s="7" t="str">
        <f t="shared" si="21"/>
        <v xml:space="preserve"> </v>
      </c>
      <c r="HY11" s="7" t="str">
        <f t="shared" si="21"/>
        <v xml:space="preserve"> </v>
      </c>
      <c r="HZ11" s="7" t="str">
        <f t="shared" si="21"/>
        <v xml:space="preserve"> </v>
      </c>
      <c r="IA11" s="7" t="str">
        <f t="shared" si="21"/>
        <v xml:space="preserve"> </v>
      </c>
      <c r="IB11" s="7" t="str">
        <f t="shared" si="21"/>
        <v xml:space="preserve"> </v>
      </c>
      <c r="IC11" s="7" t="str">
        <f t="shared" si="21"/>
        <v xml:space="preserve"> </v>
      </c>
      <c r="ID11" s="7" t="str">
        <f t="shared" si="21"/>
        <v xml:space="preserve"> </v>
      </c>
      <c r="IE11" s="7" t="str">
        <f t="shared" si="21"/>
        <v xml:space="preserve"> </v>
      </c>
      <c r="IF11" s="7" t="str">
        <f t="shared" si="21"/>
        <v xml:space="preserve"> </v>
      </c>
      <c r="IG11" s="7" t="str">
        <f t="shared" si="21"/>
        <v xml:space="preserve"> </v>
      </c>
      <c r="IH11" s="7" t="str">
        <f t="shared" si="21"/>
        <v xml:space="preserve"> </v>
      </c>
      <c r="II11" s="7" t="str">
        <f t="shared" si="21"/>
        <v xml:space="preserve"> </v>
      </c>
      <c r="IJ11" s="7" t="str">
        <f t="shared" si="21"/>
        <v xml:space="preserve"> </v>
      </c>
      <c r="IK11" s="7" t="str">
        <f t="shared" si="21"/>
        <v xml:space="preserve"> </v>
      </c>
      <c r="IL11" s="7" t="str">
        <f t="shared" si="21"/>
        <v xml:space="preserve"> </v>
      </c>
      <c r="IM11" s="7" t="str">
        <f t="shared" si="21"/>
        <v xml:space="preserve"> </v>
      </c>
      <c r="IN11" s="7" t="str">
        <f t="shared" si="21"/>
        <v xml:space="preserve"> </v>
      </c>
      <c r="IO11" s="7" t="str">
        <f t="shared" si="21"/>
        <v xml:space="preserve"> </v>
      </c>
      <c r="IP11" s="7" t="str">
        <f t="shared" si="21"/>
        <v xml:space="preserve"> </v>
      </c>
      <c r="IQ11" s="7" t="str">
        <f t="shared" si="21"/>
        <v xml:space="preserve"> </v>
      </c>
      <c r="IR11" s="7" t="str">
        <f t="shared" si="21"/>
        <v xml:space="preserve"> </v>
      </c>
      <c r="IS11" s="7" t="str">
        <f t="shared" si="21"/>
        <v xml:space="preserve"> </v>
      </c>
      <c r="IT11" s="7" t="str">
        <f t="shared" si="21"/>
        <v xml:space="preserve"> </v>
      </c>
      <c r="IU11" s="7" t="str">
        <f t="shared" si="21"/>
        <v xml:space="preserve"> </v>
      </c>
      <c r="IV11" s="7" t="str">
        <f t="shared" si="21"/>
        <v xml:space="preserve"> </v>
      </c>
      <c r="IW11" s="7" t="str">
        <f t="shared" si="21"/>
        <v xml:space="preserve"> </v>
      </c>
      <c r="IX11" s="7" t="str">
        <f t="shared" si="21"/>
        <v xml:space="preserve"> </v>
      </c>
      <c r="IY11" s="7" t="str">
        <f t="shared" si="21"/>
        <v xml:space="preserve"> </v>
      </c>
      <c r="IZ11" s="7" t="str">
        <f t="shared" si="21"/>
        <v xml:space="preserve"> </v>
      </c>
      <c r="JA11" s="7" t="str">
        <f t="shared" si="21"/>
        <v xml:space="preserve"> </v>
      </c>
      <c r="JB11" s="7" t="str">
        <f t="shared" ref="JB11:LM11" si="22">IF(JB$7&lt;&gt;" ",IF(JB$7=$F$5,1,0)," ")</f>
        <v xml:space="preserve"> </v>
      </c>
      <c r="JC11" s="7" t="str">
        <f t="shared" si="22"/>
        <v xml:space="preserve"> </v>
      </c>
      <c r="JD11" s="7" t="str">
        <f t="shared" si="22"/>
        <v xml:space="preserve"> </v>
      </c>
      <c r="JE11" s="7" t="str">
        <f t="shared" si="22"/>
        <v xml:space="preserve"> </v>
      </c>
      <c r="JF11" s="7" t="str">
        <f t="shared" si="22"/>
        <v xml:space="preserve"> </v>
      </c>
      <c r="JG11" s="7" t="str">
        <f t="shared" si="22"/>
        <v xml:space="preserve"> </v>
      </c>
      <c r="JH11" s="7" t="str">
        <f t="shared" si="22"/>
        <v xml:space="preserve"> </v>
      </c>
      <c r="JI11" s="7" t="str">
        <f t="shared" si="22"/>
        <v xml:space="preserve"> </v>
      </c>
      <c r="JJ11" s="7" t="str">
        <f t="shared" si="22"/>
        <v xml:space="preserve"> </v>
      </c>
      <c r="JK11" s="7" t="str">
        <f t="shared" si="22"/>
        <v xml:space="preserve"> </v>
      </c>
      <c r="JL11" s="7" t="str">
        <f t="shared" si="22"/>
        <v xml:space="preserve"> </v>
      </c>
      <c r="JM11" s="7" t="str">
        <f t="shared" si="22"/>
        <v xml:space="preserve"> </v>
      </c>
      <c r="JN11" s="7" t="str">
        <f t="shared" si="22"/>
        <v xml:space="preserve"> </v>
      </c>
      <c r="JO11" s="7" t="str">
        <f t="shared" si="22"/>
        <v xml:space="preserve"> </v>
      </c>
      <c r="JP11" s="7" t="str">
        <f t="shared" si="22"/>
        <v xml:space="preserve"> </v>
      </c>
      <c r="JQ11" s="7" t="str">
        <f t="shared" si="22"/>
        <v xml:space="preserve"> </v>
      </c>
      <c r="JR11" s="7" t="str">
        <f t="shared" si="22"/>
        <v xml:space="preserve"> </v>
      </c>
      <c r="JS11" s="7" t="str">
        <f t="shared" si="22"/>
        <v xml:space="preserve"> </v>
      </c>
      <c r="JT11" s="7" t="str">
        <f t="shared" si="22"/>
        <v xml:space="preserve"> </v>
      </c>
      <c r="JU11" s="7" t="str">
        <f t="shared" si="22"/>
        <v xml:space="preserve"> </v>
      </c>
      <c r="JV11" s="7" t="str">
        <f t="shared" si="22"/>
        <v xml:space="preserve"> </v>
      </c>
      <c r="JW11" s="7" t="str">
        <f t="shared" si="22"/>
        <v xml:space="preserve"> </v>
      </c>
      <c r="JX11" s="7" t="str">
        <f t="shared" si="22"/>
        <v xml:space="preserve"> </v>
      </c>
      <c r="JY11" s="7" t="str">
        <f t="shared" si="22"/>
        <v xml:space="preserve"> </v>
      </c>
      <c r="JZ11" s="7" t="str">
        <f t="shared" si="22"/>
        <v xml:space="preserve"> </v>
      </c>
      <c r="KA11" s="7" t="str">
        <f t="shared" si="22"/>
        <v xml:space="preserve"> </v>
      </c>
      <c r="KB11" s="7" t="str">
        <f t="shared" si="22"/>
        <v xml:space="preserve"> </v>
      </c>
      <c r="KC11" s="7" t="str">
        <f t="shared" si="22"/>
        <v xml:space="preserve"> </v>
      </c>
      <c r="KD11" s="7" t="str">
        <f t="shared" si="22"/>
        <v xml:space="preserve"> </v>
      </c>
      <c r="KE11" s="7" t="str">
        <f t="shared" si="22"/>
        <v xml:space="preserve"> </v>
      </c>
      <c r="KF11" s="7" t="str">
        <f t="shared" si="22"/>
        <v xml:space="preserve"> </v>
      </c>
      <c r="KG11" s="7" t="str">
        <f t="shared" si="22"/>
        <v xml:space="preserve"> </v>
      </c>
      <c r="KH11" s="7" t="str">
        <f t="shared" si="22"/>
        <v xml:space="preserve"> </v>
      </c>
      <c r="KI11" s="7" t="str">
        <f t="shared" si="22"/>
        <v xml:space="preserve"> </v>
      </c>
      <c r="KJ11" s="7" t="str">
        <f t="shared" si="22"/>
        <v xml:space="preserve"> </v>
      </c>
      <c r="KK11" s="7" t="str">
        <f t="shared" si="22"/>
        <v xml:space="preserve"> </v>
      </c>
      <c r="KL11" s="7" t="str">
        <f t="shared" si="22"/>
        <v xml:space="preserve"> </v>
      </c>
      <c r="KM11" s="7" t="str">
        <f t="shared" si="22"/>
        <v xml:space="preserve"> </v>
      </c>
      <c r="KN11" s="7" t="str">
        <f t="shared" si="22"/>
        <v xml:space="preserve"> </v>
      </c>
      <c r="KO11" s="7" t="str">
        <f t="shared" si="22"/>
        <v xml:space="preserve"> </v>
      </c>
      <c r="KP11" s="7" t="str">
        <f t="shared" si="22"/>
        <v xml:space="preserve"> </v>
      </c>
      <c r="KQ11" s="7" t="str">
        <f t="shared" si="22"/>
        <v xml:space="preserve"> </v>
      </c>
      <c r="KR11" s="7" t="str">
        <f t="shared" si="22"/>
        <v xml:space="preserve"> </v>
      </c>
      <c r="KS11" s="7" t="str">
        <f t="shared" si="22"/>
        <v xml:space="preserve"> </v>
      </c>
      <c r="KT11" s="7" t="str">
        <f t="shared" si="22"/>
        <v xml:space="preserve"> </v>
      </c>
      <c r="KU11" s="7" t="str">
        <f t="shared" si="22"/>
        <v xml:space="preserve"> </v>
      </c>
      <c r="KV11" s="7" t="str">
        <f t="shared" si="22"/>
        <v xml:space="preserve"> </v>
      </c>
      <c r="KW11" s="7" t="str">
        <f t="shared" si="22"/>
        <v xml:space="preserve"> </v>
      </c>
      <c r="KX11" s="7" t="str">
        <f t="shared" si="22"/>
        <v xml:space="preserve"> </v>
      </c>
      <c r="KY11" s="7" t="str">
        <f t="shared" si="22"/>
        <v xml:space="preserve"> </v>
      </c>
      <c r="KZ11" s="7" t="str">
        <f t="shared" si="22"/>
        <v xml:space="preserve"> </v>
      </c>
      <c r="LA11" s="7" t="str">
        <f t="shared" si="22"/>
        <v xml:space="preserve"> </v>
      </c>
      <c r="LB11" s="7" t="str">
        <f t="shared" si="22"/>
        <v xml:space="preserve"> </v>
      </c>
      <c r="LC11" s="7" t="str">
        <f t="shared" si="22"/>
        <v xml:space="preserve"> </v>
      </c>
      <c r="LD11" s="7" t="str">
        <f t="shared" si="22"/>
        <v xml:space="preserve"> </v>
      </c>
      <c r="LE11" s="7" t="str">
        <f t="shared" si="22"/>
        <v xml:space="preserve"> </v>
      </c>
      <c r="LF11" s="7" t="str">
        <f t="shared" si="22"/>
        <v xml:space="preserve"> </v>
      </c>
      <c r="LG11" s="7" t="str">
        <f t="shared" si="22"/>
        <v xml:space="preserve"> </v>
      </c>
      <c r="LH11" s="7" t="str">
        <f t="shared" si="22"/>
        <v xml:space="preserve"> </v>
      </c>
      <c r="LI11" s="7" t="str">
        <f t="shared" si="22"/>
        <v xml:space="preserve"> </v>
      </c>
      <c r="LJ11" s="7" t="str">
        <f t="shared" si="22"/>
        <v xml:space="preserve"> </v>
      </c>
      <c r="LK11" s="7" t="str">
        <f t="shared" si="22"/>
        <v xml:space="preserve"> </v>
      </c>
      <c r="LL11" s="7" t="str">
        <f t="shared" si="22"/>
        <v xml:space="preserve"> </v>
      </c>
      <c r="LM11" s="7" t="str">
        <f t="shared" si="22"/>
        <v xml:space="preserve"> </v>
      </c>
      <c r="LN11" s="7" t="str">
        <f t="shared" ref="LN11:NB11" si="23">IF(LN$7&lt;&gt;" ",IF(LN$7=$F$5,1,0)," ")</f>
        <v xml:space="preserve"> </v>
      </c>
      <c r="LO11" s="7" t="str">
        <f t="shared" si="23"/>
        <v xml:space="preserve"> </v>
      </c>
      <c r="LP11" s="7" t="str">
        <f t="shared" si="23"/>
        <v xml:space="preserve"> </v>
      </c>
      <c r="LQ11" s="7" t="str">
        <f t="shared" si="23"/>
        <v xml:space="preserve"> </v>
      </c>
      <c r="LR11" s="7" t="str">
        <f t="shared" si="23"/>
        <v xml:space="preserve"> </v>
      </c>
      <c r="LS11" s="7" t="str">
        <f t="shared" si="23"/>
        <v xml:space="preserve"> </v>
      </c>
      <c r="LT11" s="7" t="str">
        <f t="shared" si="23"/>
        <v xml:space="preserve"> </v>
      </c>
      <c r="LU11" s="7" t="str">
        <f t="shared" si="23"/>
        <v xml:space="preserve"> </v>
      </c>
      <c r="LV11" s="7" t="str">
        <f t="shared" si="23"/>
        <v xml:space="preserve"> </v>
      </c>
      <c r="LW11" s="7" t="str">
        <f t="shared" si="23"/>
        <v xml:space="preserve"> </v>
      </c>
      <c r="LX11" s="7" t="str">
        <f t="shared" si="23"/>
        <v xml:space="preserve"> </v>
      </c>
      <c r="LY11" s="7" t="str">
        <f t="shared" si="23"/>
        <v xml:space="preserve"> </v>
      </c>
      <c r="LZ11" s="7" t="str">
        <f t="shared" si="23"/>
        <v xml:space="preserve"> </v>
      </c>
      <c r="MA11" s="7" t="str">
        <f t="shared" si="23"/>
        <v xml:space="preserve"> </v>
      </c>
      <c r="MB11" s="7" t="str">
        <f t="shared" si="23"/>
        <v xml:space="preserve"> </v>
      </c>
      <c r="MC11" s="7" t="str">
        <f t="shared" si="23"/>
        <v xml:space="preserve"> </v>
      </c>
      <c r="MD11" s="7" t="str">
        <f t="shared" si="23"/>
        <v xml:space="preserve"> </v>
      </c>
      <c r="ME11" s="7" t="str">
        <f t="shared" si="23"/>
        <v xml:space="preserve"> </v>
      </c>
      <c r="MF11" s="7" t="str">
        <f t="shared" si="23"/>
        <v xml:space="preserve"> </v>
      </c>
      <c r="MG11" s="7" t="str">
        <f t="shared" si="23"/>
        <v xml:space="preserve"> </v>
      </c>
      <c r="MH11" s="7" t="str">
        <f t="shared" si="23"/>
        <v xml:space="preserve"> </v>
      </c>
      <c r="MI11" s="7" t="str">
        <f t="shared" si="23"/>
        <v xml:space="preserve"> </v>
      </c>
      <c r="MJ11" s="7" t="str">
        <f t="shared" si="23"/>
        <v xml:space="preserve"> </v>
      </c>
      <c r="MK11" s="7" t="str">
        <f t="shared" si="23"/>
        <v xml:space="preserve"> </v>
      </c>
      <c r="ML11" s="7" t="str">
        <f t="shared" si="23"/>
        <v xml:space="preserve"> </v>
      </c>
      <c r="MM11" s="7" t="str">
        <f t="shared" si="23"/>
        <v xml:space="preserve"> </v>
      </c>
      <c r="MN11" s="7" t="str">
        <f t="shared" si="23"/>
        <v xml:space="preserve"> </v>
      </c>
      <c r="MO11" s="7" t="str">
        <f t="shared" si="23"/>
        <v xml:space="preserve"> </v>
      </c>
      <c r="MP11" s="7" t="str">
        <f t="shared" si="23"/>
        <v xml:space="preserve"> </v>
      </c>
      <c r="MQ11" s="7" t="str">
        <f t="shared" si="23"/>
        <v xml:space="preserve"> </v>
      </c>
      <c r="MR11" s="7" t="str">
        <f t="shared" si="23"/>
        <v xml:space="preserve"> </v>
      </c>
      <c r="MS11" s="7" t="str">
        <f t="shared" si="23"/>
        <v xml:space="preserve"> </v>
      </c>
      <c r="MT11" s="7" t="str">
        <f t="shared" si="23"/>
        <v xml:space="preserve"> </v>
      </c>
      <c r="MU11" s="7" t="str">
        <f t="shared" si="23"/>
        <v xml:space="preserve"> </v>
      </c>
      <c r="MV11" s="7" t="str">
        <f t="shared" si="23"/>
        <v xml:space="preserve"> </v>
      </c>
      <c r="MW11" s="7" t="str">
        <f t="shared" si="23"/>
        <v xml:space="preserve"> </v>
      </c>
      <c r="MX11" s="7" t="str">
        <f t="shared" si="23"/>
        <v xml:space="preserve"> </v>
      </c>
      <c r="MY11" s="7" t="str">
        <f t="shared" si="23"/>
        <v xml:space="preserve"> </v>
      </c>
      <c r="MZ11" s="7" t="str">
        <f t="shared" si="23"/>
        <v xml:space="preserve"> </v>
      </c>
      <c r="NA11" s="7" t="str">
        <f t="shared" si="23"/>
        <v xml:space="preserve"> </v>
      </c>
      <c r="NB11" s="7" t="str">
        <f t="shared" si="23"/>
        <v xml:space="preserve"> </v>
      </c>
    </row>
    <row r="12" spans="1:366" s="7" customFormat="1" x14ac:dyDescent="0.15">
      <c r="A12"/>
      <c r="B12"/>
      <c r="C12"/>
      <c r="D12"/>
      <c r="E12" s="12"/>
      <c r="L12" s="559"/>
      <c r="AD12" s="570"/>
    </row>
    <row r="13" spans="1:366" s="7" customFormat="1" x14ac:dyDescent="0.15">
      <c r="A13"/>
      <c r="B13" s="4" t="s">
        <v>103</v>
      </c>
      <c r="C13" s="4"/>
      <c r="D13"/>
      <c r="E13" s="12"/>
      <c r="L13" s="559"/>
      <c r="AD13" s="570"/>
    </row>
    <row r="14" spans="1:366" s="7" customFormat="1" x14ac:dyDescent="0.15">
      <c r="A14"/>
      <c r="B14" t="s">
        <v>0</v>
      </c>
      <c r="C14"/>
      <c r="D14"/>
      <c r="E14" s="12"/>
      <c r="F14" s="66">
        <f>-purchase_price</f>
        <v>-5985000</v>
      </c>
      <c r="G14" s="66">
        <v>0</v>
      </c>
      <c r="H14" s="66">
        <v>0</v>
      </c>
      <c r="I14" s="66">
        <v>0</v>
      </c>
      <c r="J14" s="66">
        <v>0</v>
      </c>
      <c r="K14" s="66">
        <v>0</v>
      </c>
      <c r="L14" s="560">
        <v>0</v>
      </c>
      <c r="M14" s="66">
        <v>0</v>
      </c>
      <c r="N14" s="66">
        <v>0</v>
      </c>
      <c r="O14" s="66">
        <v>0</v>
      </c>
      <c r="P14" s="66">
        <v>0</v>
      </c>
      <c r="Q14" s="66">
        <v>0</v>
      </c>
      <c r="R14" s="66">
        <v>0</v>
      </c>
      <c r="S14" s="66">
        <v>0</v>
      </c>
      <c r="T14" s="66">
        <v>0</v>
      </c>
      <c r="U14" s="66">
        <v>0</v>
      </c>
      <c r="V14" s="66">
        <v>0</v>
      </c>
      <c r="W14" s="66">
        <v>0</v>
      </c>
      <c r="X14" s="66">
        <v>0</v>
      </c>
      <c r="Y14" s="66">
        <v>0</v>
      </c>
      <c r="Z14" s="66">
        <v>0</v>
      </c>
      <c r="AA14" s="66">
        <v>0</v>
      </c>
      <c r="AB14" s="66">
        <v>0</v>
      </c>
      <c r="AC14" s="66">
        <v>0</v>
      </c>
      <c r="AD14" s="571">
        <v>0</v>
      </c>
      <c r="AE14" s="66">
        <v>0</v>
      </c>
      <c r="AF14" s="66">
        <v>0</v>
      </c>
      <c r="AG14" s="66">
        <v>0</v>
      </c>
      <c r="AH14" s="66">
        <v>0</v>
      </c>
      <c r="AI14" s="66">
        <v>0</v>
      </c>
      <c r="AJ14" s="66">
        <v>0</v>
      </c>
      <c r="AK14" s="66">
        <v>0</v>
      </c>
      <c r="AL14" s="66">
        <v>0</v>
      </c>
      <c r="AM14" s="66">
        <v>0</v>
      </c>
      <c r="AN14" s="66">
        <v>0</v>
      </c>
      <c r="AO14" s="66">
        <v>0</v>
      </c>
      <c r="AP14" s="66">
        <v>0</v>
      </c>
      <c r="AQ14" s="66">
        <v>0</v>
      </c>
      <c r="AR14" s="66">
        <v>0</v>
      </c>
      <c r="AS14" s="66">
        <v>0</v>
      </c>
      <c r="AT14" s="66">
        <v>0</v>
      </c>
      <c r="AU14" s="66">
        <v>0</v>
      </c>
      <c r="AV14" s="66">
        <v>0</v>
      </c>
      <c r="AW14" s="66">
        <v>0</v>
      </c>
      <c r="AX14" s="66">
        <v>0</v>
      </c>
      <c r="AY14" s="66">
        <v>0</v>
      </c>
      <c r="AZ14" s="66">
        <v>0</v>
      </c>
      <c r="BA14" s="66">
        <v>0</v>
      </c>
      <c r="BB14" s="66">
        <v>0</v>
      </c>
      <c r="BC14" s="66">
        <v>0</v>
      </c>
      <c r="BD14" s="66">
        <v>0</v>
      </c>
      <c r="BE14" s="66">
        <v>0</v>
      </c>
      <c r="BF14" s="66">
        <v>0</v>
      </c>
      <c r="BG14" s="66">
        <v>0</v>
      </c>
      <c r="BH14" s="66">
        <v>0</v>
      </c>
      <c r="BI14" s="66">
        <v>0</v>
      </c>
      <c r="BJ14" s="66">
        <v>0</v>
      </c>
      <c r="BK14" s="66">
        <v>0</v>
      </c>
      <c r="BL14" s="66">
        <v>0</v>
      </c>
      <c r="BM14" s="66">
        <v>0</v>
      </c>
      <c r="BN14" s="66">
        <v>0</v>
      </c>
      <c r="BO14" s="66">
        <v>0</v>
      </c>
      <c r="BP14" s="66">
        <v>0</v>
      </c>
      <c r="BQ14" s="66">
        <v>0</v>
      </c>
      <c r="BR14" s="66">
        <v>0</v>
      </c>
      <c r="BS14" s="66">
        <v>0</v>
      </c>
      <c r="BT14" s="66">
        <v>0</v>
      </c>
      <c r="BU14" s="66">
        <v>0</v>
      </c>
      <c r="BV14" s="66">
        <v>0</v>
      </c>
      <c r="BW14" s="66">
        <v>0</v>
      </c>
      <c r="BX14" s="66">
        <v>0</v>
      </c>
      <c r="BY14" s="66">
        <v>0</v>
      </c>
      <c r="BZ14" s="66">
        <v>0</v>
      </c>
      <c r="CA14" s="66">
        <v>0</v>
      </c>
      <c r="CB14" s="66">
        <v>0</v>
      </c>
      <c r="CC14" s="66">
        <v>0</v>
      </c>
      <c r="CD14" s="66">
        <v>0</v>
      </c>
      <c r="CE14" s="66">
        <v>0</v>
      </c>
      <c r="CF14" s="66">
        <v>0</v>
      </c>
      <c r="CG14" s="66">
        <v>0</v>
      </c>
      <c r="CH14" s="66">
        <v>0</v>
      </c>
      <c r="CI14" s="66">
        <v>0</v>
      </c>
      <c r="CJ14" s="66">
        <v>0</v>
      </c>
      <c r="CK14" s="66">
        <v>0</v>
      </c>
      <c r="CL14" s="66">
        <v>0</v>
      </c>
      <c r="CM14" s="66">
        <v>0</v>
      </c>
      <c r="CN14" s="66">
        <v>0</v>
      </c>
      <c r="CO14" s="66">
        <v>0</v>
      </c>
      <c r="CP14" s="66">
        <v>0</v>
      </c>
      <c r="CQ14" s="66">
        <v>0</v>
      </c>
      <c r="CR14" s="66">
        <v>0</v>
      </c>
      <c r="CS14" s="66">
        <v>0</v>
      </c>
      <c r="CT14" s="66">
        <v>0</v>
      </c>
      <c r="CU14" s="66">
        <v>0</v>
      </c>
      <c r="CV14" s="66">
        <v>0</v>
      </c>
      <c r="CW14" s="66">
        <v>0</v>
      </c>
      <c r="CX14" s="66">
        <v>0</v>
      </c>
      <c r="CY14" s="66">
        <v>0</v>
      </c>
      <c r="CZ14" s="66">
        <v>0</v>
      </c>
      <c r="DA14" s="66">
        <v>0</v>
      </c>
      <c r="DB14" s="66">
        <v>0</v>
      </c>
      <c r="DC14" s="66">
        <v>0</v>
      </c>
      <c r="DD14" s="66">
        <v>0</v>
      </c>
      <c r="DE14" s="66">
        <v>0</v>
      </c>
      <c r="DF14" s="66">
        <v>0</v>
      </c>
      <c r="DG14" s="66">
        <v>0</v>
      </c>
      <c r="DH14" s="66">
        <v>0</v>
      </c>
      <c r="DI14" s="66">
        <v>0</v>
      </c>
      <c r="DJ14" s="66">
        <v>0</v>
      </c>
      <c r="DK14" s="66">
        <v>0</v>
      </c>
      <c r="DL14" s="66">
        <v>0</v>
      </c>
      <c r="DM14" s="66">
        <v>0</v>
      </c>
      <c r="DN14" s="66">
        <v>0</v>
      </c>
      <c r="DO14" s="66">
        <v>0</v>
      </c>
      <c r="DP14" s="66">
        <v>0</v>
      </c>
      <c r="DQ14" s="66">
        <v>0</v>
      </c>
      <c r="DR14" s="66">
        <v>0</v>
      </c>
      <c r="DS14" s="66">
        <v>0</v>
      </c>
      <c r="DT14" s="66">
        <v>0</v>
      </c>
      <c r="DU14" s="66">
        <v>0</v>
      </c>
      <c r="DV14" s="66">
        <v>0</v>
      </c>
      <c r="DW14" s="66">
        <v>0</v>
      </c>
      <c r="DX14" s="66">
        <v>0</v>
      </c>
      <c r="DY14" s="66">
        <v>0</v>
      </c>
      <c r="DZ14" s="66">
        <v>0</v>
      </c>
      <c r="EA14" s="66">
        <v>0</v>
      </c>
      <c r="EB14" s="66">
        <v>0</v>
      </c>
      <c r="EC14" s="66">
        <v>0</v>
      </c>
      <c r="ED14" s="66">
        <v>0</v>
      </c>
      <c r="EE14" s="66">
        <v>0</v>
      </c>
      <c r="EF14" s="66">
        <v>0</v>
      </c>
      <c r="EG14" s="66">
        <v>0</v>
      </c>
      <c r="EH14" s="66">
        <v>0</v>
      </c>
      <c r="EI14" s="66">
        <v>0</v>
      </c>
      <c r="EJ14" s="66">
        <v>0</v>
      </c>
      <c r="EK14" s="66">
        <v>0</v>
      </c>
      <c r="EL14" s="66">
        <v>0</v>
      </c>
      <c r="EM14" s="66">
        <v>0</v>
      </c>
      <c r="EN14" s="66">
        <v>0</v>
      </c>
      <c r="EO14" s="66">
        <v>0</v>
      </c>
      <c r="EP14" s="66">
        <v>0</v>
      </c>
      <c r="EQ14" s="66">
        <v>0</v>
      </c>
      <c r="ER14" s="66">
        <v>0</v>
      </c>
      <c r="ES14" s="66">
        <v>0</v>
      </c>
      <c r="ET14" s="66">
        <v>0</v>
      </c>
      <c r="EU14" s="66">
        <v>0</v>
      </c>
      <c r="EV14" s="66">
        <v>0</v>
      </c>
      <c r="EW14" s="66">
        <v>0</v>
      </c>
      <c r="EX14" s="66">
        <v>0</v>
      </c>
      <c r="EY14" s="66">
        <v>0</v>
      </c>
      <c r="EZ14" s="66">
        <v>0</v>
      </c>
      <c r="FA14" s="66">
        <v>0</v>
      </c>
      <c r="FB14" s="66">
        <v>0</v>
      </c>
      <c r="FC14" s="66">
        <v>0</v>
      </c>
      <c r="FD14" s="66">
        <v>0</v>
      </c>
      <c r="FE14" s="66">
        <v>0</v>
      </c>
      <c r="FF14" s="66">
        <v>0</v>
      </c>
      <c r="FG14" s="66">
        <v>0</v>
      </c>
      <c r="FH14" s="66">
        <v>0</v>
      </c>
      <c r="FI14" s="66">
        <v>0</v>
      </c>
      <c r="FJ14" s="66">
        <v>0</v>
      </c>
      <c r="FK14" s="66">
        <v>0</v>
      </c>
      <c r="FL14" s="66">
        <v>0</v>
      </c>
      <c r="FM14" s="66">
        <v>0</v>
      </c>
      <c r="FN14" s="66">
        <v>0</v>
      </c>
      <c r="FO14" s="66">
        <v>0</v>
      </c>
      <c r="FP14" s="66">
        <v>0</v>
      </c>
      <c r="FQ14" s="66">
        <v>0</v>
      </c>
      <c r="FR14" s="66">
        <v>0</v>
      </c>
      <c r="FS14" s="66">
        <v>0</v>
      </c>
      <c r="FT14" s="66">
        <v>0</v>
      </c>
      <c r="FU14" s="66">
        <v>0</v>
      </c>
      <c r="FV14" s="66">
        <v>0</v>
      </c>
      <c r="FW14" s="66">
        <v>0</v>
      </c>
      <c r="FX14" s="66">
        <v>0</v>
      </c>
      <c r="FY14" s="66">
        <v>0</v>
      </c>
      <c r="FZ14" s="66">
        <v>0</v>
      </c>
      <c r="GA14" s="66">
        <v>0</v>
      </c>
      <c r="GB14" s="66">
        <v>0</v>
      </c>
      <c r="GC14" s="66">
        <v>0</v>
      </c>
      <c r="GD14" s="66">
        <v>0</v>
      </c>
      <c r="GE14" s="66">
        <v>0</v>
      </c>
      <c r="GF14" s="66">
        <v>0</v>
      </c>
      <c r="GG14" s="66">
        <v>0</v>
      </c>
      <c r="GH14" s="66">
        <v>0</v>
      </c>
      <c r="GI14" s="66">
        <v>0</v>
      </c>
      <c r="GJ14" s="66">
        <v>0</v>
      </c>
      <c r="GK14" s="66">
        <v>0</v>
      </c>
      <c r="GL14" s="66">
        <v>0</v>
      </c>
      <c r="GM14" s="66">
        <v>0</v>
      </c>
      <c r="GN14" s="66">
        <v>0</v>
      </c>
      <c r="GO14" s="66">
        <v>0</v>
      </c>
      <c r="GP14" s="66">
        <v>0</v>
      </c>
      <c r="GQ14" s="66">
        <v>0</v>
      </c>
      <c r="GR14" s="66">
        <v>0</v>
      </c>
      <c r="GS14" s="66">
        <v>0</v>
      </c>
      <c r="GT14" s="66">
        <v>0</v>
      </c>
      <c r="GU14" s="66">
        <v>0</v>
      </c>
      <c r="GV14" s="66">
        <v>0</v>
      </c>
      <c r="GW14" s="66">
        <v>0</v>
      </c>
      <c r="GX14" s="66">
        <v>0</v>
      </c>
      <c r="GY14" s="66">
        <v>0</v>
      </c>
      <c r="GZ14" s="66">
        <v>0</v>
      </c>
      <c r="HA14" s="66">
        <v>0</v>
      </c>
      <c r="HB14" s="66">
        <v>0</v>
      </c>
      <c r="HC14" s="66">
        <v>0</v>
      </c>
      <c r="HD14" s="66">
        <v>0</v>
      </c>
      <c r="HE14" s="66">
        <v>0</v>
      </c>
      <c r="HF14" s="66">
        <v>0</v>
      </c>
      <c r="HG14" s="66">
        <v>0</v>
      </c>
      <c r="HH14" s="66">
        <v>0</v>
      </c>
      <c r="HI14" s="66">
        <v>0</v>
      </c>
      <c r="HJ14" s="66">
        <v>0</v>
      </c>
      <c r="HK14" s="66">
        <v>0</v>
      </c>
      <c r="HL14" s="66">
        <v>0</v>
      </c>
      <c r="HM14" s="66">
        <v>0</v>
      </c>
      <c r="HN14" s="66">
        <v>0</v>
      </c>
      <c r="HO14" s="66">
        <v>0</v>
      </c>
      <c r="HP14" s="66">
        <v>0</v>
      </c>
      <c r="HQ14" s="66">
        <v>0</v>
      </c>
      <c r="HR14" s="66">
        <v>0</v>
      </c>
      <c r="HS14" s="66">
        <v>0</v>
      </c>
      <c r="HT14" s="66">
        <v>0</v>
      </c>
      <c r="HU14" s="66">
        <v>0</v>
      </c>
      <c r="HV14" s="66">
        <v>0</v>
      </c>
      <c r="HW14" s="66">
        <v>0</v>
      </c>
      <c r="HX14" s="66">
        <v>0</v>
      </c>
      <c r="HY14" s="66">
        <v>0</v>
      </c>
      <c r="HZ14" s="66">
        <v>0</v>
      </c>
      <c r="IA14" s="66">
        <v>0</v>
      </c>
      <c r="IB14" s="66">
        <v>0</v>
      </c>
      <c r="IC14" s="66">
        <v>0</v>
      </c>
      <c r="ID14" s="66">
        <v>0</v>
      </c>
      <c r="IE14" s="66">
        <v>0</v>
      </c>
      <c r="IF14" s="66">
        <v>0</v>
      </c>
      <c r="IG14" s="66">
        <v>0</v>
      </c>
      <c r="IH14" s="66">
        <v>0</v>
      </c>
      <c r="II14" s="66">
        <v>0</v>
      </c>
      <c r="IJ14" s="66">
        <v>0</v>
      </c>
      <c r="IK14" s="66">
        <v>0</v>
      </c>
      <c r="IL14" s="66">
        <v>0</v>
      </c>
      <c r="IM14" s="66">
        <v>0</v>
      </c>
      <c r="IN14" s="66">
        <v>0</v>
      </c>
      <c r="IO14" s="66">
        <v>0</v>
      </c>
      <c r="IP14" s="66">
        <v>0</v>
      </c>
      <c r="IQ14" s="66">
        <v>0</v>
      </c>
      <c r="IR14" s="66">
        <v>0</v>
      </c>
      <c r="IS14" s="66">
        <v>0</v>
      </c>
      <c r="IT14" s="66">
        <v>0</v>
      </c>
      <c r="IU14" s="66">
        <v>0</v>
      </c>
      <c r="IV14" s="66">
        <v>0</v>
      </c>
      <c r="IW14" s="66">
        <v>0</v>
      </c>
      <c r="IX14" s="66">
        <v>0</v>
      </c>
      <c r="IY14" s="66">
        <v>0</v>
      </c>
      <c r="IZ14" s="66">
        <v>0</v>
      </c>
      <c r="JA14" s="66">
        <v>0</v>
      </c>
      <c r="JB14" s="66">
        <v>0</v>
      </c>
      <c r="JC14" s="66">
        <v>0</v>
      </c>
      <c r="JD14" s="66">
        <v>0</v>
      </c>
      <c r="JE14" s="66">
        <v>0</v>
      </c>
      <c r="JF14" s="66">
        <v>0</v>
      </c>
      <c r="JG14" s="66">
        <v>0</v>
      </c>
      <c r="JH14" s="66">
        <v>0</v>
      </c>
      <c r="JI14" s="66">
        <v>0</v>
      </c>
      <c r="JJ14" s="66">
        <v>0</v>
      </c>
      <c r="JK14" s="66">
        <v>0</v>
      </c>
      <c r="JL14" s="66">
        <v>0</v>
      </c>
      <c r="JM14" s="66">
        <v>0</v>
      </c>
      <c r="JN14" s="66">
        <v>0</v>
      </c>
      <c r="JO14" s="66">
        <v>0</v>
      </c>
      <c r="JP14" s="66">
        <v>0</v>
      </c>
      <c r="JQ14" s="66">
        <v>0</v>
      </c>
      <c r="JR14" s="66">
        <v>0</v>
      </c>
      <c r="JS14" s="66">
        <v>0</v>
      </c>
      <c r="JT14" s="66">
        <v>0</v>
      </c>
      <c r="JU14" s="66">
        <v>0</v>
      </c>
      <c r="JV14" s="66">
        <v>0</v>
      </c>
      <c r="JW14" s="66">
        <v>0</v>
      </c>
      <c r="JX14" s="66">
        <v>0</v>
      </c>
      <c r="JY14" s="66">
        <v>0</v>
      </c>
      <c r="JZ14" s="66">
        <v>0</v>
      </c>
      <c r="KA14" s="66">
        <v>0</v>
      </c>
      <c r="KB14" s="66">
        <v>0</v>
      </c>
      <c r="KC14" s="66">
        <v>0</v>
      </c>
      <c r="KD14" s="66">
        <v>0</v>
      </c>
      <c r="KE14" s="66">
        <v>0</v>
      </c>
      <c r="KF14" s="66">
        <v>0</v>
      </c>
      <c r="KG14" s="66">
        <v>0</v>
      </c>
      <c r="KH14" s="66">
        <v>0</v>
      </c>
      <c r="KI14" s="66">
        <v>0</v>
      </c>
      <c r="KJ14" s="66">
        <v>0</v>
      </c>
      <c r="KK14" s="66">
        <v>0</v>
      </c>
      <c r="KL14" s="66">
        <v>0</v>
      </c>
      <c r="KM14" s="66">
        <v>0</v>
      </c>
      <c r="KN14" s="66">
        <v>0</v>
      </c>
      <c r="KO14" s="66">
        <v>0</v>
      </c>
      <c r="KP14" s="66">
        <v>0</v>
      </c>
      <c r="KQ14" s="66">
        <v>0</v>
      </c>
      <c r="KR14" s="66">
        <v>0</v>
      </c>
      <c r="KS14" s="66">
        <v>0</v>
      </c>
      <c r="KT14" s="66">
        <v>0</v>
      </c>
      <c r="KU14" s="66">
        <v>0</v>
      </c>
      <c r="KV14" s="66">
        <v>0</v>
      </c>
      <c r="KW14" s="66">
        <v>0</v>
      </c>
      <c r="KX14" s="66">
        <v>0</v>
      </c>
      <c r="KY14" s="66">
        <v>0</v>
      </c>
      <c r="KZ14" s="66">
        <v>0</v>
      </c>
      <c r="LA14" s="66">
        <v>0</v>
      </c>
      <c r="LB14" s="66">
        <v>0</v>
      </c>
      <c r="LC14" s="66">
        <v>0</v>
      </c>
      <c r="LD14" s="66">
        <v>0</v>
      </c>
      <c r="LE14" s="66">
        <v>0</v>
      </c>
      <c r="LF14" s="66">
        <v>0</v>
      </c>
      <c r="LG14" s="66">
        <v>0</v>
      </c>
      <c r="LH14" s="66">
        <v>0</v>
      </c>
      <c r="LI14" s="66">
        <v>0</v>
      </c>
      <c r="LJ14" s="66">
        <v>0</v>
      </c>
      <c r="LK14" s="66">
        <v>0</v>
      </c>
      <c r="LL14" s="66">
        <v>0</v>
      </c>
      <c r="LM14" s="66">
        <v>0</v>
      </c>
      <c r="LN14" s="66">
        <v>0</v>
      </c>
      <c r="LO14" s="66">
        <v>0</v>
      </c>
      <c r="LP14" s="66">
        <v>0</v>
      </c>
      <c r="LQ14" s="66">
        <v>0</v>
      </c>
      <c r="LR14" s="66">
        <v>0</v>
      </c>
      <c r="LS14" s="66">
        <v>0</v>
      </c>
      <c r="LT14" s="66">
        <v>0</v>
      </c>
      <c r="LU14" s="66">
        <v>0</v>
      </c>
      <c r="LV14" s="66">
        <v>0</v>
      </c>
      <c r="LW14" s="66">
        <v>0</v>
      </c>
      <c r="LX14" s="66">
        <v>0</v>
      </c>
      <c r="LY14" s="66">
        <v>0</v>
      </c>
      <c r="LZ14" s="66">
        <v>0</v>
      </c>
      <c r="MA14" s="66">
        <v>0</v>
      </c>
      <c r="MB14" s="66">
        <v>0</v>
      </c>
      <c r="MC14" s="66">
        <v>0</v>
      </c>
      <c r="MD14" s="66">
        <v>0</v>
      </c>
      <c r="ME14" s="66">
        <v>0</v>
      </c>
      <c r="MF14" s="66">
        <v>0</v>
      </c>
      <c r="MG14" s="66">
        <v>0</v>
      </c>
      <c r="MH14" s="66">
        <v>0</v>
      </c>
      <c r="MI14" s="66">
        <v>0</v>
      </c>
      <c r="MJ14" s="66">
        <v>0</v>
      </c>
      <c r="MK14" s="66">
        <v>0</v>
      </c>
      <c r="ML14" s="66">
        <v>0</v>
      </c>
      <c r="MM14" s="66">
        <v>0</v>
      </c>
      <c r="MN14" s="66">
        <v>0</v>
      </c>
      <c r="MO14" s="66">
        <v>0</v>
      </c>
      <c r="MP14" s="66">
        <v>0</v>
      </c>
      <c r="MQ14" s="66">
        <v>0</v>
      </c>
      <c r="MR14" s="66">
        <v>0</v>
      </c>
      <c r="MS14" s="66">
        <v>0</v>
      </c>
      <c r="MT14" s="66">
        <v>0</v>
      </c>
      <c r="MU14" s="66">
        <v>0</v>
      </c>
      <c r="MV14" s="66">
        <v>0</v>
      </c>
      <c r="MW14" s="66">
        <v>0</v>
      </c>
      <c r="MX14" s="66">
        <v>0</v>
      </c>
      <c r="MY14" s="66">
        <v>0</v>
      </c>
      <c r="MZ14" s="66">
        <v>0</v>
      </c>
      <c r="NA14" s="66">
        <v>0</v>
      </c>
      <c r="NB14" s="66">
        <v>0</v>
      </c>
    </row>
    <row r="15" spans="1:366" s="7" customFormat="1" x14ac:dyDescent="0.15">
      <c r="A15"/>
      <c r="B15" s="6" t="s">
        <v>2</v>
      </c>
      <c r="C15" s="6"/>
      <c r="D15" s="6"/>
      <c r="E15" s="34"/>
      <c r="F15" s="78">
        <f>-closing_costs</f>
        <v>-239400</v>
      </c>
      <c r="G15" s="78">
        <v>0</v>
      </c>
      <c r="H15" s="78">
        <v>0</v>
      </c>
      <c r="I15" s="78">
        <v>0</v>
      </c>
      <c r="J15" s="78">
        <v>0</v>
      </c>
      <c r="K15" s="78">
        <v>0</v>
      </c>
      <c r="L15" s="432">
        <v>0</v>
      </c>
      <c r="M15" s="78">
        <v>0</v>
      </c>
      <c r="N15" s="78">
        <v>0</v>
      </c>
      <c r="O15" s="78">
        <v>0</v>
      </c>
      <c r="P15" s="78">
        <v>0</v>
      </c>
      <c r="Q15" s="78">
        <v>0</v>
      </c>
      <c r="R15" s="78">
        <v>0</v>
      </c>
      <c r="S15" s="78">
        <v>0</v>
      </c>
      <c r="T15" s="78">
        <v>0</v>
      </c>
      <c r="U15" s="78">
        <v>0</v>
      </c>
      <c r="V15" s="78">
        <v>0</v>
      </c>
      <c r="W15" s="78">
        <v>0</v>
      </c>
      <c r="X15" s="78">
        <v>0</v>
      </c>
      <c r="Y15" s="78">
        <v>0</v>
      </c>
      <c r="Z15" s="78">
        <v>0</v>
      </c>
      <c r="AA15" s="78">
        <v>0</v>
      </c>
      <c r="AB15" s="78">
        <v>0</v>
      </c>
      <c r="AC15" s="78">
        <v>0</v>
      </c>
      <c r="AD15" s="78">
        <v>0</v>
      </c>
      <c r="AE15" s="78">
        <v>0</v>
      </c>
      <c r="AF15" s="78">
        <v>0</v>
      </c>
      <c r="AG15" s="78">
        <v>0</v>
      </c>
      <c r="AH15" s="78">
        <v>0</v>
      </c>
      <c r="AI15" s="78">
        <v>0</v>
      </c>
      <c r="AJ15" s="78">
        <v>0</v>
      </c>
      <c r="AK15" s="78">
        <v>0</v>
      </c>
      <c r="AL15" s="78">
        <v>0</v>
      </c>
      <c r="AM15" s="78">
        <v>0</v>
      </c>
      <c r="AN15" s="78">
        <v>0</v>
      </c>
      <c r="AO15" s="78">
        <v>0</v>
      </c>
      <c r="AP15" s="78">
        <v>0</v>
      </c>
      <c r="AQ15" s="78">
        <v>0</v>
      </c>
      <c r="AR15" s="78">
        <v>0</v>
      </c>
      <c r="AS15" s="78">
        <v>0</v>
      </c>
      <c r="AT15" s="78">
        <v>0</v>
      </c>
      <c r="AU15" s="78">
        <v>0</v>
      </c>
      <c r="AV15" s="78">
        <v>0</v>
      </c>
      <c r="AW15" s="78">
        <v>0</v>
      </c>
      <c r="AX15" s="78">
        <v>0</v>
      </c>
      <c r="AY15" s="78">
        <v>0</v>
      </c>
      <c r="AZ15" s="78">
        <v>0</v>
      </c>
      <c r="BA15" s="78">
        <v>0</v>
      </c>
      <c r="BB15" s="78">
        <v>0</v>
      </c>
      <c r="BC15" s="78">
        <v>0</v>
      </c>
      <c r="BD15" s="78">
        <v>0</v>
      </c>
      <c r="BE15" s="78">
        <v>0</v>
      </c>
      <c r="BF15" s="78">
        <v>0</v>
      </c>
      <c r="BG15" s="78">
        <v>0</v>
      </c>
      <c r="BH15" s="78">
        <v>0</v>
      </c>
      <c r="BI15" s="78">
        <v>0</v>
      </c>
      <c r="BJ15" s="78">
        <v>0</v>
      </c>
      <c r="BK15" s="78">
        <v>0</v>
      </c>
      <c r="BL15" s="78">
        <v>0</v>
      </c>
      <c r="BM15" s="78">
        <v>0</v>
      </c>
      <c r="BN15" s="78">
        <v>0</v>
      </c>
      <c r="BO15" s="78">
        <v>0</v>
      </c>
      <c r="BP15" s="78">
        <v>0</v>
      </c>
      <c r="BQ15" s="78">
        <v>0</v>
      </c>
      <c r="BR15" s="78">
        <v>0</v>
      </c>
      <c r="BS15" s="78">
        <v>0</v>
      </c>
      <c r="BT15" s="78">
        <v>0</v>
      </c>
      <c r="BU15" s="78">
        <v>0</v>
      </c>
      <c r="BV15" s="78">
        <v>0</v>
      </c>
      <c r="BW15" s="78">
        <v>0</v>
      </c>
      <c r="BX15" s="78">
        <v>0</v>
      </c>
      <c r="BY15" s="78">
        <v>0</v>
      </c>
      <c r="BZ15" s="78">
        <v>0</v>
      </c>
      <c r="CA15" s="78">
        <v>0</v>
      </c>
      <c r="CB15" s="78">
        <v>0</v>
      </c>
      <c r="CC15" s="78">
        <v>0</v>
      </c>
      <c r="CD15" s="78">
        <v>0</v>
      </c>
      <c r="CE15" s="78">
        <v>0</v>
      </c>
      <c r="CF15" s="78">
        <v>0</v>
      </c>
      <c r="CG15" s="78">
        <v>0</v>
      </c>
      <c r="CH15" s="78">
        <v>0</v>
      </c>
      <c r="CI15" s="78">
        <v>0</v>
      </c>
      <c r="CJ15" s="78">
        <v>0</v>
      </c>
      <c r="CK15" s="78">
        <v>0</v>
      </c>
      <c r="CL15" s="78">
        <v>0</v>
      </c>
      <c r="CM15" s="78">
        <v>0</v>
      </c>
      <c r="CN15" s="78">
        <v>0</v>
      </c>
      <c r="CO15" s="78">
        <v>0</v>
      </c>
      <c r="CP15" s="78">
        <v>0</v>
      </c>
      <c r="CQ15" s="78">
        <v>0</v>
      </c>
      <c r="CR15" s="78">
        <v>0</v>
      </c>
      <c r="CS15" s="78">
        <v>0</v>
      </c>
      <c r="CT15" s="78">
        <v>0</v>
      </c>
      <c r="CU15" s="78">
        <v>0</v>
      </c>
      <c r="CV15" s="78">
        <v>0</v>
      </c>
      <c r="CW15" s="78">
        <v>0</v>
      </c>
      <c r="CX15" s="78">
        <v>0</v>
      </c>
      <c r="CY15" s="78">
        <v>0</v>
      </c>
      <c r="CZ15" s="78">
        <v>0</v>
      </c>
      <c r="DA15" s="78">
        <v>0</v>
      </c>
      <c r="DB15" s="78">
        <v>0</v>
      </c>
      <c r="DC15" s="78">
        <v>0</v>
      </c>
      <c r="DD15" s="78">
        <v>0</v>
      </c>
      <c r="DE15" s="78">
        <v>0</v>
      </c>
      <c r="DF15" s="78">
        <v>0</v>
      </c>
      <c r="DG15" s="78">
        <v>0</v>
      </c>
      <c r="DH15" s="78">
        <v>0</v>
      </c>
      <c r="DI15" s="78">
        <v>0</v>
      </c>
      <c r="DJ15" s="78">
        <v>0</v>
      </c>
      <c r="DK15" s="78">
        <v>0</v>
      </c>
      <c r="DL15" s="78">
        <v>0</v>
      </c>
      <c r="DM15" s="78">
        <v>0</v>
      </c>
      <c r="DN15" s="78">
        <v>0</v>
      </c>
      <c r="DO15" s="78">
        <v>0</v>
      </c>
      <c r="DP15" s="78">
        <v>0</v>
      </c>
      <c r="DQ15" s="78">
        <v>0</v>
      </c>
      <c r="DR15" s="78">
        <v>0</v>
      </c>
      <c r="DS15" s="78">
        <v>0</v>
      </c>
      <c r="DT15" s="78">
        <v>0</v>
      </c>
      <c r="DU15" s="78">
        <v>0</v>
      </c>
      <c r="DV15" s="78">
        <v>0</v>
      </c>
      <c r="DW15" s="78">
        <v>0</v>
      </c>
      <c r="DX15" s="78">
        <v>0</v>
      </c>
      <c r="DY15" s="78">
        <v>0</v>
      </c>
      <c r="DZ15" s="78">
        <v>0</v>
      </c>
      <c r="EA15" s="78">
        <v>0</v>
      </c>
      <c r="EB15" s="78">
        <v>0</v>
      </c>
      <c r="EC15" s="78">
        <v>0</v>
      </c>
      <c r="ED15" s="78">
        <v>0</v>
      </c>
      <c r="EE15" s="78">
        <v>0</v>
      </c>
      <c r="EF15" s="78">
        <v>0</v>
      </c>
      <c r="EG15" s="78">
        <v>0</v>
      </c>
      <c r="EH15" s="78">
        <v>0</v>
      </c>
      <c r="EI15" s="78">
        <v>0</v>
      </c>
      <c r="EJ15" s="78">
        <v>0</v>
      </c>
      <c r="EK15" s="78">
        <v>0</v>
      </c>
      <c r="EL15" s="78">
        <v>0</v>
      </c>
      <c r="EM15" s="78">
        <v>0</v>
      </c>
      <c r="EN15" s="78">
        <v>0</v>
      </c>
      <c r="EO15" s="78">
        <v>0</v>
      </c>
      <c r="EP15" s="78">
        <v>0</v>
      </c>
      <c r="EQ15" s="78">
        <v>0</v>
      </c>
      <c r="ER15" s="78">
        <v>0</v>
      </c>
      <c r="ES15" s="78">
        <v>0</v>
      </c>
      <c r="ET15" s="78">
        <v>0</v>
      </c>
      <c r="EU15" s="78">
        <v>0</v>
      </c>
      <c r="EV15" s="78">
        <v>0</v>
      </c>
      <c r="EW15" s="78">
        <v>0</v>
      </c>
      <c r="EX15" s="78">
        <v>0</v>
      </c>
      <c r="EY15" s="78">
        <v>0</v>
      </c>
      <c r="EZ15" s="78">
        <v>0</v>
      </c>
      <c r="FA15" s="78">
        <v>0</v>
      </c>
      <c r="FB15" s="78">
        <v>0</v>
      </c>
      <c r="FC15" s="78">
        <v>0</v>
      </c>
      <c r="FD15" s="78">
        <v>0</v>
      </c>
      <c r="FE15" s="78">
        <v>0</v>
      </c>
      <c r="FF15" s="78">
        <v>0</v>
      </c>
      <c r="FG15" s="78">
        <v>0</v>
      </c>
      <c r="FH15" s="78">
        <v>0</v>
      </c>
      <c r="FI15" s="78">
        <v>0</v>
      </c>
      <c r="FJ15" s="78">
        <v>0</v>
      </c>
      <c r="FK15" s="78">
        <v>0</v>
      </c>
      <c r="FL15" s="78">
        <v>0</v>
      </c>
      <c r="FM15" s="78">
        <v>0</v>
      </c>
      <c r="FN15" s="78">
        <v>0</v>
      </c>
      <c r="FO15" s="78">
        <v>0</v>
      </c>
      <c r="FP15" s="78">
        <v>0</v>
      </c>
      <c r="FQ15" s="78">
        <v>0</v>
      </c>
      <c r="FR15" s="78">
        <v>0</v>
      </c>
      <c r="FS15" s="78">
        <v>0</v>
      </c>
      <c r="FT15" s="78">
        <v>0</v>
      </c>
      <c r="FU15" s="78">
        <v>0</v>
      </c>
      <c r="FV15" s="78">
        <v>0</v>
      </c>
      <c r="FW15" s="78">
        <v>0</v>
      </c>
      <c r="FX15" s="78">
        <v>0</v>
      </c>
      <c r="FY15" s="78">
        <v>0</v>
      </c>
      <c r="FZ15" s="78">
        <v>0</v>
      </c>
      <c r="GA15" s="78">
        <v>0</v>
      </c>
      <c r="GB15" s="78">
        <v>0</v>
      </c>
      <c r="GC15" s="78">
        <v>0</v>
      </c>
      <c r="GD15" s="78">
        <v>0</v>
      </c>
      <c r="GE15" s="78">
        <v>0</v>
      </c>
      <c r="GF15" s="78">
        <v>0</v>
      </c>
      <c r="GG15" s="78">
        <v>0</v>
      </c>
      <c r="GH15" s="78">
        <v>0</v>
      </c>
      <c r="GI15" s="78">
        <v>0</v>
      </c>
      <c r="GJ15" s="78">
        <v>0</v>
      </c>
      <c r="GK15" s="78">
        <v>0</v>
      </c>
      <c r="GL15" s="78">
        <v>0</v>
      </c>
      <c r="GM15" s="78">
        <v>0</v>
      </c>
      <c r="GN15" s="78">
        <v>0</v>
      </c>
      <c r="GO15" s="78">
        <v>0</v>
      </c>
      <c r="GP15" s="78">
        <v>0</v>
      </c>
      <c r="GQ15" s="78">
        <v>0</v>
      </c>
      <c r="GR15" s="78">
        <v>0</v>
      </c>
      <c r="GS15" s="78">
        <v>0</v>
      </c>
      <c r="GT15" s="78">
        <v>0</v>
      </c>
      <c r="GU15" s="78">
        <v>0</v>
      </c>
      <c r="GV15" s="78">
        <v>0</v>
      </c>
      <c r="GW15" s="78">
        <v>0</v>
      </c>
      <c r="GX15" s="78">
        <v>0</v>
      </c>
      <c r="GY15" s="78">
        <v>0</v>
      </c>
      <c r="GZ15" s="78">
        <v>0</v>
      </c>
      <c r="HA15" s="78">
        <v>0</v>
      </c>
      <c r="HB15" s="78">
        <v>0</v>
      </c>
      <c r="HC15" s="78">
        <v>0</v>
      </c>
      <c r="HD15" s="78">
        <v>0</v>
      </c>
      <c r="HE15" s="78">
        <v>0</v>
      </c>
      <c r="HF15" s="78">
        <v>0</v>
      </c>
      <c r="HG15" s="78">
        <v>0</v>
      </c>
      <c r="HH15" s="78">
        <v>0</v>
      </c>
      <c r="HI15" s="78">
        <v>0</v>
      </c>
      <c r="HJ15" s="78">
        <v>0</v>
      </c>
      <c r="HK15" s="78">
        <v>0</v>
      </c>
      <c r="HL15" s="78">
        <v>0</v>
      </c>
      <c r="HM15" s="78">
        <v>0</v>
      </c>
      <c r="HN15" s="78">
        <v>0</v>
      </c>
      <c r="HO15" s="78">
        <v>0</v>
      </c>
      <c r="HP15" s="78">
        <v>0</v>
      </c>
      <c r="HQ15" s="78">
        <v>0</v>
      </c>
      <c r="HR15" s="78">
        <v>0</v>
      </c>
      <c r="HS15" s="78">
        <v>0</v>
      </c>
      <c r="HT15" s="78">
        <v>0</v>
      </c>
      <c r="HU15" s="78">
        <v>0</v>
      </c>
      <c r="HV15" s="78">
        <v>0</v>
      </c>
      <c r="HW15" s="78">
        <v>0</v>
      </c>
      <c r="HX15" s="78">
        <v>0</v>
      </c>
      <c r="HY15" s="78">
        <v>0</v>
      </c>
      <c r="HZ15" s="78">
        <v>0</v>
      </c>
      <c r="IA15" s="78">
        <v>0</v>
      </c>
      <c r="IB15" s="78">
        <v>0</v>
      </c>
      <c r="IC15" s="78">
        <v>0</v>
      </c>
      <c r="ID15" s="78">
        <v>0</v>
      </c>
      <c r="IE15" s="78">
        <v>0</v>
      </c>
      <c r="IF15" s="78">
        <v>0</v>
      </c>
      <c r="IG15" s="78">
        <v>0</v>
      </c>
      <c r="IH15" s="78">
        <v>0</v>
      </c>
      <c r="II15" s="78">
        <v>0</v>
      </c>
      <c r="IJ15" s="78">
        <v>0</v>
      </c>
      <c r="IK15" s="78">
        <v>0</v>
      </c>
      <c r="IL15" s="78">
        <v>0</v>
      </c>
      <c r="IM15" s="78">
        <v>0</v>
      </c>
      <c r="IN15" s="78">
        <v>0</v>
      </c>
      <c r="IO15" s="78">
        <v>0</v>
      </c>
      <c r="IP15" s="78">
        <v>0</v>
      </c>
      <c r="IQ15" s="78">
        <v>0</v>
      </c>
      <c r="IR15" s="78">
        <v>0</v>
      </c>
      <c r="IS15" s="78">
        <v>0</v>
      </c>
      <c r="IT15" s="78">
        <v>0</v>
      </c>
      <c r="IU15" s="78">
        <v>0</v>
      </c>
      <c r="IV15" s="78">
        <v>0</v>
      </c>
      <c r="IW15" s="78">
        <v>0</v>
      </c>
      <c r="IX15" s="78">
        <v>0</v>
      </c>
      <c r="IY15" s="78">
        <v>0</v>
      </c>
      <c r="IZ15" s="78">
        <v>0</v>
      </c>
      <c r="JA15" s="78">
        <v>0</v>
      </c>
      <c r="JB15" s="78">
        <v>0</v>
      </c>
      <c r="JC15" s="78">
        <v>0</v>
      </c>
      <c r="JD15" s="78">
        <v>0</v>
      </c>
      <c r="JE15" s="78">
        <v>0</v>
      </c>
      <c r="JF15" s="78">
        <v>0</v>
      </c>
      <c r="JG15" s="78">
        <v>0</v>
      </c>
      <c r="JH15" s="78">
        <v>0</v>
      </c>
      <c r="JI15" s="78">
        <v>0</v>
      </c>
      <c r="JJ15" s="78">
        <v>0</v>
      </c>
      <c r="JK15" s="78">
        <v>0</v>
      </c>
      <c r="JL15" s="78">
        <v>0</v>
      </c>
      <c r="JM15" s="78">
        <v>0</v>
      </c>
      <c r="JN15" s="78">
        <v>0</v>
      </c>
      <c r="JO15" s="78">
        <v>0</v>
      </c>
      <c r="JP15" s="78">
        <v>0</v>
      </c>
      <c r="JQ15" s="78">
        <v>0</v>
      </c>
      <c r="JR15" s="78">
        <v>0</v>
      </c>
      <c r="JS15" s="78">
        <v>0</v>
      </c>
      <c r="JT15" s="78">
        <v>0</v>
      </c>
      <c r="JU15" s="78">
        <v>0</v>
      </c>
      <c r="JV15" s="78">
        <v>0</v>
      </c>
      <c r="JW15" s="78">
        <v>0</v>
      </c>
      <c r="JX15" s="78">
        <v>0</v>
      </c>
      <c r="JY15" s="78">
        <v>0</v>
      </c>
      <c r="JZ15" s="78">
        <v>0</v>
      </c>
      <c r="KA15" s="78">
        <v>0</v>
      </c>
      <c r="KB15" s="78">
        <v>0</v>
      </c>
      <c r="KC15" s="78">
        <v>0</v>
      </c>
      <c r="KD15" s="78">
        <v>0</v>
      </c>
      <c r="KE15" s="78">
        <v>0</v>
      </c>
      <c r="KF15" s="78">
        <v>0</v>
      </c>
      <c r="KG15" s="78">
        <v>0</v>
      </c>
      <c r="KH15" s="78">
        <v>0</v>
      </c>
      <c r="KI15" s="78">
        <v>0</v>
      </c>
      <c r="KJ15" s="78">
        <v>0</v>
      </c>
      <c r="KK15" s="78">
        <v>0</v>
      </c>
      <c r="KL15" s="78">
        <v>0</v>
      </c>
      <c r="KM15" s="78">
        <v>0</v>
      </c>
      <c r="KN15" s="78">
        <v>0</v>
      </c>
      <c r="KO15" s="78">
        <v>0</v>
      </c>
      <c r="KP15" s="78">
        <v>0</v>
      </c>
      <c r="KQ15" s="78">
        <v>0</v>
      </c>
      <c r="KR15" s="78">
        <v>0</v>
      </c>
      <c r="KS15" s="78">
        <v>0</v>
      </c>
      <c r="KT15" s="78">
        <v>0</v>
      </c>
      <c r="KU15" s="78">
        <v>0</v>
      </c>
      <c r="KV15" s="78">
        <v>0</v>
      </c>
      <c r="KW15" s="78">
        <v>0</v>
      </c>
      <c r="KX15" s="78">
        <v>0</v>
      </c>
      <c r="KY15" s="78">
        <v>0</v>
      </c>
      <c r="KZ15" s="78">
        <v>0</v>
      </c>
      <c r="LA15" s="78">
        <v>0</v>
      </c>
      <c r="LB15" s="78">
        <v>0</v>
      </c>
      <c r="LC15" s="78">
        <v>0</v>
      </c>
      <c r="LD15" s="78">
        <v>0</v>
      </c>
      <c r="LE15" s="78">
        <v>0</v>
      </c>
      <c r="LF15" s="78">
        <v>0</v>
      </c>
      <c r="LG15" s="78">
        <v>0</v>
      </c>
      <c r="LH15" s="78">
        <v>0</v>
      </c>
      <c r="LI15" s="78">
        <v>0</v>
      </c>
      <c r="LJ15" s="78">
        <v>0</v>
      </c>
      <c r="LK15" s="78">
        <v>0</v>
      </c>
      <c r="LL15" s="78">
        <v>0</v>
      </c>
      <c r="LM15" s="78">
        <v>0</v>
      </c>
      <c r="LN15" s="78">
        <v>0</v>
      </c>
      <c r="LO15" s="78">
        <v>0</v>
      </c>
      <c r="LP15" s="78">
        <v>0</v>
      </c>
      <c r="LQ15" s="78">
        <v>0</v>
      </c>
      <c r="LR15" s="78">
        <v>0</v>
      </c>
      <c r="LS15" s="78">
        <v>0</v>
      </c>
      <c r="LT15" s="78">
        <v>0</v>
      </c>
      <c r="LU15" s="78">
        <v>0</v>
      </c>
      <c r="LV15" s="78">
        <v>0</v>
      </c>
      <c r="LW15" s="78">
        <v>0</v>
      </c>
      <c r="LX15" s="78">
        <v>0</v>
      </c>
      <c r="LY15" s="78">
        <v>0</v>
      </c>
      <c r="LZ15" s="78">
        <v>0</v>
      </c>
      <c r="MA15" s="78">
        <v>0</v>
      </c>
      <c r="MB15" s="78">
        <v>0</v>
      </c>
      <c r="MC15" s="78">
        <v>0</v>
      </c>
      <c r="MD15" s="78">
        <v>0</v>
      </c>
      <c r="ME15" s="78">
        <v>0</v>
      </c>
      <c r="MF15" s="78">
        <v>0</v>
      </c>
      <c r="MG15" s="78">
        <v>0</v>
      </c>
      <c r="MH15" s="78">
        <v>0</v>
      </c>
      <c r="MI15" s="78">
        <v>0</v>
      </c>
      <c r="MJ15" s="78">
        <v>0</v>
      </c>
      <c r="MK15" s="78">
        <v>0</v>
      </c>
      <c r="ML15" s="78">
        <v>0</v>
      </c>
      <c r="MM15" s="78">
        <v>0</v>
      </c>
      <c r="MN15" s="78">
        <v>0</v>
      </c>
      <c r="MO15" s="78">
        <v>0</v>
      </c>
      <c r="MP15" s="78">
        <v>0</v>
      </c>
      <c r="MQ15" s="78">
        <v>0</v>
      </c>
      <c r="MR15" s="78">
        <v>0</v>
      </c>
      <c r="MS15" s="78">
        <v>0</v>
      </c>
      <c r="MT15" s="78">
        <v>0</v>
      </c>
      <c r="MU15" s="78">
        <v>0</v>
      </c>
      <c r="MV15" s="78">
        <v>0</v>
      </c>
      <c r="MW15" s="78">
        <v>0</v>
      </c>
      <c r="MX15" s="78">
        <v>0</v>
      </c>
      <c r="MY15" s="78">
        <v>0</v>
      </c>
      <c r="MZ15" s="78">
        <v>0</v>
      </c>
      <c r="NA15" s="78">
        <v>0</v>
      </c>
      <c r="NB15" s="78">
        <v>0</v>
      </c>
    </row>
    <row r="16" spans="1:366" s="7" customFormat="1" x14ac:dyDescent="0.15">
      <c r="A16"/>
      <c r="B16" t="s">
        <v>104</v>
      </c>
      <c r="C16"/>
      <c r="D16"/>
      <c r="E16" s="12"/>
      <c r="F16" s="20">
        <f t="shared" ref="F16:AK16" si="24">SUM(F14:F15)</f>
        <v>-6224400</v>
      </c>
      <c r="G16" s="20">
        <f t="shared" si="24"/>
        <v>0</v>
      </c>
      <c r="H16" s="20">
        <f t="shared" si="24"/>
        <v>0</v>
      </c>
      <c r="I16" s="20">
        <f t="shared" si="24"/>
        <v>0</v>
      </c>
      <c r="J16" s="20">
        <f t="shared" si="24"/>
        <v>0</v>
      </c>
      <c r="K16" s="20">
        <f t="shared" si="24"/>
        <v>0</v>
      </c>
      <c r="L16" s="561">
        <f t="shared" si="24"/>
        <v>0</v>
      </c>
      <c r="M16" s="20">
        <f t="shared" si="24"/>
        <v>0</v>
      </c>
      <c r="N16" s="20">
        <f t="shared" si="24"/>
        <v>0</v>
      </c>
      <c r="O16" s="20">
        <f t="shared" si="24"/>
        <v>0</v>
      </c>
      <c r="P16" s="20">
        <f t="shared" si="24"/>
        <v>0</v>
      </c>
      <c r="Q16" s="20">
        <f t="shared" si="24"/>
        <v>0</v>
      </c>
      <c r="R16" s="20">
        <f t="shared" si="24"/>
        <v>0</v>
      </c>
      <c r="S16" s="20">
        <f t="shared" si="24"/>
        <v>0</v>
      </c>
      <c r="T16" s="20">
        <f t="shared" si="24"/>
        <v>0</v>
      </c>
      <c r="U16" s="20">
        <f t="shared" si="24"/>
        <v>0</v>
      </c>
      <c r="V16" s="20">
        <f t="shared" si="24"/>
        <v>0</v>
      </c>
      <c r="W16" s="20">
        <f t="shared" si="24"/>
        <v>0</v>
      </c>
      <c r="X16" s="20">
        <f t="shared" si="24"/>
        <v>0</v>
      </c>
      <c r="Y16" s="20">
        <f t="shared" si="24"/>
        <v>0</v>
      </c>
      <c r="Z16" s="20">
        <f t="shared" si="24"/>
        <v>0</v>
      </c>
      <c r="AA16" s="20">
        <f t="shared" si="24"/>
        <v>0</v>
      </c>
      <c r="AB16" s="20">
        <f t="shared" si="24"/>
        <v>0</v>
      </c>
      <c r="AC16" s="20">
        <f t="shared" si="24"/>
        <v>0</v>
      </c>
      <c r="AD16" s="572">
        <f t="shared" si="24"/>
        <v>0</v>
      </c>
      <c r="AE16" s="20">
        <f t="shared" si="24"/>
        <v>0</v>
      </c>
      <c r="AF16" s="20">
        <f t="shared" si="24"/>
        <v>0</v>
      </c>
      <c r="AG16" s="20">
        <f t="shared" si="24"/>
        <v>0</v>
      </c>
      <c r="AH16" s="20">
        <f t="shared" si="24"/>
        <v>0</v>
      </c>
      <c r="AI16" s="20">
        <f t="shared" si="24"/>
        <v>0</v>
      </c>
      <c r="AJ16" s="20">
        <f t="shared" si="24"/>
        <v>0</v>
      </c>
      <c r="AK16" s="20">
        <f t="shared" si="24"/>
        <v>0</v>
      </c>
      <c r="AL16" s="20">
        <f t="shared" ref="AL16:BQ16" si="25">SUM(AL14:AL15)</f>
        <v>0</v>
      </c>
      <c r="AM16" s="20">
        <f t="shared" si="25"/>
        <v>0</v>
      </c>
      <c r="AN16" s="20">
        <f t="shared" si="25"/>
        <v>0</v>
      </c>
      <c r="AO16" s="20">
        <f t="shared" si="25"/>
        <v>0</v>
      </c>
      <c r="AP16" s="20">
        <f t="shared" si="25"/>
        <v>0</v>
      </c>
      <c r="AQ16" s="20">
        <f t="shared" si="25"/>
        <v>0</v>
      </c>
      <c r="AR16" s="20">
        <f t="shared" si="25"/>
        <v>0</v>
      </c>
      <c r="AS16" s="20">
        <f t="shared" si="25"/>
        <v>0</v>
      </c>
      <c r="AT16" s="20">
        <f t="shared" si="25"/>
        <v>0</v>
      </c>
      <c r="AU16" s="20">
        <f t="shared" si="25"/>
        <v>0</v>
      </c>
      <c r="AV16" s="20">
        <f t="shared" si="25"/>
        <v>0</v>
      </c>
      <c r="AW16" s="20">
        <f t="shared" si="25"/>
        <v>0</v>
      </c>
      <c r="AX16" s="20">
        <f t="shared" si="25"/>
        <v>0</v>
      </c>
      <c r="AY16" s="20">
        <f t="shared" si="25"/>
        <v>0</v>
      </c>
      <c r="AZ16" s="20">
        <f t="shared" si="25"/>
        <v>0</v>
      </c>
      <c r="BA16" s="20">
        <f t="shared" si="25"/>
        <v>0</v>
      </c>
      <c r="BB16" s="20">
        <f t="shared" si="25"/>
        <v>0</v>
      </c>
      <c r="BC16" s="20">
        <f t="shared" si="25"/>
        <v>0</v>
      </c>
      <c r="BD16" s="20">
        <f t="shared" si="25"/>
        <v>0</v>
      </c>
      <c r="BE16" s="20">
        <f t="shared" si="25"/>
        <v>0</v>
      </c>
      <c r="BF16" s="20">
        <f t="shared" si="25"/>
        <v>0</v>
      </c>
      <c r="BG16" s="20">
        <f t="shared" si="25"/>
        <v>0</v>
      </c>
      <c r="BH16" s="20">
        <f t="shared" si="25"/>
        <v>0</v>
      </c>
      <c r="BI16" s="20">
        <f t="shared" si="25"/>
        <v>0</v>
      </c>
      <c r="BJ16" s="20">
        <f t="shared" si="25"/>
        <v>0</v>
      </c>
      <c r="BK16" s="20">
        <f t="shared" si="25"/>
        <v>0</v>
      </c>
      <c r="BL16" s="20">
        <f t="shared" si="25"/>
        <v>0</v>
      </c>
      <c r="BM16" s="20">
        <f t="shared" si="25"/>
        <v>0</v>
      </c>
      <c r="BN16" s="20">
        <f t="shared" si="25"/>
        <v>0</v>
      </c>
      <c r="BO16" s="20">
        <f t="shared" si="25"/>
        <v>0</v>
      </c>
      <c r="BP16" s="20">
        <f t="shared" si="25"/>
        <v>0</v>
      </c>
      <c r="BQ16" s="20">
        <f t="shared" si="25"/>
        <v>0</v>
      </c>
      <c r="BR16" s="20">
        <f t="shared" ref="BR16:CK16" si="26">SUM(BR14:BR15)</f>
        <v>0</v>
      </c>
      <c r="BS16" s="20">
        <f t="shared" si="26"/>
        <v>0</v>
      </c>
      <c r="BT16" s="20">
        <f t="shared" si="26"/>
        <v>0</v>
      </c>
      <c r="BU16" s="20">
        <f t="shared" si="26"/>
        <v>0</v>
      </c>
      <c r="BV16" s="20">
        <f t="shared" si="26"/>
        <v>0</v>
      </c>
      <c r="BW16" s="20">
        <f t="shared" si="26"/>
        <v>0</v>
      </c>
      <c r="BX16" s="20">
        <f t="shared" si="26"/>
        <v>0</v>
      </c>
      <c r="BY16" s="20">
        <f t="shared" si="26"/>
        <v>0</v>
      </c>
      <c r="BZ16" s="20">
        <f t="shared" si="26"/>
        <v>0</v>
      </c>
      <c r="CA16" s="20">
        <f t="shared" si="26"/>
        <v>0</v>
      </c>
      <c r="CB16" s="20">
        <f t="shared" si="26"/>
        <v>0</v>
      </c>
      <c r="CC16" s="20">
        <f t="shared" si="26"/>
        <v>0</v>
      </c>
      <c r="CD16" s="20">
        <f t="shared" si="26"/>
        <v>0</v>
      </c>
      <c r="CE16" s="20">
        <f t="shared" si="26"/>
        <v>0</v>
      </c>
      <c r="CF16" s="20">
        <f t="shared" si="26"/>
        <v>0</v>
      </c>
      <c r="CG16" s="20">
        <f t="shared" si="26"/>
        <v>0</v>
      </c>
      <c r="CH16" s="20">
        <f t="shared" si="26"/>
        <v>0</v>
      </c>
      <c r="CI16" s="20">
        <f t="shared" si="26"/>
        <v>0</v>
      </c>
      <c r="CJ16" s="20">
        <f t="shared" si="26"/>
        <v>0</v>
      </c>
      <c r="CK16" s="20">
        <f t="shared" si="26"/>
        <v>0</v>
      </c>
      <c r="CL16" s="20">
        <f t="shared" ref="CL16:EW16" si="27">SUM(CL14:CL15)</f>
        <v>0</v>
      </c>
      <c r="CM16" s="20">
        <f t="shared" si="27"/>
        <v>0</v>
      </c>
      <c r="CN16" s="20">
        <f t="shared" si="27"/>
        <v>0</v>
      </c>
      <c r="CO16" s="20">
        <f t="shared" si="27"/>
        <v>0</v>
      </c>
      <c r="CP16" s="20">
        <f t="shared" si="27"/>
        <v>0</v>
      </c>
      <c r="CQ16" s="20">
        <f t="shared" si="27"/>
        <v>0</v>
      </c>
      <c r="CR16" s="20">
        <f t="shared" si="27"/>
        <v>0</v>
      </c>
      <c r="CS16" s="20">
        <f t="shared" si="27"/>
        <v>0</v>
      </c>
      <c r="CT16" s="20">
        <f t="shared" si="27"/>
        <v>0</v>
      </c>
      <c r="CU16" s="20">
        <f t="shared" si="27"/>
        <v>0</v>
      </c>
      <c r="CV16" s="20">
        <f t="shared" si="27"/>
        <v>0</v>
      </c>
      <c r="CW16" s="20">
        <f t="shared" si="27"/>
        <v>0</v>
      </c>
      <c r="CX16" s="20">
        <f t="shared" si="27"/>
        <v>0</v>
      </c>
      <c r="CY16" s="20">
        <f t="shared" si="27"/>
        <v>0</v>
      </c>
      <c r="CZ16" s="20">
        <f t="shared" si="27"/>
        <v>0</v>
      </c>
      <c r="DA16" s="20">
        <f t="shared" si="27"/>
        <v>0</v>
      </c>
      <c r="DB16" s="20">
        <f t="shared" si="27"/>
        <v>0</v>
      </c>
      <c r="DC16" s="20">
        <f t="shared" si="27"/>
        <v>0</v>
      </c>
      <c r="DD16" s="20">
        <f t="shared" si="27"/>
        <v>0</v>
      </c>
      <c r="DE16" s="20">
        <f t="shared" si="27"/>
        <v>0</v>
      </c>
      <c r="DF16" s="20">
        <f t="shared" si="27"/>
        <v>0</v>
      </c>
      <c r="DG16" s="20">
        <f t="shared" si="27"/>
        <v>0</v>
      </c>
      <c r="DH16" s="20">
        <f t="shared" si="27"/>
        <v>0</v>
      </c>
      <c r="DI16" s="20">
        <f t="shared" si="27"/>
        <v>0</v>
      </c>
      <c r="DJ16" s="20">
        <f t="shared" si="27"/>
        <v>0</v>
      </c>
      <c r="DK16" s="20">
        <f t="shared" si="27"/>
        <v>0</v>
      </c>
      <c r="DL16" s="20">
        <f t="shared" si="27"/>
        <v>0</v>
      </c>
      <c r="DM16" s="20">
        <f t="shared" si="27"/>
        <v>0</v>
      </c>
      <c r="DN16" s="20">
        <f t="shared" si="27"/>
        <v>0</v>
      </c>
      <c r="DO16" s="20">
        <f t="shared" si="27"/>
        <v>0</v>
      </c>
      <c r="DP16" s="20">
        <f t="shared" si="27"/>
        <v>0</v>
      </c>
      <c r="DQ16" s="20">
        <f t="shared" si="27"/>
        <v>0</v>
      </c>
      <c r="DR16" s="20">
        <f t="shared" si="27"/>
        <v>0</v>
      </c>
      <c r="DS16" s="20">
        <f t="shared" si="27"/>
        <v>0</v>
      </c>
      <c r="DT16" s="20">
        <f t="shared" si="27"/>
        <v>0</v>
      </c>
      <c r="DU16" s="20">
        <f t="shared" si="27"/>
        <v>0</v>
      </c>
      <c r="DV16" s="20">
        <f t="shared" si="27"/>
        <v>0</v>
      </c>
      <c r="DW16" s="20">
        <f t="shared" si="27"/>
        <v>0</v>
      </c>
      <c r="DX16" s="20">
        <f t="shared" si="27"/>
        <v>0</v>
      </c>
      <c r="DY16" s="20">
        <f t="shared" si="27"/>
        <v>0</v>
      </c>
      <c r="DZ16" s="20">
        <f t="shared" si="27"/>
        <v>0</v>
      </c>
      <c r="EA16" s="20">
        <f t="shared" si="27"/>
        <v>0</v>
      </c>
      <c r="EB16" s="20">
        <f t="shared" si="27"/>
        <v>0</v>
      </c>
      <c r="EC16" s="20">
        <f t="shared" si="27"/>
        <v>0</v>
      </c>
      <c r="ED16" s="20">
        <f t="shared" si="27"/>
        <v>0</v>
      </c>
      <c r="EE16" s="20">
        <f t="shared" si="27"/>
        <v>0</v>
      </c>
      <c r="EF16" s="20">
        <f t="shared" si="27"/>
        <v>0</v>
      </c>
      <c r="EG16" s="20">
        <f t="shared" si="27"/>
        <v>0</v>
      </c>
      <c r="EH16" s="20">
        <f t="shared" si="27"/>
        <v>0</v>
      </c>
      <c r="EI16" s="20">
        <f t="shared" si="27"/>
        <v>0</v>
      </c>
      <c r="EJ16" s="20">
        <f t="shared" si="27"/>
        <v>0</v>
      </c>
      <c r="EK16" s="20">
        <f t="shared" si="27"/>
        <v>0</v>
      </c>
      <c r="EL16" s="20">
        <f t="shared" si="27"/>
        <v>0</v>
      </c>
      <c r="EM16" s="20">
        <f t="shared" si="27"/>
        <v>0</v>
      </c>
      <c r="EN16" s="20">
        <f t="shared" si="27"/>
        <v>0</v>
      </c>
      <c r="EO16" s="20">
        <f t="shared" si="27"/>
        <v>0</v>
      </c>
      <c r="EP16" s="20">
        <f t="shared" si="27"/>
        <v>0</v>
      </c>
      <c r="EQ16" s="20">
        <f t="shared" si="27"/>
        <v>0</v>
      </c>
      <c r="ER16" s="20">
        <f t="shared" si="27"/>
        <v>0</v>
      </c>
      <c r="ES16" s="20">
        <f t="shared" si="27"/>
        <v>0</v>
      </c>
      <c r="ET16" s="20">
        <f t="shared" si="27"/>
        <v>0</v>
      </c>
      <c r="EU16" s="20">
        <f t="shared" si="27"/>
        <v>0</v>
      </c>
      <c r="EV16" s="20">
        <f t="shared" si="27"/>
        <v>0</v>
      </c>
      <c r="EW16" s="20">
        <f t="shared" si="27"/>
        <v>0</v>
      </c>
      <c r="EX16" s="20">
        <f t="shared" ref="EX16:HI16" si="28">SUM(EX14:EX15)</f>
        <v>0</v>
      </c>
      <c r="EY16" s="20">
        <f t="shared" si="28"/>
        <v>0</v>
      </c>
      <c r="EZ16" s="20">
        <f t="shared" si="28"/>
        <v>0</v>
      </c>
      <c r="FA16" s="20">
        <f t="shared" si="28"/>
        <v>0</v>
      </c>
      <c r="FB16" s="20">
        <f t="shared" si="28"/>
        <v>0</v>
      </c>
      <c r="FC16" s="20">
        <f t="shared" si="28"/>
        <v>0</v>
      </c>
      <c r="FD16" s="20">
        <f t="shared" si="28"/>
        <v>0</v>
      </c>
      <c r="FE16" s="20">
        <f t="shared" si="28"/>
        <v>0</v>
      </c>
      <c r="FF16" s="20">
        <f t="shared" si="28"/>
        <v>0</v>
      </c>
      <c r="FG16" s="20">
        <f t="shared" si="28"/>
        <v>0</v>
      </c>
      <c r="FH16" s="20">
        <f t="shared" si="28"/>
        <v>0</v>
      </c>
      <c r="FI16" s="20">
        <f t="shared" si="28"/>
        <v>0</v>
      </c>
      <c r="FJ16" s="20">
        <f t="shared" si="28"/>
        <v>0</v>
      </c>
      <c r="FK16" s="20">
        <f t="shared" si="28"/>
        <v>0</v>
      </c>
      <c r="FL16" s="20">
        <f t="shared" si="28"/>
        <v>0</v>
      </c>
      <c r="FM16" s="20">
        <f t="shared" si="28"/>
        <v>0</v>
      </c>
      <c r="FN16" s="20">
        <f t="shared" si="28"/>
        <v>0</v>
      </c>
      <c r="FO16" s="20">
        <f t="shared" si="28"/>
        <v>0</v>
      </c>
      <c r="FP16" s="20">
        <f t="shared" si="28"/>
        <v>0</v>
      </c>
      <c r="FQ16" s="20">
        <f t="shared" si="28"/>
        <v>0</v>
      </c>
      <c r="FR16" s="20">
        <f t="shared" si="28"/>
        <v>0</v>
      </c>
      <c r="FS16" s="20">
        <f t="shared" si="28"/>
        <v>0</v>
      </c>
      <c r="FT16" s="20">
        <f t="shared" si="28"/>
        <v>0</v>
      </c>
      <c r="FU16" s="20">
        <f t="shared" si="28"/>
        <v>0</v>
      </c>
      <c r="FV16" s="20">
        <f t="shared" si="28"/>
        <v>0</v>
      </c>
      <c r="FW16" s="20">
        <f t="shared" si="28"/>
        <v>0</v>
      </c>
      <c r="FX16" s="20">
        <f t="shared" si="28"/>
        <v>0</v>
      </c>
      <c r="FY16" s="20">
        <f t="shared" si="28"/>
        <v>0</v>
      </c>
      <c r="FZ16" s="20">
        <f t="shared" si="28"/>
        <v>0</v>
      </c>
      <c r="GA16" s="20">
        <f t="shared" si="28"/>
        <v>0</v>
      </c>
      <c r="GB16" s="20">
        <f t="shared" si="28"/>
        <v>0</v>
      </c>
      <c r="GC16" s="20">
        <f t="shared" si="28"/>
        <v>0</v>
      </c>
      <c r="GD16" s="20">
        <f t="shared" si="28"/>
        <v>0</v>
      </c>
      <c r="GE16" s="20">
        <f t="shared" si="28"/>
        <v>0</v>
      </c>
      <c r="GF16" s="20">
        <f t="shared" si="28"/>
        <v>0</v>
      </c>
      <c r="GG16" s="20">
        <f t="shared" si="28"/>
        <v>0</v>
      </c>
      <c r="GH16" s="20">
        <f t="shared" si="28"/>
        <v>0</v>
      </c>
      <c r="GI16" s="20">
        <f t="shared" si="28"/>
        <v>0</v>
      </c>
      <c r="GJ16" s="20">
        <f t="shared" si="28"/>
        <v>0</v>
      </c>
      <c r="GK16" s="20">
        <f t="shared" si="28"/>
        <v>0</v>
      </c>
      <c r="GL16" s="20">
        <f t="shared" si="28"/>
        <v>0</v>
      </c>
      <c r="GM16" s="20">
        <f t="shared" si="28"/>
        <v>0</v>
      </c>
      <c r="GN16" s="20">
        <f t="shared" si="28"/>
        <v>0</v>
      </c>
      <c r="GO16" s="20">
        <f t="shared" si="28"/>
        <v>0</v>
      </c>
      <c r="GP16" s="20">
        <f t="shared" si="28"/>
        <v>0</v>
      </c>
      <c r="GQ16" s="20">
        <f t="shared" si="28"/>
        <v>0</v>
      </c>
      <c r="GR16" s="20">
        <f t="shared" si="28"/>
        <v>0</v>
      </c>
      <c r="GS16" s="20">
        <f t="shared" si="28"/>
        <v>0</v>
      </c>
      <c r="GT16" s="20">
        <f t="shared" si="28"/>
        <v>0</v>
      </c>
      <c r="GU16" s="20">
        <f t="shared" si="28"/>
        <v>0</v>
      </c>
      <c r="GV16" s="20">
        <f t="shared" si="28"/>
        <v>0</v>
      </c>
      <c r="GW16" s="20">
        <f t="shared" si="28"/>
        <v>0</v>
      </c>
      <c r="GX16" s="20">
        <f t="shared" si="28"/>
        <v>0</v>
      </c>
      <c r="GY16" s="20">
        <f t="shared" si="28"/>
        <v>0</v>
      </c>
      <c r="GZ16" s="20">
        <f t="shared" si="28"/>
        <v>0</v>
      </c>
      <c r="HA16" s="20">
        <f t="shared" si="28"/>
        <v>0</v>
      </c>
      <c r="HB16" s="20">
        <f t="shared" si="28"/>
        <v>0</v>
      </c>
      <c r="HC16" s="20">
        <f t="shared" si="28"/>
        <v>0</v>
      </c>
      <c r="HD16" s="20">
        <f t="shared" si="28"/>
        <v>0</v>
      </c>
      <c r="HE16" s="20">
        <f t="shared" si="28"/>
        <v>0</v>
      </c>
      <c r="HF16" s="20">
        <f t="shared" si="28"/>
        <v>0</v>
      </c>
      <c r="HG16" s="20">
        <f t="shared" si="28"/>
        <v>0</v>
      </c>
      <c r="HH16" s="20">
        <f t="shared" si="28"/>
        <v>0</v>
      </c>
      <c r="HI16" s="20">
        <f t="shared" si="28"/>
        <v>0</v>
      </c>
      <c r="HJ16" s="20">
        <f t="shared" ref="HJ16:JU16" si="29">SUM(HJ14:HJ15)</f>
        <v>0</v>
      </c>
      <c r="HK16" s="20">
        <f t="shared" si="29"/>
        <v>0</v>
      </c>
      <c r="HL16" s="20">
        <f t="shared" si="29"/>
        <v>0</v>
      </c>
      <c r="HM16" s="20">
        <f t="shared" si="29"/>
        <v>0</v>
      </c>
      <c r="HN16" s="20">
        <f t="shared" si="29"/>
        <v>0</v>
      </c>
      <c r="HO16" s="20">
        <f t="shared" si="29"/>
        <v>0</v>
      </c>
      <c r="HP16" s="20">
        <f t="shared" si="29"/>
        <v>0</v>
      </c>
      <c r="HQ16" s="20">
        <f t="shared" si="29"/>
        <v>0</v>
      </c>
      <c r="HR16" s="20">
        <f t="shared" si="29"/>
        <v>0</v>
      </c>
      <c r="HS16" s="20">
        <f t="shared" si="29"/>
        <v>0</v>
      </c>
      <c r="HT16" s="20">
        <f t="shared" si="29"/>
        <v>0</v>
      </c>
      <c r="HU16" s="20">
        <f t="shared" si="29"/>
        <v>0</v>
      </c>
      <c r="HV16" s="20">
        <f t="shared" si="29"/>
        <v>0</v>
      </c>
      <c r="HW16" s="20">
        <f t="shared" si="29"/>
        <v>0</v>
      </c>
      <c r="HX16" s="20">
        <f t="shared" si="29"/>
        <v>0</v>
      </c>
      <c r="HY16" s="20">
        <f t="shared" si="29"/>
        <v>0</v>
      </c>
      <c r="HZ16" s="20">
        <f t="shared" si="29"/>
        <v>0</v>
      </c>
      <c r="IA16" s="20">
        <f t="shared" si="29"/>
        <v>0</v>
      </c>
      <c r="IB16" s="20">
        <f t="shared" si="29"/>
        <v>0</v>
      </c>
      <c r="IC16" s="20">
        <f t="shared" si="29"/>
        <v>0</v>
      </c>
      <c r="ID16" s="20">
        <f t="shared" si="29"/>
        <v>0</v>
      </c>
      <c r="IE16" s="20">
        <f t="shared" si="29"/>
        <v>0</v>
      </c>
      <c r="IF16" s="20">
        <f t="shared" si="29"/>
        <v>0</v>
      </c>
      <c r="IG16" s="20">
        <f t="shared" si="29"/>
        <v>0</v>
      </c>
      <c r="IH16" s="20">
        <f t="shared" si="29"/>
        <v>0</v>
      </c>
      <c r="II16" s="20">
        <f t="shared" si="29"/>
        <v>0</v>
      </c>
      <c r="IJ16" s="20">
        <f t="shared" si="29"/>
        <v>0</v>
      </c>
      <c r="IK16" s="20">
        <f t="shared" si="29"/>
        <v>0</v>
      </c>
      <c r="IL16" s="20">
        <f t="shared" si="29"/>
        <v>0</v>
      </c>
      <c r="IM16" s="20">
        <f t="shared" si="29"/>
        <v>0</v>
      </c>
      <c r="IN16" s="20">
        <f t="shared" si="29"/>
        <v>0</v>
      </c>
      <c r="IO16" s="20">
        <f t="shared" si="29"/>
        <v>0</v>
      </c>
      <c r="IP16" s="20">
        <f t="shared" si="29"/>
        <v>0</v>
      </c>
      <c r="IQ16" s="20">
        <f t="shared" si="29"/>
        <v>0</v>
      </c>
      <c r="IR16" s="20">
        <f t="shared" si="29"/>
        <v>0</v>
      </c>
      <c r="IS16" s="20">
        <f t="shared" si="29"/>
        <v>0</v>
      </c>
      <c r="IT16" s="20">
        <f t="shared" si="29"/>
        <v>0</v>
      </c>
      <c r="IU16" s="20">
        <f t="shared" si="29"/>
        <v>0</v>
      </c>
      <c r="IV16" s="20">
        <f t="shared" si="29"/>
        <v>0</v>
      </c>
      <c r="IW16" s="20">
        <f t="shared" si="29"/>
        <v>0</v>
      </c>
      <c r="IX16" s="20">
        <f t="shared" si="29"/>
        <v>0</v>
      </c>
      <c r="IY16" s="20">
        <f t="shared" si="29"/>
        <v>0</v>
      </c>
      <c r="IZ16" s="20">
        <f t="shared" si="29"/>
        <v>0</v>
      </c>
      <c r="JA16" s="20">
        <f t="shared" si="29"/>
        <v>0</v>
      </c>
      <c r="JB16" s="20">
        <f t="shared" si="29"/>
        <v>0</v>
      </c>
      <c r="JC16" s="20">
        <f t="shared" si="29"/>
        <v>0</v>
      </c>
      <c r="JD16" s="20">
        <f t="shared" si="29"/>
        <v>0</v>
      </c>
      <c r="JE16" s="20">
        <f t="shared" si="29"/>
        <v>0</v>
      </c>
      <c r="JF16" s="20">
        <f t="shared" si="29"/>
        <v>0</v>
      </c>
      <c r="JG16" s="20">
        <f t="shared" si="29"/>
        <v>0</v>
      </c>
      <c r="JH16" s="20">
        <f t="shared" si="29"/>
        <v>0</v>
      </c>
      <c r="JI16" s="20">
        <f t="shared" si="29"/>
        <v>0</v>
      </c>
      <c r="JJ16" s="20">
        <f t="shared" si="29"/>
        <v>0</v>
      </c>
      <c r="JK16" s="20">
        <f t="shared" si="29"/>
        <v>0</v>
      </c>
      <c r="JL16" s="20">
        <f t="shared" si="29"/>
        <v>0</v>
      </c>
      <c r="JM16" s="20">
        <f t="shared" si="29"/>
        <v>0</v>
      </c>
      <c r="JN16" s="20">
        <f t="shared" si="29"/>
        <v>0</v>
      </c>
      <c r="JO16" s="20">
        <f t="shared" si="29"/>
        <v>0</v>
      </c>
      <c r="JP16" s="20">
        <f t="shared" si="29"/>
        <v>0</v>
      </c>
      <c r="JQ16" s="20">
        <f t="shared" si="29"/>
        <v>0</v>
      </c>
      <c r="JR16" s="20">
        <f t="shared" si="29"/>
        <v>0</v>
      </c>
      <c r="JS16" s="20">
        <f t="shared" si="29"/>
        <v>0</v>
      </c>
      <c r="JT16" s="20">
        <f t="shared" si="29"/>
        <v>0</v>
      </c>
      <c r="JU16" s="20">
        <f t="shared" si="29"/>
        <v>0</v>
      </c>
      <c r="JV16" s="20">
        <f t="shared" ref="JV16:MG16" si="30">SUM(JV14:JV15)</f>
        <v>0</v>
      </c>
      <c r="JW16" s="20">
        <f t="shared" si="30"/>
        <v>0</v>
      </c>
      <c r="JX16" s="20">
        <f t="shared" si="30"/>
        <v>0</v>
      </c>
      <c r="JY16" s="20">
        <f t="shared" si="30"/>
        <v>0</v>
      </c>
      <c r="JZ16" s="20">
        <f t="shared" si="30"/>
        <v>0</v>
      </c>
      <c r="KA16" s="20">
        <f t="shared" si="30"/>
        <v>0</v>
      </c>
      <c r="KB16" s="20">
        <f t="shared" si="30"/>
        <v>0</v>
      </c>
      <c r="KC16" s="20">
        <f t="shared" si="30"/>
        <v>0</v>
      </c>
      <c r="KD16" s="20">
        <f t="shared" si="30"/>
        <v>0</v>
      </c>
      <c r="KE16" s="20">
        <f t="shared" si="30"/>
        <v>0</v>
      </c>
      <c r="KF16" s="20">
        <f t="shared" si="30"/>
        <v>0</v>
      </c>
      <c r="KG16" s="20">
        <f t="shared" si="30"/>
        <v>0</v>
      </c>
      <c r="KH16" s="20">
        <f t="shared" si="30"/>
        <v>0</v>
      </c>
      <c r="KI16" s="20">
        <f t="shared" si="30"/>
        <v>0</v>
      </c>
      <c r="KJ16" s="20">
        <f t="shared" si="30"/>
        <v>0</v>
      </c>
      <c r="KK16" s="20">
        <f t="shared" si="30"/>
        <v>0</v>
      </c>
      <c r="KL16" s="20">
        <f t="shared" si="30"/>
        <v>0</v>
      </c>
      <c r="KM16" s="20">
        <f t="shared" si="30"/>
        <v>0</v>
      </c>
      <c r="KN16" s="20">
        <f t="shared" si="30"/>
        <v>0</v>
      </c>
      <c r="KO16" s="20">
        <f t="shared" si="30"/>
        <v>0</v>
      </c>
      <c r="KP16" s="20">
        <f t="shared" si="30"/>
        <v>0</v>
      </c>
      <c r="KQ16" s="20">
        <f t="shared" si="30"/>
        <v>0</v>
      </c>
      <c r="KR16" s="20">
        <f t="shared" si="30"/>
        <v>0</v>
      </c>
      <c r="KS16" s="20">
        <f t="shared" si="30"/>
        <v>0</v>
      </c>
      <c r="KT16" s="20">
        <f t="shared" si="30"/>
        <v>0</v>
      </c>
      <c r="KU16" s="20">
        <f t="shared" si="30"/>
        <v>0</v>
      </c>
      <c r="KV16" s="20">
        <f t="shared" si="30"/>
        <v>0</v>
      </c>
      <c r="KW16" s="20">
        <f t="shared" si="30"/>
        <v>0</v>
      </c>
      <c r="KX16" s="20">
        <f t="shared" si="30"/>
        <v>0</v>
      </c>
      <c r="KY16" s="20">
        <f t="shared" si="30"/>
        <v>0</v>
      </c>
      <c r="KZ16" s="20">
        <f t="shared" si="30"/>
        <v>0</v>
      </c>
      <c r="LA16" s="20">
        <f t="shared" si="30"/>
        <v>0</v>
      </c>
      <c r="LB16" s="20">
        <f t="shared" si="30"/>
        <v>0</v>
      </c>
      <c r="LC16" s="20">
        <f t="shared" si="30"/>
        <v>0</v>
      </c>
      <c r="LD16" s="20">
        <f t="shared" si="30"/>
        <v>0</v>
      </c>
      <c r="LE16" s="20">
        <f t="shared" si="30"/>
        <v>0</v>
      </c>
      <c r="LF16" s="20">
        <f t="shared" si="30"/>
        <v>0</v>
      </c>
      <c r="LG16" s="20">
        <f t="shared" si="30"/>
        <v>0</v>
      </c>
      <c r="LH16" s="20">
        <f t="shared" si="30"/>
        <v>0</v>
      </c>
      <c r="LI16" s="20">
        <f t="shared" si="30"/>
        <v>0</v>
      </c>
      <c r="LJ16" s="20">
        <f t="shared" si="30"/>
        <v>0</v>
      </c>
      <c r="LK16" s="20">
        <f t="shared" si="30"/>
        <v>0</v>
      </c>
      <c r="LL16" s="20">
        <f t="shared" si="30"/>
        <v>0</v>
      </c>
      <c r="LM16" s="20">
        <f t="shared" si="30"/>
        <v>0</v>
      </c>
      <c r="LN16" s="20">
        <f t="shared" si="30"/>
        <v>0</v>
      </c>
      <c r="LO16" s="20">
        <f t="shared" si="30"/>
        <v>0</v>
      </c>
      <c r="LP16" s="20">
        <f t="shared" si="30"/>
        <v>0</v>
      </c>
      <c r="LQ16" s="20">
        <f t="shared" si="30"/>
        <v>0</v>
      </c>
      <c r="LR16" s="20">
        <f t="shared" si="30"/>
        <v>0</v>
      </c>
      <c r="LS16" s="20">
        <f t="shared" si="30"/>
        <v>0</v>
      </c>
      <c r="LT16" s="20">
        <f t="shared" si="30"/>
        <v>0</v>
      </c>
      <c r="LU16" s="20">
        <f t="shared" si="30"/>
        <v>0</v>
      </c>
      <c r="LV16" s="20">
        <f t="shared" si="30"/>
        <v>0</v>
      </c>
      <c r="LW16" s="20">
        <f t="shared" si="30"/>
        <v>0</v>
      </c>
      <c r="LX16" s="20">
        <f t="shared" si="30"/>
        <v>0</v>
      </c>
      <c r="LY16" s="20">
        <f t="shared" si="30"/>
        <v>0</v>
      </c>
      <c r="LZ16" s="20">
        <f t="shared" si="30"/>
        <v>0</v>
      </c>
      <c r="MA16" s="20">
        <f t="shared" si="30"/>
        <v>0</v>
      </c>
      <c r="MB16" s="20">
        <f t="shared" si="30"/>
        <v>0</v>
      </c>
      <c r="MC16" s="20">
        <f t="shared" si="30"/>
        <v>0</v>
      </c>
      <c r="MD16" s="20">
        <f t="shared" si="30"/>
        <v>0</v>
      </c>
      <c r="ME16" s="20">
        <f t="shared" si="30"/>
        <v>0</v>
      </c>
      <c r="MF16" s="20">
        <f t="shared" si="30"/>
        <v>0</v>
      </c>
      <c r="MG16" s="20">
        <f t="shared" si="30"/>
        <v>0</v>
      </c>
      <c r="MH16" s="20">
        <f t="shared" ref="MH16:NB16" si="31">SUM(MH14:MH15)</f>
        <v>0</v>
      </c>
      <c r="MI16" s="20">
        <f t="shared" si="31"/>
        <v>0</v>
      </c>
      <c r="MJ16" s="20">
        <f t="shared" si="31"/>
        <v>0</v>
      </c>
      <c r="MK16" s="20">
        <f t="shared" si="31"/>
        <v>0</v>
      </c>
      <c r="ML16" s="20">
        <f t="shared" si="31"/>
        <v>0</v>
      </c>
      <c r="MM16" s="20">
        <f t="shared" si="31"/>
        <v>0</v>
      </c>
      <c r="MN16" s="20">
        <f t="shared" si="31"/>
        <v>0</v>
      </c>
      <c r="MO16" s="20">
        <f t="shared" si="31"/>
        <v>0</v>
      </c>
      <c r="MP16" s="20">
        <f t="shared" si="31"/>
        <v>0</v>
      </c>
      <c r="MQ16" s="20">
        <f t="shared" si="31"/>
        <v>0</v>
      </c>
      <c r="MR16" s="20">
        <f t="shared" si="31"/>
        <v>0</v>
      </c>
      <c r="MS16" s="20">
        <f t="shared" si="31"/>
        <v>0</v>
      </c>
      <c r="MT16" s="20">
        <f t="shared" si="31"/>
        <v>0</v>
      </c>
      <c r="MU16" s="20">
        <f t="shared" si="31"/>
        <v>0</v>
      </c>
      <c r="MV16" s="20">
        <f t="shared" si="31"/>
        <v>0</v>
      </c>
      <c r="MW16" s="20">
        <f t="shared" si="31"/>
        <v>0</v>
      </c>
      <c r="MX16" s="20">
        <f t="shared" si="31"/>
        <v>0</v>
      </c>
      <c r="MY16" s="20">
        <f t="shared" si="31"/>
        <v>0</v>
      </c>
      <c r="MZ16" s="20">
        <f t="shared" si="31"/>
        <v>0</v>
      </c>
      <c r="NA16" s="20">
        <f t="shared" si="31"/>
        <v>0</v>
      </c>
      <c r="NB16" s="20">
        <f t="shared" si="31"/>
        <v>0</v>
      </c>
    </row>
    <row r="17" spans="1:366" s="7" customFormat="1" x14ac:dyDescent="0.15">
      <c r="A17"/>
      <c r="B17"/>
      <c r="C17"/>
      <c r="D17"/>
      <c r="E17" s="12"/>
      <c r="G17" s="20"/>
      <c r="L17" s="559"/>
      <c r="AD17" s="570"/>
    </row>
    <row r="18" spans="1:366" x14ac:dyDescent="0.15">
      <c r="B18" s="190"/>
      <c r="C18" s="39"/>
      <c r="D18" s="19"/>
      <c r="E18" s="197"/>
      <c r="F18" s="38"/>
      <c r="G18" s="38"/>
      <c r="H18" s="38"/>
      <c r="I18" s="38"/>
      <c r="J18" s="38"/>
      <c r="K18" s="38"/>
      <c r="L18" s="562"/>
      <c r="M18" s="38"/>
      <c r="N18" s="38"/>
      <c r="O18" s="38"/>
      <c r="P18" s="38"/>
      <c r="Q18" s="38"/>
      <c r="R18" s="38"/>
      <c r="S18" s="38"/>
      <c r="T18" s="38"/>
      <c r="U18" s="38"/>
      <c r="V18" s="38"/>
      <c r="W18" s="38"/>
      <c r="X18" s="38"/>
      <c r="Y18" s="38"/>
      <c r="Z18" s="38"/>
      <c r="AA18" s="38"/>
      <c r="AB18" s="38"/>
      <c r="AC18" s="38"/>
      <c r="AD18" s="53"/>
      <c r="AE18" s="38"/>
      <c r="AF18" s="38"/>
      <c r="AG18" s="38"/>
      <c r="AH18" s="38"/>
      <c r="AI18" s="38"/>
      <c r="AJ18" s="38"/>
      <c r="AK18" s="38"/>
      <c r="AL18" s="38"/>
      <c r="AM18" s="38"/>
      <c r="AN18" s="38"/>
      <c r="AO18" s="38"/>
      <c r="AP18" s="38"/>
      <c r="AQ18" s="38"/>
      <c r="AR18" s="38"/>
      <c r="AS18" s="38"/>
      <c r="AT18" s="38"/>
      <c r="AU18" s="38"/>
      <c r="AV18" s="38"/>
      <c r="AW18" s="38"/>
      <c r="AX18" s="38"/>
      <c r="AY18" s="38"/>
      <c r="AZ18" s="38"/>
      <c r="BA18" s="38"/>
      <c r="BB18" s="38"/>
      <c r="BC18" s="38"/>
      <c r="BD18" s="38"/>
      <c r="BE18" s="38"/>
      <c r="BF18" s="38"/>
      <c r="BG18" s="38"/>
      <c r="BH18" s="38"/>
      <c r="BI18" s="38"/>
      <c r="BJ18" s="38"/>
      <c r="BK18" s="38"/>
      <c r="BL18" s="38"/>
      <c r="BM18" s="38"/>
      <c r="BN18" s="38"/>
      <c r="BO18" s="38"/>
      <c r="BP18" s="38"/>
      <c r="BQ18" s="38"/>
      <c r="BR18" s="38"/>
      <c r="BS18" s="38"/>
      <c r="BT18" s="38"/>
      <c r="BU18" s="38"/>
      <c r="BV18" s="38"/>
      <c r="BW18" s="38"/>
      <c r="BX18" s="38"/>
      <c r="BY18" s="38"/>
      <c r="BZ18" s="38"/>
      <c r="CA18" s="38"/>
      <c r="CB18" s="38"/>
      <c r="CC18" s="38"/>
      <c r="CD18" s="38"/>
      <c r="CE18" s="38"/>
      <c r="CF18" s="38"/>
      <c r="CG18" s="38"/>
      <c r="CH18" s="38"/>
      <c r="CI18" s="38"/>
      <c r="CJ18" s="38"/>
      <c r="CK18" s="38"/>
      <c r="CL18" s="38"/>
      <c r="CM18" s="38"/>
      <c r="CN18" s="38"/>
      <c r="CO18" s="38"/>
      <c r="CP18" s="38"/>
      <c r="CQ18" s="38"/>
      <c r="CR18" s="38"/>
      <c r="CS18" s="38"/>
      <c r="CT18" s="38"/>
      <c r="CU18" s="38"/>
      <c r="CV18" s="38"/>
      <c r="CW18" s="38"/>
      <c r="CX18" s="38"/>
      <c r="CY18" s="38"/>
      <c r="CZ18" s="38"/>
      <c r="DA18" s="38"/>
      <c r="DB18" s="38"/>
      <c r="DC18" s="38"/>
      <c r="DD18" s="38"/>
      <c r="DE18" s="38"/>
      <c r="DF18" s="38"/>
      <c r="DG18" s="38"/>
      <c r="DH18" s="38"/>
      <c r="DI18" s="38"/>
      <c r="DJ18" s="38"/>
      <c r="DK18" s="38"/>
      <c r="DL18" s="38"/>
      <c r="DM18" s="38"/>
      <c r="DN18" s="38"/>
      <c r="DO18" s="38"/>
      <c r="DP18" s="38"/>
      <c r="DQ18" s="38"/>
      <c r="DR18" s="38"/>
      <c r="DS18" s="38"/>
      <c r="DT18" s="38"/>
      <c r="DU18" s="38"/>
      <c r="DV18" s="38"/>
      <c r="DW18" s="38"/>
      <c r="DX18" s="38"/>
      <c r="DY18" s="38"/>
      <c r="DZ18" s="38"/>
      <c r="EA18" s="38"/>
      <c r="EB18" s="38"/>
      <c r="EC18" s="38"/>
      <c r="ED18" s="38"/>
      <c r="EE18" s="38"/>
      <c r="EF18" s="38"/>
      <c r="EG18" s="38"/>
      <c r="EH18" s="38"/>
      <c r="EI18" s="38"/>
      <c r="EJ18" s="38"/>
      <c r="EK18" s="38"/>
      <c r="EL18" s="38"/>
      <c r="EM18" s="38"/>
      <c r="EN18" s="38"/>
      <c r="EO18" s="38"/>
      <c r="EP18" s="38"/>
      <c r="EQ18" s="38"/>
      <c r="ER18" s="38"/>
      <c r="ES18" s="38"/>
      <c r="ET18" s="38"/>
      <c r="EU18" s="38"/>
      <c r="EV18" s="38"/>
      <c r="EW18" s="38"/>
      <c r="EX18" s="38"/>
      <c r="EY18" s="38"/>
      <c r="EZ18" s="38"/>
      <c r="FA18" s="38"/>
      <c r="FB18" s="38"/>
      <c r="FC18" s="38"/>
      <c r="FD18" s="38"/>
      <c r="FE18" s="38"/>
      <c r="FF18" s="38"/>
      <c r="FG18" s="38"/>
      <c r="FH18" s="38"/>
      <c r="FI18" s="38"/>
      <c r="FJ18" s="38"/>
      <c r="FK18" s="38"/>
      <c r="FL18" s="38"/>
      <c r="FM18" s="38"/>
      <c r="FN18" s="38"/>
      <c r="FO18" s="38"/>
      <c r="FP18" s="38"/>
      <c r="FQ18" s="38"/>
      <c r="FR18" s="38"/>
      <c r="FS18" s="38"/>
      <c r="FT18" s="38"/>
      <c r="FU18" s="38"/>
      <c r="FV18" s="38"/>
      <c r="FW18" s="38"/>
      <c r="FX18" s="38"/>
      <c r="FY18" s="38"/>
      <c r="FZ18" s="38"/>
      <c r="GA18" s="38"/>
      <c r="GB18" s="38"/>
      <c r="GC18" s="38"/>
      <c r="GD18" s="38"/>
      <c r="GE18" s="38"/>
      <c r="GF18" s="38"/>
      <c r="GG18" s="38"/>
      <c r="GH18" s="38"/>
      <c r="GI18" s="38"/>
      <c r="GJ18" s="38"/>
      <c r="GK18" s="38"/>
      <c r="GL18" s="38"/>
      <c r="GM18" s="38"/>
      <c r="GN18" s="38"/>
      <c r="GO18" s="38"/>
      <c r="GP18" s="38"/>
      <c r="GQ18" s="38"/>
      <c r="GR18" s="38"/>
      <c r="GS18" s="38"/>
      <c r="GT18" s="38"/>
      <c r="GU18" s="38"/>
      <c r="GV18" s="38"/>
      <c r="GW18" s="38"/>
      <c r="GX18" s="38"/>
      <c r="GY18" s="38"/>
      <c r="GZ18" s="38"/>
      <c r="HA18" s="38"/>
      <c r="HB18" s="38"/>
      <c r="HC18" s="38"/>
      <c r="HD18" s="38"/>
      <c r="HE18" s="38"/>
      <c r="HF18" s="38"/>
      <c r="HG18" s="38"/>
      <c r="HH18" s="38"/>
      <c r="HI18" s="38"/>
      <c r="HJ18" s="38"/>
      <c r="HK18" s="38"/>
      <c r="HL18" s="38"/>
      <c r="HM18" s="38"/>
      <c r="HN18" s="38"/>
      <c r="HO18" s="38"/>
      <c r="HP18" s="38"/>
      <c r="HQ18" s="38"/>
      <c r="HR18" s="38"/>
      <c r="HS18" s="38"/>
      <c r="HT18" s="38"/>
      <c r="HU18" s="38"/>
      <c r="HV18" s="38"/>
      <c r="HW18" s="38"/>
      <c r="HX18" s="38"/>
      <c r="HY18" s="38"/>
      <c r="HZ18" s="38"/>
      <c r="IA18" s="38"/>
      <c r="IB18" s="38"/>
      <c r="IC18" s="38"/>
      <c r="ID18" s="38"/>
      <c r="IE18" s="38"/>
      <c r="IF18" s="38"/>
      <c r="IG18" s="38"/>
      <c r="IH18" s="38"/>
      <c r="II18" s="38"/>
      <c r="IJ18" s="38"/>
      <c r="IK18" s="38"/>
      <c r="IL18" s="38"/>
    </row>
    <row r="19" spans="1:366" x14ac:dyDescent="0.15">
      <c r="B19" s="4" t="s">
        <v>283</v>
      </c>
      <c r="C19" s="39"/>
      <c r="D19" s="19"/>
      <c r="E19" s="197"/>
      <c r="F19" s="38"/>
      <c r="G19" s="116"/>
      <c r="H19" s="116"/>
      <c r="I19" s="116"/>
      <c r="J19" s="38"/>
      <c r="K19" s="38"/>
      <c r="L19" s="562"/>
      <c r="M19" s="38"/>
      <c r="N19" s="38"/>
      <c r="O19" s="38"/>
      <c r="P19" s="38"/>
      <c r="Q19" s="38"/>
      <c r="R19" s="209"/>
      <c r="S19" s="1"/>
      <c r="T19" s="38"/>
      <c r="U19" s="38"/>
      <c r="V19" s="38"/>
      <c r="W19" s="38"/>
      <c r="X19" s="38"/>
      <c r="Y19" s="38"/>
      <c r="Z19" s="38"/>
      <c r="AA19" s="38"/>
      <c r="AB19" s="38"/>
      <c r="AC19" s="38"/>
      <c r="AD19" s="53"/>
      <c r="AE19" s="38"/>
      <c r="AF19" s="38"/>
      <c r="AG19" s="38"/>
      <c r="AH19" s="38"/>
      <c r="AI19" s="38"/>
      <c r="AJ19" s="38"/>
      <c r="AK19" s="38"/>
      <c r="AL19" s="38"/>
      <c r="AM19" s="38"/>
      <c r="AN19" s="38"/>
      <c r="AO19" s="38"/>
      <c r="AP19" s="38"/>
      <c r="AQ19" s="38"/>
      <c r="AR19" s="38"/>
      <c r="AS19" s="38"/>
      <c r="AT19" s="38"/>
      <c r="AU19" s="38"/>
      <c r="AV19" s="38"/>
      <c r="AW19" s="38"/>
      <c r="AX19" s="38"/>
      <c r="AY19" s="38"/>
      <c r="AZ19" s="38"/>
      <c r="BA19" s="38"/>
      <c r="BB19" s="38"/>
      <c r="BC19" s="38"/>
      <c r="BD19" s="38"/>
      <c r="BE19" s="38"/>
      <c r="BF19" s="38"/>
      <c r="BG19" s="38"/>
      <c r="BH19" s="38"/>
      <c r="BI19" s="38"/>
      <c r="BJ19" s="38"/>
      <c r="BK19" s="38"/>
      <c r="BL19" s="38"/>
      <c r="BM19" s="38"/>
      <c r="BN19" s="38"/>
      <c r="BO19" s="38"/>
      <c r="BP19" s="38"/>
      <c r="BQ19" s="38"/>
      <c r="BR19" s="38"/>
      <c r="BS19" s="38"/>
      <c r="BT19" s="38"/>
      <c r="BU19" s="38"/>
      <c r="BV19" s="38"/>
      <c r="BW19" s="38"/>
      <c r="BX19" s="38"/>
      <c r="BY19" s="38"/>
      <c r="BZ19" s="38"/>
      <c r="CA19" s="38"/>
      <c r="CB19" s="38"/>
      <c r="CC19" s="38"/>
      <c r="CD19" s="38"/>
      <c r="CE19" s="38"/>
      <c r="CF19" s="38"/>
      <c r="CG19" s="38"/>
      <c r="CH19" s="38"/>
      <c r="CI19" s="38"/>
      <c r="CJ19" s="38"/>
      <c r="CK19" s="38"/>
      <c r="CL19" s="38"/>
      <c r="CM19" s="38"/>
      <c r="CN19" s="38"/>
      <c r="CO19" s="38"/>
      <c r="CP19" s="38"/>
      <c r="CQ19" s="38"/>
      <c r="CR19" s="38"/>
      <c r="CS19" s="38"/>
      <c r="CT19" s="38"/>
      <c r="CU19" s="38"/>
      <c r="CV19" s="38"/>
      <c r="CW19" s="38"/>
      <c r="CX19" s="38"/>
      <c r="CY19" s="38"/>
      <c r="CZ19" s="38"/>
      <c r="DA19" s="38"/>
      <c r="DB19" s="38"/>
      <c r="DC19" s="38"/>
      <c r="DD19" s="38"/>
      <c r="DE19" s="38"/>
      <c r="DF19" s="38"/>
      <c r="DG19" s="38"/>
      <c r="DH19" s="38"/>
      <c r="DI19" s="38"/>
      <c r="DJ19" s="38"/>
      <c r="DK19" s="38"/>
      <c r="DL19" s="38"/>
      <c r="DM19" s="38"/>
      <c r="DN19" s="38"/>
      <c r="DO19" s="38"/>
      <c r="DP19" s="38"/>
      <c r="DQ19" s="38"/>
      <c r="DR19" s="38"/>
      <c r="DS19" s="38"/>
      <c r="DT19" s="38"/>
      <c r="DU19" s="38"/>
      <c r="DV19" s="38"/>
      <c r="DW19" s="38"/>
      <c r="DX19" s="38"/>
      <c r="DY19" s="38"/>
      <c r="DZ19" s="38"/>
      <c r="EA19" s="38"/>
      <c r="EB19" s="38"/>
      <c r="EC19" s="38"/>
      <c r="ED19" s="38"/>
      <c r="EE19" s="38"/>
      <c r="EF19" s="38"/>
      <c r="EG19" s="38"/>
      <c r="EH19" s="38"/>
      <c r="EI19" s="38"/>
      <c r="EJ19" s="38"/>
      <c r="EK19" s="38"/>
      <c r="EL19" s="38"/>
      <c r="EM19" s="38"/>
      <c r="EN19" s="38"/>
      <c r="EO19" s="38"/>
      <c r="EP19" s="38"/>
      <c r="EQ19" s="38"/>
      <c r="ER19" s="38"/>
      <c r="ES19" s="38"/>
      <c r="ET19" s="38"/>
      <c r="EU19" s="38"/>
      <c r="EV19" s="38"/>
      <c r="EW19" s="38"/>
      <c r="EX19" s="38"/>
      <c r="EY19" s="38"/>
      <c r="EZ19" s="38"/>
      <c r="FA19" s="38"/>
      <c r="FB19" s="38"/>
      <c r="FC19" s="38"/>
      <c r="FD19" s="38"/>
      <c r="FE19" s="38"/>
      <c r="FF19" s="38"/>
      <c r="FG19" s="38"/>
      <c r="FH19" s="38"/>
      <c r="FI19" s="38"/>
      <c r="FJ19" s="38"/>
      <c r="FK19" s="38"/>
      <c r="FL19" s="38"/>
      <c r="FM19" s="38"/>
      <c r="FN19" s="38"/>
      <c r="FO19" s="38"/>
      <c r="FP19" s="38"/>
      <c r="FQ19" s="38"/>
      <c r="FR19" s="38"/>
      <c r="FS19" s="38"/>
      <c r="FT19" s="38"/>
      <c r="FU19" s="38"/>
      <c r="FV19" s="38"/>
      <c r="FW19" s="38"/>
      <c r="FX19" s="38"/>
      <c r="FY19" s="38"/>
      <c r="FZ19" s="38"/>
      <c r="GA19" s="38"/>
      <c r="GB19" s="38"/>
      <c r="GC19" s="38"/>
      <c r="GD19" s="38"/>
      <c r="GE19" s="38"/>
      <c r="GF19" s="38"/>
      <c r="GG19" s="38"/>
      <c r="GH19" s="38"/>
      <c r="GI19" s="38"/>
      <c r="GJ19" s="38"/>
      <c r="GK19" s="38"/>
      <c r="GL19" s="38"/>
      <c r="GM19" s="38"/>
      <c r="GN19" s="38"/>
      <c r="GO19" s="38"/>
      <c r="GP19" s="38"/>
      <c r="GQ19" s="38"/>
      <c r="GR19" s="38"/>
      <c r="GS19" s="38"/>
      <c r="GT19" s="38"/>
      <c r="GU19" s="38"/>
      <c r="GV19" s="38"/>
      <c r="GW19" s="38"/>
      <c r="GX19" s="38"/>
      <c r="GY19" s="38"/>
      <c r="GZ19" s="38"/>
      <c r="HA19" s="38"/>
      <c r="HB19" s="38"/>
      <c r="HC19" s="38"/>
      <c r="HD19" s="38"/>
      <c r="HE19" s="38"/>
      <c r="HF19" s="38"/>
      <c r="HG19" s="38"/>
      <c r="HH19" s="38"/>
      <c r="HI19" s="38"/>
      <c r="HJ19" s="38"/>
      <c r="HK19" s="38"/>
      <c r="HL19" s="38"/>
      <c r="HM19" s="38"/>
      <c r="HN19" s="38"/>
      <c r="HO19" s="38"/>
      <c r="HP19" s="38"/>
      <c r="HQ19" s="38"/>
      <c r="HR19" s="38"/>
      <c r="HS19" s="38"/>
      <c r="HT19" s="38"/>
      <c r="HU19" s="38"/>
      <c r="HV19" s="38"/>
      <c r="HW19" s="38"/>
      <c r="HX19" s="38"/>
      <c r="HY19" s="38"/>
      <c r="HZ19" s="38"/>
      <c r="IA19" s="38"/>
      <c r="IB19" s="38"/>
      <c r="IC19" s="38"/>
      <c r="ID19" s="38"/>
      <c r="IE19" s="38"/>
      <c r="IF19" s="38"/>
      <c r="IG19" s="38"/>
      <c r="IH19" s="38"/>
      <c r="II19" s="38"/>
      <c r="IJ19" s="38"/>
      <c r="IK19" s="38"/>
      <c r="IL19" s="38"/>
    </row>
    <row r="20" spans="1:366" x14ac:dyDescent="0.15">
      <c r="B20" s="45" t="s">
        <v>102</v>
      </c>
      <c r="C20" s="45"/>
      <c r="F20" s="56">
        <v>0</v>
      </c>
      <c r="G20" s="56">
        <f>IF(G$10=1,MAX(F20,Financials!$I$6,'Monthly P&amp;L'!F20*(1+'Model Assumptions'!G$20)),0)</f>
        <v>36759.380000000005</v>
      </c>
      <c r="H20" s="56">
        <f>IF(H$10=1,MAX(G20,Financials!$I$6,'Monthly P&amp;L'!G20*(1+'Model Assumptions'!H$20)),0)</f>
        <v>36759.380000000005</v>
      </c>
      <c r="I20" s="56">
        <f>IF(I$10=1,MAX(H20,Financials!$I$6,'Monthly P&amp;L'!H20*(1+'Model Assumptions'!I$20)),0)</f>
        <v>36759.380000000005</v>
      </c>
      <c r="J20" s="56">
        <f>IF(J$10=1,MAX(I20,Financials!$I$6,'Monthly P&amp;L'!I20*(1+'Model Assumptions'!J$20)),0)</f>
        <v>36759.380000000005</v>
      </c>
      <c r="K20" s="56">
        <f>IF(K$10=1,MAX(J20,Financials!$I$6,'Monthly P&amp;L'!J20*(1+'Model Assumptions'!K$20)),0)</f>
        <v>36759.380000000005</v>
      </c>
      <c r="L20" s="563">
        <f>IF(L$10=1,MAX(K20,Financials!$I$6,'Monthly P&amp;L'!K20*(1+'Model Assumptions'!L$20)),0)</f>
        <v>36759.380000000005</v>
      </c>
      <c r="M20" s="56">
        <f>Financials!K8</f>
        <v>36595</v>
      </c>
      <c r="N20" s="56">
        <f>IF(N$10=1,MAX(M20,Financials!$K$8,'Monthly P&amp;L'!M20*(1+'Model Assumptions'!N$20)),0)</f>
        <v>36595</v>
      </c>
      <c r="O20" s="56">
        <f>IF(O$10=1,MAX(N20,Financials!$K$8,'Monthly P&amp;L'!N20*(1+'Model Assumptions'!O$20)),0)</f>
        <v>36595</v>
      </c>
      <c r="P20" s="56">
        <f>IF(P$10=1,MAX(O20,Financials!$K$8,'Monthly P&amp;L'!O20*(1+'Model Assumptions'!P$20)),0)</f>
        <v>36595</v>
      </c>
      <c r="Q20" s="56">
        <f>IF(Q$10=1,MAX(P20,Financials!$K$8,'Monthly P&amp;L'!P20*(1+'Model Assumptions'!Q$20)),0)</f>
        <v>36595</v>
      </c>
      <c r="R20" s="56">
        <f>IF(R$10=1,MAX(Q20,Financials!$K$8,'Monthly P&amp;L'!Q20*(1+'Model Assumptions'!R$20)),0)</f>
        <v>36595</v>
      </c>
      <c r="S20" s="56">
        <f>IF(S$10=1,MAX(R20,Financials!$K$8,'Monthly P&amp;L'!R20*(1+'Model Assumptions'!S$20)),0)</f>
        <v>37692.85</v>
      </c>
      <c r="T20" s="56">
        <f>IF(T$10=1,MAX(S20,Financials!$K$8,'Monthly P&amp;L'!S20*(1+'Model Assumptions'!T$20)),0)</f>
        <v>37692.85</v>
      </c>
      <c r="U20" s="56">
        <f>IF(U$10=1,MAX(T20,Financials!$K$8,'Monthly P&amp;L'!T20*(1+'Model Assumptions'!U$20)),0)</f>
        <v>37692.85</v>
      </c>
      <c r="V20" s="56">
        <f>IF(V$10=1,MAX(U20,Financials!$K$8,'Monthly P&amp;L'!U20*(1+'Model Assumptions'!V$20)),0)</f>
        <v>37692.85</v>
      </c>
      <c r="W20" s="56">
        <f>IF(W$10=1,MAX(V20,Financials!$K$8,'Monthly P&amp;L'!V20*(1+'Model Assumptions'!W$20)),0)</f>
        <v>37692.85</v>
      </c>
      <c r="X20" s="56">
        <f>IF(X$10=1,MAX(W20,Financials!$K$8,'Monthly P&amp;L'!W20*(1+'Model Assumptions'!X$20)),0)</f>
        <v>37692.85</v>
      </c>
      <c r="Y20" s="56">
        <f>IF(Y$10=1,MAX(X20,Financials!$K$8,'Monthly P&amp;L'!X20*(1+'Model Assumptions'!Y$20)),0)</f>
        <v>37692.85</v>
      </c>
      <c r="Z20" s="56">
        <f>IF(Z$10=1,MAX(Y20,Financials!$K$8,'Monthly P&amp;L'!Y20*(1+'Model Assumptions'!Z$20)),0)</f>
        <v>37692.85</v>
      </c>
      <c r="AA20" s="56">
        <f>IF(AA$10=1,MAX(Z20,Financials!$K$8,'Monthly P&amp;L'!Z20*(1+'Model Assumptions'!AA$20)),0)</f>
        <v>37692.85</v>
      </c>
      <c r="AB20" s="56">
        <f>IF(AB$10=1,MAX(AA20,Financials!$K$8,'Monthly P&amp;L'!AA20*(1+'Model Assumptions'!AB$20)),0)</f>
        <v>37692.85</v>
      </c>
      <c r="AC20" s="56">
        <f>IF(AC$10=1,MAX(AB20,Financials!$K$8,'Monthly P&amp;L'!AB20*(1+'Model Assumptions'!AC$20)),0)</f>
        <v>37692.85</v>
      </c>
      <c r="AD20" s="56">
        <f>IF(AD$10=1,MAX(AC20,Financials!$K$8,'Monthly P&amp;L'!AC20*(1+'Model Assumptions'!AD$20)),0)</f>
        <v>37692.85</v>
      </c>
      <c r="AE20" s="56">
        <f>IF(AE$10=1,MAX(AD20,Financials!$K$8,'Monthly P&amp;L'!AD20*(1+'Model Assumptions'!AE$20)),0)</f>
        <v>38823.635499999997</v>
      </c>
      <c r="AF20" s="56">
        <f>IF(AF$10=1,MAX(AE20,Financials!$K$8,'Monthly P&amp;L'!AE20*(1+'Model Assumptions'!AF$20)),0)</f>
        <v>38823.635499999997</v>
      </c>
      <c r="AG20" s="56">
        <f>IF(AG$10=1,MAX(AF20,Financials!$K$8,'Monthly P&amp;L'!AF20*(1+'Model Assumptions'!AG$20)),0)</f>
        <v>38823.635499999997</v>
      </c>
      <c r="AH20" s="56">
        <f>IF(AH$10=1,MAX(AG20,Financials!$K$8,'Monthly P&amp;L'!AG20*(1+'Model Assumptions'!AH$20)),0)</f>
        <v>38823.635499999997</v>
      </c>
      <c r="AI20" s="56">
        <f>IF(AI$10=1,MAX(AH20,Financials!$K$8,'Monthly P&amp;L'!AH20*(1+'Model Assumptions'!AI$20)),0)</f>
        <v>38823.635499999997</v>
      </c>
      <c r="AJ20" s="56">
        <f>IF(AJ$10=1,MAX(AI20,Financials!$K$8,'Monthly P&amp;L'!AI20*(1+'Model Assumptions'!AJ$20)),0)</f>
        <v>38823.635499999997</v>
      </c>
      <c r="AK20" s="56">
        <f>IF(AK$10=1,MAX(AJ20,Financials!$K$8,'Monthly P&amp;L'!AJ20*(1+'Model Assumptions'!AK$20)),0)</f>
        <v>38823.635499999997</v>
      </c>
      <c r="AL20" s="56">
        <f>IF(AL$10=1,MAX(AK20,Financials!$K$8,'Monthly P&amp;L'!AK20*(1+'Model Assumptions'!AL$20)),0)</f>
        <v>38823.635499999997</v>
      </c>
      <c r="AM20" s="56">
        <f>IF(AM$10=1,MAX(AL20,Financials!$K$8,'Monthly P&amp;L'!AL20*(1+'Model Assumptions'!AM$20)),0)</f>
        <v>38823.635499999997</v>
      </c>
      <c r="AN20" s="56">
        <f>IF(AN$10=1,MAX(AM20,Financials!$K$8,'Monthly P&amp;L'!AM20*(1+'Model Assumptions'!AN$20)),0)</f>
        <v>38823.635499999997</v>
      </c>
      <c r="AO20" s="56">
        <f>IF(AO$10=1,MAX(AN20,Financials!$K$8,'Monthly P&amp;L'!AN20*(1+'Model Assumptions'!AO$20)),0)</f>
        <v>38823.635499999997</v>
      </c>
      <c r="AP20" s="56">
        <f>IF(AP$10=1,MAX(AO20,Financials!$K$8,'Monthly P&amp;L'!AO20*(1+'Model Assumptions'!AP$20)),0)</f>
        <v>38823.635499999997</v>
      </c>
      <c r="AQ20" s="56">
        <f>IF(AQ$10=1,MAX(AP20,Financials!$K$8,'Monthly P&amp;L'!AP20*(1+'Model Assumptions'!AQ$20)),0)</f>
        <v>39988.344564999999</v>
      </c>
      <c r="AR20" s="56">
        <f>IF(AR$10=1,MAX(AQ20,Financials!$K$8,'Monthly P&amp;L'!AQ20*(1+'Model Assumptions'!AR$20)),0)</f>
        <v>39988.344564999999</v>
      </c>
      <c r="AS20" s="56">
        <f>IF(AS$10=1,MAX(AR20,Financials!$K$8,'Monthly P&amp;L'!AR20*(1+'Model Assumptions'!AS$20)),0)</f>
        <v>39988.344564999999</v>
      </c>
      <c r="AT20" s="56">
        <f>IF(AT$10=1,MAX(AS20,Financials!$K$8,'Monthly P&amp;L'!AS20*(1+'Model Assumptions'!AT$20)),0)</f>
        <v>39988.344564999999</v>
      </c>
      <c r="AU20" s="56">
        <f>IF(AU$10=1,MAX(AT20,Financials!$K$8,'Monthly P&amp;L'!AT20*(1+'Model Assumptions'!AU$20)),0)</f>
        <v>39988.344564999999</v>
      </c>
      <c r="AV20" s="56">
        <f>IF(AV$10=1,MAX(AU20,Financials!$K$8,'Monthly P&amp;L'!AU20*(1+'Model Assumptions'!AV$20)),0)</f>
        <v>39988.344564999999</v>
      </c>
      <c r="AW20" s="56">
        <f>IF(AW$10=1,MAX(AV20,Financials!$K$8,'Monthly P&amp;L'!AV20*(1+'Model Assumptions'!AW$20)),0)</f>
        <v>39988.344564999999</v>
      </c>
      <c r="AX20" s="56">
        <f>IF(AX$10=1,MAX(AW20,Financials!$K$8,'Monthly P&amp;L'!AW20*(1+'Model Assumptions'!AX$20)),0)</f>
        <v>39988.344564999999</v>
      </c>
      <c r="AY20" s="56">
        <f>IF(AY$10=1,MAX(AX20,Financials!$K$8,'Monthly P&amp;L'!AX20*(1+'Model Assumptions'!AY$20)),0)</f>
        <v>39988.344564999999</v>
      </c>
      <c r="AZ20" s="56">
        <f>IF(AZ$10=1,MAX(AY20,Financials!$K$8,'Monthly P&amp;L'!AY20*(1+'Model Assumptions'!AZ$20)),0)</f>
        <v>39988.344564999999</v>
      </c>
      <c r="BA20" s="56">
        <f>IF(BA$10=1,MAX(AZ20,Financials!$K$8,'Monthly P&amp;L'!AZ20*(1+'Model Assumptions'!BA$20)),0)</f>
        <v>39988.344564999999</v>
      </c>
      <c r="BB20" s="56">
        <f>IF(BB$10=1,MAX(BA20,Financials!$K$8,'Monthly P&amp;L'!BA20*(1+'Model Assumptions'!BB$20)),0)</f>
        <v>39988.344564999999</v>
      </c>
      <c r="BC20" s="56">
        <f>IF(BC$10=1,MAX(BB20,Financials!$K$8,'Monthly P&amp;L'!BB20*(1+'Model Assumptions'!BC$20)),0)</f>
        <v>41187.994901949998</v>
      </c>
      <c r="BD20" s="56">
        <f>IF(BD$10=1,MAX(BC20,Financials!$K$8,'Monthly P&amp;L'!BC20*(1+'Model Assumptions'!BD$20)),0)</f>
        <v>41187.994901949998</v>
      </c>
      <c r="BE20" s="56">
        <f>IF(BE$10=1,MAX(BD20,Financials!$K$8,'Monthly P&amp;L'!BD20*(1+'Model Assumptions'!BE$20)),0)</f>
        <v>41187.994901949998</v>
      </c>
      <c r="BF20" s="56">
        <f>IF(BF$10=1,MAX(BE20,Financials!$K$8,'Monthly P&amp;L'!BE20*(1+'Model Assumptions'!BF$20)),0)</f>
        <v>41187.994901949998</v>
      </c>
      <c r="BG20" s="56">
        <f>IF(BG$10=1,MAX(BF20,Financials!$K$8,'Monthly P&amp;L'!BF20*(1+'Model Assumptions'!BG$20)),0)</f>
        <v>41187.994901949998</v>
      </c>
      <c r="BH20" s="56">
        <f>IF(BH$10=1,MAX(BG20,Financials!$K$8,'Monthly P&amp;L'!BG20*(1+'Model Assumptions'!BH$20)),0)</f>
        <v>41187.994901949998</v>
      </c>
      <c r="BI20" s="56">
        <f>IF(BI$10=1,MAX(BH20,Financials!$K$8,'Monthly P&amp;L'!BH20*(1+'Model Assumptions'!BI$20)),0)</f>
        <v>41187.994901949998</v>
      </c>
      <c r="BJ20" s="56">
        <f>IF(BJ$10=1,MAX(BI20,Financials!$K$8,'Monthly P&amp;L'!BI20*(1+'Model Assumptions'!BJ$20)),0)</f>
        <v>41187.994901949998</v>
      </c>
      <c r="BK20" s="56">
        <f>IF(BK$10=1,MAX(BJ20,Financials!$K$8,'Monthly P&amp;L'!BJ20*(1+'Model Assumptions'!BK$20)),0)</f>
        <v>41187.994901949998</v>
      </c>
      <c r="BL20" s="56">
        <f>IF(BL$10=1,MAX(BK20,Financials!$K$8,'Monthly P&amp;L'!BK20*(1+'Model Assumptions'!BL$20)),0)</f>
        <v>41187.994901949998</v>
      </c>
      <c r="BM20" s="56">
        <f>IF(BM$10=1,MAX(BL20,Financials!$K$8,'Monthly P&amp;L'!BL20*(1+'Model Assumptions'!BM$20)),0)</f>
        <v>41187.994901949998</v>
      </c>
      <c r="BN20" s="56">
        <f>IF(BN$10=1,MAX(BM20,Financials!$K$8,'Monthly P&amp;L'!BM20*(1+'Model Assumptions'!BN$20)),0)</f>
        <v>41187.994901949998</v>
      </c>
      <c r="BO20" s="56">
        <f>IF(BO$10=1,MAX(BN20,Financials!$K$8,'Monthly P&amp;L'!BN20*(1+'Model Assumptions'!BO$20)),0)</f>
        <v>42423.634749008503</v>
      </c>
      <c r="BP20" s="56">
        <f>IF(BP$10=1,MAX(BO20,Financials!$K$8,'Monthly P&amp;L'!BO20*(1+'Model Assumptions'!BP$20)),0)</f>
        <v>42423.634749008503</v>
      </c>
      <c r="BQ20" s="56">
        <f>IF(BQ$10=1,MAX(BP20,Financials!$K$8,'Monthly P&amp;L'!BP20*(1+'Model Assumptions'!BQ$20)),0)</f>
        <v>42423.634749008503</v>
      </c>
      <c r="BR20" s="56">
        <f>IF(BR$10=1,MAX(BQ20,Financials!$K$8,'Monthly P&amp;L'!BQ20*(1+'Model Assumptions'!BR$20)),0)</f>
        <v>42423.634749008503</v>
      </c>
      <c r="BS20" s="56">
        <f>IF(BS$10=1,MAX(BR20,Financials!$K$8,'Monthly P&amp;L'!BR20*(1+'Model Assumptions'!BS$20)),0)</f>
        <v>42423.634749008503</v>
      </c>
      <c r="BT20" s="56">
        <f>IF(BT$10=1,MAX(BS20,Financials!$K$8,'Monthly P&amp;L'!BS20*(1+'Model Assumptions'!BT$20)),0)</f>
        <v>42423.634749008503</v>
      </c>
      <c r="BU20" s="56">
        <f>IF(BU$10=1,MAX(BT20,Financials!$K$8,'Monthly P&amp;L'!BT20*(1+'Model Assumptions'!BU$20)),0)</f>
        <v>42423.634749008503</v>
      </c>
      <c r="BV20" s="56">
        <f>IF(BV$10=1,MAX(BU20,Financials!$K$8,'Monthly P&amp;L'!BU20*(1+'Model Assumptions'!BV$20)),0)</f>
        <v>42423.634749008503</v>
      </c>
      <c r="BW20" s="56">
        <f>IF(BW$10=1,MAX(BV20,Financials!$K$8,'Monthly P&amp;L'!BV20*(1+'Model Assumptions'!BW$20)),0)</f>
        <v>42423.634749008503</v>
      </c>
      <c r="BX20" s="56">
        <f>IF(BX$10=1,MAX(BW20,Financials!$K$8,'Monthly P&amp;L'!BW20*(1+'Model Assumptions'!BX$20)),0)</f>
        <v>42423.634749008503</v>
      </c>
      <c r="BY20" s="56">
        <f>IF(BY$10=1,MAX(BX20,Financials!$K$8,'Monthly P&amp;L'!BX20*(1+'Model Assumptions'!BY$20)),0)</f>
        <v>42423.634749008503</v>
      </c>
      <c r="BZ20" s="56">
        <f>IF(BZ$10=1,MAX(BY20,Financials!$K$8,'Monthly P&amp;L'!BY20*(1+'Model Assumptions'!BZ$20)),0)</f>
        <v>42423.634749008503</v>
      </c>
      <c r="CA20" s="56">
        <f>IF(CA$10=1,MAX(BZ20,Financials!$K$8,'Monthly P&amp;L'!BZ20*(1+'Model Assumptions'!CA$20)),0)</f>
        <v>43696.343791478757</v>
      </c>
      <c r="CB20" s="56">
        <f>IF(CB$10=1,MAX(CA20,Financials!$K$8,'Monthly P&amp;L'!CA20*(1+'Model Assumptions'!CB$20)),0)</f>
        <v>43696.343791478757</v>
      </c>
      <c r="CC20" s="56">
        <f>IF(CC$10=1,MAX(CB20,Financials!$K$8,'Monthly P&amp;L'!CB20*(1+'Model Assumptions'!CC$20)),0)</f>
        <v>43696.343791478757</v>
      </c>
      <c r="CD20" s="56">
        <f>IF(CD$10=1,MAX(CC20,Financials!$K$8,'Monthly P&amp;L'!CC20*(1+'Model Assumptions'!CD$20)),0)</f>
        <v>43696.343791478757</v>
      </c>
      <c r="CE20" s="56">
        <f>IF(CE$10=1,MAX(CD20,Financials!$K$8,'Monthly P&amp;L'!CD20*(1+'Model Assumptions'!CE$20)),0)</f>
        <v>43696.343791478757</v>
      </c>
      <c r="CF20" s="56">
        <f>IF(CF$10=1,MAX(CE20,Financials!$K$8,'Monthly P&amp;L'!CE20*(1+'Model Assumptions'!CF$20)),0)</f>
        <v>43696.343791478757</v>
      </c>
      <c r="CG20" s="56">
        <f>IF(CG$10=1,MAX(CF20,Financials!$K$8,'Monthly P&amp;L'!CF20*(1+'Model Assumptions'!CG$20)),0)</f>
        <v>43696.343791478757</v>
      </c>
      <c r="CH20" s="56">
        <f>IF(CH$10=1,MAX(CG20,Financials!$K$8,'Monthly P&amp;L'!CG20*(1+'Model Assumptions'!CH$20)),0)</f>
        <v>43696.343791478757</v>
      </c>
      <c r="CI20" s="56">
        <f>IF(CI$10=1,MAX(CH20,Financials!$K$8,'Monthly P&amp;L'!CH20*(1+'Model Assumptions'!CI$20)),0)</f>
        <v>43696.343791478757</v>
      </c>
      <c r="CJ20" s="56">
        <f>IF(CJ$10=1,MAX(CI20,Financials!$K$8,'Monthly P&amp;L'!CI20*(1+'Model Assumptions'!CJ$20)),0)</f>
        <v>43696.343791478757</v>
      </c>
      <c r="CK20" s="56">
        <f>IF(CK$10=1,MAX(CJ20,Financials!$K$8,'Monthly P&amp;L'!CJ20*(1+'Model Assumptions'!CK$20)),0)</f>
        <v>43696.343791478757</v>
      </c>
      <c r="CL20" s="56">
        <f>IF(CL$10=1,MAX(CK20,Financials!$K$8,'Monthly P&amp;L'!CK20*(1+'Model Assumptions'!CL$20)),0)</f>
        <v>43696.343791478757</v>
      </c>
      <c r="CM20" s="56">
        <f>IF(CM$10=1,MAX(CL20,Financials!$K$8,'Monthly P&amp;L'!CL20*(1+'Model Assumptions'!CM$20)),0)</f>
        <v>45007.23410522312</v>
      </c>
      <c r="CN20" s="56">
        <f>IF(CN$10=1,MAX(CM20,Financials!$K$8,'Monthly P&amp;L'!CM20*(1+'Model Assumptions'!CN$20)),0)</f>
        <v>45007.23410522312</v>
      </c>
      <c r="CO20" s="56">
        <f>IF(CO$10=1,MAX(CN20,Financials!$K$8,'Monthly P&amp;L'!CN20*(1+'Model Assumptions'!CO$20)),0)</f>
        <v>45007.23410522312</v>
      </c>
      <c r="CP20" s="56">
        <f>IF(CP$10=1,MAX(CO20,Financials!$K$8,'Monthly P&amp;L'!CO20*(1+'Model Assumptions'!CP$20)),0)</f>
        <v>45007.23410522312</v>
      </c>
      <c r="CQ20" s="56">
        <f>IF(CQ$10=1,MAX(CP20,Financials!$K$8,'Monthly P&amp;L'!CP20*(1+'Model Assumptions'!CQ$20)),0)</f>
        <v>45007.23410522312</v>
      </c>
      <c r="CR20" s="56">
        <f>IF(CR$10=1,MAX(CQ20,Financials!$K$8,'Monthly P&amp;L'!CQ20*(1+'Model Assumptions'!CR$20)),0)</f>
        <v>45007.23410522312</v>
      </c>
      <c r="CS20" s="56">
        <f>IF(CS$10=1,MAX(CR20,Financials!$K$8,'Monthly P&amp;L'!CR20*(1+'Model Assumptions'!CS$20)),0)</f>
        <v>45007.23410522312</v>
      </c>
      <c r="CT20" s="56">
        <f>IF(CT$10=1,MAX(CS20,Financials!$K$8,'Monthly P&amp;L'!CS20*(1+'Model Assumptions'!CT$20)),0)</f>
        <v>45007.23410522312</v>
      </c>
      <c r="CU20" s="56">
        <f>IF(CU$10=1,MAX(CT20,Financials!$K$8,'Monthly P&amp;L'!CT20*(1+'Model Assumptions'!CU$20)),0)</f>
        <v>45007.23410522312</v>
      </c>
      <c r="CV20" s="56">
        <f>IF(CV$10=1,MAX(CU20,Financials!$K$8,'Monthly P&amp;L'!CU20*(1+'Model Assumptions'!CV$20)),0)</f>
        <v>45007.23410522312</v>
      </c>
      <c r="CW20" s="56">
        <f>IF(CW$10=1,MAX(CV20,Financials!$K$8,'Monthly P&amp;L'!CV20*(1+'Model Assumptions'!CW$20)),0)</f>
        <v>45007.23410522312</v>
      </c>
      <c r="CX20" s="56">
        <f>IF(CX$10=1,MAX(CW20,Financials!$K$8,'Monthly P&amp;L'!CW20*(1+'Model Assumptions'!CX$20)),0)</f>
        <v>45007.23410522312</v>
      </c>
      <c r="CY20" s="56">
        <f>IF(CY$10=1,MAX(CX20,Financials!$K$8,'Monthly P&amp;L'!CX20*(1+'Model Assumptions'!CY$20)),0)</f>
        <v>46357.451128379813</v>
      </c>
      <c r="CZ20" s="56">
        <f>IF(CZ$10=1,MAX(CY20,Financials!$K$8,'Monthly P&amp;L'!CY20*(1+'Model Assumptions'!CZ$20)),0)</f>
        <v>46357.451128379813</v>
      </c>
      <c r="DA20" s="56">
        <f>IF(DA$10=1,MAX(CZ20,Financials!$K$8,'Monthly P&amp;L'!CZ20*(1+'Model Assumptions'!DA$20)),0)</f>
        <v>46357.451128379813</v>
      </c>
      <c r="DB20" s="56">
        <f>IF(DB$10=1,MAX(DA20,Financials!$K$8,'Monthly P&amp;L'!DA20*(1+'Model Assumptions'!DB$20)),0)</f>
        <v>46357.451128379813</v>
      </c>
      <c r="DC20" s="56">
        <f>IF(DC$10=1,MAX(DB20,Financials!$K$8,'Monthly P&amp;L'!DB20*(1+'Model Assumptions'!DC$20)),0)</f>
        <v>46357.451128379813</v>
      </c>
      <c r="DD20" s="56">
        <f>IF(DD$10=1,MAX(DC20,Financials!$K$8,'Monthly P&amp;L'!DC20*(1+'Model Assumptions'!DD$20)),0)</f>
        <v>46357.451128379813</v>
      </c>
      <c r="DE20" s="56">
        <f>IF(DE$10=1,MAX(DD20,Financials!$K$8,'Monthly P&amp;L'!DD20*(1+'Model Assumptions'!DE$20)),0)</f>
        <v>46357.451128379813</v>
      </c>
      <c r="DF20" s="56">
        <f>IF(DF$10=1,MAX(DE20,Financials!$K$8,'Monthly P&amp;L'!DE20*(1+'Model Assumptions'!DF$20)),0)</f>
        <v>46357.451128379813</v>
      </c>
      <c r="DG20" s="56">
        <f>IF(DG$10=1,MAX(DF20,Financials!$K$8,'Monthly P&amp;L'!DF20*(1+'Model Assumptions'!DG$20)),0)</f>
        <v>46357.451128379813</v>
      </c>
      <c r="DH20" s="56">
        <f>IF(DH$10=1,MAX(DG20,Financials!$K$8,'Monthly P&amp;L'!DG20*(1+'Model Assumptions'!DH$20)),0)</f>
        <v>46357.451128379813</v>
      </c>
      <c r="DI20" s="56">
        <f>IF(DI$10=1,MAX(DH20,Financials!$K$8,'Monthly P&amp;L'!DH20*(1+'Model Assumptions'!DI$20)),0)</f>
        <v>46357.451128379813</v>
      </c>
      <c r="DJ20" s="56">
        <f>IF(DJ$10=1,MAX(DI20,Financials!$K$8,'Monthly P&amp;L'!DI20*(1+'Model Assumptions'!DJ$20)),0)</f>
        <v>46357.451128379813</v>
      </c>
      <c r="DK20" s="56">
        <f>IF(DK$10=1,MAX(DJ20,Financials!$K$8,'Monthly P&amp;L'!DJ20*(1+'Model Assumptions'!DK$20)),0)</f>
        <v>47748.174662231206</v>
      </c>
      <c r="DL20" s="56">
        <f>IF(DL$10=1,MAX(DK20,Financials!$K$8,'Monthly P&amp;L'!DK20*(1+'Model Assumptions'!DL$20)),0)</f>
        <v>47748.174662231206</v>
      </c>
      <c r="DM20" s="56">
        <f>IF(DM$10=1,MAX(DL20,Financials!$K$8,'Monthly P&amp;L'!DL20*(1+'Model Assumptions'!DM$20)),0)</f>
        <v>47748.174662231206</v>
      </c>
      <c r="DN20" s="56">
        <f>IF(DN$10=1,MAX(DM20,Financials!$K$8,'Monthly P&amp;L'!DM20*(1+'Model Assumptions'!DN$20)),0)</f>
        <v>47748.174662231206</v>
      </c>
      <c r="DO20" s="56">
        <f>IF(DO$10=1,MAX(DN20,Financials!$K$8,'Monthly P&amp;L'!DN20*(1+'Model Assumptions'!DO$20)),0)</f>
        <v>47748.174662231206</v>
      </c>
      <c r="DP20" s="56">
        <f>IF(DP$10=1,MAX(DO20,Financials!$K$8,'Monthly P&amp;L'!DO20*(1+'Model Assumptions'!DP$20)),0)</f>
        <v>47748.174662231206</v>
      </c>
      <c r="DQ20" s="56">
        <f>IF(DQ$10=1,MAX(DP20,Financials!$K$8,'Monthly P&amp;L'!DP20*(1+'Model Assumptions'!DQ$20)),0)</f>
        <v>47748.174662231206</v>
      </c>
      <c r="DR20" s="56">
        <f>IF(DR$10=1,MAX(DQ20,Financials!$K$8,'Monthly P&amp;L'!DQ20*(1+'Model Assumptions'!DR$20)),0)</f>
        <v>47748.174662231206</v>
      </c>
      <c r="DS20" s="56">
        <f>IF(DS$10=1,MAX(DR20,Financials!$K$8,'Monthly P&amp;L'!DR20*(1+'Model Assumptions'!DS$20)),0)</f>
        <v>47748.174662231206</v>
      </c>
      <c r="DT20" s="56">
        <f>IF(DT$10=1,MAX(DS20,Financials!$K$8,'Monthly P&amp;L'!DS20*(1+'Model Assumptions'!DT$20)),0)</f>
        <v>47748.174662231206</v>
      </c>
      <c r="DU20" s="56">
        <f>IF(DU$10=1,MAX(DT20,Financials!$K$8,'Monthly P&amp;L'!DT20*(1+'Model Assumptions'!DU$20)),0)</f>
        <v>47748.174662231206</v>
      </c>
      <c r="DV20" s="56">
        <f>IF(DV$10=1,MAX(DU20,Financials!$K$8,'Monthly P&amp;L'!DU20*(1+'Model Assumptions'!DV$20)),0)</f>
        <v>47748.174662231206</v>
      </c>
      <c r="DW20" s="56">
        <f>IF(DW$10=1,MAX(DV20,Financials!$K$8,'Monthly P&amp;L'!DV20*(1+'Model Assumptions'!DW$20)),0)</f>
        <v>49180.619902098144</v>
      </c>
      <c r="DX20" s="56">
        <f>IF(DX$10=1,MAX(DW20,Financials!$K$8,'Monthly P&amp;L'!DW20*(1+'Model Assumptions'!DX$20)),0)</f>
        <v>49180.619902098144</v>
      </c>
      <c r="DY20" s="56">
        <f>IF(DY$10=1,MAX(DX20,Financials!$K$8,'Monthly P&amp;L'!DX20*(1+'Model Assumptions'!DY$20)),0)</f>
        <v>49180.619902098144</v>
      </c>
      <c r="DZ20" s="56">
        <f>IF(DZ$10=1,MAX(DY20,Financials!$K$8,'Monthly P&amp;L'!DY20*(1+'Model Assumptions'!DZ$20)),0)</f>
        <v>49180.619902098144</v>
      </c>
      <c r="EA20" s="56">
        <f>IF(EA$10=1,MAX(DZ20,Financials!$K$8,'Monthly P&amp;L'!DZ20*(1+'Model Assumptions'!EA$20)),0)</f>
        <v>49180.619902098144</v>
      </c>
      <c r="EB20" s="56">
        <f>IF(EB$10=1,MAX(EA20,Financials!$K$8,'Monthly P&amp;L'!EA20*(1+'Model Assumptions'!EB$20)),0)</f>
        <v>49180.619902098144</v>
      </c>
      <c r="EC20" s="56">
        <f>IF(EC$10=1,MAX(EB20,Financials!$K$8,'Monthly P&amp;L'!EB20*(1+'Model Assumptions'!EC$20)),0)</f>
        <v>49180.619902098144</v>
      </c>
      <c r="ED20" s="56">
        <f>IF(ED$10=1,MAX(EC20,Financials!$K$8,'Monthly P&amp;L'!EC20*(1+'Model Assumptions'!ED$20)),0)</f>
        <v>49180.619902098144</v>
      </c>
      <c r="EE20" s="56">
        <f>IF(EE$10=1,MAX(ED20,Financials!$K$8,'Monthly P&amp;L'!ED20*(1+'Model Assumptions'!EE$20)),0)</f>
        <v>49180.619902098144</v>
      </c>
      <c r="EF20" s="56">
        <f>IF(EF$10=1,MAX(EE20,Financials!$K$8,'Monthly P&amp;L'!EE20*(1+'Model Assumptions'!EF$20)),0)</f>
        <v>49180.619902098144</v>
      </c>
      <c r="EG20" s="56">
        <f>IF(EG$10=1,MAX(EF20,Financials!$K$8,'Monthly P&amp;L'!EF20*(1+'Model Assumptions'!EG$20)),0)</f>
        <v>49180.619902098144</v>
      </c>
      <c r="EH20" s="56">
        <f>IF(EH$10=1,MAX(EG20,Financials!$K$8,'Monthly P&amp;L'!EG20*(1+'Model Assumptions'!EH$20)),0)</f>
        <v>49180.619902098144</v>
      </c>
      <c r="EI20" s="56">
        <f>IF(EI$10=1,MAX(EH20,Financials!$K$8,'Monthly P&amp;L'!EH20*(1+'Model Assumptions'!EI$20)),0)</f>
        <v>50656.038499161092</v>
      </c>
      <c r="EJ20" s="56">
        <f>IF(EJ$10=1,MAX(EI20,Financials!$K$8,'Monthly P&amp;L'!EI20*(1+'Model Assumptions'!EJ$20)),0)</f>
        <v>50656.038499161092</v>
      </c>
      <c r="EK20" s="56">
        <f>IF(EK$10=1,MAX(EJ20,Financials!$K$8,'Monthly P&amp;L'!EJ20*(1+'Model Assumptions'!EK$20)),0)</f>
        <v>50656.038499161092</v>
      </c>
      <c r="EL20" s="56">
        <f>IF(EL$10=1,MAX(EK20,Financials!$K$8,'Monthly P&amp;L'!EK20*(1+'Model Assumptions'!EL$20)),0)</f>
        <v>50656.038499161092</v>
      </c>
      <c r="EM20" s="56">
        <f>IF(EM$10=1,MAX(EL20,Financials!$K$8,'Monthly P&amp;L'!EL20*(1+'Model Assumptions'!EM$20)),0)</f>
        <v>50656.038499161092</v>
      </c>
      <c r="EN20" s="56">
        <f>IF(EN$10=1,MAX(EM20,Financials!$K$8,'Monthly P&amp;L'!EM20*(1+'Model Assumptions'!EN$20)),0)</f>
        <v>50656.038499161092</v>
      </c>
      <c r="EO20" s="56">
        <f>IF(EO$10=1,MAX(EN20,Financials!$K$8,'Monthly P&amp;L'!EN20*(1+'Model Assumptions'!EO$20)),0)</f>
        <v>50656.038499161092</v>
      </c>
      <c r="EP20" s="56">
        <f>IF(EP$10=1,MAX(EO20,Financials!$K$8,'Monthly P&amp;L'!EO20*(1+'Model Assumptions'!EP$20)),0)</f>
        <v>50656.038499161092</v>
      </c>
      <c r="EQ20" s="56">
        <f>IF(EQ$10=1,MAX(EP20,Financials!$K$8,'Monthly P&amp;L'!EP20*(1+'Model Assumptions'!EQ$20)),0)</f>
        <v>50656.038499161092</v>
      </c>
      <c r="ER20" s="56">
        <f>IF(ER$10=1,MAX(EQ20,Financials!$K$8,'Monthly P&amp;L'!EQ20*(1+'Model Assumptions'!ER$20)),0)</f>
        <v>50656.038499161092</v>
      </c>
      <c r="ES20" s="56">
        <f>IF(ES$10=1,MAX(ER20,Financials!$K$8,'Monthly P&amp;L'!ER20*(1+'Model Assumptions'!ES$20)),0)</f>
        <v>50656.038499161092</v>
      </c>
      <c r="ET20" s="56">
        <f>IF(ET$10=1,MAX(ES20,Financials!$K$8,'Monthly P&amp;L'!ES20*(1+'Model Assumptions'!ET$20)),0)</f>
        <v>50656.038499161092</v>
      </c>
      <c r="EU20" s="56">
        <f>IF(EU$10=1,MAX(ET20,Financials!$K$8,'Monthly P&amp;L'!ET20*(1+'Model Assumptions'!EU$20)),0)</f>
        <v>52175.719654135923</v>
      </c>
      <c r="EV20" s="56">
        <f>IF(EV$10=1,MAX(EU20,Financials!$K$8,'Monthly P&amp;L'!EU20*(1+'Model Assumptions'!EV$20)),0)</f>
        <v>52175.719654135923</v>
      </c>
      <c r="EW20" s="56">
        <f>IF(EW$10=1,MAX(EV20,Financials!$K$8,'Monthly P&amp;L'!EV20*(1+'Model Assumptions'!EW$20)),0)</f>
        <v>52175.719654135923</v>
      </c>
      <c r="EX20" s="56">
        <f>IF(EX$10=1,MAX(EW20,Financials!$K$8,'Monthly P&amp;L'!EW20*(1+'Model Assumptions'!EX$20)),0)</f>
        <v>52175.719654135923</v>
      </c>
      <c r="EY20" s="56">
        <f>IF(EY$10=1,MAX(EX20,Financials!$K$8,'Monthly P&amp;L'!EX20*(1+'Model Assumptions'!EY$20)),0)</f>
        <v>52175.719654135923</v>
      </c>
      <c r="EZ20" s="56">
        <f>IF(EZ$10=1,MAX(EY20,Financials!$K$8,'Monthly P&amp;L'!EY20*(1+'Model Assumptions'!EZ$20)),0)</f>
        <v>52175.719654135923</v>
      </c>
      <c r="FA20" s="56">
        <f>IF(FA$10=1,MAX(EZ20,Financials!$K$8,'Monthly P&amp;L'!EZ20*(1+'Model Assumptions'!FA$20)),0)</f>
        <v>52175.719654135923</v>
      </c>
      <c r="FB20" s="56">
        <f>IF(FB$10=1,MAX(FA20,Financials!$K$8,'Monthly P&amp;L'!FA20*(1+'Model Assumptions'!FB$20)),0)</f>
        <v>52175.719654135923</v>
      </c>
      <c r="FC20" s="56">
        <f>IF(FC$10=1,MAX(FB20,Financials!$K$8,'Monthly P&amp;L'!FB20*(1+'Model Assumptions'!FC$20)),0)</f>
        <v>52175.719654135923</v>
      </c>
      <c r="FD20" s="56">
        <f>IF(FD$10=1,MAX(FC20,Financials!$K$8,'Monthly P&amp;L'!FC20*(1+'Model Assumptions'!FD$20)),0)</f>
        <v>52175.719654135923</v>
      </c>
      <c r="FE20" s="56">
        <f>IF(FE$10=1,MAX(FD20,Financials!$K$8,'Monthly P&amp;L'!FD20*(1+'Model Assumptions'!FE$20)),0)</f>
        <v>52175.719654135923</v>
      </c>
      <c r="FF20" s="56">
        <f>IF(FF$10=1,MAX(FE20,Financials!$K$8,'Monthly P&amp;L'!FE20*(1+'Model Assumptions'!FF$20)),0)</f>
        <v>52175.719654135923</v>
      </c>
      <c r="FG20" s="56">
        <f>IF(FG$10=1,MAX(FF20,Financials!$K$8,'Monthly P&amp;L'!FF20*(1+'Model Assumptions'!FG$20)),0)</f>
        <v>53740.99124376</v>
      </c>
      <c r="FH20" s="56">
        <f>IF(FH$10=1,MAX(FG20,Financials!$K$8,'Monthly P&amp;L'!FG20*(1+'Model Assumptions'!FH$20)),0)</f>
        <v>53740.99124376</v>
      </c>
      <c r="FI20" s="56">
        <f>IF(FI$10=1,MAX(FH20,Financials!$K$8,'Monthly P&amp;L'!FH20*(1+'Model Assumptions'!FI$20)),0)</f>
        <v>53740.99124376</v>
      </c>
      <c r="FJ20" s="56">
        <f>IF(FJ$10=1,MAX(FI20,Financials!$K$8,'Monthly P&amp;L'!FI20*(1+'Model Assumptions'!FJ$20)),0)</f>
        <v>53740.99124376</v>
      </c>
      <c r="FK20" s="56">
        <f>IF(FK$10=1,MAX(FJ20,Financials!$K$8,'Monthly P&amp;L'!FJ20*(1+'Model Assumptions'!FK$20)),0)</f>
        <v>53740.99124376</v>
      </c>
      <c r="FL20" s="56">
        <f>IF(FL$10=1,MAX(FK20,Financials!$K$8,'Monthly P&amp;L'!FK20*(1+'Model Assumptions'!FL$20)),0)</f>
        <v>53740.99124376</v>
      </c>
      <c r="FM20" s="56">
        <f>IF(FM$10=1,MAX(FL20,Financials!$K$8,'Monthly P&amp;L'!FL20*(1+'Model Assumptions'!FM$20)),0)</f>
        <v>53740.99124376</v>
      </c>
      <c r="FN20" s="56">
        <f>IF(FN$10=1,MAX(FM20,Financials!$K$8,'Monthly P&amp;L'!FM20*(1+'Model Assumptions'!FN$20)),0)</f>
        <v>53740.99124376</v>
      </c>
      <c r="FO20" s="56">
        <f>IF(FO$10=1,MAX(FN20,Financials!$K$8,'Monthly P&amp;L'!FN20*(1+'Model Assumptions'!FO$20)),0)</f>
        <v>53740.99124376</v>
      </c>
      <c r="FP20" s="56">
        <f>IF(FP$10=1,MAX(FO20,Financials!$K$8,'Monthly P&amp;L'!FO20*(1+'Model Assumptions'!FP$20)),0)</f>
        <v>53740.99124376</v>
      </c>
      <c r="FQ20" s="56">
        <f>IF(FQ$10=1,MAX(FP20,Financials!$K$8,'Monthly P&amp;L'!FP20*(1+'Model Assumptions'!FQ$20)),0)</f>
        <v>53740.99124376</v>
      </c>
      <c r="FR20" s="56">
        <f>IF(FR$10=1,MAX(FQ20,Financials!$K$8,'Monthly P&amp;L'!FQ20*(1+'Model Assumptions'!FR$20)),0)</f>
        <v>53740.99124376</v>
      </c>
      <c r="FS20" s="56">
        <f>IF(FS$10=1,MAX(FR20,Financials!$K$8,'Monthly P&amp;L'!FR20*(1+'Model Assumptions'!FS$20)),0)</f>
        <v>55353.220981072802</v>
      </c>
      <c r="FT20" s="56">
        <f>IF(FT$10=1,MAX(FS20,Financials!$K$8,'Monthly P&amp;L'!FS20*(1+'Model Assumptions'!FT$20)),0)</f>
        <v>55353.220981072802</v>
      </c>
      <c r="FU20" s="56">
        <f>IF(FU$10=1,MAX(FT20,Financials!$K$8,'Monthly P&amp;L'!FT20*(1+'Model Assumptions'!FU$20)),0)</f>
        <v>55353.220981072802</v>
      </c>
      <c r="FV20" s="56">
        <f>IF(FV$10=1,MAX(FU20,Financials!$K$8,'Monthly P&amp;L'!FU20*(1+'Model Assumptions'!FV$20)),0)</f>
        <v>55353.220981072802</v>
      </c>
      <c r="FW20" s="56">
        <f>IF(FW$10=1,MAX(FV20,Financials!$K$8,'Monthly P&amp;L'!FV20*(1+'Model Assumptions'!FW$20)),0)</f>
        <v>55353.220981072802</v>
      </c>
      <c r="FX20" s="56">
        <f>IF(FX$10=1,MAX(FW20,Financials!$K$8,'Monthly P&amp;L'!FW20*(1+'Model Assumptions'!FX$20)),0)</f>
        <v>55353.220981072802</v>
      </c>
      <c r="FY20" s="56">
        <f>IF(FY$10=1,MAX(FX20,Financials!$K$8,'Monthly P&amp;L'!FX20*(1+'Model Assumptions'!FY$20)),0)</f>
        <v>55353.220981072802</v>
      </c>
      <c r="FZ20" s="56">
        <f>IF(FZ$10=1,MAX(FY20,Financials!$K$8,'Monthly P&amp;L'!FY20*(1+'Model Assumptions'!FZ$20)),0)</f>
        <v>55353.220981072802</v>
      </c>
      <c r="GA20" s="56">
        <f>IF(GA$10=1,MAX(FZ20,Financials!$K$8,'Monthly P&amp;L'!FZ20*(1+'Model Assumptions'!GA$20)),0)</f>
        <v>55353.220981072802</v>
      </c>
      <c r="GB20" s="56">
        <f>IF(GB$10=1,MAX(GA20,Financials!$K$8,'Monthly P&amp;L'!GA20*(1+'Model Assumptions'!GB$20)),0)</f>
        <v>55353.220981072802</v>
      </c>
      <c r="GC20" s="56">
        <f>IF(GC$10=1,MAX(GB20,Financials!$K$8,'Monthly P&amp;L'!GB20*(1+'Model Assumptions'!GC$20)),0)</f>
        <v>55353.220981072802</v>
      </c>
      <c r="GD20" s="56">
        <f>IF(GD$10=1,MAX(GC20,Financials!$K$8,'Monthly P&amp;L'!GC20*(1+'Model Assumptions'!GD$20)),0)</f>
        <v>55353.220981072802</v>
      </c>
      <c r="GE20" s="56">
        <f>IF(GE$10=1,MAX(GD20,Financials!$K$8,'Monthly P&amp;L'!GD20*(1+'Model Assumptions'!GE$20)),0)</f>
        <v>0</v>
      </c>
      <c r="GF20" s="56">
        <f>IF(GF$10=1,MAX(GE20,Financials!$K$8,'Monthly P&amp;L'!GE20*(1+'Model Assumptions'!GF$20)),0)</f>
        <v>0</v>
      </c>
      <c r="GG20" s="56">
        <f>IF(GG$10=1,MAX(GF20,Financials!$K$8,'Monthly P&amp;L'!GF20*(1+'Model Assumptions'!GG$20)),0)</f>
        <v>0</v>
      </c>
      <c r="GH20" s="56">
        <f>IF(GH$10=1,MAX(GG20,Financials!$K$8,'Monthly P&amp;L'!GG20*(1+'Model Assumptions'!GH$20)),0)</f>
        <v>0</v>
      </c>
      <c r="GI20" s="56">
        <f>IF(GI$10=1,MAX(GH20,Financials!$K$8,'Monthly P&amp;L'!GH20*(1+'Model Assumptions'!GI$20)),0)</f>
        <v>0</v>
      </c>
      <c r="GJ20" s="56">
        <f>IF(GJ$10=1,MAX(GI20,Financials!$K$8,'Monthly P&amp;L'!GI20*(1+'Model Assumptions'!GJ$20)),0)</f>
        <v>0</v>
      </c>
      <c r="GK20" s="56">
        <f>IF(GK$10=1,MAX(GJ20,Financials!$K$8,'Monthly P&amp;L'!GJ20*(1+'Model Assumptions'!GK$20)),0)</f>
        <v>0</v>
      </c>
      <c r="GL20" s="56">
        <f>IF(GL$10=1,MAX(GK20,Financials!$K$8,'Monthly P&amp;L'!GK20*(1+'Model Assumptions'!GL$20)),0)</f>
        <v>0</v>
      </c>
      <c r="GM20" s="56">
        <f>IF(GM$10=1,MAX(GL20,Financials!$K$8,'Monthly P&amp;L'!GL20*(1+'Model Assumptions'!GM$20)),0)</f>
        <v>0</v>
      </c>
      <c r="GN20" s="56">
        <f>IF(GN$10=1,MAX(GM20,Financials!$K$8,'Monthly P&amp;L'!GM20*(1+'Model Assumptions'!GN$20)),0)</f>
        <v>0</v>
      </c>
      <c r="GO20" s="56">
        <f>IF(GO$10=1,MAX(GN20,Financials!$K$8,'Monthly P&amp;L'!GN20*(1+'Model Assumptions'!GO$20)),0)</f>
        <v>0</v>
      </c>
      <c r="GP20" s="56">
        <f>IF(GP$10=1,MAX(GO20,Financials!$K$8,'Monthly P&amp;L'!GO20*(1+'Model Assumptions'!GP$20)),0)</f>
        <v>0</v>
      </c>
      <c r="GQ20" s="56">
        <f>IF(GQ$10=1,MAX(GP20,Financials!$K$8,'Monthly P&amp;L'!GP20*(1+'Model Assumptions'!GQ$20)),0)</f>
        <v>0</v>
      </c>
      <c r="GR20" s="56">
        <f>IF(GR$10=1,MAX(GQ20,Financials!$K$8,'Monthly P&amp;L'!GQ20*(1+'Model Assumptions'!GR$20)),0)</f>
        <v>0</v>
      </c>
      <c r="GS20" s="56">
        <f>IF(GS$10=1,MAX(GR20,Financials!$K$8,'Monthly P&amp;L'!GR20*(1+'Model Assumptions'!GS$20)),0)</f>
        <v>0</v>
      </c>
      <c r="GT20" s="56">
        <f>IF(GT$10=1,MAX(GS20,Financials!$K$8,'Monthly P&amp;L'!GS20*(1+'Model Assumptions'!GT$20)),0)</f>
        <v>0</v>
      </c>
      <c r="GU20" s="56">
        <f>IF(GU$10=1,MAX(GT20,Financials!$K$8,'Monthly P&amp;L'!GT20*(1+'Model Assumptions'!GU$20)),0)</f>
        <v>0</v>
      </c>
      <c r="GV20" s="56">
        <f>IF(GV$10=1,MAX(GU20,Financials!$K$8,'Monthly P&amp;L'!GU20*(1+'Model Assumptions'!GV$20)),0)</f>
        <v>0</v>
      </c>
      <c r="GW20" s="56">
        <f>IF(GW$10=1,MAX(GV20,Financials!$K$8,'Monthly P&amp;L'!GV20*(1+'Model Assumptions'!GW$20)),0)</f>
        <v>0</v>
      </c>
      <c r="GX20" s="56">
        <f>IF(GX$10=1,MAX(GW20,Financials!$K$8,'Monthly P&amp;L'!GW20*(1+'Model Assumptions'!GX$20)),0)</f>
        <v>0</v>
      </c>
      <c r="GY20" s="56">
        <f>IF(GY$10=1,MAX(GX20,Financials!$K$8,'Monthly P&amp;L'!GX20*(1+'Model Assumptions'!GY$20)),0)</f>
        <v>0</v>
      </c>
      <c r="GZ20" s="56">
        <f>IF(GZ$10=1,MAX(GY20,Financials!$K$8,'Monthly P&amp;L'!GY20*(1+'Model Assumptions'!GZ$20)),0)</f>
        <v>0</v>
      </c>
      <c r="HA20" s="56">
        <f>IF(HA$10=1,MAX(GZ20,Financials!$K$8,'Monthly P&amp;L'!GZ20*(1+'Model Assumptions'!HA$20)),0)</f>
        <v>0</v>
      </c>
      <c r="HB20" s="56">
        <f>IF(HB$10=1,MAX(HA20,Financials!$K$8,'Monthly P&amp;L'!HA20*(1+'Model Assumptions'!HB$20)),0)</f>
        <v>0</v>
      </c>
      <c r="HC20" s="56">
        <f>IF(HC$10=1,MAX(HB20,Financials!$K$8,'Monthly P&amp;L'!HB20*(1+'Model Assumptions'!HC$20)),0)</f>
        <v>0</v>
      </c>
      <c r="HD20" s="56">
        <f>IF(HD$10=1,MAX(HC20,Financials!$K$8,'Monthly P&amp;L'!HC20*(1+'Model Assumptions'!HD$20)),0)</f>
        <v>0</v>
      </c>
      <c r="HE20" s="56">
        <f>IF(HE$10=1,MAX(HD20,Financials!$K$8,'Monthly P&amp;L'!HD20*(1+'Model Assumptions'!HE$20)),0)</f>
        <v>0</v>
      </c>
      <c r="HF20" s="56">
        <f>IF(HF$10=1,MAX(HE20,Financials!$K$8,'Monthly P&amp;L'!HE20*(1+'Model Assumptions'!HF$20)),0)</f>
        <v>0</v>
      </c>
      <c r="HG20" s="56">
        <f>IF(HG$10=1,MAX(HF20,Financials!$K$8,'Monthly P&amp;L'!HF20*(1+'Model Assumptions'!HG$20)),0)</f>
        <v>0</v>
      </c>
      <c r="HH20" s="56">
        <f>IF(HH$10=1,MAX(HG20,Financials!$K$8,'Monthly P&amp;L'!HG20*(1+'Model Assumptions'!HH$20)),0)</f>
        <v>0</v>
      </c>
      <c r="HI20" s="56">
        <f>IF(HI$10=1,MAX(HH20,Financials!$K$8,'Monthly P&amp;L'!HH20*(1+'Model Assumptions'!HI$20)),0)</f>
        <v>0</v>
      </c>
      <c r="HJ20" s="56">
        <f>IF(HJ$10=1,MAX(HI20,Financials!$K$8,'Monthly P&amp;L'!HI20*(1+'Model Assumptions'!HJ$20)),0)</f>
        <v>0</v>
      </c>
      <c r="HK20" s="56">
        <f>IF(HK$10=1,MAX(HJ20,Financials!$K$8,'Monthly P&amp;L'!HJ20*(1+'Model Assumptions'!HK$20)),0)</f>
        <v>0</v>
      </c>
      <c r="HL20" s="56">
        <f>IF(HL$10=1,MAX(HK20,Financials!$K$8,'Monthly P&amp;L'!HK20*(1+'Model Assumptions'!HL$20)),0)</f>
        <v>0</v>
      </c>
      <c r="HM20" s="56">
        <f>IF(HM$10=1,MAX(HL20,Financials!$K$8,'Monthly P&amp;L'!HL20*(1+'Model Assumptions'!HM$20)),0)</f>
        <v>0</v>
      </c>
      <c r="HN20" s="56">
        <f>IF(HN$10=1,MAX(HM20,Financials!$K$8,'Monthly P&amp;L'!HM20*(1+'Model Assumptions'!HN$20)),0)</f>
        <v>0</v>
      </c>
      <c r="HO20" s="56">
        <f>IF(HO$10=1,MAX(HN20,Financials!$K$8,'Monthly P&amp;L'!HN20*(1+'Model Assumptions'!HO$20)),0)</f>
        <v>0</v>
      </c>
      <c r="HP20" s="56">
        <f>IF(HP$10=1,MAX(HO20,Financials!$K$8,'Monthly P&amp;L'!HO20*(1+'Model Assumptions'!HP$20)),0)</f>
        <v>0</v>
      </c>
      <c r="HQ20" s="56">
        <f>IF(HQ$10=1,MAX(HP20,Financials!$K$8,'Monthly P&amp;L'!HP20*(1+'Model Assumptions'!HQ$20)),0)</f>
        <v>0</v>
      </c>
      <c r="HR20" s="56">
        <f>IF(HR$10=1,MAX(HQ20,Financials!$K$8,'Monthly P&amp;L'!HQ20*(1+'Model Assumptions'!HR$20)),0)</f>
        <v>0</v>
      </c>
      <c r="HS20" s="56">
        <f>IF(HS$10=1,MAX(HR20,Financials!$K$8,'Monthly P&amp;L'!HR20*(1+'Model Assumptions'!HS$20)),0)</f>
        <v>0</v>
      </c>
      <c r="HT20" s="56">
        <f>IF(HT$10=1,MAX(HS20,Financials!$K$8,'Monthly P&amp;L'!HS20*(1+'Model Assumptions'!HT$20)),0)</f>
        <v>0</v>
      </c>
      <c r="HU20" s="56">
        <f>IF(HU$10=1,MAX(HT20,Financials!$K$8,'Monthly P&amp;L'!HT20*(1+'Model Assumptions'!HU$20)),0)</f>
        <v>0</v>
      </c>
      <c r="HV20" s="56">
        <f>IF(HV$10=1,MAX(HU20,Financials!$K$8,'Monthly P&amp;L'!HU20*(1+'Model Assumptions'!HV$20)),0)</f>
        <v>0</v>
      </c>
      <c r="HW20" s="56">
        <f>IF(HW$10=1,MAX(HV20,Financials!$K$8,'Monthly P&amp;L'!HV20*(1+'Model Assumptions'!HW$20)),0)</f>
        <v>0</v>
      </c>
      <c r="HX20" s="56">
        <f>IF(HX$10=1,MAX(HW20,Financials!$K$8,'Monthly P&amp;L'!HW20*(1+'Model Assumptions'!HX$20)),0)</f>
        <v>0</v>
      </c>
      <c r="HY20" s="56">
        <f>IF(HY$10=1,MAX(HX20,Financials!$K$8,'Monthly P&amp;L'!HX20*(1+'Model Assumptions'!HY$20)),0)</f>
        <v>0</v>
      </c>
      <c r="HZ20" s="56">
        <f>IF(HZ$10=1,MAX(HY20,Financials!$K$8,'Monthly P&amp;L'!HY20*(1+'Model Assumptions'!HZ$20)),0)</f>
        <v>0</v>
      </c>
      <c r="IA20" s="56">
        <f>IF(IA$10=1,MAX(HZ20,Financials!$K$8,'Monthly P&amp;L'!HZ20*(1+'Model Assumptions'!IA$20)),0)</f>
        <v>0</v>
      </c>
      <c r="IB20" s="56">
        <f>IF(IB$10=1,MAX(IA20,Financials!$K$8,'Monthly P&amp;L'!IA20*(1+'Model Assumptions'!IB$20)),0)</f>
        <v>0</v>
      </c>
      <c r="IC20" s="56">
        <f>IF(IC$10=1,MAX(IB20,Financials!$K$8,'Monthly P&amp;L'!IB20*(1+'Model Assumptions'!IC$20)),0)</f>
        <v>0</v>
      </c>
      <c r="ID20" s="56">
        <f>IF(ID$10=1,MAX(IC20,Financials!$K$8,'Monthly P&amp;L'!IC20*(1+'Model Assumptions'!ID$20)),0)</f>
        <v>0</v>
      </c>
      <c r="IE20" s="56">
        <f>IF(IE$10=1,MAX(ID20,Financials!$K$8,'Monthly P&amp;L'!ID20*(1+'Model Assumptions'!IE$20)),0)</f>
        <v>0</v>
      </c>
      <c r="IF20" s="56">
        <f>IF(IF$10=1,MAX(IE20,Financials!$K$8,'Monthly P&amp;L'!IE20*(1+'Model Assumptions'!IF$20)),0)</f>
        <v>0</v>
      </c>
      <c r="IG20" s="56">
        <f>IF(IG$10=1,MAX(IF20,Financials!$K$8,'Monthly P&amp;L'!IF20*(1+'Model Assumptions'!IG$20)),0)</f>
        <v>0</v>
      </c>
      <c r="IH20" s="56">
        <f>IF(IH$10=1,MAX(IG20,Financials!$K$8,'Monthly P&amp;L'!IG20*(1+'Model Assumptions'!IH$20)),0)</f>
        <v>0</v>
      </c>
      <c r="II20" s="56">
        <f>IF(II$10=1,MAX(IH20,Financials!$K$8,'Monthly P&amp;L'!IH20*(1+'Model Assumptions'!II$20)),0)</f>
        <v>0</v>
      </c>
      <c r="IJ20" s="56">
        <f>IF(IJ$10=1,MAX(II20,Financials!$K$8,'Monthly P&amp;L'!II20*(1+'Model Assumptions'!IJ$20)),0)</f>
        <v>0</v>
      </c>
      <c r="IK20" s="56">
        <f>IF(IK$10=1,MAX(IJ20,Financials!$K$8,'Monthly P&amp;L'!IJ20*(1+'Model Assumptions'!IK$20)),0)</f>
        <v>0</v>
      </c>
      <c r="IL20" s="56">
        <f>IF(IL$10=1,MAX(IK20,Financials!$K$8,'Monthly P&amp;L'!IK20*(1+'Model Assumptions'!IL$20)),0)</f>
        <v>0</v>
      </c>
      <c r="IM20" s="56">
        <f>IF(IM$10=1,MAX(IL20,Financials!$K$8,'Monthly P&amp;L'!IL20*(1+'Model Assumptions'!IM$20)),0)</f>
        <v>0</v>
      </c>
      <c r="IN20" s="56">
        <f>IF(IN$10=1,MAX(IM20,Financials!$K$8,'Monthly P&amp;L'!IM20*(1+'Model Assumptions'!IN$20)),0)</f>
        <v>0</v>
      </c>
      <c r="IO20" s="56">
        <f>IF(IO$10=1,MAX(IN20,Financials!$K$8,'Monthly P&amp;L'!IN20*(1+'Model Assumptions'!IO$20)),0)</f>
        <v>0</v>
      </c>
      <c r="IP20" s="56">
        <f>IF(IP$10=1,MAX(IO20,Financials!$K$8,'Monthly P&amp;L'!IO20*(1+'Model Assumptions'!IP$20)),0)</f>
        <v>0</v>
      </c>
      <c r="IQ20" s="56">
        <f>IF(IQ$10=1,MAX(IP20,Financials!$K$8,'Monthly P&amp;L'!IP20*(1+'Model Assumptions'!IQ$20)),0)</f>
        <v>0</v>
      </c>
      <c r="IR20" s="56">
        <f>IF(IR$10=1,MAX(IQ20,Financials!$K$8,'Monthly P&amp;L'!IQ20*(1+'Model Assumptions'!IR$20)),0)</f>
        <v>0</v>
      </c>
      <c r="IS20" s="56">
        <f>IF(IS$10=1,MAX(IR20,Financials!$K$8,'Monthly P&amp;L'!IR20*(1+'Model Assumptions'!IS$20)),0)</f>
        <v>0</v>
      </c>
      <c r="IT20" s="56">
        <f>IF(IT$10=1,MAX(IS20,Financials!$K$8,'Monthly P&amp;L'!IS20*(1+'Model Assumptions'!IT$20)),0)</f>
        <v>0</v>
      </c>
      <c r="IU20" s="56">
        <f>IF(IU$10=1,MAX(IT20,Financials!$K$8,'Monthly P&amp;L'!IT20*(1+'Model Assumptions'!IU$20)),0)</f>
        <v>0</v>
      </c>
      <c r="IV20" s="56">
        <f>IF(IV$10=1,MAX(IU20,Financials!$K$8,'Monthly P&amp;L'!IU20*(1+'Model Assumptions'!IV$20)),0)</f>
        <v>0</v>
      </c>
      <c r="IW20" s="56">
        <f>IF(IW$10=1,MAX(IV20,Financials!$K$8,'Monthly P&amp;L'!IV20*(1+'Model Assumptions'!IW$20)),0)</f>
        <v>0</v>
      </c>
      <c r="IX20" s="56">
        <f>IF(IX$10=1,MAX(IW20,Financials!$K$8,'Monthly P&amp;L'!IW20*(1+'Model Assumptions'!IX$20)),0)</f>
        <v>0</v>
      </c>
      <c r="IY20" s="56">
        <f>IF(IY$10=1,MAX(IX20,Financials!$K$8,'Monthly P&amp;L'!IX20*(1+'Model Assumptions'!IY$20)),0)</f>
        <v>0</v>
      </c>
      <c r="IZ20" s="56">
        <f>IF(IZ$10=1,MAX(IY20,Financials!$K$8,'Monthly P&amp;L'!IY20*(1+'Model Assumptions'!IZ$20)),0)</f>
        <v>0</v>
      </c>
      <c r="JA20" s="56">
        <f>IF(JA$10=1,MAX(IZ20,Financials!$K$8,'Monthly P&amp;L'!IZ20*(1+'Model Assumptions'!JA$20)),0)</f>
        <v>0</v>
      </c>
      <c r="JB20" s="56">
        <f>IF(JB$10=1,MAX(JA20,Financials!$K$8,'Monthly P&amp;L'!JA20*(1+'Model Assumptions'!JB$20)),0)</f>
        <v>0</v>
      </c>
      <c r="JC20" s="56">
        <f>IF(JC$10=1,MAX(JB20,Financials!$K$8,'Monthly P&amp;L'!JB20*(1+'Model Assumptions'!JC$20)),0)</f>
        <v>0</v>
      </c>
      <c r="JD20" s="56">
        <f>IF(JD$10=1,MAX(JC20,Financials!$K$8,'Monthly P&amp;L'!JC20*(1+'Model Assumptions'!JD$20)),0)</f>
        <v>0</v>
      </c>
      <c r="JE20" s="56">
        <f>IF(JE$10=1,MAX(JD20,Financials!$K$8,'Monthly P&amp;L'!JD20*(1+'Model Assumptions'!JE$20)),0)</f>
        <v>0</v>
      </c>
      <c r="JF20" s="56">
        <f>IF(JF$10=1,MAX(JE20,Financials!$K$8,'Monthly P&amp;L'!JE20*(1+'Model Assumptions'!JF$20)),0)</f>
        <v>0</v>
      </c>
      <c r="JG20" s="56">
        <f>IF(JG$10=1,MAX(JF20,Financials!$K$8,'Monthly P&amp;L'!JF20*(1+'Model Assumptions'!JG$20)),0)</f>
        <v>0</v>
      </c>
      <c r="JH20" s="56">
        <f>IF(JH$10=1,MAX(JG20,Financials!$K$8,'Monthly P&amp;L'!JG20*(1+'Model Assumptions'!JH$20)),0)</f>
        <v>0</v>
      </c>
      <c r="JI20" s="56">
        <f>IF(JI$10=1,MAX(JH20,Financials!$K$8,'Monthly P&amp;L'!JH20*(1+'Model Assumptions'!JI$20)),0)</f>
        <v>0</v>
      </c>
      <c r="JJ20" s="56">
        <f>IF(JJ$10=1,MAX(JI20,Financials!$K$8,'Monthly P&amp;L'!JI20*(1+'Model Assumptions'!JJ$20)),0)</f>
        <v>0</v>
      </c>
      <c r="JK20" s="56">
        <f>IF(JK$10=1,MAX(JJ20,Financials!$K$8,'Monthly P&amp;L'!JJ20*(1+'Model Assumptions'!JK$20)),0)</f>
        <v>0</v>
      </c>
      <c r="JL20" s="56">
        <f>IF(JL$10=1,MAX(JK20,Financials!$K$8,'Monthly P&amp;L'!JK20*(1+'Model Assumptions'!JL$20)),0)</f>
        <v>0</v>
      </c>
      <c r="JM20" s="56">
        <f>IF(JM$10=1,MAX(JL20,Financials!$K$8,'Monthly P&amp;L'!JL20*(1+'Model Assumptions'!JM$20)),0)</f>
        <v>0</v>
      </c>
      <c r="JN20" s="56">
        <f>IF(JN$10=1,MAX(JM20,Financials!$K$8,'Monthly P&amp;L'!JM20*(1+'Model Assumptions'!JN$20)),0)</f>
        <v>0</v>
      </c>
      <c r="JO20" s="56">
        <f>IF(JO$10=1,MAX(JN20,Financials!$K$8,'Monthly P&amp;L'!JN20*(1+'Model Assumptions'!JO$20)),0)</f>
        <v>0</v>
      </c>
      <c r="JP20" s="56">
        <f>IF(JP$10=1,MAX(JO20,Financials!$K$8,'Monthly P&amp;L'!JO20*(1+'Model Assumptions'!JP$20)),0)</f>
        <v>0</v>
      </c>
      <c r="JQ20" s="56">
        <f>IF(JQ$10=1,MAX(JP20,Financials!$K$8,'Monthly P&amp;L'!JP20*(1+'Model Assumptions'!JQ$20)),0)</f>
        <v>0</v>
      </c>
      <c r="JR20" s="56">
        <f>IF(JR$10=1,MAX(JQ20,Financials!$K$8,'Monthly P&amp;L'!JQ20*(1+'Model Assumptions'!JR$20)),0)</f>
        <v>0</v>
      </c>
      <c r="JS20" s="56">
        <f>IF(JS$10=1,MAX(JR20,Financials!$K$8,'Monthly P&amp;L'!JR20*(1+'Model Assumptions'!JS$20)),0)</f>
        <v>0</v>
      </c>
      <c r="JT20" s="56">
        <f>IF(JT$10=1,MAX(JS20,Financials!$K$8,'Monthly P&amp;L'!JS20*(1+'Model Assumptions'!JT$20)),0)</f>
        <v>0</v>
      </c>
      <c r="JU20" s="56">
        <f>IF(JU$10=1,MAX(JT20,Financials!$K$8,'Monthly P&amp;L'!JT20*(1+'Model Assumptions'!JU$20)),0)</f>
        <v>0</v>
      </c>
      <c r="JV20" s="56">
        <f>IF(JV$10=1,MAX(JU20,Financials!$K$8,'Monthly P&amp;L'!JU20*(1+'Model Assumptions'!JV$20)),0)</f>
        <v>0</v>
      </c>
      <c r="JW20" s="56">
        <f>IF(JW$10=1,MAX(JV20,Financials!$K$8,'Monthly P&amp;L'!JV20*(1+'Model Assumptions'!JW$20)),0)</f>
        <v>0</v>
      </c>
      <c r="JX20" s="56">
        <f>IF(JX$10=1,MAX(JW20,Financials!$K$8,'Monthly P&amp;L'!JW20*(1+'Model Assumptions'!JX$20)),0)</f>
        <v>0</v>
      </c>
      <c r="JY20" s="56">
        <f>IF(JY$10=1,MAX(JX20,Financials!$K$8,'Monthly P&amp;L'!JX20*(1+'Model Assumptions'!JY$20)),0)</f>
        <v>0</v>
      </c>
      <c r="JZ20" s="56">
        <f>IF(JZ$10=1,MAX(JY20,Financials!$K$8,'Monthly P&amp;L'!JY20*(1+'Model Assumptions'!JZ$20)),0)</f>
        <v>0</v>
      </c>
      <c r="KA20" s="56">
        <f>IF(KA$10=1,MAX(JZ20,Financials!$K$8,'Monthly P&amp;L'!JZ20*(1+'Model Assumptions'!KA$20)),0)</f>
        <v>0</v>
      </c>
      <c r="KB20" s="56">
        <f>IF(KB$10=1,MAX(KA20,Financials!$K$8,'Monthly P&amp;L'!KA20*(1+'Model Assumptions'!KB$20)),0)</f>
        <v>0</v>
      </c>
      <c r="KC20" s="56">
        <f>IF(KC$10=1,MAX(KB20,Financials!$K$8,'Monthly P&amp;L'!KB20*(1+'Model Assumptions'!KC$20)),0)</f>
        <v>0</v>
      </c>
      <c r="KD20" s="56">
        <f>IF(KD$10=1,MAX(KC20,Financials!$K$8,'Monthly P&amp;L'!KC20*(1+'Model Assumptions'!KD$20)),0)</f>
        <v>0</v>
      </c>
      <c r="KE20" s="56">
        <f>IF(KE$10=1,MAX(KD20,Financials!$K$8,'Monthly P&amp;L'!KD20*(1+'Model Assumptions'!KE$20)),0)</f>
        <v>0</v>
      </c>
      <c r="KF20" s="56">
        <f>IF(KF$10=1,MAX(KE20,Financials!$K$8,'Monthly P&amp;L'!KE20*(1+'Model Assumptions'!KF$20)),0)</f>
        <v>0</v>
      </c>
      <c r="KG20" s="56">
        <f>IF(KG$10=1,MAX(KF20,Financials!$K$8,'Monthly P&amp;L'!KF20*(1+'Model Assumptions'!KG$20)),0)</f>
        <v>0</v>
      </c>
      <c r="KH20" s="56">
        <f>IF(KH$10=1,MAX(KG20,Financials!$K$8,'Monthly P&amp;L'!KG20*(1+'Model Assumptions'!KH$20)),0)</f>
        <v>0</v>
      </c>
      <c r="KI20" s="56">
        <f>IF(KI$10=1,MAX(KH20,Financials!$K$8,'Monthly P&amp;L'!KH20*(1+'Model Assumptions'!KI$20)),0)</f>
        <v>0</v>
      </c>
      <c r="KJ20" s="56">
        <f>IF(KJ$10=1,MAX(KI20,Financials!$K$8,'Monthly P&amp;L'!KI20*(1+'Model Assumptions'!KJ$20)),0)</f>
        <v>0</v>
      </c>
      <c r="KK20" s="56">
        <f>IF(KK$10=1,MAX(KJ20,Financials!$K$8,'Monthly P&amp;L'!KJ20*(1+'Model Assumptions'!KK$20)),0)</f>
        <v>0</v>
      </c>
      <c r="KL20" s="56">
        <f>IF(KL$10=1,MAX(KK20,Financials!$K$8,'Monthly P&amp;L'!KK20*(1+'Model Assumptions'!KL$20)),0)</f>
        <v>0</v>
      </c>
      <c r="KM20" s="56">
        <f>IF(KM$10=1,MAX(KL20,Financials!$K$8,'Monthly P&amp;L'!KL20*(1+'Model Assumptions'!KM$20)),0)</f>
        <v>0</v>
      </c>
      <c r="KN20" s="56">
        <f>IF(KN$10=1,MAX(KM20,Financials!$K$8,'Monthly P&amp;L'!KM20*(1+'Model Assumptions'!KN$20)),0)</f>
        <v>0</v>
      </c>
      <c r="KO20" s="56">
        <f>IF(KO$10=1,MAX(KN20,Financials!$K$8,'Monthly P&amp;L'!KN20*(1+'Model Assumptions'!KO$20)),0)</f>
        <v>0</v>
      </c>
      <c r="KP20" s="56">
        <f>IF(KP$10=1,MAX(KO20,Financials!$K$8,'Monthly P&amp;L'!KO20*(1+'Model Assumptions'!KP$20)),0)</f>
        <v>0</v>
      </c>
      <c r="KQ20" s="56">
        <f>IF(KQ$10=1,MAX(KP20,Financials!$K$8,'Monthly P&amp;L'!KP20*(1+'Model Assumptions'!KQ$20)),0)</f>
        <v>0</v>
      </c>
      <c r="KR20" s="56">
        <f>IF(KR$10=1,MAX(KQ20,Financials!$K$8,'Monthly P&amp;L'!KQ20*(1+'Model Assumptions'!KR$20)),0)</f>
        <v>0</v>
      </c>
      <c r="KS20" s="56">
        <f>IF(KS$10=1,MAX(KR20,Financials!$K$8,'Monthly P&amp;L'!KR20*(1+'Model Assumptions'!KS$20)),0)</f>
        <v>0</v>
      </c>
      <c r="KT20" s="56">
        <f>IF(KT$10=1,MAX(KS20,Financials!$K$8,'Monthly P&amp;L'!KS20*(1+'Model Assumptions'!KT$20)),0)</f>
        <v>0</v>
      </c>
      <c r="KU20" s="56">
        <f>IF(KU$10=1,MAX(KT20,Financials!$K$8,'Monthly P&amp;L'!KT20*(1+'Model Assumptions'!KU$20)),0)</f>
        <v>0</v>
      </c>
      <c r="KV20" s="56">
        <f>IF(KV$10=1,MAX(KU20,Financials!$K$8,'Monthly P&amp;L'!KU20*(1+'Model Assumptions'!KV$20)),0)</f>
        <v>0</v>
      </c>
      <c r="KW20" s="56">
        <f>IF(KW$10=1,MAX(KV20,Financials!$K$8,'Monthly P&amp;L'!KV20*(1+'Model Assumptions'!KW$20)),0)</f>
        <v>0</v>
      </c>
      <c r="KX20" s="56">
        <f>IF(KX$10=1,MAX(KW20,Financials!$K$8,'Monthly P&amp;L'!KW20*(1+'Model Assumptions'!KX$20)),0)</f>
        <v>0</v>
      </c>
      <c r="KY20" s="56">
        <f>IF(KY$10=1,MAX(KX20,Financials!$K$8,'Monthly P&amp;L'!KX20*(1+'Model Assumptions'!KY$20)),0)</f>
        <v>0</v>
      </c>
      <c r="KZ20" s="56">
        <f>IF(KZ$10=1,MAX(KY20,Financials!$K$8,'Monthly P&amp;L'!KY20*(1+'Model Assumptions'!KZ$20)),0)</f>
        <v>0</v>
      </c>
      <c r="LA20" s="56">
        <f>IF(LA$10=1,MAX(KZ20,Financials!$K$8,'Monthly P&amp;L'!KZ20*(1+'Model Assumptions'!LA$20)),0)</f>
        <v>0</v>
      </c>
      <c r="LB20" s="56">
        <f>IF(LB$10=1,MAX(LA20,Financials!$K$8,'Monthly P&amp;L'!LA20*(1+'Model Assumptions'!LB$20)),0)</f>
        <v>0</v>
      </c>
      <c r="LC20" s="56">
        <f>IF(LC$10=1,MAX(LB20,Financials!$K$8,'Monthly P&amp;L'!LB20*(1+'Model Assumptions'!LC$20)),0)</f>
        <v>0</v>
      </c>
      <c r="LD20" s="56">
        <f>IF(LD$10=1,MAX(LC20,Financials!$K$8,'Monthly P&amp;L'!LC20*(1+'Model Assumptions'!LD$20)),0)</f>
        <v>0</v>
      </c>
      <c r="LE20" s="56">
        <f>IF(LE$10=1,MAX(LD20,Financials!$K$8,'Monthly P&amp;L'!LD20*(1+'Model Assumptions'!LE$20)),0)</f>
        <v>0</v>
      </c>
      <c r="LF20" s="56">
        <f>IF(LF$10=1,MAX(LE20,Financials!$K$8,'Monthly P&amp;L'!LE20*(1+'Model Assumptions'!LF$20)),0)</f>
        <v>0</v>
      </c>
      <c r="LG20" s="56">
        <f>IF(LG$10=1,MAX(LF20,Financials!$K$8,'Monthly P&amp;L'!LF20*(1+'Model Assumptions'!LG$20)),0)</f>
        <v>0</v>
      </c>
      <c r="LH20" s="56">
        <f>IF(LH$10=1,MAX(LG20,Financials!$K$8,'Monthly P&amp;L'!LG20*(1+'Model Assumptions'!LH$20)),0)</f>
        <v>0</v>
      </c>
      <c r="LI20" s="56">
        <f>IF(LI$10=1,MAX(LH20,Financials!$K$8,'Monthly P&amp;L'!LH20*(1+'Model Assumptions'!LI$20)),0)</f>
        <v>0</v>
      </c>
      <c r="LJ20" s="56">
        <f>IF(LJ$10=1,MAX(LI20,Financials!$K$8,'Monthly P&amp;L'!LI20*(1+'Model Assumptions'!LJ$20)),0)</f>
        <v>0</v>
      </c>
      <c r="LK20" s="56">
        <f>IF(LK$10=1,MAX(LJ20,Financials!$K$8,'Monthly P&amp;L'!LJ20*(1+'Model Assumptions'!LK$20)),0)</f>
        <v>0</v>
      </c>
      <c r="LL20" s="56">
        <f>IF(LL$10=1,MAX(LK20,Financials!$K$8,'Monthly P&amp;L'!LK20*(1+'Model Assumptions'!LL$20)),0)</f>
        <v>0</v>
      </c>
      <c r="LM20" s="56">
        <f>IF(LM$10=1,MAX(LL20,Financials!$K$8,'Monthly P&amp;L'!LL20*(1+'Model Assumptions'!LM$20)),0)</f>
        <v>0</v>
      </c>
      <c r="LN20" s="56">
        <f>IF(LN$10=1,MAX(LM20,Financials!$K$8,'Monthly P&amp;L'!LM20*(1+'Model Assumptions'!LN$20)),0)</f>
        <v>0</v>
      </c>
      <c r="LO20" s="56">
        <f>IF(LO$10=1,MAX(LN20,Financials!$K$8,'Monthly P&amp;L'!LN20*(1+'Model Assumptions'!LO$20)),0)</f>
        <v>0</v>
      </c>
      <c r="LP20" s="56">
        <f>IF(LP$10=1,MAX(LO20,Financials!$K$8,'Monthly P&amp;L'!LO20*(1+'Model Assumptions'!LP$20)),0)</f>
        <v>0</v>
      </c>
      <c r="LQ20" s="56">
        <f>IF(LQ$10=1,MAX(LP20,Financials!$K$8,'Monthly P&amp;L'!LP20*(1+'Model Assumptions'!LQ$20)),0)</f>
        <v>0</v>
      </c>
      <c r="LR20" s="56">
        <f>IF(LR$10=1,MAX(LQ20,Financials!$K$8,'Monthly P&amp;L'!LQ20*(1+'Model Assumptions'!LR$20)),0)</f>
        <v>0</v>
      </c>
      <c r="LS20" s="56">
        <f>IF(LS$10=1,MAX(LR20,Financials!$K$8,'Monthly P&amp;L'!LR20*(1+'Model Assumptions'!LS$20)),0)</f>
        <v>0</v>
      </c>
      <c r="LT20" s="56">
        <f>IF(LT$10=1,MAX(LS20,Financials!$K$8,'Monthly P&amp;L'!LS20*(1+'Model Assumptions'!LT$20)),0)</f>
        <v>0</v>
      </c>
      <c r="LU20" s="56">
        <f>IF(LU$10=1,MAX(LT20,Financials!$K$8,'Monthly P&amp;L'!LT20*(1+'Model Assumptions'!LU$20)),0)</f>
        <v>0</v>
      </c>
      <c r="LV20" s="56">
        <f>IF(LV$10=1,MAX(LU20,Financials!$K$8,'Monthly P&amp;L'!LU20*(1+'Model Assumptions'!LV$20)),0)</f>
        <v>0</v>
      </c>
      <c r="LW20" s="56">
        <f>IF(LW$10=1,MAX(LV20,Financials!$K$8,'Monthly P&amp;L'!LV20*(1+'Model Assumptions'!LW$20)),0)</f>
        <v>0</v>
      </c>
      <c r="LX20" s="56">
        <f>IF(LX$10=1,MAX(LW20,Financials!$K$8,'Monthly P&amp;L'!LW20*(1+'Model Assumptions'!LX$20)),0)</f>
        <v>0</v>
      </c>
      <c r="LY20" s="56">
        <f>IF(LY$10=1,MAX(LX20,Financials!$K$8,'Monthly P&amp;L'!LX20*(1+'Model Assumptions'!LY$20)),0)</f>
        <v>0</v>
      </c>
      <c r="LZ20" s="56">
        <f>IF(LZ$10=1,MAX(LY20,Financials!$K$8,'Monthly P&amp;L'!LY20*(1+'Model Assumptions'!LZ$20)),0)</f>
        <v>0</v>
      </c>
      <c r="MA20" s="56">
        <f>IF(MA$10=1,MAX(LZ20,Financials!$K$8,'Monthly P&amp;L'!LZ20*(1+'Model Assumptions'!MA$20)),0)</f>
        <v>0</v>
      </c>
      <c r="MB20" s="56">
        <f>IF(MB$10=1,MAX(MA20,Financials!$K$8,'Monthly P&amp;L'!MA20*(1+'Model Assumptions'!MB$20)),0)</f>
        <v>0</v>
      </c>
      <c r="MC20" s="56">
        <f>IF(MC$10=1,MAX(MB20,Financials!$K$8,'Monthly P&amp;L'!MB20*(1+'Model Assumptions'!MC$20)),0)</f>
        <v>0</v>
      </c>
      <c r="MD20" s="56">
        <f>IF(MD$10=1,MAX(MC20,Financials!$K$8,'Monthly P&amp;L'!MC20*(1+'Model Assumptions'!MD$20)),0)</f>
        <v>0</v>
      </c>
      <c r="ME20" s="56">
        <f>IF(ME$10=1,MAX(MD20,Financials!$K$8,'Monthly P&amp;L'!MD20*(1+'Model Assumptions'!ME$20)),0)</f>
        <v>0</v>
      </c>
      <c r="MF20" s="56">
        <f>IF(MF$10=1,MAX(ME20,Financials!$K$8,'Monthly P&amp;L'!ME20*(1+'Model Assumptions'!MF$20)),0)</f>
        <v>0</v>
      </c>
      <c r="MG20" s="56">
        <f>IF(MG$10=1,MAX(MF20,Financials!$K$8,'Monthly P&amp;L'!MF20*(1+'Model Assumptions'!MG$20)),0)</f>
        <v>0</v>
      </c>
      <c r="MH20" s="56">
        <f>IF(MH$10=1,MAX(MG20,Financials!$K$8,'Monthly P&amp;L'!MG20*(1+'Model Assumptions'!MH$20)),0)</f>
        <v>0</v>
      </c>
      <c r="MI20" s="56">
        <f>IF(MI$10=1,MAX(MH20,Financials!$K$8,'Monthly P&amp;L'!MH20*(1+'Model Assumptions'!MI$20)),0)</f>
        <v>0</v>
      </c>
      <c r="MJ20" s="56">
        <f>IF(MJ$10=1,MAX(MI20,Financials!$K$8,'Monthly P&amp;L'!MI20*(1+'Model Assumptions'!MJ$20)),0)</f>
        <v>0</v>
      </c>
      <c r="MK20" s="56">
        <f>IF(MK$10=1,MAX(MJ20,Financials!$K$8,'Monthly P&amp;L'!MJ20*(1+'Model Assumptions'!MK$20)),0)</f>
        <v>0</v>
      </c>
      <c r="ML20" s="56">
        <f>IF(ML$10=1,MAX(MK20,Financials!$K$8,'Monthly P&amp;L'!MK20*(1+'Model Assumptions'!ML$20)),0)</f>
        <v>0</v>
      </c>
      <c r="MM20" s="56">
        <f>IF(MM$10=1,MAX(ML20,Financials!$K$8,'Monthly P&amp;L'!ML20*(1+'Model Assumptions'!MM$20)),0)</f>
        <v>0</v>
      </c>
      <c r="MN20" s="56">
        <f>IF(MN$10=1,MAX(MM20,Financials!$K$8,'Monthly P&amp;L'!MM20*(1+'Model Assumptions'!MN$20)),0)</f>
        <v>0</v>
      </c>
      <c r="MO20" s="56">
        <f>IF(MO$10=1,MAX(MN20,Financials!$K$8,'Monthly P&amp;L'!MN20*(1+'Model Assumptions'!MO$20)),0)</f>
        <v>0</v>
      </c>
      <c r="MP20" s="56">
        <f>IF(MP$10=1,MAX(MO20,Financials!$K$8,'Monthly P&amp;L'!MO20*(1+'Model Assumptions'!MP$20)),0)</f>
        <v>0</v>
      </c>
      <c r="MQ20" s="56">
        <f>IF(MQ$10=1,MAX(MP20,Financials!$K$8,'Monthly P&amp;L'!MP20*(1+'Model Assumptions'!MQ$20)),0)</f>
        <v>0</v>
      </c>
      <c r="MR20" s="56">
        <f>IF(MR$10=1,MAX(MQ20,Financials!$K$8,'Monthly P&amp;L'!MQ20*(1+'Model Assumptions'!MR$20)),0)</f>
        <v>0</v>
      </c>
      <c r="MS20" s="56">
        <f>IF(MS$10=1,MAX(MR20,Financials!$K$8,'Monthly P&amp;L'!MR20*(1+'Model Assumptions'!MS$20)),0)</f>
        <v>0</v>
      </c>
      <c r="MT20" s="56">
        <f>IF(MT$10=1,MAX(MS20,Financials!$K$8,'Monthly P&amp;L'!MS20*(1+'Model Assumptions'!MT$20)),0)</f>
        <v>0</v>
      </c>
      <c r="MU20" s="56">
        <f>IF(MU$10=1,MAX(MT20,Financials!$K$8,'Monthly P&amp;L'!MT20*(1+'Model Assumptions'!MU$20)),0)</f>
        <v>0</v>
      </c>
      <c r="MV20" s="56">
        <f>IF(MV$10=1,MAX(MU20,Financials!$K$8,'Monthly P&amp;L'!MU20*(1+'Model Assumptions'!MV$20)),0)</f>
        <v>0</v>
      </c>
      <c r="MW20" s="56">
        <f>IF(MW$10=1,MAX(MV20,Financials!$K$8,'Monthly P&amp;L'!MV20*(1+'Model Assumptions'!MW$20)),0)</f>
        <v>0</v>
      </c>
      <c r="MX20" s="56">
        <f>IF(MX$10=1,MAX(MW20,Financials!$K$8,'Monthly P&amp;L'!MW20*(1+'Model Assumptions'!MX$20)),0)</f>
        <v>0</v>
      </c>
      <c r="MY20" s="56">
        <f>IF(MY$10=1,MAX(MX20,Financials!$K$8,'Monthly P&amp;L'!MX20*(1+'Model Assumptions'!MY$20)),0)</f>
        <v>0</v>
      </c>
      <c r="MZ20" s="56">
        <f>IF(MZ$10=1,MAX(MY20,Financials!$K$8,'Monthly P&amp;L'!MY20*(1+'Model Assumptions'!MZ$20)),0)</f>
        <v>0</v>
      </c>
      <c r="NA20" s="56">
        <f>IF(NA$10=1,MAX(MZ20,Financials!$K$8,'Monthly P&amp;L'!MZ20*(1+'Model Assumptions'!NA$20)),0)</f>
        <v>0</v>
      </c>
      <c r="NB20" s="56">
        <f>IF(NB$10=1,MAX(NA20,Financials!$K$8,'Monthly P&amp;L'!NA20*(1+'Model Assumptions'!NB$20)),0)</f>
        <v>0</v>
      </c>
    </row>
    <row r="21" spans="1:366" x14ac:dyDescent="0.15">
      <c r="B21" s="370" t="s">
        <v>297</v>
      </c>
      <c r="C21" s="200"/>
      <c r="D21" s="6"/>
      <c r="E21" s="34"/>
      <c r="F21" s="54">
        <v>0</v>
      </c>
      <c r="G21" s="54">
        <f>IF(G$10=1,MAX(F21,Financials!$I$7,'Monthly P&amp;L'!F21*(1+'Model Assumptions'!G$21)),0)</f>
        <v>500</v>
      </c>
      <c r="H21" s="54">
        <f>IF(H$10=1,MAX(G21,Financials!$I$7,'Monthly P&amp;L'!G21*(1+'Model Assumptions'!H$21)),0)</f>
        <v>500</v>
      </c>
      <c r="I21" s="54">
        <f>IF(I$10=1,MAX(H21,Financials!$I$7,'Monthly P&amp;L'!H21*(1+'Model Assumptions'!I$21)),0)</f>
        <v>500</v>
      </c>
      <c r="J21" s="54">
        <f>IF(J$10=1,MAX(I21,Financials!$I$7,'Monthly P&amp;L'!I21*(1+'Model Assumptions'!J$21)),0)</f>
        <v>500</v>
      </c>
      <c r="K21" s="54">
        <f>IF(K$10=1,MAX(J21,Financials!$I$7,'Monthly P&amp;L'!J21*(1+'Model Assumptions'!K$21)),0)</f>
        <v>500</v>
      </c>
      <c r="L21" s="177">
        <f>IF(L$10=1,MAX(K21,Financials!$I$7,'Monthly P&amp;L'!K21*(1+'Model Assumptions'!L$21)),0)</f>
        <v>500</v>
      </c>
      <c r="M21" s="54">
        <f>IF(M$10=1,MAX(L21,Financials!$I$7,'Monthly P&amp;L'!L21*(1+'Model Assumptions'!M$21)),0)</f>
        <v>500</v>
      </c>
      <c r="N21" s="54">
        <f>IF(N$10=1,MAX(M21,Financials!$I$7,'Monthly P&amp;L'!M21*(1+'Model Assumptions'!N$21)),0)</f>
        <v>500</v>
      </c>
      <c r="O21" s="54">
        <f>IF(O$10=1,MAX(N21,Financials!$I$7,'Monthly P&amp;L'!N21*(1+'Model Assumptions'!O$21)),0)</f>
        <v>500</v>
      </c>
      <c r="P21" s="54">
        <f>IF(P$10=1,MAX(O21,Financials!$I$7,'Monthly P&amp;L'!O21*(1+'Model Assumptions'!P$21)),0)</f>
        <v>500</v>
      </c>
      <c r="Q21" s="54">
        <f>IF(Q$10=1,MAX(P21,Financials!$I$7,'Monthly P&amp;L'!P21*(1+'Model Assumptions'!Q$21)),0)</f>
        <v>500</v>
      </c>
      <c r="R21" s="54">
        <f>IF(R$10=1,MAX(Q21,Financials!$I$7,'Monthly P&amp;L'!Q21*(1+'Model Assumptions'!R$21)),0)</f>
        <v>500</v>
      </c>
      <c r="S21" s="54">
        <f>IF(S$10=1,MAX(R21,Financials!$I$7,'Monthly P&amp;L'!R21*(1+'Model Assumptions'!S$21)),0)</f>
        <v>512.5</v>
      </c>
      <c r="T21" s="54">
        <f>IF(T$10=1,MAX(S21,Financials!$I$7,'Monthly P&amp;L'!S21*(1+'Model Assumptions'!T$21)),0)</f>
        <v>512.5</v>
      </c>
      <c r="U21" s="54">
        <f>IF(U$10=1,MAX(T21,Financials!$I$7,'Monthly P&amp;L'!T21*(1+'Model Assumptions'!U$21)),0)</f>
        <v>512.5</v>
      </c>
      <c r="V21" s="54">
        <f>IF(V$10=1,MAX(U21,Financials!$I$7,'Monthly P&amp;L'!U21*(1+'Model Assumptions'!V$21)),0)</f>
        <v>512.5</v>
      </c>
      <c r="W21" s="54">
        <f>IF(W$10=1,MAX(V21,Financials!$I$7,'Monthly P&amp;L'!V21*(1+'Model Assumptions'!W$21)),0)</f>
        <v>512.5</v>
      </c>
      <c r="X21" s="54">
        <f>IF(X$10=1,MAX(W21,Financials!$I$7,'Monthly P&amp;L'!W21*(1+'Model Assumptions'!X$21)),0)</f>
        <v>512.5</v>
      </c>
      <c r="Y21" s="54">
        <f>IF(Y$10=1,MAX(X21,Financials!$I$7,'Monthly P&amp;L'!X21*(1+'Model Assumptions'!Y$21)),0)</f>
        <v>512.5</v>
      </c>
      <c r="Z21" s="54">
        <f>IF(Z$10=1,MAX(Y21,Financials!$I$7,'Monthly P&amp;L'!Y21*(1+'Model Assumptions'!Z$21)),0)</f>
        <v>512.5</v>
      </c>
      <c r="AA21" s="54">
        <f>IF(AA$10=1,MAX(Z21,Financials!$I$7,'Monthly P&amp;L'!Z21*(1+'Model Assumptions'!AA$21)),0)</f>
        <v>512.5</v>
      </c>
      <c r="AB21" s="54">
        <f>IF(AB$10=1,MAX(AA21,Financials!$I$7,'Monthly P&amp;L'!AA21*(1+'Model Assumptions'!AB$21)),0)</f>
        <v>512.5</v>
      </c>
      <c r="AC21" s="54">
        <f>IF(AC$10=1,MAX(AB21,Financials!$I$7,'Monthly P&amp;L'!AB21*(1+'Model Assumptions'!AC$21)),0)</f>
        <v>512.5</v>
      </c>
      <c r="AD21" s="54">
        <f>IF(AD$10=1,MAX(AC21,Financials!$I$7,'Monthly P&amp;L'!AC21*(1+'Model Assumptions'!AD$21)),0)</f>
        <v>512.5</v>
      </c>
      <c r="AE21" s="54">
        <f>IF(AE$10=1,MAX(AD21,Financials!$I$7,'Monthly P&amp;L'!AD21*(1+'Model Assumptions'!AE$21)),0)</f>
        <v>525.3125</v>
      </c>
      <c r="AF21" s="54">
        <f>IF(AF$10=1,MAX(AE21,Financials!$I$7,'Monthly P&amp;L'!AE21*(1+'Model Assumptions'!AF$21)),0)</f>
        <v>525.3125</v>
      </c>
      <c r="AG21" s="54">
        <f>IF(AG$10=1,MAX(AF21,Financials!$I$7,'Monthly P&amp;L'!AF21*(1+'Model Assumptions'!AG$21)),0)</f>
        <v>525.3125</v>
      </c>
      <c r="AH21" s="54">
        <f>IF(AH$10=1,MAX(AG21,Financials!$I$7,'Monthly P&amp;L'!AG21*(1+'Model Assumptions'!AH$21)),0)</f>
        <v>525.3125</v>
      </c>
      <c r="AI21" s="54">
        <f>IF(AI$10=1,MAX(AH21,Financials!$I$7,'Monthly P&amp;L'!AH21*(1+'Model Assumptions'!AI$21)),0)</f>
        <v>525.3125</v>
      </c>
      <c r="AJ21" s="54">
        <f>IF(AJ$10=1,MAX(AI21,Financials!$I$7,'Monthly P&amp;L'!AI21*(1+'Model Assumptions'!AJ$21)),0)</f>
        <v>525.3125</v>
      </c>
      <c r="AK21" s="54">
        <f>IF(AK$10=1,MAX(AJ21,Financials!$I$7,'Monthly P&amp;L'!AJ21*(1+'Model Assumptions'!AK$21)),0)</f>
        <v>525.3125</v>
      </c>
      <c r="AL21" s="54">
        <f>IF(AL$10=1,MAX(AK21,Financials!$I$7,'Monthly P&amp;L'!AK21*(1+'Model Assumptions'!AL$21)),0)</f>
        <v>525.3125</v>
      </c>
      <c r="AM21" s="54">
        <f>IF(AM$10=1,MAX(AL21,Financials!$I$7,'Monthly P&amp;L'!AL21*(1+'Model Assumptions'!AM$21)),0)</f>
        <v>525.3125</v>
      </c>
      <c r="AN21" s="54">
        <f>IF(AN$10=1,MAX(AM21,Financials!$I$7,'Monthly P&amp;L'!AM21*(1+'Model Assumptions'!AN$21)),0)</f>
        <v>525.3125</v>
      </c>
      <c r="AO21" s="54">
        <f>IF(AO$10=1,MAX(AN21,Financials!$I$7,'Monthly P&amp;L'!AN21*(1+'Model Assumptions'!AO$21)),0)</f>
        <v>525.3125</v>
      </c>
      <c r="AP21" s="54">
        <f>IF(AP$10=1,MAX(AO21,Financials!$I$7,'Monthly P&amp;L'!AO21*(1+'Model Assumptions'!AP$21)),0)</f>
        <v>525.3125</v>
      </c>
      <c r="AQ21" s="54">
        <f>IF(AQ$10=1,MAX(AP21,Financials!$I$7,'Monthly P&amp;L'!AP21*(1+'Model Assumptions'!AQ$21)),0)</f>
        <v>538.4453125</v>
      </c>
      <c r="AR21" s="54">
        <f>IF(AR$10=1,MAX(AQ21,Financials!$I$7,'Monthly P&amp;L'!AQ21*(1+'Model Assumptions'!AR$21)),0)</f>
        <v>538.4453125</v>
      </c>
      <c r="AS21" s="54">
        <f>IF(AS$10=1,MAX(AR21,Financials!$I$7,'Monthly P&amp;L'!AR21*(1+'Model Assumptions'!AS$21)),0)</f>
        <v>538.4453125</v>
      </c>
      <c r="AT21" s="54">
        <f>IF(AT$10=1,MAX(AS21,Financials!$I$7,'Monthly P&amp;L'!AS21*(1+'Model Assumptions'!AT$21)),0)</f>
        <v>538.4453125</v>
      </c>
      <c r="AU21" s="54">
        <f>IF(AU$10=1,MAX(AT21,Financials!$I$7,'Monthly P&amp;L'!AT21*(1+'Model Assumptions'!AU$21)),0)</f>
        <v>538.4453125</v>
      </c>
      <c r="AV21" s="54">
        <f>IF(AV$10=1,MAX(AU21,Financials!$I$7,'Monthly P&amp;L'!AU21*(1+'Model Assumptions'!AV$21)),0)</f>
        <v>538.4453125</v>
      </c>
      <c r="AW21" s="54">
        <f>IF(AW$10=1,MAX(AV21,Financials!$I$7,'Monthly P&amp;L'!AV21*(1+'Model Assumptions'!AW$21)),0)</f>
        <v>538.4453125</v>
      </c>
      <c r="AX21" s="54">
        <f>IF(AX$10=1,MAX(AW21,Financials!$I$7,'Monthly P&amp;L'!AW21*(1+'Model Assumptions'!AX$21)),0)</f>
        <v>538.4453125</v>
      </c>
      <c r="AY21" s="54">
        <f>IF(AY$10=1,MAX(AX21,Financials!$I$7,'Monthly P&amp;L'!AX21*(1+'Model Assumptions'!AY$21)),0)</f>
        <v>538.4453125</v>
      </c>
      <c r="AZ21" s="54">
        <f>IF(AZ$10=1,MAX(AY21,Financials!$I$7,'Monthly P&amp;L'!AY21*(1+'Model Assumptions'!AZ$21)),0)</f>
        <v>538.4453125</v>
      </c>
      <c r="BA21" s="54">
        <f>IF(BA$10=1,MAX(AZ21,Financials!$I$7,'Monthly P&amp;L'!AZ21*(1+'Model Assumptions'!BA$21)),0)</f>
        <v>538.4453125</v>
      </c>
      <c r="BB21" s="54">
        <f>IF(BB$10=1,MAX(BA21,Financials!$I$7,'Monthly P&amp;L'!BA21*(1+'Model Assumptions'!BB$21)),0)</f>
        <v>538.4453125</v>
      </c>
      <c r="BC21" s="54">
        <f>IF(BC$10=1,MAX(BB21,Financials!$I$7,'Monthly P&amp;L'!BB21*(1+'Model Assumptions'!BC$21)),0)</f>
        <v>551.90644531249995</v>
      </c>
      <c r="BD21" s="54">
        <f>IF(BD$10=1,MAX(BC21,Financials!$I$7,'Monthly P&amp;L'!BC21*(1+'Model Assumptions'!BD$21)),0)</f>
        <v>551.90644531249995</v>
      </c>
      <c r="BE21" s="54">
        <f>IF(BE$10=1,MAX(BD21,Financials!$I$7,'Monthly P&amp;L'!BD21*(1+'Model Assumptions'!BE$21)),0)</f>
        <v>551.90644531249995</v>
      </c>
      <c r="BF21" s="54">
        <f>IF(BF$10=1,MAX(BE21,Financials!$I$7,'Monthly P&amp;L'!BE21*(1+'Model Assumptions'!BF$21)),0)</f>
        <v>551.90644531249995</v>
      </c>
      <c r="BG21" s="54">
        <f>IF(BG$10=1,MAX(BF21,Financials!$I$7,'Monthly P&amp;L'!BF21*(1+'Model Assumptions'!BG$21)),0)</f>
        <v>551.90644531249995</v>
      </c>
      <c r="BH21" s="54">
        <f>IF(BH$10=1,MAX(BG21,Financials!$I$7,'Monthly P&amp;L'!BG21*(1+'Model Assumptions'!BH$21)),0)</f>
        <v>551.90644531249995</v>
      </c>
      <c r="BI21" s="54">
        <f>IF(BI$10=1,MAX(BH21,Financials!$I$7,'Monthly P&amp;L'!BH21*(1+'Model Assumptions'!BI$21)),0)</f>
        <v>551.90644531249995</v>
      </c>
      <c r="BJ21" s="54">
        <f>IF(BJ$10=1,MAX(BI21,Financials!$I$7,'Monthly P&amp;L'!BI21*(1+'Model Assumptions'!BJ$21)),0)</f>
        <v>551.90644531249995</v>
      </c>
      <c r="BK21" s="54">
        <f>IF(BK$10=1,MAX(BJ21,Financials!$I$7,'Monthly P&amp;L'!BJ21*(1+'Model Assumptions'!BK$21)),0)</f>
        <v>551.90644531249995</v>
      </c>
      <c r="BL21" s="54">
        <f>IF(BL$10=1,MAX(BK21,Financials!$I$7,'Monthly P&amp;L'!BK21*(1+'Model Assumptions'!BL$21)),0)</f>
        <v>551.90644531249995</v>
      </c>
      <c r="BM21" s="54">
        <f>IF(BM$10=1,MAX(BL21,Financials!$I$7,'Monthly P&amp;L'!BL21*(1+'Model Assumptions'!BM$21)),0)</f>
        <v>551.90644531249995</v>
      </c>
      <c r="BN21" s="54">
        <f>IF(BN$10=1,MAX(BM21,Financials!$I$7,'Monthly P&amp;L'!BM21*(1+'Model Assumptions'!BN$21)),0)</f>
        <v>551.90644531249995</v>
      </c>
      <c r="BO21" s="54">
        <f>IF(BO$10=1,MAX(BN21,Financials!$I$7,'Monthly P&amp;L'!BN21*(1+'Model Assumptions'!BO$21)),0)</f>
        <v>565.70410644531239</v>
      </c>
      <c r="BP21" s="54">
        <f>IF(BP$10=1,MAX(BO21,Financials!$I$7,'Monthly P&amp;L'!BO21*(1+'Model Assumptions'!BP$21)),0)</f>
        <v>565.70410644531239</v>
      </c>
      <c r="BQ21" s="54">
        <f>IF(BQ$10=1,MAX(BP21,Financials!$I$7,'Monthly P&amp;L'!BP21*(1+'Model Assumptions'!BQ$21)),0)</f>
        <v>565.70410644531239</v>
      </c>
      <c r="BR21" s="54">
        <f>IF(BR$10=1,MAX(BQ21,Financials!$I$7,'Monthly P&amp;L'!BQ21*(1+'Model Assumptions'!BR$21)),0)</f>
        <v>565.70410644531239</v>
      </c>
      <c r="BS21" s="54">
        <f>IF(BS$10=1,MAX(BR21,Financials!$I$7,'Monthly P&amp;L'!BR21*(1+'Model Assumptions'!BS$21)),0)</f>
        <v>565.70410644531239</v>
      </c>
      <c r="BT21" s="54">
        <f>IF(BT$10=1,MAX(BS21,Financials!$I$7,'Monthly P&amp;L'!BS21*(1+'Model Assumptions'!BT$21)),0)</f>
        <v>565.70410644531239</v>
      </c>
      <c r="BU21" s="54">
        <f>IF(BU$10=1,MAX(BT21,Financials!$I$7,'Monthly P&amp;L'!BT21*(1+'Model Assumptions'!BU$21)),0)</f>
        <v>565.70410644531239</v>
      </c>
      <c r="BV21" s="54">
        <f>IF(BV$10=1,MAX(BU21,Financials!$I$7,'Monthly P&amp;L'!BU21*(1+'Model Assumptions'!BV$21)),0)</f>
        <v>565.70410644531239</v>
      </c>
      <c r="BW21" s="54">
        <f>IF(BW$10=1,MAX(BV21,Financials!$I$7,'Monthly P&amp;L'!BV21*(1+'Model Assumptions'!BW$21)),0)</f>
        <v>565.70410644531239</v>
      </c>
      <c r="BX21" s="54">
        <f>IF(BX$10=1,MAX(BW21,Financials!$I$7,'Monthly P&amp;L'!BW21*(1+'Model Assumptions'!BX$21)),0)</f>
        <v>565.70410644531239</v>
      </c>
      <c r="BY21" s="54">
        <f>IF(BY$10=1,MAX(BX21,Financials!$I$7,'Monthly P&amp;L'!BX21*(1+'Model Assumptions'!BY$21)),0)</f>
        <v>565.70410644531239</v>
      </c>
      <c r="BZ21" s="54">
        <f>IF(BZ$10=1,MAX(BY21,Financials!$I$7,'Monthly P&amp;L'!BY21*(1+'Model Assumptions'!BZ$21)),0)</f>
        <v>565.70410644531239</v>
      </c>
      <c r="CA21" s="54">
        <f>IF(CA$10=1,MAX(BZ21,Financials!$I$7,'Monthly P&amp;L'!BZ21*(1+'Model Assumptions'!CA$21)),0)</f>
        <v>579.84670910644513</v>
      </c>
      <c r="CB21" s="54">
        <f>IF(CB$10=1,MAX(CA21,Financials!$I$7,'Monthly P&amp;L'!CA21*(1+'Model Assumptions'!CB$21)),0)</f>
        <v>579.84670910644513</v>
      </c>
      <c r="CC21" s="54">
        <f>IF(CC$10=1,MAX(CB21,Financials!$I$7,'Monthly P&amp;L'!CB21*(1+'Model Assumptions'!CC$21)),0)</f>
        <v>579.84670910644513</v>
      </c>
      <c r="CD21" s="54">
        <f>IF(CD$10=1,MAX(CC21,Financials!$I$7,'Monthly P&amp;L'!CC21*(1+'Model Assumptions'!CD$21)),0)</f>
        <v>579.84670910644513</v>
      </c>
      <c r="CE21" s="54">
        <f>IF(CE$10=1,MAX(CD21,Financials!$I$7,'Monthly P&amp;L'!CD21*(1+'Model Assumptions'!CE$21)),0)</f>
        <v>579.84670910644513</v>
      </c>
      <c r="CF21" s="54">
        <f>IF(CF$10=1,MAX(CE21,Financials!$I$7,'Monthly P&amp;L'!CE21*(1+'Model Assumptions'!CF$21)),0)</f>
        <v>579.84670910644513</v>
      </c>
      <c r="CG21" s="54">
        <f>IF(CG$10=1,MAX(CF21,Financials!$I$7,'Monthly P&amp;L'!CF21*(1+'Model Assumptions'!CG$21)),0)</f>
        <v>579.84670910644513</v>
      </c>
      <c r="CH21" s="54">
        <f>IF(CH$10=1,MAX(CG21,Financials!$I$7,'Monthly P&amp;L'!CG21*(1+'Model Assumptions'!CH$21)),0)</f>
        <v>579.84670910644513</v>
      </c>
      <c r="CI21" s="54">
        <f>IF(CI$10=1,MAX(CH21,Financials!$I$7,'Monthly P&amp;L'!CH21*(1+'Model Assumptions'!CI$21)),0)</f>
        <v>579.84670910644513</v>
      </c>
      <c r="CJ21" s="54">
        <f>IF(CJ$10=1,MAX(CI21,Financials!$I$7,'Monthly P&amp;L'!CI21*(1+'Model Assumptions'!CJ$21)),0)</f>
        <v>579.84670910644513</v>
      </c>
      <c r="CK21" s="54">
        <f>IF(CK$10=1,MAX(CJ21,Financials!$I$7,'Monthly P&amp;L'!CJ21*(1+'Model Assumptions'!CK$21)),0)</f>
        <v>579.84670910644513</v>
      </c>
      <c r="CL21" s="54">
        <f>IF(CL$10=1,MAX(CK21,Financials!$I$7,'Monthly P&amp;L'!CK21*(1+'Model Assumptions'!CL$21)),0)</f>
        <v>579.84670910644513</v>
      </c>
      <c r="CM21" s="54">
        <f>IF(CM$10=1,MAX(CL21,Financials!$I$7,'Monthly P&amp;L'!CL21*(1+'Model Assumptions'!CM$21)),0)</f>
        <v>594.34287683410616</v>
      </c>
      <c r="CN21" s="54">
        <f>IF(CN$10=1,MAX(CM21,Financials!$I$7,'Monthly P&amp;L'!CM21*(1+'Model Assumptions'!CN$21)),0)</f>
        <v>594.34287683410616</v>
      </c>
      <c r="CO21" s="54">
        <f>IF(CO$10=1,MAX(CN21,Financials!$I$7,'Monthly P&amp;L'!CN21*(1+'Model Assumptions'!CO$21)),0)</f>
        <v>594.34287683410616</v>
      </c>
      <c r="CP21" s="54">
        <f>IF(CP$10=1,MAX(CO21,Financials!$I$7,'Monthly P&amp;L'!CO21*(1+'Model Assumptions'!CP$21)),0)</f>
        <v>594.34287683410616</v>
      </c>
      <c r="CQ21" s="54">
        <f>IF(CQ$10=1,MAX(CP21,Financials!$I$7,'Monthly P&amp;L'!CP21*(1+'Model Assumptions'!CQ$21)),0)</f>
        <v>594.34287683410616</v>
      </c>
      <c r="CR21" s="54">
        <f>IF(CR$10=1,MAX(CQ21,Financials!$I$7,'Monthly P&amp;L'!CQ21*(1+'Model Assumptions'!CR$21)),0)</f>
        <v>594.34287683410616</v>
      </c>
      <c r="CS21" s="54">
        <f>IF(CS$10=1,MAX(CR21,Financials!$I$7,'Monthly P&amp;L'!CR21*(1+'Model Assumptions'!CS$21)),0)</f>
        <v>594.34287683410616</v>
      </c>
      <c r="CT21" s="54">
        <f>IF(CT$10=1,MAX(CS21,Financials!$I$7,'Monthly P&amp;L'!CS21*(1+'Model Assumptions'!CT$21)),0)</f>
        <v>594.34287683410616</v>
      </c>
      <c r="CU21" s="54">
        <f>IF(CU$10=1,MAX(CT21,Financials!$I$7,'Monthly P&amp;L'!CT21*(1+'Model Assumptions'!CU$21)),0)</f>
        <v>594.34287683410616</v>
      </c>
      <c r="CV21" s="54">
        <f>IF(CV$10=1,MAX(CU21,Financials!$I$7,'Monthly P&amp;L'!CU21*(1+'Model Assumptions'!CV$21)),0)</f>
        <v>594.34287683410616</v>
      </c>
      <c r="CW21" s="54">
        <f>IF(CW$10=1,MAX(CV21,Financials!$I$7,'Monthly P&amp;L'!CV21*(1+'Model Assumptions'!CW$21)),0)</f>
        <v>594.34287683410616</v>
      </c>
      <c r="CX21" s="54">
        <f>IF(CX$10=1,MAX(CW21,Financials!$I$7,'Monthly P&amp;L'!CW21*(1+'Model Assumptions'!CX$21)),0)</f>
        <v>594.34287683410616</v>
      </c>
      <c r="CY21" s="54">
        <f>IF(CY$10=1,MAX(CX21,Financials!$I$7,'Monthly P&amp;L'!CX21*(1+'Model Assumptions'!CY$21)),0)</f>
        <v>609.20144875495873</v>
      </c>
      <c r="CZ21" s="54">
        <f>IF(CZ$10=1,MAX(CY21,Financials!$I$7,'Monthly P&amp;L'!CY21*(1+'Model Assumptions'!CZ$21)),0)</f>
        <v>609.20144875495873</v>
      </c>
      <c r="DA21" s="54">
        <f>IF(DA$10=1,MAX(CZ21,Financials!$I$7,'Monthly P&amp;L'!CZ21*(1+'Model Assumptions'!DA$21)),0)</f>
        <v>609.20144875495873</v>
      </c>
      <c r="DB21" s="54">
        <f>IF(DB$10=1,MAX(DA21,Financials!$I$7,'Monthly P&amp;L'!DA21*(1+'Model Assumptions'!DB$21)),0)</f>
        <v>609.20144875495873</v>
      </c>
      <c r="DC21" s="54">
        <f>IF(DC$10=1,MAX(DB21,Financials!$I$7,'Monthly P&amp;L'!DB21*(1+'Model Assumptions'!DC$21)),0)</f>
        <v>609.20144875495873</v>
      </c>
      <c r="DD21" s="54">
        <f>IF(DD$10=1,MAX(DC21,Financials!$I$7,'Monthly P&amp;L'!DC21*(1+'Model Assumptions'!DD$21)),0)</f>
        <v>609.20144875495873</v>
      </c>
      <c r="DE21" s="54">
        <f>IF(DE$10=1,MAX(DD21,Financials!$I$7,'Monthly P&amp;L'!DD21*(1+'Model Assumptions'!DE$21)),0)</f>
        <v>609.20144875495873</v>
      </c>
      <c r="DF21" s="54">
        <f>IF(DF$10=1,MAX(DE21,Financials!$I$7,'Monthly P&amp;L'!DE21*(1+'Model Assumptions'!DF$21)),0)</f>
        <v>609.20144875495873</v>
      </c>
      <c r="DG21" s="54">
        <f>IF(DG$10=1,MAX(DF21,Financials!$I$7,'Monthly P&amp;L'!DF21*(1+'Model Assumptions'!DG$21)),0)</f>
        <v>609.20144875495873</v>
      </c>
      <c r="DH21" s="54">
        <f>IF(DH$10=1,MAX(DG21,Financials!$I$7,'Monthly P&amp;L'!DG21*(1+'Model Assumptions'!DH$21)),0)</f>
        <v>609.20144875495873</v>
      </c>
      <c r="DI21" s="54">
        <f>IF(DI$10=1,MAX(DH21,Financials!$I$7,'Monthly P&amp;L'!DH21*(1+'Model Assumptions'!DI$21)),0)</f>
        <v>609.20144875495873</v>
      </c>
      <c r="DJ21" s="54">
        <f>IF(DJ$10=1,MAX(DI21,Financials!$I$7,'Monthly P&amp;L'!DI21*(1+'Model Assumptions'!DJ$21)),0)</f>
        <v>609.20144875495873</v>
      </c>
      <c r="DK21" s="54">
        <f>IF(DK$10=1,MAX(DJ21,Financials!$I$7,'Monthly P&amp;L'!DJ21*(1+'Model Assumptions'!DK$21)),0)</f>
        <v>624.43148497383265</v>
      </c>
      <c r="DL21" s="54">
        <f>IF(DL$10=1,MAX(DK21,Financials!$I$7,'Monthly P&amp;L'!DK21*(1+'Model Assumptions'!DL$21)),0)</f>
        <v>624.43148497383265</v>
      </c>
      <c r="DM21" s="54">
        <f>IF(DM$10=1,MAX(DL21,Financials!$I$7,'Monthly P&amp;L'!DL21*(1+'Model Assumptions'!DM$21)),0)</f>
        <v>624.43148497383265</v>
      </c>
      <c r="DN21" s="54">
        <f>IF(DN$10=1,MAX(DM21,Financials!$I$7,'Monthly P&amp;L'!DM21*(1+'Model Assumptions'!DN$21)),0)</f>
        <v>624.43148497383265</v>
      </c>
      <c r="DO21" s="54">
        <f>IF(DO$10=1,MAX(DN21,Financials!$I$7,'Monthly P&amp;L'!DN21*(1+'Model Assumptions'!DO$21)),0)</f>
        <v>624.43148497383265</v>
      </c>
      <c r="DP21" s="54">
        <f>IF(DP$10=1,MAX(DO21,Financials!$I$7,'Monthly P&amp;L'!DO21*(1+'Model Assumptions'!DP$21)),0)</f>
        <v>624.43148497383265</v>
      </c>
      <c r="DQ21" s="54">
        <f>IF(DQ$10=1,MAX(DP21,Financials!$I$7,'Monthly P&amp;L'!DP21*(1+'Model Assumptions'!DQ$21)),0)</f>
        <v>624.43148497383265</v>
      </c>
      <c r="DR21" s="54">
        <f>IF(DR$10=1,MAX(DQ21,Financials!$I$7,'Monthly P&amp;L'!DQ21*(1+'Model Assumptions'!DR$21)),0)</f>
        <v>624.43148497383265</v>
      </c>
      <c r="DS21" s="54">
        <f>IF(DS$10=1,MAX(DR21,Financials!$I$7,'Monthly P&amp;L'!DR21*(1+'Model Assumptions'!DS$21)),0)</f>
        <v>624.43148497383265</v>
      </c>
      <c r="DT21" s="54">
        <f>IF(DT$10=1,MAX(DS21,Financials!$I$7,'Monthly P&amp;L'!DS21*(1+'Model Assumptions'!DT$21)),0)</f>
        <v>624.43148497383265</v>
      </c>
      <c r="DU21" s="54">
        <f>IF(DU$10=1,MAX(DT21,Financials!$I$7,'Monthly P&amp;L'!DT21*(1+'Model Assumptions'!DU$21)),0)</f>
        <v>624.43148497383265</v>
      </c>
      <c r="DV21" s="54">
        <f>IF(DV$10=1,MAX(DU21,Financials!$I$7,'Monthly P&amp;L'!DU21*(1+'Model Assumptions'!DV$21)),0)</f>
        <v>624.43148497383265</v>
      </c>
      <c r="DW21" s="54">
        <f>IF(DW$10=1,MAX(DV21,Financials!$I$7,'Monthly P&amp;L'!DV21*(1+'Model Assumptions'!DW$21)),0)</f>
        <v>640.04227209817839</v>
      </c>
      <c r="DX21" s="54">
        <f>IF(DX$10=1,MAX(DW21,Financials!$I$7,'Monthly P&amp;L'!DW21*(1+'Model Assumptions'!DX$21)),0)</f>
        <v>640.04227209817839</v>
      </c>
      <c r="DY21" s="54">
        <f>IF(DY$10=1,MAX(DX21,Financials!$I$7,'Monthly P&amp;L'!DX21*(1+'Model Assumptions'!DY$21)),0)</f>
        <v>640.04227209817839</v>
      </c>
      <c r="DZ21" s="54">
        <f>IF(DZ$10=1,MAX(DY21,Financials!$I$7,'Monthly P&amp;L'!DY21*(1+'Model Assumptions'!DZ$21)),0)</f>
        <v>640.04227209817839</v>
      </c>
      <c r="EA21" s="54">
        <f>IF(EA$10=1,MAX(DZ21,Financials!$I$7,'Monthly P&amp;L'!DZ21*(1+'Model Assumptions'!EA$21)),0)</f>
        <v>640.04227209817839</v>
      </c>
      <c r="EB21" s="54">
        <f>IF(EB$10=1,MAX(EA21,Financials!$I$7,'Monthly P&amp;L'!EA21*(1+'Model Assumptions'!EB$21)),0)</f>
        <v>640.04227209817839</v>
      </c>
      <c r="EC21" s="54">
        <f>IF(EC$10=1,MAX(EB21,Financials!$I$7,'Monthly P&amp;L'!EB21*(1+'Model Assumptions'!EC$21)),0)</f>
        <v>640.04227209817839</v>
      </c>
      <c r="ED21" s="54">
        <f>IF(ED$10=1,MAX(EC21,Financials!$I$7,'Monthly P&amp;L'!EC21*(1+'Model Assumptions'!ED$21)),0)</f>
        <v>640.04227209817839</v>
      </c>
      <c r="EE21" s="54">
        <f>IF(EE$10=1,MAX(ED21,Financials!$I$7,'Monthly P&amp;L'!ED21*(1+'Model Assumptions'!EE$21)),0)</f>
        <v>640.04227209817839</v>
      </c>
      <c r="EF21" s="54">
        <f>IF(EF$10=1,MAX(EE21,Financials!$I$7,'Monthly P&amp;L'!EE21*(1+'Model Assumptions'!EF$21)),0)</f>
        <v>640.04227209817839</v>
      </c>
      <c r="EG21" s="54">
        <f>IF(EG$10=1,MAX(EF21,Financials!$I$7,'Monthly P&amp;L'!EF21*(1+'Model Assumptions'!EG$21)),0)</f>
        <v>640.04227209817839</v>
      </c>
      <c r="EH21" s="54">
        <f>IF(EH$10=1,MAX(EG21,Financials!$I$7,'Monthly P&amp;L'!EG21*(1+'Model Assumptions'!EH$21)),0)</f>
        <v>640.04227209817839</v>
      </c>
      <c r="EI21" s="54">
        <f>IF(EI$10=1,MAX(EH21,Financials!$I$7,'Monthly P&amp;L'!EH21*(1+'Model Assumptions'!EI$21)),0)</f>
        <v>656.04332890063279</v>
      </c>
      <c r="EJ21" s="54">
        <f>IF(EJ$10=1,MAX(EI21,Financials!$I$7,'Monthly P&amp;L'!EI21*(1+'Model Assumptions'!EJ$21)),0)</f>
        <v>656.04332890063279</v>
      </c>
      <c r="EK21" s="54">
        <f>IF(EK$10=1,MAX(EJ21,Financials!$I$7,'Monthly P&amp;L'!EJ21*(1+'Model Assumptions'!EK$21)),0)</f>
        <v>656.04332890063279</v>
      </c>
      <c r="EL21" s="54">
        <f>IF(EL$10=1,MAX(EK21,Financials!$I$7,'Monthly P&amp;L'!EK21*(1+'Model Assumptions'!EL$21)),0)</f>
        <v>656.04332890063279</v>
      </c>
      <c r="EM21" s="54">
        <f>IF(EM$10=1,MAX(EL21,Financials!$I$7,'Monthly P&amp;L'!EL21*(1+'Model Assumptions'!EM$21)),0)</f>
        <v>656.04332890063279</v>
      </c>
      <c r="EN21" s="54">
        <f>IF(EN$10=1,MAX(EM21,Financials!$I$7,'Monthly P&amp;L'!EM21*(1+'Model Assumptions'!EN$21)),0)</f>
        <v>656.04332890063279</v>
      </c>
      <c r="EO21" s="54">
        <f>IF(EO$10=1,MAX(EN21,Financials!$I$7,'Monthly P&amp;L'!EN21*(1+'Model Assumptions'!EO$21)),0)</f>
        <v>656.04332890063279</v>
      </c>
      <c r="EP21" s="54">
        <f>IF(EP$10=1,MAX(EO21,Financials!$I$7,'Monthly P&amp;L'!EO21*(1+'Model Assumptions'!EP$21)),0)</f>
        <v>656.04332890063279</v>
      </c>
      <c r="EQ21" s="54">
        <f>IF(EQ$10=1,MAX(EP21,Financials!$I$7,'Monthly P&amp;L'!EP21*(1+'Model Assumptions'!EQ$21)),0)</f>
        <v>656.04332890063279</v>
      </c>
      <c r="ER21" s="54">
        <f>IF(ER$10=1,MAX(EQ21,Financials!$I$7,'Monthly P&amp;L'!EQ21*(1+'Model Assumptions'!ER$21)),0)</f>
        <v>656.04332890063279</v>
      </c>
      <c r="ES21" s="54">
        <f>IF(ES$10=1,MAX(ER21,Financials!$I$7,'Monthly P&amp;L'!ER21*(1+'Model Assumptions'!ES$21)),0)</f>
        <v>656.04332890063279</v>
      </c>
      <c r="ET21" s="54">
        <f>IF(ET$10=1,MAX(ES21,Financials!$I$7,'Monthly P&amp;L'!ES21*(1+'Model Assumptions'!ET$21)),0)</f>
        <v>656.04332890063279</v>
      </c>
      <c r="EU21" s="54">
        <f>IF(EU$10=1,MAX(ET21,Financials!$I$7,'Monthly P&amp;L'!ET21*(1+'Model Assumptions'!EU$21)),0)</f>
        <v>672.4444121231486</v>
      </c>
      <c r="EV21" s="54">
        <f>IF(EV$10=1,MAX(EU21,Financials!$I$7,'Monthly P&amp;L'!EU21*(1+'Model Assumptions'!EV$21)),0)</f>
        <v>672.4444121231486</v>
      </c>
      <c r="EW21" s="54">
        <f>IF(EW$10=1,MAX(EV21,Financials!$I$7,'Monthly P&amp;L'!EV21*(1+'Model Assumptions'!EW$21)),0)</f>
        <v>672.4444121231486</v>
      </c>
      <c r="EX21" s="54">
        <f>IF(EX$10=1,MAX(EW21,Financials!$I$7,'Monthly P&amp;L'!EW21*(1+'Model Assumptions'!EX$21)),0)</f>
        <v>672.4444121231486</v>
      </c>
      <c r="EY21" s="54">
        <f>IF(EY$10=1,MAX(EX21,Financials!$I$7,'Monthly P&amp;L'!EX21*(1+'Model Assumptions'!EY$21)),0)</f>
        <v>672.4444121231486</v>
      </c>
      <c r="EZ21" s="54">
        <f>IF(EZ$10=1,MAX(EY21,Financials!$I$7,'Monthly P&amp;L'!EY21*(1+'Model Assumptions'!EZ$21)),0)</f>
        <v>672.4444121231486</v>
      </c>
      <c r="FA21" s="54">
        <f>IF(FA$10=1,MAX(EZ21,Financials!$I$7,'Monthly P&amp;L'!EZ21*(1+'Model Assumptions'!FA$21)),0)</f>
        <v>672.4444121231486</v>
      </c>
      <c r="FB21" s="54">
        <f>IF(FB$10=1,MAX(FA21,Financials!$I$7,'Monthly P&amp;L'!FA21*(1+'Model Assumptions'!FB$21)),0)</f>
        <v>672.4444121231486</v>
      </c>
      <c r="FC21" s="54">
        <f>IF(FC$10=1,MAX(FB21,Financials!$I$7,'Monthly P&amp;L'!FB21*(1+'Model Assumptions'!FC$21)),0)</f>
        <v>672.4444121231486</v>
      </c>
      <c r="FD21" s="54">
        <f>IF(FD$10=1,MAX(FC21,Financials!$I$7,'Monthly P&amp;L'!FC21*(1+'Model Assumptions'!FD$21)),0)</f>
        <v>672.4444121231486</v>
      </c>
      <c r="FE21" s="54">
        <f>IF(FE$10=1,MAX(FD21,Financials!$I$7,'Monthly P&amp;L'!FD21*(1+'Model Assumptions'!FE$21)),0)</f>
        <v>672.4444121231486</v>
      </c>
      <c r="FF21" s="54">
        <f>IF(FF$10=1,MAX(FE21,Financials!$I$7,'Monthly P&amp;L'!FE21*(1+'Model Assumptions'!FF$21)),0)</f>
        <v>672.4444121231486</v>
      </c>
      <c r="FG21" s="54">
        <f>IF(FG$10=1,MAX(FF21,Financials!$I$7,'Monthly P&amp;L'!FF21*(1+'Model Assumptions'!FG$21)),0)</f>
        <v>689.25552242622723</v>
      </c>
      <c r="FH21" s="54">
        <f>IF(FH$10=1,MAX(FG21,Financials!$I$7,'Monthly P&amp;L'!FG21*(1+'Model Assumptions'!FH$21)),0)</f>
        <v>689.25552242622723</v>
      </c>
      <c r="FI21" s="54">
        <f>IF(FI$10=1,MAX(FH21,Financials!$I$7,'Monthly P&amp;L'!FH21*(1+'Model Assumptions'!FI$21)),0)</f>
        <v>689.25552242622723</v>
      </c>
      <c r="FJ21" s="54">
        <f>IF(FJ$10=1,MAX(FI21,Financials!$I$7,'Monthly P&amp;L'!FI21*(1+'Model Assumptions'!FJ$21)),0)</f>
        <v>689.25552242622723</v>
      </c>
      <c r="FK21" s="54">
        <f>IF(FK$10=1,MAX(FJ21,Financials!$I$7,'Monthly P&amp;L'!FJ21*(1+'Model Assumptions'!FK$21)),0)</f>
        <v>689.25552242622723</v>
      </c>
      <c r="FL21" s="54">
        <f>IF(FL$10=1,MAX(FK21,Financials!$I$7,'Monthly P&amp;L'!FK21*(1+'Model Assumptions'!FL$21)),0)</f>
        <v>689.25552242622723</v>
      </c>
      <c r="FM21" s="54">
        <f>IF(FM$10=1,MAX(FL21,Financials!$I$7,'Monthly P&amp;L'!FL21*(1+'Model Assumptions'!FM$21)),0)</f>
        <v>689.25552242622723</v>
      </c>
      <c r="FN21" s="54">
        <f>IF(FN$10=1,MAX(FM21,Financials!$I$7,'Monthly P&amp;L'!FM21*(1+'Model Assumptions'!FN$21)),0)</f>
        <v>689.25552242622723</v>
      </c>
      <c r="FO21" s="54">
        <f>IF(FO$10=1,MAX(FN21,Financials!$I$7,'Monthly P&amp;L'!FN21*(1+'Model Assumptions'!FO$21)),0)</f>
        <v>689.25552242622723</v>
      </c>
      <c r="FP21" s="54">
        <f>IF(FP$10=1,MAX(FO21,Financials!$I$7,'Monthly P&amp;L'!FO21*(1+'Model Assumptions'!FP$21)),0)</f>
        <v>689.25552242622723</v>
      </c>
      <c r="FQ21" s="54">
        <f>IF(FQ$10=1,MAX(FP21,Financials!$I$7,'Monthly P&amp;L'!FP21*(1+'Model Assumptions'!FQ$21)),0)</f>
        <v>689.25552242622723</v>
      </c>
      <c r="FR21" s="54">
        <f>IF(FR$10=1,MAX(FQ21,Financials!$I$7,'Monthly P&amp;L'!FQ21*(1+'Model Assumptions'!FR$21)),0)</f>
        <v>689.25552242622723</v>
      </c>
      <c r="FS21" s="54">
        <f>IF(FS$10=1,MAX(FR21,Financials!$I$7,'Monthly P&amp;L'!FR21*(1+'Model Assumptions'!FS$21)),0)</f>
        <v>706.48691048688283</v>
      </c>
      <c r="FT21" s="54">
        <f>IF(FT$10=1,MAX(FS21,Financials!$I$7,'Monthly P&amp;L'!FS21*(1+'Model Assumptions'!FT$21)),0)</f>
        <v>706.48691048688283</v>
      </c>
      <c r="FU21" s="54">
        <f>IF(FU$10=1,MAX(FT21,Financials!$I$7,'Monthly P&amp;L'!FT21*(1+'Model Assumptions'!FU$21)),0)</f>
        <v>706.48691048688283</v>
      </c>
      <c r="FV21" s="54">
        <f>IF(FV$10=1,MAX(FU21,Financials!$I$7,'Monthly P&amp;L'!FU21*(1+'Model Assumptions'!FV$21)),0)</f>
        <v>706.48691048688283</v>
      </c>
      <c r="FW21" s="54">
        <f>IF(FW$10=1,MAX(FV21,Financials!$I$7,'Monthly P&amp;L'!FV21*(1+'Model Assumptions'!FW$21)),0)</f>
        <v>706.48691048688283</v>
      </c>
      <c r="FX21" s="54">
        <f>IF(FX$10=1,MAX(FW21,Financials!$I$7,'Monthly P&amp;L'!FW21*(1+'Model Assumptions'!FX$21)),0)</f>
        <v>706.48691048688283</v>
      </c>
      <c r="FY21" s="54">
        <f>IF(FY$10=1,MAX(FX21,Financials!$I$7,'Monthly P&amp;L'!FX21*(1+'Model Assumptions'!FY$21)),0)</f>
        <v>706.48691048688283</v>
      </c>
      <c r="FZ21" s="54">
        <f>IF(FZ$10=1,MAX(FY21,Financials!$I$7,'Monthly P&amp;L'!FY21*(1+'Model Assumptions'!FZ$21)),0)</f>
        <v>706.48691048688283</v>
      </c>
      <c r="GA21" s="54">
        <f>IF(GA$10=1,MAX(FZ21,Financials!$I$7,'Monthly P&amp;L'!FZ21*(1+'Model Assumptions'!GA$21)),0)</f>
        <v>706.48691048688283</v>
      </c>
      <c r="GB21" s="54">
        <f>IF(GB$10=1,MAX(GA21,Financials!$I$7,'Monthly P&amp;L'!GA21*(1+'Model Assumptions'!GB$21)),0)</f>
        <v>706.48691048688283</v>
      </c>
      <c r="GC21" s="54">
        <f>IF(GC$10=1,MAX(GB21,Financials!$I$7,'Monthly P&amp;L'!GB21*(1+'Model Assumptions'!GC$21)),0)</f>
        <v>706.48691048688283</v>
      </c>
      <c r="GD21" s="54">
        <f>IF(GD$10=1,MAX(GC21,Financials!$I$7,'Monthly P&amp;L'!GC21*(1+'Model Assumptions'!GD$21)),0)</f>
        <v>706.48691048688283</v>
      </c>
      <c r="GE21" s="54">
        <f>IF(GE$10=1,MAX(GD21,Financials!$I$7,'Monthly P&amp;L'!GD21*(1+'Model Assumptions'!GE$21)),0)</f>
        <v>0</v>
      </c>
      <c r="GF21" s="54">
        <f>IF(GF$10=1,MAX(GE21,Financials!$I$7,'Monthly P&amp;L'!GE21*(1+'Model Assumptions'!GF$21)),0)</f>
        <v>0</v>
      </c>
      <c r="GG21" s="54">
        <f>IF(GG$10=1,MAX(GF21,Financials!$I$7,'Monthly P&amp;L'!GF21*(1+'Model Assumptions'!GG$21)),0)</f>
        <v>0</v>
      </c>
      <c r="GH21" s="54">
        <f>IF(GH$10=1,MAX(GG21,Financials!$I$7,'Monthly P&amp;L'!GG21*(1+'Model Assumptions'!GH$21)),0)</f>
        <v>0</v>
      </c>
      <c r="GI21" s="54">
        <f>IF(GI$10=1,MAX(GH21,Financials!$I$7,'Monthly P&amp;L'!GH21*(1+'Model Assumptions'!GI$21)),0)</f>
        <v>0</v>
      </c>
      <c r="GJ21" s="54">
        <f>IF(GJ$10=1,MAX(GI21,Financials!$I$7,'Monthly P&amp;L'!GI21*(1+'Model Assumptions'!GJ$21)),0)</f>
        <v>0</v>
      </c>
      <c r="GK21" s="54">
        <f>IF(GK$10=1,MAX(GJ21,Financials!$I$7,'Monthly P&amp;L'!GJ21*(1+'Model Assumptions'!GK$21)),0)</f>
        <v>0</v>
      </c>
      <c r="GL21" s="54">
        <f>IF(GL$10=1,MAX(GK21,Financials!$I$7,'Monthly P&amp;L'!GK21*(1+'Model Assumptions'!GL$21)),0)</f>
        <v>0</v>
      </c>
      <c r="GM21" s="54">
        <f>IF(GM$10=1,MAX(GL21,Financials!$I$7,'Monthly P&amp;L'!GL21*(1+'Model Assumptions'!GM$21)),0)</f>
        <v>0</v>
      </c>
      <c r="GN21" s="54">
        <f>IF(GN$10=1,MAX(GM21,Financials!$I$7,'Monthly P&amp;L'!GM21*(1+'Model Assumptions'!GN$21)),0)</f>
        <v>0</v>
      </c>
      <c r="GO21" s="54">
        <f>IF(GO$10=1,MAX(GN21,Financials!$I$7,'Monthly P&amp;L'!GN21*(1+'Model Assumptions'!GO$21)),0)</f>
        <v>0</v>
      </c>
      <c r="GP21" s="54">
        <f>IF(GP$10=1,MAX(GO21,Financials!$I$7,'Monthly P&amp;L'!GO21*(1+'Model Assumptions'!GP$21)),0)</f>
        <v>0</v>
      </c>
      <c r="GQ21" s="54">
        <f>IF(GQ$10=1,MAX(GP21,Financials!$I$7,'Monthly P&amp;L'!GP21*(1+'Model Assumptions'!GQ$21)),0)</f>
        <v>0</v>
      </c>
      <c r="GR21" s="54">
        <f>IF(GR$10=1,MAX(GQ21,Financials!$I$7,'Monthly P&amp;L'!GQ21*(1+'Model Assumptions'!GR$21)),0)</f>
        <v>0</v>
      </c>
      <c r="GS21" s="54">
        <f>IF(GS$10=1,MAX(GR21,Financials!$I$7,'Monthly P&amp;L'!GR21*(1+'Model Assumptions'!GS$21)),0)</f>
        <v>0</v>
      </c>
      <c r="GT21" s="54">
        <f>IF(GT$10=1,MAX(GS21,Financials!$I$7,'Monthly P&amp;L'!GS21*(1+'Model Assumptions'!GT$21)),0)</f>
        <v>0</v>
      </c>
      <c r="GU21" s="54">
        <f>IF(GU$10=1,MAX(GT21,Financials!$I$7,'Monthly P&amp;L'!GT21*(1+'Model Assumptions'!GU$21)),0)</f>
        <v>0</v>
      </c>
      <c r="GV21" s="54">
        <f>IF(GV$10=1,MAX(GU21,Financials!$I$7,'Monthly P&amp;L'!GU21*(1+'Model Assumptions'!GV$21)),0)</f>
        <v>0</v>
      </c>
      <c r="GW21" s="54">
        <f>IF(GW$10=1,MAX(GV21,Financials!$I$7,'Monthly P&amp;L'!GV21*(1+'Model Assumptions'!GW$21)),0)</f>
        <v>0</v>
      </c>
      <c r="GX21" s="54">
        <f>IF(GX$10=1,MAX(GW21,Financials!$I$7,'Monthly P&amp;L'!GW21*(1+'Model Assumptions'!GX$21)),0)</f>
        <v>0</v>
      </c>
      <c r="GY21" s="54">
        <f>IF(GY$10=1,MAX(GX21,Financials!$I$7,'Monthly P&amp;L'!GX21*(1+'Model Assumptions'!GY$21)),0)</f>
        <v>0</v>
      </c>
      <c r="GZ21" s="54">
        <f>IF(GZ$10=1,MAX(GY21,Financials!$I$7,'Monthly P&amp;L'!GY21*(1+'Model Assumptions'!GZ$21)),0)</f>
        <v>0</v>
      </c>
      <c r="HA21" s="54">
        <f>IF(HA$10=1,MAX(GZ21,Financials!$I$7,'Monthly P&amp;L'!GZ21*(1+'Model Assumptions'!HA$21)),0)</f>
        <v>0</v>
      </c>
      <c r="HB21" s="54">
        <f>IF(HB$10=1,MAX(HA21,Financials!$I$7,'Monthly P&amp;L'!HA21*(1+'Model Assumptions'!HB$21)),0)</f>
        <v>0</v>
      </c>
      <c r="HC21" s="54">
        <f>IF(HC$10=1,MAX(HB21,Financials!$I$7,'Monthly P&amp;L'!HB21*(1+'Model Assumptions'!HC$21)),0)</f>
        <v>0</v>
      </c>
      <c r="HD21" s="54">
        <f>IF(HD$10=1,MAX(HC21,Financials!$I$7,'Monthly P&amp;L'!HC21*(1+'Model Assumptions'!HD$21)),0)</f>
        <v>0</v>
      </c>
      <c r="HE21" s="54">
        <f>IF(HE$10=1,MAX(HD21,Financials!$I$7,'Monthly P&amp;L'!HD21*(1+'Model Assumptions'!HE$21)),0)</f>
        <v>0</v>
      </c>
      <c r="HF21" s="54">
        <f>IF(HF$10=1,MAX(HE21,Financials!$I$7,'Monthly P&amp;L'!HE21*(1+'Model Assumptions'!HF$21)),0)</f>
        <v>0</v>
      </c>
      <c r="HG21" s="54">
        <f>IF(HG$10=1,MAX(HF21,Financials!$I$7,'Monthly P&amp;L'!HF21*(1+'Model Assumptions'!HG$21)),0)</f>
        <v>0</v>
      </c>
      <c r="HH21" s="54">
        <f>IF(HH$10=1,MAX(HG21,Financials!$I$7,'Monthly P&amp;L'!HG21*(1+'Model Assumptions'!HH$21)),0)</f>
        <v>0</v>
      </c>
      <c r="HI21" s="54">
        <f>IF(HI$10=1,MAX(HH21,Financials!$I$7,'Monthly P&amp;L'!HH21*(1+'Model Assumptions'!HI$21)),0)</f>
        <v>0</v>
      </c>
      <c r="HJ21" s="54">
        <f>IF(HJ$10=1,MAX(HI21,Financials!$I$7,'Monthly P&amp;L'!HI21*(1+'Model Assumptions'!HJ$21)),0)</f>
        <v>0</v>
      </c>
      <c r="HK21" s="54">
        <f>IF(HK$10=1,MAX(HJ21,Financials!$I$7,'Monthly P&amp;L'!HJ21*(1+'Model Assumptions'!HK$21)),0)</f>
        <v>0</v>
      </c>
      <c r="HL21" s="54">
        <f>IF(HL$10=1,MAX(HK21,Financials!$I$7,'Monthly P&amp;L'!HK21*(1+'Model Assumptions'!HL$21)),0)</f>
        <v>0</v>
      </c>
      <c r="HM21" s="54">
        <f>IF(HM$10=1,MAX(HL21,Financials!$I$7,'Monthly P&amp;L'!HL21*(1+'Model Assumptions'!HM$21)),0)</f>
        <v>0</v>
      </c>
      <c r="HN21" s="54">
        <f>IF(HN$10=1,MAX(HM21,Financials!$I$7,'Monthly P&amp;L'!HM21*(1+'Model Assumptions'!HN$21)),0)</f>
        <v>0</v>
      </c>
      <c r="HO21" s="54">
        <f>IF(HO$10=1,MAX(HN21,Financials!$I$7,'Monthly P&amp;L'!HN21*(1+'Model Assumptions'!HO$21)),0)</f>
        <v>0</v>
      </c>
      <c r="HP21" s="54">
        <f>IF(HP$10=1,MAX(HO21,Financials!$I$7,'Monthly P&amp;L'!HO21*(1+'Model Assumptions'!HP$21)),0)</f>
        <v>0</v>
      </c>
      <c r="HQ21" s="54">
        <f>IF(HQ$10=1,MAX(HP21,Financials!$I$7,'Monthly P&amp;L'!HP21*(1+'Model Assumptions'!HQ$21)),0)</f>
        <v>0</v>
      </c>
      <c r="HR21" s="54">
        <f>IF(HR$10=1,MAX(HQ21,Financials!$I$7,'Monthly P&amp;L'!HQ21*(1+'Model Assumptions'!HR$21)),0)</f>
        <v>0</v>
      </c>
      <c r="HS21" s="54">
        <f>IF(HS$10=1,MAX(HR21,Financials!$I$7,'Monthly P&amp;L'!HR21*(1+'Model Assumptions'!HS$21)),0)</f>
        <v>0</v>
      </c>
      <c r="HT21" s="54">
        <f>IF(HT$10=1,MAX(HS21,Financials!$I$7,'Monthly P&amp;L'!HS21*(1+'Model Assumptions'!HT$21)),0)</f>
        <v>0</v>
      </c>
      <c r="HU21" s="54">
        <f>IF(HU$10=1,MAX(HT21,Financials!$I$7,'Monthly P&amp;L'!HT21*(1+'Model Assumptions'!HU$21)),0)</f>
        <v>0</v>
      </c>
      <c r="HV21" s="54">
        <f>IF(HV$10=1,MAX(HU21,Financials!$I$7,'Monthly P&amp;L'!HU21*(1+'Model Assumptions'!HV$21)),0)</f>
        <v>0</v>
      </c>
      <c r="HW21" s="54">
        <f>IF(HW$10=1,MAX(HV21,Financials!$I$7,'Monthly P&amp;L'!HV21*(1+'Model Assumptions'!HW$21)),0)</f>
        <v>0</v>
      </c>
      <c r="HX21" s="54">
        <f>IF(HX$10=1,MAX(HW21,Financials!$I$7,'Monthly P&amp;L'!HW21*(1+'Model Assumptions'!HX$21)),0)</f>
        <v>0</v>
      </c>
      <c r="HY21" s="54">
        <f>IF(HY$10=1,MAX(HX21,Financials!$I$7,'Monthly P&amp;L'!HX21*(1+'Model Assumptions'!HY$21)),0)</f>
        <v>0</v>
      </c>
      <c r="HZ21" s="54">
        <f>IF(HZ$10=1,MAX(HY21,Financials!$I$7,'Monthly P&amp;L'!HY21*(1+'Model Assumptions'!HZ$21)),0)</f>
        <v>0</v>
      </c>
      <c r="IA21" s="54">
        <f>IF(IA$10=1,MAX(HZ21,Financials!$I$7,'Monthly P&amp;L'!HZ21*(1+'Model Assumptions'!IA$21)),0)</f>
        <v>0</v>
      </c>
      <c r="IB21" s="54">
        <f>IF(IB$10=1,MAX(IA21,Financials!$I$7,'Monthly P&amp;L'!IA21*(1+'Model Assumptions'!IB$21)),0)</f>
        <v>0</v>
      </c>
      <c r="IC21" s="54">
        <f>IF(IC$10=1,MAX(IB21,Financials!$I$7,'Monthly P&amp;L'!IB21*(1+'Model Assumptions'!IC$21)),0)</f>
        <v>0</v>
      </c>
      <c r="ID21" s="54">
        <f>IF(ID$10=1,MAX(IC21,Financials!$I$7,'Monthly P&amp;L'!IC21*(1+'Model Assumptions'!ID$21)),0)</f>
        <v>0</v>
      </c>
      <c r="IE21" s="54">
        <f>IF(IE$10=1,MAX(ID21,Financials!$I$7,'Monthly P&amp;L'!ID21*(1+'Model Assumptions'!IE$21)),0)</f>
        <v>0</v>
      </c>
      <c r="IF21" s="54">
        <f>IF(IF$10=1,MAX(IE21,Financials!$I$7,'Monthly P&amp;L'!IE21*(1+'Model Assumptions'!IF$21)),0)</f>
        <v>0</v>
      </c>
      <c r="IG21" s="54">
        <f>IF(IG$10=1,MAX(IF21,Financials!$I$7,'Monthly P&amp;L'!IF21*(1+'Model Assumptions'!IG$21)),0)</f>
        <v>0</v>
      </c>
      <c r="IH21" s="54">
        <f>IF(IH$10=1,MAX(IG21,Financials!$I$7,'Monthly P&amp;L'!IG21*(1+'Model Assumptions'!IH$21)),0)</f>
        <v>0</v>
      </c>
      <c r="II21" s="54">
        <f>IF(II$10=1,MAX(IH21,Financials!$I$7,'Monthly P&amp;L'!IH21*(1+'Model Assumptions'!II$21)),0)</f>
        <v>0</v>
      </c>
      <c r="IJ21" s="54">
        <f>IF(IJ$10=1,MAX(II21,Financials!$I$7,'Monthly P&amp;L'!II21*(1+'Model Assumptions'!IJ$21)),0)</f>
        <v>0</v>
      </c>
      <c r="IK21" s="54">
        <f>IF(IK$10=1,MAX(IJ21,Financials!$I$7,'Monthly P&amp;L'!IJ21*(1+'Model Assumptions'!IK$21)),0)</f>
        <v>0</v>
      </c>
      <c r="IL21" s="54">
        <f>IF(IL$10=1,MAX(IK21,Financials!$I$7,'Monthly P&amp;L'!IK21*(1+'Model Assumptions'!IL$21)),0)</f>
        <v>0</v>
      </c>
      <c r="IM21" s="54">
        <f>IF(IM$10=1,MAX(IL21,Financials!$I$7,'Monthly P&amp;L'!IL21*(1+'Model Assumptions'!IM$21)),0)</f>
        <v>0</v>
      </c>
      <c r="IN21" s="54">
        <f>IF(IN$10=1,MAX(IM21,Financials!$I$7,'Monthly P&amp;L'!IM21*(1+'Model Assumptions'!IN$21)),0)</f>
        <v>0</v>
      </c>
      <c r="IO21" s="54">
        <f>IF(IO$10=1,MAX(IN21,Financials!$I$7,'Monthly P&amp;L'!IN21*(1+'Model Assumptions'!IO$21)),0)</f>
        <v>0</v>
      </c>
      <c r="IP21" s="54">
        <f>IF(IP$10=1,MAX(IO21,Financials!$I$7,'Monthly P&amp;L'!IO21*(1+'Model Assumptions'!IP$21)),0)</f>
        <v>0</v>
      </c>
      <c r="IQ21" s="54">
        <f>IF(IQ$10=1,MAX(IP21,Financials!$I$7,'Monthly P&amp;L'!IP21*(1+'Model Assumptions'!IQ$21)),0)</f>
        <v>0</v>
      </c>
      <c r="IR21" s="54">
        <f>IF(IR$10=1,MAX(IQ21,Financials!$I$7,'Monthly P&amp;L'!IQ21*(1+'Model Assumptions'!IR$21)),0)</f>
        <v>0</v>
      </c>
      <c r="IS21" s="54">
        <f>IF(IS$10=1,MAX(IR21,Financials!$I$7,'Monthly P&amp;L'!IR21*(1+'Model Assumptions'!IS$21)),0)</f>
        <v>0</v>
      </c>
      <c r="IT21" s="54">
        <f>IF(IT$10=1,MAX(IS21,Financials!$I$7,'Monthly P&amp;L'!IS21*(1+'Model Assumptions'!IT$21)),0)</f>
        <v>0</v>
      </c>
      <c r="IU21" s="54">
        <f>IF(IU$10=1,MAX(IT21,Financials!$I$7,'Monthly P&amp;L'!IT21*(1+'Model Assumptions'!IU$21)),0)</f>
        <v>0</v>
      </c>
      <c r="IV21" s="54">
        <f>IF(IV$10=1,MAX(IU21,Financials!$I$7,'Monthly P&amp;L'!IU21*(1+'Model Assumptions'!IV$21)),0)</f>
        <v>0</v>
      </c>
      <c r="IW21" s="54">
        <f>IF(IW$10=1,MAX(IV21,Financials!$I$7,'Monthly P&amp;L'!IV21*(1+'Model Assumptions'!IW$21)),0)</f>
        <v>0</v>
      </c>
      <c r="IX21" s="54">
        <f>IF(IX$10=1,MAX(IW21,Financials!$I$7,'Monthly P&amp;L'!IW21*(1+'Model Assumptions'!IX$21)),0)</f>
        <v>0</v>
      </c>
      <c r="IY21" s="54">
        <f>IF(IY$10=1,MAX(IX21,Financials!$I$7,'Monthly P&amp;L'!IX21*(1+'Model Assumptions'!IY$21)),0)</f>
        <v>0</v>
      </c>
      <c r="IZ21" s="54">
        <f>IF(IZ$10=1,MAX(IY21,Financials!$I$7,'Monthly P&amp;L'!IY21*(1+'Model Assumptions'!IZ$21)),0)</f>
        <v>0</v>
      </c>
      <c r="JA21" s="54">
        <f>IF(JA$10=1,MAX(IZ21,Financials!$I$7,'Monthly P&amp;L'!IZ21*(1+'Model Assumptions'!JA$21)),0)</f>
        <v>0</v>
      </c>
      <c r="JB21" s="54">
        <f>IF(JB$10=1,MAX(JA21,Financials!$I$7,'Monthly P&amp;L'!JA21*(1+'Model Assumptions'!JB$21)),0)</f>
        <v>0</v>
      </c>
      <c r="JC21" s="54">
        <f>IF(JC$10=1,MAX(JB21,Financials!$I$7,'Monthly P&amp;L'!JB21*(1+'Model Assumptions'!JC$21)),0)</f>
        <v>0</v>
      </c>
      <c r="JD21" s="54">
        <f>IF(JD$10=1,MAX(JC21,Financials!$I$7,'Monthly P&amp;L'!JC21*(1+'Model Assumptions'!JD$21)),0)</f>
        <v>0</v>
      </c>
      <c r="JE21" s="54">
        <f>IF(JE$10=1,MAX(JD21,Financials!$I$7,'Monthly P&amp;L'!JD21*(1+'Model Assumptions'!JE$21)),0)</f>
        <v>0</v>
      </c>
      <c r="JF21" s="54">
        <f>IF(JF$10=1,MAX(JE21,Financials!$I$7,'Monthly P&amp;L'!JE21*(1+'Model Assumptions'!JF$21)),0)</f>
        <v>0</v>
      </c>
      <c r="JG21" s="54">
        <f>IF(JG$10=1,MAX(JF21,Financials!$I$7,'Monthly P&amp;L'!JF21*(1+'Model Assumptions'!JG$21)),0)</f>
        <v>0</v>
      </c>
      <c r="JH21" s="54">
        <f>IF(JH$10=1,MAX(JG21,Financials!$I$7,'Monthly P&amp;L'!JG21*(1+'Model Assumptions'!JH$21)),0)</f>
        <v>0</v>
      </c>
      <c r="JI21" s="54">
        <f>IF(JI$10=1,MAX(JH21,Financials!$I$7,'Monthly P&amp;L'!JH21*(1+'Model Assumptions'!JI$21)),0)</f>
        <v>0</v>
      </c>
      <c r="JJ21" s="54">
        <f>IF(JJ$10=1,MAX(JI21,Financials!$I$7,'Monthly P&amp;L'!JI21*(1+'Model Assumptions'!JJ$21)),0)</f>
        <v>0</v>
      </c>
      <c r="JK21" s="54">
        <f>IF(JK$10=1,MAX(JJ21,Financials!$I$7,'Monthly P&amp;L'!JJ21*(1+'Model Assumptions'!JK$21)),0)</f>
        <v>0</v>
      </c>
      <c r="JL21" s="54">
        <f>IF(JL$10=1,MAX(JK21,Financials!$I$7,'Monthly P&amp;L'!JK21*(1+'Model Assumptions'!JL$21)),0)</f>
        <v>0</v>
      </c>
      <c r="JM21" s="54">
        <f>IF(JM$10=1,MAX(JL21,Financials!$I$7,'Monthly P&amp;L'!JL21*(1+'Model Assumptions'!JM$21)),0)</f>
        <v>0</v>
      </c>
      <c r="JN21" s="54">
        <f>IF(JN$10=1,MAX(JM21,Financials!$I$7,'Monthly P&amp;L'!JM21*(1+'Model Assumptions'!JN$21)),0)</f>
        <v>0</v>
      </c>
      <c r="JO21" s="54">
        <f>IF(JO$10=1,MAX(JN21,Financials!$I$7,'Monthly P&amp;L'!JN21*(1+'Model Assumptions'!JO$21)),0)</f>
        <v>0</v>
      </c>
      <c r="JP21" s="54">
        <f>IF(JP$10=1,MAX(JO21,Financials!$I$7,'Monthly P&amp;L'!JO21*(1+'Model Assumptions'!JP$21)),0)</f>
        <v>0</v>
      </c>
      <c r="JQ21" s="54">
        <f>IF(JQ$10=1,MAX(JP21,Financials!$I$7,'Monthly P&amp;L'!JP21*(1+'Model Assumptions'!JQ$21)),0)</f>
        <v>0</v>
      </c>
      <c r="JR21" s="54">
        <f>IF(JR$10=1,MAX(JQ21,Financials!$I$7,'Monthly P&amp;L'!JQ21*(1+'Model Assumptions'!JR$21)),0)</f>
        <v>0</v>
      </c>
      <c r="JS21" s="54">
        <f>IF(JS$10=1,MAX(JR21,Financials!$I$7,'Monthly P&amp;L'!JR21*(1+'Model Assumptions'!JS$21)),0)</f>
        <v>0</v>
      </c>
      <c r="JT21" s="54">
        <f>IF(JT$10=1,MAX(JS21,Financials!$I$7,'Monthly P&amp;L'!JS21*(1+'Model Assumptions'!JT$21)),0)</f>
        <v>0</v>
      </c>
      <c r="JU21" s="54">
        <f>IF(JU$10=1,MAX(JT21,Financials!$I$7,'Monthly P&amp;L'!JT21*(1+'Model Assumptions'!JU$21)),0)</f>
        <v>0</v>
      </c>
      <c r="JV21" s="54">
        <f>IF(JV$10=1,MAX(JU21,Financials!$I$7,'Monthly P&amp;L'!JU21*(1+'Model Assumptions'!JV$21)),0)</f>
        <v>0</v>
      </c>
      <c r="JW21" s="54">
        <f>IF(JW$10=1,MAX(JV21,Financials!$I$7,'Monthly P&amp;L'!JV21*(1+'Model Assumptions'!JW$21)),0)</f>
        <v>0</v>
      </c>
      <c r="JX21" s="54">
        <f>IF(JX$10=1,MAX(JW21,Financials!$I$7,'Monthly P&amp;L'!JW21*(1+'Model Assumptions'!JX$21)),0)</f>
        <v>0</v>
      </c>
      <c r="JY21" s="54">
        <f>IF(JY$10=1,MAX(JX21,Financials!$I$7,'Monthly P&amp;L'!JX21*(1+'Model Assumptions'!JY$21)),0)</f>
        <v>0</v>
      </c>
      <c r="JZ21" s="54">
        <f>IF(JZ$10=1,MAX(JY21,Financials!$I$7,'Monthly P&amp;L'!JY21*(1+'Model Assumptions'!JZ$21)),0)</f>
        <v>0</v>
      </c>
      <c r="KA21" s="54">
        <f>IF(KA$10=1,MAX(JZ21,Financials!$I$7,'Monthly P&amp;L'!JZ21*(1+'Model Assumptions'!KA$21)),0)</f>
        <v>0</v>
      </c>
      <c r="KB21" s="54">
        <f>IF(KB$10=1,MAX(KA21,Financials!$I$7,'Monthly P&amp;L'!KA21*(1+'Model Assumptions'!KB$21)),0)</f>
        <v>0</v>
      </c>
      <c r="KC21" s="54">
        <f>IF(KC$10=1,MAX(KB21,Financials!$I$7,'Monthly P&amp;L'!KB21*(1+'Model Assumptions'!KC$21)),0)</f>
        <v>0</v>
      </c>
      <c r="KD21" s="54">
        <f>IF(KD$10=1,MAX(KC21,Financials!$I$7,'Monthly P&amp;L'!KC21*(1+'Model Assumptions'!KD$21)),0)</f>
        <v>0</v>
      </c>
      <c r="KE21" s="54">
        <f>IF(KE$10=1,MAX(KD21,Financials!$I$7,'Monthly P&amp;L'!KD21*(1+'Model Assumptions'!KE$21)),0)</f>
        <v>0</v>
      </c>
      <c r="KF21" s="54">
        <f>IF(KF$10=1,MAX(KE21,Financials!$I$7,'Monthly P&amp;L'!KE21*(1+'Model Assumptions'!KF$21)),0)</f>
        <v>0</v>
      </c>
      <c r="KG21" s="54">
        <f>IF(KG$10=1,MAX(KF21,Financials!$I$7,'Monthly P&amp;L'!KF21*(1+'Model Assumptions'!KG$21)),0)</f>
        <v>0</v>
      </c>
      <c r="KH21" s="54">
        <f>IF(KH$10=1,MAX(KG21,Financials!$I$7,'Monthly P&amp;L'!KG21*(1+'Model Assumptions'!KH$21)),0)</f>
        <v>0</v>
      </c>
      <c r="KI21" s="54">
        <f>IF(KI$10=1,MAX(KH21,Financials!$I$7,'Monthly P&amp;L'!KH21*(1+'Model Assumptions'!KI$21)),0)</f>
        <v>0</v>
      </c>
      <c r="KJ21" s="54">
        <f>IF(KJ$10=1,MAX(KI21,Financials!$I$7,'Monthly P&amp;L'!KI21*(1+'Model Assumptions'!KJ$21)),0)</f>
        <v>0</v>
      </c>
      <c r="KK21" s="54">
        <f>IF(KK$10=1,MAX(KJ21,Financials!$I$7,'Monthly P&amp;L'!KJ21*(1+'Model Assumptions'!KK$21)),0)</f>
        <v>0</v>
      </c>
      <c r="KL21" s="54">
        <f>IF(KL$10=1,MAX(KK21,Financials!$I$7,'Monthly P&amp;L'!KK21*(1+'Model Assumptions'!KL$21)),0)</f>
        <v>0</v>
      </c>
      <c r="KM21" s="54">
        <f>IF(KM$10=1,MAX(KL21,Financials!$I$7,'Monthly P&amp;L'!KL21*(1+'Model Assumptions'!KM$21)),0)</f>
        <v>0</v>
      </c>
      <c r="KN21" s="54">
        <f>IF(KN$10=1,MAX(KM21,Financials!$I$7,'Monthly P&amp;L'!KM21*(1+'Model Assumptions'!KN$21)),0)</f>
        <v>0</v>
      </c>
      <c r="KO21" s="54">
        <f>IF(KO$10=1,MAX(KN21,Financials!$I$7,'Monthly P&amp;L'!KN21*(1+'Model Assumptions'!KO$21)),0)</f>
        <v>0</v>
      </c>
      <c r="KP21" s="54">
        <f>IF(KP$10=1,MAX(KO21,Financials!$I$7,'Monthly P&amp;L'!KO21*(1+'Model Assumptions'!KP$21)),0)</f>
        <v>0</v>
      </c>
      <c r="KQ21" s="54">
        <f>IF(KQ$10=1,MAX(KP21,Financials!$I$7,'Monthly P&amp;L'!KP21*(1+'Model Assumptions'!KQ$21)),0)</f>
        <v>0</v>
      </c>
      <c r="KR21" s="54">
        <f>IF(KR$10=1,MAX(KQ21,Financials!$I$7,'Monthly P&amp;L'!KQ21*(1+'Model Assumptions'!KR$21)),0)</f>
        <v>0</v>
      </c>
      <c r="KS21" s="54">
        <f>IF(KS$10=1,MAX(KR21,Financials!$I$7,'Monthly P&amp;L'!KR21*(1+'Model Assumptions'!KS$21)),0)</f>
        <v>0</v>
      </c>
      <c r="KT21" s="54">
        <f>IF(KT$10=1,MAX(KS21,Financials!$I$7,'Monthly P&amp;L'!KS21*(1+'Model Assumptions'!KT$21)),0)</f>
        <v>0</v>
      </c>
      <c r="KU21" s="54">
        <f>IF(KU$10=1,MAX(KT21,Financials!$I$7,'Monthly P&amp;L'!KT21*(1+'Model Assumptions'!KU$21)),0)</f>
        <v>0</v>
      </c>
      <c r="KV21" s="54">
        <f>IF(KV$10=1,MAX(KU21,Financials!$I$7,'Monthly P&amp;L'!KU21*(1+'Model Assumptions'!KV$21)),0)</f>
        <v>0</v>
      </c>
      <c r="KW21" s="54">
        <f>IF(KW$10=1,MAX(KV21,Financials!$I$7,'Monthly P&amp;L'!KV21*(1+'Model Assumptions'!KW$21)),0)</f>
        <v>0</v>
      </c>
      <c r="KX21" s="54">
        <f>IF(KX$10=1,MAX(KW21,Financials!$I$7,'Monthly P&amp;L'!KW21*(1+'Model Assumptions'!KX$21)),0)</f>
        <v>0</v>
      </c>
      <c r="KY21" s="54">
        <f>IF(KY$10=1,MAX(KX21,Financials!$I$7,'Monthly P&amp;L'!KX21*(1+'Model Assumptions'!KY$21)),0)</f>
        <v>0</v>
      </c>
      <c r="KZ21" s="54">
        <f>IF(KZ$10=1,MAX(KY21,Financials!$I$7,'Monthly P&amp;L'!KY21*(1+'Model Assumptions'!KZ$21)),0)</f>
        <v>0</v>
      </c>
      <c r="LA21" s="54">
        <f>IF(LA$10=1,MAX(KZ21,Financials!$I$7,'Monthly P&amp;L'!KZ21*(1+'Model Assumptions'!LA$21)),0)</f>
        <v>0</v>
      </c>
      <c r="LB21" s="54">
        <f>IF(LB$10=1,MAX(LA21,Financials!$I$7,'Monthly P&amp;L'!LA21*(1+'Model Assumptions'!LB$21)),0)</f>
        <v>0</v>
      </c>
      <c r="LC21" s="54">
        <f>IF(LC$10=1,MAX(LB21,Financials!$I$7,'Monthly P&amp;L'!LB21*(1+'Model Assumptions'!LC$21)),0)</f>
        <v>0</v>
      </c>
      <c r="LD21" s="54">
        <f>IF(LD$10=1,MAX(LC21,Financials!$I$7,'Monthly P&amp;L'!LC21*(1+'Model Assumptions'!LD$21)),0)</f>
        <v>0</v>
      </c>
      <c r="LE21" s="54">
        <f>IF(LE$10=1,MAX(LD21,Financials!$I$7,'Monthly P&amp;L'!LD21*(1+'Model Assumptions'!LE$21)),0)</f>
        <v>0</v>
      </c>
      <c r="LF21" s="54">
        <f>IF(LF$10=1,MAX(LE21,Financials!$I$7,'Monthly P&amp;L'!LE21*(1+'Model Assumptions'!LF$21)),0)</f>
        <v>0</v>
      </c>
      <c r="LG21" s="54">
        <f>IF(LG$10=1,MAX(LF21,Financials!$I$7,'Monthly P&amp;L'!LF21*(1+'Model Assumptions'!LG$21)),0)</f>
        <v>0</v>
      </c>
      <c r="LH21" s="54">
        <f>IF(LH$10=1,MAX(LG21,Financials!$I$7,'Monthly P&amp;L'!LG21*(1+'Model Assumptions'!LH$21)),0)</f>
        <v>0</v>
      </c>
      <c r="LI21" s="54">
        <f>IF(LI$10=1,MAX(LH21,Financials!$I$7,'Monthly P&amp;L'!LH21*(1+'Model Assumptions'!LI$21)),0)</f>
        <v>0</v>
      </c>
      <c r="LJ21" s="54">
        <f>IF(LJ$10=1,MAX(LI21,Financials!$I$7,'Monthly P&amp;L'!LI21*(1+'Model Assumptions'!LJ$21)),0)</f>
        <v>0</v>
      </c>
      <c r="LK21" s="54">
        <f>IF(LK$10=1,MAX(LJ21,Financials!$I$7,'Monthly P&amp;L'!LJ21*(1+'Model Assumptions'!LK$21)),0)</f>
        <v>0</v>
      </c>
      <c r="LL21" s="54">
        <f>IF(LL$10=1,MAX(LK21,Financials!$I$7,'Monthly P&amp;L'!LK21*(1+'Model Assumptions'!LL$21)),0)</f>
        <v>0</v>
      </c>
      <c r="LM21" s="54">
        <f>IF(LM$10=1,MAX(LL21,Financials!$I$7,'Monthly P&amp;L'!LL21*(1+'Model Assumptions'!LM$21)),0)</f>
        <v>0</v>
      </c>
      <c r="LN21" s="54">
        <f>IF(LN$10=1,MAX(LM21,Financials!$I$7,'Monthly P&amp;L'!LM21*(1+'Model Assumptions'!LN$21)),0)</f>
        <v>0</v>
      </c>
      <c r="LO21" s="54">
        <f>IF(LO$10=1,MAX(LN21,Financials!$I$7,'Monthly P&amp;L'!LN21*(1+'Model Assumptions'!LO$21)),0)</f>
        <v>0</v>
      </c>
      <c r="LP21" s="54">
        <f>IF(LP$10=1,MAX(LO21,Financials!$I$7,'Monthly P&amp;L'!LO21*(1+'Model Assumptions'!LP$21)),0)</f>
        <v>0</v>
      </c>
      <c r="LQ21" s="54">
        <f>IF(LQ$10=1,MAX(LP21,Financials!$I$7,'Monthly P&amp;L'!LP21*(1+'Model Assumptions'!LQ$21)),0)</f>
        <v>0</v>
      </c>
      <c r="LR21" s="54">
        <f>IF(LR$10=1,MAX(LQ21,Financials!$I$7,'Monthly P&amp;L'!LQ21*(1+'Model Assumptions'!LR$21)),0)</f>
        <v>0</v>
      </c>
      <c r="LS21" s="54">
        <f>IF(LS$10=1,MAX(LR21,Financials!$I$7,'Monthly P&amp;L'!LR21*(1+'Model Assumptions'!LS$21)),0)</f>
        <v>0</v>
      </c>
      <c r="LT21" s="54">
        <f>IF(LT$10=1,MAX(LS21,Financials!$I$7,'Monthly P&amp;L'!LS21*(1+'Model Assumptions'!LT$21)),0)</f>
        <v>0</v>
      </c>
      <c r="LU21" s="54">
        <f>IF(LU$10=1,MAX(LT21,Financials!$I$7,'Monthly P&amp;L'!LT21*(1+'Model Assumptions'!LU$21)),0)</f>
        <v>0</v>
      </c>
      <c r="LV21" s="54">
        <f>IF(LV$10=1,MAX(LU21,Financials!$I$7,'Monthly P&amp;L'!LU21*(1+'Model Assumptions'!LV$21)),0)</f>
        <v>0</v>
      </c>
      <c r="LW21" s="54">
        <f>IF(LW$10=1,MAX(LV21,Financials!$I$7,'Monthly P&amp;L'!LV21*(1+'Model Assumptions'!LW$21)),0)</f>
        <v>0</v>
      </c>
      <c r="LX21" s="54">
        <f>IF(LX$10=1,MAX(LW21,Financials!$I$7,'Monthly P&amp;L'!LW21*(1+'Model Assumptions'!LX$21)),0)</f>
        <v>0</v>
      </c>
      <c r="LY21" s="54">
        <f>IF(LY$10=1,MAX(LX21,Financials!$I$7,'Monthly P&amp;L'!LX21*(1+'Model Assumptions'!LY$21)),0)</f>
        <v>0</v>
      </c>
      <c r="LZ21" s="54">
        <f>IF(LZ$10=1,MAX(LY21,Financials!$I$7,'Monthly P&amp;L'!LY21*(1+'Model Assumptions'!LZ$21)),0)</f>
        <v>0</v>
      </c>
      <c r="MA21" s="54">
        <f>IF(MA$10=1,MAX(LZ21,Financials!$I$7,'Monthly P&amp;L'!LZ21*(1+'Model Assumptions'!MA$21)),0)</f>
        <v>0</v>
      </c>
      <c r="MB21" s="54">
        <f>IF(MB$10=1,MAX(MA21,Financials!$I$7,'Monthly P&amp;L'!MA21*(1+'Model Assumptions'!MB$21)),0)</f>
        <v>0</v>
      </c>
      <c r="MC21" s="54">
        <f>IF(MC$10=1,MAX(MB21,Financials!$I$7,'Monthly P&amp;L'!MB21*(1+'Model Assumptions'!MC$21)),0)</f>
        <v>0</v>
      </c>
      <c r="MD21" s="54">
        <f>IF(MD$10=1,MAX(MC21,Financials!$I$7,'Monthly P&amp;L'!MC21*(1+'Model Assumptions'!MD$21)),0)</f>
        <v>0</v>
      </c>
      <c r="ME21" s="54">
        <f>IF(ME$10=1,MAX(MD21,Financials!$I$7,'Monthly P&amp;L'!MD21*(1+'Model Assumptions'!ME$21)),0)</f>
        <v>0</v>
      </c>
      <c r="MF21" s="54">
        <f>IF(MF$10=1,MAX(ME21,Financials!$I$7,'Monthly P&amp;L'!ME21*(1+'Model Assumptions'!MF$21)),0)</f>
        <v>0</v>
      </c>
      <c r="MG21" s="54">
        <f>IF(MG$10=1,MAX(MF21,Financials!$I$7,'Monthly P&amp;L'!MF21*(1+'Model Assumptions'!MG$21)),0)</f>
        <v>0</v>
      </c>
      <c r="MH21" s="54">
        <f>IF(MH$10=1,MAX(MG21,Financials!$I$7,'Monthly P&amp;L'!MG21*(1+'Model Assumptions'!MH$21)),0)</f>
        <v>0</v>
      </c>
      <c r="MI21" s="54">
        <f>IF(MI$10=1,MAX(MH21,Financials!$I$7,'Monthly P&amp;L'!MH21*(1+'Model Assumptions'!MI$21)),0)</f>
        <v>0</v>
      </c>
      <c r="MJ21" s="54">
        <f>IF(MJ$10=1,MAX(MI21,Financials!$I$7,'Monthly P&amp;L'!MI21*(1+'Model Assumptions'!MJ$21)),0)</f>
        <v>0</v>
      </c>
      <c r="MK21" s="54">
        <f>IF(MK$10=1,MAX(MJ21,Financials!$I$7,'Monthly P&amp;L'!MJ21*(1+'Model Assumptions'!MK$21)),0)</f>
        <v>0</v>
      </c>
      <c r="ML21" s="54">
        <f>IF(ML$10=1,MAX(MK21,Financials!$I$7,'Monthly P&amp;L'!MK21*(1+'Model Assumptions'!ML$21)),0)</f>
        <v>0</v>
      </c>
      <c r="MM21" s="54">
        <f>IF(MM$10=1,MAX(ML21,Financials!$I$7,'Monthly P&amp;L'!ML21*(1+'Model Assumptions'!MM$21)),0)</f>
        <v>0</v>
      </c>
      <c r="MN21" s="54">
        <f>IF(MN$10=1,MAX(MM21,Financials!$I$7,'Monthly P&amp;L'!MM21*(1+'Model Assumptions'!MN$21)),0)</f>
        <v>0</v>
      </c>
      <c r="MO21" s="54">
        <f>IF(MO$10=1,MAX(MN21,Financials!$I$7,'Monthly P&amp;L'!MN21*(1+'Model Assumptions'!MO$21)),0)</f>
        <v>0</v>
      </c>
      <c r="MP21" s="54">
        <f>IF(MP$10=1,MAX(MO21,Financials!$I$7,'Monthly P&amp;L'!MO21*(1+'Model Assumptions'!MP$21)),0)</f>
        <v>0</v>
      </c>
      <c r="MQ21" s="54">
        <f>IF(MQ$10=1,MAX(MP21,Financials!$I$7,'Monthly P&amp;L'!MP21*(1+'Model Assumptions'!MQ$21)),0)</f>
        <v>0</v>
      </c>
      <c r="MR21" s="54">
        <f>IF(MR$10=1,MAX(MQ21,Financials!$I$7,'Monthly P&amp;L'!MQ21*(1+'Model Assumptions'!MR$21)),0)</f>
        <v>0</v>
      </c>
      <c r="MS21" s="54">
        <f>IF(MS$10=1,MAX(MR21,Financials!$I$7,'Monthly P&amp;L'!MR21*(1+'Model Assumptions'!MS$21)),0)</f>
        <v>0</v>
      </c>
      <c r="MT21" s="54">
        <f>IF(MT$10=1,MAX(MS21,Financials!$I$7,'Monthly P&amp;L'!MS21*(1+'Model Assumptions'!MT$21)),0)</f>
        <v>0</v>
      </c>
      <c r="MU21" s="54">
        <f>IF(MU$10=1,MAX(MT21,Financials!$I$7,'Monthly P&amp;L'!MT21*(1+'Model Assumptions'!MU$21)),0)</f>
        <v>0</v>
      </c>
      <c r="MV21" s="54">
        <f>IF(MV$10=1,MAX(MU21,Financials!$I$7,'Monthly P&amp;L'!MU21*(1+'Model Assumptions'!MV$21)),0)</f>
        <v>0</v>
      </c>
      <c r="MW21" s="54">
        <f>IF(MW$10=1,MAX(MV21,Financials!$I$7,'Monthly P&amp;L'!MV21*(1+'Model Assumptions'!MW$21)),0)</f>
        <v>0</v>
      </c>
      <c r="MX21" s="54">
        <f>IF(MX$10=1,MAX(MW21,Financials!$I$7,'Monthly P&amp;L'!MW21*(1+'Model Assumptions'!MX$21)),0)</f>
        <v>0</v>
      </c>
      <c r="MY21" s="54">
        <f>IF(MY$10=1,MAX(MX21,Financials!$I$7,'Monthly P&amp;L'!MX21*(1+'Model Assumptions'!MY$21)),0)</f>
        <v>0</v>
      </c>
      <c r="MZ21" s="54">
        <f>IF(MZ$10=1,MAX(MY21,Financials!$I$7,'Monthly P&amp;L'!MY21*(1+'Model Assumptions'!MZ$21)),0)</f>
        <v>0</v>
      </c>
      <c r="NA21" s="54">
        <f>IF(NA$10=1,MAX(MZ21,Financials!$I$7,'Monthly P&amp;L'!MZ21*(1+'Model Assumptions'!NA$21)),0)</f>
        <v>0</v>
      </c>
      <c r="NB21" s="54">
        <f>IF(NB$10=1,MAX(NA21,Financials!$I$7,'Monthly P&amp;L'!NA21*(1+'Model Assumptions'!NB$21)),0)</f>
        <v>0</v>
      </c>
    </row>
    <row r="22" spans="1:366" x14ac:dyDescent="0.15">
      <c r="B22" s="4" t="s">
        <v>350</v>
      </c>
      <c r="C22" s="192"/>
      <c r="D22" s="4"/>
      <c r="E22" s="198"/>
      <c r="F22" s="191">
        <f>SUM(F20:F21)</f>
        <v>0</v>
      </c>
      <c r="G22" s="191">
        <f t="shared" ref="G22:BR22" si="32">SUM(G20:G21)</f>
        <v>37259.380000000005</v>
      </c>
      <c r="H22" s="191">
        <f t="shared" si="32"/>
        <v>37259.380000000005</v>
      </c>
      <c r="I22" s="191">
        <f t="shared" si="32"/>
        <v>37259.380000000005</v>
      </c>
      <c r="J22" s="191">
        <f t="shared" si="32"/>
        <v>37259.380000000005</v>
      </c>
      <c r="K22" s="191">
        <f t="shared" si="32"/>
        <v>37259.380000000005</v>
      </c>
      <c r="L22" s="564">
        <f t="shared" si="32"/>
        <v>37259.380000000005</v>
      </c>
      <c r="M22" s="191">
        <f t="shared" si="32"/>
        <v>37095</v>
      </c>
      <c r="N22" s="191">
        <f t="shared" si="32"/>
        <v>37095</v>
      </c>
      <c r="O22" s="191">
        <f t="shared" si="32"/>
        <v>37095</v>
      </c>
      <c r="P22" s="191">
        <f t="shared" si="32"/>
        <v>37095</v>
      </c>
      <c r="Q22" s="191">
        <f t="shared" si="32"/>
        <v>37095</v>
      </c>
      <c r="R22" s="191">
        <f t="shared" si="32"/>
        <v>37095</v>
      </c>
      <c r="S22" s="191">
        <f t="shared" si="32"/>
        <v>38205.35</v>
      </c>
      <c r="T22" s="191">
        <f t="shared" si="32"/>
        <v>38205.35</v>
      </c>
      <c r="U22" s="191">
        <f t="shared" si="32"/>
        <v>38205.35</v>
      </c>
      <c r="V22" s="191">
        <f t="shared" si="32"/>
        <v>38205.35</v>
      </c>
      <c r="W22" s="191">
        <f t="shared" si="32"/>
        <v>38205.35</v>
      </c>
      <c r="X22" s="191">
        <f t="shared" si="32"/>
        <v>38205.35</v>
      </c>
      <c r="Y22" s="191">
        <f t="shared" si="32"/>
        <v>38205.35</v>
      </c>
      <c r="Z22" s="191">
        <f t="shared" si="32"/>
        <v>38205.35</v>
      </c>
      <c r="AA22" s="191">
        <f t="shared" si="32"/>
        <v>38205.35</v>
      </c>
      <c r="AB22" s="191">
        <f t="shared" si="32"/>
        <v>38205.35</v>
      </c>
      <c r="AC22" s="191">
        <f t="shared" si="32"/>
        <v>38205.35</v>
      </c>
      <c r="AD22" s="191">
        <f t="shared" si="32"/>
        <v>38205.35</v>
      </c>
      <c r="AE22" s="191">
        <f t="shared" si="32"/>
        <v>39348.947999999997</v>
      </c>
      <c r="AF22" s="191">
        <f t="shared" si="32"/>
        <v>39348.947999999997</v>
      </c>
      <c r="AG22" s="191">
        <f t="shared" si="32"/>
        <v>39348.947999999997</v>
      </c>
      <c r="AH22" s="191">
        <f t="shared" si="32"/>
        <v>39348.947999999997</v>
      </c>
      <c r="AI22" s="191">
        <f t="shared" si="32"/>
        <v>39348.947999999997</v>
      </c>
      <c r="AJ22" s="191">
        <f t="shared" si="32"/>
        <v>39348.947999999997</v>
      </c>
      <c r="AK22" s="191">
        <f t="shared" si="32"/>
        <v>39348.947999999997</v>
      </c>
      <c r="AL22" s="191">
        <f t="shared" si="32"/>
        <v>39348.947999999997</v>
      </c>
      <c r="AM22" s="191">
        <f t="shared" si="32"/>
        <v>39348.947999999997</v>
      </c>
      <c r="AN22" s="191">
        <f t="shared" si="32"/>
        <v>39348.947999999997</v>
      </c>
      <c r="AO22" s="191">
        <f t="shared" si="32"/>
        <v>39348.947999999997</v>
      </c>
      <c r="AP22" s="191">
        <f t="shared" si="32"/>
        <v>39348.947999999997</v>
      </c>
      <c r="AQ22" s="191">
        <f t="shared" si="32"/>
        <v>40526.789877499999</v>
      </c>
      <c r="AR22" s="191">
        <f t="shared" si="32"/>
        <v>40526.789877499999</v>
      </c>
      <c r="AS22" s="191">
        <f t="shared" si="32"/>
        <v>40526.789877499999</v>
      </c>
      <c r="AT22" s="191">
        <f t="shared" si="32"/>
        <v>40526.789877499999</v>
      </c>
      <c r="AU22" s="191">
        <f t="shared" si="32"/>
        <v>40526.789877499999</v>
      </c>
      <c r="AV22" s="191">
        <f t="shared" si="32"/>
        <v>40526.789877499999</v>
      </c>
      <c r="AW22" s="191">
        <f t="shared" si="32"/>
        <v>40526.789877499999</v>
      </c>
      <c r="AX22" s="191">
        <f t="shared" si="32"/>
        <v>40526.789877499999</v>
      </c>
      <c r="AY22" s="191">
        <f t="shared" si="32"/>
        <v>40526.789877499999</v>
      </c>
      <c r="AZ22" s="191">
        <f t="shared" si="32"/>
        <v>40526.789877499999</v>
      </c>
      <c r="BA22" s="191">
        <f t="shared" si="32"/>
        <v>40526.789877499999</v>
      </c>
      <c r="BB22" s="191">
        <f t="shared" si="32"/>
        <v>40526.789877499999</v>
      </c>
      <c r="BC22" s="191">
        <f t="shared" si="32"/>
        <v>41739.901347262501</v>
      </c>
      <c r="BD22" s="191">
        <f t="shared" si="32"/>
        <v>41739.901347262501</v>
      </c>
      <c r="BE22" s="191">
        <f t="shared" si="32"/>
        <v>41739.901347262501</v>
      </c>
      <c r="BF22" s="191">
        <f t="shared" si="32"/>
        <v>41739.901347262501</v>
      </c>
      <c r="BG22" s="191">
        <f t="shared" si="32"/>
        <v>41739.901347262501</v>
      </c>
      <c r="BH22" s="191">
        <f t="shared" si="32"/>
        <v>41739.901347262501</v>
      </c>
      <c r="BI22" s="191">
        <f t="shared" si="32"/>
        <v>41739.901347262501</v>
      </c>
      <c r="BJ22" s="191">
        <f t="shared" si="32"/>
        <v>41739.901347262501</v>
      </c>
      <c r="BK22" s="191">
        <f t="shared" si="32"/>
        <v>41739.901347262501</v>
      </c>
      <c r="BL22" s="191">
        <f t="shared" si="32"/>
        <v>41739.901347262501</v>
      </c>
      <c r="BM22" s="191">
        <f t="shared" si="32"/>
        <v>41739.901347262501</v>
      </c>
      <c r="BN22" s="191">
        <f t="shared" si="32"/>
        <v>41739.901347262501</v>
      </c>
      <c r="BO22" s="191">
        <f t="shared" si="32"/>
        <v>42989.338855453818</v>
      </c>
      <c r="BP22" s="191">
        <f t="shared" si="32"/>
        <v>42989.338855453818</v>
      </c>
      <c r="BQ22" s="191">
        <f t="shared" si="32"/>
        <v>42989.338855453818</v>
      </c>
      <c r="BR22" s="191">
        <f t="shared" si="32"/>
        <v>42989.338855453818</v>
      </c>
      <c r="BS22" s="191">
        <f t="shared" ref="BS22:ED22" si="33">SUM(BS20:BS21)</f>
        <v>42989.338855453818</v>
      </c>
      <c r="BT22" s="191">
        <f t="shared" si="33"/>
        <v>42989.338855453818</v>
      </c>
      <c r="BU22" s="191">
        <f t="shared" si="33"/>
        <v>42989.338855453818</v>
      </c>
      <c r="BV22" s="191">
        <f t="shared" si="33"/>
        <v>42989.338855453818</v>
      </c>
      <c r="BW22" s="191">
        <f t="shared" si="33"/>
        <v>42989.338855453818</v>
      </c>
      <c r="BX22" s="191">
        <f t="shared" si="33"/>
        <v>42989.338855453818</v>
      </c>
      <c r="BY22" s="191">
        <f t="shared" si="33"/>
        <v>42989.338855453818</v>
      </c>
      <c r="BZ22" s="191">
        <f t="shared" si="33"/>
        <v>42989.338855453818</v>
      </c>
      <c r="CA22" s="191">
        <f t="shared" si="33"/>
        <v>44276.190500585202</v>
      </c>
      <c r="CB22" s="191">
        <f t="shared" si="33"/>
        <v>44276.190500585202</v>
      </c>
      <c r="CC22" s="191">
        <f t="shared" si="33"/>
        <v>44276.190500585202</v>
      </c>
      <c r="CD22" s="191">
        <f t="shared" si="33"/>
        <v>44276.190500585202</v>
      </c>
      <c r="CE22" s="191">
        <f t="shared" si="33"/>
        <v>44276.190500585202</v>
      </c>
      <c r="CF22" s="191">
        <f t="shared" si="33"/>
        <v>44276.190500585202</v>
      </c>
      <c r="CG22" s="191">
        <f t="shared" si="33"/>
        <v>44276.190500585202</v>
      </c>
      <c r="CH22" s="191">
        <f t="shared" si="33"/>
        <v>44276.190500585202</v>
      </c>
      <c r="CI22" s="191">
        <f t="shared" si="33"/>
        <v>44276.190500585202</v>
      </c>
      <c r="CJ22" s="191">
        <f t="shared" si="33"/>
        <v>44276.190500585202</v>
      </c>
      <c r="CK22" s="191">
        <f t="shared" si="33"/>
        <v>44276.190500585202</v>
      </c>
      <c r="CL22" s="191">
        <f t="shared" si="33"/>
        <v>44276.190500585202</v>
      </c>
      <c r="CM22" s="191">
        <f t="shared" si="33"/>
        <v>45601.576982057224</v>
      </c>
      <c r="CN22" s="191">
        <f t="shared" si="33"/>
        <v>45601.576982057224</v>
      </c>
      <c r="CO22" s="191">
        <f t="shared" si="33"/>
        <v>45601.576982057224</v>
      </c>
      <c r="CP22" s="191">
        <f t="shared" si="33"/>
        <v>45601.576982057224</v>
      </c>
      <c r="CQ22" s="191">
        <f t="shared" si="33"/>
        <v>45601.576982057224</v>
      </c>
      <c r="CR22" s="191">
        <f t="shared" si="33"/>
        <v>45601.576982057224</v>
      </c>
      <c r="CS22" s="191">
        <f t="shared" si="33"/>
        <v>45601.576982057224</v>
      </c>
      <c r="CT22" s="191">
        <f t="shared" si="33"/>
        <v>45601.576982057224</v>
      </c>
      <c r="CU22" s="191">
        <f t="shared" si="33"/>
        <v>45601.576982057224</v>
      </c>
      <c r="CV22" s="191">
        <f t="shared" si="33"/>
        <v>45601.576982057224</v>
      </c>
      <c r="CW22" s="191">
        <f t="shared" si="33"/>
        <v>45601.576982057224</v>
      </c>
      <c r="CX22" s="191">
        <f t="shared" si="33"/>
        <v>45601.576982057224</v>
      </c>
      <c r="CY22" s="191">
        <f t="shared" si="33"/>
        <v>46966.652577134773</v>
      </c>
      <c r="CZ22" s="191">
        <f t="shared" si="33"/>
        <v>46966.652577134773</v>
      </c>
      <c r="DA22" s="191">
        <f t="shared" si="33"/>
        <v>46966.652577134773</v>
      </c>
      <c r="DB22" s="191">
        <f t="shared" si="33"/>
        <v>46966.652577134773</v>
      </c>
      <c r="DC22" s="191">
        <f t="shared" si="33"/>
        <v>46966.652577134773</v>
      </c>
      <c r="DD22" s="191">
        <f t="shared" si="33"/>
        <v>46966.652577134773</v>
      </c>
      <c r="DE22" s="191">
        <f t="shared" si="33"/>
        <v>46966.652577134773</v>
      </c>
      <c r="DF22" s="191">
        <f t="shared" si="33"/>
        <v>46966.652577134773</v>
      </c>
      <c r="DG22" s="191">
        <f t="shared" si="33"/>
        <v>46966.652577134773</v>
      </c>
      <c r="DH22" s="191">
        <f t="shared" si="33"/>
        <v>46966.652577134773</v>
      </c>
      <c r="DI22" s="191">
        <f t="shared" si="33"/>
        <v>46966.652577134773</v>
      </c>
      <c r="DJ22" s="191">
        <f t="shared" si="33"/>
        <v>46966.652577134773</v>
      </c>
      <c r="DK22" s="191">
        <f t="shared" si="33"/>
        <v>48372.606147205035</v>
      </c>
      <c r="DL22" s="191">
        <f t="shared" si="33"/>
        <v>48372.606147205035</v>
      </c>
      <c r="DM22" s="191">
        <f t="shared" si="33"/>
        <v>48372.606147205035</v>
      </c>
      <c r="DN22" s="191">
        <f t="shared" si="33"/>
        <v>48372.606147205035</v>
      </c>
      <c r="DO22" s="191">
        <f t="shared" si="33"/>
        <v>48372.606147205035</v>
      </c>
      <c r="DP22" s="191">
        <f t="shared" si="33"/>
        <v>48372.606147205035</v>
      </c>
      <c r="DQ22" s="191">
        <f t="shared" si="33"/>
        <v>48372.606147205035</v>
      </c>
      <c r="DR22" s="191">
        <f t="shared" si="33"/>
        <v>48372.606147205035</v>
      </c>
      <c r="DS22" s="191">
        <f t="shared" si="33"/>
        <v>48372.606147205035</v>
      </c>
      <c r="DT22" s="191">
        <f t="shared" si="33"/>
        <v>48372.606147205035</v>
      </c>
      <c r="DU22" s="191">
        <f t="shared" si="33"/>
        <v>48372.606147205035</v>
      </c>
      <c r="DV22" s="191">
        <f t="shared" si="33"/>
        <v>48372.606147205035</v>
      </c>
      <c r="DW22" s="191">
        <f t="shared" si="33"/>
        <v>49820.662174196324</v>
      </c>
      <c r="DX22" s="191">
        <f t="shared" si="33"/>
        <v>49820.662174196324</v>
      </c>
      <c r="DY22" s="191">
        <f t="shared" si="33"/>
        <v>49820.662174196324</v>
      </c>
      <c r="DZ22" s="191">
        <f t="shared" si="33"/>
        <v>49820.662174196324</v>
      </c>
      <c r="EA22" s="191">
        <f t="shared" si="33"/>
        <v>49820.662174196324</v>
      </c>
      <c r="EB22" s="191">
        <f t="shared" si="33"/>
        <v>49820.662174196324</v>
      </c>
      <c r="EC22" s="191">
        <f t="shared" si="33"/>
        <v>49820.662174196324</v>
      </c>
      <c r="ED22" s="191">
        <f t="shared" si="33"/>
        <v>49820.662174196324</v>
      </c>
      <c r="EE22" s="191">
        <f t="shared" ref="EE22:GP22" si="34">SUM(EE20:EE21)</f>
        <v>49820.662174196324</v>
      </c>
      <c r="EF22" s="191">
        <f t="shared" si="34"/>
        <v>49820.662174196324</v>
      </c>
      <c r="EG22" s="191">
        <f t="shared" si="34"/>
        <v>49820.662174196324</v>
      </c>
      <c r="EH22" s="191">
        <f t="shared" si="34"/>
        <v>49820.662174196324</v>
      </c>
      <c r="EI22" s="191">
        <f t="shared" si="34"/>
        <v>51312.081828061724</v>
      </c>
      <c r="EJ22" s="191">
        <f t="shared" si="34"/>
        <v>51312.081828061724</v>
      </c>
      <c r="EK22" s="191">
        <f t="shared" si="34"/>
        <v>51312.081828061724</v>
      </c>
      <c r="EL22" s="191">
        <f t="shared" si="34"/>
        <v>51312.081828061724</v>
      </c>
      <c r="EM22" s="191">
        <f t="shared" si="34"/>
        <v>51312.081828061724</v>
      </c>
      <c r="EN22" s="191">
        <f t="shared" si="34"/>
        <v>51312.081828061724</v>
      </c>
      <c r="EO22" s="191">
        <f t="shared" si="34"/>
        <v>51312.081828061724</v>
      </c>
      <c r="EP22" s="191">
        <f t="shared" si="34"/>
        <v>51312.081828061724</v>
      </c>
      <c r="EQ22" s="191">
        <f t="shared" si="34"/>
        <v>51312.081828061724</v>
      </c>
      <c r="ER22" s="191">
        <f t="shared" si="34"/>
        <v>51312.081828061724</v>
      </c>
      <c r="ES22" s="191">
        <f t="shared" si="34"/>
        <v>51312.081828061724</v>
      </c>
      <c r="ET22" s="191">
        <f t="shared" si="34"/>
        <v>51312.081828061724</v>
      </c>
      <c r="EU22" s="191">
        <f t="shared" si="34"/>
        <v>52848.164066259073</v>
      </c>
      <c r="EV22" s="191">
        <f t="shared" si="34"/>
        <v>52848.164066259073</v>
      </c>
      <c r="EW22" s="191">
        <f t="shared" si="34"/>
        <v>52848.164066259073</v>
      </c>
      <c r="EX22" s="191">
        <f t="shared" si="34"/>
        <v>52848.164066259073</v>
      </c>
      <c r="EY22" s="191">
        <f t="shared" si="34"/>
        <v>52848.164066259073</v>
      </c>
      <c r="EZ22" s="191">
        <f t="shared" si="34"/>
        <v>52848.164066259073</v>
      </c>
      <c r="FA22" s="191">
        <f t="shared" si="34"/>
        <v>52848.164066259073</v>
      </c>
      <c r="FB22" s="191">
        <f t="shared" si="34"/>
        <v>52848.164066259073</v>
      </c>
      <c r="FC22" s="191">
        <f t="shared" si="34"/>
        <v>52848.164066259073</v>
      </c>
      <c r="FD22" s="191">
        <f t="shared" si="34"/>
        <v>52848.164066259073</v>
      </c>
      <c r="FE22" s="191">
        <f t="shared" si="34"/>
        <v>52848.164066259073</v>
      </c>
      <c r="FF22" s="191">
        <f t="shared" si="34"/>
        <v>52848.164066259073</v>
      </c>
      <c r="FG22" s="191">
        <f t="shared" si="34"/>
        <v>54430.246766186225</v>
      </c>
      <c r="FH22" s="191">
        <f t="shared" si="34"/>
        <v>54430.246766186225</v>
      </c>
      <c r="FI22" s="191">
        <f t="shared" si="34"/>
        <v>54430.246766186225</v>
      </c>
      <c r="FJ22" s="191">
        <f t="shared" si="34"/>
        <v>54430.246766186225</v>
      </c>
      <c r="FK22" s="191">
        <f t="shared" si="34"/>
        <v>54430.246766186225</v>
      </c>
      <c r="FL22" s="191">
        <f t="shared" si="34"/>
        <v>54430.246766186225</v>
      </c>
      <c r="FM22" s="191">
        <f t="shared" si="34"/>
        <v>54430.246766186225</v>
      </c>
      <c r="FN22" s="191">
        <f t="shared" si="34"/>
        <v>54430.246766186225</v>
      </c>
      <c r="FO22" s="191">
        <f t="shared" si="34"/>
        <v>54430.246766186225</v>
      </c>
      <c r="FP22" s="191">
        <f t="shared" si="34"/>
        <v>54430.246766186225</v>
      </c>
      <c r="FQ22" s="191">
        <f t="shared" si="34"/>
        <v>54430.246766186225</v>
      </c>
      <c r="FR22" s="191">
        <f t="shared" si="34"/>
        <v>54430.246766186225</v>
      </c>
      <c r="FS22" s="191">
        <f t="shared" si="34"/>
        <v>56059.707891559687</v>
      </c>
      <c r="FT22" s="191">
        <f t="shared" si="34"/>
        <v>56059.707891559687</v>
      </c>
      <c r="FU22" s="191">
        <f t="shared" si="34"/>
        <v>56059.707891559687</v>
      </c>
      <c r="FV22" s="191">
        <f t="shared" si="34"/>
        <v>56059.707891559687</v>
      </c>
      <c r="FW22" s="191">
        <f t="shared" si="34"/>
        <v>56059.707891559687</v>
      </c>
      <c r="FX22" s="191">
        <f t="shared" si="34"/>
        <v>56059.707891559687</v>
      </c>
      <c r="FY22" s="191">
        <f t="shared" si="34"/>
        <v>56059.707891559687</v>
      </c>
      <c r="FZ22" s="191">
        <f t="shared" si="34"/>
        <v>56059.707891559687</v>
      </c>
      <c r="GA22" s="191">
        <f t="shared" si="34"/>
        <v>56059.707891559687</v>
      </c>
      <c r="GB22" s="191">
        <f t="shared" si="34"/>
        <v>56059.707891559687</v>
      </c>
      <c r="GC22" s="191">
        <f t="shared" si="34"/>
        <v>56059.707891559687</v>
      </c>
      <c r="GD22" s="191">
        <f t="shared" si="34"/>
        <v>56059.707891559687</v>
      </c>
      <c r="GE22" s="191">
        <f t="shared" si="34"/>
        <v>0</v>
      </c>
      <c r="GF22" s="191">
        <f t="shared" si="34"/>
        <v>0</v>
      </c>
      <c r="GG22" s="191">
        <f t="shared" si="34"/>
        <v>0</v>
      </c>
      <c r="GH22" s="191">
        <f t="shared" si="34"/>
        <v>0</v>
      </c>
      <c r="GI22" s="191">
        <f t="shared" si="34"/>
        <v>0</v>
      </c>
      <c r="GJ22" s="191">
        <f t="shared" si="34"/>
        <v>0</v>
      </c>
      <c r="GK22" s="191">
        <f t="shared" si="34"/>
        <v>0</v>
      </c>
      <c r="GL22" s="191">
        <f t="shared" si="34"/>
        <v>0</v>
      </c>
      <c r="GM22" s="191">
        <f t="shared" si="34"/>
        <v>0</v>
      </c>
      <c r="GN22" s="191">
        <f t="shared" si="34"/>
        <v>0</v>
      </c>
      <c r="GO22" s="191">
        <f t="shared" si="34"/>
        <v>0</v>
      </c>
      <c r="GP22" s="191">
        <f t="shared" si="34"/>
        <v>0</v>
      </c>
      <c r="GQ22" s="191">
        <f t="shared" ref="GQ22:JB22" si="35">SUM(GQ20:GQ21)</f>
        <v>0</v>
      </c>
      <c r="GR22" s="191">
        <f t="shared" si="35"/>
        <v>0</v>
      </c>
      <c r="GS22" s="191">
        <f t="shared" si="35"/>
        <v>0</v>
      </c>
      <c r="GT22" s="191">
        <f t="shared" si="35"/>
        <v>0</v>
      </c>
      <c r="GU22" s="191">
        <f t="shared" si="35"/>
        <v>0</v>
      </c>
      <c r="GV22" s="191">
        <f t="shared" si="35"/>
        <v>0</v>
      </c>
      <c r="GW22" s="191">
        <f t="shared" si="35"/>
        <v>0</v>
      </c>
      <c r="GX22" s="191">
        <f t="shared" si="35"/>
        <v>0</v>
      </c>
      <c r="GY22" s="191">
        <f t="shared" si="35"/>
        <v>0</v>
      </c>
      <c r="GZ22" s="191">
        <f t="shared" si="35"/>
        <v>0</v>
      </c>
      <c r="HA22" s="191">
        <f t="shared" si="35"/>
        <v>0</v>
      </c>
      <c r="HB22" s="191">
        <f t="shared" si="35"/>
        <v>0</v>
      </c>
      <c r="HC22" s="191">
        <f t="shared" si="35"/>
        <v>0</v>
      </c>
      <c r="HD22" s="191">
        <f t="shared" si="35"/>
        <v>0</v>
      </c>
      <c r="HE22" s="191">
        <f t="shared" si="35"/>
        <v>0</v>
      </c>
      <c r="HF22" s="191">
        <f t="shared" si="35"/>
        <v>0</v>
      </c>
      <c r="HG22" s="191">
        <f t="shared" si="35"/>
        <v>0</v>
      </c>
      <c r="HH22" s="191">
        <f t="shared" si="35"/>
        <v>0</v>
      </c>
      <c r="HI22" s="191">
        <f t="shared" si="35"/>
        <v>0</v>
      </c>
      <c r="HJ22" s="191">
        <f t="shared" si="35"/>
        <v>0</v>
      </c>
      <c r="HK22" s="191">
        <f t="shared" si="35"/>
        <v>0</v>
      </c>
      <c r="HL22" s="191">
        <f t="shared" si="35"/>
        <v>0</v>
      </c>
      <c r="HM22" s="191">
        <f t="shared" si="35"/>
        <v>0</v>
      </c>
      <c r="HN22" s="191">
        <f t="shared" si="35"/>
        <v>0</v>
      </c>
      <c r="HO22" s="191">
        <f t="shared" si="35"/>
        <v>0</v>
      </c>
      <c r="HP22" s="191">
        <f t="shared" si="35"/>
        <v>0</v>
      </c>
      <c r="HQ22" s="191">
        <f t="shared" si="35"/>
        <v>0</v>
      </c>
      <c r="HR22" s="191">
        <f t="shared" si="35"/>
        <v>0</v>
      </c>
      <c r="HS22" s="191">
        <f t="shared" si="35"/>
        <v>0</v>
      </c>
      <c r="HT22" s="191">
        <f t="shared" si="35"/>
        <v>0</v>
      </c>
      <c r="HU22" s="191">
        <f t="shared" si="35"/>
        <v>0</v>
      </c>
      <c r="HV22" s="191">
        <f t="shared" si="35"/>
        <v>0</v>
      </c>
      <c r="HW22" s="191">
        <f t="shared" si="35"/>
        <v>0</v>
      </c>
      <c r="HX22" s="191">
        <f t="shared" si="35"/>
        <v>0</v>
      </c>
      <c r="HY22" s="191">
        <f t="shared" si="35"/>
        <v>0</v>
      </c>
      <c r="HZ22" s="191">
        <f t="shared" si="35"/>
        <v>0</v>
      </c>
      <c r="IA22" s="191">
        <f t="shared" si="35"/>
        <v>0</v>
      </c>
      <c r="IB22" s="191">
        <f t="shared" si="35"/>
        <v>0</v>
      </c>
      <c r="IC22" s="191">
        <f t="shared" si="35"/>
        <v>0</v>
      </c>
      <c r="ID22" s="191">
        <f t="shared" si="35"/>
        <v>0</v>
      </c>
      <c r="IE22" s="191">
        <f t="shared" si="35"/>
        <v>0</v>
      </c>
      <c r="IF22" s="191">
        <f t="shared" si="35"/>
        <v>0</v>
      </c>
      <c r="IG22" s="191">
        <f t="shared" si="35"/>
        <v>0</v>
      </c>
      <c r="IH22" s="191">
        <f t="shared" si="35"/>
        <v>0</v>
      </c>
      <c r="II22" s="191">
        <f t="shared" si="35"/>
        <v>0</v>
      </c>
      <c r="IJ22" s="191">
        <f t="shared" si="35"/>
        <v>0</v>
      </c>
      <c r="IK22" s="191">
        <f t="shared" si="35"/>
        <v>0</v>
      </c>
      <c r="IL22" s="191">
        <f t="shared" si="35"/>
        <v>0</v>
      </c>
      <c r="IM22" s="191">
        <f t="shared" si="35"/>
        <v>0</v>
      </c>
      <c r="IN22" s="191">
        <f t="shared" si="35"/>
        <v>0</v>
      </c>
      <c r="IO22" s="191">
        <f t="shared" si="35"/>
        <v>0</v>
      </c>
      <c r="IP22" s="191">
        <f t="shared" si="35"/>
        <v>0</v>
      </c>
      <c r="IQ22" s="191">
        <f t="shared" si="35"/>
        <v>0</v>
      </c>
      <c r="IR22" s="191">
        <f t="shared" si="35"/>
        <v>0</v>
      </c>
      <c r="IS22" s="191">
        <f t="shared" si="35"/>
        <v>0</v>
      </c>
      <c r="IT22" s="191">
        <f t="shared" si="35"/>
        <v>0</v>
      </c>
      <c r="IU22" s="191">
        <f t="shared" si="35"/>
        <v>0</v>
      </c>
      <c r="IV22" s="191">
        <f t="shared" si="35"/>
        <v>0</v>
      </c>
      <c r="IW22" s="191">
        <f t="shared" si="35"/>
        <v>0</v>
      </c>
      <c r="IX22" s="191">
        <f t="shared" si="35"/>
        <v>0</v>
      </c>
      <c r="IY22" s="191">
        <f t="shared" si="35"/>
        <v>0</v>
      </c>
      <c r="IZ22" s="191">
        <f t="shared" si="35"/>
        <v>0</v>
      </c>
      <c r="JA22" s="191">
        <f t="shared" si="35"/>
        <v>0</v>
      </c>
      <c r="JB22" s="191">
        <f t="shared" si="35"/>
        <v>0</v>
      </c>
      <c r="JC22" s="191">
        <f t="shared" ref="JC22:LN22" si="36">SUM(JC20:JC21)</f>
        <v>0</v>
      </c>
      <c r="JD22" s="191">
        <f t="shared" si="36"/>
        <v>0</v>
      </c>
      <c r="JE22" s="191">
        <f t="shared" si="36"/>
        <v>0</v>
      </c>
      <c r="JF22" s="191">
        <f t="shared" si="36"/>
        <v>0</v>
      </c>
      <c r="JG22" s="191">
        <f t="shared" si="36"/>
        <v>0</v>
      </c>
      <c r="JH22" s="191">
        <f t="shared" si="36"/>
        <v>0</v>
      </c>
      <c r="JI22" s="191">
        <f t="shared" si="36"/>
        <v>0</v>
      </c>
      <c r="JJ22" s="191">
        <f t="shared" si="36"/>
        <v>0</v>
      </c>
      <c r="JK22" s="191">
        <f t="shared" si="36"/>
        <v>0</v>
      </c>
      <c r="JL22" s="191">
        <f t="shared" si="36"/>
        <v>0</v>
      </c>
      <c r="JM22" s="191">
        <f t="shared" si="36"/>
        <v>0</v>
      </c>
      <c r="JN22" s="191">
        <f t="shared" si="36"/>
        <v>0</v>
      </c>
      <c r="JO22" s="191">
        <f t="shared" si="36"/>
        <v>0</v>
      </c>
      <c r="JP22" s="191">
        <f t="shared" si="36"/>
        <v>0</v>
      </c>
      <c r="JQ22" s="191">
        <f t="shared" si="36"/>
        <v>0</v>
      </c>
      <c r="JR22" s="191">
        <f t="shared" si="36"/>
        <v>0</v>
      </c>
      <c r="JS22" s="191">
        <f t="shared" si="36"/>
        <v>0</v>
      </c>
      <c r="JT22" s="191">
        <f t="shared" si="36"/>
        <v>0</v>
      </c>
      <c r="JU22" s="191">
        <f t="shared" si="36"/>
        <v>0</v>
      </c>
      <c r="JV22" s="191">
        <f t="shared" si="36"/>
        <v>0</v>
      </c>
      <c r="JW22" s="191">
        <f t="shared" si="36"/>
        <v>0</v>
      </c>
      <c r="JX22" s="191">
        <f t="shared" si="36"/>
        <v>0</v>
      </c>
      <c r="JY22" s="191">
        <f t="shared" si="36"/>
        <v>0</v>
      </c>
      <c r="JZ22" s="191">
        <f t="shared" si="36"/>
        <v>0</v>
      </c>
      <c r="KA22" s="191">
        <f t="shared" si="36"/>
        <v>0</v>
      </c>
      <c r="KB22" s="191">
        <f t="shared" si="36"/>
        <v>0</v>
      </c>
      <c r="KC22" s="191">
        <f t="shared" si="36"/>
        <v>0</v>
      </c>
      <c r="KD22" s="191">
        <f t="shared" si="36"/>
        <v>0</v>
      </c>
      <c r="KE22" s="191">
        <f t="shared" si="36"/>
        <v>0</v>
      </c>
      <c r="KF22" s="191">
        <f t="shared" si="36"/>
        <v>0</v>
      </c>
      <c r="KG22" s="191">
        <f t="shared" si="36"/>
        <v>0</v>
      </c>
      <c r="KH22" s="191">
        <f t="shared" si="36"/>
        <v>0</v>
      </c>
      <c r="KI22" s="191">
        <f t="shared" si="36"/>
        <v>0</v>
      </c>
      <c r="KJ22" s="191">
        <f t="shared" si="36"/>
        <v>0</v>
      </c>
      <c r="KK22" s="191">
        <f t="shared" si="36"/>
        <v>0</v>
      </c>
      <c r="KL22" s="191">
        <f t="shared" si="36"/>
        <v>0</v>
      </c>
      <c r="KM22" s="191">
        <f t="shared" si="36"/>
        <v>0</v>
      </c>
      <c r="KN22" s="191">
        <f t="shared" si="36"/>
        <v>0</v>
      </c>
      <c r="KO22" s="191">
        <f t="shared" si="36"/>
        <v>0</v>
      </c>
      <c r="KP22" s="191">
        <f t="shared" si="36"/>
        <v>0</v>
      </c>
      <c r="KQ22" s="191">
        <f t="shared" si="36"/>
        <v>0</v>
      </c>
      <c r="KR22" s="191">
        <f t="shared" si="36"/>
        <v>0</v>
      </c>
      <c r="KS22" s="191">
        <f t="shared" si="36"/>
        <v>0</v>
      </c>
      <c r="KT22" s="191">
        <f t="shared" si="36"/>
        <v>0</v>
      </c>
      <c r="KU22" s="191">
        <f t="shared" si="36"/>
        <v>0</v>
      </c>
      <c r="KV22" s="191">
        <f t="shared" si="36"/>
        <v>0</v>
      </c>
      <c r="KW22" s="191">
        <f t="shared" si="36"/>
        <v>0</v>
      </c>
      <c r="KX22" s="191">
        <f t="shared" si="36"/>
        <v>0</v>
      </c>
      <c r="KY22" s="191">
        <f t="shared" si="36"/>
        <v>0</v>
      </c>
      <c r="KZ22" s="191">
        <f t="shared" si="36"/>
        <v>0</v>
      </c>
      <c r="LA22" s="191">
        <f t="shared" si="36"/>
        <v>0</v>
      </c>
      <c r="LB22" s="191">
        <f t="shared" si="36"/>
        <v>0</v>
      </c>
      <c r="LC22" s="191">
        <f t="shared" si="36"/>
        <v>0</v>
      </c>
      <c r="LD22" s="191">
        <f t="shared" si="36"/>
        <v>0</v>
      </c>
      <c r="LE22" s="191">
        <f t="shared" si="36"/>
        <v>0</v>
      </c>
      <c r="LF22" s="191">
        <f t="shared" si="36"/>
        <v>0</v>
      </c>
      <c r="LG22" s="191">
        <f t="shared" si="36"/>
        <v>0</v>
      </c>
      <c r="LH22" s="191">
        <f t="shared" si="36"/>
        <v>0</v>
      </c>
      <c r="LI22" s="191">
        <f t="shared" si="36"/>
        <v>0</v>
      </c>
      <c r="LJ22" s="191">
        <f t="shared" si="36"/>
        <v>0</v>
      </c>
      <c r="LK22" s="191">
        <f t="shared" si="36"/>
        <v>0</v>
      </c>
      <c r="LL22" s="191">
        <f t="shared" si="36"/>
        <v>0</v>
      </c>
      <c r="LM22" s="191">
        <f t="shared" si="36"/>
        <v>0</v>
      </c>
      <c r="LN22" s="191">
        <f t="shared" si="36"/>
        <v>0</v>
      </c>
      <c r="LO22" s="191">
        <f t="shared" ref="LO22:NB22" si="37">SUM(LO20:LO21)</f>
        <v>0</v>
      </c>
      <c r="LP22" s="191">
        <f t="shared" si="37"/>
        <v>0</v>
      </c>
      <c r="LQ22" s="191">
        <f t="shared" si="37"/>
        <v>0</v>
      </c>
      <c r="LR22" s="191">
        <f t="shared" si="37"/>
        <v>0</v>
      </c>
      <c r="LS22" s="191">
        <f t="shared" si="37"/>
        <v>0</v>
      </c>
      <c r="LT22" s="191">
        <f t="shared" si="37"/>
        <v>0</v>
      </c>
      <c r="LU22" s="191">
        <f t="shared" si="37"/>
        <v>0</v>
      </c>
      <c r="LV22" s="191">
        <f t="shared" si="37"/>
        <v>0</v>
      </c>
      <c r="LW22" s="191">
        <f t="shared" si="37"/>
        <v>0</v>
      </c>
      <c r="LX22" s="191">
        <f t="shared" si="37"/>
        <v>0</v>
      </c>
      <c r="LY22" s="191">
        <f t="shared" si="37"/>
        <v>0</v>
      </c>
      <c r="LZ22" s="191">
        <f t="shared" si="37"/>
        <v>0</v>
      </c>
      <c r="MA22" s="191">
        <f t="shared" si="37"/>
        <v>0</v>
      </c>
      <c r="MB22" s="191">
        <f t="shared" si="37"/>
        <v>0</v>
      </c>
      <c r="MC22" s="191">
        <f t="shared" si="37"/>
        <v>0</v>
      </c>
      <c r="MD22" s="191">
        <f t="shared" si="37"/>
        <v>0</v>
      </c>
      <c r="ME22" s="191">
        <f t="shared" si="37"/>
        <v>0</v>
      </c>
      <c r="MF22" s="191">
        <f t="shared" si="37"/>
        <v>0</v>
      </c>
      <c r="MG22" s="191">
        <f t="shared" si="37"/>
        <v>0</v>
      </c>
      <c r="MH22" s="191">
        <f t="shared" si="37"/>
        <v>0</v>
      </c>
      <c r="MI22" s="191">
        <f t="shared" si="37"/>
        <v>0</v>
      </c>
      <c r="MJ22" s="191">
        <f t="shared" si="37"/>
        <v>0</v>
      </c>
      <c r="MK22" s="191">
        <f t="shared" si="37"/>
        <v>0</v>
      </c>
      <c r="ML22" s="191">
        <f t="shared" si="37"/>
        <v>0</v>
      </c>
      <c r="MM22" s="191">
        <f t="shared" si="37"/>
        <v>0</v>
      </c>
      <c r="MN22" s="191">
        <f t="shared" si="37"/>
        <v>0</v>
      </c>
      <c r="MO22" s="191">
        <f t="shared" si="37"/>
        <v>0</v>
      </c>
      <c r="MP22" s="191">
        <f t="shared" si="37"/>
        <v>0</v>
      </c>
      <c r="MQ22" s="191">
        <f t="shared" si="37"/>
        <v>0</v>
      </c>
      <c r="MR22" s="191">
        <f t="shared" si="37"/>
        <v>0</v>
      </c>
      <c r="MS22" s="191">
        <f t="shared" si="37"/>
        <v>0</v>
      </c>
      <c r="MT22" s="191">
        <f t="shared" si="37"/>
        <v>0</v>
      </c>
      <c r="MU22" s="191">
        <f t="shared" si="37"/>
        <v>0</v>
      </c>
      <c r="MV22" s="191">
        <f t="shared" si="37"/>
        <v>0</v>
      </c>
      <c r="MW22" s="191">
        <f t="shared" si="37"/>
        <v>0</v>
      </c>
      <c r="MX22" s="191">
        <f t="shared" si="37"/>
        <v>0</v>
      </c>
      <c r="MY22" s="191">
        <f t="shared" si="37"/>
        <v>0</v>
      </c>
      <c r="MZ22" s="191">
        <f t="shared" si="37"/>
        <v>0</v>
      </c>
      <c r="NA22" s="191">
        <f t="shared" si="37"/>
        <v>0</v>
      </c>
      <c r="NB22" s="191">
        <f t="shared" si="37"/>
        <v>0</v>
      </c>
    </row>
    <row r="23" spans="1:366" x14ac:dyDescent="0.15">
      <c r="B23" s="190"/>
      <c r="C23" s="190"/>
      <c r="F23" s="56"/>
      <c r="G23" s="56"/>
      <c r="H23" s="56"/>
      <c r="I23" s="56"/>
      <c r="J23" s="56"/>
      <c r="K23" s="56"/>
      <c r="L23" s="563"/>
      <c r="M23" s="56"/>
      <c r="N23" s="56"/>
      <c r="O23" s="56"/>
      <c r="P23" s="56"/>
      <c r="Q23" s="56"/>
      <c r="R23" s="56"/>
      <c r="S23" s="56"/>
      <c r="T23" s="56"/>
      <c r="U23" s="56"/>
      <c r="V23" s="56"/>
      <c r="W23" s="56"/>
      <c r="X23" s="56"/>
      <c r="Y23" s="56"/>
      <c r="Z23" s="56"/>
      <c r="AA23" s="56"/>
      <c r="AB23" s="56"/>
      <c r="AC23" s="56"/>
      <c r="AD23" s="56"/>
      <c r="AE23" s="56"/>
      <c r="AF23" s="56"/>
      <c r="AG23" s="56"/>
      <c r="AH23" s="56"/>
      <c r="AI23" s="56"/>
      <c r="AJ23" s="56"/>
      <c r="AK23" s="56"/>
      <c r="AL23" s="56"/>
      <c r="AM23" s="56"/>
      <c r="AN23" s="56"/>
      <c r="AO23" s="56"/>
      <c r="AP23" s="56"/>
      <c r="AQ23" s="56"/>
      <c r="AR23" s="56"/>
      <c r="AS23" s="56"/>
      <c r="AT23" s="56"/>
      <c r="AU23" s="56"/>
      <c r="AV23" s="56"/>
      <c r="AW23" s="56"/>
      <c r="AX23" s="56"/>
      <c r="AY23" s="56"/>
      <c r="AZ23" s="56"/>
      <c r="BA23" s="56"/>
      <c r="BB23" s="56"/>
      <c r="BC23" s="56"/>
      <c r="BD23" s="56"/>
      <c r="BE23" s="56"/>
      <c r="BF23" s="56"/>
      <c r="BG23" s="56"/>
      <c r="BH23" s="56"/>
      <c r="BI23" s="56"/>
      <c r="BJ23" s="56"/>
      <c r="BK23" s="56"/>
      <c r="BL23" s="56"/>
      <c r="BM23" s="56"/>
      <c r="BN23" s="56"/>
      <c r="BO23" s="56"/>
      <c r="BP23" s="56"/>
      <c r="BQ23" s="56"/>
      <c r="BR23" s="56"/>
      <c r="BS23" s="56"/>
      <c r="BT23" s="56"/>
      <c r="BU23" s="56"/>
      <c r="BV23" s="56"/>
      <c r="BW23" s="56"/>
      <c r="BX23" s="56"/>
      <c r="BY23" s="56"/>
      <c r="BZ23" s="56"/>
      <c r="CA23" s="56"/>
      <c r="CB23" s="56"/>
      <c r="CC23" s="56"/>
      <c r="CD23" s="56"/>
      <c r="CE23" s="56"/>
      <c r="CF23" s="56"/>
      <c r="CG23" s="56"/>
      <c r="CH23" s="56"/>
      <c r="CI23" s="56"/>
      <c r="CJ23" s="56"/>
      <c r="CK23" s="56"/>
    </row>
    <row r="24" spans="1:366" x14ac:dyDescent="0.15">
      <c r="B24" s="45" t="s">
        <v>216</v>
      </c>
      <c r="C24" s="371">
        <f>vacancy_allowance</f>
        <v>0.04</v>
      </c>
      <c r="F24" s="56">
        <f>-F$22*$C$24</f>
        <v>0</v>
      </c>
      <c r="G24" s="56">
        <f>-G$20*$C$24</f>
        <v>-1470.3752000000002</v>
      </c>
      <c r="H24" s="56">
        <f t="shared" ref="H24:BS24" si="38">-H$20*$C$24</f>
        <v>-1470.3752000000002</v>
      </c>
      <c r="I24" s="56">
        <f t="shared" si="38"/>
        <v>-1470.3752000000002</v>
      </c>
      <c r="J24" s="56">
        <f t="shared" si="38"/>
        <v>-1470.3752000000002</v>
      </c>
      <c r="K24" s="56">
        <f t="shared" si="38"/>
        <v>-1470.3752000000002</v>
      </c>
      <c r="L24" s="563">
        <f t="shared" si="38"/>
        <v>-1470.3752000000002</v>
      </c>
      <c r="M24" s="56">
        <f t="shared" si="38"/>
        <v>-1463.8</v>
      </c>
      <c r="N24" s="56">
        <f t="shared" si="38"/>
        <v>-1463.8</v>
      </c>
      <c r="O24" s="56">
        <f t="shared" si="38"/>
        <v>-1463.8</v>
      </c>
      <c r="P24" s="56">
        <f t="shared" si="38"/>
        <v>-1463.8</v>
      </c>
      <c r="Q24" s="56">
        <f t="shared" si="38"/>
        <v>-1463.8</v>
      </c>
      <c r="R24" s="56">
        <f t="shared" si="38"/>
        <v>-1463.8</v>
      </c>
      <c r="S24" s="56">
        <f t="shared" si="38"/>
        <v>-1507.7139999999999</v>
      </c>
      <c r="T24" s="56">
        <f t="shared" si="38"/>
        <v>-1507.7139999999999</v>
      </c>
      <c r="U24" s="56">
        <f t="shared" si="38"/>
        <v>-1507.7139999999999</v>
      </c>
      <c r="V24" s="56">
        <f t="shared" si="38"/>
        <v>-1507.7139999999999</v>
      </c>
      <c r="W24" s="56">
        <f t="shared" si="38"/>
        <v>-1507.7139999999999</v>
      </c>
      <c r="X24" s="56">
        <f t="shared" si="38"/>
        <v>-1507.7139999999999</v>
      </c>
      <c r="Y24" s="56">
        <f t="shared" si="38"/>
        <v>-1507.7139999999999</v>
      </c>
      <c r="Z24" s="56">
        <f t="shared" si="38"/>
        <v>-1507.7139999999999</v>
      </c>
      <c r="AA24" s="56">
        <f t="shared" si="38"/>
        <v>-1507.7139999999999</v>
      </c>
      <c r="AB24" s="56">
        <f t="shared" si="38"/>
        <v>-1507.7139999999999</v>
      </c>
      <c r="AC24" s="56">
        <f t="shared" si="38"/>
        <v>-1507.7139999999999</v>
      </c>
      <c r="AD24" s="56">
        <f t="shared" si="38"/>
        <v>-1507.7139999999999</v>
      </c>
      <c r="AE24" s="56">
        <f t="shared" si="38"/>
        <v>-1552.94542</v>
      </c>
      <c r="AF24" s="56">
        <f t="shared" si="38"/>
        <v>-1552.94542</v>
      </c>
      <c r="AG24" s="56">
        <f t="shared" si="38"/>
        <v>-1552.94542</v>
      </c>
      <c r="AH24" s="56">
        <f t="shared" si="38"/>
        <v>-1552.94542</v>
      </c>
      <c r="AI24" s="56">
        <f t="shared" si="38"/>
        <v>-1552.94542</v>
      </c>
      <c r="AJ24" s="56">
        <f t="shared" si="38"/>
        <v>-1552.94542</v>
      </c>
      <c r="AK24" s="56">
        <f t="shared" si="38"/>
        <v>-1552.94542</v>
      </c>
      <c r="AL24" s="56">
        <f t="shared" si="38"/>
        <v>-1552.94542</v>
      </c>
      <c r="AM24" s="56">
        <f t="shared" si="38"/>
        <v>-1552.94542</v>
      </c>
      <c r="AN24" s="56">
        <f t="shared" si="38"/>
        <v>-1552.94542</v>
      </c>
      <c r="AO24" s="56">
        <f t="shared" si="38"/>
        <v>-1552.94542</v>
      </c>
      <c r="AP24" s="56">
        <f t="shared" si="38"/>
        <v>-1552.94542</v>
      </c>
      <c r="AQ24" s="56">
        <f t="shared" si="38"/>
        <v>-1599.5337826</v>
      </c>
      <c r="AR24" s="56">
        <f t="shared" si="38"/>
        <v>-1599.5337826</v>
      </c>
      <c r="AS24" s="56">
        <f t="shared" si="38"/>
        <v>-1599.5337826</v>
      </c>
      <c r="AT24" s="56">
        <f t="shared" si="38"/>
        <v>-1599.5337826</v>
      </c>
      <c r="AU24" s="56">
        <f t="shared" si="38"/>
        <v>-1599.5337826</v>
      </c>
      <c r="AV24" s="56">
        <f t="shared" si="38"/>
        <v>-1599.5337826</v>
      </c>
      <c r="AW24" s="56">
        <f t="shared" si="38"/>
        <v>-1599.5337826</v>
      </c>
      <c r="AX24" s="56">
        <f t="shared" si="38"/>
        <v>-1599.5337826</v>
      </c>
      <c r="AY24" s="56">
        <f t="shared" si="38"/>
        <v>-1599.5337826</v>
      </c>
      <c r="AZ24" s="56">
        <f t="shared" si="38"/>
        <v>-1599.5337826</v>
      </c>
      <c r="BA24" s="56">
        <f t="shared" si="38"/>
        <v>-1599.5337826</v>
      </c>
      <c r="BB24" s="56">
        <f t="shared" si="38"/>
        <v>-1599.5337826</v>
      </c>
      <c r="BC24" s="56">
        <f t="shared" si="38"/>
        <v>-1647.5197960779999</v>
      </c>
      <c r="BD24" s="56">
        <f t="shared" si="38"/>
        <v>-1647.5197960779999</v>
      </c>
      <c r="BE24" s="56">
        <f t="shared" si="38"/>
        <v>-1647.5197960779999</v>
      </c>
      <c r="BF24" s="56">
        <f t="shared" si="38"/>
        <v>-1647.5197960779999</v>
      </c>
      <c r="BG24" s="56">
        <f t="shared" si="38"/>
        <v>-1647.5197960779999</v>
      </c>
      <c r="BH24" s="56">
        <f t="shared" si="38"/>
        <v>-1647.5197960779999</v>
      </c>
      <c r="BI24" s="56">
        <f t="shared" si="38"/>
        <v>-1647.5197960779999</v>
      </c>
      <c r="BJ24" s="56">
        <f t="shared" si="38"/>
        <v>-1647.5197960779999</v>
      </c>
      <c r="BK24" s="56">
        <f t="shared" si="38"/>
        <v>-1647.5197960779999</v>
      </c>
      <c r="BL24" s="56">
        <f t="shared" si="38"/>
        <v>-1647.5197960779999</v>
      </c>
      <c r="BM24" s="56">
        <f t="shared" si="38"/>
        <v>-1647.5197960779999</v>
      </c>
      <c r="BN24" s="56">
        <f t="shared" si="38"/>
        <v>-1647.5197960779999</v>
      </c>
      <c r="BO24" s="56">
        <f t="shared" si="38"/>
        <v>-1696.9453899603402</v>
      </c>
      <c r="BP24" s="56">
        <f t="shared" si="38"/>
        <v>-1696.9453899603402</v>
      </c>
      <c r="BQ24" s="56">
        <f t="shared" si="38"/>
        <v>-1696.9453899603402</v>
      </c>
      <c r="BR24" s="56">
        <f t="shared" si="38"/>
        <v>-1696.9453899603402</v>
      </c>
      <c r="BS24" s="56">
        <f t="shared" si="38"/>
        <v>-1696.9453899603402</v>
      </c>
      <c r="BT24" s="56">
        <f t="shared" ref="BT24:EE24" si="39">-BT$20*$C$24</f>
        <v>-1696.9453899603402</v>
      </c>
      <c r="BU24" s="56">
        <f t="shared" si="39"/>
        <v>-1696.9453899603402</v>
      </c>
      <c r="BV24" s="56">
        <f t="shared" si="39"/>
        <v>-1696.9453899603402</v>
      </c>
      <c r="BW24" s="56">
        <f t="shared" si="39"/>
        <v>-1696.9453899603402</v>
      </c>
      <c r="BX24" s="56">
        <f t="shared" si="39"/>
        <v>-1696.9453899603402</v>
      </c>
      <c r="BY24" s="56">
        <f t="shared" si="39"/>
        <v>-1696.9453899603402</v>
      </c>
      <c r="BZ24" s="56">
        <f t="shared" si="39"/>
        <v>-1696.9453899603402</v>
      </c>
      <c r="CA24" s="56">
        <f t="shared" si="39"/>
        <v>-1747.8537516591502</v>
      </c>
      <c r="CB24" s="56">
        <f t="shared" si="39"/>
        <v>-1747.8537516591502</v>
      </c>
      <c r="CC24" s="56">
        <f t="shared" si="39"/>
        <v>-1747.8537516591502</v>
      </c>
      <c r="CD24" s="56">
        <f t="shared" si="39"/>
        <v>-1747.8537516591502</v>
      </c>
      <c r="CE24" s="56">
        <f t="shared" si="39"/>
        <v>-1747.8537516591502</v>
      </c>
      <c r="CF24" s="56">
        <f t="shared" si="39"/>
        <v>-1747.8537516591502</v>
      </c>
      <c r="CG24" s="56">
        <f t="shared" si="39"/>
        <v>-1747.8537516591502</v>
      </c>
      <c r="CH24" s="56">
        <f t="shared" si="39"/>
        <v>-1747.8537516591502</v>
      </c>
      <c r="CI24" s="56">
        <f t="shared" si="39"/>
        <v>-1747.8537516591502</v>
      </c>
      <c r="CJ24" s="56">
        <f t="shared" si="39"/>
        <v>-1747.8537516591502</v>
      </c>
      <c r="CK24" s="56">
        <f t="shared" si="39"/>
        <v>-1747.8537516591502</v>
      </c>
      <c r="CL24" s="56">
        <f t="shared" si="39"/>
        <v>-1747.8537516591502</v>
      </c>
      <c r="CM24" s="56">
        <f t="shared" si="39"/>
        <v>-1800.2893642089248</v>
      </c>
      <c r="CN24" s="56">
        <f t="shared" si="39"/>
        <v>-1800.2893642089248</v>
      </c>
      <c r="CO24" s="56">
        <f t="shared" si="39"/>
        <v>-1800.2893642089248</v>
      </c>
      <c r="CP24" s="56">
        <f t="shared" si="39"/>
        <v>-1800.2893642089248</v>
      </c>
      <c r="CQ24" s="56">
        <f t="shared" si="39"/>
        <v>-1800.2893642089248</v>
      </c>
      <c r="CR24" s="56">
        <f t="shared" si="39"/>
        <v>-1800.2893642089248</v>
      </c>
      <c r="CS24" s="56">
        <f t="shared" si="39"/>
        <v>-1800.2893642089248</v>
      </c>
      <c r="CT24" s="56">
        <f t="shared" si="39"/>
        <v>-1800.2893642089248</v>
      </c>
      <c r="CU24" s="56">
        <f t="shared" si="39"/>
        <v>-1800.2893642089248</v>
      </c>
      <c r="CV24" s="56">
        <f t="shared" si="39"/>
        <v>-1800.2893642089248</v>
      </c>
      <c r="CW24" s="56">
        <f t="shared" si="39"/>
        <v>-1800.2893642089248</v>
      </c>
      <c r="CX24" s="56">
        <f t="shared" si="39"/>
        <v>-1800.2893642089248</v>
      </c>
      <c r="CY24" s="56">
        <f t="shared" si="39"/>
        <v>-1854.2980451351925</v>
      </c>
      <c r="CZ24" s="56">
        <f t="shared" si="39"/>
        <v>-1854.2980451351925</v>
      </c>
      <c r="DA24" s="56">
        <f t="shared" si="39"/>
        <v>-1854.2980451351925</v>
      </c>
      <c r="DB24" s="56">
        <f t="shared" si="39"/>
        <v>-1854.2980451351925</v>
      </c>
      <c r="DC24" s="56">
        <f t="shared" si="39"/>
        <v>-1854.2980451351925</v>
      </c>
      <c r="DD24" s="56">
        <f t="shared" si="39"/>
        <v>-1854.2980451351925</v>
      </c>
      <c r="DE24" s="56">
        <f t="shared" si="39"/>
        <v>-1854.2980451351925</v>
      </c>
      <c r="DF24" s="56">
        <f t="shared" si="39"/>
        <v>-1854.2980451351925</v>
      </c>
      <c r="DG24" s="56">
        <f t="shared" si="39"/>
        <v>-1854.2980451351925</v>
      </c>
      <c r="DH24" s="56">
        <f t="shared" si="39"/>
        <v>-1854.2980451351925</v>
      </c>
      <c r="DI24" s="56">
        <f t="shared" si="39"/>
        <v>-1854.2980451351925</v>
      </c>
      <c r="DJ24" s="56">
        <f t="shared" si="39"/>
        <v>-1854.2980451351925</v>
      </c>
      <c r="DK24" s="56">
        <f t="shared" si="39"/>
        <v>-1909.9269864892483</v>
      </c>
      <c r="DL24" s="56">
        <f t="shared" si="39"/>
        <v>-1909.9269864892483</v>
      </c>
      <c r="DM24" s="56">
        <f t="shared" si="39"/>
        <v>-1909.9269864892483</v>
      </c>
      <c r="DN24" s="56">
        <f t="shared" si="39"/>
        <v>-1909.9269864892483</v>
      </c>
      <c r="DO24" s="56">
        <f t="shared" si="39"/>
        <v>-1909.9269864892483</v>
      </c>
      <c r="DP24" s="56">
        <f t="shared" si="39"/>
        <v>-1909.9269864892483</v>
      </c>
      <c r="DQ24" s="56">
        <f t="shared" si="39"/>
        <v>-1909.9269864892483</v>
      </c>
      <c r="DR24" s="56">
        <f t="shared" si="39"/>
        <v>-1909.9269864892483</v>
      </c>
      <c r="DS24" s="56">
        <f t="shared" si="39"/>
        <v>-1909.9269864892483</v>
      </c>
      <c r="DT24" s="56">
        <f t="shared" si="39"/>
        <v>-1909.9269864892483</v>
      </c>
      <c r="DU24" s="56">
        <f t="shared" si="39"/>
        <v>-1909.9269864892483</v>
      </c>
      <c r="DV24" s="56">
        <f t="shared" si="39"/>
        <v>-1909.9269864892483</v>
      </c>
      <c r="DW24" s="56">
        <f t="shared" si="39"/>
        <v>-1967.2247960839259</v>
      </c>
      <c r="DX24" s="56">
        <f t="shared" si="39"/>
        <v>-1967.2247960839259</v>
      </c>
      <c r="DY24" s="56">
        <f t="shared" si="39"/>
        <v>-1967.2247960839259</v>
      </c>
      <c r="DZ24" s="56">
        <f t="shared" si="39"/>
        <v>-1967.2247960839259</v>
      </c>
      <c r="EA24" s="56">
        <f t="shared" si="39"/>
        <v>-1967.2247960839259</v>
      </c>
      <c r="EB24" s="56">
        <f t="shared" si="39"/>
        <v>-1967.2247960839259</v>
      </c>
      <c r="EC24" s="56">
        <f t="shared" si="39"/>
        <v>-1967.2247960839259</v>
      </c>
      <c r="ED24" s="56">
        <f t="shared" si="39"/>
        <v>-1967.2247960839259</v>
      </c>
      <c r="EE24" s="56">
        <f t="shared" si="39"/>
        <v>-1967.2247960839259</v>
      </c>
      <c r="EF24" s="56">
        <f t="shared" ref="EF24:GQ24" si="40">-EF$20*$C$24</f>
        <v>-1967.2247960839259</v>
      </c>
      <c r="EG24" s="56">
        <f t="shared" si="40"/>
        <v>-1967.2247960839259</v>
      </c>
      <c r="EH24" s="56">
        <f t="shared" si="40"/>
        <v>-1967.2247960839259</v>
      </c>
      <c r="EI24" s="56">
        <f t="shared" si="40"/>
        <v>-2026.2415399664437</v>
      </c>
      <c r="EJ24" s="56">
        <f t="shared" si="40"/>
        <v>-2026.2415399664437</v>
      </c>
      <c r="EK24" s="56">
        <f t="shared" si="40"/>
        <v>-2026.2415399664437</v>
      </c>
      <c r="EL24" s="56">
        <f t="shared" si="40"/>
        <v>-2026.2415399664437</v>
      </c>
      <c r="EM24" s="56">
        <f t="shared" si="40"/>
        <v>-2026.2415399664437</v>
      </c>
      <c r="EN24" s="56">
        <f t="shared" si="40"/>
        <v>-2026.2415399664437</v>
      </c>
      <c r="EO24" s="56">
        <f t="shared" si="40"/>
        <v>-2026.2415399664437</v>
      </c>
      <c r="EP24" s="56">
        <f t="shared" si="40"/>
        <v>-2026.2415399664437</v>
      </c>
      <c r="EQ24" s="56">
        <f t="shared" si="40"/>
        <v>-2026.2415399664437</v>
      </c>
      <c r="ER24" s="56">
        <f t="shared" si="40"/>
        <v>-2026.2415399664437</v>
      </c>
      <c r="ES24" s="56">
        <f t="shared" si="40"/>
        <v>-2026.2415399664437</v>
      </c>
      <c r="ET24" s="56">
        <f t="shared" si="40"/>
        <v>-2026.2415399664437</v>
      </c>
      <c r="EU24" s="56">
        <f t="shared" si="40"/>
        <v>-2087.0287861654369</v>
      </c>
      <c r="EV24" s="56">
        <f t="shared" si="40"/>
        <v>-2087.0287861654369</v>
      </c>
      <c r="EW24" s="56">
        <f t="shared" si="40"/>
        <v>-2087.0287861654369</v>
      </c>
      <c r="EX24" s="56">
        <f t="shared" si="40"/>
        <v>-2087.0287861654369</v>
      </c>
      <c r="EY24" s="56">
        <f t="shared" si="40"/>
        <v>-2087.0287861654369</v>
      </c>
      <c r="EZ24" s="56">
        <f t="shared" si="40"/>
        <v>-2087.0287861654369</v>
      </c>
      <c r="FA24" s="56">
        <f>-FA$20*$C$24</f>
        <v>-2087.0287861654369</v>
      </c>
      <c r="FB24" s="56">
        <f t="shared" si="40"/>
        <v>-2087.0287861654369</v>
      </c>
      <c r="FC24" s="56">
        <f t="shared" si="40"/>
        <v>-2087.0287861654369</v>
      </c>
      <c r="FD24" s="56">
        <f t="shared" si="40"/>
        <v>-2087.0287861654369</v>
      </c>
      <c r="FE24" s="56">
        <f t="shared" si="40"/>
        <v>-2087.0287861654369</v>
      </c>
      <c r="FF24" s="56">
        <f t="shared" si="40"/>
        <v>-2087.0287861654369</v>
      </c>
      <c r="FG24" s="56">
        <f t="shared" si="40"/>
        <v>-2149.6396497504002</v>
      </c>
      <c r="FH24" s="56">
        <f t="shared" si="40"/>
        <v>-2149.6396497504002</v>
      </c>
      <c r="FI24" s="56">
        <f t="shared" si="40"/>
        <v>-2149.6396497504002</v>
      </c>
      <c r="FJ24" s="56">
        <f t="shared" si="40"/>
        <v>-2149.6396497504002</v>
      </c>
      <c r="FK24" s="56">
        <f t="shared" si="40"/>
        <v>-2149.6396497504002</v>
      </c>
      <c r="FL24" s="56">
        <f t="shared" si="40"/>
        <v>-2149.6396497504002</v>
      </c>
      <c r="FM24" s="56">
        <f t="shared" si="40"/>
        <v>-2149.6396497504002</v>
      </c>
      <c r="FN24" s="56">
        <f t="shared" si="40"/>
        <v>-2149.6396497504002</v>
      </c>
      <c r="FO24" s="56">
        <f t="shared" si="40"/>
        <v>-2149.6396497504002</v>
      </c>
      <c r="FP24" s="56">
        <f t="shared" si="40"/>
        <v>-2149.6396497504002</v>
      </c>
      <c r="FQ24" s="56">
        <f t="shared" si="40"/>
        <v>-2149.6396497504002</v>
      </c>
      <c r="FR24" s="56">
        <f t="shared" si="40"/>
        <v>-2149.6396497504002</v>
      </c>
      <c r="FS24" s="56">
        <f t="shared" si="40"/>
        <v>-2214.1288392429119</v>
      </c>
      <c r="FT24" s="56">
        <f t="shared" si="40"/>
        <v>-2214.1288392429119</v>
      </c>
      <c r="FU24" s="56">
        <f t="shared" si="40"/>
        <v>-2214.1288392429119</v>
      </c>
      <c r="FV24" s="56">
        <f t="shared" si="40"/>
        <v>-2214.1288392429119</v>
      </c>
      <c r="FW24" s="56">
        <f t="shared" si="40"/>
        <v>-2214.1288392429119</v>
      </c>
      <c r="FX24" s="56">
        <f t="shared" si="40"/>
        <v>-2214.1288392429119</v>
      </c>
      <c r="FY24" s="56">
        <f t="shared" si="40"/>
        <v>-2214.1288392429119</v>
      </c>
      <c r="FZ24" s="56">
        <f t="shared" si="40"/>
        <v>-2214.1288392429119</v>
      </c>
      <c r="GA24" s="56">
        <f t="shared" si="40"/>
        <v>-2214.1288392429119</v>
      </c>
      <c r="GB24" s="56">
        <f t="shared" si="40"/>
        <v>-2214.1288392429119</v>
      </c>
      <c r="GC24" s="56">
        <f t="shared" si="40"/>
        <v>-2214.1288392429119</v>
      </c>
      <c r="GD24" s="56">
        <f t="shared" si="40"/>
        <v>-2214.1288392429119</v>
      </c>
      <c r="GE24" s="56">
        <f t="shared" si="40"/>
        <v>0</v>
      </c>
      <c r="GF24" s="56">
        <f t="shared" si="40"/>
        <v>0</v>
      </c>
      <c r="GG24" s="56">
        <f t="shared" si="40"/>
        <v>0</v>
      </c>
      <c r="GH24" s="56">
        <f t="shared" si="40"/>
        <v>0</v>
      </c>
      <c r="GI24" s="56">
        <f t="shared" si="40"/>
        <v>0</v>
      </c>
      <c r="GJ24" s="56">
        <f t="shared" si="40"/>
        <v>0</v>
      </c>
      <c r="GK24" s="56">
        <f t="shared" si="40"/>
        <v>0</v>
      </c>
      <c r="GL24" s="56">
        <f t="shared" si="40"/>
        <v>0</v>
      </c>
      <c r="GM24" s="56">
        <f t="shared" si="40"/>
        <v>0</v>
      </c>
      <c r="GN24" s="56">
        <f t="shared" si="40"/>
        <v>0</v>
      </c>
      <c r="GO24" s="56">
        <f t="shared" si="40"/>
        <v>0</v>
      </c>
      <c r="GP24" s="56">
        <f t="shared" si="40"/>
        <v>0</v>
      </c>
      <c r="GQ24" s="56">
        <f t="shared" si="40"/>
        <v>0</v>
      </c>
      <c r="GR24" s="56">
        <f t="shared" ref="GR24:JC24" si="41">-GR$20*$C$24</f>
        <v>0</v>
      </c>
      <c r="GS24" s="56">
        <f t="shared" si="41"/>
        <v>0</v>
      </c>
      <c r="GT24" s="56">
        <f t="shared" si="41"/>
        <v>0</v>
      </c>
      <c r="GU24" s="56">
        <f t="shared" si="41"/>
        <v>0</v>
      </c>
      <c r="GV24" s="56">
        <f t="shared" si="41"/>
        <v>0</v>
      </c>
      <c r="GW24" s="56">
        <f t="shared" si="41"/>
        <v>0</v>
      </c>
      <c r="GX24" s="56">
        <f t="shared" si="41"/>
        <v>0</v>
      </c>
      <c r="GY24" s="56">
        <f t="shared" si="41"/>
        <v>0</v>
      </c>
      <c r="GZ24" s="56">
        <f t="shared" si="41"/>
        <v>0</v>
      </c>
      <c r="HA24" s="56">
        <f t="shared" si="41"/>
        <v>0</v>
      </c>
      <c r="HB24" s="56">
        <f t="shared" si="41"/>
        <v>0</v>
      </c>
      <c r="HC24" s="56">
        <f t="shared" si="41"/>
        <v>0</v>
      </c>
      <c r="HD24" s="56">
        <f t="shared" si="41"/>
        <v>0</v>
      </c>
      <c r="HE24" s="56">
        <f t="shared" si="41"/>
        <v>0</v>
      </c>
      <c r="HF24" s="56">
        <f t="shared" si="41"/>
        <v>0</v>
      </c>
      <c r="HG24" s="56">
        <f t="shared" si="41"/>
        <v>0</v>
      </c>
      <c r="HH24" s="56">
        <f t="shared" si="41"/>
        <v>0</v>
      </c>
      <c r="HI24" s="56">
        <f t="shared" si="41"/>
        <v>0</v>
      </c>
      <c r="HJ24" s="56">
        <f t="shared" si="41"/>
        <v>0</v>
      </c>
      <c r="HK24" s="56">
        <f t="shared" si="41"/>
        <v>0</v>
      </c>
      <c r="HL24" s="56">
        <f t="shared" si="41"/>
        <v>0</v>
      </c>
      <c r="HM24" s="56">
        <f t="shared" si="41"/>
        <v>0</v>
      </c>
      <c r="HN24" s="56">
        <f t="shared" si="41"/>
        <v>0</v>
      </c>
      <c r="HO24" s="56">
        <f t="shared" si="41"/>
        <v>0</v>
      </c>
      <c r="HP24" s="56">
        <f t="shared" si="41"/>
        <v>0</v>
      </c>
      <c r="HQ24" s="56">
        <f t="shared" si="41"/>
        <v>0</v>
      </c>
      <c r="HR24" s="56">
        <f t="shared" si="41"/>
        <v>0</v>
      </c>
      <c r="HS24" s="56">
        <f t="shared" si="41"/>
        <v>0</v>
      </c>
      <c r="HT24" s="56">
        <f t="shared" si="41"/>
        <v>0</v>
      </c>
      <c r="HU24" s="56">
        <f t="shared" si="41"/>
        <v>0</v>
      </c>
      <c r="HV24" s="56">
        <f t="shared" si="41"/>
        <v>0</v>
      </c>
      <c r="HW24" s="56">
        <f t="shared" si="41"/>
        <v>0</v>
      </c>
      <c r="HX24" s="56">
        <f t="shared" si="41"/>
        <v>0</v>
      </c>
      <c r="HY24" s="56">
        <f t="shared" si="41"/>
        <v>0</v>
      </c>
      <c r="HZ24" s="56">
        <f t="shared" si="41"/>
        <v>0</v>
      </c>
      <c r="IA24" s="56">
        <f t="shared" si="41"/>
        <v>0</v>
      </c>
      <c r="IB24" s="56">
        <f t="shared" si="41"/>
        <v>0</v>
      </c>
      <c r="IC24" s="56">
        <f t="shared" si="41"/>
        <v>0</v>
      </c>
      <c r="ID24" s="56">
        <f t="shared" si="41"/>
        <v>0</v>
      </c>
      <c r="IE24" s="56">
        <f t="shared" si="41"/>
        <v>0</v>
      </c>
      <c r="IF24" s="56">
        <f t="shared" si="41"/>
        <v>0</v>
      </c>
      <c r="IG24" s="56">
        <f t="shared" si="41"/>
        <v>0</v>
      </c>
      <c r="IH24" s="56">
        <f t="shared" si="41"/>
        <v>0</v>
      </c>
      <c r="II24" s="56">
        <f t="shared" si="41"/>
        <v>0</v>
      </c>
      <c r="IJ24" s="56">
        <f t="shared" si="41"/>
        <v>0</v>
      </c>
      <c r="IK24" s="56">
        <f t="shared" si="41"/>
        <v>0</v>
      </c>
      <c r="IL24" s="56">
        <f t="shared" si="41"/>
        <v>0</v>
      </c>
      <c r="IM24" s="56">
        <f t="shared" si="41"/>
        <v>0</v>
      </c>
      <c r="IN24" s="56">
        <f t="shared" si="41"/>
        <v>0</v>
      </c>
      <c r="IO24" s="56">
        <f t="shared" si="41"/>
        <v>0</v>
      </c>
      <c r="IP24" s="56">
        <f t="shared" si="41"/>
        <v>0</v>
      </c>
      <c r="IQ24" s="56">
        <f t="shared" si="41"/>
        <v>0</v>
      </c>
      <c r="IR24" s="56">
        <f t="shared" si="41"/>
        <v>0</v>
      </c>
      <c r="IS24" s="56">
        <f t="shared" si="41"/>
        <v>0</v>
      </c>
      <c r="IT24" s="56">
        <f t="shared" si="41"/>
        <v>0</v>
      </c>
      <c r="IU24" s="56">
        <f t="shared" si="41"/>
        <v>0</v>
      </c>
      <c r="IV24" s="56">
        <f t="shared" si="41"/>
        <v>0</v>
      </c>
      <c r="IW24" s="56">
        <f t="shared" si="41"/>
        <v>0</v>
      </c>
      <c r="IX24" s="56">
        <f t="shared" si="41"/>
        <v>0</v>
      </c>
      <c r="IY24" s="56">
        <f t="shared" si="41"/>
        <v>0</v>
      </c>
      <c r="IZ24" s="56">
        <f t="shared" si="41"/>
        <v>0</v>
      </c>
      <c r="JA24" s="56">
        <f t="shared" si="41"/>
        <v>0</v>
      </c>
      <c r="JB24" s="56">
        <f t="shared" si="41"/>
        <v>0</v>
      </c>
      <c r="JC24" s="56">
        <f t="shared" si="41"/>
        <v>0</v>
      </c>
      <c r="JD24" s="56">
        <f t="shared" ref="JD24:LO24" si="42">-JD$20*$C$24</f>
        <v>0</v>
      </c>
      <c r="JE24" s="56">
        <f t="shared" si="42"/>
        <v>0</v>
      </c>
      <c r="JF24" s="56">
        <f t="shared" si="42"/>
        <v>0</v>
      </c>
      <c r="JG24" s="56">
        <f t="shared" si="42"/>
        <v>0</v>
      </c>
      <c r="JH24" s="56">
        <f t="shared" si="42"/>
        <v>0</v>
      </c>
      <c r="JI24" s="56">
        <f t="shared" si="42"/>
        <v>0</v>
      </c>
      <c r="JJ24" s="56">
        <f t="shared" si="42"/>
        <v>0</v>
      </c>
      <c r="JK24" s="56">
        <f t="shared" si="42"/>
        <v>0</v>
      </c>
      <c r="JL24" s="56">
        <f t="shared" si="42"/>
        <v>0</v>
      </c>
      <c r="JM24" s="56">
        <f t="shared" si="42"/>
        <v>0</v>
      </c>
      <c r="JN24" s="56">
        <f t="shared" si="42"/>
        <v>0</v>
      </c>
      <c r="JO24" s="56">
        <f t="shared" si="42"/>
        <v>0</v>
      </c>
      <c r="JP24" s="56">
        <f t="shared" si="42"/>
        <v>0</v>
      </c>
      <c r="JQ24" s="56">
        <f t="shared" si="42"/>
        <v>0</v>
      </c>
      <c r="JR24" s="56">
        <f t="shared" si="42"/>
        <v>0</v>
      </c>
      <c r="JS24" s="56">
        <f t="shared" si="42"/>
        <v>0</v>
      </c>
      <c r="JT24" s="56">
        <f t="shared" si="42"/>
        <v>0</v>
      </c>
      <c r="JU24" s="56">
        <f t="shared" si="42"/>
        <v>0</v>
      </c>
      <c r="JV24" s="56">
        <f t="shared" si="42"/>
        <v>0</v>
      </c>
      <c r="JW24" s="56">
        <f t="shared" si="42"/>
        <v>0</v>
      </c>
      <c r="JX24" s="56">
        <f t="shared" si="42"/>
        <v>0</v>
      </c>
      <c r="JY24" s="56">
        <f t="shared" si="42"/>
        <v>0</v>
      </c>
      <c r="JZ24" s="56">
        <f t="shared" si="42"/>
        <v>0</v>
      </c>
      <c r="KA24" s="56">
        <f t="shared" si="42"/>
        <v>0</v>
      </c>
      <c r="KB24" s="56">
        <f t="shared" si="42"/>
        <v>0</v>
      </c>
      <c r="KC24" s="56">
        <f t="shared" si="42"/>
        <v>0</v>
      </c>
      <c r="KD24" s="56">
        <f t="shared" si="42"/>
        <v>0</v>
      </c>
      <c r="KE24" s="56">
        <f t="shared" si="42"/>
        <v>0</v>
      </c>
      <c r="KF24" s="56">
        <f t="shared" si="42"/>
        <v>0</v>
      </c>
      <c r="KG24" s="56">
        <f t="shared" si="42"/>
        <v>0</v>
      </c>
      <c r="KH24" s="56">
        <f t="shared" si="42"/>
        <v>0</v>
      </c>
      <c r="KI24" s="56">
        <f t="shared" si="42"/>
        <v>0</v>
      </c>
      <c r="KJ24" s="56">
        <f t="shared" si="42"/>
        <v>0</v>
      </c>
      <c r="KK24" s="56">
        <f t="shared" si="42"/>
        <v>0</v>
      </c>
      <c r="KL24" s="56">
        <f t="shared" si="42"/>
        <v>0</v>
      </c>
      <c r="KM24" s="56">
        <f t="shared" si="42"/>
        <v>0</v>
      </c>
      <c r="KN24" s="56">
        <f t="shared" si="42"/>
        <v>0</v>
      </c>
      <c r="KO24" s="56">
        <f t="shared" si="42"/>
        <v>0</v>
      </c>
      <c r="KP24" s="56">
        <f t="shared" si="42"/>
        <v>0</v>
      </c>
      <c r="KQ24" s="56">
        <f t="shared" si="42"/>
        <v>0</v>
      </c>
      <c r="KR24" s="56">
        <f t="shared" si="42"/>
        <v>0</v>
      </c>
      <c r="KS24" s="56">
        <f t="shared" si="42"/>
        <v>0</v>
      </c>
      <c r="KT24" s="56">
        <f t="shared" si="42"/>
        <v>0</v>
      </c>
      <c r="KU24" s="56">
        <f t="shared" si="42"/>
        <v>0</v>
      </c>
      <c r="KV24" s="56">
        <f t="shared" si="42"/>
        <v>0</v>
      </c>
      <c r="KW24" s="56">
        <f t="shared" si="42"/>
        <v>0</v>
      </c>
      <c r="KX24" s="56">
        <f t="shared" si="42"/>
        <v>0</v>
      </c>
      <c r="KY24" s="56">
        <f t="shared" si="42"/>
        <v>0</v>
      </c>
      <c r="KZ24" s="56">
        <f t="shared" si="42"/>
        <v>0</v>
      </c>
      <c r="LA24" s="56">
        <f t="shared" si="42"/>
        <v>0</v>
      </c>
      <c r="LB24" s="56">
        <f t="shared" si="42"/>
        <v>0</v>
      </c>
      <c r="LC24" s="56">
        <f t="shared" si="42"/>
        <v>0</v>
      </c>
      <c r="LD24" s="56">
        <f t="shared" si="42"/>
        <v>0</v>
      </c>
      <c r="LE24" s="56">
        <f t="shared" si="42"/>
        <v>0</v>
      </c>
      <c r="LF24" s="56">
        <f t="shared" si="42"/>
        <v>0</v>
      </c>
      <c r="LG24" s="56">
        <f t="shared" si="42"/>
        <v>0</v>
      </c>
      <c r="LH24" s="56">
        <f t="shared" si="42"/>
        <v>0</v>
      </c>
      <c r="LI24" s="56">
        <f t="shared" si="42"/>
        <v>0</v>
      </c>
      <c r="LJ24" s="56">
        <f t="shared" si="42"/>
        <v>0</v>
      </c>
      <c r="LK24" s="56">
        <f t="shared" si="42"/>
        <v>0</v>
      </c>
      <c r="LL24" s="56">
        <f t="shared" si="42"/>
        <v>0</v>
      </c>
      <c r="LM24" s="56">
        <f t="shared" si="42"/>
        <v>0</v>
      </c>
      <c r="LN24" s="56">
        <f t="shared" si="42"/>
        <v>0</v>
      </c>
      <c r="LO24" s="56">
        <f t="shared" si="42"/>
        <v>0</v>
      </c>
      <c r="LP24" s="56">
        <f t="shared" ref="LP24:NB24" si="43">-LP$20*$C$24</f>
        <v>0</v>
      </c>
      <c r="LQ24" s="56">
        <f t="shared" si="43"/>
        <v>0</v>
      </c>
      <c r="LR24" s="56">
        <f t="shared" si="43"/>
        <v>0</v>
      </c>
      <c r="LS24" s="56">
        <f t="shared" si="43"/>
        <v>0</v>
      </c>
      <c r="LT24" s="56">
        <f t="shared" si="43"/>
        <v>0</v>
      </c>
      <c r="LU24" s="56">
        <f t="shared" si="43"/>
        <v>0</v>
      </c>
      <c r="LV24" s="56">
        <f t="shared" si="43"/>
        <v>0</v>
      </c>
      <c r="LW24" s="56">
        <f t="shared" si="43"/>
        <v>0</v>
      </c>
      <c r="LX24" s="56">
        <f t="shared" si="43"/>
        <v>0</v>
      </c>
      <c r="LY24" s="56">
        <f t="shared" si="43"/>
        <v>0</v>
      </c>
      <c r="LZ24" s="56">
        <f t="shared" si="43"/>
        <v>0</v>
      </c>
      <c r="MA24" s="56">
        <f t="shared" si="43"/>
        <v>0</v>
      </c>
      <c r="MB24" s="56">
        <f t="shared" si="43"/>
        <v>0</v>
      </c>
      <c r="MC24" s="56">
        <f t="shared" si="43"/>
        <v>0</v>
      </c>
      <c r="MD24" s="56">
        <f t="shared" si="43"/>
        <v>0</v>
      </c>
      <c r="ME24" s="56">
        <f t="shared" si="43"/>
        <v>0</v>
      </c>
      <c r="MF24" s="56">
        <f t="shared" si="43"/>
        <v>0</v>
      </c>
      <c r="MG24" s="56">
        <f t="shared" si="43"/>
        <v>0</v>
      </c>
      <c r="MH24" s="56">
        <f t="shared" si="43"/>
        <v>0</v>
      </c>
      <c r="MI24" s="56">
        <f t="shared" si="43"/>
        <v>0</v>
      </c>
      <c r="MJ24" s="56">
        <f t="shared" si="43"/>
        <v>0</v>
      </c>
      <c r="MK24" s="56">
        <f t="shared" si="43"/>
        <v>0</v>
      </c>
      <c r="ML24" s="56">
        <f t="shared" si="43"/>
        <v>0</v>
      </c>
      <c r="MM24" s="56">
        <f t="shared" si="43"/>
        <v>0</v>
      </c>
      <c r="MN24" s="56">
        <f t="shared" si="43"/>
        <v>0</v>
      </c>
      <c r="MO24" s="56">
        <f t="shared" si="43"/>
        <v>0</v>
      </c>
      <c r="MP24" s="56">
        <f t="shared" si="43"/>
        <v>0</v>
      </c>
      <c r="MQ24" s="56">
        <f t="shared" si="43"/>
        <v>0</v>
      </c>
      <c r="MR24" s="56">
        <f t="shared" si="43"/>
        <v>0</v>
      </c>
      <c r="MS24" s="56">
        <f t="shared" si="43"/>
        <v>0</v>
      </c>
      <c r="MT24" s="56">
        <f t="shared" si="43"/>
        <v>0</v>
      </c>
      <c r="MU24" s="56">
        <f t="shared" si="43"/>
        <v>0</v>
      </c>
      <c r="MV24" s="56">
        <f t="shared" si="43"/>
        <v>0</v>
      </c>
      <c r="MW24" s="56">
        <f t="shared" si="43"/>
        <v>0</v>
      </c>
      <c r="MX24" s="56">
        <f t="shared" si="43"/>
        <v>0</v>
      </c>
      <c r="MY24" s="56">
        <f t="shared" si="43"/>
        <v>0</v>
      </c>
      <c r="MZ24" s="56">
        <f t="shared" si="43"/>
        <v>0</v>
      </c>
      <c r="NA24" s="56">
        <f t="shared" si="43"/>
        <v>0</v>
      </c>
      <c r="NB24" s="56">
        <f t="shared" si="43"/>
        <v>0</v>
      </c>
    </row>
    <row r="25" spans="1:366" x14ac:dyDescent="0.15">
      <c r="B25" s="65" t="s">
        <v>326</v>
      </c>
      <c r="C25" s="372">
        <f>management_fee</f>
        <v>3.5000000000000003E-2</v>
      </c>
      <c r="D25" s="15"/>
      <c r="E25" s="34"/>
      <c r="F25" s="54">
        <f>-$C$25*F$20</f>
        <v>0</v>
      </c>
      <c r="G25" s="54">
        <f>-$C$25*G$20</f>
        <v>-1286.5783000000004</v>
      </c>
      <c r="H25" s="54">
        <f t="shared" ref="H25:BR25" si="44">-$C$25*H$20</f>
        <v>-1286.5783000000004</v>
      </c>
      <c r="I25" s="54">
        <f t="shared" si="44"/>
        <v>-1286.5783000000004</v>
      </c>
      <c r="J25" s="54">
        <f t="shared" si="44"/>
        <v>-1286.5783000000004</v>
      </c>
      <c r="K25" s="54">
        <f t="shared" si="44"/>
        <v>-1286.5783000000004</v>
      </c>
      <c r="L25" s="177">
        <f t="shared" si="44"/>
        <v>-1286.5783000000004</v>
      </c>
      <c r="M25" s="54">
        <f t="shared" si="44"/>
        <v>-1280.825</v>
      </c>
      <c r="N25" s="54">
        <f t="shared" si="44"/>
        <v>-1280.825</v>
      </c>
      <c r="O25" s="54">
        <f t="shared" si="44"/>
        <v>-1280.825</v>
      </c>
      <c r="P25" s="54">
        <f t="shared" si="44"/>
        <v>-1280.825</v>
      </c>
      <c r="Q25" s="54">
        <f t="shared" si="44"/>
        <v>-1280.825</v>
      </c>
      <c r="R25" s="54">
        <f t="shared" si="44"/>
        <v>-1280.825</v>
      </c>
      <c r="S25" s="54">
        <f t="shared" si="44"/>
        <v>-1319.2497500000002</v>
      </c>
      <c r="T25" s="54">
        <f t="shared" si="44"/>
        <v>-1319.2497500000002</v>
      </c>
      <c r="U25" s="54">
        <f t="shared" si="44"/>
        <v>-1319.2497500000002</v>
      </c>
      <c r="V25" s="54">
        <f t="shared" si="44"/>
        <v>-1319.2497500000002</v>
      </c>
      <c r="W25" s="54">
        <f t="shared" si="44"/>
        <v>-1319.2497500000002</v>
      </c>
      <c r="X25" s="54">
        <f t="shared" si="44"/>
        <v>-1319.2497500000002</v>
      </c>
      <c r="Y25" s="54">
        <f t="shared" si="44"/>
        <v>-1319.2497500000002</v>
      </c>
      <c r="Z25" s="54">
        <f t="shared" si="44"/>
        <v>-1319.2497500000002</v>
      </c>
      <c r="AA25" s="54">
        <f t="shared" si="44"/>
        <v>-1319.2497500000002</v>
      </c>
      <c r="AB25" s="54">
        <f t="shared" si="44"/>
        <v>-1319.2497500000002</v>
      </c>
      <c r="AC25" s="54">
        <f t="shared" si="44"/>
        <v>-1319.2497500000002</v>
      </c>
      <c r="AD25" s="54">
        <f t="shared" si="44"/>
        <v>-1319.2497500000002</v>
      </c>
      <c r="AE25" s="54">
        <f t="shared" si="44"/>
        <v>-1358.8272425</v>
      </c>
      <c r="AF25" s="54">
        <f t="shared" si="44"/>
        <v>-1358.8272425</v>
      </c>
      <c r="AG25" s="54">
        <f t="shared" si="44"/>
        <v>-1358.8272425</v>
      </c>
      <c r="AH25" s="54">
        <f t="shared" si="44"/>
        <v>-1358.8272425</v>
      </c>
      <c r="AI25" s="54">
        <f t="shared" si="44"/>
        <v>-1358.8272425</v>
      </c>
      <c r="AJ25" s="54">
        <f t="shared" si="44"/>
        <v>-1358.8272425</v>
      </c>
      <c r="AK25" s="54">
        <f t="shared" si="44"/>
        <v>-1358.8272425</v>
      </c>
      <c r="AL25" s="54">
        <f t="shared" si="44"/>
        <v>-1358.8272425</v>
      </c>
      <c r="AM25" s="54">
        <f t="shared" si="44"/>
        <v>-1358.8272425</v>
      </c>
      <c r="AN25" s="54">
        <f t="shared" si="44"/>
        <v>-1358.8272425</v>
      </c>
      <c r="AO25" s="54">
        <f t="shared" si="44"/>
        <v>-1358.8272425</v>
      </c>
      <c r="AP25" s="54">
        <f t="shared" si="44"/>
        <v>-1358.8272425</v>
      </c>
      <c r="AQ25" s="54">
        <f t="shared" si="44"/>
        <v>-1399.5920597750001</v>
      </c>
      <c r="AR25" s="54">
        <f t="shared" si="44"/>
        <v>-1399.5920597750001</v>
      </c>
      <c r="AS25" s="54">
        <f t="shared" si="44"/>
        <v>-1399.5920597750001</v>
      </c>
      <c r="AT25" s="54">
        <f t="shared" si="44"/>
        <v>-1399.5920597750001</v>
      </c>
      <c r="AU25" s="54">
        <f t="shared" si="44"/>
        <v>-1399.5920597750001</v>
      </c>
      <c r="AV25" s="54">
        <f t="shared" si="44"/>
        <v>-1399.5920597750001</v>
      </c>
      <c r="AW25" s="54">
        <f t="shared" si="44"/>
        <v>-1399.5920597750001</v>
      </c>
      <c r="AX25" s="54">
        <f t="shared" si="44"/>
        <v>-1399.5920597750001</v>
      </c>
      <c r="AY25" s="54">
        <f t="shared" si="44"/>
        <v>-1399.5920597750001</v>
      </c>
      <c r="AZ25" s="54">
        <f t="shared" si="44"/>
        <v>-1399.5920597750001</v>
      </c>
      <c r="BA25" s="54">
        <f t="shared" si="44"/>
        <v>-1399.5920597750001</v>
      </c>
      <c r="BB25" s="54">
        <f t="shared" si="44"/>
        <v>-1399.5920597750001</v>
      </c>
      <c r="BC25" s="54">
        <f t="shared" si="44"/>
        <v>-1441.5798215682501</v>
      </c>
      <c r="BD25" s="54">
        <f t="shared" si="44"/>
        <v>-1441.5798215682501</v>
      </c>
      <c r="BE25" s="54">
        <f t="shared" si="44"/>
        <v>-1441.5798215682501</v>
      </c>
      <c r="BF25" s="54">
        <f t="shared" si="44"/>
        <v>-1441.5798215682501</v>
      </c>
      <c r="BG25" s="54">
        <f t="shared" si="44"/>
        <v>-1441.5798215682501</v>
      </c>
      <c r="BH25" s="54">
        <f t="shared" si="44"/>
        <v>-1441.5798215682501</v>
      </c>
      <c r="BI25" s="54">
        <f t="shared" si="44"/>
        <v>-1441.5798215682501</v>
      </c>
      <c r="BJ25" s="54">
        <f t="shared" si="44"/>
        <v>-1441.5798215682501</v>
      </c>
      <c r="BK25" s="54">
        <f t="shared" si="44"/>
        <v>-1441.5798215682501</v>
      </c>
      <c r="BL25" s="54">
        <f t="shared" si="44"/>
        <v>-1441.5798215682501</v>
      </c>
      <c r="BM25" s="54">
        <f t="shared" si="44"/>
        <v>-1441.5798215682501</v>
      </c>
      <c r="BN25" s="54">
        <f t="shared" si="44"/>
        <v>-1441.5798215682501</v>
      </c>
      <c r="BO25" s="54">
        <f t="shared" si="44"/>
        <v>-1484.8272162152978</v>
      </c>
      <c r="BP25" s="54">
        <f t="shared" si="44"/>
        <v>-1484.8272162152978</v>
      </c>
      <c r="BQ25" s="54">
        <f t="shared" si="44"/>
        <v>-1484.8272162152978</v>
      </c>
      <c r="BR25" s="54">
        <f t="shared" si="44"/>
        <v>-1484.8272162152978</v>
      </c>
      <c r="BS25" s="54">
        <f t="shared" ref="BS25:ED25" si="45">-$C$25*BS$20</f>
        <v>-1484.8272162152978</v>
      </c>
      <c r="BT25" s="54">
        <f t="shared" si="45"/>
        <v>-1484.8272162152978</v>
      </c>
      <c r="BU25" s="54">
        <f t="shared" si="45"/>
        <v>-1484.8272162152978</v>
      </c>
      <c r="BV25" s="54">
        <f t="shared" si="45"/>
        <v>-1484.8272162152978</v>
      </c>
      <c r="BW25" s="54">
        <f t="shared" si="45"/>
        <v>-1484.8272162152978</v>
      </c>
      <c r="BX25" s="54">
        <f t="shared" si="45"/>
        <v>-1484.8272162152978</v>
      </c>
      <c r="BY25" s="54">
        <f t="shared" si="45"/>
        <v>-1484.8272162152978</v>
      </c>
      <c r="BZ25" s="54">
        <f t="shared" si="45"/>
        <v>-1484.8272162152978</v>
      </c>
      <c r="CA25" s="54">
        <f t="shared" si="45"/>
        <v>-1529.3720327017566</v>
      </c>
      <c r="CB25" s="54">
        <f t="shared" si="45"/>
        <v>-1529.3720327017566</v>
      </c>
      <c r="CC25" s="54">
        <f t="shared" si="45"/>
        <v>-1529.3720327017566</v>
      </c>
      <c r="CD25" s="54">
        <f t="shared" si="45"/>
        <v>-1529.3720327017566</v>
      </c>
      <c r="CE25" s="54">
        <f t="shared" si="45"/>
        <v>-1529.3720327017566</v>
      </c>
      <c r="CF25" s="54">
        <f t="shared" si="45"/>
        <v>-1529.3720327017566</v>
      </c>
      <c r="CG25" s="54">
        <f t="shared" si="45"/>
        <v>-1529.3720327017566</v>
      </c>
      <c r="CH25" s="54">
        <f t="shared" si="45"/>
        <v>-1529.3720327017566</v>
      </c>
      <c r="CI25" s="54">
        <f t="shared" si="45"/>
        <v>-1529.3720327017566</v>
      </c>
      <c r="CJ25" s="54">
        <f t="shared" si="45"/>
        <v>-1529.3720327017566</v>
      </c>
      <c r="CK25" s="54">
        <f t="shared" si="45"/>
        <v>-1529.3720327017566</v>
      </c>
      <c r="CL25" s="54">
        <f t="shared" si="45"/>
        <v>-1529.3720327017566</v>
      </c>
      <c r="CM25" s="54">
        <f t="shared" si="45"/>
        <v>-1575.2531936828093</v>
      </c>
      <c r="CN25" s="54">
        <f t="shared" si="45"/>
        <v>-1575.2531936828093</v>
      </c>
      <c r="CO25" s="54">
        <f t="shared" si="45"/>
        <v>-1575.2531936828093</v>
      </c>
      <c r="CP25" s="54">
        <f t="shared" si="45"/>
        <v>-1575.2531936828093</v>
      </c>
      <c r="CQ25" s="54">
        <f t="shared" si="45"/>
        <v>-1575.2531936828093</v>
      </c>
      <c r="CR25" s="54">
        <f t="shared" si="45"/>
        <v>-1575.2531936828093</v>
      </c>
      <c r="CS25" s="54">
        <f t="shared" si="45"/>
        <v>-1575.2531936828093</v>
      </c>
      <c r="CT25" s="54">
        <f t="shared" si="45"/>
        <v>-1575.2531936828093</v>
      </c>
      <c r="CU25" s="54">
        <f t="shared" si="45"/>
        <v>-1575.2531936828093</v>
      </c>
      <c r="CV25" s="54">
        <f t="shared" si="45"/>
        <v>-1575.2531936828093</v>
      </c>
      <c r="CW25" s="54">
        <f t="shared" si="45"/>
        <v>-1575.2531936828093</v>
      </c>
      <c r="CX25" s="54">
        <f t="shared" si="45"/>
        <v>-1575.2531936828093</v>
      </c>
      <c r="CY25" s="54">
        <f t="shared" si="45"/>
        <v>-1622.5107894932937</v>
      </c>
      <c r="CZ25" s="54">
        <f t="shared" si="45"/>
        <v>-1622.5107894932937</v>
      </c>
      <c r="DA25" s="54">
        <f t="shared" si="45"/>
        <v>-1622.5107894932937</v>
      </c>
      <c r="DB25" s="54">
        <f t="shared" si="45"/>
        <v>-1622.5107894932937</v>
      </c>
      <c r="DC25" s="54">
        <f t="shared" si="45"/>
        <v>-1622.5107894932937</v>
      </c>
      <c r="DD25" s="54">
        <f t="shared" si="45"/>
        <v>-1622.5107894932937</v>
      </c>
      <c r="DE25" s="54">
        <f t="shared" si="45"/>
        <v>-1622.5107894932937</v>
      </c>
      <c r="DF25" s="54">
        <f t="shared" si="45"/>
        <v>-1622.5107894932937</v>
      </c>
      <c r="DG25" s="54">
        <f t="shared" si="45"/>
        <v>-1622.5107894932937</v>
      </c>
      <c r="DH25" s="54">
        <f t="shared" si="45"/>
        <v>-1622.5107894932937</v>
      </c>
      <c r="DI25" s="54">
        <f t="shared" si="45"/>
        <v>-1622.5107894932937</v>
      </c>
      <c r="DJ25" s="54">
        <f t="shared" si="45"/>
        <v>-1622.5107894932937</v>
      </c>
      <c r="DK25" s="54">
        <f t="shared" si="45"/>
        <v>-1671.1861131780925</v>
      </c>
      <c r="DL25" s="54">
        <f t="shared" si="45"/>
        <v>-1671.1861131780925</v>
      </c>
      <c r="DM25" s="54">
        <f t="shared" si="45"/>
        <v>-1671.1861131780925</v>
      </c>
      <c r="DN25" s="54">
        <f t="shared" si="45"/>
        <v>-1671.1861131780925</v>
      </c>
      <c r="DO25" s="54">
        <f t="shared" si="45"/>
        <v>-1671.1861131780925</v>
      </c>
      <c r="DP25" s="54">
        <f t="shared" si="45"/>
        <v>-1671.1861131780925</v>
      </c>
      <c r="DQ25" s="54">
        <f t="shared" si="45"/>
        <v>-1671.1861131780925</v>
      </c>
      <c r="DR25" s="54">
        <f t="shared" si="45"/>
        <v>-1671.1861131780925</v>
      </c>
      <c r="DS25" s="54">
        <f t="shared" si="45"/>
        <v>-1671.1861131780925</v>
      </c>
      <c r="DT25" s="54">
        <f t="shared" si="45"/>
        <v>-1671.1861131780925</v>
      </c>
      <c r="DU25" s="54">
        <f t="shared" si="45"/>
        <v>-1671.1861131780925</v>
      </c>
      <c r="DV25" s="54">
        <f t="shared" si="45"/>
        <v>-1671.1861131780925</v>
      </c>
      <c r="DW25" s="54">
        <f t="shared" si="45"/>
        <v>-1721.3216965734352</v>
      </c>
      <c r="DX25" s="54">
        <f t="shared" si="45"/>
        <v>-1721.3216965734352</v>
      </c>
      <c r="DY25" s="54">
        <f t="shared" si="45"/>
        <v>-1721.3216965734352</v>
      </c>
      <c r="DZ25" s="54">
        <f t="shared" si="45"/>
        <v>-1721.3216965734352</v>
      </c>
      <c r="EA25" s="54">
        <f t="shared" si="45"/>
        <v>-1721.3216965734352</v>
      </c>
      <c r="EB25" s="54">
        <f t="shared" si="45"/>
        <v>-1721.3216965734352</v>
      </c>
      <c r="EC25" s="54">
        <f t="shared" si="45"/>
        <v>-1721.3216965734352</v>
      </c>
      <c r="ED25" s="54">
        <f t="shared" si="45"/>
        <v>-1721.3216965734352</v>
      </c>
      <c r="EE25" s="54">
        <f t="shared" ref="EE25:GP25" si="46">-$C$25*EE$20</f>
        <v>-1721.3216965734352</v>
      </c>
      <c r="EF25" s="54">
        <f t="shared" si="46"/>
        <v>-1721.3216965734352</v>
      </c>
      <c r="EG25" s="54">
        <f t="shared" si="46"/>
        <v>-1721.3216965734352</v>
      </c>
      <c r="EH25" s="54">
        <f t="shared" si="46"/>
        <v>-1721.3216965734352</v>
      </c>
      <c r="EI25" s="54">
        <f t="shared" si="46"/>
        <v>-1772.9613474706384</v>
      </c>
      <c r="EJ25" s="54">
        <f t="shared" si="46"/>
        <v>-1772.9613474706384</v>
      </c>
      <c r="EK25" s="54">
        <f t="shared" si="46"/>
        <v>-1772.9613474706384</v>
      </c>
      <c r="EL25" s="54">
        <f t="shared" si="46"/>
        <v>-1772.9613474706384</v>
      </c>
      <c r="EM25" s="54">
        <f t="shared" si="46"/>
        <v>-1772.9613474706384</v>
      </c>
      <c r="EN25" s="54">
        <f t="shared" si="46"/>
        <v>-1772.9613474706384</v>
      </c>
      <c r="EO25" s="54">
        <f t="shared" si="46"/>
        <v>-1772.9613474706384</v>
      </c>
      <c r="EP25" s="54">
        <f t="shared" si="46"/>
        <v>-1772.9613474706384</v>
      </c>
      <c r="EQ25" s="54">
        <f t="shared" si="46"/>
        <v>-1772.9613474706384</v>
      </c>
      <c r="ER25" s="54">
        <f t="shared" si="46"/>
        <v>-1772.9613474706384</v>
      </c>
      <c r="ES25" s="54">
        <f t="shared" si="46"/>
        <v>-1772.9613474706384</v>
      </c>
      <c r="ET25" s="54">
        <f t="shared" si="46"/>
        <v>-1772.9613474706384</v>
      </c>
      <c r="EU25" s="54">
        <f t="shared" si="46"/>
        <v>-1826.1501878947574</v>
      </c>
      <c r="EV25" s="54">
        <f t="shared" si="46"/>
        <v>-1826.1501878947574</v>
      </c>
      <c r="EW25" s="54">
        <f t="shared" si="46"/>
        <v>-1826.1501878947574</v>
      </c>
      <c r="EX25" s="54">
        <f t="shared" si="46"/>
        <v>-1826.1501878947574</v>
      </c>
      <c r="EY25" s="54">
        <f t="shared" si="46"/>
        <v>-1826.1501878947574</v>
      </c>
      <c r="EZ25" s="54">
        <f t="shared" si="46"/>
        <v>-1826.1501878947574</v>
      </c>
      <c r="FA25" s="54">
        <f t="shared" si="46"/>
        <v>-1826.1501878947574</v>
      </c>
      <c r="FB25" s="54">
        <f t="shared" si="46"/>
        <v>-1826.1501878947574</v>
      </c>
      <c r="FC25" s="54">
        <f t="shared" si="46"/>
        <v>-1826.1501878947574</v>
      </c>
      <c r="FD25" s="54">
        <f t="shared" si="46"/>
        <v>-1826.1501878947574</v>
      </c>
      <c r="FE25" s="54">
        <f t="shared" si="46"/>
        <v>-1826.1501878947574</v>
      </c>
      <c r="FF25" s="54">
        <f t="shared" si="46"/>
        <v>-1826.1501878947574</v>
      </c>
      <c r="FG25" s="54">
        <f t="shared" si="46"/>
        <v>-1880.9346935316003</v>
      </c>
      <c r="FH25" s="54">
        <f t="shared" si="46"/>
        <v>-1880.9346935316003</v>
      </c>
      <c r="FI25" s="54">
        <f t="shared" si="46"/>
        <v>-1880.9346935316003</v>
      </c>
      <c r="FJ25" s="54">
        <f t="shared" si="46"/>
        <v>-1880.9346935316003</v>
      </c>
      <c r="FK25" s="54">
        <f t="shared" si="46"/>
        <v>-1880.9346935316003</v>
      </c>
      <c r="FL25" s="54">
        <f t="shared" si="46"/>
        <v>-1880.9346935316003</v>
      </c>
      <c r="FM25" s="54">
        <f t="shared" si="46"/>
        <v>-1880.9346935316003</v>
      </c>
      <c r="FN25" s="54">
        <f t="shared" si="46"/>
        <v>-1880.9346935316003</v>
      </c>
      <c r="FO25" s="54">
        <f t="shared" si="46"/>
        <v>-1880.9346935316003</v>
      </c>
      <c r="FP25" s="54">
        <f t="shared" si="46"/>
        <v>-1880.9346935316003</v>
      </c>
      <c r="FQ25" s="54">
        <f t="shared" si="46"/>
        <v>-1880.9346935316003</v>
      </c>
      <c r="FR25" s="54">
        <f t="shared" si="46"/>
        <v>-1880.9346935316003</v>
      </c>
      <c r="FS25" s="54">
        <f t="shared" si="46"/>
        <v>-1937.3627343375483</v>
      </c>
      <c r="FT25" s="54">
        <f t="shared" si="46"/>
        <v>-1937.3627343375483</v>
      </c>
      <c r="FU25" s="54">
        <f t="shared" si="46"/>
        <v>-1937.3627343375483</v>
      </c>
      <c r="FV25" s="54">
        <f t="shared" si="46"/>
        <v>-1937.3627343375483</v>
      </c>
      <c r="FW25" s="54">
        <f t="shared" si="46"/>
        <v>-1937.3627343375483</v>
      </c>
      <c r="FX25" s="54">
        <f t="shared" si="46"/>
        <v>-1937.3627343375483</v>
      </c>
      <c r="FY25" s="54">
        <f t="shared" si="46"/>
        <v>-1937.3627343375483</v>
      </c>
      <c r="FZ25" s="54">
        <f t="shared" si="46"/>
        <v>-1937.3627343375483</v>
      </c>
      <c r="GA25" s="54">
        <f t="shared" si="46"/>
        <v>-1937.3627343375483</v>
      </c>
      <c r="GB25" s="54">
        <f t="shared" si="46"/>
        <v>-1937.3627343375483</v>
      </c>
      <c r="GC25" s="54">
        <f t="shared" si="46"/>
        <v>-1937.3627343375483</v>
      </c>
      <c r="GD25" s="54">
        <f t="shared" si="46"/>
        <v>-1937.3627343375483</v>
      </c>
      <c r="GE25" s="54">
        <f t="shared" si="46"/>
        <v>0</v>
      </c>
      <c r="GF25" s="54">
        <f t="shared" si="46"/>
        <v>0</v>
      </c>
      <c r="GG25" s="54">
        <f t="shared" si="46"/>
        <v>0</v>
      </c>
      <c r="GH25" s="54">
        <f t="shared" si="46"/>
        <v>0</v>
      </c>
      <c r="GI25" s="54">
        <f t="shared" si="46"/>
        <v>0</v>
      </c>
      <c r="GJ25" s="54">
        <f t="shared" si="46"/>
        <v>0</v>
      </c>
      <c r="GK25" s="54">
        <f t="shared" si="46"/>
        <v>0</v>
      </c>
      <c r="GL25" s="54">
        <f t="shared" si="46"/>
        <v>0</v>
      </c>
      <c r="GM25" s="54">
        <f t="shared" si="46"/>
        <v>0</v>
      </c>
      <c r="GN25" s="54">
        <f t="shared" si="46"/>
        <v>0</v>
      </c>
      <c r="GO25" s="54">
        <f t="shared" si="46"/>
        <v>0</v>
      </c>
      <c r="GP25" s="54">
        <f t="shared" si="46"/>
        <v>0</v>
      </c>
      <c r="GQ25" s="54">
        <f t="shared" ref="GQ25:JB25" si="47">-$C$25*GQ$20</f>
        <v>0</v>
      </c>
      <c r="GR25" s="54">
        <f t="shared" si="47"/>
        <v>0</v>
      </c>
      <c r="GS25" s="54">
        <f t="shared" si="47"/>
        <v>0</v>
      </c>
      <c r="GT25" s="54">
        <f t="shared" si="47"/>
        <v>0</v>
      </c>
      <c r="GU25" s="54">
        <f t="shared" si="47"/>
        <v>0</v>
      </c>
      <c r="GV25" s="54">
        <f t="shared" si="47"/>
        <v>0</v>
      </c>
      <c r="GW25" s="54">
        <f t="shared" si="47"/>
        <v>0</v>
      </c>
      <c r="GX25" s="54">
        <f t="shared" si="47"/>
        <v>0</v>
      </c>
      <c r="GY25" s="54">
        <f t="shared" si="47"/>
        <v>0</v>
      </c>
      <c r="GZ25" s="54">
        <f t="shared" si="47"/>
        <v>0</v>
      </c>
      <c r="HA25" s="54">
        <f t="shared" si="47"/>
        <v>0</v>
      </c>
      <c r="HB25" s="54">
        <f t="shared" si="47"/>
        <v>0</v>
      </c>
      <c r="HC25" s="54">
        <f t="shared" si="47"/>
        <v>0</v>
      </c>
      <c r="HD25" s="54">
        <f t="shared" si="47"/>
        <v>0</v>
      </c>
      <c r="HE25" s="54">
        <f t="shared" si="47"/>
        <v>0</v>
      </c>
      <c r="HF25" s="54">
        <f t="shared" si="47"/>
        <v>0</v>
      </c>
      <c r="HG25" s="54">
        <f t="shared" si="47"/>
        <v>0</v>
      </c>
      <c r="HH25" s="54">
        <f t="shared" si="47"/>
        <v>0</v>
      </c>
      <c r="HI25" s="54">
        <f t="shared" si="47"/>
        <v>0</v>
      </c>
      <c r="HJ25" s="54">
        <f t="shared" si="47"/>
        <v>0</v>
      </c>
      <c r="HK25" s="54">
        <f t="shared" si="47"/>
        <v>0</v>
      </c>
      <c r="HL25" s="54">
        <f t="shared" si="47"/>
        <v>0</v>
      </c>
      <c r="HM25" s="54">
        <f t="shared" si="47"/>
        <v>0</v>
      </c>
      <c r="HN25" s="54">
        <f t="shared" si="47"/>
        <v>0</v>
      </c>
      <c r="HO25" s="54">
        <f t="shared" si="47"/>
        <v>0</v>
      </c>
      <c r="HP25" s="54">
        <f t="shared" si="47"/>
        <v>0</v>
      </c>
      <c r="HQ25" s="54">
        <f t="shared" si="47"/>
        <v>0</v>
      </c>
      <c r="HR25" s="54">
        <f t="shared" si="47"/>
        <v>0</v>
      </c>
      <c r="HS25" s="54">
        <f t="shared" si="47"/>
        <v>0</v>
      </c>
      <c r="HT25" s="54">
        <f t="shared" si="47"/>
        <v>0</v>
      </c>
      <c r="HU25" s="54">
        <f t="shared" si="47"/>
        <v>0</v>
      </c>
      <c r="HV25" s="54">
        <f t="shared" si="47"/>
        <v>0</v>
      </c>
      <c r="HW25" s="54">
        <f t="shared" si="47"/>
        <v>0</v>
      </c>
      <c r="HX25" s="54">
        <f t="shared" si="47"/>
        <v>0</v>
      </c>
      <c r="HY25" s="54">
        <f t="shared" si="47"/>
        <v>0</v>
      </c>
      <c r="HZ25" s="54">
        <f t="shared" si="47"/>
        <v>0</v>
      </c>
      <c r="IA25" s="54">
        <f t="shared" si="47"/>
        <v>0</v>
      </c>
      <c r="IB25" s="54">
        <f t="shared" si="47"/>
        <v>0</v>
      </c>
      <c r="IC25" s="54">
        <f t="shared" si="47"/>
        <v>0</v>
      </c>
      <c r="ID25" s="54">
        <f t="shared" si="47"/>
        <v>0</v>
      </c>
      <c r="IE25" s="54">
        <f t="shared" si="47"/>
        <v>0</v>
      </c>
      <c r="IF25" s="54">
        <f t="shared" si="47"/>
        <v>0</v>
      </c>
      <c r="IG25" s="54">
        <f t="shared" si="47"/>
        <v>0</v>
      </c>
      <c r="IH25" s="54">
        <f t="shared" si="47"/>
        <v>0</v>
      </c>
      <c r="II25" s="54">
        <f t="shared" si="47"/>
        <v>0</v>
      </c>
      <c r="IJ25" s="54">
        <f t="shared" si="47"/>
        <v>0</v>
      </c>
      <c r="IK25" s="54">
        <f t="shared" si="47"/>
        <v>0</v>
      </c>
      <c r="IL25" s="54">
        <f t="shared" si="47"/>
        <v>0</v>
      </c>
      <c r="IM25" s="54">
        <f t="shared" si="47"/>
        <v>0</v>
      </c>
      <c r="IN25" s="54">
        <f t="shared" si="47"/>
        <v>0</v>
      </c>
      <c r="IO25" s="54">
        <f t="shared" si="47"/>
        <v>0</v>
      </c>
      <c r="IP25" s="54">
        <f t="shared" si="47"/>
        <v>0</v>
      </c>
      <c r="IQ25" s="54">
        <f t="shared" si="47"/>
        <v>0</v>
      </c>
      <c r="IR25" s="54">
        <f t="shared" si="47"/>
        <v>0</v>
      </c>
      <c r="IS25" s="54">
        <f t="shared" si="47"/>
        <v>0</v>
      </c>
      <c r="IT25" s="54">
        <f t="shared" si="47"/>
        <v>0</v>
      </c>
      <c r="IU25" s="54">
        <f t="shared" si="47"/>
        <v>0</v>
      </c>
      <c r="IV25" s="54">
        <f t="shared" si="47"/>
        <v>0</v>
      </c>
      <c r="IW25" s="54">
        <f t="shared" si="47"/>
        <v>0</v>
      </c>
      <c r="IX25" s="54">
        <f t="shared" si="47"/>
        <v>0</v>
      </c>
      <c r="IY25" s="54">
        <f t="shared" si="47"/>
        <v>0</v>
      </c>
      <c r="IZ25" s="54">
        <f t="shared" si="47"/>
        <v>0</v>
      </c>
      <c r="JA25" s="54">
        <f t="shared" si="47"/>
        <v>0</v>
      </c>
      <c r="JB25" s="54">
        <f t="shared" si="47"/>
        <v>0</v>
      </c>
      <c r="JC25" s="54">
        <f t="shared" ref="JC25:LN25" si="48">-$C$25*JC$20</f>
        <v>0</v>
      </c>
      <c r="JD25" s="54">
        <f t="shared" si="48"/>
        <v>0</v>
      </c>
      <c r="JE25" s="54">
        <f t="shared" si="48"/>
        <v>0</v>
      </c>
      <c r="JF25" s="54">
        <f t="shared" si="48"/>
        <v>0</v>
      </c>
      <c r="JG25" s="54">
        <f t="shared" si="48"/>
        <v>0</v>
      </c>
      <c r="JH25" s="54">
        <f t="shared" si="48"/>
        <v>0</v>
      </c>
      <c r="JI25" s="54">
        <f t="shared" si="48"/>
        <v>0</v>
      </c>
      <c r="JJ25" s="54">
        <f t="shared" si="48"/>
        <v>0</v>
      </c>
      <c r="JK25" s="54">
        <f t="shared" si="48"/>
        <v>0</v>
      </c>
      <c r="JL25" s="54">
        <f t="shared" si="48"/>
        <v>0</v>
      </c>
      <c r="JM25" s="54">
        <f t="shared" si="48"/>
        <v>0</v>
      </c>
      <c r="JN25" s="54">
        <f t="shared" si="48"/>
        <v>0</v>
      </c>
      <c r="JO25" s="54">
        <f t="shared" si="48"/>
        <v>0</v>
      </c>
      <c r="JP25" s="54">
        <f t="shared" si="48"/>
        <v>0</v>
      </c>
      <c r="JQ25" s="54">
        <f t="shared" si="48"/>
        <v>0</v>
      </c>
      <c r="JR25" s="54">
        <f t="shared" si="48"/>
        <v>0</v>
      </c>
      <c r="JS25" s="54">
        <f t="shared" si="48"/>
        <v>0</v>
      </c>
      <c r="JT25" s="54">
        <f t="shared" si="48"/>
        <v>0</v>
      </c>
      <c r="JU25" s="54">
        <f t="shared" si="48"/>
        <v>0</v>
      </c>
      <c r="JV25" s="54">
        <f t="shared" si="48"/>
        <v>0</v>
      </c>
      <c r="JW25" s="54">
        <f t="shared" si="48"/>
        <v>0</v>
      </c>
      <c r="JX25" s="54">
        <f t="shared" si="48"/>
        <v>0</v>
      </c>
      <c r="JY25" s="54">
        <f t="shared" si="48"/>
        <v>0</v>
      </c>
      <c r="JZ25" s="54">
        <f t="shared" si="48"/>
        <v>0</v>
      </c>
      <c r="KA25" s="54">
        <f t="shared" si="48"/>
        <v>0</v>
      </c>
      <c r="KB25" s="54">
        <f t="shared" si="48"/>
        <v>0</v>
      </c>
      <c r="KC25" s="54">
        <f t="shared" si="48"/>
        <v>0</v>
      </c>
      <c r="KD25" s="54">
        <f t="shared" si="48"/>
        <v>0</v>
      </c>
      <c r="KE25" s="54">
        <f t="shared" si="48"/>
        <v>0</v>
      </c>
      <c r="KF25" s="54">
        <f t="shared" si="48"/>
        <v>0</v>
      </c>
      <c r="KG25" s="54">
        <f t="shared" si="48"/>
        <v>0</v>
      </c>
      <c r="KH25" s="54">
        <f t="shared" si="48"/>
        <v>0</v>
      </c>
      <c r="KI25" s="54">
        <f t="shared" si="48"/>
        <v>0</v>
      </c>
      <c r="KJ25" s="54">
        <f t="shared" si="48"/>
        <v>0</v>
      </c>
      <c r="KK25" s="54">
        <f t="shared" si="48"/>
        <v>0</v>
      </c>
      <c r="KL25" s="54">
        <f t="shared" si="48"/>
        <v>0</v>
      </c>
      <c r="KM25" s="54">
        <f t="shared" si="48"/>
        <v>0</v>
      </c>
      <c r="KN25" s="54">
        <f t="shared" si="48"/>
        <v>0</v>
      </c>
      <c r="KO25" s="54">
        <f t="shared" si="48"/>
        <v>0</v>
      </c>
      <c r="KP25" s="54">
        <f t="shared" si="48"/>
        <v>0</v>
      </c>
      <c r="KQ25" s="54">
        <f t="shared" si="48"/>
        <v>0</v>
      </c>
      <c r="KR25" s="54">
        <f t="shared" si="48"/>
        <v>0</v>
      </c>
      <c r="KS25" s="54">
        <f t="shared" si="48"/>
        <v>0</v>
      </c>
      <c r="KT25" s="54">
        <f t="shared" si="48"/>
        <v>0</v>
      </c>
      <c r="KU25" s="54">
        <f t="shared" si="48"/>
        <v>0</v>
      </c>
      <c r="KV25" s="54">
        <f t="shared" si="48"/>
        <v>0</v>
      </c>
      <c r="KW25" s="54">
        <f t="shared" si="48"/>
        <v>0</v>
      </c>
      <c r="KX25" s="54">
        <f t="shared" si="48"/>
        <v>0</v>
      </c>
      <c r="KY25" s="54">
        <f t="shared" si="48"/>
        <v>0</v>
      </c>
      <c r="KZ25" s="54">
        <f t="shared" si="48"/>
        <v>0</v>
      </c>
      <c r="LA25" s="54">
        <f t="shared" si="48"/>
        <v>0</v>
      </c>
      <c r="LB25" s="54">
        <f t="shared" si="48"/>
        <v>0</v>
      </c>
      <c r="LC25" s="54">
        <f t="shared" si="48"/>
        <v>0</v>
      </c>
      <c r="LD25" s="54">
        <f t="shared" si="48"/>
        <v>0</v>
      </c>
      <c r="LE25" s="54">
        <f t="shared" si="48"/>
        <v>0</v>
      </c>
      <c r="LF25" s="54">
        <f t="shared" si="48"/>
        <v>0</v>
      </c>
      <c r="LG25" s="54">
        <f t="shared" si="48"/>
        <v>0</v>
      </c>
      <c r="LH25" s="54">
        <f t="shared" si="48"/>
        <v>0</v>
      </c>
      <c r="LI25" s="54">
        <f t="shared" si="48"/>
        <v>0</v>
      </c>
      <c r="LJ25" s="54">
        <f t="shared" si="48"/>
        <v>0</v>
      </c>
      <c r="LK25" s="54">
        <f t="shared" si="48"/>
        <v>0</v>
      </c>
      <c r="LL25" s="54">
        <f t="shared" si="48"/>
        <v>0</v>
      </c>
      <c r="LM25" s="54">
        <f t="shared" si="48"/>
        <v>0</v>
      </c>
      <c r="LN25" s="54">
        <f t="shared" si="48"/>
        <v>0</v>
      </c>
      <c r="LO25" s="54">
        <f t="shared" ref="LO25:NB25" si="49">-$C$25*LO$20</f>
        <v>0</v>
      </c>
      <c r="LP25" s="54">
        <f t="shared" si="49"/>
        <v>0</v>
      </c>
      <c r="LQ25" s="54">
        <f t="shared" si="49"/>
        <v>0</v>
      </c>
      <c r="LR25" s="54">
        <f t="shared" si="49"/>
        <v>0</v>
      </c>
      <c r="LS25" s="54">
        <f t="shared" si="49"/>
        <v>0</v>
      </c>
      <c r="LT25" s="54">
        <f t="shared" si="49"/>
        <v>0</v>
      </c>
      <c r="LU25" s="54">
        <f t="shared" si="49"/>
        <v>0</v>
      </c>
      <c r="LV25" s="54">
        <f t="shared" si="49"/>
        <v>0</v>
      </c>
      <c r="LW25" s="54">
        <f t="shared" si="49"/>
        <v>0</v>
      </c>
      <c r="LX25" s="54">
        <f t="shared" si="49"/>
        <v>0</v>
      </c>
      <c r="LY25" s="54">
        <f t="shared" si="49"/>
        <v>0</v>
      </c>
      <c r="LZ25" s="54">
        <f t="shared" si="49"/>
        <v>0</v>
      </c>
      <c r="MA25" s="54">
        <f t="shared" si="49"/>
        <v>0</v>
      </c>
      <c r="MB25" s="54">
        <f t="shared" si="49"/>
        <v>0</v>
      </c>
      <c r="MC25" s="54">
        <f t="shared" si="49"/>
        <v>0</v>
      </c>
      <c r="MD25" s="54">
        <f t="shared" si="49"/>
        <v>0</v>
      </c>
      <c r="ME25" s="54">
        <f t="shared" si="49"/>
        <v>0</v>
      </c>
      <c r="MF25" s="54">
        <f t="shared" si="49"/>
        <v>0</v>
      </c>
      <c r="MG25" s="54">
        <f t="shared" si="49"/>
        <v>0</v>
      </c>
      <c r="MH25" s="54">
        <f t="shared" si="49"/>
        <v>0</v>
      </c>
      <c r="MI25" s="54">
        <f t="shared" si="49"/>
        <v>0</v>
      </c>
      <c r="MJ25" s="54">
        <f t="shared" si="49"/>
        <v>0</v>
      </c>
      <c r="MK25" s="54">
        <f t="shared" si="49"/>
        <v>0</v>
      </c>
      <c r="ML25" s="54">
        <f t="shared" si="49"/>
        <v>0</v>
      </c>
      <c r="MM25" s="54">
        <f t="shared" si="49"/>
        <v>0</v>
      </c>
      <c r="MN25" s="54">
        <f t="shared" si="49"/>
        <v>0</v>
      </c>
      <c r="MO25" s="54">
        <f t="shared" si="49"/>
        <v>0</v>
      </c>
      <c r="MP25" s="54">
        <f t="shared" si="49"/>
        <v>0</v>
      </c>
      <c r="MQ25" s="54">
        <f t="shared" si="49"/>
        <v>0</v>
      </c>
      <c r="MR25" s="54">
        <f t="shared" si="49"/>
        <v>0</v>
      </c>
      <c r="MS25" s="54">
        <f t="shared" si="49"/>
        <v>0</v>
      </c>
      <c r="MT25" s="54">
        <f t="shared" si="49"/>
        <v>0</v>
      </c>
      <c r="MU25" s="54">
        <f t="shared" si="49"/>
        <v>0</v>
      </c>
      <c r="MV25" s="54">
        <f t="shared" si="49"/>
        <v>0</v>
      </c>
      <c r="MW25" s="54">
        <f t="shared" si="49"/>
        <v>0</v>
      </c>
      <c r="MX25" s="54">
        <f t="shared" si="49"/>
        <v>0</v>
      </c>
      <c r="MY25" s="54">
        <f t="shared" si="49"/>
        <v>0</v>
      </c>
      <c r="MZ25" s="54">
        <f t="shared" si="49"/>
        <v>0</v>
      </c>
      <c r="NA25" s="54">
        <f t="shared" si="49"/>
        <v>0</v>
      </c>
      <c r="NB25" s="54">
        <f t="shared" si="49"/>
        <v>0</v>
      </c>
    </row>
    <row r="26" spans="1:366" x14ac:dyDescent="0.15">
      <c r="B26" s="45" t="s">
        <v>100</v>
      </c>
      <c r="C26" s="190"/>
      <c r="F26" s="56">
        <f>F22+SUM(F24:F25)</f>
        <v>0</v>
      </c>
      <c r="G26" s="56">
        <f t="shared" ref="G26:BR26" si="50">G22+SUM(G24:G25)</f>
        <v>34502.426500000001</v>
      </c>
      <c r="H26" s="56">
        <f t="shared" si="50"/>
        <v>34502.426500000001</v>
      </c>
      <c r="I26" s="56">
        <f t="shared" si="50"/>
        <v>34502.426500000001</v>
      </c>
      <c r="J26" s="56">
        <f t="shared" si="50"/>
        <v>34502.426500000001</v>
      </c>
      <c r="K26" s="56">
        <f t="shared" si="50"/>
        <v>34502.426500000001</v>
      </c>
      <c r="L26" s="563">
        <f t="shared" si="50"/>
        <v>34502.426500000001</v>
      </c>
      <c r="M26" s="56">
        <f t="shared" si="50"/>
        <v>34350.375</v>
      </c>
      <c r="N26" s="56">
        <f t="shared" si="50"/>
        <v>34350.375</v>
      </c>
      <c r="O26" s="56">
        <f t="shared" si="50"/>
        <v>34350.375</v>
      </c>
      <c r="P26" s="56">
        <f t="shared" si="50"/>
        <v>34350.375</v>
      </c>
      <c r="Q26" s="56">
        <f t="shared" si="50"/>
        <v>34350.375</v>
      </c>
      <c r="R26" s="56">
        <f t="shared" si="50"/>
        <v>34350.375</v>
      </c>
      <c r="S26" s="56">
        <f t="shared" si="50"/>
        <v>35378.386249999996</v>
      </c>
      <c r="T26" s="56">
        <f t="shared" si="50"/>
        <v>35378.386249999996</v>
      </c>
      <c r="U26" s="56">
        <f t="shared" si="50"/>
        <v>35378.386249999996</v>
      </c>
      <c r="V26" s="56">
        <f t="shared" si="50"/>
        <v>35378.386249999996</v>
      </c>
      <c r="W26" s="56">
        <f t="shared" si="50"/>
        <v>35378.386249999996</v>
      </c>
      <c r="X26" s="56">
        <f t="shared" si="50"/>
        <v>35378.386249999996</v>
      </c>
      <c r="Y26" s="56">
        <f t="shared" si="50"/>
        <v>35378.386249999996</v>
      </c>
      <c r="Z26" s="56">
        <f t="shared" si="50"/>
        <v>35378.386249999996</v>
      </c>
      <c r="AA26" s="56">
        <f t="shared" si="50"/>
        <v>35378.386249999996</v>
      </c>
      <c r="AB26" s="56">
        <f t="shared" si="50"/>
        <v>35378.386249999996</v>
      </c>
      <c r="AC26" s="56">
        <f t="shared" si="50"/>
        <v>35378.386249999996</v>
      </c>
      <c r="AD26" s="56">
        <f t="shared" si="50"/>
        <v>35378.386249999996</v>
      </c>
      <c r="AE26" s="56">
        <f t="shared" si="50"/>
        <v>36437.175337499997</v>
      </c>
      <c r="AF26" s="56">
        <f t="shared" si="50"/>
        <v>36437.175337499997</v>
      </c>
      <c r="AG26" s="56">
        <f t="shared" si="50"/>
        <v>36437.175337499997</v>
      </c>
      <c r="AH26" s="56">
        <f t="shared" si="50"/>
        <v>36437.175337499997</v>
      </c>
      <c r="AI26" s="56">
        <f t="shared" si="50"/>
        <v>36437.175337499997</v>
      </c>
      <c r="AJ26" s="56">
        <f t="shared" si="50"/>
        <v>36437.175337499997</v>
      </c>
      <c r="AK26" s="56">
        <f t="shared" si="50"/>
        <v>36437.175337499997</v>
      </c>
      <c r="AL26" s="56">
        <f t="shared" si="50"/>
        <v>36437.175337499997</v>
      </c>
      <c r="AM26" s="56">
        <f t="shared" si="50"/>
        <v>36437.175337499997</v>
      </c>
      <c r="AN26" s="56">
        <f t="shared" si="50"/>
        <v>36437.175337499997</v>
      </c>
      <c r="AO26" s="56">
        <f t="shared" si="50"/>
        <v>36437.175337499997</v>
      </c>
      <c r="AP26" s="56">
        <f t="shared" si="50"/>
        <v>36437.175337499997</v>
      </c>
      <c r="AQ26" s="56">
        <f t="shared" si="50"/>
        <v>37527.664035125003</v>
      </c>
      <c r="AR26" s="56">
        <f t="shared" si="50"/>
        <v>37527.664035125003</v>
      </c>
      <c r="AS26" s="56">
        <f t="shared" si="50"/>
        <v>37527.664035125003</v>
      </c>
      <c r="AT26" s="56">
        <f t="shared" si="50"/>
        <v>37527.664035125003</v>
      </c>
      <c r="AU26" s="56">
        <f t="shared" si="50"/>
        <v>37527.664035125003</v>
      </c>
      <c r="AV26" s="56">
        <f t="shared" si="50"/>
        <v>37527.664035125003</v>
      </c>
      <c r="AW26" s="56">
        <f t="shared" si="50"/>
        <v>37527.664035125003</v>
      </c>
      <c r="AX26" s="56">
        <f t="shared" si="50"/>
        <v>37527.664035125003</v>
      </c>
      <c r="AY26" s="56">
        <f t="shared" si="50"/>
        <v>37527.664035125003</v>
      </c>
      <c r="AZ26" s="56">
        <f t="shared" si="50"/>
        <v>37527.664035125003</v>
      </c>
      <c r="BA26" s="56">
        <f t="shared" si="50"/>
        <v>37527.664035125003</v>
      </c>
      <c r="BB26" s="56">
        <f t="shared" si="50"/>
        <v>37527.664035125003</v>
      </c>
      <c r="BC26" s="56">
        <f t="shared" si="50"/>
        <v>38650.801729616251</v>
      </c>
      <c r="BD26" s="56">
        <f t="shared" si="50"/>
        <v>38650.801729616251</v>
      </c>
      <c r="BE26" s="56">
        <f t="shared" si="50"/>
        <v>38650.801729616251</v>
      </c>
      <c r="BF26" s="56">
        <f t="shared" si="50"/>
        <v>38650.801729616251</v>
      </c>
      <c r="BG26" s="56">
        <f t="shared" si="50"/>
        <v>38650.801729616251</v>
      </c>
      <c r="BH26" s="56">
        <f t="shared" si="50"/>
        <v>38650.801729616251</v>
      </c>
      <c r="BI26" s="56">
        <f t="shared" si="50"/>
        <v>38650.801729616251</v>
      </c>
      <c r="BJ26" s="56">
        <f t="shared" si="50"/>
        <v>38650.801729616251</v>
      </c>
      <c r="BK26" s="56">
        <f t="shared" si="50"/>
        <v>38650.801729616251</v>
      </c>
      <c r="BL26" s="56">
        <f t="shared" si="50"/>
        <v>38650.801729616251</v>
      </c>
      <c r="BM26" s="56">
        <f t="shared" si="50"/>
        <v>38650.801729616251</v>
      </c>
      <c r="BN26" s="56">
        <f t="shared" si="50"/>
        <v>38650.801729616251</v>
      </c>
      <c r="BO26" s="56">
        <f t="shared" si="50"/>
        <v>39807.566249278178</v>
      </c>
      <c r="BP26" s="56">
        <f t="shared" si="50"/>
        <v>39807.566249278178</v>
      </c>
      <c r="BQ26" s="56">
        <f t="shared" si="50"/>
        <v>39807.566249278178</v>
      </c>
      <c r="BR26" s="56">
        <f t="shared" si="50"/>
        <v>39807.566249278178</v>
      </c>
      <c r="BS26" s="56">
        <f t="shared" ref="BS26:ED26" si="51">BS22+SUM(BS24:BS25)</f>
        <v>39807.566249278178</v>
      </c>
      <c r="BT26" s="56">
        <f t="shared" si="51"/>
        <v>39807.566249278178</v>
      </c>
      <c r="BU26" s="56">
        <f t="shared" si="51"/>
        <v>39807.566249278178</v>
      </c>
      <c r="BV26" s="56">
        <f t="shared" si="51"/>
        <v>39807.566249278178</v>
      </c>
      <c r="BW26" s="56">
        <f t="shared" si="51"/>
        <v>39807.566249278178</v>
      </c>
      <c r="BX26" s="56">
        <f t="shared" si="51"/>
        <v>39807.566249278178</v>
      </c>
      <c r="BY26" s="56">
        <f t="shared" si="51"/>
        <v>39807.566249278178</v>
      </c>
      <c r="BZ26" s="56">
        <f t="shared" si="51"/>
        <v>39807.566249278178</v>
      </c>
      <c r="CA26" s="56">
        <f t="shared" si="51"/>
        <v>40998.964716224298</v>
      </c>
      <c r="CB26" s="56">
        <f t="shared" si="51"/>
        <v>40998.964716224298</v>
      </c>
      <c r="CC26" s="56">
        <f t="shared" si="51"/>
        <v>40998.964716224298</v>
      </c>
      <c r="CD26" s="56">
        <f t="shared" si="51"/>
        <v>40998.964716224298</v>
      </c>
      <c r="CE26" s="56">
        <f t="shared" si="51"/>
        <v>40998.964716224298</v>
      </c>
      <c r="CF26" s="56">
        <f t="shared" si="51"/>
        <v>40998.964716224298</v>
      </c>
      <c r="CG26" s="56">
        <f t="shared" si="51"/>
        <v>40998.964716224298</v>
      </c>
      <c r="CH26" s="56">
        <f t="shared" si="51"/>
        <v>40998.964716224298</v>
      </c>
      <c r="CI26" s="56">
        <f t="shared" si="51"/>
        <v>40998.964716224298</v>
      </c>
      <c r="CJ26" s="56">
        <f t="shared" si="51"/>
        <v>40998.964716224298</v>
      </c>
      <c r="CK26" s="56">
        <f t="shared" si="51"/>
        <v>40998.964716224298</v>
      </c>
      <c r="CL26" s="56">
        <f t="shared" si="51"/>
        <v>40998.964716224298</v>
      </c>
      <c r="CM26" s="56">
        <f t="shared" si="51"/>
        <v>42226.034424165489</v>
      </c>
      <c r="CN26" s="56">
        <f t="shared" si="51"/>
        <v>42226.034424165489</v>
      </c>
      <c r="CO26" s="56">
        <f t="shared" si="51"/>
        <v>42226.034424165489</v>
      </c>
      <c r="CP26" s="56">
        <f t="shared" si="51"/>
        <v>42226.034424165489</v>
      </c>
      <c r="CQ26" s="56">
        <f t="shared" si="51"/>
        <v>42226.034424165489</v>
      </c>
      <c r="CR26" s="56">
        <f t="shared" si="51"/>
        <v>42226.034424165489</v>
      </c>
      <c r="CS26" s="56">
        <f t="shared" si="51"/>
        <v>42226.034424165489</v>
      </c>
      <c r="CT26" s="56">
        <f t="shared" si="51"/>
        <v>42226.034424165489</v>
      </c>
      <c r="CU26" s="56">
        <f t="shared" si="51"/>
        <v>42226.034424165489</v>
      </c>
      <c r="CV26" s="56">
        <f t="shared" si="51"/>
        <v>42226.034424165489</v>
      </c>
      <c r="CW26" s="56">
        <f t="shared" si="51"/>
        <v>42226.034424165489</v>
      </c>
      <c r="CX26" s="56">
        <f t="shared" si="51"/>
        <v>42226.034424165489</v>
      </c>
      <c r="CY26" s="56">
        <f t="shared" si="51"/>
        <v>43489.843742506288</v>
      </c>
      <c r="CZ26" s="56">
        <f t="shared" si="51"/>
        <v>43489.843742506288</v>
      </c>
      <c r="DA26" s="56">
        <f t="shared" si="51"/>
        <v>43489.843742506288</v>
      </c>
      <c r="DB26" s="56">
        <f t="shared" si="51"/>
        <v>43489.843742506288</v>
      </c>
      <c r="DC26" s="56">
        <f t="shared" si="51"/>
        <v>43489.843742506288</v>
      </c>
      <c r="DD26" s="56">
        <f t="shared" si="51"/>
        <v>43489.843742506288</v>
      </c>
      <c r="DE26" s="56">
        <f t="shared" si="51"/>
        <v>43489.843742506288</v>
      </c>
      <c r="DF26" s="56">
        <f t="shared" si="51"/>
        <v>43489.843742506288</v>
      </c>
      <c r="DG26" s="56">
        <f t="shared" si="51"/>
        <v>43489.843742506288</v>
      </c>
      <c r="DH26" s="56">
        <f t="shared" si="51"/>
        <v>43489.843742506288</v>
      </c>
      <c r="DI26" s="56">
        <f t="shared" si="51"/>
        <v>43489.843742506288</v>
      </c>
      <c r="DJ26" s="56">
        <f t="shared" si="51"/>
        <v>43489.843742506288</v>
      </c>
      <c r="DK26" s="56">
        <f t="shared" si="51"/>
        <v>44791.493047537697</v>
      </c>
      <c r="DL26" s="56">
        <f t="shared" si="51"/>
        <v>44791.493047537697</v>
      </c>
      <c r="DM26" s="56">
        <f t="shared" si="51"/>
        <v>44791.493047537697</v>
      </c>
      <c r="DN26" s="56">
        <f t="shared" si="51"/>
        <v>44791.493047537697</v>
      </c>
      <c r="DO26" s="56">
        <f t="shared" si="51"/>
        <v>44791.493047537697</v>
      </c>
      <c r="DP26" s="56">
        <f t="shared" si="51"/>
        <v>44791.493047537697</v>
      </c>
      <c r="DQ26" s="56">
        <f t="shared" si="51"/>
        <v>44791.493047537697</v>
      </c>
      <c r="DR26" s="56">
        <f t="shared" si="51"/>
        <v>44791.493047537697</v>
      </c>
      <c r="DS26" s="56">
        <f t="shared" si="51"/>
        <v>44791.493047537697</v>
      </c>
      <c r="DT26" s="56">
        <f t="shared" si="51"/>
        <v>44791.493047537697</v>
      </c>
      <c r="DU26" s="56">
        <f t="shared" si="51"/>
        <v>44791.493047537697</v>
      </c>
      <c r="DV26" s="56">
        <f t="shared" si="51"/>
        <v>44791.493047537697</v>
      </c>
      <c r="DW26" s="56">
        <f t="shared" si="51"/>
        <v>46132.115681538962</v>
      </c>
      <c r="DX26" s="56">
        <f t="shared" si="51"/>
        <v>46132.115681538962</v>
      </c>
      <c r="DY26" s="56">
        <f t="shared" si="51"/>
        <v>46132.115681538962</v>
      </c>
      <c r="DZ26" s="56">
        <f t="shared" si="51"/>
        <v>46132.115681538962</v>
      </c>
      <c r="EA26" s="56">
        <f t="shared" si="51"/>
        <v>46132.115681538962</v>
      </c>
      <c r="EB26" s="56">
        <f t="shared" si="51"/>
        <v>46132.115681538962</v>
      </c>
      <c r="EC26" s="56">
        <f t="shared" si="51"/>
        <v>46132.115681538962</v>
      </c>
      <c r="ED26" s="56">
        <f t="shared" si="51"/>
        <v>46132.115681538962</v>
      </c>
      <c r="EE26" s="56">
        <f t="shared" ref="EE26:GP26" si="52">EE22+SUM(EE24:EE25)</f>
        <v>46132.115681538962</v>
      </c>
      <c r="EF26" s="56">
        <f t="shared" si="52"/>
        <v>46132.115681538962</v>
      </c>
      <c r="EG26" s="56">
        <f t="shared" si="52"/>
        <v>46132.115681538962</v>
      </c>
      <c r="EH26" s="56">
        <f t="shared" si="52"/>
        <v>46132.115681538962</v>
      </c>
      <c r="EI26" s="56">
        <f t="shared" si="52"/>
        <v>47512.878940624643</v>
      </c>
      <c r="EJ26" s="56">
        <f t="shared" si="52"/>
        <v>47512.878940624643</v>
      </c>
      <c r="EK26" s="56">
        <f t="shared" si="52"/>
        <v>47512.878940624643</v>
      </c>
      <c r="EL26" s="56">
        <f t="shared" si="52"/>
        <v>47512.878940624643</v>
      </c>
      <c r="EM26" s="56">
        <f t="shared" si="52"/>
        <v>47512.878940624643</v>
      </c>
      <c r="EN26" s="56">
        <f t="shared" si="52"/>
        <v>47512.878940624643</v>
      </c>
      <c r="EO26" s="56">
        <f t="shared" si="52"/>
        <v>47512.878940624643</v>
      </c>
      <c r="EP26" s="56">
        <f t="shared" si="52"/>
        <v>47512.878940624643</v>
      </c>
      <c r="EQ26" s="56">
        <f t="shared" si="52"/>
        <v>47512.878940624643</v>
      </c>
      <c r="ER26" s="56">
        <f t="shared" si="52"/>
        <v>47512.878940624643</v>
      </c>
      <c r="ES26" s="56">
        <f t="shared" si="52"/>
        <v>47512.878940624643</v>
      </c>
      <c r="ET26" s="56">
        <f t="shared" si="52"/>
        <v>47512.878940624643</v>
      </c>
      <c r="EU26" s="56">
        <f t="shared" si="52"/>
        <v>48934.985092198876</v>
      </c>
      <c r="EV26" s="56">
        <f t="shared" si="52"/>
        <v>48934.985092198876</v>
      </c>
      <c r="EW26" s="56">
        <f t="shared" si="52"/>
        <v>48934.985092198876</v>
      </c>
      <c r="EX26" s="56">
        <f t="shared" si="52"/>
        <v>48934.985092198876</v>
      </c>
      <c r="EY26" s="56">
        <f t="shared" si="52"/>
        <v>48934.985092198876</v>
      </c>
      <c r="EZ26" s="56">
        <f t="shared" si="52"/>
        <v>48934.985092198876</v>
      </c>
      <c r="FA26" s="56">
        <f t="shared" si="52"/>
        <v>48934.985092198876</v>
      </c>
      <c r="FB26" s="56">
        <f t="shared" si="52"/>
        <v>48934.985092198876</v>
      </c>
      <c r="FC26" s="56">
        <f t="shared" si="52"/>
        <v>48934.985092198876</v>
      </c>
      <c r="FD26" s="56">
        <f t="shared" si="52"/>
        <v>48934.985092198876</v>
      </c>
      <c r="FE26" s="56">
        <f t="shared" si="52"/>
        <v>48934.985092198876</v>
      </c>
      <c r="FF26" s="56">
        <f t="shared" si="52"/>
        <v>48934.985092198876</v>
      </c>
      <c r="FG26" s="56">
        <f t="shared" si="52"/>
        <v>50399.672422904223</v>
      </c>
      <c r="FH26" s="56">
        <f t="shared" si="52"/>
        <v>50399.672422904223</v>
      </c>
      <c r="FI26" s="56">
        <f t="shared" si="52"/>
        <v>50399.672422904223</v>
      </c>
      <c r="FJ26" s="56">
        <f t="shared" si="52"/>
        <v>50399.672422904223</v>
      </c>
      <c r="FK26" s="56">
        <f t="shared" si="52"/>
        <v>50399.672422904223</v>
      </c>
      <c r="FL26" s="56">
        <f t="shared" si="52"/>
        <v>50399.672422904223</v>
      </c>
      <c r="FM26" s="56">
        <f t="shared" si="52"/>
        <v>50399.672422904223</v>
      </c>
      <c r="FN26" s="56">
        <f t="shared" si="52"/>
        <v>50399.672422904223</v>
      </c>
      <c r="FO26" s="56">
        <f t="shared" si="52"/>
        <v>50399.672422904223</v>
      </c>
      <c r="FP26" s="56">
        <f t="shared" si="52"/>
        <v>50399.672422904223</v>
      </c>
      <c r="FQ26" s="56">
        <f t="shared" si="52"/>
        <v>50399.672422904223</v>
      </c>
      <c r="FR26" s="56">
        <f t="shared" si="52"/>
        <v>50399.672422904223</v>
      </c>
      <c r="FS26" s="56">
        <f t="shared" si="52"/>
        <v>51908.216317979226</v>
      </c>
      <c r="FT26" s="56">
        <f t="shared" si="52"/>
        <v>51908.216317979226</v>
      </c>
      <c r="FU26" s="56">
        <f t="shared" si="52"/>
        <v>51908.216317979226</v>
      </c>
      <c r="FV26" s="56">
        <f t="shared" si="52"/>
        <v>51908.216317979226</v>
      </c>
      <c r="FW26" s="56">
        <f t="shared" si="52"/>
        <v>51908.216317979226</v>
      </c>
      <c r="FX26" s="56">
        <f t="shared" si="52"/>
        <v>51908.216317979226</v>
      </c>
      <c r="FY26" s="56">
        <f t="shared" si="52"/>
        <v>51908.216317979226</v>
      </c>
      <c r="FZ26" s="56">
        <f t="shared" si="52"/>
        <v>51908.216317979226</v>
      </c>
      <c r="GA26" s="56">
        <f t="shared" si="52"/>
        <v>51908.216317979226</v>
      </c>
      <c r="GB26" s="56">
        <f t="shared" si="52"/>
        <v>51908.216317979226</v>
      </c>
      <c r="GC26" s="56">
        <f t="shared" si="52"/>
        <v>51908.216317979226</v>
      </c>
      <c r="GD26" s="56">
        <f t="shared" si="52"/>
        <v>51908.216317979226</v>
      </c>
      <c r="GE26" s="56">
        <f t="shared" si="52"/>
        <v>0</v>
      </c>
      <c r="GF26" s="56">
        <f t="shared" si="52"/>
        <v>0</v>
      </c>
      <c r="GG26" s="56">
        <f t="shared" si="52"/>
        <v>0</v>
      </c>
      <c r="GH26" s="56">
        <f t="shared" si="52"/>
        <v>0</v>
      </c>
      <c r="GI26" s="56">
        <f t="shared" si="52"/>
        <v>0</v>
      </c>
      <c r="GJ26" s="56">
        <f t="shared" si="52"/>
        <v>0</v>
      </c>
      <c r="GK26" s="56">
        <f t="shared" si="52"/>
        <v>0</v>
      </c>
      <c r="GL26" s="56">
        <f t="shared" si="52"/>
        <v>0</v>
      </c>
      <c r="GM26" s="56">
        <f t="shared" si="52"/>
        <v>0</v>
      </c>
      <c r="GN26" s="56">
        <f t="shared" si="52"/>
        <v>0</v>
      </c>
      <c r="GO26" s="56">
        <f t="shared" si="52"/>
        <v>0</v>
      </c>
      <c r="GP26" s="56">
        <f t="shared" si="52"/>
        <v>0</v>
      </c>
      <c r="GQ26" s="56">
        <f t="shared" ref="GQ26:JB26" si="53">GQ22+SUM(GQ24:GQ25)</f>
        <v>0</v>
      </c>
      <c r="GR26" s="56">
        <f t="shared" si="53"/>
        <v>0</v>
      </c>
      <c r="GS26" s="56">
        <f t="shared" si="53"/>
        <v>0</v>
      </c>
      <c r="GT26" s="56">
        <f t="shared" si="53"/>
        <v>0</v>
      </c>
      <c r="GU26" s="56">
        <f t="shared" si="53"/>
        <v>0</v>
      </c>
      <c r="GV26" s="56">
        <f t="shared" si="53"/>
        <v>0</v>
      </c>
      <c r="GW26" s="56">
        <f t="shared" si="53"/>
        <v>0</v>
      </c>
      <c r="GX26" s="56">
        <f t="shared" si="53"/>
        <v>0</v>
      </c>
      <c r="GY26" s="56">
        <f t="shared" si="53"/>
        <v>0</v>
      </c>
      <c r="GZ26" s="56">
        <f t="shared" si="53"/>
        <v>0</v>
      </c>
      <c r="HA26" s="56">
        <f t="shared" si="53"/>
        <v>0</v>
      </c>
      <c r="HB26" s="56">
        <f t="shared" si="53"/>
        <v>0</v>
      </c>
      <c r="HC26" s="56">
        <f t="shared" si="53"/>
        <v>0</v>
      </c>
      <c r="HD26" s="56">
        <f t="shared" si="53"/>
        <v>0</v>
      </c>
      <c r="HE26" s="56">
        <f t="shared" si="53"/>
        <v>0</v>
      </c>
      <c r="HF26" s="56">
        <f t="shared" si="53"/>
        <v>0</v>
      </c>
      <c r="HG26" s="56">
        <f t="shared" si="53"/>
        <v>0</v>
      </c>
      <c r="HH26" s="56">
        <f t="shared" si="53"/>
        <v>0</v>
      </c>
      <c r="HI26" s="56">
        <f t="shared" si="53"/>
        <v>0</v>
      </c>
      <c r="HJ26" s="56">
        <f t="shared" si="53"/>
        <v>0</v>
      </c>
      <c r="HK26" s="56">
        <f t="shared" si="53"/>
        <v>0</v>
      </c>
      <c r="HL26" s="56">
        <f t="shared" si="53"/>
        <v>0</v>
      </c>
      <c r="HM26" s="56">
        <f t="shared" si="53"/>
        <v>0</v>
      </c>
      <c r="HN26" s="56">
        <f t="shared" si="53"/>
        <v>0</v>
      </c>
      <c r="HO26" s="56">
        <f t="shared" si="53"/>
        <v>0</v>
      </c>
      <c r="HP26" s="56">
        <f t="shared" si="53"/>
        <v>0</v>
      </c>
      <c r="HQ26" s="56">
        <f t="shared" si="53"/>
        <v>0</v>
      </c>
      <c r="HR26" s="56">
        <f t="shared" si="53"/>
        <v>0</v>
      </c>
      <c r="HS26" s="56">
        <f t="shared" si="53"/>
        <v>0</v>
      </c>
      <c r="HT26" s="56">
        <f t="shared" si="53"/>
        <v>0</v>
      </c>
      <c r="HU26" s="56">
        <f t="shared" si="53"/>
        <v>0</v>
      </c>
      <c r="HV26" s="56">
        <f t="shared" si="53"/>
        <v>0</v>
      </c>
      <c r="HW26" s="56">
        <f t="shared" si="53"/>
        <v>0</v>
      </c>
      <c r="HX26" s="56">
        <f t="shared" si="53"/>
        <v>0</v>
      </c>
      <c r="HY26" s="56">
        <f t="shared" si="53"/>
        <v>0</v>
      </c>
      <c r="HZ26" s="56">
        <f t="shared" si="53"/>
        <v>0</v>
      </c>
      <c r="IA26" s="56">
        <f t="shared" si="53"/>
        <v>0</v>
      </c>
      <c r="IB26" s="56">
        <f t="shared" si="53"/>
        <v>0</v>
      </c>
      <c r="IC26" s="56">
        <f t="shared" si="53"/>
        <v>0</v>
      </c>
      <c r="ID26" s="56">
        <f t="shared" si="53"/>
        <v>0</v>
      </c>
      <c r="IE26" s="56">
        <f t="shared" si="53"/>
        <v>0</v>
      </c>
      <c r="IF26" s="56">
        <f t="shared" si="53"/>
        <v>0</v>
      </c>
      <c r="IG26" s="56">
        <f t="shared" si="53"/>
        <v>0</v>
      </c>
      <c r="IH26" s="56">
        <f t="shared" si="53"/>
        <v>0</v>
      </c>
      <c r="II26" s="56">
        <f t="shared" si="53"/>
        <v>0</v>
      </c>
      <c r="IJ26" s="56">
        <f t="shared" si="53"/>
        <v>0</v>
      </c>
      <c r="IK26" s="56">
        <f t="shared" si="53"/>
        <v>0</v>
      </c>
      <c r="IL26" s="56">
        <f t="shared" si="53"/>
        <v>0</v>
      </c>
      <c r="IM26" s="56">
        <f t="shared" si="53"/>
        <v>0</v>
      </c>
      <c r="IN26" s="56">
        <f t="shared" si="53"/>
        <v>0</v>
      </c>
      <c r="IO26" s="56">
        <f t="shared" si="53"/>
        <v>0</v>
      </c>
      <c r="IP26" s="56">
        <f t="shared" si="53"/>
        <v>0</v>
      </c>
      <c r="IQ26" s="56">
        <f t="shared" si="53"/>
        <v>0</v>
      </c>
      <c r="IR26" s="56">
        <f t="shared" si="53"/>
        <v>0</v>
      </c>
      <c r="IS26" s="56">
        <f t="shared" si="53"/>
        <v>0</v>
      </c>
      <c r="IT26" s="56">
        <f t="shared" si="53"/>
        <v>0</v>
      </c>
      <c r="IU26" s="56">
        <f t="shared" si="53"/>
        <v>0</v>
      </c>
      <c r="IV26" s="56">
        <f t="shared" si="53"/>
        <v>0</v>
      </c>
      <c r="IW26" s="56">
        <f t="shared" si="53"/>
        <v>0</v>
      </c>
      <c r="IX26" s="56">
        <f t="shared" si="53"/>
        <v>0</v>
      </c>
      <c r="IY26" s="56">
        <f t="shared" si="53"/>
        <v>0</v>
      </c>
      <c r="IZ26" s="56">
        <f t="shared" si="53"/>
        <v>0</v>
      </c>
      <c r="JA26" s="56">
        <f t="shared" si="53"/>
        <v>0</v>
      </c>
      <c r="JB26" s="56">
        <f t="shared" si="53"/>
        <v>0</v>
      </c>
      <c r="JC26" s="56">
        <f t="shared" ref="JC26:LN26" si="54">JC22+SUM(JC24:JC25)</f>
        <v>0</v>
      </c>
      <c r="JD26" s="56">
        <f t="shared" si="54"/>
        <v>0</v>
      </c>
      <c r="JE26" s="56">
        <f t="shared" si="54"/>
        <v>0</v>
      </c>
      <c r="JF26" s="56">
        <f t="shared" si="54"/>
        <v>0</v>
      </c>
      <c r="JG26" s="56">
        <f t="shared" si="54"/>
        <v>0</v>
      </c>
      <c r="JH26" s="56">
        <f t="shared" si="54"/>
        <v>0</v>
      </c>
      <c r="JI26" s="56">
        <f t="shared" si="54"/>
        <v>0</v>
      </c>
      <c r="JJ26" s="56">
        <f t="shared" si="54"/>
        <v>0</v>
      </c>
      <c r="JK26" s="56">
        <f t="shared" si="54"/>
        <v>0</v>
      </c>
      <c r="JL26" s="56">
        <f t="shared" si="54"/>
        <v>0</v>
      </c>
      <c r="JM26" s="56">
        <f t="shared" si="54"/>
        <v>0</v>
      </c>
      <c r="JN26" s="56">
        <f t="shared" si="54"/>
        <v>0</v>
      </c>
      <c r="JO26" s="56">
        <f t="shared" si="54"/>
        <v>0</v>
      </c>
      <c r="JP26" s="56">
        <f t="shared" si="54"/>
        <v>0</v>
      </c>
      <c r="JQ26" s="56">
        <f t="shared" si="54"/>
        <v>0</v>
      </c>
      <c r="JR26" s="56">
        <f t="shared" si="54"/>
        <v>0</v>
      </c>
      <c r="JS26" s="56">
        <f t="shared" si="54"/>
        <v>0</v>
      </c>
      <c r="JT26" s="56">
        <f t="shared" si="54"/>
        <v>0</v>
      </c>
      <c r="JU26" s="56">
        <f t="shared" si="54"/>
        <v>0</v>
      </c>
      <c r="JV26" s="56">
        <f t="shared" si="54"/>
        <v>0</v>
      </c>
      <c r="JW26" s="56">
        <f t="shared" si="54"/>
        <v>0</v>
      </c>
      <c r="JX26" s="56">
        <f t="shared" si="54"/>
        <v>0</v>
      </c>
      <c r="JY26" s="56">
        <f t="shared" si="54"/>
        <v>0</v>
      </c>
      <c r="JZ26" s="56">
        <f t="shared" si="54"/>
        <v>0</v>
      </c>
      <c r="KA26" s="56">
        <f t="shared" si="54"/>
        <v>0</v>
      </c>
      <c r="KB26" s="56">
        <f t="shared" si="54"/>
        <v>0</v>
      </c>
      <c r="KC26" s="56">
        <f t="shared" si="54"/>
        <v>0</v>
      </c>
      <c r="KD26" s="56">
        <f t="shared" si="54"/>
        <v>0</v>
      </c>
      <c r="KE26" s="56">
        <f t="shared" si="54"/>
        <v>0</v>
      </c>
      <c r="KF26" s="56">
        <f t="shared" si="54"/>
        <v>0</v>
      </c>
      <c r="KG26" s="56">
        <f t="shared" si="54"/>
        <v>0</v>
      </c>
      <c r="KH26" s="56">
        <f t="shared" si="54"/>
        <v>0</v>
      </c>
      <c r="KI26" s="56">
        <f t="shared" si="54"/>
        <v>0</v>
      </c>
      <c r="KJ26" s="56">
        <f t="shared" si="54"/>
        <v>0</v>
      </c>
      <c r="KK26" s="56">
        <f t="shared" si="54"/>
        <v>0</v>
      </c>
      <c r="KL26" s="56">
        <f t="shared" si="54"/>
        <v>0</v>
      </c>
      <c r="KM26" s="56">
        <f t="shared" si="54"/>
        <v>0</v>
      </c>
      <c r="KN26" s="56">
        <f t="shared" si="54"/>
        <v>0</v>
      </c>
      <c r="KO26" s="56">
        <f t="shared" si="54"/>
        <v>0</v>
      </c>
      <c r="KP26" s="56">
        <f t="shared" si="54"/>
        <v>0</v>
      </c>
      <c r="KQ26" s="56">
        <f t="shared" si="54"/>
        <v>0</v>
      </c>
      <c r="KR26" s="56">
        <f t="shared" si="54"/>
        <v>0</v>
      </c>
      <c r="KS26" s="56">
        <f t="shared" si="54"/>
        <v>0</v>
      </c>
      <c r="KT26" s="56">
        <f t="shared" si="54"/>
        <v>0</v>
      </c>
      <c r="KU26" s="56">
        <f t="shared" si="54"/>
        <v>0</v>
      </c>
      <c r="KV26" s="56">
        <f t="shared" si="54"/>
        <v>0</v>
      </c>
      <c r="KW26" s="56">
        <f t="shared" si="54"/>
        <v>0</v>
      </c>
      <c r="KX26" s="56">
        <f t="shared" si="54"/>
        <v>0</v>
      </c>
      <c r="KY26" s="56">
        <f t="shared" si="54"/>
        <v>0</v>
      </c>
      <c r="KZ26" s="56">
        <f t="shared" si="54"/>
        <v>0</v>
      </c>
      <c r="LA26" s="56">
        <f t="shared" si="54"/>
        <v>0</v>
      </c>
      <c r="LB26" s="56">
        <f t="shared" si="54"/>
        <v>0</v>
      </c>
      <c r="LC26" s="56">
        <f t="shared" si="54"/>
        <v>0</v>
      </c>
      <c r="LD26" s="56">
        <f t="shared" si="54"/>
        <v>0</v>
      </c>
      <c r="LE26" s="56">
        <f t="shared" si="54"/>
        <v>0</v>
      </c>
      <c r="LF26" s="56">
        <f t="shared" si="54"/>
        <v>0</v>
      </c>
      <c r="LG26" s="56">
        <f t="shared" si="54"/>
        <v>0</v>
      </c>
      <c r="LH26" s="56">
        <f t="shared" si="54"/>
        <v>0</v>
      </c>
      <c r="LI26" s="56">
        <f t="shared" si="54"/>
        <v>0</v>
      </c>
      <c r="LJ26" s="56">
        <f t="shared" si="54"/>
        <v>0</v>
      </c>
      <c r="LK26" s="56">
        <f t="shared" si="54"/>
        <v>0</v>
      </c>
      <c r="LL26" s="56">
        <f t="shared" si="54"/>
        <v>0</v>
      </c>
      <c r="LM26" s="56">
        <f t="shared" si="54"/>
        <v>0</v>
      </c>
      <c r="LN26" s="56">
        <f t="shared" si="54"/>
        <v>0</v>
      </c>
      <c r="LO26" s="56">
        <f t="shared" ref="LO26:NB26" si="55">LO22+SUM(LO24:LO25)</f>
        <v>0</v>
      </c>
      <c r="LP26" s="56">
        <f t="shared" si="55"/>
        <v>0</v>
      </c>
      <c r="LQ26" s="56">
        <f t="shared" si="55"/>
        <v>0</v>
      </c>
      <c r="LR26" s="56">
        <f t="shared" si="55"/>
        <v>0</v>
      </c>
      <c r="LS26" s="56">
        <f t="shared" si="55"/>
        <v>0</v>
      </c>
      <c r="LT26" s="56">
        <f t="shared" si="55"/>
        <v>0</v>
      </c>
      <c r="LU26" s="56">
        <f t="shared" si="55"/>
        <v>0</v>
      </c>
      <c r="LV26" s="56">
        <f t="shared" si="55"/>
        <v>0</v>
      </c>
      <c r="LW26" s="56">
        <f t="shared" si="55"/>
        <v>0</v>
      </c>
      <c r="LX26" s="56">
        <f t="shared" si="55"/>
        <v>0</v>
      </c>
      <c r="LY26" s="56">
        <f t="shared" si="55"/>
        <v>0</v>
      </c>
      <c r="LZ26" s="56">
        <f t="shared" si="55"/>
        <v>0</v>
      </c>
      <c r="MA26" s="56">
        <f t="shared" si="55"/>
        <v>0</v>
      </c>
      <c r="MB26" s="56">
        <f t="shared" si="55"/>
        <v>0</v>
      </c>
      <c r="MC26" s="56">
        <f t="shared" si="55"/>
        <v>0</v>
      </c>
      <c r="MD26" s="56">
        <f t="shared" si="55"/>
        <v>0</v>
      </c>
      <c r="ME26" s="56">
        <f t="shared" si="55"/>
        <v>0</v>
      </c>
      <c r="MF26" s="56">
        <f t="shared" si="55"/>
        <v>0</v>
      </c>
      <c r="MG26" s="56">
        <f t="shared" si="55"/>
        <v>0</v>
      </c>
      <c r="MH26" s="56">
        <f t="shared" si="55"/>
        <v>0</v>
      </c>
      <c r="MI26" s="56">
        <f t="shared" si="55"/>
        <v>0</v>
      </c>
      <c r="MJ26" s="56">
        <f t="shared" si="55"/>
        <v>0</v>
      </c>
      <c r="MK26" s="56">
        <f t="shared" si="55"/>
        <v>0</v>
      </c>
      <c r="ML26" s="56">
        <f t="shared" si="55"/>
        <v>0</v>
      </c>
      <c r="MM26" s="56">
        <f t="shared" si="55"/>
        <v>0</v>
      </c>
      <c r="MN26" s="56">
        <f t="shared" si="55"/>
        <v>0</v>
      </c>
      <c r="MO26" s="56">
        <f t="shared" si="55"/>
        <v>0</v>
      </c>
      <c r="MP26" s="56">
        <f t="shared" si="55"/>
        <v>0</v>
      </c>
      <c r="MQ26" s="56">
        <f t="shared" si="55"/>
        <v>0</v>
      </c>
      <c r="MR26" s="56">
        <f t="shared" si="55"/>
        <v>0</v>
      </c>
      <c r="MS26" s="56">
        <f t="shared" si="55"/>
        <v>0</v>
      </c>
      <c r="MT26" s="56">
        <f t="shared" si="55"/>
        <v>0</v>
      </c>
      <c r="MU26" s="56">
        <f t="shared" si="55"/>
        <v>0</v>
      </c>
      <c r="MV26" s="56">
        <f t="shared" si="55"/>
        <v>0</v>
      </c>
      <c r="MW26" s="56">
        <f t="shared" si="55"/>
        <v>0</v>
      </c>
      <c r="MX26" s="56">
        <f t="shared" si="55"/>
        <v>0</v>
      </c>
      <c r="MY26" s="56">
        <f t="shared" si="55"/>
        <v>0</v>
      </c>
      <c r="MZ26" s="56">
        <f t="shared" si="55"/>
        <v>0</v>
      </c>
      <c r="NA26" s="56">
        <f t="shared" si="55"/>
        <v>0</v>
      </c>
      <c r="NB26" s="56">
        <f t="shared" si="55"/>
        <v>0</v>
      </c>
    </row>
    <row r="27" spans="1:366" x14ac:dyDescent="0.15">
      <c r="B27" s="4"/>
      <c r="C27" s="190"/>
      <c r="F27" s="56"/>
      <c r="G27" s="56"/>
      <c r="H27" s="56"/>
      <c r="I27" s="56"/>
      <c r="J27" s="56"/>
      <c r="K27" s="56"/>
      <c r="L27" s="563"/>
      <c r="M27" s="56"/>
      <c r="N27" s="56"/>
      <c r="O27" s="56"/>
      <c r="P27" s="56"/>
      <c r="Q27" s="56"/>
      <c r="R27" s="56"/>
      <c r="S27" s="56"/>
      <c r="T27" s="56"/>
      <c r="U27" s="56"/>
      <c r="V27" s="56"/>
      <c r="W27" s="56"/>
      <c r="X27" s="56"/>
      <c r="Y27" s="56"/>
      <c r="Z27" s="56"/>
      <c r="AA27" s="56"/>
      <c r="AB27" s="56"/>
      <c r="AC27" s="56"/>
      <c r="AD27" s="56"/>
      <c r="AE27" s="56"/>
      <c r="AF27" s="56"/>
      <c r="AG27" s="56"/>
      <c r="AH27" s="56"/>
      <c r="AI27" s="56"/>
      <c r="AJ27" s="56"/>
      <c r="AK27" s="56"/>
      <c r="AL27" s="56"/>
      <c r="AM27" s="56"/>
      <c r="AN27" s="56"/>
      <c r="AO27" s="56"/>
      <c r="AP27" s="56"/>
      <c r="AQ27" s="56"/>
      <c r="AR27" s="56"/>
      <c r="AS27" s="56"/>
      <c r="AT27" s="56"/>
      <c r="AU27" s="56"/>
      <c r="AV27" s="56"/>
      <c r="AW27" s="56"/>
      <c r="AX27" s="56"/>
      <c r="AY27" s="56"/>
      <c r="AZ27" s="56"/>
      <c r="BA27" s="56"/>
      <c r="BB27" s="56"/>
      <c r="BC27" s="56"/>
      <c r="BD27" s="56"/>
      <c r="BE27" s="56"/>
      <c r="BF27" s="56"/>
      <c r="BG27" s="56"/>
      <c r="BH27" s="56"/>
      <c r="BI27" s="56"/>
      <c r="BJ27" s="56"/>
      <c r="BK27" s="56"/>
      <c r="BL27" s="56"/>
      <c r="BM27" s="56"/>
      <c r="BN27" s="56"/>
      <c r="BO27" s="56"/>
      <c r="BP27" s="56"/>
      <c r="BQ27" s="56"/>
      <c r="BR27" s="56"/>
      <c r="BS27" s="56"/>
      <c r="BT27" s="56"/>
      <c r="BU27" s="56"/>
      <c r="BV27" s="56"/>
      <c r="BW27" s="56"/>
      <c r="BX27" s="56"/>
      <c r="BY27" s="56"/>
      <c r="BZ27" s="56"/>
      <c r="CA27" s="56"/>
      <c r="CB27" s="56"/>
      <c r="CC27" s="56"/>
      <c r="CD27" s="56"/>
      <c r="CE27" s="56"/>
      <c r="CF27" s="56"/>
      <c r="CG27" s="56"/>
      <c r="CH27" s="56"/>
      <c r="CI27" s="56"/>
      <c r="CJ27" s="56"/>
      <c r="CK27" s="56"/>
    </row>
    <row r="28" spans="1:366" x14ac:dyDescent="0.15">
      <c r="B28" s="4" t="s">
        <v>217</v>
      </c>
      <c r="C28" s="190"/>
      <c r="F28" s="56"/>
      <c r="G28" s="56"/>
      <c r="H28" s="56"/>
      <c r="I28" s="56"/>
      <c r="J28" s="56"/>
      <c r="K28" s="56"/>
      <c r="L28" s="563"/>
      <c r="M28" s="56"/>
      <c r="N28" s="56"/>
      <c r="O28" s="56"/>
      <c r="P28" s="56"/>
      <c r="Q28" s="56"/>
      <c r="R28" s="56"/>
      <c r="S28" s="56"/>
      <c r="T28" s="56"/>
      <c r="U28" s="56"/>
      <c r="V28" s="56"/>
      <c r="W28" s="56"/>
      <c r="X28" s="56"/>
      <c r="Y28" s="56"/>
      <c r="Z28" s="56"/>
      <c r="AA28" s="56"/>
      <c r="AB28" s="56"/>
      <c r="AC28" s="56"/>
      <c r="AD28" s="56"/>
      <c r="AE28" s="56"/>
      <c r="AF28" s="56"/>
      <c r="AG28" s="56"/>
      <c r="AH28" s="56"/>
      <c r="AI28" s="56"/>
      <c r="AJ28" s="56"/>
      <c r="AK28" s="56"/>
      <c r="AL28" s="56"/>
      <c r="AM28" s="56"/>
      <c r="AN28" s="56"/>
      <c r="AO28" s="56"/>
      <c r="AP28" s="56"/>
      <c r="AQ28" s="56"/>
      <c r="AR28" s="56"/>
      <c r="AS28" s="56"/>
      <c r="AT28" s="56"/>
      <c r="AU28" s="56"/>
      <c r="AV28" s="56"/>
      <c r="AW28" s="56"/>
      <c r="AX28" s="56"/>
      <c r="AY28" s="56"/>
      <c r="AZ28" s="56"/>
      <c r="BA28" s="56"/>
      <c r="BB28" s="56"/>
      <c r="BC28" s="56"/>
      <c r="BD28" s="56"/>
      <c r="BE28" s="56"/>
      <c r="BF28" s="56"/>
      <c r="BG28" s="56"/>
      <c r="BH28" s="56"/>
      <c r="BI28" s="56"/>
      <c r="BJ28" s="56"/>
      <c r="BK28" s="56"/>
      <c r="BL28" s="56"/>
      <c r="BM28" s="56"/>
      <c r="BN28" s="56"/>
      <c r="BO28" s="56"/>
      <c r="BP28" s="56"/>
      <c r="BQ28" s="56"/>
      <c r="BR28" s="56"/>
      <c r="BS28" s="56"/>
      <c r="BT28" s="56"/>
      <c r="BU28" s="56"/>
      <c r="BV28" s="56"/>
      <c r="BW28" s="56"/>
      <c r="BX28" s="56"/>
      <c r="BY28" s="56"/>
      <c r="BZ28" s="56"/>
      <c r="CA28" s="56"/>
      <c r="CB28" s="56"/>
      <c r="CC28" s="56"/>
      <c r="CD28" s="56"/>
      <c r="CE28" s="56"/>
      <c r="CF28" s="56"/>
      <c r="CG28" s="56"/>
      <c r="CH28" s="56"/>
      <c r="CI28" s="56"/>
      <c r="CJ28" s="56"/>
      <c r="CK28" s="56"/>
    </row>
    <row r="29" spans="1:366" x14ac:dyDescent="0.15">
      <c r="B29" s="4"/>
      <c r="C29" s="104" t="s">
        <v>215</v>
      </c>
      <c r="D29" s="7" t="s">
        <v>78</v>
      </c>
      <c r="F29" s="56"/>
      <c r="G29" s="56"/>
      <c r="H29" s="56"/>
      <c r="I29" s="56"/>
      <c r="J29" s="56"/>
      <c r="K29" s="56"/>
      <c r="L29" s="563"/>
      <c r="M29" s="56"/>
      <c r="N29" s="56"/>
      <c r="O29" s="56"/>
      <c r="P29" s="56"/>
      <c r="Q29" s="56"/>
      <c r="R29" s="56"/>
      <c r="S29" s="56"/>
      <c r="T29" s="56"/>
      <c r="U29" s="56"/>
      <c r="V29" s="56"/>
      <c r="W29" s="56"/>
      <c r="X29" s="56"/>
      <c r="Y29" s="56"/>
      <c r="Z29" s="56"/>
      <c r="AA29" s="56"/>
      <c r="AB29" s="56"/>
      <c r="AC29" s="56"/>
      <c r="AD29" s="56"/>
      <c r="AE29" s="56"/>
      <c r="AF29" s="56"/>
      <c r="AG29" s="56"/>
      <c r="AH29" s="56"/>
      <c r="AI29" s="56"/>
      <c r="AJ29" s="56"/>
      <c r="AK29" s="56"/>
      <c r="AL29" s="56"/>
      <c r="AM29" s="56"/>
      <c r="AN29" s="56"/>
      <c r="AO29" s="56"/>
      <c r="AP29" s="56"/>
      <c r="AQ29" s="56"/>
      <c r="AR29" s="56"/>
      <c r="AS29" s="56"/>
      <c r="AT29" s="56"/>
      <c r="AU29" s="56"/>
      <c r="AV29" s="56"/>
      <c r="AW29" s="56"/>
      <c r="AX29" s="56"/>
      <c r="AY29" s="56"/>
      <c r="AZ29" s="56"/>
      <c r="BA29" s="56"/>
      <c r="BB29" s="56"/>
      <c r="BC29" s="56"/>
      <c r="BD29" s="56"/>
      <c r="BE29" s="56"/>
      <c r="BF29" s="56"/>
      <c r="BG29" s="56"/>
      <c r="BH29" s="56"/>
      <c r="BI29" s="56"/>
      <c r="BJ29" s="56"/>
      <c r="BK29" s="56"/>
      <c r="BL29" s="56"/>
      <c r="BM29" s="56"/>
      <c r="BN29" s="56"/>
      <c r="BO29" s="56"/>
      <c r="BP29" s="56"/>
      <c r="BQ29" s="56"/>
      <c r="BR29" s="56"/>
      <c r="BS29" s="56"/>
      <c r="BT29" s="56"/>
      <c r="BU29" s="56"/>
      <c r="BV29" s="56"/>
      <c r="BW29" s="56"/>
      <c r="BX29" s="56"/>
      <c r="BY29" s="56"/>
      <c r="BZ29" s="56"/>
      <c r="CA29" s="56"/>
      <c r="CB29" s="56"/>
      <c r="CC29" s="56"/>
      <c r="CD29" s="56"/>
      <c r="CE29" s="56"/>
      <c r="CF29" s="56"/>
      <c r="CG29" s="56"/>
      <c r="CH29" s="56"/>
      <c r="CI29" s="56"/>
      <c r="CJ29" s="56"/>
      <c r="CK29" s="56"/>
    </row>
    <row r="30" spans="1:366" x14ac:dyDescent="0.15">
      <c r="B30" s="45" t="s">
        <v>239</v>
      </c>
      <c r="C30" s="193">
        <f>'Main Assumptions'!$E$36</f>
        <v>21810</v>
      </c>
      <c r="D30" s="40">
        <f>C30/12</f>
        <v>1817.5</v>
      </c>
      <c r="F30" s="56">
        <v>0</v>
      </c>
      <c r="G30" s="56">
        <f>-IF(G$10=1,MAX($D$30,ABS(F$30),ABS('Monthly P&amp;L'!F30*(1+'Model Assumptions'!G$23))),0)</f>
        <v>-1817.5</v>
      </c>
      <c r="H30" s="56">
        <f>-IF(H$10=1,MAX($D$30,ABS(G$30),ABS('Monthly P&amp;L'!G30*(1+'Model Assumptions'!H$23))),0)</f>
        <v>-1817.5</v>
      </c>
      <c r="I30" s="56">
        <f>-IF(I$10=1,MAX($D$30,ABS(H$30),ABS('Monthly P&amp;L'!H30*(1+'Model Assumptions'!I$23))),0)</f>
        <v>-1817.5</v>
      </c>
      <c r="J30" s="56">
        <f>-IF(J$10=1,MAX($D$30,ABS(I$30),ABS('Monthly P&amp;L'!I30*(1+'Model Assumptions'!J$23))),0)</f>
        <v>-1817.5</v>
      </c>
      <c r="K30" s="56">
        <f>-IF(K$10=1,MAX($D$30,ABS(J$30),ABS('Monthly P&amp;L'!J30*(1+'Model Assumptions'!K$23))),0)</f>
        <v>-1817.5</v>
      </c>
      <c r="L30" s="563">
        <f>-IF(L$10=1,MAX($D$30,ABS(K$30),ABS('Monthly P&amp;L'!K30*(1+'Model Assumptions'!L$23))),0)</f>
        <v>-1817.5</v>
      </c>
      <c r="M30" s="56">
        <f>-IF(M$10=1,MAX($D$30,ABS(L$30),ABS('Monthly P&amp;L'!L30*(1+'Model Assumptions'!M$23))),0)</f>
        <v>-1817.5</v>
      </c>
      <c r="N30" s="56">
        <f>-IF(N$10=1,MAX($D$30,ABS(M$30),ABS('Monthly P&amp;L'!M30*(1+'Model Assumptions'!N$23))),0)</f>
        <v>-1817.5</v>
      </c>
      <c r="O30" s="56">
        <f>-IF(O$10=1,MAX($D$30,ABS(N$30),ABS('Monthly P&amp;L'!N30*(1+'Model Assumptions'!O$23))),0)</f>
        <v>-1817.5</v>
      </c>
      <c r="P30" s="56">
        <f>-IF(P$10=1,MAX($D$30,ABS(O$30),ABS('Monthly P&amp;L'!O30*(1+'Model Assumptions'!P$23))),0)</f>
        <v>-1817.5</v>
      </c>
      <c r="Q30" s="56">
        <f>-IF(Q$10=1,MAX($D$30,ABS(P$30),ABS('Monthly P&amp;L'!P30*(1+'Model Assumptions'!Q$23))),0)</f>
        <v>-1817.5</v>
      </c>
      <c r="R30" s="56">
        <f>-IF(R$10=1,MAX($D$30,ABS(Q$30),ABS('Monthly P&amp;L'!Q30*(1+'Model Assumptions'!R$23))),0)</f>
        <v>-1817.5</v>
      </c>
      <c r="S30" s="56">
        <f>-IF(S$10=1,MAX($D$30,ABS(R$30),ABS('Monthly P&amp;L'!R30*(1+'Model Assumptions'!S$23))),0)</f>
        <v>-1862.9374999999998</v>
      </c>
      <c r="T30" s="56">
        <f>-IF(T$10=1,MAX($D$30,ABS(S$30),ABS('Monthly P&amp;L'!S30*(1+'Model Assumptions'!T$23))),0)</f>
        <v>-1862.9374999999998</v>
      </c>
      <c r="U30" s="56">
        <f>-IF(U$10=1,MAX($D$30,ABS(T$30),ABS('Monthly P&amp;L'!T30*(1+'Model Assumptions'!U$23))),0)</f>
        <v>-1862.9374999999998</v>
      </c>
      <c r="V30" s="56">
        <f>-IF(V$10=1,MAX($D$30,ABS(U$30),ABS('Monthly P&amp;L'!U30*(1+'Model Assumptions'!V$23))),0)</f>
        <v>-1862.9374999999998</v>
      </c>
      <c r="W30" s="56">
        <f>-IF(W$10=1,MAX($D$30,ABS(V$30),ABS('Monthly P&amp;L'!V30*(1+'Model Assumptions'!W$23))),0)</f>
        <v>-1862.9374999999998</v>
      </c>
      <c r="X30" s="56">
        <f>-IF(X$10=1,MAX($D$30,ABS(W$30),ABS('Monthly P&amp;L'!W30*(1+'Model Assumptions'!X$23))),0)</f>
        <v>-1862.9374999999998</v>
      </c>
      <c r="Y30" s="56">
        <f>-IF(Y$10=1,MAX($D$30,ABS(X$30),ABS('Monthly P&amp;L'!X30*(1+'Model Assumptions'!Y$23))),0)</f>
        <v>-1862.9374999999998</v>
      </c>
      <c r="Z30" s="56">
        <f>-IF(Z$10=1,MAX($D$30,ABS(Y$30),ABS('Monthly P&amp;L'!Y30*(1+'Model Assumptions'!Z$23))),0)</f>
        <v>-1862.9374999999998</v>
      </c>
      <c r="AA30" s="56">
        <f>-IF(AA$10=1,MAX($D$30,ABS(Z$30),ABS('Monthly P&amp;L'!Z30*(1+'Model Assumptions'!AA$23))),0)</f>
        <v>-1862.9374999999998</v>
      </c>
      <c r="AB30" s="56">
        <f>-IF(AB$10=1,MAX($D$30,ABS(AA$30),ABS('Monthly P&amp;L'!AA30*(1+'Model Assumptions'!AB$23))),0)</f>
        <v>-1862.9374999999998</v>
      </c>
      <c r="AC30" s="56">
        <f>-IF(AC$10=1,MAX($D$30,ABS(AB$30),ABS('Monthly P&amp;L'!AB30*(1+'Model Assumptions'!AC$23))),0)</f>
        <v>-1862.9374999999998</v>
      </c>
      <c r="AD30" s="56">
        <f>-IF(AD$10=1,MAX($D$30,ABS(AC$30),ABS('Monthly P&amp;L'!AC30*(1+'Model Assumptions'!AD$23))),0)</f>
        <v>-1862.9374999999998</v>
      </c>
      <c r="AE30" s="56">
        <f>-IF(AE$10=1,MAX($D$30,ABS(AD$30),ABS('Monthly P&amp;L'!AD30*(1+'Model Assumptions'!AE$23))),0)</f>
        <v>-1909.5109374999995</v>
      </c>
      <c r="AF30" s="56">
        <f>-IF(AF$10=1,MAX($D$30,ABS(AE$30),ABS('Monthly P&amp;L'!AE30*(1+'Model Assumptions'!AF$23))),0)</f>
        <v>-1909.5109374999995</v>
      </c>
      <c r="AG30" s="56">
        <f>-IF(AG$10=1,MAX($D$30,ABS(AF$30),ABS('Monthly P&amp;L'!AF30*(1+'Model Assumptions'!AG$23))),0)</f>
        <v>-1909.5109374999995</v>
      </c>
      <c r="AH30" s="56">
        <f>-IF(AH$10=1,MAX($D$30,ABS(AG$30),ABS('Monthly P&amp;L'!AG30*(1+'Model Assumptions'!AH$23))),0)</f>
        <v>-1909.5109374999995</v>
      </c>
      <c r="AI30" s="56">
        <f>-IF(AI$10=1,MAX($D$30,ABS(AH$30),ABS('Monthly P&amp;L'!AH30*(1+'Model Assumptions'!AI$23))),0)</f>
        <v>-1909.5109374999995</v>
      </c>
      <c r="AJ30" s="56">
        <f>-IF(AJ$10=1,MAX($D$30,ABS(AI$30),ABS('Monthly P&amp;L'!AI30*(1+'Model Assumptions'!AJ$23))),0)</f>
        <v>-1909.5109374999995</v>
      </c>
      <c r="AK30" s="56">
        <f>-IF(AK$10=1,MAX($D$30,ABS(AJ$30),ABS('Monthly P&amp;L'!AJ30*(1+'Model Assumptions'!AK$23))),0)</f>
        <v>-1909.5109374999995</v>
      </c>
      <c r="AL30" s="56">
        <f>-IF(AL$10=1,MAX($D$30,ABS(AK$30),ABS('Monthly P&amp;L'!AK30*(1+'Model Assumptions'!AL$23))),0)</f>
        <v>-1909.5109374999995</v>
      </c>
      <c r="AM30" s="56">
        <f>-IF(AM$10=1,MAX($D$30,ABS(AL$30),ABS('Monthly P&amp;L'!AL30*(1+'Model Assumptions'!AM$23))),0)</f>
        <v>-1909.5109374999995</v>
      </c>
      <c r="AN30" s="56">
        <f>-IF(AN$10=1,MAX($D$30,ABS(AM$30),ABS('Monthly P&amp;L'!AM30*(1+'Model Assumptions'!AN$23))),0)</f>
        <v>-1909.5109374999995</v>
      </c>
      <c r="AO30" s="56">
        <f>-IF(AO$10=1,MAX($D$30,ABS(AN$30),ABS('Monthly P&amp;L'!AN30*(1+'Model Assumptions'!AO$23))),0)</f>
        <v>-1909.5109374999995</v>
      </c>
      <c r="AP30" s="56">
        <f>-IF(AP$10=1,MAX($D$30,ABS(AO$30),ABS('Monthly P&amp;L'!AO30*(1+'Model Assumptions'!AP$23))),0)</f>
        <v>-1909.5109374999995</v>
      </c>
      <c r="AQ30" s="56">
        <f>-IF(AQ$10=1,MAX($D$30,ABS(AP$30),ABS('Monthly P&amp;L'!AP30*(1+'Model Assumptions'!AQ$23))),0)</f>
        <v>-1957.2487109374993</v>
      </c>
      <c r="AR30" s="56">
        <f>-IF(AR$10=1,MAX($D$30,ABS(AQ$30),ABS('Monthly P&amp;L'!AQ30*(1+'Model Assumptions'!AR$23))),0)</f>
        <v>-1957.2487109374993</v>
      </c>
      <c r="AS30" s="56">
        <f>-IF(AS$10=1,MAX($D$30,ABS(AR$30),ABS('Monthly P&amp;L'!AR30*(1+'Model Assumptions'!AS$23))),0)</f>
        <v>-1957.2487109374993</v>
      </c>
      <c r="AT30" s="56">
        <f>-IF(AT$10=1,MAX($D$30,ABS(AS$30),ABS('Monthly P&amp;L'!AS30*(1+'Model Assumptions'!AT$23))),0)</f>
        <v>-1957.2487109374993</v>
      </c>
      <c r="AU30" s="56">
        <f>-IF(AU$10=1,MAX($D$30,ABS(AT$30),ABS('Monthly P&amp;L'!AT30*(1+'Model Assumptions'!AU$23))),0)</f>
        <v>-1957.2487109374993</v>
      </c>
      <c r="AV30" s="56">
        <f>-IF(AV$10=1,MAX($D$30,ABS(AU$30),ABS('Monthly P&amp;L'!AU30*(1+'Model Assumptions'!AV$23))),0)</f>
        <v>-1957.2487109374993</v>
      </c>
      <c r="AW30" s="56">
        <f>-IF(AW$10=1,MAX($D$30,ABS(AV$30),ABS('Monthly P&amp;L'!AV30*(1+'Model Assumptions'!AW$23))),0)</f>
        <v>-1957.2487109374993</v>
      </c>
      <c r="AX30" s="56">
        <f>-IF(AX$10=1,MAX($D$30,ABS(AW$30),ABS('Monthly P&amp;L'!AW30*(1+'Model Assumptions'!AX$23))),0)</f>
        <v>-1957.2487109374993</v>
      </c>
      <c r="AY30" s="56">
        <f>-IF(AY$10=1,MAX($D$30,ABS(AX$30),ABS('Monthly P&amp;L'!AX30*(1+'Model Assumptions'!AY$23))),0)</f>
        <v>-1957.2487109374993</v>
      </c>
      <c r="AZ30" s="56">
        <f>-IF(AZ$10=1,MAX($D$30,ABS(AY$30),ABS('Monthly P&amp;L'!AY30*(1+'Model Assumptions'!AZ$23))),0)</f>
        <v>-1957.2487109374993</v>
      </c>
      <c r="BA30" s="56">
        <f>-IF(BA$10=1,MAX($D$30,ABS(AZ$30),ABS('Monthly P&amp;L'!AZ30*(1+'Model Assumptions'!BA$23))),0)</f>
        <v>-1957.2487109374993</v>
      </c>
      <c r="BB30" s="56">
        <f>-IF(BB$10=1,MAX($D$30,ABS(BA$30),ABS('Monthly P&amp;L'!BA30*(1+'Model Assumptions'!BB$23))),0)</f>
        <v>-1957.2487109374993</v>
      </c>
      <c r="BC30" s="56">
        <f>-IF(BC$10=1,MAX($D$30,ABS(BB$30),ABS('Monthly P&amp;L'!BB30*(1+'Model Assumptions'!BC$23))),0)</f>
        <v>-2006.1799287109366</v>
      </c>
      <c r="BD30" s="56">
        <f>-IF(BD$10=1,MAX($D$30,ABS(BC$30),ABS('Monthly P&amp;L'!BC30*(1+'Model Assumptions'!BD$23))),0)</f>
        <v>-2006.1799287109366</v>
      </c>
      <c r="BE30" s="56">
        <f>-IF(BE$10=1,MAX($D$30,ABS(BD$30),ABS('Monthly P&amp;L'!BD30*(1+'Model Assumptions'!BE$23))),0)</f>
        <v>-2006.1799287109366</v>
      </c>
      <c r="BF30" s="56">
        <f>-IF(BF$10=1,MAX($D$30,ABS(BE$30),ABS('Monthly P&amp;L'!BE30*(1+'Model Assumptions'!BF$23))),0)</f>
        <v>-2006.1799287109366</v>
      </c>
      <c r="BG30" s="56">
        <f>-IF(BG$10=1,MAX($D$30,ABS(BF$30),ABS('Monthly P&amp;L'!BF30*(1+'Model Assumptions'!BG$23))),0)</f>
        <v>-2006.1799287109366</v>
      </c>
      <c r="BH30" s="56">
        <f>-IF(BH$10=1,MAX($D$30,ABS(BG$30),ABS('Monthly P&amp;L'!BG30*(1+'Model Assumptions'!BH$23))),0)</f>
        <v>-2006.1799287109366</v>
      </c>
      <c r="BI30" s="56">
        <f>-IF(BI$10=1,MAX($D$30,ABS(BH$30),ABS('Monthly P&amp;L'!BH30*(1+'Model Assumptions'!BI$23))),0)</f>
        <v>-2006.1799287109366</v>
      </c>
      <c r="BJ30" s="56">
        <f>-IF(BJ$10=1,MAX($D$30,ABS(BI$30),ABS('Monthly P&amp;L'!BI30*(1+'Model Assumptions'!BJ$23))),0)</f>
        <v>-2006.1799287109366</v>
      </c>
      <c r="BK30" s="56">
        <f>-IF(BK$10=1,MAX($D$30,ABS(BJ$30),ABS('Monthly P&amp;L'!BJ30*(1+'Model Assumptions'!BK$23))),0)</f>
        <v>-2006.1799287109366</v>
      </c>
      <c r="BL30" s="56">
        <f>-IF(BL$10=1,MAX($D$30,ABS(BK$30),ABS('Monthly P&amp;L'!BK30*(1+'Model Assumptions'!BL$23))),0)</f>
        <v>-2006.1799287109366</v>
      </c>
      <c r="BM30" s="56">
        <f>-IF(BM$10=1,MAX($D$30,ABS(BL$30),ABS('Monthly P&amp;L'!BL30*(1+'Model Assumptions'!BM$23))),0)</f>
        <v>-2006.1799287109366</v>
      </c>
      <c r="BN30" s="56">
        <f>-IF(BN$10=1,MAX($D$30,ABS(BM$30),ABS('Monthly P&amp;L'!BM30*(1+'Model Assumptions'!BN$23))),0)</f>
        <v>-2006.1799287109366</v>
      </c>
      <c r="BO30" s="56">
        <f>-IF(BO$10=1,MAX($D$30,ABS(BN$30),ABS('Monthly P&amp;L'!BN30*(1+'Model Assumptions'!BO$23))),0)</f>
        <v>-2056.3344269287099</v>
      </c>
      <c r="BP30" s="56">
        <f>-IF(BP$10=1,MAX($D$30,ABS(BO$30),ABS('Monthly P&amp;L'!BO30*(1+'Model Assumptions'!BP$23))),0)</f>
        <v>-2056.3344269287099</v>
      </c>
      <c r="BQ30" s="56">
        <f>-IF(BQ$10=1,MAX($D$30,ABS(BP$30),ABS('Monthly P&amp;L'!BP30*(1+'Model Assumptions'!BQ$23))),0)</f>
        <v>-2056.3344269287099</v>
      </c>
      <c r="BR30" s="56">
        <f>-IF(BR$10=1,MAX($D$30,ABS(BQ$30),ABS('Monthly P&amp;L'!BQ30*(1+'Model Assumptions'!BR$23))),0)</f>
        <v>-2056.3344269287099</v>
      </c>
      <c r="BS30" s="56">
        <f>-IF(BS$10=1,MAX($D$30,ABS(BR$30),ABS('Monthly P&amp;L'!BR30*(1+'Model Assumptions'!BS$23))),0)</f>
        <v>-2056.3344269287099</v>
      </c>
      <c r="BT30" s="56">
        <f>-IF(BT$10=1,MAX($D$30,ABS(BS$30),ABS('Monthly P&amp;L'!BS30*(1+'Model Assumptions'!BT$23))),0)</f>
        <v>-2056.3344269287099</v>
      </c>
      <c r="BU30" s="56">
        <f>-IF(BU$10=1,MAX($D$30,ABS(BT$30),ABS('Monthly P&amp;L'!BT30*(1+'Model Assumptions'!BU$23))),0)</f>
        <v>-2056.3344269287099</v>
      </c>
      <c r="BV30" s="56">
        <f>-IF(BV$10=1,MAX($D$30,ABS(BU$30),ABS('Monthly P&amp;L'!BU30*(1+'Model Assumptions'!BV$23))),0)</f>
        <v>-2056.3344269287099</v>
      </c>
      <c r="BW30" s="56">
        <f>-IF(BW$10=1,MAX($D$30,ABS(BV$30),ABS('Monthly P&amp;L'!BV30*(1+'Model Assumptions'!BW$23))),0)</f>
        <v>-2056.3344269287099</v>
      </c>
      <c r="BX30" s="56">
        <f>-IF(BX$10=1,MAX($D$30,ABS(BW$30),ABS('Monthly P&amp;L'!BW30*(1+'Model Assumptions'!BX$23))),0)</f>
        <v>-2056.3344269287099</v>
      </c>
      <c r="BY30" s="56">
        <f>-IF(BY$10=1,MAX($D$30,ABS(BX$30),ABS('Monthly P&amp;L'!BX30*(1+'Model Assumptions'!BY$23))),0)</f>
        <v>-2056.3344269287099</v>
      </c>
      <c r="BZ30" s="56">
        <f>-IF(BZ$10=1,MAX($D$30,ABS(BY$30),ABS('Monthly P&amp;L'!BY30*(1+'Model Assumptions'!BZ$23))),0)</f>
        <v>-2056.3344269287099</v>
      </c>
      <c r="CA30" s="56">
        <f>-IF(CA$10=1,MAX($D$30,ABS(BZ$30),ABS('Monthly P&amp;L'!BZ30*(1+'Model Assumptions'!CA$23))),0)</f>
        <v>-2107.7427876019274</v>
      </c>
      <c r="CB30" s="56">
        <f>-IF(CB$10=1,MAX($D$30,ABS(CA$30),ABS('Monthly P&amp;L'!CA30*(1+'Model Assumptions'!CB$23))),0)</f>
        <v>-2107.7427876019274</v>
      </c>
      <c r="CC30" s="56">
        <f>-IF(CC$10=1,MAX($D$30,ABS(CB$30),ABS('Monthly P&amp;L'!CB30*(1+'Model Assumptions'!CC$23))),0)</f>
        <v>-2107.7427876019274</v>
      </c>
      <c r="CD30" s="56">
        <f>-IF(CD$10=1,MAX($D$30,ABS(CC$30),ABS('Monthly P&amp;L'!CC30*(1+'Model Assumptions'!CD$23))),0)</f>
        <v>-2107.7427876019274</v>
      </c>
      <c r="CE30" s="56">
        <f>-IF(CE$10=1,MAX($D$30,ABS(CD$30),ABS('Monthly P&amp;L'!CD30*(1+'Model Assumptions'!CE$23))),0)</f>
        <v>-2107.7427876019274</v>
      </c>
      <c r="CF30" s="56">
        <f>-IF(CF$10=1,MAX($D$30,ABS(CE$30),ABS('Monthly P&amp;L'!CE30*(1+'Model Assumptions'!CF$23))),0)</f>
        <v>-2107.7427876019274</v>
      </c>
      <c r="CG30" s="56">
        <f>-IF(CG$10=1,MAX($D$30,ABS(CF$30),ABS('Monthly P&amp;L'!CF30*(1+'Model Assumptions'!CG$23))),0)</f>
        <v>-2107.7427876019274</v>
      </c>
      <c r="CH30" s="56">
        <f>-IF(CH$10=1,MAX($D$30,ABS(CG$30),ABS('Monthly P&amp;L'!CG30*(1+'Model Assumptions'!CH$23))),0)</f>
        <v>-2107.7427876019274</v>
      </c>
      <c r="CI30" s="56">
        <f>-IF(CI$10=1,MAX($D$30,ABS(CH$30),ABS('Monthly P&amp;L'!CH30*(1+'Model Assumptions'!CI$23))),0)</f>
        <v>-2107.7427876019274</v>
      </c>
      <c r="CJ30" s="56">
        <f>-IF(CJ$10=1,MAX($D$30,ABS(CI$30),ABS('Monthly P&amp;L'!CI30*(1+'Model Assumptions'!CJ$23))),0)</f>
        <v>-2107.7427876019274</v>
      </c>
      <c r="CK30" s="56">
        <f>-IF(CK$10=1,MAX($D$30,ABS(CJ$30),ABS('Monthly P&amp;L'!CJ30*(1+'Model Assumptions'!CK$23))),0)</f>
        <v>-2107.7427876019274</v>
      </c>
      <c r="CL30" s="56">
        <f>-IF(CL$10=1,MAX($D$30,ABS(CK$30),ABS('Monthly P&amp;L'!CK30*(1+'Model Assumptions'!CL$23))),0)</f>
        <v>-2107.7427876019274</v>
      </c>
      <c r="CM30" s="56">
        <f>-IF(CM$10=1,MAX($D$30,ABS(CL$30),ABS('Monthly P&amp;L'!CL30*(1+'Model Assumptions'!CM$23))),0)</f>
        <v>-2160.4363572919756</v>
      </c>
      <c r="CN30" s="56">
        <f>-IF(CN$10=1,MAX($D$30,ABS(CM$30),ABS('Monthly P&amp;L'!CM30*(1+'Model Assumptions'!CN$23))),0)</f>
        <v>-2160.4363572919756</v>
      </c>
      <c r="CO30" s="56">
        <f>-IF(CO$10=1,MAX($D$30,ABS(CN$30),ABS('Monthly P&amp;L'!CN30*(1+'Model Assumptions'!CO$23))),0)</f>
        <v>-2160.4363572919756</v>
      </c>
      <c r="CP30" s="56">
        <f>-IF(CP$10=1,MAX($D$30,ABS(CO$30),ABS('Monthly P&amp;L'!CO30*(1+'Model Assumptions'!CP$23))),0)</f>
        <v>-2160.4363572919756</v>
      </c>
      <c r="CQ30" s="56">
        <f>-IF(CQ$10=1,MAX($D$30,ABS(CP$30),ABS('Monthly P&amp;L'!CP30*(1+'Model Assumptions'!CQ$23))),0)</f>
        <v>-2160.4363572919756</v>
      </c>
      <c r="CR30" s="56">
        <f>-IF(CR$10=1,MAX($D$30,ABS(CQ$30),ABS('Monthly P&amp;L'!CQ30*(1+'Model Assumptions'!CR$23))),0)</f>
        <v>-2160.4363572919756</v>
      </c>
      <c r="CS30" s="56">
        <f>-IF(CS$10=1,MAX($D$30,ABS(CR$30),ABS('Monthly P&amp;L'!CR30*(1+'Model Assumptions'!CS$23))),0)</f>
        <v>-2160.4363572919756</v>
      </c>
      <c r="CT30" s="56">
        <f>-IF(CT$10=1,MAX($D$30,ABS(CS$30),ABS('Monthly P&amp;L'!CS30*(1+'Model Assumptions'!CT$23))),0)</f>
        <v>-2160.4363572919756</v>
      </c>
      <c r="CU30" s="56">
        <f>-IF(CU$10=1,MAX($D$30,ABS(CT$30),ABS('Monthly P&amp;L'!CT30*(1+'Model Assumptions'!CU$23))),0)</f>
        <v>-2160.4363572919756</v>
      </c>
      <c r="CV30" s="56">
        <f>-IF(CV$10=1,MAX($D$30,ABS(CU$30),ABS('Monthly P&amp;L'!CU30*(1+'Model Assumptions'!CV$23))),0)</f>
        <v>-2160.4363572919756</v>
      </c>
      <c r="CW30" s="56">
        <f>-IF(CW$10=1,MAX($D$30,ABS(CV$30),ABS('Monthly P&amp;L'!CV30*(1+'Model Assumptions'!CW$23))),0)</f>
        <v>-2160.4363572919756</v>
      </c>
      <c r="CX30" s="56">
        <f>-IF(CX$10=1,MAX($D$30,ABS(CW$30),ABS('Monthly P&amp;L'!CW30*(1+'Model Assumptions'!CX$23))),0)</f>
        <v>-2160.4363572919756</v>
      </c>
      <c r="CY30" s="56">
        <f>-IF(CY$10=1,MAX($D$30,ABS(CX$30),ABS('Monthly P&amp;L'!CX30*(1+'Model Assumptions'!CY$23))),0)</f>
        <v>-2214.4472662242747</v>
      </c>
      <c r="CZ30" s="56">
        <f>-IF(CZ$10=1,MAX($D$30,ABS(CY$30),ABS('Monthly P&amp;L'!CY30*(1+'Model Assumptions'!CZ$23))),0)</f>
        <v>-2214.4472662242747</v>
      </c>
      <c r="DA30" s="56">
        <f>-IF(DA$10=1,MAX($D$30,ABS(CZ$30),ABS('Monthly P&amp;L'!CZ30*(1+'Model Assumptions'!DA$23))),0)</f>
        <v>-2214.4472662242747</v>
      </c>
      <c r="DB30" s="56">
        <f>-IF(DB$10=1,MAX($D$30,ABS(DA$30),ABS('Monthly P&amp;L'!DA30*(1+'Model Assumptions'!DB$23))),0)</f>
        <v>-2214.4472662242747</v>
      </c>
      <c r="DC30" s="56">
        <f>-IF(DC$10=1,MAX($D$30,ABS(DB$30),ABS('Monthly P&amp;L'!DB30*(1+'Model Assumptions'!DC$23))),0)</f>
        <v>-2214.4472662242747</v>
      </c>
      <c r="DD30" s="56">
        <f>-IF(DD$10=1,MAX($D$30,ABS(DC$30),ABS('Monthly P&amp;L'!DC30*(1+'Model Assumptions'!DD$23))),0)</f>
        <v>-2214.4472662242747</v>
      </c>
      <c r="DE30" s="56">
        <f>-IF(DE$10=1,MAX($D$30,ABS(DD$30),ABS('Monthly P&amp;L'!DD30*(1+'Model Assumptions'!DE$23))),0)</f>
        <v>-2214.4472662242747</v>
      </c>
      <c r="DF30" s="56">
        <f>-IF(DF$10=1,MAX($D$30,ABS(DE$30),ABS('Monthly P&amp;L'!DE30*(1+'Model Assumptions'!DF$23))),0)</f>
        <v>-2214.4472662242747</v>
      </c>
      <c r="DG30" s="56">
        <f>-IF(DG$10=1,MAX($D$30,ABS(DF$30),ABS('Monthly P&amp;L'!DF30*(1+'Model Assumptions'!DG$23))),0)</f>
        <v>-2214.4472662242747</v>
      </c>
      <c r="DH30" s="56">
        <f>-IF(DH$10=1,MAX($D$30,ABS(DG$30),ABS('Monthly P&amp;L'!DG30*(1+'Model Assumptions'!DH$23))),0)</f>
        <v>-2214.4472662242747</v>
      </c>
      <c r="DI30" s="56">
        <f>-IF(DI$10=1,MAX($D$30,ABS(DH$30),ABS('Monthly P&amp;L'!DH30*(1+'Model Assumptions'!DI$23))),0)</f>
        <v>-2214.4472662242747</v>
      </c>
      <c r="DJ30" s="56">
        <f>-IF(DJ$10=1,MAX($D$30,ABS(DI$30),ABS('Monthly P&amp;L'!DI30*(1+'Model Assumptions'!DJ$23))),0)</f>
        <v>-2214.4472662242747</v>
      </c>
      <c r="DK30" s="56">
        <f>-IF(DK$10=1,MAX($D$30,ABS(DJ$30),ABS('Monthly P&amp;L'!DJ30*(1+'Model Assumptions'!DK$23))),0)</f>
        <v>-2269.8084478798814</v>
      </c>
      <c r="DL30" s="56">
        <f>-IF(DL$10=1,MAX($D$30,ABS(DK$30),ABS('Monthly P&amp;L'!DK30*(1+'Model Assumptions'!DL$23))),0)</f>
        <v>-2269.8084478798814</v>
      </c>
      <c r="DM30" s="56">
        <f>-IF(DM$10=1,MAX($D$30,ABS(DL$30),ABS('Monthly P&amp;L'!DL30*(1+'Model Assumptions'!DM$23))),0)</f>
        <v>-2269.8084478798814</v>
      </c>
      <c r="DN30" s="56">
        <f>-IF(DN$10=1,MAX($D$30,ABS(DM$30),ABS('Monthly P&amp;L'!DM30*(1+'Model Assumptions'!DN$23))),0)</f>
        <v>-2269.8084478798814</v>
      </c>
      <c r="DO30" s="56">
        <f>-IF(DO$10=1,MAX($D$30,ABS(DN$30),ABS('Monthly P&amp;L'!DN30*(1+'Model Assumptions'!DO$23))),0)</f>
        <v>-2269.8084478798814</v>
      </c>
      <c r="DP30" s="56">
        <f>-IF(DP$10=1,MAX($D$30,ABS(DO$30),ABS('Monthly P&amp;L'!DO30*(1+'Model Assumptions'!DP$23))),0)</f>
        <v>-2269.8084478798814</v>
      </c>
      <c r="DQ30" s="56">
        <f>-IF(DQ$10=1,MAX($D$30,ABS(DP$30),ABS('Monthly P&amp;L'!DP30*(1+'Model Assumptions'!DQ$23))),0)</f>
        <v>-2269.8084478798814</v>
      </c>
      <c r="DR30" s="56">
        <f>-IF(DR$10=1,MAX($D$30,ABS(DQ$30),ABS('Monthly P&amp;L'!DQ30*(1+'Model Assumptions'!DR$23))),0)</f>
        <v>-2269.8084478798814</v>
      </c>
      <c r="DS30" s="56">
        <f>-IF(DS$10=1,MAX($D$30,ABS(DR$30),ABS('Monthly P&amp;L'!DR30*(1+'Model Assumptions'!DS$23))),0)</f>
        <v>-2269.8084478798814</v>
      </c>
      <c r="DT30" s="56">
        <f>-IF(DT$10=1,MAX($D$30,ABS(DS$30),ABS('Monthly P&amp;L'!DS30*(1+'Model Assumptions'!DT$23))),0)</f>
        <v>-2269.8084478798814</v>
      </c>
      <c r="DU30" s="56">
        <f>-IF(DU$10=1,MAX($D$30,ABS(DT$30),ABS('Monthly P&amp;L'!DT30*(1+'Model Assumptions'!DU$23))),0)</f>
        <v>-2269.8084478798814</v>
      </c>
      <c r="DV30" s="56">
        <f>-IF(DV$10=1,MAX($D$30,ABS(DU$30),ABS('Monthly P&amp;L'!DU30*(1+'Model Assumptions'!DV$23))),0)</f>
        <v>-2269.8084478798814</v>
      </c>
      <c r="DW30" s="56">
        <f>-IF(DW$10=1,MAX($D$30,ABS(DV$30),ABS('Monthly P&amp;L'!DV30*(1+'Model Assumptions'!DW$23))),0)</f>
        <v>-2326.5536590768784</v>
      </c>
      <c r="DX30" s="56">
        <f>-IF(DX$10=1,MAX($D$30,ABS(DW$30),ABS('Monthly P&amp;L'!DW30*(1+'Model Assumptions'!DX$23))),0)</f>
        <v>-2326.5536590768784</v>
      </c>
      <c r="DY30" s="56">
        <f>-IF(DY$10=1,MAX($D$30,ABS(DX$30),ABS('Monthly P&amp;L'!DX30*(1+'Model Assumptions'!DY$23))),0)</f>
        <v>-2326.5536590768784</v>
      </c>
      <c r="DZ30" s="56">
        <f>-IF(DZ$10=1,MAX($D$30,ABS(DY$30),ABS('Monthly P&amp;L'!DY30*(1+'Model Assumptions'!DZ$23))),0)</f>
        <v>-2326.5536590768784</v>
      </c>
      <c r="EA30" s="56">
        <f>-IF(EA$10=1,MAX($D$30,ABS(DZ$30),ABS('Monthly P&amp;L'!DZ30*(1+'Model Assumptions'!EA$23))),0)</f>
        <v>-2326.5536590768784</v>
      </c>
      <c r="EB30" s="56">
        <f>-IF(EB$10=1,MAX($D$30,ABS(EA$30),ABS('Monthly P&amp;L'!EA30*(1+'Model Assumptions'!EB$23))),0)</f>
        <v>-2326.5536590768784</v>
      </c>
      <c r="EC30" s="56">
        <f>-IF(EC$10=1,MAX($D$30,ABS(EB$30),ABS('Monthly P&amp;L'!EB30*(1+'Model Assumptions'!EC$23))),0)</f>
        <v>-2326.5536590768784</v>
      </c>
      <c r="ED30" s="56">
        <f>-IF(ED$10=1,MAX($D$30,ABS(EC$30),ABS('Monthly P&amp;L'!EC30*(1+'Model Assumptions'!ED$23))),0)</f>
        <v>-2326.5536590768784</v>
      </c>
      <c r="EE30" s="56">
        <f>-IF(EE$10=1,MAX($D$30,ABS(ED$30),ABS('Monthly P&amp;L'!ED30*(1+'Model Assumptions'!EE$23))),0)</f>
        <v>-2326.5536590768784</v>
      </c>
      <c r="EF30" s="56">
        <f>-IF(EF$10=1,MAX($D$30,ABS(EE$30),ABS('Monthly P&amp;L'!EE30*(1+'Model Assumptions'!EF$23))),0)</f>
        <v>-2326.5536590768784</v>
      </c>
      <c r="EG30" s="56">
        <f>-IF(EG$10=1,MAX($D$30,ABS(EF$30),ABS('Monthly P&amp;L'!EF30*(1+'Model Assumptions'!EG$23))),0)</f>
        <v>-2326.5536590768784</v>
      </c>
      <c r="EH30" s="56">
        <f>-IF(EH$10=1,MAX($D$30,ABS(EG$30),ABS('Monthly P&amp;L'!EG30*(1+'Model Assumptions'!EH$23))),0)</f>
        <v>-2326.5536590768784</v>
      </c>
      <c r="EI30" s="56">
        <f>-IF(EI$10=1,MAX($D$30,ABS(EH$30),ABS('Monthly P&amp;L'!EH30*(1+'Model Assumptions'!EI$23))),0)</f>
        <v>-2384.7175005538002</v>
      </c>
      <c r="EJ30" s="56">
        <f>-IF(EJ$10=1,MAX($D$30,ABS(EI$30),ABS('Monthly P&amp;L'!EI30*(1+'Model Assumptions'!EJ$23))),0)</f>
        <v>-2384.7175005538002</v>
      </c>
      <c r="EK30" s="56">
        <f>-IF(EK$10=1,MAX($D$30,ABS(EJ$30),ABS('Monthly P&amp;L'!EJ30*(1+'Model Assumptions'!EK$23))),0)</f>
        <v>-2384.7175005538002</v>
      </c>
      <c r="EL30" s="56">
        <f>-IF(EL$10=1,MAX($D$30,ABS(EK$30),ABS('Monthly P&amp;L'!EK30*(1+'Model Assumptions'!EL$23))),0)</f>
        <v>-2384.7175005538002</v>
      </c>
      <c r="EM30" s="56">
        <f>-IF(EM$10=1,MAX($D$30,ABS(EL$30),ABS('Monthly P&amp;L'!EL30*(1+'Model Assumptions'!EM$23))),0)</f>
        <v>-2384.7175005538002</v>
      </c>
      <c r="EN30" s="56">
        <f>-IF(EN$10=1,MAX($D$30,ABS(EM$30),ABS('Monthly P&amp;L'!EM30*(1+'Model Assumptions'!EN$23))),0)</f>
        <v>-2384.7175005538002</v>
      </c>
      <c r="EO30" s="56">
        <f>-IF(EO$10=1,MAX($D$30,ABS(EN$30),ABS('Monthly P&amp;L'!EN30*(1+'Model Assumptions'!EO$23))),0)</f>
        <v>-2384.7175005538002</v>
      </c>
      <c r="EP30" s="56">
        <f>-IF(EP$10=1,MAX($D$30,ABS(EO$30),ABS('Monthly P&amp;L'!EO30*(1+'Model Assumptions'!EP$23))),0)</f>
        <v>-2384.7175005538002</v>
      </c>
      <c r="EQ30" s="56">
        <f>-IF(EQ$10=1,MAX($D$30,ABS(EP$30),ABS('Monthly P&amp;L'!EP30*(1+'Model Assumptions'!EQ$23))),0)</f>
        <v>-2384.7175005538002</v>
      </c>
      <c r="ER30" s="56">
        <f>-IF(ER$10=1,MAX($D$30,ABS(EQ$30),ABS('Monthly P&amp;L'!EQ30*(1+'Model Assumptions'!ER$23))),0)</f>
        <v>-2384.7175005538002</v>
      </c>
      <c r="ES30" s="56">
        <f>-IF(ES$10=1,MAX($D$30,ABS(ER$30),ABS('Monthly P&amp;L'!ER30*(1+'Model Assumptions'!ES$23))),0)</f>
        <v>-2384.7175005538002</v>
      </c>
      <c r="ET30" s="56">
        <f>-IF(ET$10=1,MAX($D$30,ABS(ES$30),ABS('Monthly P&amp;L'!ES30*(1+'Model Assumptions'!ET$23))),0)</f>
        <v>-2384.7175005538002</v>
      </c>
      <c r="EU30" s="56">
        <f>-IF(EU$10=1,MAX($D$30,ABS(ET$30),ABS('Monthly P&amp;L'!ET30*(1+'Model Assumptions'!EU$23))),0)</f>
        <v>-2444.3354380676451</v>
      </c>
      <c r="EV30" s="56">
        <f>-IF(EV$10=1,MAX($D$30,ABS(EU$30),ABS('Monthly P&amp;L'!EU30*(1+'Model Assumptions'!EV$23))),0)</f>
        <v>-2444.3354380676451</v>
      </c>
      <c r="EW30" s="56">
        <f>-IF(EW$10=1,MAX($D$30,ABS(EV$30),ABS('Monthly P&amp;L'!EV30*(1+'Model Assumptions'!EW$23))),0)</f>
        <v>-2444.3354380676451</v>
      </c>
      <c r="EX30" s="56">
        <f>-IF(EX$10=1,MAX($D$30,ABS(EW$30),ABS('Monthly P&amp;L'!EW30*(1+'Model Assumptions'!EX$23))),0)</f>
        <v>-2444.3354380676451</v>
      </c>
      <c r="EY30" s="56">
        <f>-IF(EY$10=1,MAX($D$30,ABS(EX$30),ABS('Monthly P&amp;L'!EX30*(1+'Model Assumptions'!EY$23))),0)</f>
        <v>-2444.3354380676451</v>
      </c>
      <c r="EZ30" s="56">
        <f>-IF(EZ$10=1,MAX($D$30,ABS(EY$30),ABS('Monthly P&amp;L'!EY30*(1+'Model Assumptions'!EZ$23))),0)</f>
        <v>-2444.3354380676451</v>
      </c>
      <c r="FA30" s="56">
        <f>-IF(FA$10=1,MAX($D$30,ABS(EZ$30),ABS('Monthly P&amp;L'!EZ30*(1+'Model Assumptions'!FA$23))),0)</f>
        <v>-2444.3354380676451</v>
      </c>
      <c r="FB30" s="56">
        <f>-IF(FB$10=1,MAX($D$30,ABS(FA$30),ABS('Monthly P&amp;L'!FA30*(1+'Model Assumptions'!FB$23))),0)</f>
        <v>-2444.3354380676451</v>
      </c>
      <c r="FC30" s="56">
        <f>-IF(FC$10=1,MAX($D$30,ABS(FB$30),ABS('Monthly P&amp;L'!FB30*(1+'Model Assumptions'!FC$23))),0)</f>
        <v>-2444.3354380676451</v>
      </c>
      <c r="FD30" s="56">
        <f>-IF(FD$10=1,MAX($D$30,ABS(FC$30),ABS('Monthly P&amp;L'!FC30*(1+'Model Assumptions'!FD$23))),0)</f>
        <v>-2444.3354380676451</v>
      </c>
      <c r="FE30" s="56">
        <f>-IF(FE$10=1,MAX($D$30,ABS(FD$30),ABS('Monthly P&amp;L'!FD30*(1+'Model Assumptions'!FE$23))),0)</f>
        <v>-2444.3354380676451</v>
      </c>
      <c r="FF30" s="56">
        <f>-IF(FF$10=1,MAX($D$30,ABS(FE$30),ABS('Monthly P&amp;L'!FE30*(1+'Model Assumptions'!FF$23))),0)</f>
        <v>-2444.3354380676451</v>
      </c>
      <c r="FG30" s="56">
        <f>-IF(FG$10=1,MAX($D$30,ABS(FF$30),ABS('Monthly P&amp;L'!FF30*(1+'Model Assumptions'!FG$23))),0)</f>
        <v>-2505.4438240193358</v>
      </c>
      <c r="FH30" s="56">
        <f>-IF(FH$10=1,MAX($D$30,ABS(FG$30),ABS('Monthly P&amp;L'!FG30*(1+'Model Assumptions'!FH$23))),0)</f>
        <v>-2505.4438240193358</v>
      </c>
      <c r="FI30" s="56">
        <f>-IF(FI$10=1,MAX($D$30,ABS(FH$30),ABS('Monthly P&amp;L'!FH30*(1+'Model Assumptions'!FI$23))),0)</f>
        <v>-2505.4438240193358</v>
      </c>
      <c r="FJ30" s="56">
        <f>-IF(FJ$10=1,MAX($D$30,ABS(FI$30),ABS('Monthly P&amp;L'!FI30*(1+'Model Assumptions'!FJ$23))),0)</f>
        <v>-2505.4438240193358</v>
      </c>
      <c r="FK30" s="56">
        <f>-IF(FK$10=1,MAX($D$30,ABS(FJ$30),ABS('Monthly P&amp;L'!FJ30*(1+'Model Assumptions'!FK$23))),0)</f>
        <v>-2505.4438240193358</v>
      </c>
      <c r="FL30" s="56">
        <f>-IF(FL$10=1,MAX($D$30,ABS(FK$30),ABS('Monthly P&amp;L'!FK30*(1+'Model Assumptions'!FL$23))),0)</f>
        <v>-2505.4438240193358</v>
      </c>
      <c r="FM30" s="56">
        <f>-IF(FM$10=1,MAX($D$30,ABS(FL$30),ABS('Monthly P&amp;L'!FL30*(1+'Model Assumptions'!FM$23))),0)</f>
        <v>-2505.4438240193358</v>
      </c>
      <c r="FN30" s="56">
        <f>-IF(FN$10=1,MAX($D$30,ABS(FM$30),ABS('Monthly P&amp;L'!FM30*(1+'Model Assumptions'!FN$23))),0)</f>
        <v>-2505.4438240193358</v>
      </c>
      <c r="FO30" s="56">
        <f>-IF(FO$10=1,MAX($D$30,ABS(FN$30),ABS('Monthly P&amp;L'!FN30*(1+'Model Assumptions'!FO$23))),0)</f>
        <v>-2505.4438240193358</v>
      </c>
      <c r="FP30" s="56">
        <f>-IF(FP$10=1,MAX($D$30,ABS(FO$30),ABS('Monthly P&amp;L'!FO30*(1+'Model Assumptions'!FP$23))),0)</f>
        <v>-2505.4438240193358</v>
      </c>
      <c r="FQ30" s="56">
        <f>-IF(FQ$10=1,MAX($D$30,ABS(FP$30),ABS('Monthly P&amp;L'!FP30*(1+'Model Assumptions'!FQ$23))),0)</f>
        <v>-2505.4438240193358</v>
      </c>
      <c r="FR30" s="56">
        <f>-IF(FR$10=1,MAX($D$30,ABS(FQ$30),ABS('Monthly P&amp;L'!FQ30*(1+'Model Assumptions'!FR$23))),0)</f>
        <v>-2505.4438240193358</v>
      </c>
      <c r="FS30" s="56">
        <f>-IF(FS$10=1,MAX($D$30,ABS(FR$30),ABS('Monthly P&amp;L'!FR30*(1+'Model Assumptions'!FS$23))),0)</f>
        <v>-2568.0799196198191</v>
      </c>
      <c r="FT30" s="56">
        <f>-IF(FT$10=1,MAX($D$30,ABS(FS$30),ABS('Monthly P&amp;L'!FS30*(1+'Model Assumptions'!FT$23))),0)</f>
        <v>-2568.0799196198191</v>
      </c>
      <c r="FU30" s="56">
        <f>-IF(FU$10=1,MAX($D$30,ABS(FT$30),ABS('Monthly P&amp;L'!FT30*(1+'Model Assumptions'!FU$23))),0)</f>
        <v>-2568.0799196198191</v>
      </c>
      <c r="FV30" s="56">
        <f>-IF(FV$10=1,MAX($D$30,ABS(FU$30),ABS('Monthly P&amp;L'!FU30*(1+'Model Assumptions'!FV$23))),0)</f>
        <v>-2568.0799196198191</v>
      </c>
      <c r="FW30" s="56">
        <f>-IF(FW$10=1,MAX($D$30,ABS(FV$30),ABS('Monthly P&amp;L'!FV30*(1+'Model Assumptions'!FW$23))),0)</f>
        <v>-2568.0799196198191</v>
      </c>
      <c r="FX30" s="56">
        <f>-IF(FX$10=1,MAX($D$30,ABS(FW$30),ABS('Monthly P&amp;L'!FW30*(1+'Model Assumptions'!FX$23))),0)</f>
        <v>-2568.0799196198191</v>
      </c>
      <c r="FY30" s="56">
        <f>-IF(FY$10=1,MAX($D$30,ABS(FX$30),ABS('Monthly P&amp;L'!FX30*(1+'Model Assumptions'!FY$23))),0)</f>
        <v>-2568.0799196198191</v>
      </c>
      <c r="FZ30" s="56">
        <f>-IF(FZ$10=1,MAX($D$30,ABS(FY$30),ABS('Monthly P&amp;L'!FY30*(1+'Model Assumptions'!FZ$23))),0)</f>
        <v>-2568.0799196198191</v>
      </c>
      <c r="GA30" s="56">
        <f>-IF(GA$10=1,MAX($D$30,ABS(FZ$30),ABS('Monthly P&amp;L'!FZ30*(1+'Model Assumptions'!GA$23))),0)</f>
        <v>-2568.0799196198191</v>
      </c>
      <c r="GB30" s="56">
        <f>-IF(GB$10=1,MAX($D$30,ABS(GA$30),ABS('Monthly P&amp;L'!GA30*(1+'Model Assumptions'!GB$23))),0)</f>
        <v>-2568.0799196198191</v>
      </c>
      <c r="GC30" s="56">
        <f>-IF(GC$10=1,MAX($D$30,ABS(GB$30),ABS('Monthly P&amp;L'!GB30*(1+'Model Assumptions'!GC$23))),0)</f>
        <v>-2568.0799196198191</v>
      </c>
      <c r="GD30" s="56">
        <f>-IF(GD$10=1,MAX($D$30,ABS(GC$30),ABS('Monthly P&amp;L'!GC30*(1+'Model Assumptions'!GD$23))),0)</f>
        <v>-2568.0799196198191</v>
      </c>
      <c r="GE30" s="56">
        <f>-IF(GE$10=1,MAX($D$30,ABS(GD$30),ABS('Monthly P&amp;L'!GD30*(1+'Model Assumptions'!GE$23))),0)</f>
        <v>0</v>
      </c>
      <c r="GF30" s="56">
        <f>-IF(GF$10=1,MAX($D$30,ABS(GE$30),ABS('Monthly P&amp;L'!GE30*(1+'Model Assumptions'!GF$23))),0)</f>
        <v>0</v>
      </c>
      <c r="GG30" s="56">
        <f>-IF(GG$10=1,MAX($D$30,ABS(GF$30),ABS('Monthly P&amp;L'!GF30*(1+'Model Assumptions'!GG$23))),0)</f>
        <v>0</v>
      </c>
      <c r="GH30" s="56">
        <f>-IF(GH$10=1,MAX($D$30,ABS(GG$30),ABS('Monthly P&amp;L'!GG30*(1+'Model Assumptions'!GH$23))),0)</f>
        <v>0</v>
      </c>
      <c r="GI30" s="56">
        <f>-IF(GI$10=1,MAX($D$30,ABS(GH$30),ABS('Monthly P&amp;L'!GH30*(1+'Model Assumptions'!GI$23))),0)</f>
        <v>0</v>
      </c>
      <c r="GJ30" s="56">
        <f>-IF(GJ$10=1,MAX($D$30,ABS(GI$30),ABS('Monthly P&amp;L'!GI30*(1+'Model Assumptions'!GJ$23))),0)</f>
        <v>0</v>
      </c>
      <c r="GK30" s="56">
        <f>-IF(GK$10=1,MAX($D$30,ABS(GJ$30),ABS('Monthly P&amp;L'!GJ30*(1+'Model Assumptions'!GK$23))),0)</f>
        <v>0</v>
      </c>
      <c r="GL30" s="56">
        <f>-IF(GL$10=1,MAX($D$30,ABS(GK$30),ABS('Monthly P&amp;L'!GK30*(1+'Model Assumptions'!GL$23))),0)</f>
        <v>0</v>
      </c>
      <c r="GM30" s="56">
        <f>-IF(GM$10=1,MAX($D$30,ABS(GL$30),ABS('Monthly P&amp;L'!GL30*(1+'Model Assumptions'!GM$23))),0)</f>
        <v>0</v>
      </c>
      <c r="GN30" s="56">
        <f>-IF(GN$10=1,MAX($D$30,ABS(GM$30),ABS('Monthly P&amp;L'!GM30*(1+'Model Assumptions'!GN$23))),0)</f>
        <v>0</v>
      </c>
      <c r="GO30" s="56">
        <f>-IF(GO$10=1,MAX($D$30,ABS(GN$30),ABS('Monthly P&amp;L'!GN30*(1+'Model Assumptions'!GO$23))),0)</f>
        <v>0</v>
      </c>
      <c r="GP30" s="56">
        <f>-IF(GP$10=1,MAX($D$30,ABS(GO$30),ABS('Monthly P&amp;L'!GO30*(1+'Model Assumptions'!GP$23))),0)</f>
        <v>0</v>
      </c>
      <c r="GQ30" s="56">
        <f>-IF(GQ$10=1,MAX($D$30,ABS(GP$30),ABS('Monthly P&amp;L'!GP30*(1+'Model Assumptions'!GQ$23))),0)</f>
        <v>0</v>
      </c>
      <c r="GR30" s="56">
        <f>-IF(GR$10=1,MAX($D$30,ABS(GQ$30),ABS('Monthly P&amp;L'!GQ30*(1+'Model Assumptions'!GR$23))),0)</f>
        <v>0</v>
      </c>
      <c r="GS30" s="56">
        <f>-IF(GS$10=1,MAX($D$30,ABS(GR$30),ABS('Monthly P&amp;L'!GR30*(1+'Model Assumptions'!GS$23))),0)</f>
        <v>0</v>
      </c>
      <c r="GT30" s="56">
        <f>-IF(GT$10=1,MAX($D$30,ABS(GS$30),ABS('Monthly P&amp;L'!GS30*(1+'Model Assumptions'!GT$23))),0)</f>
        <v>0</v>
      </c>
      <c r="GU30" s="56">
        <f>-IF(GU$10=1,MAX($D$30,ABS(GT$30),ABS('Monthly P&amp;L'!GT30*(1+'Model Assumptions'!GU$23))),0)</f>
        <v>0</v>
      </c>
      <c r="GV30" s="56">
        <f>-IF(GV$10=1,MAX($D$30,ABS(GU$30),ABS('Monthly P&amp;L'!GU30*(1+'Model Assumptions'!GV$23))),0)</f>
        <v>0</v>
      </c>
      <c r="GW30" s="56">
        <f>-IF(GW$10=1,MAX($D$30,ABS(GV$30),ABS('Monthly P&amp;L'!GV30*(1+'Model Assumptions'!GW$23))),0)</f>
        <v>0</v>
      </c>
      <c r="GX30" s="56">
        <f>-IF(GX$10=1,MAX($D$30,ABS(GW$30),ABS('Monthly P&amp;L'!GW30*(1+'Model Assumptions'!GX$23))),0)</f>
        <v>0</v>
      </c>
      <c r="GY30" s="56">
        <f>-IF(GY$10=1,MAX($D$30,ABS(GX$30),ABS('Monthly P&amp;L'!GX30*(1+'Model Assumptions'!GY$23))),0)</f>
        <v>0</v>
      </c>
      <c r="GZ30" s="56">
        <f>-IF(GZ$10=1,MAX($D$30,ABS(GY$30),ABS('Monthly P&amp;L'!GY30*(1+'Model Assumptions'!GZ$23))),0)</f>
        <v>0</v>
      </c>
      <c r="HA30" s="56">
        <f>-IF(HA$10=1,MAX($D$30,ABS(GZ$30),ABS('Monthly P&amp;L'!GZ30*(1+'Model Assumptions'!HA$23))),0)</f>
        <v>0</v>
      </c>
      <c r="HB30" s="56">
        <f>-IF(HB$10=1,MAX($D$30,ABS(HA$30),ABS('Monthly P&amp;L'!HA30*(1+'Model Assumptions'!HB$23))),0)</f>
        <v>0</v>
      </c>
      <c r="HC30" s="56">
        <f>-IF(HC$10=1,MAX($D$30,ABS(HB$30),ABS('Monthly P&amp;L'!HB30*(1+'Model Assumptions'!HC$23))),0)</f>
        <v>0</v>
      </c>
      <c r="HD30" s="56">
        <f>-IF(HD$10=1,MAX($D$30,ABS(HC$30),ABS('Monthly P&amp;L'!HC30*(1+'Model Assumptions'!HD$23))),0)</f>
        <v>0</v>
      </c>
      <c r="HE30" s="56">
        <f>-IF(HE$10=1,MAX($D$30,ABS(HD$30),ABS('Monthly P&amp;L'!HD30*(1+'Model Assumptions'!HE$23))),0)</f>
        <v>0</v>
      </c>
      <c r="HF30" s="56">
        <f>-IF(HF$10=1,MAX($D$30,ABS(HE$30),ABS('Monthly P&amp;L'!HE30*(1+'Model Assumptions'!HF$23))),0)</f>
        <v>0</v>
      </c>
      <c r="HG30" s="56">
        <f>-IF(HG$10=1,MAX($D$30,ABS(HF$30),ABS('Monthly P&amp;L'!HF30*(1+'Model Assumptions'!HG$23))),0)</f>
        <v>0</v>
      </c>
      <c r="HH30" s="56">
        <f>-IF(HH$10=1,MAX($D$30,ABS(HG$30),ABS('Monthly P&amp;L'!HG30*(1+'Model Assumptions'!HH$23))),0)</f>
        <v>0</v>
      </c>
      <c r="HI30" s="56">
        <f>-IF(HI$10=1,MAX($D$30,ABS(HH$30),ABS('Monthly P&amp;L'!HH30*(1+'Model Assumptions'!HI$23))),0)</f>
        <v>0</v>
      </c>
      <c r="HJ30" s="56">
        <f>-IF(HJ$10=1,MAX($D$30,ABS(HI$30),ABS('Monthly P&amp;L'!HI30*(1+'Model Assumptions'!HJ$23))),0)</f>
        <v>0</v>
      </c>
      <c r="HK30" s="56">
        <f>-IF(HK$10=1,MAX($D$30,ABS(HJ$30),ABS('Monthly P&amp;L'!HJ30*(1+'Model Assumptions'!HK$23))),0)</f>
        <v>0</v>
      </c>
      <c r="HL30" s="56">
        <f>-IF(HL$10=1,MAX($D$30,ABS(HK$30),ABS('Monthly P&amp;L'!HK30*(1+'Model Assumptions'!HL$23))),0)</f>
        <v>0</v>
      </c>
      <c r="HM30" s="56">
        <f>-IF(HM$10=1,MAX($D$30,ABS(HL$30),ABS('Monthly P&amp;L'!HL30*(1+'Model Assumptions'!HM$23))),0)</f>
        <v>0</v>
      </c>
      <c r="HN30" s="56">
        <f>-IF(HN$10=1,MAX($D$30,ABS(HM$30),ABS('Monthly P&amp;L'!HM30*(1+'Model Assumptions'!HN$23))),0)</f>
        <v>0</v>
      </c>
      <c r="HO30" s="56">
        <f>-IF(HO$10=1,MAX($D$30,ABS(HN$30),ABS('Monthly P&amp;L'!HN30*(1+'Model Assumptions'!HO$23))),0)</f>
        <v>0</v>
      </c>
      <c r="HP30" s="56">
        <f>-IF(HP$10=1,MAX($D$30,ABS(HO$30),ABS('Monthly P&amp;L'!HO30*(1+'Model Assumptions'!HP$23))),0)</f>
        <v>0</v>
      </c>
      <c r="HQ30" s="56">
        <f>-IF(HQ$10=1,MAX($D$30,ABS(HP$30),ABS('Monthly P&amp;L'!HP30*(1+'Model Assumptions'!HQ$23))),0)</f>
        <v>0</v>
      </c>
      <c r="HR30" s="56">
        <f>-IF(HR$10=1,MAX($D$30,ABS(HQ$30),ABS('Monthly P&amp;L'!HQ30*(1+'Model Assumptions'!HR$23))),0)</f>
        <v>0</v>
      </c>
      <c r="HS30" s="56">
        <f>-IF(HS$10=1,MAX($D$30,ABS(HR$30),ABS('Monthly P&amp;L'!HR30*(1+'Model Assumptions'!HS$23))),0)</f>
        <v>0</v>
      </c>
      <c r="HT30" s="56">
        <f>-IF(HT$10=1,MAX($D$30,ABS(HS$30),ABS('Monthly P&amp;L'!HS30*(1+'Model Assumptions'!HT$23))),0)</f>
        <v>0</v>
      </c>
      <c r="HU30" s="56">
        <f>-IF(HU$10=1,MAX($D$30,ABS(HT$30),ABS('Monthly P&amp;L'!HT30*(1+'Model Assumptions'!HU$23))),0)</f>
        <v>0</v>
      </c>
      <c r="HV30" s="56">
        <f>-IF(HV$10=1,MAX($D$30,ABS(HU$30),ABS('Monthly P&amp;L'!HU30*(1+'Model Assumptions'!HV$23))),0)</f>
        <v>0</v>
      </c>
      <c r="HW30" s="56">
        <f>-IF(HW$10=1,MAX($D$30,ABS(HV$30),ABS('Monthly P&amp;L'!HV30*(1+'Model Assumptions'!HW$23))),0)</f>
        <v>0</v>
      </c>
      <c r="HX30" s="56">
        <f>-IF(HX$10=1,MAX($D$30,ABS(HW$30),ABS('Monthly P&amp;L'!HW30*(1+'Model Assumptions'!HX$23))),0)</f>
        <v>0</v>
      </c>
      <c r="HY30" s="56">
        <f>-IF(HY$10=1,MAX($D$30,ABS(HX$30),ABS('Monthly P&amp;L'!HX30*(1+'Model Assumptions'!HY$23))),0)</f>
        <v>0</v>
      </c>
      <c r="HZ30" s="56">
        <f>-IF(HZ$10=1,MAX($D$30,ABS(HY$30),ABS('Monthly P&amp;L'!HY30*(1+'Model Assumptions'!HZ$23))),0)</f>
        <v>0</v>
      </c>
      <c r="IA30" s="56">
        <f>-IF(IA$10=1,MAX($D$30,ABS(HZ$30),ABS('Monthly P&amp;L'!HZ30*(1+'Model Assumptions'!IA$23))),0)</f>
        <v>0</v>
      </c>
      <c r="IB30" s="56">
        <f>-IF(IB$10=1,MAX($D$30,ABS(IA$30),ABS('Monthly P&amp;L'!IA30*(1+'Model Assumptions'!IB$23))),0)</f>
        <v>0</v>
      </c>
      <c r="IC30" s="56">
        <f>-IF(IC$10=1,MAX($D$30,ABS(IB$30),ABS('Monthly P&amp;L'!IB30*(1+'Model Assumptions'!IC$23))),0)</f>
        <v>0</v>
      </c>
      <c r="ID30" s="56">
        <f>-IF(ID$10=1,MAX($D$30,ABS(IC$30),ABS('Monthly P&amp;L'!IC30*(1+'Model Assumptions'!ID$23))),0)</f>
        <v>0</v>
      </c>
      <c r="IE30" s="56">
        <f>-IF(IE$10=1,MAX($D$30,ABS(ID$30),ABS('Monthly P&amp;L'!ID30*(1+'Model Assumptions'!IE$23))),0)</f>
        <v>0</v>
      </c>
      <c r="IF30" s="56">
        <f>-IF(IF$10=1,MAX($D$30,ABS(IE$30),ABS('Monthly P&amp;L'!IE30*(1+'Model Assumptions'!IF$23))),0)</f>
        <v>0</v>
      </c>
      <c r="IG30" s="56">
        <f>-IF(IG$10=1,MAX($D$30,ABS(IF$30),ABS('Monthly P&amp;L'!IF30*(1+'Model Assumptions'!IG$23))),0)</f>
        <v>0</v>
      </c>
      <c r="IH30" s="56">
        <f>-IF(IH$10=1,MAX($D$30,ABS(IG$30),ABS('Monthly P&amp;L'!IG30*(1+'Model Assumptions'!IH$23))),0)</f>
        <v>0</v>
      </c>
      <c r="II30" s="56">
        <f>-IF(II$10=1,MAX($D$30,ABS(IH$30),ABS('Monthly P&amp;L'!IH30*(1+'Model Assumptions'!II$23))),0)</f>
        <v>0</v>
      </c>
      <c r="IJ30" s="56">
        <f>-IF(IJ$10=1,MAX($D$30,ABS(II$30),ABS('Monthly P&amp;L'!II30*(1+'Model Assumptions'!IJ$23))),0)</f>
        <v>0</v>
      </c>
      <c r="IK30" s="56">
        <f>-IF(IK$10=1,MAX($D$30,ABS(IJ$30),ABS('Monthly P&amp;L'!IJ30*(1+'Model Assumptions'!IK$23))),0)</f>
        <v>0</v>
      </c>
      <c r="IL30" s="56">
        <f>-IF(IL$10=1,MAX($D$30,ABS(IK$30),ABS('Monthly P&amp;L'!IK30*(1+'Model Assumptions'!IL$23))),0)</f>
        <v>0</v>
      </c>
      <c r="IM30" s="56">
        <f>-IF(IM$10=1,MAX($D$30,ABS(IL$30),ABS('Monthly P&amp;L'!IL30*(1+'Model Assumptions'!IM$23))),0)</f>
        <v>0</v>
      </c>
      <c r="IN30" s="56">
        <f>-IF(IN$10=1,MAX($D$30,ABS(IM$30),ABS('Monthly P&amp;L'!IM30*(1+'Model Assumptions'!IN$23))),0)</f>
        <v>0</v>
      </c>
      <c r="IO30" s="56">
        <f>-IF(IO$10=1,MAX($D$30,ABS(IN$30),ABS('Monthly P&amp;L'!IN30*(1+'Model Assumptions'!IO$23))),0)</f>
        <v>0</v>
      </c>
      <c r="IP30" s="56">
        <f>-IF(IP$10=1,MAX($D$30,ABS(IO$30),ABS('Monthly P&amp;L'!IO30*(1+'Model Assumptions'!IP$23))),0)</f>
        <v>0</v>
      </c>
      <c r="IQ30" s="56">
        <f>-IF(IQ$10=1,MAX($D$30,ABS(IP$30),ABS('Monthly P&amp;L'!IP30*(1+'Model Assumptions'!IQ$23))),0)</f>
        <v>0</v>
      </c>
      <c r="IR30" s="56">
        <f>-IF(IR$10=1,MAX($D$30,ABS(IQ$30),ABS('Monthly P&amp;L'!IQ30*(1+'Model Assumptions'!IR$23))),0)</f>
        <v>0</v>
      </c>
      <c r="IS30" s="56">
        <f>-IF(IS$10=1,MAX($D$30,ABS(IR$30),ABS('Monthly P&amp;L'!IR30*(1+'Model Assumptions'!IS$23))),0)</f>
        <v>0</v>
      </c>
      <c r="IT30" s="56">
        <f>-IF(IT$10=1,MAX($D$30,ABS(IS$30),ABS('Monthly P&amp;L'!IS30*(1+'Model Assumptions'!IT$23))),0)</f>
        <v>0</v>
      </c>
      <c r="IU30" s="56">
        <f>-IF(IU$10=1,MAX($D$30,ABS(IT$30),ABS('Monthly P&amp;L'!IT30*(1+'Model Assumptions'!IU$23))),0)</f>
        <v>0</v>
      </c>
      <c r="IV30" s="56">
        <f>-IF(IV$10=1,MAX($D$30,ABS(IU$30),ABS('Monthly P&amp;L'!IU30*(1+'Model Assumptions'!IV$23))),0)</f>
        <v>0</v>
      </c>
      <c r="IW30" s="56">
        <f>-IF(IW$10=1,MAX($D$30,ABS(IV$30),ABS('Monthly P&amp;L'!IV30*(1+'Model Assumptions'!IW$23))),0)</f>
        <v>0</v>
      </c>
      <c r="IX30" s="56">
        <f>-IF(IX$10=1,MAX($D$30,ABS(IW$30),ABS('Monthly P&amp;L'!IW30*(1+'Model Assumptions'!IX$23))),0)</f>
        <v>0</v>
      </c>
      <c r="IY30" s="56">
        <f>-IF(IY$10=1,MAX($D$30,ABS(IX$30),ABS('Monthly P&amp;L'!IX30*(1+'Model Assumptions'!IY$23))),0)</f>
        <v>0</v>
      </c>
      <c r="IZ30" s="56">
        <f>-IF(IZ$10=1,MAX($D$30,ABS(IY$30),ABS('Monthly P&amp;L'!IY30*(1+'Model Assumptions'!IZ$23))),0)</f>
        <v>0</v>
      </c>
      <c r="JA30" s="56">
        <f>-IF(JA$10=1,MAX($D$30,ABS(IZ$30),ABS('Monthly P&amp;L'!IZ30*(1+'Model Assumptions'!JA$23))),0)</f>
        <v>0</v>
      </c>
      <c r="JB30" s="56">
        <f>-IF(JB$10=1,MAX($D$30,ABS(JA$30),ABS('Monthly P&amp;L'!JA30*(1+'Model Assumptions'!JB$23))),0)</f>
        <v>0</v>
      </c>
      <c r="JC30" s="56">
        <f>-IF(JC$10=1,MAX($D$30,ABS(JB$30),ABS('Monthly P&amp;L'!JB30*(1+'Model Assumptions'!JC$23))),0)</f>
        <v>0</v>
      </c>
      <c r="JD30" s="56">
        <f>-IF(JD$10=1,MAX($D$30,ABS(JC$30),ABS('Monthly P&amp;L'!JC30*(1+'Model Assumptions'!JD$23))),0)</f>
        <v>0</v>
      </c>
      <c r="JE30" s="56">
        <f>-IF(JE$10=1,MAX($D$30,ABS(JD$30),ABS('Monthly P&amp;L'!JD30*(1+'Model Assumptions'!JE$23))),0)</f>
        <v>0</v>
      </c>
      <c r="JF30" s="56">
        <f>-IF(JF$10=1,MAX($D$30,ABS(JE$30),ABS('Monthly P&amp;L'!JE30*(1+'Model Assumptions'!JF$23))),0)</f>
        <v>0</v>
      </c>
      <c r="JG30" s="56">
        <f>-IF(JG$10=1,MAX($D$30,ABS(JF$30),ABS('Monthly P&amp;L'!JF30*(1+'Model Assumptions'!JG$23))),0)</f>
        <v>0</v>
      </c>
      <c r="JH30" s="56">
        <f>-IF(JH$10=1,MAX($D$30,ABS(JG$30),ABS('Monthly P&amp;L'!JG30*(1+'Model Assumptions'!JH$23))),0)</f>
        <v>0</v>
      </c>
      <c r="JI30" s="56">
        <f>-IF(JI$10=1,MAX($D$30,ABS(JH$30),ABS('Monthly P&amp;L'!JH30*(1+'Model Assumptions'!JI$23))),0)</f>
        <v>0</v>
      </c>
      <c r="JJ30" s="56">
        <f>-IF(JJ$10=1,MAX($D$30,ABS(JI$30),ABS('Monthly P&amp;L'!JI30*(1+'Model Assumptions'!JJ$23))),0)</f>
        <v>0</v>
      </c>
      <c r="JK30" s="56">
        <f>-IF(JK$10=1,MAX($D$30,ABS(JJ$30),ABS('Monthly P&amp;L'!JJ30*(1+'Model Assumptions'!JK$23))),0)</f>
        <v>0</v>
      </c>
      <c r="JL30" s="56">
        <f>-IF(JL$10=1,MAX($D$30,ABS(JK$30),ABS('Monthly P&amp;L'!JK30*(1+'Model Assumptions'!JL$23))),0)</f>
        <v>0</v>
      </c>
      <c r="JM30" s="56">
        <f>-IF(JM$10=1,MAX($D$30,ABS(JL$30),ABS('Monthly P&amp;L'!JL30*(1+'Model Assumptions'!JM$23))),0)</f>
        <v>0</v>
      </c>
      <c r="JN30" s="56">
        <f>-IF(JN$10=1,MAX($D$30,ABS(JM$30),ABS('Monthly P&amp;L'!JM30*(1+'Model Assumptions'!JN$23))),0)</f>
        <v>0</v>
      </c>
      <c r="JO30" s="56">
        <f>-IF(JO$10=1,MAX($D$30,ABS(JN$30),ABS('Monthly P&amp;L'!JN30*(1+'Model Assumptions'!JO$23))),0)</f>
        <v>0</v>
      </c>
      <c r="JP30" s="56">
        <f>-IF(JP$10=1,MAX($D$30,ABS(JO$30),ABS('Monthly P&amp;L'!JO30*(1+'Model Assumptions'!JP$23))),0)</f>
        <v>0</v>
      </c>
      <c r="JQ30" s="56">
        <f>-IF(JQ$10=1,MAX($D$30,ABS(JP$30),ABS('Monthly P&amp;L'!JP30*(1+'Model Assumptions'!JQ$23))),0)</f>
        <v>0</v>
      </c>
      <c r="JR30" s="56">
        <f>-IF(JR$10=1,MAX($D$30,ABS(JQ$30),ABS('Monthly P&amp;L'!JQ30*(1+'Model Assumptions'!JR$23))),0)</f>
        <v>0</v>
      </c>
      <c r="JS30" s="56">
        <f>-IF(JS$10=1,MAX($D$30,ABS(JR$30),ABS('Monthly P&amp;L'!JR30*(1+'Model Assumptions'!JS$23))),0)</f>
        <v>0</v>
      </c>
      <c r="JT30" s="56">
        <f>-IF(JT$10=1,MAX($D$30,ABS(JS$30),ABS('Monthly P&amp;L'!JS30*(1+'Model Assumptions'!JT$23))),0)</f>
        <v>0</v>
      </c>
      <c r="JU30" s="56">
        <f>-IF(JU$10=1,MAX($D$30,ABS(JT$30),ABS('Monthly P&amp;L'!JT30*(1+'Model Assumptions'!JU$23))),0)</f>
        <v>0</v>
      </c>
      <c r="JV30" s="56">
        <f>-IF(JV$10=1,MAX($D$30,ABS(JU$30),ABS('Monthly P&amp;L'!JU30*(1+'Model Assumptions'!JV$23))),0)</f>
        <v>0</v>
      </c>
      <c r="JW30" s="56">
        <f>-IF(JW$10=1,MAX($D$30,ABS(JV$30),ABS('Monthly P&amp;L'!JV30*(1+'Model Assumptions'!JW$23))),0)</f>
        <v>0</v>
      </c>
      <c r="JX30" s="56">
        <f>-IF(JX$10=1,MAX($D$30,ABS(JW$30),ABS('Monthly P&amp;L'!JW30*(1+'Model Assumptions'!JX$23))),0)</f>
        <v>0</v>
      </c>
      <c r="JY30" s="56">
        <f>-IF(JY$10=1,MAX($D$30,ABS(JX$30),ABS('Monthly P&amp;L'!JX30*(1+'Model Assumptions'!JY$23))),0)</f>
        <v>0</v>
      </c>
      <c r="JZ30" s="56">
        <f>-IF(JZ$10=1,MAX($D$30,ABS(JY$30),ABS('Monthly P&amp;L'!JY30*(1+'Model Assumptions'!JZ$23))),0)</f>
        <v>0</v>
      </c>
      <c r="KA30" s="56">
        <f>-IF(KA$10=1,MAX($D$30,ABS(JZ$30),ABS('Monthly P&amp;L'!JZ30*(1+'Model Assumptions'!KA$23))),0)</f>
        <v>0</v>
      </c>
      <c r="KB30" s="56">
        <f>-IF(KB$10=1,MAX($D$30,ABS(KA$30),ABS('Monthly P&amp;L'!KA30*(1+'Model Assumptions'!KB$23))),0)</f>
        <v>0</v>
      </c>
      <c r="KC30" s="56">
        <f>-IF(KC$10=1,MAX($D$30,ABS(KB$30),ABS('Monthly P&amp;L'!KB30*(1+'Model Assumptions'!KC$23))),0)</f>
        <v>0</v>
      </c>
      <c r="KD30" s="56">
        <f>-IF(KD$10=1,MAX($D$30,ABS(KC$30),ABS('Monthly P&amp;L'!KC30*(1+'Model Assumptions'!KD$23))),0)</f>
        <v>0</v>
      </c>
      <c r="KE30" s="56">
        <f>-IF(KE$10=1,MAX($D$30,ABS(KD$30),ABS('Monthly P&amp;L'!KD30*(1+'Model Assumptions'!KE$23))),0)</f>
        <v>0</v>
      </c>
      <c r="KF30" s="56">
        <f>-IF(KF$10=1,MAX($D$30,ABS(KE$30),ABS('Monthly P&amp;L'!KE30*(1+'Model Assumptions'!KF$23))),0)</f>
        <v>0</v>
      </c>
      <c r="KG30" s="56">
        <f>-IF(KG$10=1,MAX($D$30,ABS(KF$30),ABS('Monthly P&amp;L'!KF30*(1+'Model Assumptions'!KG$23))),0)</f>
        <v>0</v>
      </c>
      <c r="KH30" s="56">
        <f>-IF(KH$10=1,MAX($D$30,ABS(KG$30),ABS('Monthly P&amp;L'!KG30*(1+'Model Assumptions'!KH$23))),0)</f>
        <v>0</v>
      </c>
      <c r="KI30" s="56">
        <f>-IF(KI$10=1,MAX($D$30,ABS(KH$30),ABS('Monthly P&amp;L'!KH30*(1+'Model Assumptions'!KI$23))),0)</f>
        <v>0</v>
      </c>
      <c r="KJ30" s="56">
        <f>-IF(KJ$10=1,MAX($D$30,ABS(KI$30),ABS('Monthly P&amp;L'!KI30*(1+'Model Assumptions'!KJ$23))),0)</f>
        <v>0</v>
      </c>
      <c r="KK30" s="56">
        <f>-IF(KK$10=1,MAX($D$30,ABS(KJ$30),ABS('Monthly P&amp;L'!KJ30*(1+'Model Assumptions'!KK$23))),0)</f>
        <v>0</v>
      </c>
      <c r="KL30" s="56">
        <f>-IF(KL$10=1,MAX($D$30,ABS(KK$30),ABS('Monthly P&amp;L'!KK30*(1+'Model Assumptions'!KL$23))),0)</f>
        <v>0</v>
      </c>
      <c r="KM30" s="56">
        <f>-IF(KM$10=1,MAX($D$30,ABS(KL$30),ABS('Monthly P&amp;L'!KL30*(1+'Model Assumptions'!KM$23))),0)</f>
        <v>0</v>
      </c>
      <c r="KN30" s="56">
        <f>-IF(KN$10=1,MAX($D$30,ABS(KM$30),ABS('Monthly P&amp;L'!KM30*(1+'Model Assumptions'!KN$23))),0)</f>
        <v>0</v>
      </c>
      <c r="KO30" s="56">
        <f>-IF(KO$10=1,MAX($D$30,ABS(KN$30),ABS('Monthly P&amp;L'!KN30*(1+'Model Assumptions'!KO$23))),0)</f>
        <v>0</v>
      </c>
      <c r="KP30" s="56">
        <f>-IF(KP$10=1,MAX($D$30,ABS(KO$30),ABS('Monthly P&amp;L'!KO30*(1+'Model Assumptions'!KP$23))),0)</f>
        <v>0</v>
      </c>
      <c r="KQ30" s="56">
        <f>-IF(KQ$10=1,MAX($D$30,ABS(KP$30),ABS('Monthly P&amp;L'!KP30*(1+'Model Assumptions'!KQ$23))),0)</f>
        <v>0</v>
      </c>
      <c r="KR30" s="56">
        <f>-IF(KR$10=1,MAX($D$30,ABS(KQ$30),ABS('Monthly P&amp;L'!KQ30*(1+'Model Assumptions'!KR$23))),0)</f>
        <v>0</v>
      </c>
      <c r="KS30" s="56">
        <f>-IF(KS$10=1,MAX($D$30,ABS(KR$30),ABS('Monthly P&amp;L'!KR30*(1+'Model Assumptions'!KS$23))),0)</f>
        <v>0</v>
      </c>
      <c r="KT30" s="56">
        <f>-IF(KT$10=1,MAX($D$30,ABS(KS$30),ABS('Monthly P&amp;L'!KS30*(1+'Model Assumptions'!KT$23))),0)</f>
        <v>0</v>
      </c>
      <c r="KU30" s="56">
        <f>-IF(KU$10=1,MAX($D$30,ABS(KT$30),ABS('Monthly P&amp;L'!KT30*(1+'Model Assumptions'!KU$23))),0)</f>
        <v>0</v>
      </c>
      <c r="KV30" s="56">
        <f>-IF(KV$10=1,MAX($D$30,ABS(KU$30),ABS('Monthly P&amp;L'!KU30*(1+'Model Assumptions'!KV$23))),0)</f>
        <v>0</v>
      </c>
      <c r="KW30" s="56">
        <f>-IF(KW$10=1,MAX($D$30,ABS(KV$30),ABS('Monthly P&amp;L'!KV30*(1+'Model Assumptions'!KW$23))),0)</f>
        <v>0</v>
      </c>
      <c r="KX30" s="56">
        <f>-IF(KX$10=1,MAX($D$30,ABS(KW$30),ABS('Monthly P&amp;L'!KW30*(1+'Model Assumptions'!KX$23))),0)</f>
        <v>0</v>
      </c>
      <c r="KY30" s="56">
        <f>-IF(KY$10=1,MAX($D$30,ABS(KX$30),ABS('Monthly P&amp;L'!KX30*(1+'Model Assumptions'!KY$23))),0)</f>
        <v>0</v>
      </c>
      <c r="KZ30" s="56">
        <f>-IF(KZ$10=1,MAX($D$30,ABS(KY$30),ABS('Monthly P&amp;L'!KY30*(1+'Model Assumptions'!KZ$23))),0)</f>
        <v>0</v>
      </c>
      <c r="LA30" s="56">
        <f>-IF(LA$10=1,MAX($D$30,ABS(KZ$30),ABS('Monthly P&amp;L'!KZ30*(1+'Model Assumptions'!LA$23))),0)</f>
        <v>0</v>
      </c>
      <c r="LB30" s="56">
        <f>-IF(LB$10=1,MAX($D$30,ABS(LA$30),ABS('Monthly P&amp;L'!LA30*(1+'Model Assumptions'!LB$23))),0)</f>
        <v>0</v>
      </c>
      <c r="LC30" s="56">
        <f>-IF(LC$10=1,MAX($D$30,ABS(LB$30),ABS('Monthly P&amp;L'!LB30*(1+'Model Assumptions'!LC$23))),0)</f>
        <v>0</v>
      </c>
      <c r="LD30" s="56">
        <f>-IF(LD$10=1,MAX($D$30,ABS(LC$30),ABS('Monthly P&amp;L'!LC30*(1+'Model Assumptions'!LD$23))),0)</f>
        <v>0</v>
      </c>
      <c r="LE30" s="56">
        <f>-IF(LE$10=1,MAX($D$30,ABS(LD$30),ABS('Monthly P&amp;L'!LD30*(1+'Model Assumptions'!LE$23))),0)</f>
        <v>0</v>
      </c>
      <c r="LF30" s="56">
        <f>-IF(LF$10=1,MAX($D$30,ABS(LE$30),ABS('Monthly P&amp;L'!LE30*(1+'Model Assumptions'!LF$23))),0)</f>
        <v>0</v>
      </c>
      <c r="LG30" s="56">
        <f>-IF(LG$10=1,MAX($D$30,ABS(LF$30),ABS('Monthly P&amp;L'!LF30*(1+'Model Assumptions'!LG$23))),0)</f>
        <v>0</v>
      </c>
      <c r="LH30" s="56">
        <f>-IF(LH$10=1,MAX($D$30,ABS(LG$30),ABS('Monthly P&amp;L'!LG30*(1+'Model Assumptions'!LH$23))),0)</f>
        <v>0</v>
      </c>
      <c r="LI30" s="56">
        <f>-IF(LI$10=1,MAX($D$30,ABS(LH$30),ABS('Monthly P&amp;L'!LH30*(1+'Model Assumptions'!LI$23))),0)</f>
        <v>0</v>
      </c>
      <c r="LJ30" s="56">
        <f>-IF(LJ$10=1,MAX($D$30,ABS(LI$30),ABS('Monthly P&amp;L'!LI30*(1+'Model Assumptions'!LJ$23))),0)</f>
        <v>0</v>
      </c>
      <c r="LK30" s="56">
        <f>-IF(LK$10=1,MAX($D$30,ABS(LJ$30),ABS('Monthly P&amp;L'!LJ30*(1+'Model Assumptions'!LK$23))),0)</f>
        <v>0</v>
      </c>
      <c r="LL30" s="56">
        <f>-IF(LL$10=1,MAX($D$30,ABS(LK$30),ABS('Monthly P&amp;L'!LK30*(1+'Model Assumptions'!LL$23))),0)</f>
        <v>0</v>
      </c>
      <c r="LM30" s="56">
        <f>-IF(LM$10=1,MAX($D$30,ABS(LL$30),ABS('Monthly P&amp;L'!LL30*(1+'Model Assumptions'!LM$23))),0)</f>
        <v>0</v>
      </c>
      <c r="LN30" s="56">
        <f>-IF(LN$10=1,MAX($D$30,ABS(LM$30),ABS('Monthly P&amp;L'!LM30*(1+'Model Assumptions'!LN$23))),0)</f>
        <v>0</v>
      </c>
      <c r="LO30" s="56">
        <f>-IF(LO$10=1,MAX($D$30,ABS(LN$30),ABS('Monthly P&amp;L'!LN30*(1+'Model Assumptions'!LO$23))),0)</f>
        <v>0</v>
      </c>
      <c r="LP30" s="56">
        <f>-IF(LP$10=1,MAX($D$30,ABS(LO$30),ABS('Monthly P&amp;L'!LO30*(1+'Model Assumptions'!LP$23))),0)</f>
        <v>0</v>
      </c>
      <c r="LQ30" s="56">
        <f>-IF(LQ$10=1,MAX($D$30,ABS(LP$30),ABS('Monthly P&amp;L'!LP30*(1+'Model Assumptions'!LQ$23))),0)</f>
        <v>0</v>
      </c>
      <c r="LR30" s="56">
        <f>-IF(LR$10=1,MAX($D$30,ABS(LQ$30),ABS('Monthly P&amp;L'!LQ30*(1+'Model Assumptions'!LR$23))),0)</f>
        <v>0</v>
      </c>
      <c r="LS30" s="56">
        <f>-IF(LS$10=1,MAX($D$30,ABS(LR$30),ABS('Monthly P&amp;L'!LR30*(1+'Model Assumptions'!LS$23))),0)</f>
        <v>0</v>
      </c>
      <c r="LT30" s="56">
        <f>-IF(LT$10=1,MAX($D$30,ABS(LS$30),ABS('Monthly P&amp;L'!LS30*(1+'Model Assumptions'!LT$23))),0)</f>
        <v>0</v>
      </c>
      <c r="LU30" s="56">
        <f>-IF(LU$10=1,MAX($D$30,ABS(LT$30),ABS('Monthly P&amp;L'!LT30*(1+'Model Assumptions'!LU$23))),0)</f>
        <v>0</v>
      </c>
      <c r="LV30" s="56">
        <f>-IF(LV$10=1,MAX($D$30,ABS(LU$30),ABS('Monthly P&amp;L'!LU30*(1+'Model Assumptions'!LV$23))),0)</f>
        <v>0</v>
      </c>
      <c r="LW30" s="56">
        <f>-IF(LW$10=1,MAX($D$30,ABS(LV$30),ABS('Monthly P&amp;L'!LV30*(1+'Model Assumptions'!LW$23))),0)</f>
        <v>0</v>
      </c>
      <c r="LX30" s="56">
        <f>-IF(LX$10=1,MAX($D$30,ABS(LW$30),ABS('Monthly P&amp;L'!LW30*(1+'Model Assumptions'!LX$23))),0)</f>
        <v>0</v>
      </c>
      <c r="LY30" s="56">
        <f>-IF(LY$10=1,MAX($D$30,ABS(LX$30),ABS('Monthly P&amp;L'!LX30*(1+'Model Assumptions'!LY$23))),0)</f>
        <v>0</v>
      </c>
      <c r="LZ30" s="56">
        <f>-IF(LZ$10=1,MAX($D$30,ABS(LY$30),ABS('Monthly P&amp;L'!LY30*(1+'Model Assumptions'!LZ$23))),0)</f>
        <v>0</v>
      </c>
      <c r="MA30" s="56">
        <f>-IF(MA$10=1,MAX($D$30,ABS(LZ$30),ABS('Monthly P&amp;L'!LZ30*(1+'Model Assumptions'!MA$23))),0)</f>
        <v>0</v>
      </c>
      <c r="MB30" s="56">
        <f>-IF(MB$10=1,MAX($D$30,ABS(MA$30),ABS('Monthly P&amp;L'!MA30*(1+'Model Assumptions'!MB$23))),0)</f>
        <v>0</v>
      </c>
      <c r="MC30" s="56">
        <f>-IF(MC$10=1,MAX($D$30,ABS(MB$30),ABS('Monthly P&amp;L'!MB30*(1+'Model Assumptions'!MC$23))),0)</f>
        <v>0</v>
      </c>
      <c r="MD30" s="56">
        <f>-IF(MD$10=1,MAX($D$30,ABS(MC$30),ABS('Monthly P&amp;L'!MC30*(1+'Model Assumptions'!MD$23))),0)</f>
        <v>0</v>
      </c>
      <c r="ME30" s="56">
        <f>-IF(ME$10=1,MAX($D$30,ABS(MD$30),ABS('Monthly P&amp;L'!MD30*(1+'Model Assumptions'!ME$23))),0)</f>
        <v>0</v>
      </c>
      <c r="MF30" s="56">
        <f>-IF(MF$10=1,MAX($D$30,ABS(ME$30),ABS('Monthly P&amp;L'!ME30*(1+'Model Assumptions'!MF$23))),0)</f>
        <v>0</v>
      </c>
      <c r="MG30" s="56">
        <f>-IF(MG$10=1,MAX($D$30,ABS(MF$30),ABS('Monthly P&amp;L'!MF30*(1+'Model Assumptions'!MG$23))),0)</f>
        <v>0</v>
      </c>
      <c r="MH30" s="56">
        <f>-IF(MH$10=1,MAX($D$30,ABS(MG$30),ABS('Monthly P&amp;L'!MG30*(1+'Model Assumptions'!MH$23))),0)</f>
        <v>0</v>
      </c>
      <c r="MI30" s="56">
        <f>-IF(MI$10=1,MAX($D$30,ABS(MH$30),ABS('Monthly P&amp;L'!MH30*(1+'Model Assumptions'!MI$23))),0)</f>
        <v>0</v>
      </c>
      <c r="MJ30" s="56">
        <f>-IF(MJ$10=1,MAX($D$30,ABS(MI$30),ABS('Monthly P&amp;L'!MI30*(1+'Model Assumptions'!MJ$23))),0)</f>
        <v>0</v>
      </c>
      <c r="MK30" s="56">
        <f>-IF(MK$10=1,MAX($D$30,ABS(MJ$30),ABS('Monthly P&amp;L'!MJ30*(1+'Model Assumptions'!MK$23))),0)</f>
        <v>0</v>
      </c>
      <c r="ML30" s="56">
        <f>-IF(ML$10=1,MAX($D$30,ABS(MK$30),ABS('Monthly P&amp;L'!MK30*(1+'Model Assumptions'!ML$23))),0)</f>
        <v>0</v>
      </c>
      <c r="MM30" s="56">
        <f>-IF(MM$10=1,MAX($D$30,ABS(ML$30),ABS('Monthly P&amp;L'!ML30*(1+'Model Assumptions'!MM$23))),0)</f>
        <v>0</v>
      </c>
      <c r="MN30" s="56">
        <f>-IF(MN$10=1,MAX($D$30,ABS(MM$30),ABS('Monthly P&amp;L'!MM30*(1+'Model Assumptions'!MN$23))),0)</f>
        <v>0</v>
      </c>
      <c r="MO30" s="56">
        <f>-IF(MO$10=1,MAX($D$30,ABS(MN$30),ABS('Monthly P&amp;L'!MN30*(1+'Model Assumptions'!MO$23))),0)</f>
        <v>0</v>
      </c>
      <c r="MP30" s="56">
        <f>-IF(MP$10=1,MAX($D$30,ABS(MO$30),ABS('Monthly P&amp;L'!MO30*(1+'Model Assumptions'!MP$23))),0)</f>
        <v>0</v>
      </c>
      <c r="MQ30" s="56">
        <f>-IF(MQ$10=1,MAX($D$30,ABS(MP$30),ABS('Monthly P&amp;L'!MP30*(1+'Model Assumptions'!MQ$23))),0)</f>
        <v>0</v>
      </c>
      <c r="MR30" s="56">
        <f>-IF(MR$10=1,MAX($D$30,ABS(MQ$30),ABS('Monthly P&amp;L'!MQ30*(1+'Model Assumptions'!MR$23))),0)</f>
        <v>0</v>
      </c>
      <c r="MS30" s="56">
        <f>-IF(MS$10=1,MAX($D$30,ABS(MR$30),ABS('Monthly P&amp;L'!MR30*(1+'Model Assumptions'!MS$23))),0)</f>
        <v>0</v>
      </c>
      <c r="MT30" s="56">
        <f>-IF(MT$10=1,MAX($D$30,ABS(MS$30),ABS('Monthly P&amp;L'!MS30*(1+'Model Assumptions'!MT$23))),0)</f>
        <v>0</v>
      </c>
      <c r="MU30" s="56">
        <f>-IF(MU$10=1,MAX($D$30,ABS(MT$30),ABS('Monthly P&amp;L'!MT30*(1+'Model Assumptions'!MU$23))),0)</f>
        <v>0</v>
      </c>
      <c r="MV30" s="56">
        <f>-IF(MV$10=1,MAX($D$30,ABS(MU$30),ABS('Monthly P&amp;L'!MU30*(1+'Model Assumptions'!MV$23))),0)</f>
        <v>0</v>
      </c>
      <c r="MW30" s="56">
        <f>-IF(MW$10=1,MAX($D$30,ABS(MV$30),ABS('Monthly P&amp;L'!MV30*(1+'Model Assumptions'!MW$23))),0)</f>
        <v>0</v>
      </c>
      <c r="MX30" s="56">
        <f>-IF(MX$10=1,MAX($D$30,ABS(MW$30),ABS('Monthly P&amp;L'!MW30*(1+'Model Assumptions'!MX$23))),0)</f>
        <v>0</v>
      </c>
      <c r="MY30" s="56">
        <f>-IF(MY$10=1,MAX($D$30,ABS(MX$30),ABS('Monthly P&amp;L'!MX30*(1+'Model Assumptions'!MY$23))),0)</f>
        <v>0</v>
      </c>
      <c r="MZ30" s="56">
        <f>-IF(MZ$10=1,MAX($D$30,ABS(MY$30),ABS('Monthly P&amp;L'!MY30*(1+'Model Assumptions'!MZ$23))),0)</f>
        <v>0</v>
      </c>
      <c r="NA30" s="56">
        <f>-IF(NA$10=1,MAX($D$30,ABS(MZ$30),ABS('Monthly P&amp;L'!MZ30*(1+'Model Assumptions'!NA$23))),0)</f>
        <v>0</v>
      </c>
      <c r="NB30" s="56">
        <f>-IF(NB$10=1,MAX($D$30,ABS(NA$30),ABS('Monthly P&amp;L'!NA30*(1+'Model Assumptions'!NB$23))),0)</f>
        <v>0</v>
      </c>
    </row>
    <row r="31" spans="1:366" x14ac:dyDescent="0.15">
      <c r="B31" s="45" t="s">
        <v>137</v>
      </c>
      <c r="C31" s="193">
        <f>repair_allowance</f>
        <v>8400</v>
      </c>
      <c r="D31" s="40">
        <f>C31/12</f>
        <v>700</v>
      </c>
      <c r="F31" s="56">
        <v>0</v>
      </c>
      <c r="G31" s="56">
        <f>-IF(G$10=1,MAX($D$31,ABS(F$31),ABS('Monthly P&amp;L'!F31*(1+'Model Assumptions'!G$24))),0)</f>
        <v>-700</v>
      </c>
      <c r="H31" s="56">
        <f>-IF(H$10=1,MAX($D$31,ABS(G$31),ABS('Monthly P&amp;L'!G31*(1+'Model Assumptions'!H$24))),0)</f>
        <v>-700</v>
      </c>
      <c r="I31" s="56">
        <f>-IF(I$10=1,MAX($D$31,ABS(H$31),ABS('Monthly P&amp;L'!H31*(1+'Model Assumptions'!I$24))),0)</f>
        <v>-700</v>
      </c>
      <c r="J31" s="56">
        <f>-IF(J$10=1,MAX($D$31,ABS(I$31),ABS('Monthly P&amp;L'!I31*(1+'Model Assumptions'!J$24))),0)</f>
        <v>-700</v>
      </c>
      <c r="K31" s="56">
        <f>-IF(K$10=1,MAX($D$31,ABS(J$31),ABS('Monthly P&amp;L'!J31*(1+'Model Assumptions'!K$24))),0)</f>
        <v>-700</v>
      </c>
      <c r="L31" s="563">
        <f>-IF(L$10=1,MAX($D$31,ABS(K$31),ABS('Monthly P&amp;L'!K31*(1+'Model Assumptions'!L$24))),0)</f>
        <v>-700</v>
      </c>
      <c r="M31" s="56">
        <f>-IF(M$10=1,MAX($D$31,ABS(L$31),ABS('Monthly P&amp;L'!L31*(1+'Model Assumptions'!M$24))),0)</f>
        <v>-700</v>
      </c>
      <c r="N31" s="56">
        <f>-IF(N$10=1,MAX($D$31,ABS(M$31),ABS('Monthly P&amp;L'!M31*(1+'Model Assumptions'!N$24))),0)</f>
        <v>-700</v>
      </c>
      <c r="O31" s="56">
        <f>-IF(O$10=1,MAX($D$31,ABS(N$31),ABS('Monthly P&amp;L'!N31*(1+'Model Assumptions'!O$24))),0)</f>
        <v>-700</v>
      </c>
      <c r="P31" s="56">
        <f>-IF(P$10=1,MAX($D$31,ABS(O$31),ABS('Monthly P&amp;L'!O31*(1+'Model Assumptions'!P$24))),0)</f>
        <v>-700</v>
      </c>
      <c r="Q31" s="56">
        <f>-IF(Q$10=1,MAX($D$31,ABS(P$31),ABS('Monthly P&amp;L'!P31*(1+'Model Assumptions'!Q$24))),0)</f>
        <v>-700</v>
      </c>
      <c r="R31" s="56">
        <f>-IF(R$10=1,MAX($D$31,ABS(Q$31),ABS('Monthly P&amp;L'!Q31*(1+'Model Assumptions'!R$24))),0)</f>
        <v>-700</v>
      </c>
      <c r="S31" s="56">
        <f>-IF(S$10=1,MAX($D$31,ABS(R$31),ABS('Monthly P&amp;L'!R31*(1+'Model Assumptions'!S$24))),0)</f>
        <v>-717.49999999999989</v>
      </c>
      <c r="T31" s="56">
        <f>-IF(T$10=1,MAX($D$31,ABS(S$31),ABS('Monthly P&amp;L'!S31*(1+'Model Assumptions'!T$24))),0)</f>
        <v>-717.49999999999989</v>
      </c>
      <c r="U31" s="56">
        <f>-IF(U$10=1,MAX($D$31,ABS(T$31),ABS('Monthly P&amp;L'!T31*(1+'Model Assumptions'!U$24))),0)</f>
        <v>-717.49999999999989</v>
      </c>
      <c r="V31" s="56">
        <f>-IF(V$10=1,MAX($D$31,ABS(U$31),ABS('Monthly P&amp;L'!U31*(1+'Model Assumptions'!V$24))),0)</f>
        <v>-717.49999999999989</v>
      </c>
      <c r="W31" s="56">
        <f>-IF(W$10=1,MAX($D$31,ABS(V$31),ABS('Monthly P&amp;L'!V31*(1+'Model Assumptions'!W$24))),0)</f>
        <v>-717.49999999999989</v>
      </c>
      <c r="X31" s="56">
        <f>-IF(X$10=1,MAX($D$31,ABS(W$31),ABS('Monthly P&amp;L'!W31*(1+'Model Assumptions'!X$24))),0)</f>
        <v>-717.49999999999989</v>
      </c>
      <c r="Y31" s="56">
        <f>-IF(Y$10=1,MAX($D$31,ABS(X$31),ABS('Monthly P&amp;L'!X31*(1+'Model Assumptions'!Y$24))),0)</f>
        <v>-717.49999999999989</v>
      </c>
      <c r="Z31" s="56">
        <f>-IF(Z$10=1,MAX($D$31,ABS(Y$31),ABS('Monthly P&amp;L'!Y31*(1+'Model Assumptions'!Z$24))),0)</f>
        <v>-717.49999999999989</v>
      </c>
      <c r="AA31" s="56">
        <f>-IF(AA$10=1,MAX($D$31,ABS(Z$31),ABS('Monthly P&amp;L'!Z31*(1+'Model Assumptions'!AA$24))),0)</f>
        <v>-717.49999999999989</v>
      </c>
      <c r="AB31" s="56">
        <f>-IF(AB$10=1,MAX($D$31,ABS(AA$31),ABS('Monthly P&amp;L'!AA31*(1+'Model Assumptions'!AB$24))),0)</f>
        <v>-717.49999999999989</v>
      </c>
      <c r="AC31" s="56">
        <f>-IF(AC$10=1,MAX($D$31,ABS(AB$31),ABS('Monthly P&amp;L'!AB31*(1+'Model Assumptions'!AC$24))),0)</f>
        <v>-717.49999999999989</v>
      </c>
      <c r="AD31" s="56">
        <f>-IF(AD$10=1,MAX($D$31,ABS(AC$31),ABS('Monthly P&amp;L'!AC31*(1+'Model Assumptions'!AD$24))),0)</f>
        <v>-717.49999999999989</v>
      </c>
      <c r="AE31" s="56">
        <f>-IF(AE$10=1,MAX($D$31,ABS(AD$31),ABS('Monthly P&amp;L'!AD31*(1+'Model Assumptions'!AE$24))),0)</f>
        <v>-735.43749999999977</v>
      </c>
      <c r="AF31" s="56">
        <f>-IF(AF$10=1,MAX($D$31,ABS(AE$31),ABS('Monthly P&amp;L'!AE31*(1+'Model Assumptions'!AF$24))),0)</f>
        <v>-735.43749999999977</v>
      </c>
      <c r="AG31" s="56">
        <f>-IF(AG$10=1,MAX($D$31,ABS(AF$31),ABS('Monthly P&amp;L'!AF31*(1+'Model Assumptions'!AG$24))),0)</f>
        <v>-735.43749999999977</v>
      </c>
      <c r="AH31" s="56">
        <f>-IF(AH$10=1,MAX($D$31,ABS(AG$31),ABS('Monthly P&amp;L'!AG31*(1+'Model Assumptions'!AH$24))),0)</f>
        <v>-735.43749999999977</v>
      </c>
      <c r="AI31" s="56">
        <f>-IF(AI$10=1,MAX($D$31,ABS(AH$31),ABS('Monthly P&amp;L'!AH31*(1+'Model Assumptions'!AI$24))),0)</f>
        <v>-735.43749999999977</v>
      </c>
      <c r="AJ31" s="56">
        <f>-IF(AJ$10=1,MAX($D$31,ABS(AI$31),ABS('Monthly P&amp;L'!AI31*(1+'Model Assumptions'!AJ$24))),0)</f>
        <v>-735.43749999999977</v>
      </c>
      <c r="AK31" s="56">
        <f>-IF(AK$10=1,MAX($D$31,ABS(AJ$31),ABS('Monthly P&amp;L'!AJ31*(1+'Model Assumptions'!AK$24))),0)</f>
        <v>-735.43749999999977</v>
      </c>
      <c r="AL31" s="56">
        <f>-IF(AL$10=1,MAX($D$31,ABS(AK$31),ABS('Monthly P&amp;L'!AK31*(1+'Model Assumptions'!AL$24))),0)</f>
        <v>-735.43749999999977</v>
      </c>
      <c r="AM31" s="56">
        <f>-IF(AM$10=1,MAX($D$31,ABS(AL$31),ABS('Monthly P&amp;L'!AL31*(1+'Model Assumptions'!AM$24))),0)</f>
        <v>-735.43749999999977</v>
      </c>
      <c r="AN31" s="56">
        <f>-IF(AN$10=1,MAX($D$31,ABS(AM$31),ABS('Monthly P&amp;L'!AM31*(1+'Model Assumptions'!AN$24))),0)</f>
        <v>-735.43749999999977</v>
      </c>
      <c r="AO31" s="56">
        <f>-IF(AO$10=1,MAX($D$31,ABS(AN$31),ABS('Monthly P&amp;L'!AN31*(1+'Model Assumptions'!AO$24))),0)</f>
        <v>-735.43749999999977</v>
      </c>
      <c r="AP31" s="56">
        <f>-IF(AP$10=1,MAX($D$31,ABS(AO$31),ABS('Monthly P&amp;L'!AO31*(1+'Model Assumptions'!AP$24))),0)</f>
        <v>-735.43749999999977</v>
      </c>
      <c r="AQ31" s="56">
        <f>-IF(AQ$10=1,MAX($D$31,ABS(AP$31),ABS('Monthly P&amp;L'!AP31*(1+'Model Assumptions'!AQ$24))),0)</f>
        <v>-753.82343749999973</v>
      </c>
      <c r="AR31" s="56">
        <f>-IF(AR$10=1,MAX($D$31,ABS(AQ$31),ABS('Monthly P&amp;L'!AQ31*(1+'Model Assumptions'!AR$24))),0)</f>
        <v>-753.82343749999973</v>
      </c>
      <c r="AS31" s="56">
        <f>-IF(AS$10=1,MAX($D$31,ABS(AR$31),ABS('Monthly P&amp;L'!AR31*(1+'Model Assumptions'!AS$24))),0)</f>
        <v>-753.82343749999973</v>
      </c>
      <c r="AT31" s="56">
        <f>-IF(AT$10=1,MAX($D$31,ABS(AS$31),ABS('Monthly P&amp;L'!AS31*(1+'Model Assumptions'!AT$24))),0)</f>
        <v>-753.82343749999973</v>
      </c>
      <c r="AU31" s="56">
        <f>-IF(AU$10=1,MAX($D$31,ABS(AT$31),ABS('Monthly P&amp;L'!AT31*(1+'Model Assumptions'!AU$24))),0)</f>
        <v>-753.82343749999973</v>
      </c>
      <c r="AV31" s="56">
        <f>-IF(AV$10=1,MAX($D$31,ABS(AU$31),ABS('Monthly P&amp;L'!AU31*(1+'Model Assumptions'!AV$24))),0)</f>
        <v>-753.82343749999973</v>
      </c>
      <c r="AW31" s="56">
        <f>-IF(AW$10=1,MAX($D$31,ABS(AV$31),ABS('Monthly P&amp;L'!AV31*(1+'Model Assumptions'!AW$24))),0)</f>
        <v>-753.82343749999973</v>
      </c>
      <c r="AX31" s="56">
        <f>-IF(AX$10=1,MAX($D$31,ABS(AW$31),ABS('Monthly P&amp;L'!AW31*(1+'Model Assumptions'!AX$24))),0)</f>
        <v>-753.82343749999973</v>
      </c>
      <c r="AY31" s="56">
        <f>-IF(AY$10=1,MAX($D$31,ABS(AX$31),ABS('Monthly P&amp;L'!AX31*(1+'Model Assumptions'!AY$24))),0)</f>
        <v>-753.82343749999973</v>
      </c>
      <c r="AZ31" s="56">
        <f>-IF(AZ$10=1,MAX($D$31,ABS(AY$31),ABS('Monthly P&amp;L'!AY31*(1+'Model Assumptions'!AZ$24))),0)</f>
        <v>-753.82343749999973</v>
      </c>
      <c r="BA31" s="56">
        <f>-IF(BA$10=1,MAX($D$31,ABS(AZ$31),ABS('Monthly P&amp;L'!AZ31*(1+'Model Assumptions'!BA$24))),0)</f>
        <v>-753.82343749999973</v>
      </c>
      <c r="BB31" s="56">
        <f>-IF(BB$10=1,MAX($D$31,ABS(BA$31),ABS('Monthly P&amp;L'!BA31*(1+'Model Assumptions'!BB$24))),0)</f>
        <v>-753.82343749999973</v>
      </c>
      <c r="BC31" s="56">
        <f>-IF(BC$10=1,MAX($D$31,ABS(BB$31),ABS('Monthly P&amp;L'!BB31*(1+'Model Assumptions'!BC$24))),0)</f>
        <v>-772.66902343749962</v>
      </c>
      <c r="BD31" s="56">
        <f>-IF(BD$10=1,MAX($D$31,ABS(BC$31),ABS('Monthly P&amp;L'!BC31*(1+'Model Assumptions'!BD$24))),0)</f>
        <v>-772.66902343749962</v>
      </c>
      <c r="BE31" s="56">
        <f>-IF(BE$10=1,MAX($D$31,ABS(BD$31),ABS('Monthly P&amp;L'!BD31*(1+'Model Assumptions'!BE$24))),0)</f>
        <v>-772.66902343749962</v>
      </c>
      <c r="BF31" s="56">
        <f>-IF(BF$10=1,MAX($D$31,ABS(BE$31),ABS('Monthly P&amp;L'!BE31*(1+'Model Assumptions'!BF$24))),0)</f>
        <v>-772.66902343749962</v>
      </c>
      <c r="BG31" s="56">
        <f>-IF(BG$10=1,MAX($D$31,ABS(BF$31),ABS('Monthly P&amp;L'!BF31*(1+'Model Assumptions'!BG$24))),0)</f>
        <v>-772.66902343749962</v>
      </c>
      <c r="BH31" s="56">
        <f>-IF(BH$10=1,MAX($D$31,ABS(BG$31),ABS('Monthly P&amp;L'!BG31*(1+'Model Assumptions'!BH$24))),0)</f>
        <v>-772.66902343749962</v>
      </c>
      <c r="BI31" s="56">
        <f>-IF(BI$10=1,MAX($D$31,ABS(BH$31),ABS('Monthly P&amp;L'!BH31*(1+'Model Assumptions'!BI$24))),0)</f>
        <v>-772.66902343749962</v>
      </c>
      <c r="BJ31" s="56">
        <f>-IF(BJ$10=1,MAX($D$31,ABS(BI$31),ABS('Monthly P&amp;L'!BI31*(1+'Model Assumptions'!BJ$24))),0)</f>
        <v>-772.66902343749962</v>
      </c>
      <c r="BK31" s="56">
        <f>-IF(BK$10=1,MAX($D$31,ABS(BJ$31),ABS('Monthly P&amp;L'!BJ31*(1+'Model Assumptions'!BK$24))),0)</f>
        <v>-772.66902343749962</v>
      </c>
      <c r="BL31" s="56">
        <f>-IF(BL$10=1,MAX($D$31,ABS(BK$31),ABS('Monthly P&amp;L'!BK31*(1+'Model Assumptions'!BL$24))),0)</f>
        <v>-772.66902343749962</v>
      </c>
      <c r="BM31" s="56">
        <f>-IF(BM$10=1,MAX($D$31,ABS(BL$31),ABS('Monthly P&amp;L'!BL31*(1+'Model Assumptions'!BM$24))),0)</f>
        <v>-772.66902343749962</v>
      </c>
      <c r="BN31" s="56">
        <f>-IF(BN$10=1,MAX($D$31,ABS(BM$31),ABS('Monthly P&amp;L'!BM31*(1+'Model Assumptions'!BN$24))),0)</f>
        <v>-772.66902343749962</v>
      </c>
      <c r="BO31" s="56">
        <f>-IF(BO$10=1,MAX($D$31,ABS(BN$31),ABS('Monthly P&amp;L'!BN31*(1+'Model Assumptions'!BO$24))),0)</f>
        <v>-791.98574902343705</v>
      </c>
      <c r="BP31" s="56">
        <f>-IF(BP$10=1,MAX($D$31,ABS(BO$31),ABS('Monthly P&amp;L'!BO31*(1+'Model Assumptions'!BP$24))),0)</f>
        <v>-791.98574902343705</v>
      </c>
      <c r="BQ31" s="56">
        <f>-IF(BQ$10=1,MAX($D$31,ABS(BP$31),ABS('Monthly P&amp;L'!BP31*(1+'Model Assumptions'!BQ$24))),0)</f>
        <v>-791.98574902343705</v>
      </c>
      <c r="BR31" s="56">
        <f>-IF(BR$10=1,MAX($D$31,ABS(BQ$31),ABS('Monthly P&amp;L'!BQ31*(1+'Model Assumptions'!BR$24))),0)</f>
        <v>-791.98574902343705</v>
      </c>
      <c r="BS31" s="56">
        <f>-IF(BS$10=1,MAX($D$31,ABS(BR$31),ABS('Monthly P&amp;L'!BR31*(1+'Model Assumptions'!BS$24))),0)</f>
        <v>-791.98574902343705</v>
      </c>
      <c r="BT31" s="56">
        <f>-IF(BT$10=1,MAX($D$31,ABS(BS$31),ABS('Monthly P&amp;L'!BS31*(1+'Model Assumptions'!BT$24))),0)</f>
        <v>-791.98574902343705</v>
      </c>
      <c r="BU31" s="56">
        <f>-IF(BU$10=1,MAX($D$31,ABS(BT$31),ABS('Monthly P&amp;L'!BT31*(1+'Model Assumptions'!BU$24))),0)</f>
        <v>-791.98574902343705</v>
      </c>
      <c r="BV31" s="56">
        <f>-IF(BV$10=1,MAX($D$31,ABS(BU$31),ABS('Monthly P&amp;L'!BU31*(1+'Model Assumptions'!BV$24))),0)</f>
        <v>-791.98574902343705</v>
      </c>
      <c r="BW31" s="56">
        <f>-IF(BW$10=1,MAX($D$31,ABS(BV$31),ABS('Monthly P&amp;L'!BV31*(1+'Model Assumptions'!BW$24))),0)</f>
        <v>-791.98574902343705</v>
      </c>
      <c r="BX31" s="56">
        <f>-IF(BX$10=1,MAX($D$31,ABS(BW$31),ABS('Monthly P&amp;L'!BW31*(1+'Model Assumptions'!BX$24))),0)</f>
        <v>-791.98574902343705</v>
      </c>
      <c r="BY31" s="56">
        <f>-IF(BY$10=1,MAX($D$31,ABS(BX$31),ABS('Monthly P&amp;L'!BX31*(1+'Model Assumptions'!BY$24))),0)</f>
        <v>-791.98574902343705</v>
      </c>
      <c r="BZ31" s="56">
        <f>-IF(BZ$10=1,MAX($D$31,ABS(BY$31),ABS('Monthly P&amp;L'!BY31*(1+'Model Assumptions'!BZ$24))),0)</f>
        <v>-791.98574902343705</v>
      </c>
      <c r="CA31" s="56">
        <f>-IF(CA$10=1,MAX($D$31,ABS(BZ$31),ABS('Monthly P&amp;L'!BZ31*(1+'Model Assumptions'!CA$24))),0)</f>
        <v>-811.78539274902289</v>
      </c>
      <c r="CB31" s="56">
        <f>-IF(CB$10=1,MAX($D$31,ABS(CA$31),ABS('Monthly P&amp;L'!CA31*(1+'Model Assumptions'!CB$24))),0)</f>
        <v>-811.78539274902289</v>
      </c>
      <c r="CC31" s="56">
        <f>-IF(CC$10=1,MAX($D$31,ABS(CB$31),ABS('Monthly P&amp;L'!CB31*(1+'Model Assumptions'!CC$24))),0)</f>
        <v>-811.78539274902289</v>
      </c>
      <c r="CD31" s="56">
        <f>-IF(CD$10=1,MAX($D$31,ABS(CC$31),ABS('Monthly P&amp;L'!CC31*(1+'Model Assumptions'!CD$24))),0)</f>
        <v>-811.78539274902289</v>
      </c>
      <c r="CE31" s="56">
        <f>-IF(CE$10=1,MAX($D$31,ABS(CD$31),ABS('Monthly P&amp;L'!CD31*(1+'Model Assumptions'!CE$24))),0)</f>
        <v>-811.78539274902289</v>
      </c>
      <c r="CF31" s="56">
        <f>-IF(CF$10=1,MAX($D$31,ABS(CE$31),ABS('Monthly P&amp;L'!CE31*(1+'Model Assumptions'!CF$24))),0)</f>
        <v>-811.78539274902289</v>
      </c>
      <c r="CG31" s="56">
        <f>-IF(CG$10=1,MAX($D$31,ABS(CF$31),ABS('Monthly P&amp;L'!CF31*(1+'Model Assumptions'!CG$24))),0)</f>
        <v>-811.78539274902289</v>
      </c>
      <c r="CH31" s="56">
        <f>-IF(CH$10=1,MAX($D$31,ABS(CG$31),ABS('Monthly P&amp;L'!CG31*(1+'Model Assumptions'!CH$24))),0)</f>
        <v>-811.78539274902289</v>
      </c>
      <c r="CI31" s="56">
        <f>-IF(CI$10=1,MAX($D$31,ABS(CH$31),ABS('Monthly P&amp;L'!CH31*(1+'Model Assumptions'!CI$24))),0)</f>
        <v>-811.78539274902289</v>
      </c>
      <c r="CJ31" s="56">
        <f>-IF(CJ$10=1,MAX($D$31,ABS(CI$31),ABS('Monthly P&amp;L'!CI31*(1+'Model Assumptions'!CJ$24))),0)</f>
        <v>-811.78539274902289</v>
      </c>
      <c r="CK31" s="56">
        <f>-IF(CK$10=1,MAX($D$31,ABS(CJ$31),ABS('Monthly P&amp;L'!CJ31*(1+'Model Assumptions'!CK$24))),0)</f>
        <v>-811.78539274902289</v>
      </c>
      <c r="CL31" s="56">
        <f>-IF(CL$10=1,MAX($D$31,ABS(CK$31),ABS('Monthly P&amp;L'!CK31*(1+'Model Assumptions'!CL$24))),0)</f>
        <v>-811.78539274902289</v>
      </c>
      <c r="CM31" s="56">
        <f>-IF(CM$10=1,MAX($D$31,ABS(CL$31),ABS('Monthly P&amp;L'!CL31*(1+'Model Assumptions'!CM$24))),0)</f>
        <v>-832.0800275677484</v>
      </c>
      <c r="CN31" s="56">
        <f>-IF(CN$10=1,MAX($D$31,ABS(CM$31),ABS('Monthly P&amp;L'!CM31*(1+'Model Assumptions'!CN$24))),0)</f>
        <v>-832.0800275677484</v>
      </c>
      <c r="CO31" s="56">
        <f>-IF(CO$10=1,MAX($D$31,ABS(CN$31),ABS('Monthly P&amp;L'!CN31*(1+'Model Assumptions'!CO$24))),0)</f>
        <v>-832.0800275677484</v>
      </c>
      <c r="CP31" s="56">
        <f>-IF(CP$10=1,MAX($D$31,ABS(CO$31),ABS('Monthly P&amp;L'!CO31*(1+'Model Assumptions'!CP$24))),0)</f>
        <v>-832.0800275677484</v>
      </c>
      <c r="CQ31" s="56">
        <f>-IF(CQ$10=1,MAX($D$31,ABS(CP$31),ABS('Monthly P&amp;L'!CP31*(1+'Model Assumptions'!CQ$24))),0)</f>
        <v>-832.0800275677484</v>
      </c>
      <c r="CR31" s="56">
        <f>-IF(CR$10=1,MAX($D$31,ABS(CQ$31),ABS('Monthly P&amp;L'!CQ31*(1+'Model Assumptions'!CR$24))),0)</f>
        <v>-832.0800275677484</v>
      </c>
      <c r="CS31" s="56">
        <f>-IF(CS$10=1,MAX($D$31,ABS(CR$31),ABS('Monthly P&amp;L'!CR31*(1+'Model Assumptions'!CS$24))),0)</f>
        <v>-832.0800275677484</v>
      </c>
      <c r="CT31" s="56">
        <f>-IF(CT$10=1,MAX($D$31,ABS(CS$31),ABS('Monthly P&amp;L'!CS31*(1+'Model Assumptions'!CT$24))),0)</f>
        <v>-832.0800275677484</v>
      </c>
      <c r="CU31" s="56">
        <f>-IF(CU$10=1,MAX($D$31,ABS(CT$31),ABS('Monthly P&amp;L'!CT31*(1+'Model Assumptions'!CU$24))),0)</f>
        <v>-832.0800275677484</v>
      </c>
      <c r="CV31" s="56">
        <f>-IF(CV$10=1,MAX($D$31,ABS(CU$31),ABS('Monthly P&amp;L'!CU31*(1+'Model Assumptions'!CV$24))),0)</f>
        <v>-832.0800275677484</v>
      </c>
      <c r="CW31" s="56">
        <f>-IF(CW$10=1,MAX($D$31,ABS(CV$31),ABS('Monthly P&amp;L'!CV31*(1+'Model Assumptions'!CW$24))),0)</f>
        <v>-832.0800275677484</v>
      </c>
      <c r="CX31" s="56">
        <f>-IF(CX$10=1,MAX($D$31,ABS(CW$31),ABS('Monthly P&amp;L'!CW31*(1+'Model Assumptions'!CX$24))),0)</f>
        <v>-832.0800275677484</v>
      </c>
      <c r="CY31" s="56">
        <f>-IF(CY$10=1,MAX($D$31,ABS(CX$31),ABS('Monthly P&amp;L'!CX31*(1+'Model Assumptions'!CY$24))),0)</f>
        <v>-852.88202825694202</v>
      </c>
      <c r="CZ31" s="56">
        <f>-IF(CZ$10=1,MAX($D$31,ABS(CY$31),ABS('Monthly P&amp;L'!CY31*(1+'Model Assumptions'!CZ$24))),0)</f>
        <v>-852.88202825694202</v>
      </c>
      <c r="DA31" s="56">
        <f>-IF(DA$10=1,MAX($D$31,ABS(CZ$31),ABS('Monthly P&amp;L'!CZ31*(1+'Model Assumptions'!DA$24))),0)</f>
        <v>-852.88202825694202</v>
      </c>
      <c r="DB31" s="56">
        <f>-IF(DB$10=1,MAX($D$31,ABS(DA$31),ABS('Monthly P&amp;L'!DA31*(1+'Model Assumptions'!DB$24))),0)</f>
        <v>-852.88202825694202</v>
      </c>
      <c r="DC31" s="56">
        <f>-IF(DC$10=1,MAX($D$31,ABS(DB$31),ABS('Monthly P&amp;L'!DB31*(1+'Model Assumptions'!DC$24))),0)</f>
        <v>-852.88202825694202</v>
      </c>
      <c r="DD31" s="56">
        <f>-IF(DD$10=1,MAX($D$31,ABS(DC$31),ABS('Monthly P&amp;L'!DC31*(1+'Model Assumptions'!DD$24))),0)</f>
        <v>-852.88202825694202</v>
      </c>
      <c r="DE31" s="56">
        <f>-IF(DE$10=1,MAX($D$31,ABS(DD$31),ABS('Monthly P&amp;L'!DD31*(1+'Model Assumptions'!DE$24))),0)</f>
        <v>-852.88202825694202</v>
      </c>
      <c r="DF31" s="56">
        <f>-IF(DF$10=1,MAX($D$31,ABS(DE$31),ABS('Monthly P&amp;L'!DE31*(1+'Model Assumptions'!DF$24))),0)</f>
        <v>-852.88202825694202</v>
      </c>
      <c r="DG31" s="56">
        <f>-IF(DG$10=1,MAX($D$31,ABS(DF$31),ABS('Monthly P&amp;L'!DF31*(1+'Model Assumptions'!DG$24))),0)</f>
        <v>-852.88202825694202</v>
      </c>
      <c r="DH31" s="56">
        <f>-IF(DH$10=1,MAX($D$31,ABS(DG$31),ABS('Monthly P&amp;L'!DG31*(1+'Model Assumptions'!DH$24))),0)</f>
        <v>-852.88202825694202</v>
      </c>
      <c r="DI31" s="56">
        <f>-IF(DI$10=1,MAX($D$31,ABS(DH$31),ABS('Monthly P&amp;L'!DH31*(1+'Model Assumptions'!DI$24))),0)</f>
        <v>-852.88202825694202</v>
      </c>
      <c r="DJ31" s="56">
        <f>-IF(DJ$10=1,MAX($D$31,ABS(DI$31),ABS('Monthly P&amp;L'!DI31*(1+'Model Assumptions'!DJ$24))),0)</f>
        <v>-852.88202825694202</v>
      </c>
      <c r="DK31" s="56">
        <f>-IF(DK$10=1,MAX($D$31,ABS(DJ$31),ABS('Monthly P&amp;L'!DJ31*(1+'Model Assumptions'!DK$24))),0)</f>
        <v>-874.20407896336553</v>
      </c>
      <c r="DL31" s="56">
        <f>-IF(DL$10=1,MAX($D$31,ABS(DK$31),ABS('Monthly P&amp;L'!DK31*(1+'Model Assumptions'!DL$24))),0)</f>
        <v>-874.20407896336553</v>
      </c>
      <c r="DM31" s="56">
        <f>-IF(DM$10=1,MAX($D$31,ABS(DL$31),ABS('Monthly P&amp;L'!DL31*(1+'Model Assumptions'!DM$24))),0)</f>
        <v>-874.20407896336553</v>
      </c>
      <c r="DN31" s="56">
        <f>-IF(DN$10=1,MAX($D$31,ABS(DM$31),ABS('Monthly P&amp;L'!DM31*(1+'Model Assumptions'!DN$24))),0)</f>
        <v>-874.20407896336553</v>
      </c>
      <c r="DO31" s="56">
        <f>-IF(DO$10=1,MAX($D$31,ABS(DN$31),ABS('Monthly P&amp;L'!DN31*(1+'Model Assumptions'!DO$24))),0)</f>
        <v>-874.20407896336553</v>
      </c>
      <c r="DP31" s="56">
        <f>-IF(DP$10=1,MAX($D$31,ABS(DO$31),ABS('Monthly P&amp;L'!DO31*(1+'Model Assumptions'!DP$24))),0)</f>
        <v>-874.20407896336553</v>
      </c>
      <c r="DQ31" s="56">
        <f>-IF(DQ$10=1,MAX($D$31,ABS(DP$31),ABS('Monthly P&amp;L'!DP31*(1+'Model Assumptions'!DQ$24))),0)</f>
        <v>-874.20407896336553</v>
      </c>
      <c r="DR31" s="56">
        <f>-IF(DR$10=1,MAX($D$31,ABS(DQ$31),ABS('Monthly P&amp;L'!DQ31*(1+'Model Assumptions'!DR$24))),0)</f>
        <v>-874.20407896336553</v>
      </c>
      <c r="DS31" s="56">
        <f>-IF(DS$10=1,MAX($D$31,ABS(DR$31),ABS('Monthly P&amp;L'!DR31*(1+'Model Assumptions'!DS$24))),0)</f>
        <v>-874.20407896336553</v>
      </c>
      <c r="DT31" s="56">
        <f>-IF(DT$10=1,MAX($D$31,ABS(DS$31),ABS('Monthly P&amp;L'!DS31*(1+'Model Assumptions'!DT$24))),0)</f>
        <v>-874.20407896336553</v>
      </c>
      <c r="DU31" s="56">
        <f>-IF(DU$10=1,MAX($D$31,ABS(DT$31),ABS('Monthly P&amp;L'!DT31*(1+'Model Assumptions'!DU$24))),0)</f>
        <v>-874.20407896336553</v>
      </c>
      <c r="DV31" s="56">
        <f>-IF(DV$10=1,MAX($D$31,ABS(DU$31),ABS('Monthly P&amp;L'!DU31*(1+'Model Assumptions'!DV$24))),0)</f>
        <v>-874.20407896336553</v>
      </c>
      <c r="DW31" s="56">
        <f>-IF(DW$10=1,MAX($D$31,ABS(DV$31),ABS('Monthly P&amp;L'!DV31*(1+'Model Assumptions'!DW$24))),0)</f>
        <v>-896.05918093744958</v>
      </c>
      <c r="DX31" s="56">
        <f>-IF(DX$10=1,MAX($D$31,ABS(DW$31),ABS('Monthly P&amp;L'!DW31*(1+'Model Assumptions'!DX$24))),0)</f>
        <v>-896.05918093744958</v>
      </c>
      <c r="DY31" s="56">
        <f>-IF(DY$10=1,MAX($D$31,ABS(DX$31),ABS('Monthly P&amp;L'!DX31*(1+'Model Assumptions'!DY$24))),0)</f>
        <v>-896.05918093744958</v>
      </c>
      <c r="DZ31" s="56">
        <f>-IF(DZ$10=1,MAX($D$31,ABS(DY$31),ABS('Monthly P&amp;L'!DY31*(1+'Model Assumptions'!DZ$24))),0)</f>
        <v>-896.05918093744958</v>
      </c>
      <c r="EA31" s="56">
        <f>-IF(EA$10=1,MAX($D$31,ABS(DZ$31),ABS('Monthly P&amp;L'!DZ31*(1+'Model Assumptions'!EA$24))),0)</f>
        <v>-896.05918093744958</v>
      </c>
      <c r="EB31" s="56">
        <f>-IF(EB$10=1,MAX($D$31,ABS(EA$31),ABS('Monthly P&amp;L'!EA31*(1+'Model Assumptions'!EB$24))),0)</f>
        <v>-896.05918093744958</v>
      </c>
      <c r="EC31" s="56">
        <f>-IF(EC$10=1,MAX($D$31,ABS(EB$31),ABS('Monthly P&amp;L'!EB31*(1+'Model Assumptions'!EC$24))),0)</f>
        <v>-896.05918093744958</v>
      </c>
      <c r="ED31" s="56">
        <f>-IF(ED$10=1,MAX($D$31,ABS(EC$31),ABS('Monthly P&amp;L'!EC31*(1+'Model Assumptions'!ED$24))),0)</f>
        <v>-896.05918093744958</v>
      </c>
      <c r="EE31" s="56">
        <f>-IF(EE$10=1,MAX($D$31,ABS(ED$31),ABS('Monthly P&amp;L'!ED31*(1+'Model Assumptions'!EE$24))),0)</f>
        <v>-896.05918093744958</v>
      </c>
      <c r="EF31" s="56">
        <f>-IF(EF$10=1,MAX($D$31,ABS(EE$31),ABS('Monthly P&amp;L'!EE31*(1+'Model Assumptions'!EF$24))),0)</f>
        <v>-896.05918093744958</v>
      </c>
      <c r="EG31" s="56">
        <f>-IF(EG$10=1,MAX($D$31,ABS(EF$31),ABS('Monthly P&amp;L'!EF31*(1+'Model Assumptions'!EG$24))),0)</f>
        <v>-896.05918093744958</v>
      </c>
      <c r="EH31" s="56">
        <f>-IF(EH$10=1,MAX($D$31,ABS(EG$31),ABS('Monthly P&amp;L'!EG31*(1+'Model Assumptions'!EH$24))),0)</f>
        <v>-896.05918093744958</v>
      </c>
      <c r="EI31" s="56">
        <f>-IF(EI$10=1,MAX($D$31,ABS(EH$31),ABS('Monthly P&amp;L'!EH31*(1+'Model Assumptions'!EI$24))),0)</f>
        <v>-918.46066046088572</v>
      </c>
      <c r="EJ31" s="56">
        <f>-IF(EJ$10=1,MAX($D$31,ABS(EI$31),ABS('Monthly P&amp;L'!EI31*(1+'Model Assumptions'!EJ$24))),0)</f>
        <v>-918.46066046088572</v>
      </c>
      <c r="EK31" s="56">
        <f>-IF(EK$10=1,MAX($D$31,ABS(EJ$31),ABS('Monthly P&amp;L'!EJ31*(1+'Model Assumptions'!EK$24))),0)</f>
        <v>-918.46066046088572</v>
      </c>
      <c r="EL31" s="56">
        <f>-IF(EL$10=1,MAX($D$31,ABS(EK$31),ABS('Monthly P&amp;L'!EK31*(1+'Model Assumptions'!EL$24))),0)</f>
        <v>-918.46066046088572</v>
      </c>
      <c r="EM31" s="56">
        <f>-IF(EM$10=1,MAX($D$31,ABS(EL$31),ABS('Monthly P&amp;L'!EL31*(1+'Model Assumptions'!EM$24))),0)</f>
        <v>-918.46066046088572</v>
      </c>
      <c r="EN31" s="56">
        <f>-IF(EN$10=1,MAX($D$31,ABS(EM$31),ABS('Monthly P&amp;L'!EM31*(1+'Model Assumptions'!EN$24))),0)</f>
        <v>-918.46066046088572</v>
      </c>
      <c r="EO31" s="56">
        <f>-IF(EO$10=1,MAX($D$31,ABS(EN$31),ABS('Monthly P&amp;L'!EN31*(1+'Model Assumptions'!EO$24))),0)</f>
        <v>-918.46066046088572</v>
      </c>
      <c r="EP31" s="56">
        <f>-IF(EP$10=1,MAX($D$31,ABS(EO$31),ABS('Monthly P&amp;L'!EO31*(1+'Model Assumptions'!EP$24))),0)</f>
        <v>-918.46066046088572</v>
      </c>
      <c r="EQ31" s="56">
        <f>-IF(EQ$10=1,MAX($D$31,ABS(EP$31),ABS('Monthly P&amp;L'!EP31*(1+'Model Assumptions'!EQ$24))),0)</f>
        <v>-918.46066046088572</v>
      </c>
      <c r="ER31" s="56">
        <f>-IF(ER$10=1,MAX($D$31,ABS(EQ$31),ABS('Monthly P&amp;L'!EQ31*(1+'Model Assumptions'!ER$24))),0)</f>
        <v>-918.46066046088572</v>
      </c>
      <c r="ES31" s="56">
        <f>-IF(ES$10=1,MAX($D$31,ABS(ER$31),ABS('Monthly P&amp;L'!ER31*(1+'Model Assumptions'!ES$24))),0)</f>
        <v>-918.46066046088572</v>
      </c>
      <c r="ET31" s="56">
        <f>-IF(ET$10=1,MAX($D$31,ABS(ES$31),ABS('Monthly P&amp;L'!ES31*(1+'Model Assumptions'!ET$24))),0)</f>
        <v>-918.46066046088572</v>
      </c>
      <c r="EU31" s="56">
        <f>-IF(EU$10=1,MAX($D$31,ABS(ET$31),ABS('Monthly P&amp;L'!ET31*(1+'Model Assumptions'!EU$24))),0)</f>
        <v>-941.42217697240778</v>
      </c>
      <c r="EV31" s="56">
        <f>-IF(EV$10=1,MAX($D$31,ABS(EU$31),ABS('Monthly P&amp;L'!EU31*(1+'Model Assumptions'!EV$24))),0)</f>
        <v>-941.42217697240778</v>
      </c>
      <c r="EW31" s="56">
        <f>-IF(EW$10=1,MAX($D$31,ABS(EV$31),ABS('Monthly P&amp;L'!EV31*(1+'Model Assumptions'!EW$24))),0)</f>
        <v>-941.42217697240778</v>
      </c>
      <c r="EX31" s="56">
        <f>-IF(EX$10=1,MAX($D$31,ABS(EW$31),ABS('Monthly P&amp;L'!EW31*(1+'Model Assumptions'!EX$24))),0)</f>
        <v>-941.42217697240778</v>
      </c>
      <c r="EY31" s="56">
        <f>-IF(EY$10=1,MAX($D$31,ABS(EX$31),ABS('Monthly P&amp;L'!EX31*(1+'Model Assumptions'!EY$24))),0)</f>
        <v>-941.42217697240778</v>
      </c>
      <c r="EZ31" s="56">
        <f>-IF(EZ$10=1,MAX($D$31,ABS(EY$31),ABS('Monthly P&amp;L'!EY31*(1+'Model Assumptions'!EZ$24))),0)</f>
        <v>-941.42217697240778</v>
      </c>
      <c r="FA31" s="56">
        <f>-IF(FA$10=1,MAX($D$31,ABS(EZ$31),ABS('Monthly P&amp;L'!EZ31*(1+'Model Assumptions'!FA$24))),0)</f>
        <v>-941.42217697240778</v>
      </c>
      <c r="FB31" s="56">
        <f>-IF(FB$10=1,MAX($D$31,ABS(FA$31),ABS('Monthly P&amp;L'!FA31*(1+'Model Assumptions'!FB$24))),0)</f>
        <v>-941.42217697240778</v>
      </c>
      <c r="FC31" s="56">
        <f>-IF(FC$10=1,MAX($D$31,ABS(FB$31),ABS('Monthly P&amp;L'!FB31*(1+'Model Assumptions'!FC$24))),0)</f>
        <v>-941.42217697240778</v>
      </c>
      <c r="FD31" s="56">
        <f>-IF(FD$10=1,MAX($D$31,ABS(FC$31),ABS('Monthly P&amp;L'!FC31*(1+'Model Assumptions'!FD$24))),0)</f>
        <v>-941.42217697240778</v>
      </c>
      <c r="FE31" s="56">
        <f>-IF(FE$10=1,MAX($D$31,ABS(FD$31),ABS('Monthly P&amp;L'!FD31*(1+'Model Assumptions'!FE$24))),0)</f>
        <v>-941.42217697240778</v>
      </c>
      <c r="FF31" s="56">
        <f>-IF(FF$10=1,MAX($D$31,ABS(FE$31),ABS('Monthly P&amp;L'!FE31*(1+'Model Assumptions'!FF$24))),0)</f>
        <v>-941.42217697240778</v>
      </c>
      <c r="FG31" s="56">
        <f>-IF(FG$10=1,MAX($D$31,ABS(FF$31),ABS('Monthly P&amp;L'!FF31*(1+'Model Assumptions'!FG$24))),0)</f>
        <v>-964.95773139671792</v>
      </c>
      <c r="FH31" s="56">
        <f>-IF(FH$10=1,MAX($D$31,ABS(FG$31),ABS('Monthly P&amp;L'!FG31*(1+'Model Assumptions'!FH$24))),0)</f>
        <v>-964.95773139671792</v>
      </c>
      <c r="FI31" s="56">
        <f>-IF(FI$10=1,MAX($D$31,ABS(FH$31),ABS('Monthly P&amp;L'!FH31*(1+'Model Assumptions'!FI$24))),0)</f>
        <v>-964.95773139671792</v>
      </c>
      <c r="FJ31" s="56">
        <f>-IF(FJ$10=1,MAX($D$31,ABS(FI$31),ABS('Monthly P&amp;L'!FI31*(1+'Model Assumptions'!FJ$24))),0)</f>
        <v>-964.95773139671792</v>
      </c>
      <c r="FK31" s="56">
        <f>-IF(FK$10=1,MAX($D$31,ABS(FJ$31),ABS('Monthly P&amp;L'!FJ31*(1+'Model Assumptions'!FK$24))),0)</f>
        <v>-964.95773139671792</v>
      </c>
      <c r="FL31" s="56">
        <f>-IF(FL$10=1,MAX($D$31,ABS(FK$31),ABS('Monthly P&amp;L'!FK31*(1+'Model Assumptions'!FL$24))),0)</f>
        <v>-964.95773139671792</v>
      </c>
      <c r="FM31" s="56">
        <f>-IF(FM$10=1,MAX($D$31,ABS(FL$31),ABS('Monthly P&amp;L'!FL31*(1+'Model Assumptions'!FM$24))),0)</f>
        <v>-964.95773139671792</v>
      </c>
      <c r="FN31" s="56">
        <f>-IF(FN$10=1,MAX($D$31,ABS(FM$31),ABS('Monthly P&amp;L'!FM31*(1+'Model Assumptions'!FN$24))),0)</f>
        <v>-964.95773139671792</v>
      </c>
      <c r="FO31" s="56">
        <f>-IF(FO$10=1,MAX($D$31,ABS(FN$31),ABS('Monthly P&amp;L'!FN31*(1+'Model Assumptions'!FO$24))),0)</f>
        <v>-964.95773139671792</v>
      </c>
      <c r="FP31" s="56">
        <f>-IF(FP$10=1,MAX($D$31,ABS(FO$31),ABS('Monthly P&amp;L'!FO31*(1+'Model Assumptions'!FP$24))),0)</f>
        <v>-964.95773139671792</v>
      </c>
      <c r="FQ31" s="56">
        <f>-IF(FQ$10=1,MAX($D$31,ABS(FP$31),ABS('Monthly P&amp;L'!FP31*(1+'Model Assumptions'!FQ$24))),0)</f>
        <v>-964.95773139671792</v>
      </c>
      <c r="FR31" s="56">
        <f>-IF(FR$10=1,MAX($D$31,ABS(FQ$31),ABS('Monthly P&amp;L'!FQ31*(1+'Model Assumptions'!FR$24))),0)</f>
        <v>-964.95773139671792</v>
      </c>
      <c r="FS31" s="56">
        <f>-IF(FS$10=1,MAX($D$31,ABS(FR$31),ABS('Monthly P&amp;L'!FR31*(1+'Model Assumptions'!FS$24))),0)</f>
        <v>-989.08167468163583</v>
      </c>
      <c r="FT31" s="56">
        <f>-IF(FT$10=1,MAX($D$31,ABS(FS$31),ABS('Monthly P&amp;L'!FS31*(1+'Model Assumptions'!FT$24))),0)</f>
        <v>-989.08167468163583</v>
      </c>
      <c r="FU31" s="56">
        <f>-IF(FU$10=1,MAX($D$31,ABS(FT$31),ABS('Monthly P&amp;L'!FT31*(1+'Model Assumptions'!FU$24))),0)</f>
        <v>-989.08167468163583</v>
      </c>
      <c r="FV31" s="56">
        <f>-IF(FV$10=1,MAX($D$31,ABS(FU$31),ABS('Monthly P&amp;L'!FU31*(1+'Model Assumptions'!FV$24))),0)</f>
        <v>-989.08167468163583</v>
      </c>
      <c r="FW31" s="56">
        <f>-IF(FW$10=1,MAX($D$31,ABS(FV$31),ABS('Monthly P&amp;L'!FV31*(1+'Model Assumptions'!FW$24))),0)</f>
        <v>-989.08167468163583</v>
      </c>
      <c r="FX31" s="56">
        <f>-IF(FX$10=1,MAX($D$31,ABS(FW$31),ABS('Monthly P&amp;L'!FW31*(1+'Model Assumptions'!FX$24))),0)</f>
        <v>-989.08167468163583</v>
      </c>
      <c r="FY31" s="56">
        <f>-IF(FY$10=1,MAX($D$31,ABS(FX$31),ABS('Monthly P&amp;L'!FX31*(1+'Model Assumptions'!FY$24))),0)</f>
        <v>-989.08167468163583</v>
      </c>
      <c r="FZ31" s="56">
        <f>-IF(FZ$10=1,MAX($D$31,ABS(FY$31),ABS('Monthly P&amp;L'!FY31*(1+'Model Assumptions'!FZ$24))),0)</f>
        <v>-989.08167468163583</v>
      </c>
      <c r="GA31" s="56">
        <f>-IF(GA$10=1,MAX($D$31,ABS(FZ$31),ABS('Monthly P&amp;L'!FZ31*(1+'Model Assumptions'!GA$24))),0)</f>
        <v>-989.08167468163583</v>
      </c>
      <c r="GB31" s="56">
        <f>-IF(GB$10=1,MAX($D$31,ABS(GA$31),ABS('Monthly P&amp;L'!GA31*(1+'Model Assumptions'!GB$24))),0)</f>
        <v>-989.08167468163583</v>
      </c>
      <c r="GC31" s="56">
        <f>-IF(GC$10=1,MAX($D$31,ABS(GB$31),ABS('Monthly P&amp;L'!GB31*(1+'Model Assumptions'!GC$24))),0)</f>
        <v>-989.08167468163583</v>
      </c>
      <c r="GD31" s="56">
        <f>-IF(GD$10=1,MAX($D$31,ABS(GC$31),ABS('Monthly P&amp;L'!GC31*(1+'Model Assumptions'!GD$24))),0)</f>
        <v>-989.08167468163583</v>
      </c>
      <c r="GE31" s="56">
        <f>-IF(GE$10=1,MAX($D$31,ABS(GD$31),ABS('Monthly P&amp;L'!GD31*(1+'Model Assumptions'!GE$24))),0)</f>
        <v>0</v>
      </c>
      <c r="GF31" s="56">
        <f>-IF(GF$10=1,MAX($D$31,ABS(GE$31),ABS('Monthly P&amp;L'!GE31*(1+'Model Assumptions'!GF$24))),0)</f>
        <v>0</v>
      </c>
      <c r="GG31" s="56">
        <f>-IF(GG$10=1,MAX($D$31,ABS(GF$31),ABS('Monthly P&amp;L'!GF31*(1+'Model Assumptions'!GG$24))),0)</f>
        <v>0</v>
      </c>
      <c r="GH31" s="56">
        <f>-IF(GH$10=1,MAX($D$31,ABS(GG$31),ABS('Monthly P&amp;L'!GG31*(1+'Model Assumptions'!GH$24))),0)</f>
        <v>0</v>
      </c>
      <c r="GI31" s="56">
        <f>-IF(GI$10=1,MAX($D$31,ABS(GH$31),ABS('Monthly P&amp;L'!GH31*(1+'Model Assumptions'!GI$24))),0)</f>
        <v>0</v>
      </c>
      <c r="GJ31" s="56">
        <f>-IF(GJ$10=1,MAX($D$31,ABS(GI$31),ABS('Monthly P&amp;L'!GI31*(1+'Model Assumptions'!GJ$24))),0)</f>
        <v>0</v>
      </c>
      <c r="GK31" s="56">
        <f>-IF(GK$10=1,MAX($D$31,ABS(GJ$31),ABS('Monthly P&amp;L'!GJ31*(1+'Model Assumptions'!GK$24))),0)</f>
        <v>0</v>
      </c>
      <c r="GL31" s="56">
        <f>-IF(GL$10=1,MAX($D$31,ABS(GK$31),ABS('Monthly P&amp;L'!GK31*(1+'Model Assumptions'!GL$24))),0)</f>
        <v>0</v>
      </c>
      <c r="GM31" s="56">
        <f>-IF(GM$10=1,MAX($D$31,ABS(GL$31),ABS('Monthly P&amp;L'!GL31*(1+'Model Assumptions'!GM$24))),0)</f>
        <v>0</v>
      </c>
      <c r="GN31" s="56">
        <f>-IF(GN$10=1,MAX($D$31,ABS(GM$31),ABS('Monthly P&amp;L'!GM31*(1+'Model Assumptions'!GN$24))),0)</f>
        <v>0</v>
      </c>
      <c r="GO31" s="56">
        <f>-IF(GO$10=1,MAX($D$31,ABS(GN$31),ABS('Monthly P&amp;L'!GN31*(1+'Model Assumptions'!GO$24))),0)</f>
        <v>0</v>
      </c>
      <c r="GP31" s="56">
        <f>-IF(GP$10=1,MAX($D$31,ABS(GO$31),ABS('Monthly P&amp;L'!GO31*(1+'Model Assumptions'!GP$24))),0)</f>
        <v>0</v>
      </c>
      <c r="GQ31" s="56">
        <f>-IF(GQ$10=1,MAX($D$31,ABS(GP$31),ABS('Monthly P&amp;L'!GP31*(1+'Model Assumptions'!GQ$24))),0)</f>
        <v>0</v>
      </c>
      <c r="GR31" s="56">
        <f>-IF(GR$10=1,MAX($D$31,ABS(GQ$31),ABS('Monthly P&amp;L'!GQ31*(1+'Model Assumptions'!GR$24))),0)</f>
        <v>0</v>
      </c>
      <c r="GS31" s="56">
        <f>-IF(GS$10=1,MAX($D$31,ABS(GR$31),ABS('Monthly P&amp;L'!GR31*(1+'Model Assumptions'!GS$24))),0)</f>
        <v>0</v>
      </c>
      <c r="GT31" s="56">
        <f>-IF(GT$10=1,MAX($D$31,ABS(GS$31),ABS('Monthly P&amp;L'!GS31*(1+'Model Assumptions'!GT$24))),0)</f>
        <v>0</v>
      </c>
      <c r="GU31" s="56">
        <f>-IF(GU$10=1,MAX($D$31,ABS(GT$31),ABS('Monthly P&amp;L'!GT31*(1+'Model Assumptions'!GU$24))),0)</f>
        <v>0</v>
      </c>
      <c r="GV31" s="56">
        <f>-IF(GV$10=1,MAX($D$31,ABS(GU$31),ABS('Monthly P&amp;L'!GU31*(1+'Model Assumptions'!GV$24))),0)</f>
        <v>0</v>
      </c>
      <c r="GW31" s="56">
        <f>-IF(GW$10=1,MAX($D$31,ABS(GV$31),ABS('Monthly P&amp;L'!GV31*(1+'Model Assumptions'!GW$24))),0)</f>
        <v>0</v>
      </c>
      <c r="GX31" s="56">
        <f>-IF(GX$10=1,MAX($D$31,ABS(GW$31),ABS('Monthly P&amp;L'!GW31*(1+'Model Assumptions'!GX$24))),0)</f>
        <v>0</v>
      </c>
      <c r="GY31" s="56">
        <f>-IF(GY$10=1,MAX($D$31,ABS(GX$31),ABS('Monthly P&amp;L'!GX31*(1+'Model Assumptions'!GY$24))),0)</f>
        <v>0</v>
      </c>
      <c r="GZ31" s="56">
        <f>-IF(GZ$10=1,MAX($D$31,ABS(GY$31),ABS('Monthly P&amp;L'!GY31*(1+'Model Assumptions'!GZ$24))),0)</f>
        <v>0</v>
      </c>
      <c r="HA31" s="56">
        <f>-IF(HA$10=1,MAX($D$31,ABS(GZ$31),ABS('Monthly P&amp;L'!GZ31*(1+'Model Assumptions'!HA$24))),0)</f>
        <v>0</v>
      </c>
      <c r="HB31" s="56">
        <f>-IF(HB$10=1,MAX($D$31,ABS(HA$31),ABS('Monthly P&amp;L'!HA31*(1+'Model Assumptions'!HB$24))),0)</f>
        <v>0</v>
      </c>
      <c r="HC31" s="56">
        <f>-IF(HC$10=1,MAX($D$31,ABS(HB$31),ABS('Monthly P&amp;L'!HB31*(1+'Model Assumptions'!HC$24))),0)</f>
        <v>0</v>
      </c>
      <c r="HD31" s="56">
        <f>-IF(HD$10=1,MAX($D$31,ABS(HC$31),ABS('Monthly P&amp;L'!HC31*(1+'Model Assumptions'!HD$24))),0)</f>
        <v>0</v>
      </c>
      <c r="HE31" s="56">
        <f>-IF(HE$10=1,MAX($D$31,ABS(HD$31),ABS('Monthly P&amp;L'!HD31*(1+'Model Assumptions'!HE$24))),0)</f>
        <v>0</v>
      </c>
      <c r="HF31" s="56">
        <f>-IF(HF$10=1,MAX($D$31,ABS(HE$31),ABS('Monthly P&amp;L'!HE31*(1+'Model Assumptions'!HF$24))),0)</f>
        <v>0</v>
      </c>
      <c r="HG31" s="56">
        <f>-IF(HG$10=1,MAX($D$31,ABS(HF$31),ABS('Monthly P&amp;L'!HF31*(1+'Model Assumptions'!HG$24))),0)</f>
        <v>0</v>
      </c>
      <c r="HH31" s="56">
        <f>-IF(HH$10=1,MAX($D$31,ABS(HG$31),ABS('Monthly P&amp;L'!HG31*(1+'Model Assumptions'!HH$24))),0)</f>
        <v>0</v>
      </c>
      <c r="HI31" s="56">
        <f>-IF(HI$10=1,MAX($D$31,ABS(HH$31),ABS('Monthly P&amp;L'!HH31*(1+'Model Assumptions'!HI$24))),0)</f>
        <v>0</v>
      </c>
      <c r="HJ31" s="56">
        <f>-IF(HJ$10=1,MAX($D$31,ABS(HI$31),ABS('Monthly P&amp;L'!HI31*(1+'Model Assumptions'!HJ$24))),0)</f>
        <v>0</v>
      </c>
      <c r="HK31" s="56">
        <f>-IF(HK$10=1,MAX($D$31,ABS(HJ$31),ABS('Monthly P&amp;L'!HJ31*(1+'Model Assumptions'!HK$24))),0)</f>
        <v>0</v>
      </c>
      <c r="HL31" s="56">
        <f>-IF(HL$10=1,MAX($D$31,ABS(HK$31),ABS('Monthly P&amp;L'!HK31*(1+'Model Assumptions'!HL$24))),0)</f>
        <v>0</v>
      </c>
      <c r="HM31" s="56">
        <f>-IF(HM$10=1,MAX($D$31,ABS(HL$31),ABS('Monthly P&amp;L'!HL31*(1+'Model Assumptions'!HM$24))),0)</f>
        <v>0</v>
      </c>
      <c r="HN31" s="56">
        <f>-IF(HN$10=1,MAX($D$31,ABS(HM$31),ABS('Monthly P&amp;L'!HM31*(1+'Model Assumptions'!HN$24))),0)</f>
        <v>0</v>
      </c>
      <c r="HO31" s="56">
        <f>-IF(HO$10=1,MAX($D$31,ABS(HN$31),ABS('Monthly P&amp;L'!HN31*(1+'Model Assumptions'!HO$24))),0)</f>
        <v>0</v>
      </c>
      <c r="HP31" s="56">
        <f>-IF(HP$10=1,MAX($D$31,ABS(HO$31),ABS('Monthly P&amp;L'!HO31*(1+'Model Assumptions'!HP$24))),0)</f>
        <v>0</v>
      </c>
      <c r="HQ31" s="56">
        <f>-IF(HQ$10=1,MAX($D$31,ABS(HP$31),ABS('Monthly P&amp;L'!HP31*(1+'Model Assumptions'!HQ$24))),0)</f>
        <v>0</v>
      </c>
      <c r="HR31" s="56">
        <f>-IF(HR$10=1,MAX($D$31,ABS(HQ$31),ABS('Monthly P&amp;L'!HQ31*(1+'Model Assumptions'!HR$24))),0)</f>
        <v>0</v>
      </c>
      <c r="HS31" s="56">
        <f>-IF(HS$10=1,MAX($D$31,ABS(HR$31),ABS('Monthly P&amp;L'!HR31*(1+'Model Assumptions'!HS$24))),0)</f>
        <v>0</v>
      </c>
      <c r="HT31" s="56">
        <f>-IF(HT$10=1,MAX($D$31,ABS(HS$31),ABS('Monthly P&amp;L'!HS31*(1+'Model Assumptions'!HT$24))),0)</f>
        <v>0</v>
      </c>
      <c r="HU31" s="56">
        <f>-IF(HU$10=1,MAX($D$31,ABS(HT$31),ABS('Monthly P&amp;L'!HT31*(1+'Model Assumptions'!HU$24))),0)</f>
        <v>0</v>
      </c>
      <c r="HV31" s="56">
        <f>-IF(HV$10=1,MAX($D$31,ABS(HU$31),ABS('Monthly P&amp;L'!HU31*(1+'Model Assumptions'!HV$24))),0)</f>
        <v>0</v>
      </c>
      <c r="HW31" s="56">
        <f>-IF(HW$10=1,MAX($D$31,ABS(HV$31),ABS('Monthly P&amp;L'!HV31*(1+'Model Assumptions'!HW$24))),0)</f>
        <v>0</v>
      </c>
      <c r="HX31" s="56">
        <f>-IF(HX$10=1,MAX($D$31,ABS(HW$31),ABS('Monthly P&amp;L'!HW31*(1+'Model Assumptions'!HX$24))),0)</f>
        <v>0</v>
      </c>
      <c r="HY31" s="56">
        <f>-IF(HY$10=1,MAX($D$31,ABS(HX$31),ABS('Monthly P&amp;L'!HX31*(1+'Model Assumptions'!HY$24))),0)</f>
        <v>0</v>
      </c>
      <c r="HZ31" s="56">
        <f>-IF(HZ$10=1,MAX($D$31,ABS(HY$31),ABS('Monthly P&amp;L'!HY31*(1+'Model Assumptions'!HZ$24))),0)</f>
        <v>0</v>
      </c>
      <c r="IA31" s="56">
        <f>-IF(IA$10=1,MAX($D$31,ABS(HZ$31),ABS('Monthly P&amp;L'!HZ31*(1+'Model Assumptions'!IA$24))),0)</f>
        <v>0</v>
      </c>
      <c r="IB31" s="56">
        <f>-IF(IB$10=1,MAX($D$31,ABS(IA$31),ABS('Monthly P&amp;L'!IA31*(1+'Model Assumptions'!IB$24))),0)</f>
        <v>0</v>
      </c>
      <c r="IC31" s="56">
        <f>-IF(IC$10=1,MAX($D$31,ABS(IB$31),ABS('Monthly P&amp;L'!IB31*(1+'Model Assumptions'!IC$24))),0)</f>
        <v>0</v>
      </c>
      <c r="ID31" s="56">
        <f>-IF(ID$10=1,MAX($D$31,ABS(IC$31),ABS('Monthly P&amp;L'!IC31*(1+'Model Assumptions'!ID$24))),0)</f>
        <v>0</v>
      </c>
      <c r="IE31" s="56">
        <f>-IF(IE$10=1,MAX($D$31,ABS(ID$31),ABS('Monthly P&amp;L'!ID31*(1+'Model Assumptions'!IE$24))),0)</f>
        <v>0</v>
      </c>
      <c r="IF31" s="56">
        <f>-IF(IF$10=1,MAX($D$31,ABS(IE$31),ABS('Monthly P&amp;L'!IE31*(1+'Model Assumptions'!IF$24))),0)</f>
        <v>0</v>
      </c>
      <c r="IG31" s="56">
        <f>-IF(IG$10=1,MAX($D$31,ABS(IF$31),ABS('Monthly P&amp;L'!IF31*(1+'Model Assumptions'!IG$24))),0)</f>
        <v>0</v>
      </c>
      <c r="IH31" s="56">
        <f>-IF(IH$10=1,MAX($D$31,ABS(IG$31),ABS('Monthly P&amp;L'!IG31*(1+'Model Assumptions'!IH$24))),0)</f>
        <v>0</v>
      </c>
      <c r="II31" s="56">
        <f>-IF(II$10=1,MAX($D$31,ABS(IH$31),ABS('Monthly P&amp;L'!IH31*(1+'Model Assumptions'!II$24))),0)</f>
        <v>0</v>
      </c>
      <c r="IJ31" s="56">
        <f>-IF(IJ$10=1,MAX($D$31,ABS(II$31),ABS('Monthly P&amp;L'!II31*(1+'Model Assumptions'!IJ$24))),0)</f>
        <v>0</v>
      </c>
      <c r="IK31" s="56">
        <f>-IF(IK$10=1,MAX($D$31,ABS(IJ$31),ABS('Monthly P&amp;L'!IJ31*(1+'Model Assumptions'!IK$24))),0)</f>
        <v>0</v>
      </c>
      <c r="IL31" s="56">
        <f>-IF(IL$10=1,MAX($D$31,ABS(IK$31),ABS('Monthly P&amp;L'!IK31*(1+'Model Assumptions'!IL$24))),0)</f>
        <v>0</v>
      </c>
      <c r="IM31" s="56">
        <f>-IF(IM$10=1,MAX($D$31,ABS(IL$31),ABS('Monthly P&amp;L'!IL31*(1+'Model Assumptions'!IM$24))),0)</f>
        <v>0</v>
      </c>
      <c r="IN31" s="56">
        <f>-IF(IN$10=1,MAX($D$31,ABS(IM$31),ABS('Monthly P&amp;L'!IM31*(1+'Model Assumptions'!IN$24))),0)</f>
        <v>0</v>
      </c>
      <c r="IO31" s="56">
        <f>-IF(IO$10=1,MAX($D$31,ABS(IN$31),ABS('Monthly P&amp;L'!IN31*(1+'Model Assumptions'!IO$24))),0)</f>
        <v>0</v>
      </c>
      <c r="IP31" s="56">
        <f>-IF(IP$10=1,MAX($D$31,ABS(IO$31),ABS('Monthly P&amp;L'!IO31*(1+'Model Assumptions'!IP$24))),0)</f>
        <v>0</v>
      </c>
      <c r="IQ31" s="56">
        <f>-IF(IQ$10=1,MAX($D$31,ABS(IP$31),ABS('Monthly P&amp;L'!IP31*(1+'Model Assumptions'!IQ$24))),0)</f>
        <v>0</v>
      </c>
      <c r="IR31" s="56">
        <f>-IF(IR$10=1,MAX($D$31,ABS(IQ$31),ABS('Monthly P&amp;L'!IQ31*(1+'Model Assumptions'!IR$24))),0)</f>
        <v>0</v>
      </c>
      <c r="IS31" s="56">
        <f>-IF(IS$10=1,MAX($D$31,ABS(IR$31),ABS('Monthly P&amp;L'!IR31*(1+'Model Assumptions'!IS$24))),0)</f>
        <v>0</v>
      </c>
      <c r="IT31" s="56">
        <f>-IF(IT$10=1,MAX($D$31,ABS(IS$31),ABS('Monthly P&amp;L'!IS31*(1+'Model Assumptions'!IT$24))),0)</f>
        <v>0</v>
      </c>
      <c r="IU31" s="56">
        <f>-IF(IU$10=1,MAX($D$31,ABS(IT$31),ABS('Monthly P&amp;L'!IT31*(1+'Model Assumptions'!IU$24))),0)</f>
        <v>0</v>
      </c>
      <c r="IV31" s="56">
        <f>-IF(IV$10=1,MAX($D$31,ABS(IU$31),ABS('Monthly P&amp;L'!IU31*(1+'Model Assumptions'!IV$24))),0)</f>
        <v>0</v>
      </c>
      <c r="IW31" s="56">
        <f>-IF(IW$10=1,MAX($D$31,ABS(IV$31),ABS('Monthly P&amp;L'!IV31*(1+'Model Assumptions'!IW$24))),0)</f>
        <v>0</v>
      </c>
      <c r="IX31" s="56">
        <f>-IF(IX$10=1,MAX($D$31,ABS(IW$31),ABS('Monthly P&amp;L'!IW31*(1+'Model Assumptions'!IX$24))),0)</f>
        <v>0</v>
      </c>
      <c r="IY31" s="56">
        <f>-IF(IY$10=1,MAX($D$31,ABS(IX$31),ABS('Monthly P&amp;L'!IX31*(1+'Model Assumptions'!IY$24))),0)</f>
        <v>0</v>
      </c>
      <c r="IZ31" s="56">
        <f>-IF(IZ$10=1,MAX($D$31,ABS(IY$31),ABS('Monthly P&amp;L'!IY31*(1+'Model Assumptions'!IZ$24))),0)</f>
        <v>0</v>
      </c>
      <c r="JA31" s="56">
        <f>-IF(JA$10=1,MAX($D$31,ABS(IZ$31),ABS('Monthly P&amp;L'!IZ31*(1+'Model Assumptions'!JA$24))),0)</f>
        <v>0</v>
      </c>
      <c r="JB31" s="56">
        <f>-IF(JB$10=1,MAX($D$31,ABS(JA$31),ABS('Monthly P&amp;L'!JA31*(1+'Model Assumptions'!JB$24))),0)</f>
        <v>0</v>
      </c>
      <c r="JC31" s="56">
        <f>-IF(JC$10=1,MAX($D$31,ABS(JB$31),ABS('Monthly P&amp;L'!JB31*(1+'Model Assumptions'!JC$24))),0)</f>
        <v>0</v>
      </c>
      <c r="JD31" s="56">
        <f>-IF(JD$10=1,MAX($D$31,ABS(JC$31),ABS('Monthly P&amp;L'!JC31*(1+'Model Assumptions'!JD$24))),0)</f>
        <v>0</v>
      </c>
      <c r="JE31" s="56">
        <f>-IF(JE$10=1,MAX($D$31,ABS(JD$31),ABS('Monthly P&amp;L'!JD31*(1+'Model Assumptions'!JE$24))),0)</f>
        <v>0</v>
      </c>
      <c r="JF31" s="56">
        <f>-IF(JF$10=1,MAX($D$31,ABS(JE$31),ABS('Monthly P&amp;L'!JE31*(1+'Model Assumptions'!JF$24))),0)</f>
        <v>0</v>
      </c>
      <c r="JG31" s="56">
        <f>-IF(JG$10=1,MAX($D$31,ABS(JF$31),ABS('Monthly P&amp;L'!JF31*(1+'Model Assumptions'!JG$24))),0)</f>
        <v>0</v>
      </c>
      <c r="JH31" s="56">
        <f>-IF(JH$10=1,MAX($D$31,ABS(JG$31),ABS('Monthly P&amp;L'!JG31*(1+'Model Assumptions'!JH$24))),0)</f>
        <v>0</v>
      </c>
      <c r="JI31" s="56">
        <f>-IF(JI$10=1,MAX($D$31,ABS(JH$31),ABS('Monthly P&amp;L'!JH31*(1+'Model Assumptions'!JI$24))),0)</f>
        <v>0</v>
      </c>
      <c r="JJ31" s="56">
        <f>-IF(JJ$10=1,MAX($D$31,ABS(JI$31),ABS('Monthly P&amp;L'!JI31*(1+'Model Assumptions'!JJ$24))),0)</f>
        <v>0</v>
      </c>
      <c r="JK31" s="56">
        <f>-IF(JK$10=1,MAX($D$31,ABS(JJ$31),ABS('Monthly P&amp;L'!JJ31*(1+'Model Assumptions'!JK$24))),0)</f>
        <v>0</v>
      </c>
      <c r="JL31" s="56">
        <f>-IF(JL$10=1,MAX($D$31,ABS(JK$31),ABS('Monthly P&amp;L'!JK31*(1+'Model Assumptions'!JL$24))),0)</f>
        <v>0</v>
      </c>
      <c r="JM31" s="56">
        <f>-IF(JM$10=1,MAX($D$31,ABS(JL$31),ABS('Monthly P&amp;L'!JL31*(1+'Model Assumptions'!JM$24))),0)</f>
        <v>0</v>
      </c>
      <c r="JN31" s="56">
        <f>-IF(JN$10=1,MAX($D$31,ABS(JM$31),ABS('Monthly P&amp;L'!JM31*(1+'Model Assumptions'!JN$24))),0)</f>
        <v>0</v>
      </c>
      <c r="JO31" s="56">
        <f>-IF(JO$10=1,MAX($D$31,ABS(JN$31),ABS('Monthly P&amp;L'!JN31*(1+'Model Assumptions'!JO$24))),0)</f>
        <v>0</v>
      </c>
      <c r="JP31" s="56">
        <f>-IF(JP$10=1,MAX($D$31,ABS(JO$31),ABS('Monthly P&amp;L'!JO31*(1+'Model Assumptions'!JP$24))),0)</f>
        <v>0</v>
      </c>
      <c r="JQ31" s="56">
        <f>-IF(JQ$10=1,MAX($D$31,ABS(JP$31),ABS('Monthly P&amp;L'!JP31*(1+'Model Assumptions'!JQ$24))),0)</f>
        <v>0</v>
      </c>
      <c r="JR31" s="56">
        <f>-IF(JR$10=1,MAX($D$31,ABS(JQ$31),ABS('Monthly P&amp;L'!JQ31*(1+'Model Assumptions'!JR$24))),0)</f>
        <v>0</v>
      </c>
      <c r="JS31" s="56">
        <f>-IF(JS$10=1,MAX($D$31,ABS(JR$31),ABS('Monthly P&amp;L'!JR31*(1+'Model Assumptions'!JS$24))),0)</f>
        <v>0</v>
      </c>
      <c r="JT31" s="56">
        <f>-IF(JT$10=1,MAX($D$31,ABS(JS$31),ABS('Monthly P&amp;L'!JS31*(1+'Model Assumptions'!JT$24))),0)</f>
        <v>0</v>
      </c>
      <c r="JU31" s="56">
        <f>-IF(JU$10=1,MAX($D$31,ABS(JT$31),ABS('Monthly P&amp;L'!JT31*(1+'Model Assumptions'!JU$24))),0)</f>
        <v>0</v>
      </c>
      <c r="JV31" s="56">
        <f>-IF(JV$10=1,MAX($D$31,ABS(JU$31),ABS('Monthly P&amp;L'!JU31*(1+'Model Assumptions'!JV$24))),0)</f>
        <v>0</v>
      </c>
      <c r="JW31" s="56">
        <f>-IF(JW$10=1,MAX($D$31,ABS(JV$31),ABS('Monthly P&amp;L'!JV31*(1+'Model Assumptions'!JW$24))),0)</f>
        <v>0</v>
      </c>
      <c r="JX31" s="56">
        <f>-IF(JX$10=1,MAX($D$31,ABS(JW$31),ABS('Monthly P&amp;L'!JW31*(1+'Model Assumptions'!JX$24))),0)</f>
        <v>0</v>
      </c>
      <c r="JY31" s="56">
        <f>-IF(JY$10=1,MAX($D$31,ABS(JX$31),ABS('Monthly P&amp;L'!JX31*(1+'Model Assumptions'!JY$24))),0)</f>
        <v>0</v>
      </c>
      <c r="JZ31" s="56">
        <f>-IF(JZ$10=1,MAX($D$31,ABS(JY$31),ABS('Monthly P&amp;L'!JY31*(1+'Model Assumptions'!JZ$24))),0)</f>
        <v>0</v>
      </c>
      <c r="KA31" s="56">
        <f>-IF(KA$10=1,MAX($D$31,ABS(JZ$31),ABS('Monthly P&amp;L'!JZ31*(1+'Model Assumptions'!KA$24))),0)</f>
        <v>0</v>
      </c>
      <c r="KB31" s="56">
        <f>-IF(KB$10=1,MAX($D$31,ABS(KA$31),ABS('Monthly P&amp;L'!KA31*(1+'Model Assumptions'!KB$24))),0)</f>
        <v>0</v>
      </c>
      <c r="KC31" s="56">
        <f>-IF(KC$10=1,MAX($D$31,ABS(KB$31),ABS('Monthly P&amp;L'!KB31*(1+'Model Assumptions'!KC$24))),0)</f>
        <v>0</v>
      </c>
      <c r="KD31" s="56">
        <f>-IF(KD$10=1,MAX($D$31,ABS(KC$31),ABS('Monthly P&amp;L'!KC31*(1+'Model Assumptions'!KD$24))),0)</f>
        <v>0</v>
      </c>
      <c r="KE31" s="56">
        <f>-IF(KE$10=1,MAX($D$31,ABS(KD$31),ABS('Monthly P&amp;L'!KD31*(1+'Model Assumptions'!KE$24))),0)</f>
        <v>0</v>
      </c>
      <c r="KF31" s="56">
        <f>-IF(KF$10=1,MAX($D$31,ABS(KE$31),ABS('Monthly P&amp;L'!KE31*(1+'Model Assumptions'!KF$24))),0)</f>
        <v>0</v>
      </c>
      <c r="KG31" s="56">
        <f>-IF(KG$10=1,MAX($D$31,ABS(KF$31),ABS('Monthly P&amp;L'!KF31*(1+'Model Assumptions'!KG$24))),0)</f>
        <v>0</v>
      </c>
      <c r="KH31" s="56">
        <f>-IF(KH$10=1,MAX($D$31,ABS(KG$31),ABS('Monthly P&amp;L'!KG31*(1+'Model Assumptions'!KH$24))),0)</f>
        <v>0</v>
      </c>
      <c r="KI31" s="56">
        <f>-IF(KI$10=1,MAX($D$31,ABS(KH$31),ABS('Monthly P&amp;L'!KH31*(1+'Model Assumptions'!KI$24))),0)</f>
        <v>0</v>
      </c>
      <c r="KJ31" s="56">
        <f>-IF(KJ$10=1,MAX($D$31,ABS(KI$31),ABS('Monthly P&amp;L'!KI31*(1+'Model Assumptions'!KJ$24))),0)</f>
        <v>0</v>
      </c>
      <c r="KK31" s="56">
        <f>-IF(KK$10=1,MAX($D$31,ABS(KJ$31),ABS('Monthly P&amp;L'!KJ31*(1+'Model Assumptions'!KK$24))),0)</f>
        <v>0</v>
      </c>
      <c r="KL31" s="56">
        <f>-IF(KL$10=1,MAX($D$31,ABS(KK$31),ABS('Monthly P&amp;L'!KK31*(1+'Model Assumptions'!KL$24))),0)</f>
        <v>0</v>
      </c>
      <c r="KM31" s="56">
        <f>-IF(KM$10=1,MAX($D$31,ABS(KL$31),ABS('Monthly P&amp;L'!KL31*(1+'Model Assumptions'!KM$24))),0)</f>
        <v>0</v>
      </c>
      <c r="KN31" s="56">
        <f>-IF(KN$10=1,MAX($D$31,ABS(KM$31),ABS('Monthly P&amp;L'!KM31*(1+'Model Assumptions'!KN$24))),0)</f>
        <v>0</v>
      </c>
      <c r="KO31" s="56">
        <f>-IF(KO$10=1,MAX($D$31,ABS(KN$31),ABS('Monthly P&amp;L'!KN31*(1+'Model Assumptions'!KO$24))),0)</f>
        <v>0</v>
      </c>
      <c r="KP31" s="56">
        <f>-IF(KP$10=1,MAX($D$31,ABS(KO$31),ABS('Monthly P&amp;L'!KO31*(1+'Model Assumptions'!KP$24))),0)</f>
        <v>0</v>
      </c>
      <c r="KQ31" s="56">
        <f>-IF(KQ$10=1,MAX($D$31,ABS(KP$31),ABS('Monthly P&amp;L'!KP31*(1+'Model Assumptions'!KQ$24))),0)</f>
        <v>0</v>
      </c>
      <c r="KR31" s="56">
        <f>-IF(KR$10=1,MAX($D$31,ABS(KQ$31),ABS('Monthly P&amp;L'!KQ31*(1+'Model Assumptions'!KR$24))),0)</f>
        <v>0</v>
      </c>
      <c r="KS31" s="56">
        <f>-IF(KS$10=1,MAX($D$31,ABS(KR$31),ABS('Monthly P&amp;L'!KR31*(1+'Model Assumptions'!KS$24))),0)</f>
        <v>0</v>
      </c>
      <c r="KT31" s="56">
        <f>-IF(KT$10=1,MAX($D$31,ABS(KS$31),ABS('Monthly P&amp;L'!KS31*(1+'Model Assumptions'!KT$24))),0)</f>
        <v>0</v>
      </c>
      <c r="KU31" s="56">
        <f>-IF(KU$10=1,MAX($D$31,ABS(KT$31),ABS('Monthly P&amp;L'!KT31*(1+'Model Assumptions'!KU$24))),0)</f>
        <v>0</v>
      </c>
      <c r="KV31" s="56">
        <f>-IF(KV$10=1,MAX($D$31,ABS(KU$31),ABS('Monthly P&amp;L'!KU31*(1+'Model Assumptions'!KV$24))),0)</f>
        <v>0</v>
      </c>
      <c r="KW31" s="56">
        <f>-IF(KW$10=1,MAX($D$31,ABS(KV$31),ABS('Monthly P&amp;L'!KV31*(1+'Model Assumptions'!KW$24))),0)</f>
        <v>0</v>
      </c>
      <c r="KX31" s="56">
        <f>-IF(KX$10=1,MAX($D$31,ABS(KW$31),ABS('Monthly P&amp;L'!KW31*(1+'Model Assumptions'!KX$24))),0)</f>
        <v>0</v>
      </c>
      <c r="KY31" s="56">
        <f>-IF(KY$10=1,MAX($D$31,ABS(KX$31),ABS('Monthly P&amp;L'!KX31*(1+'Model Assumptions'!KY$24))),0)</f>
        <v>0</v>
      </c>
      <c r="KZ31" s="56">
        <f>-IF(KZ$10=1,MAX($D$31,ABS(KY$31),ABS('Monthly P&amp;L'!KY31*(1+'Model Assumptions'!KZ$24))),0)</f>
        <v>0</v>
      </c>
      <c r="LA31" s="56">
        <f>-IF(LA$10=1,MAX($D$31,ABS(KZ$31),ABS('Monthly P&amp;L'!KZ31*(1+'Model Assumptions'!LA$24))),0)</f>
        <v>0</v>
      </c>
      <c r="LB31" s="56">
        <f>-IF(LB$10=1,MAX($D$31,ABS(LA$31),ABS('Monthly P&amp;L'!LA31*(1+'Model Assumptions'!LB$24))),0)</f>
        <v>0</v>
      </c>
      <c r="LC31" s="56">
        <f>-IF(LC$10=1,MAX($D$31,ABS(LB$31),ABS('Monthly P&amp;L'!LB31*(1+'Model Assumptions'!LC$24))),0)</f>
        <v>0</v>
      </c>
      <c r="LD31" s="56">
        <f>-IF(LD$10=1,MAX($D$31,ABS(LC$31),ABS('Monthly P&amp;L'!LC31*(1+'Model Assumptions'!LD$24))),0)</f>
        <v>0</v>
      </c>
      <c r="LE31" s="56">
        <f>-IF(LE$10=1,MAX($D$31,ABS(LD$31),ABS('Monthly P&amp;L'!LD31*(1+'Model Assumptions'!LE$24))),0)</f>
        <v>0</v>
      </c>
      <c r="LF31" s="56">
        <f>-IF(LF$10=1,MAX($D$31,ABS(LE$31),ABS('Monthly P&amp;L'!LE31*(1+'Model Assumptions'!LF$24))),0)</f>
        <v>0</v>
      </c>
      <c r="LG31" s="56">
        <f>-IF(LG$10=1,MAX($D$31,ABS(LF$31),ABS('Monthly P&amp;L'!LF31*(1+'Model Assumptions'!LG$24))),0)</f>
        <v>0</v>
      </c>
      <c r="LH31" s="56">
        <f>-IF(LH$10=1,MAX($D$31,ABS(LG$31),ABS('Monthly P&amp;L'!LG31*(1+'Model Assumptions'!LH$24))),0)</f>
        <v>0</v>
      </c>
      <c r="LI31" s="56">
        <f>-IF(LI$10=1,MAX($D$31,ABS(LH$31),ABS('Monthly P&amp;L'!LH31*(1+'Model Assumptions'!LI$24))),0)</f>
        <v>0</v>
      </c>
      <c r="LJ31" s="56">
        <f>-IF(LJ$10=1,MAX($D$31,ABS(LI$31),ABS('Monthly P&amp;L'!LI31*(1+'Model Assumptions'!LJ$24))),0)</f>
        <v>0</v>
      </c>
      <c r="LK31" s="56">
        <f>-IF(LK$10=1,MAX($D$31,ABS(LJ$31),ABS('Monthly P&amp;L'!LJ31*(1+'Model Assumptions'!LK$24))),0)</f>
        <v>0</v>
      </c>
      <c r="LL31" s="56">
        <f>-IF(LL$10=1,MAX($D$31,ABS(LK$31),ABS('Monthly P&amp;L'!LK31*(1+'Model Assumptions'!LL$24))),0)</f>
        <v>0</v>
      </c>
      <c r="LM31" s="56">
        <f>-IF(LM$10=1,MAX($D$31,ABS(LL$31),ABS('Monthly P&amp;L'!LL31*(1+'Model Assumptions'!LM$24))),0)</f>
        <v>0</v>
      </c>
      <c r="LN31" s="56">
        <f>-IF(LN$10=1,MAX($D$31,ABS(LM$31),ABS('Monthly P&amp;L'!LM31*(1+'Model Assumptions'!LN$24))),0)</f>
        <v>0</v>
      </c>
      <c r="LO31" s="56">
        <f>-IF(LO$10=1,MAX($D$31,ABS(LN$31),ABS('Monthly P&amp;L'!LN31*(1+'Model Assumptions'!LO$24))),0)</f>
        <v>0</v>
      </c>
      <c r="LP31" s="56">
        <f>-IF(LP$10=1,MAX($D$31,ABS(LO$31),ABS('Monthly P&amp;L'!LO31*(1+'Model Assumptions'!LP$24))),0)</f>
        <v>0</v>
      </c>
      <c r="LQ31" s="56">
        <f>-IF(LQ$10=1,MAX($D$31,ABS(LP$31),ABS('Monthly P&amp;L'!LP31*(1+'Model Assumptions'!LQ$24))),0)</f>
        <v>0</v>
      </c>
      <c r="LR31" s="56">
        <f>-IF(LR$10=1,MAX($D$31,ABS(LQ$31),ABS('Monthly P&amp;L'!LQ31*(1+'Model Assumptions'!LR$24))),0)</f>
        <v>0</v>
      </c>
      <c r="LS31" s="56">
        <f>-IF(LS$10=1,MAX($D$31,ABS(LR$31),ABS('Monthly P&amp;L'!LR31*(1+'Model Assumptions'!LS$24))),0)</f>
        <v>0</v>
      </c>
      <c r="LT31" s="56">
        <f>-IF(LT$10=1,MAX($D$31,ABS(LS$31),ABS('Monthly P&amp;L'!LS31*(1+'Model Assumptions'!LT$24))),0)</f>
        <v>0</v>
      </c>
      <c r="LU31" s="56">
        <f>-IF(LU$10=1,MAX($D$31,ABS(LT$31),ABS('Monthly P&amp;L'!LT31*(1+'Model Assumptions'!LU$24))),0)</f>
        <v>0</v>
      </c>
      <c r="LV31" s="56">
        <f>-IF(LV$10=1,MAX($D$31,ABS(LU$31),ABS('Monthly P&amp;L'!LU31*(1+'Model Assumptions'!LV$24))),0)</f>
        <v>0</v>
      </c>
      <c r="LW31" s="56">
        <f>-IF(LW$10=1,MAX($D$31,ABS(LV$31),ABS('Monthly P&amp;L'!LV31*(1+'Model Assumptions'!LW$24))),0)</f>
        <v>0</v>
      </c>
      <c r="LX31" s="56">
        <f>-IF(LX$10=1,MAX($D$31,ABS(LW$31),ABS('Monthly P&amp;L'!LW31*(1+'Model Assumptions'!LX$24))),0)</f>
        <v>0</v>
      </c>
      <c r="LY31" s="56">
        <f>-IF(LY$10=1,MAX($D$31,ABS(LX$31),ABS('Monthly P&amp;L'!LX31*(1+'Model Assumptions'!LY$24))),0)</f>
        <v>0</v>
      </c>
      <c r="LZ31" s="56">
        <f>-IF(LZ$10=1,MAX($D$31,ABS(LY$31),ABS('Monthly P&amp;L'!LY31*(1+'Model Assumptions'!LZ$24))),0)</f>
        <v>0</v>
      </c>
      <c r="MA31" s="56">
        <f>-IF(MA$10=1,MAX($D$31,ABS(LZ$31),ABS('Monthly P&amp;L'!LZ31*(1+'Model Assumptions'!MA$24))),0)</f>
        <v>0</v>
      </c>
      <c r="MB31" s="56">
        <f>-IF(MB$10=1,MAX($D$31,ABS(MA$31),ABS('Monthly P&amp;L'!MA31*(1+'Model Assumptions'!MB$24))),0)</f>
        <v>0</v>
      </c>
      <c r="MC31" s="56">
        <f>-IF(MC$10=1,MAX($D$31,ABS(MB$31),ABS('Monthly P&amp;L'!MB31*(1+'Model Assumptions'!MC$24))),0)</f>
        <v>0</v>
      </c>
      <c r="MD31" s="56">
        <f>-IF(MD$10=1,MAX($D$31,ABS(MC$31),ABS('Monthly P&amp;L'!MC31*(1+'Model Assumptions'!MD$24))),0)</f>
        <v>0</v>
      </c>
      <c r="ME31" s="56">
        <f>-IF(ME$10=1,MAX($D$31,ABS(MD$31),ABS('Monthly P&amp;L'!MD31*(1+'Model Assumptions'!ME$24))),0)</f>
        <v>0</v>
      </c>
      <c r="MF31" s="56">
        <f>-IF(MF$10=1,MAX($D$31,ABS(ME$31),ABS('Monthly P&amp;L'!ME31*(1+'Model Assumptions'!MF$24))),0)</f>
        <v>0</v>
      </c>
      <c r="MG31" s="56">
        <f>-IF(MG$10=1,MAX($D$31,ABS(MF$31),ABS('Monthly P&amp;L'!MF31*(1+'Model Assumptions'!MG$24))),0)</f>
        <v>0</v>
      </c>
      <c r="MH31" s="56">
        <f>-IF(MH$10=1,MAX($D$31,ABS(MG$31),ABS('Monthly P&amp;L'!MG31*(1+'Model Assumptions'!MH$24))),0)</f>
        <v>0</v>
      </c>
      <c r="MI31" s="56">
        <f>-IF(MI$10=1,MAX($D$31,ABS(MH$31),ABS('Monthly P&amp;L'!MH31*(1+'Model Assumptions'!MI$24))),0)</f>
        <v>0</v>
      </c>
      <c r="MJ31" s="56">
        <f>-IF(MJ$10=1,MAX($D$31,ABS(MI$31),ABS('Monthly P&amp;L'!MI31*(1+'Model Assumptions'!MJ$24))),0)</f>
        <v>0</v>
      </c>
      <c r="MK31" s="56">
        <f>-IF(MK$10=1,MAX($D$31,ABS(MJ$31),ABS('Monthly P&amp;L'!MJ31*(1+'Model Assumptions'!MK$24))),0)</f>
        <v>0</v>
      </c>
      <c r="ML31" s="56">
        <f>-IF(ML$10=1,MAX($D$31,ABS(MK$31),ABS('Monthly P&amp;L'!MK31*(1+'Model Assumptions'!ML$24))),0)</f>
        <v>0</v>
      </c>
      <c r="MM31" s="56">
        <f>-IF(MM$10=1,MAX($D$31,ABS(ML$31),ABS('Monthly P&amp;L'!ML31*(1+'Model Assumptions'!MM$24))),0)</f>
        <v>0</v>
      </c>
      <c r="MN31" s="56">
        <f>-IF(MN$10=1,MAX($D$31,ABS(MM$31),ABS('Monthly P&amp;L'!MM31*(1+'Model Assumptions'!MN$24))),0)</f>
        <v>0</v>
      </c>
      <c r="MO31" s="56">
        <f>-IF(MO$10=1,MAX($D$31,ABS(MN$31),ABS('Monthly P&amp;L'!MN31*(1+'Model Assumptions'!MO$24))),0)</f>
        <v>0</v>
      </c>
      <c r="MP31" s="56">
        <f>-IF(MP$10=1,MAX($D$31,ABS(MO$31),ABS('Monthly P&amp;L'!MO31*(1+'Model Assumptions'!MP$24))),0)</f>
        <v>0</v>
      </c>
      <c r="MQ31" s="56">
        <f>-IF(MQ$10=1,MAX($D$31,ABS(MP$31),ABS('Monthly P&amp;L'!MP31*(1+'Model Assumptions'!MQ$24))),0)</f>
        <v>0</v>
      </c>
      <c r="MR31" s="56">
        <f>-IF(MR$10=1,MAX($D$31,ABS(MQ$31),ABS('Monthly P&amp;L'!MQ31*(1+'Model Assumptions'!MR$24))),0)</f>
        <v>0</v>
      </c>
      <c r="MS31" s="56">
        <f>-IF(MS$10=1,MAX($D$31,ABS(MR$31),ABS('Monthly P&amp;L'!MR31*(1+'Model Assumptions'!MS$24))),0)</f>
        <v>0</v>
      </c>
      <c r="MT31" s="56">
        <f>-IF(MT$10=1,MAX($D$31,ABS(MS$31),ABS('Monthly P&amp;L'!MS31*(1+'Model Assumptions'!MT$24))),0)</f>
        <v>0</v>
      </c>
      <c r="MU31" s="56">
        <f>-IF(MU$10=1,MAX($D$31,ABS(MT$31),ABS('Monthly P&amp;L'!MT31*(1+'Model Assumptions'!MU$24))),0)</f>
        <v>0</v>
      </c>
      <c r="MV31" s="56">
        <f>-IF(MV$10=1,MAX($D$31,ABS(MU$31),ABS('Monthly P&amp;L'!MU31*(1+'Model Assumptions'!MV$24))),0)</f>
        <v>0</v>
      </c>
      <c r="MW31" s="56">
        <f>-IF(MW$10=1,MAX($D$31,ABS(MV$31),ABS('Monthly P&amp;L'!MV31*(1+'Model Assumptions'!MW$24))),0)</f>
        <v>0</v>
      </c>
      <c r="MX31" s="56">
        <f>-IF(MX$10=1,MAX($D$31,ABS(MW$31),ABS('Monthly P&amp;L'!MW31*(1+'Model Assumptions'!MX$24))),0)</f>
        <v>0</v>
      </c>
      <c r="MY31" s="56">
        <f>-IF(MY$10=1,MAX($D$31,ABS(MX$31),ABS('Monthly P&amp;L'!MX31*(1+'Model Assumptions'!MY$24))),0)</f>
        <v>0</v>
      </c>
      <c r="MZ31" s="56">
        <f>-IF(MZ$10=1,MAX($D$31,ABS(MY$31),ABS('Monthly P&amp;L'!MY31*(1+'Model Assumptions'!MZ$24))),0)</f>
        <v>0</v>
      </c>
      <c r="NA31" s="56">
        <f>-IF(NA$10=1,MAX($D$31,ABS(MZ$31),ABS('Monthly P&amp;L'!MZ31*(1+'Model Assumptions'!NA$24))),0)</f>
        <v>0</v>
      </c>
      <c r="NB31" s="56">
        <f>-IF(NB$10=1,MAX($D$31,ABS(NA$31),ABS('Monthly P&amp;L'!NA31*(1+'Model Assumptions'!NB$24))),0)</f>
        <v>0</v>
      </c>
    </row>
    <row r="32" spans="1:366" x14ac:dyDescent="0.15">
      <c r="B32" s="45" t="s">
        <v>140</v>
      </c>
      <c r="C32" s="193">
        <f>insurance</f>
        <v>7100</v>
      </c>
      <c r="D32" s="40">
        <f>C32/12</f>
        <v>591.66666666666663</v>
      </c>
      <c r="F32" s="56">
        <v>0</v>
      </c>
      <c r="G32" s="56">
        <f>-IF(G$10=1,MAX($D$32,ABS(F$32),ABS('Monthly P&amp;L'!F$32*(1+'Model Assumptions'!G$25))),0)</f>
        <v>-591.66666666666663</v>
      </c>
      <c r="H32" s="56">
        <f>-IF(H$10=1,MAX($D$32,ABS(G$32),ABS('Monthly P&amp;L'!G$32*(1+'Model Assumptions'!H$25))),0)</f>
        <v>-591.66666666666663</v>
      </c>
      <c r="I32" s="56">
        <f>-IF(I$10=1,MAX($D$32,ABS(H$32),ABS('Monthly P&amp;L'!H$32*(1+'Model Assumptions'!I$25))),0)</f>
        <v>-591.66666666666663</v>
      </c>
      <c r="J32" s="56">
        <f>-IF(J$10=1,MAX($D$32,ABS(I$32),ABS('Monthly P&amp;L'!I$32*(1+'Model Assumptions'!J$25))),0)</f>
        <v>-591.66666666666663</v>
      </c>
      <c r="K32" s="56">
        <f>-IF(K$10=1,MAX($D$32,ABS(J$32),ABS('Monthly P&amp;L'!J$32*(1+'Model Assumptions'!K$25))),0)</f>
        <v>-591.66666666666663</v>
      </c>
      <c r="L32" s="563">
        <f>-IF(L$10=1,MAX($D$32,ABS(K$32),ABS('Monthly P&amp;L'!K$32*(1+'Model Assumptions'!L$25))),0)</f>
        <v>-591.66666666666663</v>
      </c>
      <c r="M32" s="56">
        <f>-IF(M$10=1,MAX($D$32,ABS(L$32),ABS('Monthly P&amp;L'!L$32*(1+'Model Assumptions'!M$25))),0)</f>
        <v>-591.66666666666663</v>
      </c>
      <c r="N32" s="56">
        <f>-IF(N$10=1,MAX($D$32,ABS(M$32),ABS('Monthly P&amp;L'!M$32*(1+'Model Assumptions'!N$25))),0)</f>
        <v>-591.66666666666663</v>
      </c>
      <c r="O32" s="56">
        <f>-IF(O$10=1,MAX($D$32,ABS(N$32),ABS('Monthly P&amp;L'!N$32*(1+'Model Assumptions'!O$25))),0)</f>
        <v>-591.66666666666663</v>
      </c>
      <c r="P32" s="56">
        <f>-IF(P$10=1,MAX($D$32,ABS(O$32),ABS('Monthly P&amp;L'!O$32*(1+'Model Assumptions'!P$25))),0)</f>
        <v>-591.66666666666663</v>
      </c>
      <c r="Q32" s="56">
        <f>-IF(Q$10=1,MAX($D$32,ABS(P$32),ABS('Monthly P&amp;L'!P$32*(1+'Model Assumptions'!Q$25))),0)</f>
        <v>-591.66666666666663</v>
      </c>
      <c r="R32" s="56">
        <f>-IF(R$10=1,MAX($D$32,ABS(Q$32),ABS('Monthly P&amp;L'!Q$32*(1+'Model Assumptions'!R$25))),0)</f>
        <v>-591.66666666666663</v>
      </c>
      <c r="S32" s="56">
        <f>-IF(S$10=1,MAX($D$32,ABS(R$32),ABS('Monthly P&amp;L'!R$32*(1+'Model Assumptions'!S$25))),0)</f>
        <v>-606.45833333333326</v>
      </c>
      <c r="T32" s="56">
        <f>-IF(T$10=1,MAX($D$32,ABS(S$32),ABS('Monthly P&amp;L'!S$32*(1+'Model Assumptions'!T$25))),0)</f>
        <v>-606.45833333333326</v>
      </c>
      <c r="U32" s="56">
        <f>-IF(U$10=1,MAX($D$32,ABS(T$32),ABS('Monthly P&amp;L'!T$32*(1+'Model Assumptions'!U$25))),0)</f>
        <v>-606.45833333333326</v>
      </c>
      <c r="V32" s="56">
        <f>-IF(V$10=1,MAX($D$32,ABS(U$32),ABS('Monthly P&amp;L'!U$32*(1+'Model Assumptions'!V$25))),0)</f>
        <v>-606.45833333333326</v>
      </c>
      <c r="W32" s="56">
        <f>-IF(W$10=1,MAX($D$32,ABS(V$32),ABS('Monthly P&amp;L'!V$32*(1+'Model Assumptions'!W$25))),0)</f>
        <v>-606.45833333333326</v>
      </c>
      <c r="X32" s="56">
        <f>-IF(X$10=1,MAX($D$32,ABS(W$32),ABS('Monthly P&amp;L'!W$32*(1+'Model Assumptions'!X$25))),0)</f>
        <v>-606.45833333333326</v>
      </c>
      <c r="Y32" s="56">
        <f>-IF(Y$10=1,MAX($D$32,ABS(X$32),ABS('Monthly P&amp;L'!X$32*(1+'Model Assumptions'!Y$25))),0)</f>
        <v>-606.45833333333326</v>
      </c>
      <c r="Z32" s="56">
        <f>-IF(Z$10=1,MAX($D$32,ABS(Y$32),ABS('Monthly P&amp;L'!Y$32*(1+'Model Assumptions'!Z$25))),0)</f>
        <v>-606.45833333333326</v>
      </c>
      <c r="AA32" s="56">
        <f>-IF(AA$10=1,MAX($D$32,ABS(Z$32),ABS('Monthly P&amp;L'!Z$32*(1+'Model Assumptions'!AA$25))),0)</f>
        <v>-606.45833333333326</v>
      </c>
      <c r="AB32" s="56">
        <f>-IF(AB$10=1,MAX($D$32,ABS(AA$32),ABS('Monthly P&amp;L'!AA$32*(1+'Model Assumptions'!AB$25))),0)</f>
        <v>-606.45833333333326</v>
      </c>
      <c r="AC32" s="56">
        <f>-IF(AC$10=1,MAX($D$32,ABS(AB$32),ABS('Monthly P&amp;L'!AB$32*(1+'Model Assumptions'!AC$25))),0)</f>
        <v>-606.45833333333326</v>
      </c>
      <c r="AD32" s="56">
        <f>-IF(AD$10=1,MAX($D$32,ABS(AC$32),ABS('Monthly P&amp;L'!AC$32*(1+'Model Assumptions'!AD$25))),0)</f>
        <v>-606.45833333333326</v>
      </c>
      <c r="AE32" s="56">
        <f>-IF(AE$10=1,MAX($D$32,ABS(AD$32),ABS('Monthly P&amp;L'!AD$32*(1+'Model Assumptions'!AE$25))),0)</f>
        <v>-621.61979166666652</v>
      </c>
      <c r="AF32" s="56">
        <f>-IF(AF$10=1,MAX($D$32,ABS(AE$32),ABS('Monthly P&amp;L'!AE$32*(1+'Model Assumptions'!AF$25))),0)</f>
        <v>-621.61979166666652</v>
      </c>
      <c r="AG32" s="56">
        <f>-IF(AG$10=1,MAX($D$32,ABS(AF$32),ABS('Monthly P&amp;L'!AF$32*(1+'Model Assumptions'!AG$25))),0)</f>
        <v>-621.61979166666652</v>
      </c>
      <c r="AH32" s="56">
        <f>-IF(AH$10=1,MAX($D$32,ABS(AG$32),ABS('Monthly P&amp;L'!AG$32*(1+'Model Assumptions'!AH$25))),0)</f>
        <v>-621.61979166666652</v>
      </c>
      <c r="AI32" s="56">
        <f>-IF(AI$10=1,MAX($D$32,ABS(AH$32),ABS('Monthly P&amp;L'!AH$32*(1+'Model Assumptions'!AI$25))),0)</f>
        <v>-621.61979166666652</v>
      </c>
      <c r="AJ32" s="56">
        <f>-IF(AJ$10=1,MAX($D$32,ABS(AI$32),ABS('Monthly P&amp;L'!AI$32*(1+'Model Assumptions'!AJ$25))),0)</f>
        <v>-621.61979166666652</v>
      </c>
      <c r="AK32" s="56">
        <f>-IF(AK$10=1,MAX($D$32,ABS(AJ$32),ABS('Monthly P&amp;L'!AJ$32*(1+'Model Assumptions'!AK$25))),0)</f>
        <v>-621.61979166666652</v>
      </c>
      <c r="AL32" s="56">
        <f>-IF(AL$10=1,MAX($D$32,ABS(AK$32),ABS('Monthly P&amp;L'!AK$32*(1+'Model Assumptions'!AL$25))),0)</f>
        <v>-621.61979166666652</v>
      </c>
      <c r="AM32" s="56">
        <f>-IF(AM$10=1,MAX($D$32,ABS(AL$32),ABS('Monthly P&amp;L'!AL$32*(1+'Model Assumptions'!AM$25))),0)</f>
        <v>-621.61979166666652</v>
      </c>
      <c r="AN32" s="56">
        <f>-IF(AN$10=1,MAX($D$32,ABS(AM$32),ABS('Monthly P&amp;L'!AM$32*(1+'Model Assumptions'!AN$25))),0)</f>
        <v>-621.61979166666652</v>
      </c>
      <c r="AO32" s="56">
        <f>-IF(AO$10=1,MAX($D$32,ABS(AN$32),ABS('Monthly P&amp;L'!AN$32*(1+'Model Assumptions'!AO$25))),0)</f>
        <v>-621.61979166666652</v>
      </c>
      <c r="AP32" s="56">
        <f>-IF(AP$10=1,MAX($D$32,ABS(AO$32),ABS('Monthly P&amp;L'!AO$32*(1+'Model Assumptions'!AP$25))),0)</f>
        <v>-621.61979166666652</v>
      </c>
      <c r="AQ32" s="56">
        <f>-IF(AQ$10=1,MAX($D$32,ABS(AP$32),ABS('Monthly P&amp;L'!AP$32*(1+'Model Assumptions'!AQ$25))),0)</f>
        <v>-637.16028645833308</v>
      </c>
      <c r="AR32" s="56">
        <f>-IF(AR$10=1,MAX($D$32,ABS(AQ$32),ABS('Monthly P&amp;L'!AQ$32*(1+'Model Assumptions'!AR$25))),0)</f>
        <v>-637.16028645833308</v>
      </c>
      <c r="AS32" s="56">
        <f>-IF(AS$10=1,MAX($D$32,ABS(AR$32),ABS('Monthly P&amp;L'!AR$32*(1+'Model Assumptions'!AS$25))),0)</f>
        <v>-637.16028645833308</v>
      </c>
      <c r="AT32" s="56">
        <f>-IF(AT$10=1,MAX($D$32,ABS(AS$32),ABS('Monthly P&amp;L'!AS$32*(1+'Model Assumptions'!AT$25))),0)</f>
        <v>-637.16028645833308</v>
      </c>
      <c r="AU32" s="56">
        <f>-IF(AU$10=1,MAX($D$32,ABS(AT$32),ABS('Monthly P&amp;L'!AT$32*(1+'Model Assumptions'!AU$25))),0)</f>
        <v>-637.16028645833308</v>
      </c>
      <c r="AV32" s="56">
        <f>-IF(AV$10=1,MAX($D$32,ABS(AU$32),ABS('Monthly P&amp;L'!AU$32*(1+'Model Assumptions'!AV$25))),0)</f>
        <v>-637.16028645833308</v>
      </c>
      <c r="AW32" s="56">
        <f>-IF(AW$10=1,MAX($D$32,ABS(AV$32),ABS('Monthly P&amp;L'!AV$32*(1+'Model Assumptions'!AW$25))),0)</f>
        <v>-637.16028645833308</v>
      </c>
      <c r="AX32" s="56">
        <f>-IF(AX$10=1,MAX($D$32,ABS(AW$32),ABS('Monthly P&amp;L'!AW$32*(1+'Model Assumptions'!AX$25))),0)</f>
        <v>-637.16028645833308</v>
      </c>
      <c r="AY32" s="56">
        <f>-IF(AY$10=1,MAX($D$32,ABS(AX$32),ABS('Monthly P&amp;L'!AX$32*(1+'Model Assumptions'!AY$25))),0)</f>
        <v>-637.16028645833308</v>
      </c>
      <c r="AZ32" s="56">
        <f>-IF(AZ$10=1,MAX($D$32,ABS(AY$32),ABS('Monthly P&amp;L'!AY$32*(1+'Model Assumptions'!AZ$25))),0)</f>
        <v>-637.16028645833308</v>
      </c>
      <c r="BA32" s="56">
        <f>-IF(BA$10=1,MAX($D$32,ABS(AZ$32),ABS('Monthly P&amp;L'!AZ$32*(1+'Model Assumptions'!BA$25))),0)</f>
        <v>-637.16028645833308</v>
      </c>
      <c r="BB32" s="56">
        <f>-IF(BB$10=1,MAX($D$32,ABS(BA$32),ABS('Monthly P&amp;L'!BA$32*(1+'Model Assumptions'!BB$25))),0)</f>
        <v>-637.16028645833308</v>
      </c>
      <c r="BC32" s="56">
        <f>-IF(BC$10=1,MAX($D$32,ABS(BB$32),ABS('Monthly P&amp;L'!BB$32*(1+'Model Assumptions'!BC$25))),0)</f>
        <v>-653.08929361979131</v>
      </c>
      <c r="BD32" s="56">
        <f>-IF(BD$10=1,MAX($D$32,ABS(BC$32),ABS('Monthly P&amp;L'!BC$32*(1+'Model Assumptions'!BD$25))),0)</f>
        <v>-653.08929361979131</v>
      </c>
      <c r="BE32" s="56">
        <f>-IF(BE$10=1,MAX($D$32,ABS(BD$32),ABS('Monthly P&amp;L'!BD$32*(1+'Model Assumptions'!BE$25))),0)</f>
        <v>-653.08929361979131</v>
      </c>
      <c r="BF32" s="56">
        <f>-IF(BF$10=1,MAX($D$32,ABS(BE$32),ABS('Monthly P&amp;L'!BE$32*(1+'Model Assumptions'!BF$25))),0)</f>
        <v>-653.08929361979131</v>
      </c>
      <c r="BG32" s="56">
        <f>-IF(BG$10=1,MAX($D$32,ABS(BF$32),ABS('Monthly P&amp;L'!BF$32*(1+'Model Assumptions'!BG$25))),0)</f>
        <v>-653.08929361979131</v>
      </c>
      <c r="BH32" s="56">
        <f>-IF(BH$10=1,MAX($D$32,ABS(BG$32),ABS('Monthly P&amp;L'!BG$32*(1+'Model Assumptions'!BH$25))),0)</f>
        <v>-653.08929361979131</v>
      </c>
      <c r="BI32" s="56">
        <f>-IF(BI$10=1,MAX($D$32,ABS(BH$32),ABS('Monthly P&amp;L'!BH$32*(1+'Model Assumptions'!BI$25))),0)</f>
        <v>-653.08929361979131</v>
      </c>
      <c r="BJ32" s="56">
        <f>-IF(BJ$10=1,MAX($D$32,ABS(BI$32),ABS('Monthly P&amp;L'!BI$32*(1+'Model Assumptions'!BJ$25))),0)</f>
        <v>-653.08929361979131</v>
      </c>
      <c r="BK32" s="56">
        <f>-IF(BK$10=1,MAX($D$32,ABS(BJ$32),ABS('Monthly P&amp;L'!BJ$32*(1+'Model Assumptions'!BK$25))),0)</f>
        <v>-653.08929361979131</v>
      </c>
      <c r="BL32" s="56">
        <f>-IF(BL$10=1,MAX($D$32,ABS(BK$32),ABS('Monthly P&amp;L'!BK$32*(1+'Model Assumptions'!BL$25))),0)</f>
        <v>-653.08929361979131</v>
      </c>
      <c r="BM32" s="56">
        <f>-IF(BM$10=1,MAX($D$32,ABS(BL$32),ABS('Monthly P&amp;L'!BL$32*(1+'Model Assumptions'!BM$25))),0)</f>
        <v>-653.08929361979131</v>
      </c>
      <c r="BN32" s="56">
        <f>-IF(BN$10=1,MAX($D$32,ABS(BM$32),ABS('Monthly P&amp;L'!BM$32*(1+'Model Assumptions'!BN$25))),0)</f>
        <v>-653.08929361979131</v>
      </c>
      <c r="BO32" s="56">
        <f>-IF(BO$10=1,MAX($D$32,ABS(BN$32),ABS('Monthly P&amp;L'!BN$32*(1+'Model Assumptions'!BO$25))),0)</f>
        <v>-669.41652596028598</v>
      </c>
      <c r="BP32" s="56">
        <f>-IF(BP$10=1,MAX($D$32,ABS(BO$32),ABS('Monthly P&amp;L'!BO$32*(1+'Model Assumptions'!BP$25))),0)</f>
        <v>-669.41652596028598</v>
      </c>
      <c r="BQ32" s="56">
        <f>-IF(BQ$10=1,MAX($D$32,ABS(BP$32),ABS('Monthly P&amp;L'!BP$32*(1+'Model Assumptions'!BQ$25))),0)</f>
        <v>-669.41652596028598</v>
      </c>
      <c r="BR32" s="56">
        <f>-IF(BR$10=1,MAX($D$32,ABS(BQ$32),ABS('Monthly P&amp;L'!BQ$32*(1+'Model Assumptions'!BR$25))),0)</f>
        <v>-669.41652596028598</v>
      </c>
      <c r="BS32" s="56">
        <f>-IF(BS$10=1,MAX($D$32,ABS(BR$32),ABS('Monthly P&amp;L'!BR$32*(1+'Model Assumptions'!BS$25))),0)</f>
        <v>-669.41652596028598</v>
      </c>
      <c r="BT32" s="56">
        <f>-IF(BT$10=1,MAX($D$32,ABS(BS$32),ABS('Monthly P&amp;L'!BS$32*(1+'Model Assumptions'!BT$25))),0)</f>
        <v>-669.41652596028598</v>
      </c>
      <c r="BU32" s="56">
        <f>-IF(BU$10=1,MAX($D$32,ABS(BT$32),ABS('Monthly P&amp;L'!BT$32*(1+'Model Assumptions'!BU$25))),0)</f>
        <v>-669.41652596028598</v>
      </c>
      <c r="BV32" s="56">
        <f>-IF(BV$10=1,MAX($D$32,ABS(BU$32),ABS('Monthly P&amp;L'!BU$32*(1+'Model Assumptions'!BV$25))),0)</f>
        <v>-669.41652596028598</v>
      </c>
      <c r="BW32" s="56">
        <f>-IF(BW$10=1,MAX($D$32,ABS(BV$32),ABS('Monthly P&amp;L'!BV$32*(1+'Model Assumptions'!BW$25))),0)</f>
        <v>-669.41652596028598</v>
      </c>
      <c r="BX32" s="56">
        <f>-IF(BX$10=1,MAX($D$32,ABS(BW$32),ABS('Monthly P&amp;L'!BW$32*(1+'Model Assumptions'!BX$25))),0)</f>
        <v>-669.41652596028598</v>
      </c>
      <c r="BY32" s="56">
        <f>-IF(BY$10=1,MAX($D$32,ABS(BX$32),ABS('Monthly P&amp;L'!BX$32*(1+'Model Assumptions'!BY$25))),0)</f>
        <v>-669.41652596028598</v>
      </c>
      <c r="BZ32" s="56">
        <f>-IF(BZ$10=1,MAX($D$32,ABS(BY$32),ABS('Monthly P&amp;L'!BY$32*(1+'Model Assumptions'!BZ$25))),0)</f>
        <v>-669.41652596028598</v>
      </c>
      <c r="CA32" s="56">
        <f>-IF(CA$10=1,MAX($D$32,ABS(BZ$32),ABS('Monthly P&amp;L'!BZ$32*(1+'Model Assumptions'!CA$25))),0)</f>
        <v>-686.15193910929304</v>
      </c>
      <c r="CB32" s="56">
        <f>-IF(CB$10=1,MAX($D$32,ABS(CA$32),ABS('Monthly P&amp;L'!CA$32*(1+'Model Assumptions'!CB$25))),0)</f>
        <v>-686.15193910929304</v>
      </c>
      <c r="CC32" s="56">
        <f>-IF(CC$10=1,MAX($D$32,ABS(CB$32),ABS('Monthly P&amp;L'!CB$32*(1+'Model Assumptions'!CC$25))),0)</f>
        <v>-686.15193910929304</v>
      </c>
      <c r="CD32" s="56">
        <f>-IF(CD$10=1,MAX($D$32,ABS(CC$32),ABS('Monthly P&amp;L'!CC$32*(1+'Model Assumptions'!CD$25))),0)</f>
        <v>-686.15193910929304</v>
      </c>
      <c r="CE32" s="56">
        <f>-IF(CE$10=1,MAX($D$32,ABS(CD$32),ABS('Monthly P&amp;L'!CD$32*(1+'Model Assumptions'!CE$25))),0)</f>
        <v>-686.15193910929304</v>
      </c>
      <c r="CF32" s="56">
        <f>-IF(CF$10=1,MAX($D$32,ABS(CE$32),ABS('Monthly P&amp;L'!CE$32*(1+'Model Assumptions'!CF$25))),0)</f>
        <v>-686.15193910929304</v>
      </c>
      <c r="CG32" s="56">
        <f>-IF(CG$10=1,MAX($D$32,ABS(CF$32),ABS('Monthly P&amp;L'!CF$32*(1+'Model Assumptions'!CG$25))),0)</f>
        <v>-686.15193910929304</v>
      </c>
      <c r="CH32" s="56">
        <f>-IF(CH$10=1,MAX($D$32,ABS(CG$32),ABS('Monthly P&amp;L'!CG$32*(1+'Model Assumptions'!CH$25))),0)</f>
        <v>-686.15193910929304</v>
      </c>
      <c r="CI32" s="56">
        <f>-IF(CI$10=1,MAX($D$32,ABS(CH$32),ABS('Monthly P&amp;L'!CH$32*(1+'Model Assumptions'!CI$25))),0)</f>
        <v>-686.15193910929304</v>
      </c>
      <c r="CJ32" s="56">
        <f>-IF(CJ$10=1,MAX($D$32,ABS(CI$32),ABS('Monthly P&amp;L'!CI$32*(1+'Model Assumptions'!CJ$25))),0)</f>
        <v>-686.15193910929304</v>
      </c>
      <c r="CK32" s="56">
        <f>-IF(CK$10=1,MAX($D$32,ABS(CJ$32),ABS('Monthly P&amp;L'!CJ$32*(1+'Model Assumptions'!CK$25))),0)</f>
        <v>-686.15193910929304</v>
      </c>
      <c r="CL32" s="56">
        <f>-IF(CL$10=1,MAX($D$32,ABS(CK$32),ABS('Monthly P&amp;L'!CK$32*(1+'Model Assumptions'!CL$25))),0)</f>
        <v>-686.15193910929304</v>
      </c>
      <c r="CM32" s="56">
        <f>-IF(CM$10=1,MAX($D$32,ABS(CL$32),ABS('Monthly P&amp;L'!CL$32*(1+'Model Assumptions'!CM$25))),0)</f>
        <v>-703.30573758702531</v>
      </c>
      <c r="CN32" s="56">
        <f>-IF(CN$10=1,MAX($D$32,ABS(CM$32),ABS('Monthly P&amp;L'!CM$32*(1+'Model Assumptions'!CN$25))),0)</f>
        <v>-703.30573758702531</v>
      </c>
      <c r="CO32" s="56">
        <f>-IF(CO$10=1,MAX($D$32,ABS(CN$32),ABS('Monthly P&amp;L'!CN$32*(1+'Model Assumptions'!CO$25))),0)</f>
        <v>-703.30573758702531</v>
      </c>
      <c r="CP32" s="56">
        <f>-IF(CP$10=1,MAX($D$32,ABS(CO$32),ABS('Monthly P&amp;L'!CO$32*(1+'Model Assumptions'!CP$25))),0)</f>
        <v>-703.30573758702531</v>
      </c>
      <c r="CQ32" s="56">
        <f>-IF(CQ$10=1,MAX($D$32,ABS(CP$32),ABS('Monthly P&amp;L'!CP$32*(1+'Model Assumptions'!CQ$25))),0)</f>
        <v>-703.30573758702531</v>
      </c>
      <c r="CR32" s="56">
        <f>-IF(CR$10=1,MAX($D$32,ABS(CQ$32),ABS('Monthly P&amp;L'!CQ$32*(1+'Model Assumptions'!CR$25))),0)</f>
        <v>-703.30573758702531</v>
      </c>
      <c r="CS32" s="56">
        <f>-IF(CS$10=1,MAX($D$32,ABS(CR$32),ABS('Monthly P&amp;L'!CR$32*(1+'Model Assumptions'!CS$25))),0)</f>
        <v>-703.30573758702531</v>
      </c>
      <c r="CT32" s="56">
        <f>-IF(CT$10=1,MAX($D$32,ABS(CS$32),ABS('Monthly P&amp;L'!CS$32*(1+'Model Assumptions'!CT$25))),0)</f>
        <v>-703.30573758702531</v>
      </c>
      <c r="CU32" s="56">
        <f>-IF(CU$10=1,MAX($D$32,ABS(CT$32),ABS('Monthly P&amp;L'!CT$32*(1+'Model Assumptions'!CU$25))),0)</f>
        <v>-703.30573758702531</v>
      </c>
      <c r="CV32" s="56">
        <f>-IF(CV$10=1,MAX($D$32,ABS(CU$32),ABS('Monthly P&amp;L'!CU$32*(1+'Model Assumptions'!CV$25))),0)</f>
        <v>-703.30573758702531</v>
      </c>
      <c r="CW32" s="56">
        <f>-IF(CW$10=1,MAX($D$32,ABS(CV$32),ABS('Monthly P&amp;L'!CV$32*(1+'Model Assumptions'!CW$25))),0)</f>
        <v>-703.30573758702531</v>
      </c>
      <c r="CX32" s="56">
        <f>-IF(CX$10=1,MAX($D$32,ABS(CW$32),ABS('Monthly P&amp;L'!CW$32*(1+'Model Assumptions'!CX$25))),0)</f>
        <v>-703.30573758702531</v>
      </c>
      <c r="CY32" s="56">
        <f>-IF(CY$10=1,MAX($D$32,ABS(CX$32),ABS('Monthly P&amp;L'!CX$32*(1+'Model Assumptions'!CY$25))),0)</f>
        <v>-720.88838102670093</v>
      </c>
      <c r="CZ32" s="56">
        <f>-IF(CZ$10=1,MAX($D$32,ABS(CY$32),ABS('Monthly P&amp;L'!CY$32*(1+'Model Assumptions'!CZ$25))),0)</f>
        <v>-720.88838102670093</v>
      </c>
      <c r="DA32" s="56">
        <f>-IF(DA$10=1,MAX($D$32,ABS(CZ$32),ABS('Monthly P&amp;L'!CZ$32*(1+'Model Assumptions'!DA$25))),0)</f>
        <v>-720.88838102670093</v>
      </c>
      <c r="DB32" s="56">
        <f>-IF(DB$10=1,MAX($D$32,ABS(DA$32),ABS('Monthly P&amp;L'!DA$32*(1+'Model Assumptions'!DB$25))),0)</f>
        <v>-720.88838102670093</v>
      </c>
      <c r="DC32" s="56">
        <f>-IF(DC$10=1,MAX($D$32,ABS(DB$32),ABS('Monthly P&amp;L'!DB$32*(1+'Model Assumptions'!DC$25))),0)</f>
        <v>-720.88838102670093</v>
      </c>
      <c r="DD32" s="56">
        <f>-IF(DD$10=1,MAX($D$32,ABS(DC$32),ABS('Monthly P&amp;L'!DC$32*(1+'Model Assumptions'!DD$25))),0)</f>
        <v>-720.88838102670093</v>
      </c>
      <c r="DE32" s="56">
        <f>-IF(DE$10=1,MAX($D$32,ABS(DD$32),ABS('Monthly P&amp;L'!DD$32*(1+'Model Assumptions'!DE$25))),0)</f>
        <v>-720.88838102670093</v>
      </c>
      <c r="DF32" s="56">
        <f>-IF(DF$10=1,MAX($D$32,ABS(DE$32),ABS('Monthly P&amp;L'!DE$32*(1+'Model Assumptions'!DF$25))),0)</f>
        <v>-720.88838102670093</v>
      </c>
      <c r="DG32" s="56">
        <f>-IF(DG$10=1,MAX($D$32,ABS(DF$32),ABS('Monthly P&amp;L'!DF$32*(1+'Model Assumptions'!DG$25))),0)</f>
        <v>-720.88838102670093</v>
      </c>
      <c r="DH32" s="56">
        <f>-IF(DH$10=1,MAX($D$32,ABS(DG$32),ABS('Monthly P&amp;L'!DG$32*(1+'Model Assumptions'!DH$25))),0)</f>
        <v>-720.88838102670093</v>
      </c>
      <c r="DI32" s="56">
        <f>-IF(DI$10=1,MAX($D$32,ABS(DH$32),ABS('Monthly P&amp;L'!DH$32*(1+'Model Assumptions'!DI$25))),0)</f>
        <v>-720.88838102670093</v>
      </c>
      <c r="DJ32" s="56">
        <f>-IF(DJ$10=1,MAX($D$32,ABS(DI$32),ABS('Monthly P&amp;L'!DI$32*(1+'Model Assumptions'!DJ$25))),0)</f>
        <v>-720.88838102670093</v>
      </c>
      <c r="DK32" s="56">
        <f>-IF(DK$10=1,MAX($D$32,ABS(DJ$32),ABS('Monthly P&amp;L'!DJ$32*(1+'Model Assumptions'!DK$25))),0)</f>
        <v>-738.91059055236838</v>
      </c>
      <c r="DL32" s="56">
        <f>-IF(DL$10=1,MAX($D$32,ABS(DK$32),ABS('Monthly P&amp;L'!DK$32*(1+'Model Assumptions'!DL$25))),0)</f>
        <v>-738.91059055236838</v>
      </c>
      <c r="DM32" s="56">
        <f>-IF(DM$10=1,MAX($D$32,ABS(DL$32),ABS('Monthly P&amp;L'!DL$32*(1+'Model Assumptions'!DM$25))),0)</f>
        <v>-738.91059055236838</v>
      </c>
      <c r="DN32" s="56">
        <f>-IF(DN$10=1,MAX($D$32,ABS(DM$32),ABS('Monthly P&amp;L'!DM$32*(1+'Model Assumptions'!DN$25))),0)</f>
        <v>-738.91059055236838</v>
      </c>
      <c r="DO32" s="56">
        <f>-IF(DO$10=1,MAX($D$32,ABS(DN$32),ABS('Monthly P&amp;L'!DN$32*(1+'Model Assumptions'!DO$25))),0)</f>
        <v>-738.91059055236838</v>
      </c>
      <c r="DP32" s="56">
        <f>-IF(DP$10=1,MAX($D$32,ABS(DO$32),ABS('Monthly P&amp;L'!DO$32*(1+'Model Assumptions'!DP$25))),0)</f>
        <v>-738.91059055236838</v>
      </c>
      <c r="DQ32" s="56">
        <f>-IF(DQ$10=1,MAX($D$32,ABS(DP$32),ABS('Monthly P&amp;L'!DP$32*(1+'Model Assumptions'!DQ$25))),0)</f>
        <v>-738.91059055236838</v>
      </c>
      <c r="DR32" s="56">
        <f>-IF(DR$10=1,MAX($D$32,ABS(DQ$32),ABS('Monthly P&amp;L'!DQ$32*(1+'Model Assumptions'!DR$25))),0)</f>
        <v>-738.91059055236838</v>
      </c>
      <c r="DS32" s="56">
        <f>-IF(DS$10=1,MAX($D$32,ABS(DR$32),ABS('Monthly P&amp;L'!DR$32*(1+'Model Assumptions'!DS$25))),0)</f>
        <v>-738.91059055236838</v>
      </c>
      <c r="DT32" s="56">
        <f>-IF(DT$10=1,MAX($D$32,ABS(DS$32),ABS('Monthly P&amp;L'!DS$32*(1+'Model Assumptions'!DT$25))),0)</f>
        <v>-738.91059055236838</v>
      </c>
      <c r="DU32" s="56">
        <f>-IF(DU$10=1,MAX($D$32,ABS(DT$32),ABS('Monthly P&amp;L'!DT$32*(1+'Model Assumptions'!DU$25))),0)</f>
        <v>-738.91059055236838</v>
      </c>
      <c r="DV32" s="56">
        <f>-IF(DV$10=1,MAX($D$32,ABS(DU$32),ABS('Monthly P&amp;L'!DU$32*(1+'Model Assumptions'!DV$25))),0)</f>
        <v>-738.91059055236838</v>
      </c>
      <c r="DW32" s="56">
        <f>-IF(DW$10=1,MAX($D$32,ABS(DV$32),ABS('Monthly P&amp;L'!DV$32*(1+'Model Assumptions'!DW$25))),0)</f>
        <v>-757.38335531617747</v>
      </c>
      <c r="DX32" s="56">
        <f>-IF(DX$10=1,MAX($D$32,ABS(DW$32),ABS('Monthly P&amp;L'!DW$32*(1+'Model Assumptions'!DX$25))),0)</f>
        <v>-757.38335531617747</v>
      </c>
      <c r="DY32" s="56">
        <f>-IF(DY$10=1,MAX($D$32,ABS(DX$32),ABS('Monthly P&amp;L'!DX$32*(1+'Model Assumptions'!DY$25))),0)</f>
        <v>-757.38335531617747</v>
      </c>
      <c r="DZ32" s="56">
        <f>-IF(DZ$10=1,MAX($D$32,ABS(DY$32),ABS('Monthly P&amp;L'!DY$32*(1+'Model Assumptions'!DZ$25))),0)</f>
        <v>-757.38335531617747</v>
      </c>
      <c r="EA32" s="56">
        <f>-IF(EA$10=1,MAX($D$32,ABS(DZ$32),ABS('Monthly P&amp;L'!DZ$32*(1+'Model Assumptions'!EA$25))),0)</f>
        <v>-757.38335531617747</v>
      </c>
      <c r="EB32" s="56">
        <f>-IF(EB$10=1,MAX($D$32,ABS(EA$32),ABS('Monthly P&amp;L'!EA$32*(1+'Model Assumptions'!EB$25))),0)</f>
        <v>-757.38335531617747</v>
      </c>
      <c r="EC32" s="56">
        <f>-IF(EC$10=1,MAX($D$32,ABS(EB$32),ABS('Monthly P&amp;L'!EB$32*(1+'Model Assumptions'!EC$25))),0)</f>
        <v>-757.38335531617747</v>
      </c>
      <c r="ED32" s="56">
        <f>-IF(ED$10=1,MAX($D$32,ABS(EC$32),ABS('Monthly P&amp;L'!EC$32*(1+'Model Assumptions'!ED$25))),0)</f>
        <v>-757.38335531617747</v>
      </c>
      <c r="EE32" s="56">
        <f>-IF(EE$10=1,MAX($D$32,ABS(ED$32),ABS('Monthly P&amp;L'!ED$32*(1+'Model Assumptions'!EE$25))),0)</f>
        <v>-757.38335531617747</v>
      </c>
      <c r="EF32" s="56">
        <f>-IF(EF$10=1,MAX($D$32,ABS(EE$32),ABS('Monthly P&amp;L'!EE$32*(1+'Model Assumptions'!EF$25))),0)</f>
        <v>-757.38335531617747</v>
      </c>
      <c r="EG32" s="56">
        <f>-IF(EG$10=1,MAX($D$32,ABS(EF$32),ABS('Monthly P&amp;L'!EF$32*(1+'Model Assumptions'!EG$25))),0)</f>
        <v>-757.38335531617747</v>
      </c>
      <c r="EH32" s="56">
        <f>-IF(EH$10=1,MAX($D$32,ABS(EG$32),ABS('Monthly P&amp;L'!EG$32*(1+'Model Assumptions'!EH$25))),0)</f>
        <v>-757.38335531617747</v>
      </c>
      <c r="EI32" s="56">
        <f>-IF(EI$10=1,MAX($D$32,ABS(EH$32),ABS('Monthly P&amp;L'!EH$32*(1+'Model Assumptions'!EI$25))),0)</f>
        <v>-776.31793919908182</v>
      </c>
      <c r="EJ32" s="56">
        <f>-IF(EJ$10=1,MAX($D$32,ABS(EI$32),ABS('Monthly P&amp;L'!EI$32*(1+'Model Assumptions'!EJ$25))),0)</f>
        <v>-776.31793919908182</v>
      </c>
      <c r="EK32" s="56">
        <f>-IF(EK$10=1,MAX($D$32,ABS(EJ$32),ABS('Monthly P&amp;L'!EJ$32*(1+'Model Assumptions'!EK$25))),0)</f>
        <v>-776.31793919908182</v>
      </c>
      <c r="EL32" s="56">
        <f>-IF(EL$10=1,MAX($D$32,ABS(EK$32),ABS('Monthly P&amp;L'!EK$32*(1+'Model Assumptions'!EL$25))),0)</f>
        <v>-776.31793919908182</v>
      </c>
      <c r="EM32" s="56">
        <f>-IF(EM$10=1,MAX($D$32,ABS(EL$32),ABS('Monthly P&amp;L'!EL$32*(1+'Model Assumptions'!EM$25))),0)</f>
        <v>-776.31793919908182</v>
      </c>
      <c r="EN32" s="56">
        <f>-IF(EN$10=1,MAX($D$32,ABS(EM$32),ABS('Monthly P&amp;L'!EM$32*(1+'Model Assumptions'!EN$25))),0)</f>
        <v>-776.31793919908182</v>
      </c>
      <c r="EO32" s="56">
        <f>-IF(EO$10=1,MAX($D$32,ABS(EN$32),ABS('Monthly P&amp;L'!EN$32*(1+'Model Assumptions'!EO$25))),0)</f>
        <v>-776.31793919908182</v>
      </c>
      <c r="EP32" s="56">
        <f>-IF(EP$10=1,MAX($D$32,ABS(EO$32),ABS('Monthly P&amp;L'!EO$32*(1+'Model Assumptions'!EP$25))),0)</f>
        <v>-776.31793919908182</v>
      </c>
      <c r="EQ32" s="56">
        <f>-IF(EQ$10=1,MAX($D$32,ABS(EP$32),ABS('Monthly P&amp;L'!EP$32*(1+'Model Assumptions'!EQ$25))),0)</f>
        <v>-776.31793919908182</v>
      </c>
      <c r="ER32" s="56">
        <f>-IF(ER$10=1,MAX($D$32,ABS(EQ$32),ABS('Monthly P&amp;L'!EQ$32*(1+'Model Assumptions'!ER$25))),0)</f>
        <v>-776.31793919908182</v>
      </c>
      <c r="ES32" s="56">
        <f>-IF(ES$10=1,MAX($D$32,ABS(ER$32),ABS('Monthly P&amp;L'!ER$32*(1+'Model Assumptions'!ES$25))),0)</f>
        <v>-776.31793919908182</v>
      </c>
      <c r="ET32" s="56">
        <f>-IF(ET$10=1,MAX($D$32,ABS(ES$32),ABS('Monthly P&amp;L'!ES$32*(1+'Model Assumptions'!ET$25))),0)</f>
        <v>-776.31793919908182</v>
      </c>
      <c r="EU32" s="56">
        <f>-IF(EU$10=1,MAX($D$32,ABS(ET$32),ABS('Monthly P&amp;L'!ET$32*(1+'Model Assumptions'!EU$25))),0)</f>
        <v>-795.72588767905881</v>
      </c>
      <c r="EV32" s="56">
        <f>-IF(EV$10=1,MAX($D$32,ABS(EU$32),ABS('Monthly P&amp;L'!EU$32*(1+'Model Assumptions'!EV$25))),0)</f>
        <v>-795.72588767905881</v>
      </c>
      <c r="EW32" s="56">
        <f>-IF(EW$10=1,MAX($D$32,ABS(EV$32),ABS('Monthly P&amp;L'!EV$32*(1+'Model Assumptions'!EW$25))),0)</f>
        <v>-795.72588767905881</v>
      </c>
      <c r="EX32" s="56">
        <f>-IF(EX$10=1,MAX($D$32,ABS(EW$32),ABS('Monthly P&amp;L'!EW$32*(1+'Model Assumptions'!EX$25))),0)</f>
        <v>-795.72588767905881</v>
      </c>
      <c r="EY32" s="56">
        <f>-IF(EY$10=1,MAX($D$32,ABS(EX$32),ABS('Monthly P&amp;L'!EX$32*(1+'Model Assumptions'!EY$25))),0)</f>
        <v>-795.72588767905881</v>
      </c>
      <c r="EZ32" s="56">
        <f>-IF(EZ$10=1,MAX($D$32,ABS(EY$32),ABS('Monthly P&amp;L'!EY$32*(1+'Model Assumptions'!EZ$25))),0)</f>
        <v>-795.72588767905881</v>
      </c>
      <c r="FA32" s="56">
        <f>-IF(FA$10=1,MAX($D$32,ABS(EZ$32),ABS('Monthly P&amp;L'!EZ$32*(1+'Model Assumptions'!FA$25))),0)</f>
        <v>-795.72588767905881</v>
      </c>
      <c r="FB32" s="56">
        <f>-IF(FB$10=1,MAX($D$32,ABS(FA$32),ABS('Monthly P&amp;L'!FA$32*(1+'Model Assumptions'!FB$25))),0)</f>
        <v>-795.72588767905881</v>
      </c>
      <c r="FC32" s="56">
        <f>-IF(FC$10=1,MAX($D$32,ABS(FB$32),ABS('Monthly P&amp;L'!FB$32*(1+'Model Assumptions'!FC$25))),0)</f>
        <v>-795.72588767905881</v>
      </c>
      <c r="FD32" s="56">
        <f>-IF(FD$10=1,MAX($D$32,ABS(FC$32),ABS('Monthly P&amp;L'!FC$32*(1+'Model Assumptions'!FD$25))),0)</f>
        <v>-795.72588767905881</v>
      </c>
      <c r="FE32" s="56">
        <f>-IF(FE$10=1,MAX($D$32,ABS(FD$32),ABS('Monthly P&amp;L'!FD$32*(1+'Model Assumptions'!FE$25))),0)</f>
        <v>-795.72588767905881</v>
      </c>
      <c r="FF32" s="56">
        <f>-IF(FF$10=1,MAX($D$32,ABS(FE$32),ABS('Monthly P&amp;L'!FE$32*(1+'Model Assumptions'!FF$25))),0)</f>
        <v>-795.72588767905881</v>
      </c>
      <c r="FG32" s="56">
        <f>-IF(FG$10=1,MAX($D$32,ABS(FF$32),ABS('Monthly P&amp;L'!FF$32*(1+'Model Assumptions'!FG$25))),0)</f>
        <v>-815.61903487103518</v>
      </c>
      <c r="FH32" s="56">
        <f>-IF(FH$10=1,MAX($D$32,ABS(FG$32),ABS('Monthly P&amp;L'!FG$32*(1+'Model Assumptions'!FH$25))),0)</f>
        <v>-815.61903487103518</v>
      </c>
      <c r="FI32" s="56">
        <f>-IF(FI$10=1,MAX($D$32,ABS(FH$32),ABS('Monthly P&amp;L'!FH$32*(1+'Model Assumptions'!FI$25))),0)</f>
        <v>-815.61903487103518</v>
      </c>
      <c r="FJ32" s="56">
        <f>-IF(FJ$10=1,MAX($D$32,ABS(FI$32),ABS('Monthly P&amp;L'!FI$32*(1+'Model Assumptions'!FJ$25))),0)</f>
        <v>-815.61903487103518</v>
      </c>
      <c r="FK32" s="56">
        <f>-IF(FK$10=1,MAX($D$32,ABS(FJ$32),ABS('Monthly P&amp;L'!FJ$32*(1+'Model Assumptions'!FK$25))),0)</f>
        <v>-815.61903487103518</v>
      </c>
      <c r="FL32" s="56">
        <f>-IF(FL$10=1,MAX($D$32,ABS(FK$32),ABS('Monthly P&amp;L'!FK$32*(1+'Model Assumptions'!FL$25))),0)</f>
        <v>-815.61903487103518</v>
      </c>
      <c r="FM32" s="56">
        <f>-IF(FM$10=1,MAX($D$32,ABS(FL$32),ABS('Monthly P&amp;L'!FL$32*(1+'Model Assumptions'!FM$25))),0)</f>
        <v>-815.61903487103518</v>
      </c>
      <c r="FN32" s="56">
        <f>-IF(FN$10=1,MAX($D$32,ABS(FM$32),ABS('Monthly P&amp;L'!FM$32*(1+'Model Assumptions'!FN$25))),0)</f>
        <v>-815.61903487103518</v>
      </c>
      <c r="FO32" s="56">
        <f>-IF(FO$10=1,MAX($D$32,ABS(FN$32),ABS('Monthly P&amp;L'!FN$32*(1+'Model Assumptions'!FO$25))),0)</f>
        <v>-815.61903487103518</v>
      </c>
      <c r="FP32" s="56">
        <f>-IF(FP$10=1,MAX($D$32,ABS(FO$32),ABS('Monthly P&amp;L'!FO$32*(1+'Model Assumptions'!FP$25))),0)</f>
        <v>-815.61903487103518</v>
      </c>
      <c r="FQ32" s="56">
        <f>-IF(FQ$10=1,MAX($D$32,ABS(FP$32),ABS('Monthly P&amp;L'!FP$32*(1+'Model Assumptions'!FQ$25))),0)</f>
        <v>-815.61903487103518</v>
      </c>
      <c r="FR32" s="56">
        <f>-IF(FR$10=1,MAX($D$32,ABS(FQ$32),ABS('Monthly P&amp;L'!FQ$32*(1+'Model Assumptions'!FR$25))),0)</f>
        <v>-815.61903487103518</v>
      </c>
      <c r="FS32" s="56">
        <f>-IF(FS$10=1,MAX($D$32,ABS(FR$32),ABS('Monthly P&amp;L'!FR$32*(1+'Model Assumptions'!FS$25))),0)</f>
        <v>-836.00951074281102</v>
      </c>
      <c r="FT32" s="56">
        <f>-IF(FT$10=1,MAX($D$32,ABS(FS$32),ABS('Monthly P&amp;L'!FS$32*(1+'Model Assumptions'!FT$25))),0)</f>
        <v>-836.00951074281102</v>
      </c>
      <c r="FU32" s="56">
        <f>-IF(FU$10=1,MAX($D$32,ABS(FT$32),ABS('Monthly P&amp;L'!FT$32*(1+'Model Assumptions'!FU$25))),0)</f>
        <v>-836.00951074281102</v>
      </c>
      <c r="FV32" s="56">
        <f>-IF(FV$10=1,MAX($D$32,ABS(FU$32),ABS('Monthly P&amp;L'!FU$32*(1+'Model Assumptions'!FV$25))),0)</f>
        <v>-836.00951074281102</v>
      </c>
      <c r="FW32" s="56">
        <f>-IF(FW$10=1,MAX($D$32,ABS(FV$32),ABS('Monthly P&amp;L'!FV$32*(1+'Model Assumptions'!FW$25))),0)</f>
        <v>-836.00951074281102</v>
      </c>
      <c r="FX32" s="56">
        <f>-IF(FX$10=1,MAX($D$32,ABS(FW$32),ABS('Monthly P&amp;L'!FW$32*(1+'Model Assumptions'!FX$25))),0)</f>
        <v>-836.00951074281102</v>
      </c>
      <c r="FY32" s="56">
        <f>-IF(FY$10=1,MAX($D$32,ABS(FX$32),ABS('Monthly P&amp;L'!FX$32*(1+'Model Assumptions'!FY$25))),0)</f>
        <v>-836.00951074281102</v>
      </c>
      <c r="FZ32" s="56">
        <f>-IF(FZ$10=1,MAX($D$32,ABS(FY$32),ABS('Monthly P&amp;L'!FY$32*(1+'Model Assumptions'!FZ$25))),0)</f>
        <v>-836.00951074281102</v>
      </c>
      <c r="GA32" s="56">
        <f>-IF(GA$10=1,MAX($D$32,ABS(FZ$32),ABS('Monthly P&amp;L'!FZ$32*(1+'Model Assumptions'!GA$25))),0)</f>
        <v>-836.00951074281102</v>
      </c>
      <c r="GB32" s="56">
        <f>-IF(GB$10=1,MAX($D$32,ABS(GA$32),ABS('Monthly P&amp;L'!GA$32*(1+'Model Assumptions'!GB$25))),0)</f>
        <v>-836.00951074281102</v>
      </c>
      <c r="GC32" s="56">
        <f>-IF(GC$10=1,MAX($D$32,ABS(GB$32),ABS('Monthly P&amp;L'!GB$32*(1+'Model Assumptions'!GC$25))),0)</f>
        <v>-836.00951074281102</v>
      </c>
      <c r="GD32" s="56">
        <f>-IF(GD$10=1,MAX($D$32,ABS(GC$32),ABS('Monthly P&amp;L'!GC$32*(1+'Model Assumptions'!GD$25))),0)</f>
        <v>-836.00951074281102</v>
      </c>
      <c r="GE32" s="56">
        <f>-IF(GE$10=1,MAX($D$32,ABS(GD$32),ABS('Monthly P&amp;L'!GD$32*(1+'Model Assumptions'!GE$25))),0)</f>
        <v>0</v>
      </c>
      <c r="GF32" s="56">
        <f>-IF(GF$10=1,MAX($D$32,ABS(GE$32),ABS('Monthly P&amp;L'!GE$32*(1+'Model Assumptions'!GF$25))),0)</f>
        <v>0</v>
      </c>
      <c r="GG32" s="56">
        <f>-IF(GG$10=1,MAX($D$32,ABS(GF$32),ABS('Monthly P&amp;L'!GF$32*(1+'Model Assumptions'!GG$25))),0)</f>
        <v>0</v>
      </c>
      <c r="GH32" s="56">
        <f>-IF(GH$10=1,MAX($D$32,ABS(GG$32),ABS('Monthly P&amp;L'!GG$32*(1+'Model Assumptions'!GH$25))),0)</f>
        <v>0</v>
      </c>
      <c r="GI32" s="56">
        <f>-IF(GI$10=1,MAX($D$32,ABS(GH$32),ABS('Monthly P&amp;L'!GH$32*(1+'Model Assumptions'!GI$25))),0)</f>
        <v>0</v>
      </c>
      <c r="GJ32" s="56">
        <f>-IF(GJ$10=1,MAX($D$32,ABS(GI$32),ABS('Monthly P&amp;L'!GI$32*(1+'Model Assumptions'!GJ$25))),0)</f>
        <v>0</v>
      </c>
      <c r="GK32" s="56">
        <f>-IF(GK$10=1,MAX($D$32,ABS(GJ$32),ABS('Monthly P&amp;L'!GJ$32*(1+'Model Assumptions'!GK$25))),0)</f>
        <v>0</v>
      </c>
      <c r="GL32" s="56">
        <f>-IF(GL$10=1,MAX($D$32,ABS(GK$32),ABS('Monthly P&amp;L'!GK$32*(1+'Model Assumptions'!GL$25))),0)</f>
        <v>0</v>
      </c>
      <c r="GM32" s="56">
        <f>-IF(GM$10=1,MAX($D$32,ABS(GL$32),ABS('Monthly P&amp;L'!GL$32*(1+'Model Assumptions'!GM$25))),0)</f>
        <v>0</v>
      </c>
      <c r="GN32" s="56">
        <f>-IF(GN$10=1,MAX($D$32,ABS(GM$32),ABS('Monthly P&amp;L'!GM$32*(1+'Model Assumptions'!GN$25))),0)</f>
        <v>0</v>
      </c>
      <c r="GO32" s="56">
        <f>-IF(GO$10=1,MAX($D$32,ABS(GN$32),ABS('Monthly P&amp;L'!GN$32*(1+'Model Assumptions'!GO$25))),0)</f>
        <v>0</v>
      </c>
      <c r="GP32" s="56">
        <f>-IF(GP$10=1,MAX($D$32,ABS(GO$32),ABS('Monthly P&amp;L'!GO$32*(1+'Model Assumptions'!GP$25))),0)</f>
        <v>0</v>
      </c>
      <c r="GQ32" s="56">
        <f>-IF(GQ$10=1,MAX($D$32,ABS(GP$32),ABS('Monthly P&amp;L'!GP$32*(1+'Model Assumptions'!GQ$25))),0)</f>
        <v>0</v>
      </c>
      <c r="GR32" s="56">
        <f>-IF(GR$10=1,MAX($D$32,ABS(GQ$32),ABS('Monthly P&amp;L'!GQ$32*(1+'Model Assumptions'!GR$25))),0)</f>
        <v>0</v>
      </c>
      <c r="GS32" s="56">
        <f>-IF(GS$10=1,MAX($D$32,ABS(GR$32),ABS('Monthly P&amp;L'!GR$32*(1+'Model Assumptions'!GS$25))),0)</f>
        <v>0</v>
      </c>
      <c r="GT32" s="56">
        <f>-IF(GT$10=1,MAX($D$32,ABS(GS$32),ABS('Monthly P&amp;L'!GS$32*(1+'Model Assumptions'!GT$25))),0)</f>
        <v>0</v>
      </c>
      <c r="GU32" s="56">
        <f>-IF(GU$10=1,MAX($D$32,ABS(GT$32),ABS('Monthly P&amp;L'!GT$32*(1+'Model Assumptions'!GU$25))),0)</f>
        <v>0</v>
      </c>
      <c r="GV32" s="56">
        <f>-IF(GV$10=1,MAX($D$32,ABS(GU$32),ABS('Monthly P&amp;L'!GU$32*(1+'Model Assumptions'!GV$25))),0)</f>
        <v>0</v>
      </c>
      <c r="GW32" s="56">
        <f>-IF(GW$10=1,MAX($D$32,ABS(GV$32),ABS('Monthly P&amp;L'!GV$32*(1+'Model Assumptions'!GW$25))),0)</f>
        <v>0</v>
      </c>
      <c r="GX32" s="56">
        <f>-IF(GX$10=1,MAX($D$32,ABS(GW$32),ABS('Monthly P&amp;L'!GW$32*(1+'Model Assumptions'!GX$25))),0)</f>
        <v>0</v>
      </c>
      <c r="GY32" s="56">
        <f>-IF(GY$10=1,MAX($D$32,ABS(GX$32),ABS('Monthly P&amp;L'!GX$32*(1+'Model Assumptions'!GY$25))),0)</f>
        <v>0</v>
      </c>
      <c r="GZ32" s="56">
        <f>-IF(GZ$10=1,MAX($D$32,ABS(GY$32),ABS('Monthly P&amp;L'!GY$32*(1+'Model Assumptions'!GZ$25))),0)</f>
        <v>0</v>
      </c>
      <c r="HA32" s="56">
        <f>-IF(HA$10=1,MAX($D$32,ABS(GZ$32),ABS('Monthly P&amp;L'!GZ$32*(1+'Model Assumptions'!HA$25))),0)</f>
        <v>0</v>
      </c>
      <c r="HB32" s="56">
        <f>-IF(HB$10=1,MAX($D$32,ABS(HA$32),ABS('Monthly P&amp;L'!HA$32*(1+'Model Assumptions'!HB$25))),0)</f>
        <v>0</v>
      </c>
      <c r="HC32" s="56">
        <f>-IF(HC$10=1,MAX($D$32,ABS(HB$32),ABS('Monthly P&amp;L'!HB$32*(1+'Model Assumptions'!HC$25))),0)</f>
        <v>0</v>
      </c>
      <c r="HD32" s="56">
        <f>-IF(HD$10=1,MAX($D$32,ABS(HC$32),ABS('Monthly P&amp;L'!HC$32*(1+'Model Assumptions'!HD$25))),0)</f>
        <v>0</v>
      </c>
      <c r="HE32" s="56">
        <f>-IF(HE$10=1,MAX($D$32,ABS(HD$32),ABS('Monthly P&amp;L'!HD$32*(1+'Model Assumptions'!HE$25))),0)</f>
        <v>0</v>
      </c>
      <c r="HF32" s="56">
        <f>-IF(HF$10=1,MAX($D$32,ABS(HE$32),ABS('Monthly P&amp;L'!HE$32*(1+'Model Assumptions'!HF$25))),0)</f>
        <v>0</v>
      </c>
      <c r="HG32" s="56">
        <f>-IF(HG$10=1,MAX($D$32,ABS(HF$32),ABS('Monthly P&amp;L'!HF$32*(1+'Model Assumptions'!HG$25))),0)</f>
        <v>0</v>
      </c>
      <c r="HH32" s="56">
        <f>-IF(HH$10=1,MAX($D$32,ABS(HG$32),ABS('Monthly P&amp;L'!HG$32*(1+'Model Assumptions'!HH$25))),0)</f>
        <v>0</v>
      </c>
      <c r="HI32" s="56">
        <f>-IF(HI$10=1,MAX($D$32,ABS(HH$32),ABS('Monthly P&amp;L'!HH$32*(1+'Model Assumptions'!HI$25))),0)</f>
        <v>0</v>
      </c>
      <c r="HJ32" s="56">
        <f>-IF(HJ$10=1,MAX($D$32,ABS(HI$32),ABS('Monthly P&amp;L'!HI$32*(1+'Model Assumptions'!HJ$25))),0)</f>
        <v>0</v>
      </c>
      <c r="HK32" s="56">
        <f>-IF(HK$10=1,MAX($D$32,ABS(HJ$32),ABS('Monthly P&amp;L'!HJ$32*(1+'Model Assumptions'!HK$25))),0)</f>
        <v>0</v>
      </c>
      <c r="HL32" s="56">
        <f>-IF(HL$10=1,MAX($D$32,ABS(HK$32),ABS('Monthly P&amp;L'!HK$32*(1+'Model Assumptions'!HL$25))),0)</f>
        <v>0</v>
      </c>
      <c r="HM32" s="56">
        <f>-IF(HM$10=1,MAX($D$32,ABS(HL$32),ABS('Monthly P&amp;L'!HL$32*(1+'Model Assumptions'!HM$25))),0)</f>
        <v>0</v>
      </c>
      <c r="HN32" s="56">
        <f>-IF(HN$10=1,MAX($D$32,ABS(HM$32),ABS('Monthly P&amp;L'!HM$32*(1+'Model Assumptions'!HN$25))),0)</f>
        <v>0</v>
      </c>
      <c r="HO32" s="56">
        <f>-IF(HO$10=1,MAX($D$32,ABS(HN$32),ABS('Monthly P&amp;L'!HN$32*(1+'Model Assumptions'!HO$25))),0)</f>
        <v>0</v>
      </c>
      <c r="HP32" s="56">
        <f>-IF(HP$10=1,MAX($D$32,ABS(HO$32),ABS('Monthly P&amp;L'!HO$32*(1+'Model Assumptions'!HP$25))),0)</f>
        <v>0</v>
      </c>
      <c r="HQ32" s="56">
        <f>-IF(HQ$10=1,MAX($D$32,ABS(HP$32),ABS('Monthly P&amp;L'!HP$32*(1+'Model Assumptions'!HQ$25))),0)</f>
        <v>0</v>
      </c>
      <c r="HR32" s="56">
        <f>-IF(HR$10=1,MAX($D$32,ABS(HQ$32),ABS('Monthly P&amp;L'!HQ$32*(1+'Model Assumptions'!HR$25))),0)</f>
        <v>0</v>
      </c>
      <c r="HS32" s="56">
        <f>-IF(HS$10=1,MAX($D$32,ABS(HR$32),ABS('Monthly P&amp;L'!HR$32*(1+'Model Assumptions'!HS$25))),0)</f>
        <v>0</v>
      </c>
      <c r="HT32" s="56">
        <f>-IF(HT$10=1,MAX($D$32,ABS(HS$32),ABS('Monthly P&amp;L'!HS$32*(1+'Model Assumptions'!HT$25))),0)</f>
        <v>0</v>
      </c>
      <c r="HU32" s="56">
        <f>-IF(HU$10=1,MAX($D$32,ABS(HT$32),ABS('Monthly P&amp;L'!HT$32*(1+'Model Assumptions'!HU$25))),0)</f>
        <v>0</v>
      </c>
      <c r="HV32" s="56">
        <f>-IF(HV$10=1,MAX($D$32,ABS(HU$32),ABS('Monthly P&amp;L'!HU$32*(1+'Model Assumptions'!HV$25))),0)</f>
        <v>0</v>
      </c>
      <c r="HW32" s="56">
        <f>-IF(HW$10=1,MAX($D$32,ABS(HV$32),ABS('Monthly P&amp;L'!HV$32*(1+'Model Assumptions'!HW$25))),0)</f>
        <v>0</v>
      </c>
      <c r="HX32" s="56">
        <f>-IF(HX$10=1,MAX($D$32,ABS(HW$32),ABS('Monthly P&amp;L'!HW$32*(1+'Model Assumptions'!HX$25))),0)</f>
        <v>0</v>
      </c>
      <c r="HY32" s="56">
        <f>-IF(HY$10=1,MAX($D$32,ABS(HX$32),ABS('Monthly P&amp;L'!HX$32*(1+'Model Assumptions'!HY$25))),0)</f>
        <v>0</v>
      </c>
      <c r="HZ32" s="56">
        <f>-IF(HZ$10=1,MAX($D$32,ABS(HY$32),ABS('Monthly P&amp;L'!HY$32*(1+'Model Assumptions'!HZ$25))),0)</f>
        <v>0</v>
      </c>
      <c r="IA32" s="56">
        <f>-IF(IA$10=1,MAX($D$32,ABS(HZ$32),ABS('Monthly P&amp;L'!HZ$32*(1+'Model Assumptions'!IA$25))),0)</f>
        <v>0</v>
      </c>
      <c r="IB32" s="56">
        <f>-IF(IB$10=1,MAX($D$32,ABS(IA$32),ABS('Monthly P&amp;L'!IA$32*(1+'Model Assumptions'!IB$25))),0)</f>
        <v>0</v>
      </c>
      <c r="IC32" s="56">
        <f>-IF(IC$10=1,MAX($D$32,ABS(IB$32),ABS('Monthly P&amp;L'!IB$32*(1+'Model Assumptions'!IC$25))),0)</f>
        <v>0</v>
      </c>
      <c r="ID32" s="56">
        <f>-IF(ID$10=1,MAX($D$32,ABS(IC$32),ABS('Monthly P&amp;L'!IC$32*(1+'Model Assumptions'!ID$25))),0)</f>
        <v>0</v>
      </c>
      <c r="IE32" s="56">
        <f>-IF(IE$10=1,MAX($D$32,ABS(ID$32),ABS('Monthly P&amp;L'!ID$32*(1+'Model Assumptions'!IE$25))),0)</f>
        <v>0</v>
      </c>
      <c r="IF32" s="56">
        <f>-IF(IF$10=1,MAX($D$32,ABS(IE$32),ABS('Monthly P&amp;L'!IE$32*(1+'Model Assumptions'!IF$25))),0)</f>
        <v>0</v>
      </c>
      <c r="IG32" s="56">
        <f>-IF(IG$10=1,MAX($D$32,ABS(IF$32),ABS('Monthly P&amp;L'!IF$32*(1+'Model Assumptions'!IG$25))),0)</f>
        <v>0</v>
      </c>
      <c r="IH32" s="56">
        <f>-IF(IH$10=1,MAX($D$32,ABS(IG$32),ABS('Monthly P&amp;L'!IG$32*(1+'Model Assumptions'!IH$25))),0)</f>
        <v>0</v>
      </c>
      <c r="II32" s="56">
        <f>-IF(II$10=1,MAX($D$32,ABS(IH$32),ABS('Monthly P&amp;L'!IH$32*(1+'Model Assumptions'!II$25))),0)</f>
        <v>0</v>
      </c>
      <c r="IJ32" s="56">
        <f>-IF(IJ$10=1,MAX($D$32,ABS(II$32),ABS('Monthly P&amp;L'!II$32*(1+'Model Assumptions'!IJ$25))),0)</f>
        <v>0</v>
      </c>
      <c r="IK32" s="56">
        <f>-IF(IK$10=1,MAX($D$32,ABS(IJ$32),ABS('Monthly P&amp;L'!IJ$32*(1+'Model Assumptions'!IK$25))),0)</f>
        <v>0</v>
      </c>
      <c r="IL32" s="56">
        <f>-IF(IL$10=1,MAX($D$32,ABS(IK$32),ABS('Monthly P&amp;L'!IK$32*(1+'Model Assumptions'!IL$25))),0)</f>
        <v>0</v>
      </c>
      <c r="IM32" s="56">
        <f>-IF(IM$10=1,MAX($D$32,ABS(IL$32),ABS('Monthly P&amp;L'!IL$32*(1+'Model Assumptions'!IM$25))),0)</f>
        <v>0</v>
      </c>
      <c r="IN32" s="56">
        <f>-IF(IN$10=1,MAX($D$32,ABS(IM$32),ABS('Monthly P&amp;L'!IM$32*(1+'Model Assumptions'!IN$25))),0)</f>
        <v>0</v>
      </c>
      <c r="IO32" s="56">
        <f>-IF(IO$10=1,MAX($D$32,ABS(IN$32),ABS('Monthly P&amp;L'!IN$32*(1+'Model Assumptions'!IO$25))),0)</f>
        <v>0</v>
      </c>
      <c r="IP32" s="56">
        <f>-IF(IP$10=1,MAX($D$32,ABS(IO$32),ABS('Monthly P&amp;L'!IO$32*(1+'Model Assumptions'!IP$25))),0)</f>
        <v>0</v>
      </c>
      <c r="IQ32" s="56">
        <f>-IF(IQ$10=1,MAX($D$32,ABS(IP$32),ABS('Monthly P&amp;L'!IP$32*(1+'Model Assumptions'!IQ$25))),0)</f>
        <v>0</v>
      </c>
      <c r="IR32" s="56">
        <f>-IF(IR$10=1,MAX($D$32,ABS(IQ$32),ABS('Monthly P&amp;L'!IQ$32*(1+'Model Assumptions'!IR$25))),0)</f>
        <v>0</v>
      </c>
      <c r="IS32" s="56">
        <f>-IF(IS$10=1,MAX($D$32,ABS(IR$32),ABS('Monthly P&amp;L'!IR$32*(1+'Model Assumptions'!IS$25))),0)</f>
        <v>0</v>
      </c>
      <c r="IT32" s="56">
        <f>-IF(IT$10=1,MAX($D$32,ABS(IS$32),ABS('Monthly P&amp;L'!IS$32*(1+'Model Assumptions'!IT$25))),0)</f>
        <v>0</v>
      </c>
      <c r="IU32" s="56">
        <f>-IF(IU$10=1,MAX($D$32,ABS(IT$32),ABS('Monthly P&amp;L'!IT$32*(1+'Model Assumptions'!IU$25))),0)</f>
        <v>0</v>
      </c>
      <c r="IV32" s="56">
        <f>-IF(IV$10=1,MAX($D$32,ABS(IU$32),ABS('Monthly P&amp;L'!IU$32*(1+'Model Assumptions'!IV$25))),0)</f>
        <v>0</v>
      </c>
      <c r="IW32" s="56">
        <f>-IF(IW$10=1,MAX($D$32,ABS(IV$32),ABS('Monthly P&amp;L'!IV$32*(1+'Model Assumptions'!IW$25))),0)</f>
        <v>0</v>
      </c>
      <c r="IX32" s="56">
        <f>-IF(IX$10=1,MAX($D$32,ABS(IW$32),ABS('Monthly P&amp;L'!IW$32*(1+'Model Assumptions'!IX$25))),0)</f>
        <v>0</v>
      </c>
      <c r="IY32" s="56">
        <f>-IF(IY$10=1,MAX($D$32,ABS(IX$32),ABS('Monthly P&amp;L'!IX$32*(1+'Model Assumptions'!IY$25))),0)</f>
        <v>0</v>
      </c>
      <c r="IZ32" s="56">
        <f>-IF(IZ$10=1,MAX($D$32,ABS(IY$32),ABS('Monthly P&amp;L'!IY$32*(1+'Model Assumptions'!IZ$25))),0)</f>
        <v>0</v>
      </c>
      <c r="JA32" s="56">
        <f>-IF(JA$10=1,MAX($D$32,ABS(IZ$32),ABS('Monthly P&amp;L'!IZ$32*(1+'Model Assumptions'!JA$25))),0)</f>
        <v>0</v>
      </c>
      <c r="JB32" s="56">
        <f>-IF(JB$10=1,MAX($D$32,ABS(JA$32),ABS('Monthly P&amp;L'!JA$32*(1+'Model Assumptions'!JB$25))),0)</f>
        <v>0</v>
      </c>
      <c r="JC32" s="56">
        <f>-IF(JC$10=1,MAX($D$32,ABS(JB$32),ABS('Monthly P&amp;L'!JB$32*(1+'Model Assumptions'!JC$25))),0)</f>
        <v>0</v>
      </c>
      <c r="JD32" s="56">
        <f>-IF(JD$10=1,MAX($D$32,ABS(JC$32),ABS('Monthly P&amp;L'!JC$32*(1+'Model Assumptions'!JD$25))),0)</f>
        <v>0</v>
      </c>
      <c r="JE32" s="56">
        <f>-IF(JE$10=1,MAX($D$32,ABS(JD$32),ABS('Monthly P&amp;L'!JD$32*(1+'Model Assumptions'!JE$25))),0)</f>
        <v>0</v>
      </c>
      <c r="JF32" s="56">
        <f>-IF(JF$10=1,MAX($D$32,ABS(JE$32),ABS('Monthly P&amp;L'!JE$32*(1+'Model Assumptions'!JF$25))),0)</f>
        <v>0</v>
      </c>
      <c r="JG32" s="56">
        <f>-IF(JG$10=1,MAX($D$32,ABS(JF$32),ABS('Monthly P&amp;L'!JF$32*(1+'Model Assumptions'!JG$25))),0)</f>
        <v>0</v>
      </c>
      <c r="JH32" s="56">
        <f>-IF(JH$10=1,MAX($D$32,ABS(JG$32),ABS('Monthly P&amp;L'!JG$32*(1+'Model Assumptions'!JH$25))),0)</f>
        <v>0</v>
      </c>
      <c r="JI32" s="56">
        <f>-IF(JI$10=1,MAX($D$32,ABS(JH$32),ABS('Monthly P&amp;L'!JH$32*(1+'Model Assumptions'!JI$25))),0)</f>
        <v>0</v>
      </c>
      <c r="JJ32" s="56">
        <f>-IF(JJ$10=1,MAX($D$32,ABS(JI$32),ABS('Monthly P&amp;L'!JI$32*(1+'Model Assumptions'!JJ$25))),0)</f>
        <v>0</v>
      </c>
      <c r="JK32" s="56">
        <f>-IF(JK$10=1,MAX($D$32,ABS(JJ$32),ABS('Monthly P&amp;L'!JJ$32*(1+'Model Assumptions'!JK$25))),0)</f>
        <v>0</v>
      </c>
      <c r="JL32" s="56">
        <f>-IF(JL$10=1,MAX($D$32,ABS(JK$32),ABS('Monthly P&amp;L'!JK$32*(1+'Model Assumptions'!JL$25))),0)</f>
        <v>0</v>
      </c>
      <c r="JM32" s="56">
        <f>-IF(JM$10=1,MAX($D$32,ABS(JL$32),ABS('Monthly P&amp;L'!JL$32*(1+'Model Assumptions'!JM$25))),0)</f>
        <v>0</v>
      </c>
      <c r="JN32" s="56">
        <f>-IF(JN$10=1,MAX($D$32,ABS(JM$32),ABS('Monthly P&amp;L'!JM$32*(1+'Model Assumptions'!JN$25))),0)</f>
        <v>0</v>
      </c>
      <c r="JO32" s="56">
        <f>-IF(JO$10=1,MAX($D$32,ABS(JN$32),ABS('Monthly P&amp;L'!JN$32*(1+'Model Assumptions'!JO$25))),0)</f>
        <v>0</v>
      </c>
      <c r="JP32" s="56">
        <f>-IF(JP$10=1,MAX($D$32,ABS(JO$32),ABS('Monthly P&amp;L'!JO$32*(1+'Model Assumptions'!JP$25))),0)</f>
        <v>0</v>
      </c>
      <c r="JQ32" s="56">
        <f>-IF(JQ$10=1,MAX($D$32,ABS(JP$32),ABS('Monthly P&amp;L'!JP$32*(1+'Model Assumptions'!JQ$25))),0)</f>
        <v>0</v>
      </c>
      <c r="JR32" s="56">
        <f>-IF(JR$10=1,MAX($D$32,ABS(JQ$32),ABS('Monthly P&amp;L'!JQ$32*(1+'Model Assumptions'!JR$25))),0)</f>
        <v>0</v>
      </c>
      <c r="JS32" s="56">
        <f>-IF(JS$10=1,MAX($D$32,ABS(JR$32),ABS('Monthly P&amp;L'!JR$32*(1+'Model Assumptions'!JS$25))),0)</f>
        <v>0</v>
      </c>
      <c r="JT32" s="56">
        <f>-IF(JT$10=1,MAX($D$32,ABS(JS$32),ABS('Monthly P&amp;L'!JS$32*(1+'Model Assumptions'!JT$25))),0)</f>
        <v>0</v>
      </c>
      <c r="JU32" s="56">
        <f>-IF(JU$10=1,MAX($D$32,ABS(JT$32),ABS('Monthly P&amp;L'!JT$32*(1+'Model Assumptions'!JU$25))),0)</f>
        <v>0</v>
      </c>
      <c r="JV32" s="56">
        <f>-IF(JV$10=1,MAX($D$32,ABS(JU$32),ABS('Monthly P&amp;L'!JU$32*(1+'Model Assumptions'!JV$25))),0)</f>
        <v>0</v>
      </c>
      <c r="JW32" s="56">
        <f>-IF(JW$10=1,MAX($D$32,ABS(JV$32),ABS('Monthly P&amp;L'!JV$32*(1+'Model Assumptions'!JW$25))),0)</f>
        <v>0</v>
      </c>
      <c r="JX32" s="56">
        <f>-IF(JX$10=1,MAX($D$32,ABS(JW$32),ABS('Monthly P&amp;L'!JW$32*(1+'Model Assumptions'!JX$25))),0)</f>
        <v>0</v>
      </c>
      <c r="JY32" s="56">
        <f>-IF(JY$10=1,MAX($D$32,ABS(JX$32),ABS('Monthly P&amp;L'!JX$32*(1+'Model Assumptions'!JY$25))),0)</f>
        <v>0</v>
      </c>
      <c r="JZ32" s="56">
        <f>-IF(JZ$10=1,MAX($D$32,ABS(JY$32),ABS('Monthly P&amp;L'!JY$32*(1+'Model Assumptions'!JZ$25))),0)</f>
        <v>0</v>
      </c>
      <c r="KA32" s="56">
        <f>-IF(KA$10=1,MAX($D$32,ABS(JZ$32),ABS('Monthly P&amp;L'!JZ$32*(1+'Model Assumptions'!KA$25))),0)</f>
        <v>0</v>
      </c>
      <c r="KB32" s="56">
        <f>-IF(KB$10=1,MAX($D$32,ABS(KA$32),ABS('Monthly P&amp;L'!KA$32*(1+'Model Assumptions'!KB$25))),0)</f>
        <v>0</v>
      </c>
      <c r="KC32" s="56">
        <f>-IF(KC$10=1,MAX($D$32,ABS(KB$32),ABS('Monthly P&amp;L'!KB$32*(1+'Model Assumptions'!KC$25))),0)</f>
        <v>0</v>
      </c>
      <c r="KD32" s="56">
        <f>-IF(KD$10=1,MAX($D$32,ABS(KC$32),ABS('Monthly P&amp;L'!KC$32*(1+'Model Assumptions'!KD$25))),0)</f>
        <v>0</v>
      </c>
      <c r="KE32" s="56">
        <f>-IF(KE$10=1,MAX($D$32,ABS(KD$32),ABS('Monthly P&amp;L'!KD$32*(1+'Model Assumptions'!KE$25))),0)</f>
        <v>0</v>
      </c>
      <c r="KF32" s="56">
        <f>-IF(KF$10=1,MAX($D$32,ABS(KE$32),ABS('Monthly P&amp;L'!KE$32*(1+'Model Assumptions'!KF$25))),0)</f>
        <v>0</v>
      </c>
      <c r="KG32" s="56">
        <f>-IF(KG$10=1,MAX($D$32,ABS(KF$32),ABS('Monthly P&amp;L'!KF$32*(1+'Model Assumptions'!KG$25))),0)</f>
        <v>0</v>
      </c>
      <c r="KH32" s="56">
        <f>-IF(KH$10=1,MAX($D$32,ABS(KG$32),ABS('Monthly P&amp;L'!KG$32*(1+'Model Assumptions'!KH$25))),0)</f>
        <v>0</v>
      </c>
      <c r="KI32" s="56">
        <f>-IF(KI$10=1,MAX($D$32,ABS(KH$32),ABS('Monthly P&amp;L'!KH$32*(1+'Model Assumptions'!KI$25))),0)</f>
        <v>0</v>
      </c>
      <c r="KJ32" s="56">
        <f>-IF(KJ$10=1,MAX($D$32,ABS(KI$32),ABS('Monthly P&amp;L'!KI$32*(1+'Model Assumptions'!KJ$25))),0)</f>
        <v>0</v>
      </c>
      <c r="KK32" s="56">
        <f>-IF(KK$10=1,MAX($D$32,ABS(KJ$32),ABS('Monthly P&amp;L'!KJ$32*(1+'Model Assumptions'!KK$25))),0)</f>
        <v>0</v>
      </c>
      <c r="KL32" s="56">
        <f>-IF(KL$10=1,MAX($D$32,ABS(KK$32),ABS('Monthly P&amp;L'!KK$32*(1+'Model Assumptions'!KL$25))),0)</f>
        <v>0</v>
      </c>
      <c r="KM32" s="56">
        <f>-IF(KM$10=1,MAX($D$32,ABS(KL$32),ABS('Monthly P&amp;L'!KL$32*(1+'Model Assumptions'!KM$25))),0)</f>
        <v>0</v>
      </c>
      <c r="KN32" s="56">
        <f>-IF(KN$10=1,MAX($D$32,ABS(KM$32),ABS('Monthly P&amp;L'!KM$32*(1+'Model Assumptions'!KN$25))),0)</f>
        <v>0</v>
      </c>
      <c r="KO32" s="56">
        <f>-IF(KO$10=1,MAX($D$32,ABS(KN$32),ABS('Monthly P&amp;L'!KN$32*(1+'Model Assumptions'!KO$25))),0)</f>
        <v>0</v>
      </c>
      <c r="KP32" s="56">
        <f>-IF(KP$10=1,MAX($D$32,ABS(KO$32),ABS('Monthly P&amp;L'!KO$32*(1+'Model Assumptions'!KP$25))),0)</f>
        <v>0</v>
      </c>
      <c r="KQ32" s="56">
        <f>-IF(KQ$10=1,MAX($D$32,ABS(KP$32),ABS('Monthly P&amp;L'!KP$32*(1+'Model Assumptions'!KQ$25))),0)</f>
        <v>0</v>
      </c>
      <c r="KR32" s="56">
        <f>-IF(KR$10=1,MAX($D$32,ABS(KQ$32),ABS('Monthly P&amp;L'!KQ$32*(1+'Model Assumptions'!KR$25))),0)</f>
        <v>0</v>
      </c>
      <c r="KS32" s="56">
        <f>-IF(KS$10=1,MAX($D$32,ABS(KR$32),ABS('Monthly P&amp;L'!KR$32*(1+'Model Assumptions'!KS$25))),0)</f>
        <v>0</v>
      </c>
      <c r="KT32" s="56">
        <f>-IF(KT$10=1,MAX($D$32,ABS(KS$32),ABS('Monthly P&amp;L'!KS$32*(1+'Model Assumptions'!KT$25))),0)</f>
        <v>0</v>
      </c>
      <c r="KU32" s="56">
        <f>-IF(KU$10=1,MAX($D$32,ABS(KT$32),ABS('Monthly P&amp;L'!KT$32*(1+'Model Assumptions'!KU$25))),0)</f>
        <v>0</v>
      </c>
      <c r="KV32" s="56">
        <f>-IF(KV$10=1,MAX($D$32,ABS(KU$32),ABS('Monthly P&amp;L'!KU$32*(1+'Model Assumptions'!KV$25))),0)</f>
        <v>0</v>
      </c>
      <c r="KW32" s="56">
        <f>-IF(KW$10=1,MAX($D$32,ABS(KV$32),ABS('Monthly P&amp;L'!KV$32*(1+'Model Assumptions'!KW$25))),0)</f>
        <v>0</v>
      </c>
      <c r="KX32" s="56">
        <f>-IF(KX$10=1,MAX($D$32,ABS(KW$32),ABS('Monthly P&amp;L'!KW$32*(1+'Model Assumptions'!KX$25))),0)</f>
        <v>0</v>
      </c>
      <c r="KY32" s="56">
        <f>-IF(KY$10=1,MAX($D$32,ABS(KX$32),ABS('Monthly P&amp;L'!KX$32*(1+'Model Assumptions'!KY$25))),0)</f>
        <v>0</v>
      </c>
      <c r="KZ32" s="56">
        <f>-IF(KZ$10=1,MAX($D$32,ABS(KY$32),ABS('Monthly P&amp;L'!KY$32*(1+'Model Assumptions'!KZ$25))),0)</f>
        <v>0</v>
      </c>
      <c r="LA32" s="56">
        <f>-IF(LA$10=1,MAX($D$32,ABS(KZ$32),ABS('Monthly P&amp;L'!KZ$32*(1+'Model Assumptions'!LA$25))),0)</f>
        <v>0</v>
      </c>
      <c r="LB32" s="56">
        <f>-IF(LB$10=1,MAX($D$32,ABS(LA$32),ABS('Monthly P&amp;L'!LA$32*(1+'Model Assumptions'!LB$25))),0)</f>
        <v>0</v>
      </c>
      <c r="LC32" s="56">
        <f>-IF(LC$10=1,MAX($D$32,ABS(LB$32),ABS('Monthly P&amp;L'!LB$32*(1+'Model Assumptions'!LC$25))),0)</f>
        <v>0</v>
      </c>
      <c r="LD32" s="56">
        <f>-IF(LD$10=1,MAX($D$32,ABS(LC$32),ABS('Monthly P&amp;L'!LC$32*(1+'Model Assumptions'!LD$25))),0)</f>
        <v>0</v>
      </c>
      <c r="LE32" s="56">
        <f>-IF(LE$10=1,MAX($D$32,ABS(LD$32),ABS('Monthly P&amp;L'!LD$32*(1+'Model Assumptions'!LE$25))),0)</f>
        <v>0</v>
      </c>
      <c r="LF32" s="56">
        <f>-IF(LF$10=1,MAX($D$32,ABS(LE$32),ABS('Monthly P&amp;L'!LE$32*(1+'Model Assumptions'!LF$25))),0)</f>
        <v>0</v>
      </c>
      <c r="LG32" s="56">
        <f>-IF(LG$10=1,MAX($D$32,ABS(LF$32),ABS('Monthly P&amp;L'!LF$32*(1+'Model Assumptions'!LG$25))),0)</f>
        <v>0</v>
      </c>
      <c r="LH32" s="56">
        <f>-IF(LH$10=1,MAX($D$32,ABS(LG$32),ABS('Monthly P&amp;L'!LG$32*(1+'Model Assumptions'!LH$25))),0)</f>
        <v>0</v>
      </c>
      <c r="LI32" s="56">
        <f>-IF(LI$10=1,MAX($D$32,ABS(LH$32),ABS('Monthly P&amp;L'!LH$32*(1+'Model Assumptions'!LI$25))),0)</f>
        <v>0</v>
      </c>
      <c r="LJ32" s="56">
        <f>-IF(LJ$10=1,MAX($D$32,ABS(LI$32),ABS('Monthly P&amp;L'!LI$32*(1+'Model Assumptions'!LJ$25))),0)</f>
        <v>0</v>
      </c>
      <c r="LK32" s="56">
        <f>-IF(LK$10=1,MAX($D$32,ABS(LJ$32),ABS('Monthly P&amp;L'!LJ$32*(1+'Model Assumptions'!LK$25))),0)</f>
        <v>0</v>
      </c>
      <c r="LL32" s="56">
        <f>-IF(LL$10=1,MAX($D$32,ABS(LK$32),ABS('Monthly P&amp;L'!LK$32*(1+'Model Assumptions'!LL$25))),0)</f>
        <v>0</v>
      </c>
      <c r="LM32" s="56">
        <f>-IF(LM$10=1,MAX($D$32,ABS(LL$32),ABS('Monthly P&amp;L'!LL$32*(1+'Model Assumptions'!LM$25))),0)</f>
        <v>0</v>
      </c>
      <c r="LN32" s="56">
        <f>-IF(LN$10=1,MAX($D$32,ABS(LM$32),ABS('Monthly P&amp;L'!LM$32*(1+'Model Assumptions'!LN$25))),0)</f>
        <v>0</v>
      </c>
      <c r="LO32" s="56">
        <f>-IF(LO$10=1,MAX($D$32,ABS(LN$32),ABS('Monthly P&amp;L'!LN$32*(1+'Model Assumptions'!LO$25))),0)</f>
        <v>0</v>
      </c>
      <c r="LP32" s="56">
        <f>-IF(LP$10=1,MAX($D$32,ABS(LO$32),ABS('Monthly P&amp;L'!LO$32*(1+'Model Assumptions'!LP$25))),0)</f>
        <v>0</v>
      </c>
      <c r="LQ32" s="56">
        <f>-IF(LQ$10=1,MAX($D$32,ABS(LP$32),ABS('Monthly P&amp;L'!LP$32*(1+'Model Assumptions'!LQ$25))),0)</f>
        <v>0</v>
      </c>
      <c r="LR32" s="56">
        <f>-IF(LR$10=1,MAX($D$32,ABS(LQ$32),ABS('Monthly P&amp;L'!LQ$32*(1+'Model Assumptions'!LR$25))),0)</f>
        <v>0</v>
      </c>
      <c r="LS32" s="56">
        <f>-IF(LS$10=1,MAX($D$32,ABS(LR$32),ABS('Monthly P&amp;L'!LR$32*(1+'Model Assumptions'!LS$25))),0)</f>
        <v>0</v>
      </c>
      <c r="LT32" s="56">
        <f>-IF(LT$10=1,MAX($D$32,ABS(LS$32),ABS('Monthly P&amp;L'!LS$32*(1+'Model Assumptions'!LT$25))),0)</f>
        <v>0</v>
      </c>
      <c r="LU32" s="56">
        <f>-IF(LU$10=1,MAX($D$32,ABS(LT$32),ABS('Monthly P&amp;L'!LT$32*(1+'Model Assumptions'!LU$25))),0)</f>
        <v>0</v>
      </c>
      <c r="LV32" s="56">
        <f>-IF(LV$10=1,MAX($D$32,ABS(LU$32),ABS('Monthly P&amp;L'!LU$32*(1+'Model Assumptions'!LV$25))),0)</f>
        <v>0</v>
      </c>
      <c r="LW32" s="56">
        <f>-IF(LW$10=1,MAX($D$32,ABS(LV$32),ABS('Monthly P&amp;L'!LV$32*(1+'Model Assumptions'!LW$25))),0)</f>
        <v>0</v>
      </c>
      <c r="LX32" s="56">
        <f>-IF(LX$10=1,MAX($D$32,ABS(LW$32),ABS('Monthly P&amp;L'!LW$32*(1+'Model Assumptions'!LX$25))),0)</f>
        <v>0</v>
      </c>
      <c r="LY32" s="56">
        <f>-IF(LY$10=1,MAX($D$32,ABS(LX$32),ABS('Monthly P&amp;L'!LX$32*(1+'Model Assumptions'!LY$25))),0)</f>
        <v>0</v>
      </c>
      <c r="LZ32" s="56">
        <f>-IF(LZ$10=1,MAX($D$32,ABS(LY$32),ABS('Monthly P&amp;L'!LY$32*(1+'Model Assumptions'!LZ$25))),0)</f>
        <v>0</v>
      </c>
      <c r="MA32" s="56">
        <f>-IF(MA$10=1,MAX($D$32,ABS(LZ$32),ABS('Monthly P&amp;L'!LZ$32*(1+'Model Assumptions'!MA$25))),0)</f>
        <v>0</v>
      </c>
      <c r="MB32" s="56">
        <f>-IF(MB$10=1,MAX($D$32,ABS(MA$32),ABS('Monthly P&amp;L'!MA$32*(1+'Model Assumptions'!MB$25))),0)</f>
        <v>0</v>
      </c>
      <c r="MC32" s="56">
        <f>-IF(MC$10=1,MAX($D$32,ABS(MB$32),ABS('Monthly P&amp;L'!MB$32*(1+'Model Assumptions'!MC$25))),0)</f>
        <v>0</v>
      </c>
      <c r="MD32" s="56">
        <f>-IF(MD$10=1,MAX($D$32,ABS(MC$32),ABS('Monthly P&amp;L'!MC$32*(1+'Model Assumptions'!MD$25))),0)</f>
        <v>0</v>
      </c>
      <c r="ME32" s="56">
        <f>-IF(ME$10=1,MAX($D$32,ABS(MD$32),ABS('Monthly P&amp;L'!MD$32*(1+'Model Assumptions'!ME$25))),0)</f>
        <v>0</v>
      </c>
      <c r="MF32" s="56">
        <f>-IF(MF$10=1,MAX($D$32,ABS(ME$32),ABS('Monthly P&amp;L'!ME$32*(1+'Model Assumptions'!MF$25))),0)</f>
        <v>0</v>
      </c>
      <c r="MG32" s="56">
        <f>-IF(MG$10=1,MAX($D$32,ABS(MF$32),ABS('Monthly P&amp;L'!MF$32*(1+'Model Assumptions'!MG$25))),0)</f>
        <v>0</v>
      </c>
      <c r="MH32" s="56">
        <f>-IF(MH$10=1,MAX($D$32,ABS(MG$32),ABS('Monthly P&amp;L'!MG$32*(1+'Model Assumptions'!MH$25))),0)</f>
        <v>0</v>
      </c>
      <c r="MI32" s="56">
        <f>-IF(MI$10=1,MAX($D$32,ABS(MH$32),ABS('Monthly P&amp;L'!MH$32*(1+'Model Assumptions'!MI$25))),0)</f>
        <v>0</v>
      </c>
      <c r="MJ32" s="56">
        <f>-IF(MJ$10=1,MAX($D$32,ABS(MI$32),ABS('Monthly P&amp;L'!MI$32*(1+'Model Assumptions'!MJ$25))),0)</f>
        <v>0</v>
      </c>
      <c r="MK32" s="56">
        <f>-IF(MK$10=1,MAX($D$32,ABS(MJ$32),ABS('Monthly P&amp;L'!MJ$32*(1+'Model Assumptions'!MK$25))),0)</f>
        <v>0</v>
      </c>
      <c r="ML32" s="56">
        <f>-IF(ML$10=1,MAX($D$32,ABS(MK$32),ABS('Monthly P&amp;L'!MK$32*(1+'Model Assumptions'!ML$25))),0)</f>
        <v>0</v>
      </c>
      <c r="MM32" s="56">
        <f>-IF(MM$10=1,MAX($D$32,ABS(ML$32),ABS('Monthly P&amp;L'!ML$32*(1+'Model Assumptions'!MM$25))),0)</f>
        <v>0</v>
      </c>
      <c r="MN32" s="56">
        <f>-IF(MN$10=1,MAX($D$32,ABS(MM$32),ABS('Monthly P&amp;L'!MM$32*(1+'Model Assumptions'!MN$25))),0)</f>
        <v>0</v>
      </c>
      <c r="MO32" s="56">
        <f>-IF(MO$10=1,MAX($D$32,ABS(MN$32),ABS('Monthly P&amp;L'!MN$32*(1+'Model Assumptions'!MO$25))),0)</f>
        <v>0</v>
      </c>
      <c r="MP32" s="56">
        <f>-IF(MP$10=1,MAX($D$32,ABS(MO$32),ABS('Monthly P&amp;L'!MO$32*(1+'Model Assumptions'!MP$25))),0)</f>
        <v>0</v>
      </c>
      <c r="MQ32" s="56">
        <f>-IF(MQ$10=1,MAX($D$32,ABS(MP$32),ABS('Monthly P&amp;L'!MP$32*(1+'Model Assumptions'!MQ$25))),0)</f>
        <v>0</v>
      </c>
      <c r="MR32" s="56">
        <f>-IF(MR$10=1,MAX($D$32,ABS(MQ$32),ABS('Monthly P&amp;L'!MQ$32*(1+'Model Assumptions'!MR$25))),0)</f>
        <v>0</v>
      </c>
      <c r="MS32" s="56">
        <f>-IF(MS$10=1,MAX($D$32,ABS(MR$32),ABS('Monthly P&amp;L'!MR$32*(1+'Model Assumptions'!MS$25))),0)</f>
        <v>0</v>
      </c>
      <c r="MT32" s="56">
        <f>-IF(MT$10=1,MAX($D$32,ABS(MS$32),ABS('Monthly P&amp;L'!MS$32*(1+'Model Assumptions'!MT$25))),0)</f>
        <v>0</v>
      </c>
      <c r="MU32" s="56">
        <f>-IF(MU$10=1,MAX($D$32,ABS(MT$32),ABS('Monthly P&amp;L'!MT$32*(1+'Model Assumptions'!MU$25))),0)</f>
        <v>0</v>
      </c>
      <c r="MV32" s="56">
        <f>-IF(MV$10=1,MAX($D$32,ABS(MU$32),ABS('Monthly P&amp;L'!MU$32*(1+'Model Assumptions'!MV$25))),0)</f>
        <v>0</v>
      </c>
      <c r="MW32" s="56">
        <f>-IF(MW$10=1,MAX($D$32,ABS(MV$32),ABS('Monthly P&amp;L'!MV$32*(1+'Model Assumptions'!MW$25))),0)</f>
        <v>0</v>
      </c>
      <c r="MX32" s="56">
        <f>-IF(MX$10=1,MAX($D$32,ABS(MW$32),ABS('Monthly P&amp;L'!MW$32*(1+'Model Assumptions'!MX$25))),0)</f>
        <v>0</v>
      </c>
      <c r="MY32" s="56">
        <f>-IF(MY$10=1,MAX($D$32,ABS(MX$32),ABS('Monthly P&amp;L'!MX$32*(1+'Model Assumptions'!MY$25))),0)</f>
        <v>0</v>
      </c>
      <c r="MZ32" s="56">
        <f>-IF(MZ$10=1,MAX($D$32,ABS(MY$32),ABS('Monthly P&amp;L'!MY$32*(1+'Model Assumptions'!MZ$25))),0)</f>
        <v>0</v>
      </c>
      <c r="NA32" s="56">
        <f>-IF(NA$10=1,MAX($D$32,ABS(MZ$32),ABS('Monthly P&amp;L'!MZ$32*(1+'Model Assumptions'!NA$25))),0)</f>
        <v>0</v>
      </c>
      <c r="NB32" s="56">
        <f>-IF(NB$10=1,MAX($D$32,ABS(NA$32),ABS('Monthly P&amp;L'!NA$32*(1+'Model Assumptions'!NB$25))),0)</f>
        <v>0</v>
      </c>
    </row>
    <row r="33" spans="2:367" x14ac:dyDescent="0.15">
      <c r="B33" s="65" t="s">
        <v>308</v>
      </c>
      <c r="C33" s="200">
        <f>taxes</f>
        <v>54259.650900000001</v>
      </c>
      <c r="D33" s="21">
        <f>C33/12</f>
        <v>4521.6375749999997</v>
      </c>
      <c r="E33" s="34"/>
      <c r="F33" s="54">
        <v>0</v>
      </c>
      <c r="G33" s="54">
        <f>-IF(G$10=1,MAX($D$33,ABS(F$33),ABS(F$33)*(1+'Model Assumptions'!G$26)),0)</f>
        <v>-4521.6375749999997</v>
      </c>
      <c r="H33" s="54">
        <f>-IF(H$10=1,MAX($D$33,ABS(G$33),ABS(G$33)*(1+'Model Assumptions'!H$26)),0)</f>
        <v>-4521.6375749999997</v>
      </c>
      <c r="I33" s="54">
        <f>-IF(I$10=1,MAX($D$33,ABS(H$33),ABS(H$33)*(1+'Model Assumptions'!I$26)),0)</f>
        <v>-4521.6375749999997</v>
      </c>
      <c r="J33" s="54">
        <f>-IF(J$10=1,MAX($D$33,ABS(I$33),ABS(I$33)*(1+'Model Assumptions'!J$26)),0)</f>
        <v>-4521.6375749999997</v>
      </c>
      <c r="K33" s="54">
        <f>-IF(K$10=1,MAX($D$33,ABS(J$33),ABS(J$33)*(1+'Model Assumptions'!K$26)),0)</f>
        <v>-4521.6375749999997</v>
      </c>
      <c r="L33" s="177">
        <f>-IF(L$10=1,MAX($D$33,ABS(K$33),ABS(K$33)*(1+'Model Assumptions'!L$26)),0)</f>
        <v>-4521.6375749999997</v>
      </c>
      <c r="M33" s="54">
        <f>-IF(M$10=1,MAX($D$33,ABS(L$33),ABS(L$33)*(1+'Model Assumptions'!M$26)),0)</f>
        <v>-4521.6375749999997</v>
      </c>
      <c r="N33" s="54">
        <f>-IF(N$10=1,MAX($D$33,ABS(M$33),ABS(M$33)*(1+'Model Assumptions'!N$26)),0)</f>
        <v>-4521.6375749999997</v>
      </c>
      <c r="O33" s="54">
        <f>-IF(O$10=1,MAX($D$33,ABS(N$33),ABS(N$33)*(1+'Model Assumptions'!O$26)),0)</f>
        <v>-4521.6375749999997</v>
      </c>
      <c r="P33" s="54">
        <f>-IF(P$10=1,MAX($D$33,ABS(O$33),ABS(O$33)*(1+'Model Assumptions'!P$26)),0)</f>
        <v>-4521.6375749999997</v>
      </c>
      <c r="Q33" s="54">
        <f>-IF(Q$10=1,MAX($D$33,ABS(P$33),ABS(P$33)*(1+'Model Assumptions'!Q$26)),0)</f>
        <v>-4521.6375749999997</v>
      </c>
      <c r="R33" s="54">
        <f>-IF(R$10=1,MAX($D$33,ABS(Q$33),ABS(Q$33)*(1+'Model Assumptions'!R$26)),0)</f>
        <v>-4521.6375749999997</v>
      </c>
      <c r="S33" s="54">
        <f>-IF(S$10=1,MAX($D$33,ABS(R$33),ABS(R$33)*(1+'Model Assumptions'!S$26)),0)</f>
        <v>-4612.0703265000002</v>
      </c>
      <c r="T33" s="54">
        <f>-IF(T$10=1,MAX($D$33,ABS(S$33),ABS(S$33)*(1+'Model Assumptions'!T$26)),0)</f>
        <v>-4612.0703265000002</v>
      </c>
      <c r="U33" s="54">
        <f>-IF(U$10=1,MAX($D$33,ABS(T$33),ABS(T$33)*(1+'Model Assumptions'!U$26)),0)</f>
        <v>-4612.0703265000002</v>
      </c>
      <c r="V33" s="54">
        <f>-IF(V$10=1,MAX($D$33,ABS(U$33),ABS(U$33)*(1+'Model Assumptions'!V$26)),0)</f>
        <v>-4612.0703265000002</v>
      </c>
      <c r="W33" s="54">
        <f>-IF(W$10=1,MAX($D$33,ABS(V$33),ABS(V$33)*(1+'Model Assumptions'!W$26)),0)</f>
        <v>-4612.0703265000002</v>
      </c>
      <c r="X33" s="54">
        <f>-IF(X$10=1,MAX($D$33,ABS(W$33),ABS(W$33)*(1+'Model Assumptions'!X$26)),0)</f>
        <v>-4612.0703265000002</v>
      </c>
      <c r="Y33" s="54">
        <f>-IF(Y$10=1,MAX($D$33,ABS(X$33),ABS(X$33)*(1+'Model Assumptions'!Y$26)),0)</f>
        <v>-4612.0703265000002</v>
      </c>
      <c r="Z33" s="54">
        <f>-IF(Z$10=1,MAX($D$33,ABS(Y$33),ABS(Y$33)*(1+'Model Assumptions'!Z$26)),0)</f>
        <v>-4612.0703265000002</v>
      </c>
      <c r="AA33" s="54">
        <f>-IF(AA$10=1,MAX($D$33,ABS(Z$33),ABS(Z$33)*(1+'Model Assumptions'!AA$26)),0)</f>
        <v>-4612.0703265000002</v>
      </c>
      <c r="AB33" s="54">
        <f>-IF(AB$10=1,MAX($D$33,ABS(AA$33),ABS(AA$33)*(1+'Model Assumptions'!AB$26)),0)</f>
        <v>-4612.0703265000002</v>
      </c>
      <c r="AC33" s="54">
        <f>-IF(AC$10=1,MAX($D$33,ABS(AB$33),ABS(AB$33)*(1+'Model Assumptions'!AC$26)),0)</f>
        <v>-4612.0703265000002</v>
      </c>
      <c r="AD33" s="54">
        <f>-IF(AD$10=1,MAX($D$33,ABS(AC$33),ABS(AC$33)*(1+'Model Assumptions'!AD$26)),0)</f>
        <v>-4612.0703265000002</v>
      </c>
      <c r="AE33" s="54">
        <f>-IF(AE$10=1,MAX($D$33,ABS(AD$33),ABS(AD$33)*(1+'Model Assumptions'!AE$26)),0)</f>
        <v>-4704.3117330300001</v>
      </c>
      <c r="AF33" s="54">
        <f>-IF(AF$10=1,MAX($D$33,ABS(AE$33),ABS(AE$33)*(1+'Model Assumptions'!AF$26)),0)</f>
        <v>-4704.3117330300001</v>
      </c>
      <c r="AG33" s="54">
        <f>-IF(AG$10=1,MAX($D$33,ABS(AF$33),ABS(AF$33)*(1+'Model Assumptions'!AG$26)),0)</f>
        <v>-4704.3117330300001</v>
      </c>
      <c r="AH33" s="54">
        <f>-IF(AH$10=1,MAX($D$33,ABS(AG$33),ABS(AG$33)*(1+'Model Assumptions'!AH$26)),0)</f>
        <v>-4704.3117330300001</v>
      </c>
      <c r="AI33" s="54">
        <f>-IF(AI$10=1,MAX($D$33,ABS(AH$33),ABS(AH$33)*(1+'Model Assumptions'!AI$26)),0)</f>
        <v>-4704.3117330300001</v>
      </c>
      <c r="AJ33" s="54">
        <f>-IF(AJ$10=1,MAX($D$33,ABS(AI$33),ABS(AI$33)*(1+'Model Assumptions'!AJ$26)),0)</f>
        <v>-4704.3117330300001</v>
      </c>
      <c r="AK33" s="54">
        <f>-IF(AK$10=1,MAX($D$33,ABS(AJ$33),ABS(AJ$33)*(1+'Model Assumptions'!AK$26)),0)</f>
        <v>-4704.3117330300001</v>
      </c>
      <c r="AL33" s="54">
        <f>-IF(AL$10=1,MAX($D$33,ABS(AK$33),ABS(AK$33)*(1+'Model Assumptions'!AL$26)),0)</f>
        <v>-4704.3117330300001</v>
      </c>
      <c r="AM33" s="54">
        <f>-IF(AM$10=1,MAX($D$33,ABS(AL$33),ABS(AL$33)*(1+'Model Assumptions'!AM$26)),0)</f>
        <v>-4704.3117330300001</v>
      </c>
      <c r="AN33" s="54">
        <f>-IF(AN$10=1,MAX($D$33,ABS(AM$33),ABS(AM$33)*(1+'Model Assumptions'!AN$26)),0)</f>
        <v>-4704.3117330300001</v>
      </c>
      <c r="AO33" s="54">
        <f>-IF(AO$10=1,MAX($D$33,ABS(AN$33),ABS(AN$33)*(1+'Model Assumptions'!AO$26)),0)</f>
        <v>-4704.3117330300001</v>
      </c>
      <c r="AP33" s="54">
        <f>-IF(AP$10=1,MAX($D$33,ABS(AO$33),ABS(AO$33)*(1+'Model Assumptions'!AP$26)),0)</f>
        <v>-4704.3117330300001</v>
      </c>
      <c r="AQ33" s="54">
        <f>-IF(AQ$10=1,MAX($D$33,ABS(AP$33),ABS(AP$33)*(1+'Model Assumptions'!AQ$26)),0)</f>
        <v>-4798.3979676906001</v>
      </c>
      <c r="AR33" s="54">
        <f>-IF(AR$10=1,MAX($D$33,ABS(AQ$33),ABS(AQ$33)*(1+'Model Assumptions'!AR$26)),0)</f>
        <v>-4798.3979676906001</v>
      </c>
      <c r="AS33" s="54">
        <f>-IF(AS$10=1,MAX($D$33,ABS(AR$33),ABS(AR$33)*(1+'Model Assumptions'!AS$26)),0)</f>
        <v>-4798.3979676906001</v>
      </c>
      <c r="AT33" s="54">
        <f>-IF(AT$10=1,MAX($D$33,ABS(AS$33),ABS(AS$33)*(1+'Model Assumptions'!AT$26)),0)</f>
        <v>-4798.3979676906001</v>
      </c>
      <c r="AU33" s="54">
        <f>-IF(AU$10=1,MAX($D$33,ABS(AT$33),ABS(AT$33)*(1+'Model Assumptions'!AU$26)),0)</f>
        <v>-4798.3979676906001</v>
      </c>
      <c r="AV33" s="54">
        <f>-IF(AV$10=1,MAX($D$33,ABS(AU$33),ABS(AU$33)*(1+'Model Assumptions'!AV$26)),0)</f>
        <v>-4798.3979676906001</v>
      </c>
      <c r="AW33" s="54">
        <f>-IF(AW$10=1,MAX($D$33,ABS(AV$33),ABS(AV$33)*(1+'Model Assumptions'!AW$26)),0)</f>
        <v>-4798.3979676906001</v>
      </c>
      <c r="AX33" s="54">
        <f>-IF(AX$10=1,MAX($D$33,ABS(AW$33),ABS(AW$33)*(1+'Model Assumptions'!AX$26)),0)</f>
        <v>-4798.3979676906001</v>
      </c>
      <c r="AY33" s="54">
        <f>-IF(AY$10=1,MAX($D$33,ABS(AX$33),ABS(AX$33)*(1+'Model Assumptions'!AY$26)),0)</f>
        <v>-4798.3979676906001</v>
      </c>
      <c r="AZ33" s="54">
        <f>-IF(AZ$10=1,MAX($D$33,ABS(AY$33),ABS(AY$33)*(1+'Model Assumptions'!AZ$26)),0)</f>
        <v>-4798.3979676906001</v>
      </c>
      <c r="BA33" s="54">
        <f>-IF(BA$10=1,MAX($D$33,ABS(AZ$33),ABS(AZ$33)*(1+'Model Assumptions'!BA$26)),0)</f>
        <v>-4798.3979676906001</v>
      </c>
      <c r="BB33" s="54">
        <f>-IF(BB$10=1,MAX($D$33,ABS(BA$33),ABS(BA$33)*(1+'Model Assumptions'!BB$26)),0)</f>
        <v>-4798.3979676906001</v>
      </c>
      <c r="BC33" s="54">
        <f>-IF(BC$10=1,MAX($D$33,ABS(BB$33),ABS(BB$33)*(1+'Model Assumptions'!BC$26)),0)</f>
        <v>-4894.3659270444123</v>
      </c>
      <c r="BD33" s="54">
        <f>-IF(BD$10=1,MAX($D$33,ABS(BC$33),ABS(BC$33)*(1+'Model Assumptions'!BD$26)),0)</f>
        <v>-4894.3659270444123</v>
      </c>
      <c r="BE33" s="54">
        <f>-IF(BE$10=1,MAX($D$33,ABS(BD$33),ABS(BD$33)*(1+'Model Assumptions'!BE$26)),0)</f>
        <v>-4894.3659270444123</v>
      </c>
      <c r="BF33" s="54">
        <f>-IF(BF$10=1,MAX($D$33,ABS(BE$33),ABS(BE$33)*(1+'Model Assumptions'!BF$26)),0)</f>
        <v>-4894.3659270444123</v>
      </c>
      <c r="BG33" s="54">
        <f>-IF(BG$10=1,MAX($D$33,ABS(BF$33),ABS(BF$33)*(1+'Model Assumptions'!BG$26)),0)</f>
        <v>-4894.3659270444123</v>
      </c>
      <c r="BH33" s="54">
        <f>-IF(BH$10=1,MAX($D$33,ABS(BG$33),ABS(BG$33)*(1+'Model Assumptions'!BH$26)),0)</f>
        <v>-4894.3659270444123</v>
      </c>
      <c r="BI33" s="54">
        <f>-IF(BI$10=1,MAX($D$33,ABS(BH$33),ABS(BH$33)*(1+'Model Assumptions'!BI$26)),0)</f>
        <v>-4894.3659270444123</v>
      </c>
      <c r="BJ33" s="54">
        <f>-IF(BJ$10=1,MAX($D$33,ABS(BI$33),ABS(BI$33)*(1+'Model Assumptions'!BJ$26)),0)</f>
        <v>-4894.3659270444123</v>
      </c>
      <c r="BK33" s="54">
        <f>-IF(BK$10=1,MAX($D$33,ABS(BJ$33),ABS(BJ$33)*(1+'Model Assumptions'!BK$26)),0)</f>
        <v>-4894.3659270444123</v>
      </c>
      <c r="BL33" s="54">
        <f>-IF(BL$10=1,MAX($D$33,ABS(BK$33),ABS(BK$33)*(1+'Model Assumptions'!BL$26)),0)</f>
        <v>-4894.3659270444123</v>
      </c>
      <c r="BM33" s="54">
        <f>-IF(BM$10=1,MAX($D$33,ABS(BL$33),ABS(BL$33)*(1+'Model Assumptions'!BM$26)),0)</f>
        <v>-4894.3659270444123</v>
      </c>
      <c r="BN33" s="54">
        <f>-IF(BN$10=1,MAX($D$33,ABS(BM$33),ABS(BM$33)*(1+'Model Assumptions'!BN$26)),0)</f>
        <v>-4894.3659270444123</v>
      </c>
      <c r="BO33" s="54">
        <f>-IF(BO$10=1,MAX($D$33,ABS(BN$33),ABS(BN$33)*(1+'Model Assumptions'!BO$26)),0)</f>
        <v>-4992.2532455853006</v>
      </c>
      <c r="BP33" s="54">
        <f>-IF(BP$10=1,MAX($D$33,ABS(BO$33),ABS(BO$33)*(1+'Model Assumptions'!BP$26)),0)</f>
        <v>-4992.2532455853006</v>
      </c>
      <c r="BQ33" s="54">
        <f>-IF(BQ$10=1,MAX($D$33,ABS(BP$33),ABS(BP$33)*(1+'Model Assumptions'!BQ$26)),0)</f>
        <v>-4992.2532455853006</v>
      </c>
      <c r="BR33" s="54">
        <f>-IF(BR$10=1,MAX($D$33,ABS(BQ$33),ABS(BQ$33)*(1+'Model Assumptions'!BR$26)),0)</f>
        <v>-4992.2532455853006</v>
      </c>
      <c r="BS33" s="54">
        <f>-IF(BS$10=1,MAX($D$33,ABS(BR$33),ABS(BR$33)*(1+'Model Assumptions'!BS$26)),0)</f>
        <v>-4992.2532455853006</v>
      </c>
      <c r="BT33" s="54">
        <f>-IF(BT$10=1,MAX($D$33,ABS(BS$33),ABS(BS$33)*(1+'Model Assumptions'!BT$26)),0)</f>
        <v>-4992.2532455853006</v>
      </c>
      <c r="BU33" s="54">
        <f>-IF(BU$10=1,MAX($D$33,ABS(BT$33),ABS(BT$33)*(1+'Model Assumptions'!BU$26)),0)</f>
        <v>-4992.2532455853006</v>
      </c>
      <c r="BV33" s="54">
        <f>-IF(BV$10=1,MAX($D$33,ABS(BU$33),ABS(BU$33)*(1+'Model Assumptions'!BV$26)),0)</f>
        <v>-4992.2532455853006</v>
      </c>
      <c r="BW33" s="54">
        <f>-IF(BW$10=1,MAX($D$33,ABS(BV$33),ABS(BV$33)*(1+'Model Assumptions'!BW$26)),0)</f>
        <v>-4992.2532455853006</v>
      </c>
      <c r="BX33" s="54">
        <f>-IF(BX$10=1,MAX($D$33,ABS(BW$33),ABS(BW$33)*(1+'Model Assumptions'!BX$26)),0)</f>
        <v>-4992.2532455853006</v>
      </c>
      <c r="BY33" s="54">
        <f>-IF(BY$10=1,MAX($D$33,ABS(BX$33),ABS(BX$33)*(1+'Model Assumptions'!BY$26)),0)</f>
        <v>-4992.2532455853006</v>
      </c>
      <c r="BZ33" s="54">
        <f>-IF(BZ$10=1,MAX($D$33,ABS(BY$33),ABS(BY$33)*(1+'Model Assumptions'!BZ$26)),0)</f>
        <v>-4992.2532455853006</v>
      </c>
      <c r="CA33" s="54">
        <f>-IF(CA$10=1,MAX($D$33,ABS(BZ$33),ABS(BZ$33)*(1+'Model Assumptions'!CA$26)),0)</f>
        <v>-5092.0983104970064</v>
      </c>
      <c r="CB33" s="54">
        <f>-IF(CB$10=1,MAX($D$33,ABS(CA$33),ABS(CA$33)*(1+'Model Assumptions'!CB$26)),0)</f>
        <v>-5092.0983104970064</v>
      </c>
      <c r="CC33" s="54">
        <f>-IF(CC$10=1,MAX($D$33,ABS(CB$33),ABS(CB$33)*(1+'Model Assumptions'!CC$26)),0)</f>
        <v>-5092.0983104970064</v>
      </c>
      <c r="CD33" s="54">
        <f>-IF(CD$10=1,MAX($D$33,ABS(CC$33),ABS(CC$33)*(1+'Model Assumptions'!CD$26)),0)</f>
        <v>-5092.0983104970064</v>
      </c>
      <c r="CE33" s="54">
        <f>-IF(CE$10=1,MAX($D$33,ABS(CD$33),ABS(CD$33)*(1+'Model Assumptions'!CE$26)),0)</f>
        <v>-5092.0983104970064</v>
      </c>
      <c r="CF33" s="54">
        <f>-IF(CF$10=1,MAX($D$33,ABS(CE$33),ABS(CE$33)*(1+'Model Assumptions'!CF$26)),0)</f>
        <v>-5092.0983104970064</v>
      </c>
      <c r="CG33" s="54">
        <f>-IF(CG$10=1,MAX($D$33,ABS(CF$33),ABS(CF$33)*(1+'Model Assumptions'!CG$26)),0)</f>
        <v>-5092.0983104970064</v>
      </c>
      <c r="CH33" s="54">
        <f>-IF(CH$10=1,MAX($D$33,ABS(CG$33),ABS(CG$33)*(1+'Model Assumptions'!CH$26)),0)</f>
        <v>-5092.0983104970064</v>
      </c>
      <c r="CI33" s="54">
        <f>-IF(CI$10=1,MAX($D$33,ABS(CH$33),ABS(CH$33)*(1+'Model Assumptions'!CI$26)),0)</f>
        <v>-5092.0983104970064</v>
      </c>
      <c r="CJ33" s="54">
        <f>-IF(CJ$10=1,MAX($D$33,ABS(CI$33),ABS(CI$33)*(1+'Model Assumptions'!CJ$26)),0)</f>
        <v>-5092.0983104970064</v>
      </c>
      <c r="CK33" s="54">
        <f>-IF(CK$10=1,MAX($D$33,ABS(CJ$33),ABS(CJ$33)*(1+'Model Assumptions'!CK$26)),0)</f>
        <v>-5092.0983104970064</v>
      </c>
      <c r="CL33" s="54">
        <f>-IF(CL$10=1,MAX($D$33,ABS(CK$33),ABS(CK$33)*(1+'Model Assumptions'!CL$26)),0)</f>
        <v>-5092.0983104970064</v>
      </c>
      <c r="CM33" s="54">
        <f>-IF(CM$10=1,MAX($D$33,ABS(CL$33),ABS(CL$33)*(1+'Model Assumptions'!CM$26)),0)</f>
        <v>-5193.9402767069469</v>
      </c>
      <c r="CN33" s="54">
        <f>-IF(CN$10=1,MAX($D$33,ABS(CM$33),ABS(CM$33)*(1+'Model Assumptions'!CN$26)),0)</f>
        <v>-5193.9402767069469</v>
      </c>
      <c r="CO33" s="54">
        <f>-IF(CO$10=1,MAX($D$33,ABS(CN$33),ABS(CN$33)*(1+'Model Assumptions'!CO$26)),0)</f>
        <v>-5193.9402767069469</v>
      </c>
      <c r="CP33" s="54">
        <f>-IF(CP$10=1,MAX($D$33,ABS(CO$33),ABS(CO$33)*(1+'Model Assumptions'!CP$26)),0)</f>
        <v>-5193.9402767069469</v>
      </c>
      <c r="CQ33" s="54">
        <f>-IF(CQ$10=1,MAX($D$33,ABS(CP$33),ABS(CP$33)*(1+'Model Assumptions'!CQ$26)),0)</f>
        <v>-5193.9402767069469</v>
      </c>
      <c r="CR33" s="54">
        <f>-IF(CR$10=1,MAX($D$33,ABS(CQ$33),ABS(CQ$33)*(1+'Model Assumptions'!CR$26)),0)</f>
        <v>-5193.9402767069469</v>
      </c>
      <c r="CS33" s="54">
        <f>-IF(CS$10=1,MAX($D$33,ABS(CR$33),ABS(CR$33)*(1+'Model Assumptions'!CS$26)),0)</f>
        <v>-5193.9402767069469</v>
      </c>
      <c r="CT33" s="54">
        <f>-IF(CT$10=1,MAX($D$33,ABS(CS$33),ABS(CS$33)*(1+'Model Assumptions'!CT$26)),0)</f>
        <v>-5193.9402767069469</v>
      </c>
      <c r="CU33" s="54">
        <f>-IF(CU$10=1,MAX($D$33,ABS(CT$33),ABS(CT$33)*(1+'Model Assumptions'!CU$26)),0)</f>
        <v>-5193.9402767069469</v>
      </c>
      <c r="CV33" s="54">
        <f>-IF(CV$10=1,MAX($D$33,ABS(CU$33),ABS(CU$33)*(1+'Model Assumptions'!CV$26)),0)</f>
        <v>-5193.9402767069469</v>
      </c>
      <c r="CW33" s="54">
        <f>-IF(CW$10=1,MAX($D$33,ABS(CV$33),ABS(CV$33)*(1+'Model Assumptions'!CW$26)),0)</f>
        <v>-5193.9402767069469</v>
      </c>
      <c r="CX33" s="54">
        <f>-IF(CX$10=1,MAX($D$33,ABS(CW$33),ABS(CW$33)*(1+'Model Assumptions'!CX$26)),0)</f>
        <v>-5193.9402767069469</v>
      </c>
      <c r="CY33" s="54">
        <f>-IF(CY$10=1,MAX($D$33,ABS(CX$33),ABS(CX$33)*(1+'Model Assumptions'!CY$26)),0)</f>
        <v>-5297.8190822410861</v>
      </c>
      <c r="CZ33" s="54">
        <f>-IF(CZ$10=1,MAX($D$33,ABS(CY$33),ABS(CY$33)*(1+'Model Assumptions'!CZ$26)),0)</f>
        <v>-5297.8190822410861</v>
      </c>
      <c r="DA33" s="54">
        <f>-IF(DA$10=1,MAX($D$33,ABS(CZ$33),ABS(CZ$33)*(1+'Model Assumptions'!DA$26)),0)</f>
        <v>-5297.8190822410861</v>
      </c>
      <c r="DB33" s="54">
        <f>-IF(DB$10=1,MAX($D$33,ABS(DA$33),ABS(DA$33)*(1+'Model Assumptions'!DB$26)),0)</f>
        <v>-5297.8190822410861</v>
      </c>
      <c r="DC33" s="54">
        <f>-IF(DC$10=1,MAX($D$33,ABS(DB$33),ABS(DB$33)*(1+'Model Assumptions'!DC$26)),0)</f>
        <v>-5297.8190822410861</v>
      </c>
      <c r="DD33" s="54">
        <f>-IF(DD$10=1,MAX($D$33,ABS(DC$33),ABS(DC$33)*(1+'Model Assumptions'!DD$26)),0)</f>
        <v>-5297.8190822410861</v>
      </c>
      <c r="DE33" s="54">
        <f>-IF(DE$10=1,MAX($D$33,ABS(DD$33),ABS(DD$33)*(1+'Model Assumptions'!DE$26)),0)</f>
        <v>-5297.8190822410861</v>
      </c>
      <c r="DF33" s="54">
        <f>-IF(DF$10=1,MAX($D$33,ABS(DE$33),ABS(DE$33)*(1+'Model Assumptions'!DF$26)),0)</f>
        <v>-5297.8190822410861</v>
      </c>
      <c r="DG33" s="54">
        <f>-IF(DG$10=1,MAX($D$33,ABS(DF$33),ABS(DF$33)*(1+'Model Assumptions'!DG$26)),0)</f>
        <v>-5297.8190822410861</v>
      </c>
      <c r="DH33" s="54">
        <f>-IF(DH$10=1,MAX($D$33,ABS(DG$33),ABS(DG$33)*(1+'Model Assumptions'!DH$26)),0)</f>
        <v>-5297.8190822410861</v>
      </c>
      <c r="DI33" s="54">
        <f>-IF(DI$10=1,MAX($D$33,ABS(DH$33),ABS(DH$33)*(1+'Model Assumptions'!DI$26)),0)</f>
        <v>-5297.8190822410861</v>
      </c>
      <c r="DJ33" s="54">
        <f>-IF(DJ$10=1,MAX($D$33,ABS(DI$33),ABS(DI$33)*(1+'Model Assumptions'!DJ$26)),0)</f>
        <v>-5297.8190822410861</v>
      </c>
      <c r="DK33" s="54">
        <f>-IF(DK$10=1,MAX($D$33,ABS(DJ$33),ABS(DJ$33)*(1+'Model Assumptions'!DK$26)),0)</f>
        <v>-5403.7754638859078</v>
      </c>
      <c r="DL33" s="54">
        <f>-IF(DL$10=1,MAX($D$33,ABS(DK$33),ABS(DK$33)*(1+'Model Assumptions'!DL$26)),0)</f>
        <v>-5403.7754638859078</v>
      </c>
      <c r="DM33" s="54">
        <f>-IF(DM$10=1,MAX($D$33,ABS(DL$33),ABS(DL$33)*(1+'Model Assumptions'!DM$26)),0)</f>
        <v>-5403.7754638859078</v>
      </c>
      <c r="DN33" s="54">
        <f>-IF(DN$10=1,MAX($D$33,ABS(DM$33),ABS(DM$33)*(1+'Model Assumptions'!DN$26)),0)</f>
        <v>-5403.7754638859078</v>
      </c>
      <c r="DO33" s="54">
        <f>-IF(DO$10=1,MAX($D$33,ABS(DN$33),ABS(DN$33)*(1+'Model Assumptions'!DO$26)),0)</f>
        <v>-5403.7754638859078</v>
      </c>
      <c r="DP33" s="54">
        <f>-IF(DP$10=1,MAX($D$33,ABS(DO$33),ABS(DO$33)*(1+'Model Assumptions'!DP$26)),0)</f>
        <v>-5403.7754638859078</v>
      </c>
      <c r="DQ33" s="54">
        <f>-IF(DQ$10=1,MAX($D$33,ABS(DP$33),ABS(DP$33)*(1+'Model Assumptions'!DQ$26)),0)</f>
        <v>-5403.7754638859078</v>
      </c>
      <c r="DR33" s="54">
        <f>-IF(DR$10=1,MAX($D$33,ABS(DQ$33),ABS(DQ$33)*(1+'Model Assumptions'!DR$26)),0)</f>
        <v>-5403.7754638859078</v>
      </c>
      <c r="DS33" s="54">
        <f>-IF(DS$10=1,MAX($D$33,ABS(DR$33),ABS(DR$33)*(1+'Model Assumptions'!DS$26)),0)</f>
        <v>-5403.7754638859078</v>
      </c>
      <c r="DT33" s="54">
        <f>-IF(DT$10=1,MAX($D$33,ABS(DS$33),ABS(DS$33)*(1+'Model Assumptions'!DT$26)),0)</f>
        <v>-5403.7754638859078</v>
      </c>
      <c r="DU33" s="54">
        <f>-IF(DU$10=1,MAX($D$33,ABS(DT$33),ABS(DT$33)*(1+'Model Assumptions'!DU$26)),0)</f>
        <v>-5403.7754638859078</v>
      </c>
      <c r="DV33" s="54">
        <f>-IF(DV$10=1,MAX($D$33,ABS(DU$33),ABS(DU$33)*(1+'Model Assumptions'!DV$26)),0)</f>
        <v>-5403.7754638859078</v>
      </c>
      <c r="DW33" s="54">
        <f>-IF(DW$10=1,MAX($D$33,ABS(DV$33),ABS(DV$33)*(1+'Model Assumptions'!DW$26)),0)</f>
        <v>-5511.8509731636259</v>
      </c>
      <c r="DX33" s="54">
        <f>-IF(DX$10=1,MAX($D$33,ABS(DW$33),ABS(DW$33)*(1+'Model Assumptions'!DX$26)),0)</f>
        <v>-5511.8509731636259</v>
      </c>
      <c r="DY33" s="54">
        <f>-IF(DY$10=1,MAX($D$33,ABS(DX$33),ABS(DX$33)*(1+'Model Assumptions'!DY$26)),0)</f>
        <v>-5511.8509731636259</v>
      </c>
      <c r="DZ33" s="54">
        <f>-IF(DZ$10=1,MAX($D$33,ABS(DY$33),ABS(DY$33)*(1+'Model Assumptions'!DZ$26)),0)</f>
        <v>-5511.8509731636259</v>
      </c>
      <c r="EA33" s="54">
        <f>-IF(EA$10=1,MAX($D$33,ABS(DZ$33),ABS(DZ$33)*(1+'Model Assumptions'!EA$26)),0)</f>
        <v>-5511.8509731636259</v>
      </c>
      <c r="EB33" s="54">
        <f>-IF(EB$10=1,MAX($D$33,ABS(EA$33),ABS(EA$33)*(1+'Model Assumptions'!EB$26)),0)</f>
        <v>-5511.8509731636259</v>
      </c>
      <c r="EC33" s="54">
        <f>-IF(EC$10=1,MAX($D$33,ABS(EB$33),ABS(EB$33)*(1+'Model Assumptions'!EC$26)),0)</f>
        <v>-5511.8509731636259</v>
      </c>
      <c r="ED33" s="54">
        <f>-IF(ED$10=1,MAX($D$33,ABS(EC$33),ABS(EC$33)*(1+'Model Assumptions'!ED$26)),0)</f>
        <v>-5511.8509731636259</v>
      </c>
      <c r="EE33" s="54">
        <f>-IF(EE$10=1,MAX($D$33,ABS(ED$33),ABS(ED$33)*(1+'Model Assumptions'!EE$26)),0)</f>
        <v>-5511.8509731636259</v>
      </c>
      <c r="EF33" s="54">
        <f>-IF(EF$10=1,MAX($D$33,ABS(EE$33),ABS(EE$33)*(1+'Model Assumptions'!EF$26)),0)</f>
        <v>-5511.8509731636259</v>
      </c>
      <c r="EG33" s="54">
        <f>-IF(EG$10=1,MAX($D$33,ABS(EF$33),ABS(EF$33)*(1+'Model Assumptions'!EG$26)),0)</f>
        <v>-5511.8509731636259</v>
      </c>
      <c r="EH33" s="54">
        <f>-IF(EH$10=1,MAX($D$33,ABS(EG$33),ABS(EG$33)*(1+'Model Assumptions'!EH$26)),0)</f>
        <v>-5511.8509731636259</v>
      </c>
      <c r="EI33" s="54">
        <f>-IF(EI$10=1,MAX($D$33,ABS(EH$33),ABS(EH$33)*(1+'Model Assumptions'!EI$26)),0)</f>
        <v>-5622.0879926268981</v>
      </c>
      <c r="EJ33" s="54">
        <f>-IF(EJ$10=1,MAX($D$33,ABS(EI$33),ABS(EI$33)*(1+'Model Assumptions'!EJ$26)),0)</f>
        <v>-5622.0879926268981</v>
      </c>
      <c r="EK33" s="54">
        <f>-IF(EK$10=1,MAX($D$33,ABS(EJ$33),ABS(EJ$33)*(1+'Model Assumptions'!EK$26)),0)</f>
        <v>-5622.0879926268981</v>
      </c>
      <c r="EL33" s="54">
        <f>-IF(EL$10=1,MAX($D$33,ABS(EK$33),ABS(EK$33)*(1+'Model Assumptions'!EL$26)),0)</f>
        <v>-5622.0879926268981</v>
      </c>
      <c r="EM33" s="54">
        <f>-IF(EM$10=1,MAX($D$33,ABS(EL$33),ABS(EL$33)*(1+'Model Assumptions'!EM$26)),0)</f>
        <v>-5622.0879926268981</v>
      </c>
      <c r="EN33" s="54">
        <f>-IF(EN$10=1,MAX($D$33,ABS(EM$33),ABS(EM$33)*(1+'Model Assumptions'!EN$26)),0)</f>
        <v>-5622.0879926268981</v>
      </c>
      <c r="EO33" s="54">
        <f>-IF(EO$10=1,MAX($D$33,ABS(EN$33),ABS(EN$33)*(1+'Model Assumptions'!EO$26)),0)</f>
        <v>-5622.0879926268981</v>
      </c>
      <c r="EP33" s="54">
        <f>-IF(EP$10=1,MAX($D$33,ABS(EO$33),ABS(EO$33)*(1+'Model Assumptions'!EP$26)),0)</f>
        <v>-5622.0879926268981</v>
      </c>
      <c r="EQ33" s="54">
        <f>-IF(EQ$10=1,MAX($D$33,ABS(EP$33),ABS(EP$33)*(1+'Model Assumptions'!EQ$26)),0)</f>
        <v>-5622.0879926268981</v>
      </c>
      <c r="ER33" s="54">
        <f>-IF(ER$10=1,MAX($D$33,ABS(EQ$33),ABS(EQ$33)*(1+'Model Assumptions'!ER$26)),0)</f>
        <v>-5622.0879926268981</v>
      </c>
      <c r="ES33" s="54">
        <f>-IF(ES$10=1,MAX($D$33,ABS(ER$33),ABS(ER$33)*(1+'Model Assumptions'!ES$26)),0)</f>
        <v>-5622.0879926268981</v>
      </c>
      <c r="ET33" s="54">
        <f>-IF(ET$10=1,MAX($D$33,ABS(ES$33),ABS(ES$33)*(1+'Model Assumptions'!ET$26)),0)</f>
        <v>-5622.0879926268981</v>
      </c>
      <c r="EU33" s="54">
        <f>-IF(EU$10=1,MAX($D$33,ABS(ET$33),ABS(ET$33)*(1+'Model Assumptions'!EU$26)),0)</f>
        <v>-5734.529752479436</v>
      </c>
      <c r="EV33" s="54">
        <f>-IF(EV$10=1,MAX($D$33,ABS(EU$33),ABS(EU$33)*(1+'Model Assumptions'!EV$26)),0)</f>
        <v>-5734.529752479436</v>
      </c>
      <c r="EW33" s="54">
        <f>-IF(EW$10=1,MAX($D$33,ABS(EV$33),ABS(EV$33)*(1+'Model Assumptions'!EW$26)),0)</f>
        <v>-5734.529752479436</v>
      </c>
      <c r="EX33" s="54">
        <f>-IF(EX$10=1,MAX($D$33,ABS(EW$33),ABS(EW$33)*(1+'Model Assumptions'!EX$26)),0)</f>
        <v>-5734.529752479436</v>
      </c>
      <c r="EY33" s="54">
        <f>-IF(EY$10=1,MAX($D$33,ABS(EX$33),ABS(EX$33)*(1+'Model Assumptions'!EY$26)),0)</f>
        <v>-5734.529752479436</v>
      </c>
      <c r="EZ33" s="54">
        <f>-IF(EZ$10=1,MAX($D$33,ABS(EY$33),ABS(EY$33)*(1+'Model Assumptions'!EZ$26)),0)</f>
        <v>-5734.529752479436</v>
      </c>
      <c r="FA33" s="54">
        <f>-IF(FA$10=1,MAX($D$33,ABS(EZ$33),ABS(EZ$33)*(1+'Model Assumptions'!FA$26)),0)</f>
        <v>-5734.529752479436</v>
      </c>
      <c r="FB33" s="54">
        <f>-IF(FB$10=1,MAX($D$33,ABS(FA$33),ABS(FA$33)*(1+'Model Assumptions'!FB$26)),0)</f>
        <v>-5734.529752479436</v>
      </c>
      <c r="FC33" s="54">
        <f>-IF(FC$10=1,MAX($D$33,ABS(FB$33),ABS(FB$33)*(1+'Model Assumptions'!FC$26)),0)</f>
        <v>-5734.529752479436</v>
      </c>
      <c r="FD33" s="54">
        <f>-IF(FD$10=1,MAX($D$33,ABS(FC$33),ABS(FC$33)*(1+'Model Assumptions'!FD$26)),0)</f>
        <v>-5734.529752479436</v>
      </c>
      <c r="FE33" s="54">
        <f>-IF(FE$10=1,MAX($D$33,ABS(FD$33),ABS(FD$33)*(1+'Model Assumptions'!FE$26)),0)</f>
        <v>-5734.529752479436</v>
      </c>
      <c r="FF33" s="54">
        <f>-IF(FF$10=1,MAX($D$33,ABS(FE$33),ABS(FE$33)*(1+'Model Assumptions'!FF$26)),0)</f>
        <v>-5734.529752479436</v>
      </c>
      <c r="FG33" s="54">
        <f>-IF(FG$10=1,MAX($D$33,ABS(FF$33),ABS(FF$33)*(1+'Model Assumptions'!FG$26)),0)</f>
        <v>-5849.2203475290244</v>
      </c>
      <c r="FH33" s="54">
        <f>-IF(FH$10=1,MAX($D$33,ABS(FG$33),ABS(FG$33)*(1+'Model Assumptions'!FH$26)),0)</f>
        <v>-5849.2203475290244</v>
      </c>
      <c r="FI33" s="54">
        <f>-IF(FI$10=1,MAX($D$33,ABS(FH$33),ABS(FH$33)*(1+'Model Assumptions'!FI$26)),0)</f>
        <v>-5849.2203475290244</v>
      </c>
      <c r="FJ33" s="54">
        <f>-IF(FJ$10=1,MAX($D$33,ABS(FI$33),ABS(FI$33)*(1+'Model Assumptions'!FJ$26)),0)</f>
        <v>-5849.2203475290244</v>
      </c>
      <c r="FK33" s="54">
        <f>-IF(FK$10=1,MAX($D$33,ABS(FJ$33),ABS(FJ$33)*(1+'Model Assumptions'!FK$26)),0)</f>
        <v>-5849.2203475290244</v>
      </c>
      <c r="FL33" s="54">
        <f>-IF(FL$10=1,MAX($D$33,ABS(FK$33),ABS(FK$33)*(1+'Model Assumptions'!FL$26)),0)</f>
        <v>-5849.2203475290244</v>
      </c>
      <c r="FM33" s="54">
        <f>-IF(FM$10=1,MAX($D$33,ABS(FL$33),ABS(FL$33)*(1+'Model Assumptions'!FM$26)),0)</f>
        <v>-5849.2203475290244</v>
      </c>
      <c r="FN33" s="54">
        <f>-IF(FN$10=1,MAX($D$33,ABS(FM$33),ABS(FM$33)*(1+'Model Assumptions'!FN$26)),0)</f>
        <v>-5849.2203475290244</v>
      </c>
      <c r="FO33" s="54">
        <f>-IF(FO$10=1,MAX($D$33,ABS(FN$33),ABS(FN$33)*(1+'Model Assumptions'!FO$26)),0)</f>
        <v>-5849.2203475290244</v>
      </c>
      <c r="FP33" s="54">
        <f>-IF(FP$10=1,MAX($D$33,ABS(FO$33),ABS(FO$33)*(1+'Model Assumptions'!FP$26)),0)</f>
        <v>-5849.2203475290244</v>
      </c>
      <c r="FQ33" s="54">
        <f>-IF(FQ$10=1,MAX($D$33,ABS(FP$33),ABS(FP$33)*(1+'Model Assumptions'!FQ$26)),0)</f>
        <v>-5849.2203475290244</v>
      </c>
      <c r="FR33" s="54">
        <f>-IF(FR$10=1,MAX($D$33,ABS(FQ$33),ABS(FQ$33)*(1+'Model Assumptions'!FR$26)),0)</f>
        <v>-5849.2203475290244</v>
      </c>
      <c r="FS33" s="54">
        <f>-IF(FS$10=1,MAX($D$33,ABS(FR$33),ABS(FR$33)*(1+'Model Assumptions'!FS$26)),0)</f>
        <v>-5966.2047544796051</v>
      </c>
      <c r="FT33" s="54">
        <f>-IF(FT$10=1,MAX($D$33,ABS(FS$33),ABS(FS$33)*(1+'Model Assumptions'!FT$26)),0)</f>
        <v>-5966.2047544796051</v>
      </c>
      <c r="FU33" s="54">
        <f>-IF(FU$10=1,MAX($D$33,ABS(FT$33),ABS(FT$33)*(1+'Model Assumptions'!FU$26)),0)</f>
        <v>-5966.2047544796051</v>
      </c>
      <c r="FV33" s="54">
        <f>-IF(FV$10=1,MAX($D$33,ABS(FU$33),ABS(FU$33)*(1+'Model Assumptions'!FV$26)),0)</f>
        <v>-5966.2047544796051</v>
      </c>
      <c r="FW33" s="54">
        <f>-IF(FW$10=1,MAX($D$33,ABS(FV$33),ABS(FV$33)*(1+'Model Assumptions'!FW$26)),0)</f>
        <v>-5966.2047544796051</v>
      </c>
      <c r="FX33" s="54">
        <f>-IF(FX$10=1,MAX($D$33,ABS(FW$33),ABS(FW$33)*(1+'Model Assumptions'!FX$26)),0)</f>
        <v>-5966.2047544796051</v>
      </c>
      <c r="FY33" s="54">
        <f>-IF(FY$10=1,MAX($D$33,ABS(FX$33),ABS(FX$33)*(1+'Model Assumptions'!FY$26)),0)</f>
        <v>-5966.2047544796051</v>
      </c>
      <c r="FZ33" s="54">
        <f>-IF(FZ$10=1,MAX($D$33,ABS(FY$33),ABS(FY$33)*(1+'Model Assumptions'!FZ$26)),0)</f>
        <v>-5966.2047544796051</v>
      </c>
      <c r="GA33" s="54">
        <f>-IF(GA$10=1,MAX($D$33,ABS(FZ$33),ABS(FZ$33)*(1+'Model Assumptions'!GA$26)),0)</f>
        <v>-5966.2047544796051</v>
      </c>
      <c r="GB33" s="54">
        <f>-IF(GB$10=1,MAX($D$33,ABS(GA$33),ABS(GA$33)*(1+'Model Assumptions'!GB$26)),0)</f>
        <v>-5966.2047544796051</v>
      </c>
      <c r="GC33" s="54">
        <f>-IF(GC$10=1,MAX($D$33,ABS(GB$33),ABS(GB$33)*(1+'Model Assumptions'!GC$26)),0)</f>
        <v>-5966.2047544796051</v>
      </c>
      <c r="GD33" s="54">
        <f>-IF(GD$10=1,MAX($D$33,ABS(GC$33),ABS(GC$33)*(1+'Model Assumptions'!GD$26)),0)</f>
        <v>-5966.2047544796051</v>
      </c>
      <c r="GE33" s="54">
        <f>-IF(GE$10=1,MAX($D$33,ABS(GD$33),ABS(GD$33)*(1+'Model Assumptions'!GE$26)),0)</f>
        <v>0</v>
      </c>
      <c r="GF33" s="54">
        <f>-IF(GF$10=1,MAX($D$33,ABS(GE$33),ABS(GE$33)*(1+'Model Assumptions'!GF$26)),0)</f>
        <v>0</v>
      </c>
      <c r="GG33" s="54">
        <f>-IF(GG$10=1,MAX($D$33,ABS(GF$33),ABS(GF$33)*(1+'Model Assumptions'!GG$26)),0)</f>
        <v>0</v>
      </c>
      <c r="GH33" s="54">
        <f>-IF(GH$10=1,MAX($D$33,ABS(GG$33),ABS(GG$33)*(1+'Model Assumptions'!GH$26)),0)</f>
        <v>0</v>
      </c>
      <c r="GI33" s="54">
        <f>-IF(GI$10=1,MAX($D$33,ABS(GH$33),ABS(GH$33)*(1+'Model Assumptions'!GI$26)),0)</f>
        <v>0</v>
      </c>
      <c r="GJ33" s="54">
        <f>-IF(GJ$10=1,MAX($D$33,ABS(GI$33),ABS(GI$33)*(1+'Model Assumptions'!GJ$26)),0)</f>
        <v>0</v>
      </c>
      <c r="GK33" s="54">
        <f>-IF(GK$10=1,MAX($D$33,ABS(GJ$33),ABS(GJ$33)*(1+'Model Assumptions'!GK$26)),0)</f>
        <v>0</v>
      </c>
      <c r="GL33" s="54">
        <f>-IF(GL$10=1,MAX($D$33,ABS(GK$33),ABS(GK$33)*(1+'Model Assumptions'!GL$26)),0)</f>
        <v>0</v>
      </c>
      <c r="GM33" s="54">
        <f>-IF(GM$10=1,MAX($D$33,ABS(GL$33),ABS(GL$33)*(1+'Model Assumptions'!GM$26)),0)</f>
        <v>0</v>
      </c>
      <c r="GN33" s="54">
        <f>-IF(GN$10=1,MAX($D$33,ABS(GM$33),ABS(GM$33)*(1+'Model Assumptions'!GN$26)),0)</f>
        <v>0</v>
      </c>
      <c r="GO33" s="54">
        <f>-IF(GO$10=1,MAX($D$33,ABS(GN$33),ABS(GN$33)*(1+'Model Assumptions'!GO$26)),0)</f>
        <v>0</v>
      </c>
      <c r="GP33" s="54">
        <f>-IF(GP$10=1,MAX($D$33,ABS(GO$33),ABS(GO$33)*(1+'Model Assumptions'!GP$26)),0)</f>
        <v>0</v>
      </c>
      <c r="GQ33" s="54">
        <f>-IF(GQ$10=1,MAX($D$33,ABS(GP$33),ABS(GP$33)*(1+'Model Assumptions'!GQ$26)),0)</f>
        <v>0</v>
      </c>
      <c r="GR33" s="54">
        <f>-IF(GR$10=1,MAX($D$33,ABS(GQ$33),ABS(GQ$33)*(1+'Model Assumptions'!GR$26)),0)</f>
        <v>0</v>
      </c>
      <c r="GS33" s="54">
        <f>-IF(GS$10=1,MAX($D$33,ABS(GR$33),ABS(GR$33)*(1+'Model Assumptions'!GS$26)),0)</f>
        <v>0</v>
      </c>
      <c r="GT33" s="54">
        <f>-IF(GT$10=1,MAX($D$33,ABS(GS$33),ABS(GS$33)*(1+'Model Assumptions'!GT$26)),0)</f>
        <v>0</v>
      </c>
      <c r="GU33" s="54">
        <f>-IF(GU$10=1,MAX($D$33,ABS(GT$33),ABS(GT$33)*(1+'Model Assumptions'!GU$26)),0)</f>
        <v>0</v>
      </c>
      <c r="GV33" s="54">
        <f>-IF(GV$10=1,MAX($D$33,ABS(GU$33),ABS(GU$33)*(1+'Model Assumptions'!GV$26)),0)</f>
        <v>0</v>
      </c>
      <c r="GW33" s="54">
        <f>-IF(GW$10=1,MAX($D$33,ABS(GV$33),ABS(GV$33)*(1+'Model Assumptions'!GW$26)),0)</f>
        <v>0</v>
      </c>
      <c r="GX33" s="54">
        <f>-IF(GX$10=1,MAX($D$33,ABS(GW$33),ABS(GW$33)*(1+'Model Assumptions'!GX$26)),0)</f>
        <v>0</v>
      </c>
      <c r="GY33" s="54">
        <f>-IF(GY$10=1,MAX($D$33,ABS(GX$33),ABS(GX$33)*(1+'Model Assumptions'!GY$26)),0)</f>
        <v>0</v>
      </c>
      <c r="GZ33" s="54">
        <f>-IF(GZ$10=1,MAX($D$33,ABS(GY$33),ABS(GY$33)*(1+'Model Assumptions'!GZ$26)),0)</f>
        <v>0</v>
      </c>
      <c r="HA33" s="54">
        <f>-IF(HA$10=1,MAX($D$33,ABS(GZ$33),ABS(GZ$33)*(1+'Model Assumptions'!HA$26)),0)</f>
        <v>0</v>
      </c>
      <c r="HB33" s="54">
        <f>-IF(HB$10=1,MAX($D$33,ABS(HA$33),ABS(HA$33)*(1+'Model Assumptions'!HB$26)),0)</f>
        <v>0</v>
      </c>
      <c r="HC33" s="54">
        <f>-IF(HC$10=1,MAX($D$33,ABS(HB$33),ABS(HB$33)*(1+'Model Assumptions'!HC$26)),0)</f>
        <v>0</v>
      </c>
      <c r="HD33" s="54">
        <f>-IF(HD$10=1,MAX($D$33,ABS(HC$33),ABS(HC$33)*(1+'Model Assumptions'!HD$26)),0)</f>
        <v>0</v>
      </c>
      <c r="HE33" s="54">
        <f>-IF(HE$10=1,MAX($D$33,ABS(HD$33),ABS(HD$33)*(1+'Model Assumptions'!HE$26)),0)</f>
        <v>0</v>
      </c>
      <c r="HF33" s="54">
        <f>-IF(HF$10=1,MAX($D$33,ABS(HE$33),ABS(HE$33)*(1+'Model Assumptions'!HF$26)),0)</f>
        <v>0</v>
      </c>
      <c r="HG33" s="54">
        <f>-IF(HG$10=1,MAX($D$33,ABS(HF$33),ABS(HF$33)*(1+'Model Assumptions'!HG$26)),0)</f>
        <v>0</v>
      </c>
      <c r="HH33" s="54">
        <f>-IF(HH$10=1,MAX($D$33,ABS(HG$33),ABS(HG$33)*(1+'Model Assumptions'!HH$26)),0)</f>
        <v>0</v>
      </c>
      <c r="HI33" s="54">
        <f>-IF(HI$10=1,MAX($D$33,ABS(HH$33),ABS(HH$33)*(1+'Model Assumptions'!HI$26)),0)</f>
        <v>0</v>
      </c>
      <c r="HJ33" s="54">
        <f>-IF(HJ$10=1,MAX($D$33,ABS(HI$33),ABS(HI$33)*(1+'Model Assumptions'!HJ$26)),0)</f>
        <v>0</v>
      </c>
      <c r="HK33" s="54">
        <f>-IF(HK$10=1,MAX($D$33,ABS(HJ$33),ABS(HJ$33)*(1+'Model Assumptions'!HK$26)),0)</f>
        <v>0</v>
      </c>
      <c r="HL33" s="54">
        <f>-IF(HL$10=1,MAX($D$33,ABS(HK$33),ABS(HK$33)*(1+'Model Assumptions'!HL$26)),0)</f>
        <v>0</v>
      </c>
      <c r="HM33" s="54">
        <f>-IF(HM$10=1,MAX($D$33,ABS(HL$33),ABS(HL$33)*(1+'Model Assumptions'!HM$26)),0)</f>
        <v>0</v>
      </c>
      <c r="HN33" s="54">
        <f>-IF(HN$10=1,MAX($D$33,ABS(HM$33),ABS(HM$33)*(1+'Model Assumptions'!HN$26)),0)</f>
        <v>0</v>
      </c>
      <c r="HO33" s="54">
        <f>-IF(HO$10=1,MAX($D$33,ABS(HN$33),ABS(HN$33)*(1+'Model Assumptions'!HO$26)),0)</f>
        <v>0</v>
      </c>
      <c r="HP33" s="54">
        <f>-IF(HP$10=1,MAX($D$33,ABS(HO$33),ABS(HO$33)*(1+'Model Assumptions'!HP$26)),0)</f>
        <v>0</v>
      </c>
      <c r="HQ33" s="54">
        <f>-IF(HQ$10=1,MAX($D$33,ABS(HP$33),ABS(HP$33)*(1+'Model Assumptions'!HQ$26)),0)</f>
        <v>0</v>
      </c>
      <c r="HR33" s="54">
        <f>-IF(HR$10=1,MAX($D$33,ABS(HQ$33),ABS(HQ$33)*(1+'Model Assumptions'!HR$26)),0)</f>
        <v>0</v>
      </c>
      <c r="HS33" s="54">
        <f>-IF(HS$10=1,MAX($D$33,ABS(HR$33),ABS(HR$33)*(1+'Model Assumptions'!HS$26)),0)</f>
        <v>0</v>
      </c>
      <c r="HT33" s="54">
        <f>-IF(HT$10=1,MAX($D$33,ABS(HS$33),ABS(HS$33)*(1+'Model Assumptions'!HT$26)),0)</f>
        <v>0</v>
      </c>
      <c r="HU33" s="54">
        <f>-IF(HU$10=1,MAX($D$33,ABS(HT$33),ABS(HT$33)*(1+'Model Assumptions'!HU$26)),0)</f>
        <v>0</v>
      </c>
      <c r="HV33" s="54">
        <f>-IF(HV$10=1,MAX($D$33,ABS(HU$33),ABS(HU$33)*(1+'Model Assumptions'!HV$26)),0)</f>
        <v>0</v>
      </c>
      <c r="HW33" s="54">
        <f>-IF(HW$10=1,MAX($D$33,ABS(HV$33),ABS(HV$33)*(1+'Model Assumptions'!HW$26)),0)</f>
        <v>0</v>
      </c>
      <c r="HX33" s="54">
        <f>-IF(HX$10=1,MAX($D$33,ABS(HW$33),ABS(HW$33)*(1+'Model Assumptions'!HX$26)),0)</f>
        <v>0</v>
      </c>
      <c r="HY33" s="54">
        <f>-IF(HY$10=1,MAX($D$33,ABS(HX$33),ABS(HX$33)*(1+'Model Assumptions'!HY$26)),0)</f>
        <v>0</v>
      </c>
      <c r="HZ33" s="54">
        <f>-IF(HZ$10=1,MAX($D$33,ABS(HY$33),ABS(HY$33)*(1+'Model Assumptions'!HZ$26)),0)</f>
        <v>0</v>
      </c>
      <c r="IA33" s="54">
        <f>-IF(IA$10=1,MAX($D$33,ABS(HZ$33),ABS(HZ$33)*(1+'Model Assumptions'!IA$26)),0)</f>
        <v>0</v>
      </c>
      <c r="IB33" s="54">
        <f>-IF(IB$10=1,MAX($D$33,ABS(IA$33),ABS(IA$33)*(1+'Model Assumptions'!IB$26)),0)</f>
        <v>0</v>
      </c>
      <c r="IC33" s="54">
        <f>-IF(IC$10=1,MAX($D$33,ABS(IB$33),ABS(IB$33)*(1+'Model Assumptions'!IC$26)),0)</f>
        <v>0</v>
      </c>
      <c r="ID33" s="54">
        <f>-IF(ID$10=1,MAX($D$33,ABS(IC$33),ABS(IC$33)*(1+'Model Assumptions'!ID$26)),0)</f>
        <v>0</v>
      </c>
      <c r="IE33" s="54">
        <f>-IF(IE$10=1,MAX($D$33,ABS(ID$33),ABS(ID$33)*(1+'Model Assumptions'!IE$26)),0)</f>
        <v>0</v>
      </c>
      <c r="IF33" s="54">
        <f>-IF(IF$10=1,MAX($D$33,ABS(IE$33),ABS(IE$33)*(1+'Model Assumptions'!IF$26)),0)</f>
        <v>0</v>
      </c>
      <c r="IG33" s="54">
        <f>-IF(IG$10=1,MAX($D$33,ABS(IF$33),ABS(IF$33)*(1+'Model Assumptions'!IG$26)),0)</f>
        <v>0</v>
      </c>
      <c r="IH33" s="54">
        <f>-IF(IH$10=1,MAX($D$33,ABS(IG$33),ABS(IG$33)*(1+'Model Assumptions'!IH$26)),0)</f>
        <v>0</v>
      </c>
      <c r="II33" s="54">
        <f>-IF(II$10=1,MAX($D$33,ABS(IH$33),ABS(IH$33)*(1+'Model Assumptions'!II$26)),0)</f>
        <v>0</v>
      </c>
      <c r="IJ33" s="54">
        <f>-IF(IJ$10=1,MAX($D$33,ABS(II$33),ABS(II$33)*(1+'Model Assumptions'!IJ$26)),0)</f>
        <v>0</v>
      </c>
      <c r="IK33" s="54">
        <f>-IF(IK$10=1,MAX($D$33,ABS(IJ$33),ABS(IJ$33)*(1+'Model Assumptions'!IK$26)),0)</f>
        <v>0</v>
      </c>
      <c r="IL33" s="54">
        <f>-IF(IL$10=1,MAX($D$33,ABS(IK$33),ABS(IK$33)*(1+'Model Assumptions'!IL$26)),0)</f>
        <v>0</v>
      </c>
      <c r="IM33" s="54">
        <f>-IF(IM$10=1,MAX($D$33,ABS(IL$33),ABS(IL$33)*(1+'Model Assumptions'!IM$26)),0)</f>
        <v>0</v>
      </c>
      <c r="IN33" s="54">
        <f>-IF(IN$10=1,MAX($D$33,ABS(IM$33),ABS(IM$33)*(1+'Model Assumptions'!IN$26)),0)</f>
        <v>0</v>
      </c>
      <c r="IO33" s="54">
        <f>-IF(IO$10=1,MAX($D$33,ABS(IN$33),ABS(IN$33)*(1+'Model Assumptions'!IO$26)),0)</f>
        <v>0</v>
      </c>
      <c r="IP33" s="54">
        <f>-IF(IP$10=1,MAX($D$33,ABS(IO$33),ABS(IO$33)*(1+'Model Assumptions'!IP$26)),0)</f>
        <v>0</v>
      </c>
      <c r="IQ33" s="54">
        <f>-IF(IQ$10=1,MAX($D$33,ABS(IP$33),ABS(IP$33)*(1+'Model Assumptions'!IQ$26)),0)</f>
        <v>0</v>
      </c>
      <c r="IR33" s="54">
        <f>-IF(IR$10=1,MAX($D$33,ABS(IQ$33),ABS(IQ$33)*(1+'Model Assumptions'!IR$26)),0)</f>
        <v>0</v>
      </c>
      <c r="IS33" s="54">
        <f>-IF(IS$10=1,MAX($D$33,ABS(IR$33),ABS(IR$33)*(1+'Model Assumptions'!IS$26)),0)</f>
        <v>0</v>
      </c>
      <c r="IT33" s="54">
        <f>-IF(IT$10=1,MAX($D$33,ABS(IS$33),ABS(IS$33)*(1+'Model Assumptions'!IT$26)),0)</f>
        <v>0</v>
      </c>
      <c r="IU33" s="54">
        <f>-IF(IU$10=1,MAX($D$33,ABS(IT$33),ABS(IT$33)*(1+'Model Assumptions'!IU$26)),0)</f>
        <v>0</v>
      </c>
      <c r="IV33" s="54">
        <f>-IF(IV$10=1,MAX($D$33,ABS(IU$33),ABS(IU$33)*(1+'Model Assumptions'!IV$26)),0)</f>
        <v>0</v>
      </c>
      <c r="IW33" s="54">
        <f>-IF(IW$10=1,MAX($D$33,ABS(IV$33),ABS(IV$33)*(1+'Model Assumptions'!IW$26)),0)</f>
        <v>0</v>
      </c>
      <c r="IX33" s="54">
        <f>-IF(IX$10=1,MAX($D$33,ABS(IW$33),ABS(IW$33)*(1+'Model Assumptions'!IX$26)),0)</f>
        <v>0</v>
      </c>
      <c r="IY33" s="54">
        <f>-IF(IY$10=1,MAX($D$33,ABS(IX$33),ABS(IX$33)*(1+'Model Assumptions'!IY$26)),0)</f>
        <v>0</v>
      </c>
      <c r="IZ33" s="54">
        <f>-IF(IZ$10=1,MAX($D$33,ABS(IY$33),ABS(IY$33)*(1+'Model Assumptions'!IZ$26)),0)</f>
        <v>0</v>
      </c>
      <c r="JA33" s="54">
        <f>-IF(JA$10=1,MAX($D$33,ABS(IZ$33),ABS(IZ$33)*(1+'Model Assumptions'!JA$26)),0)</f>
        <v>0</v>
      </c>
      <c r="JB33" s="54">
        <f>-IF(JB$10=1,MAX($D$33,ABS(JA$33),ABS(JA$33)*(1+'Model Assumptions'!JB$26)),0)</f>
        <v>0</v>
      </c>
      <c r="JC33" s="54">
        <f>-IF(JC$10=1,MAX($D$33,ABS(JB$33),ABS(JB$33)*(1+'Model Assumptions'!JC$26)),0)</f>
        <v>0</v>
      </c>
      <c r="JD33" s="54">
        <f>-IF(JD$10=1,MAX($D$33,ABS(JC$33),ABS(JC$33)*(1+'Model Assumptions'!JD$26)),0)</f>
        <v>0</v>
      </c>
      <c r="JE33" s="54">
        <f>-IF(JE$10=1,MAX($D$33,ABS(JD$33),ABS(JD$33)*(1+'Model Assumptions'!JE$26)),0)</f>
        <v>0</v>
      </c>
      <c r="JF33" s="54">
        <f>-IF(JF$10=1,MAX($D$33,ABS(JE$33),ABS(JE$33)*(1+'Model Assumptions'!JF$26)),0)</f>
        <v>0</v>
      </c>
      <c r="JG33" s="54">
        <f>-IF(JG$10=1,MAX($D$33,ABS(JF$33),ABS(JF$33)*(1+'Model Assumptions'!JG$26)),0)</f>
        <v>0</v>
      </c>
      <c r="JH33" s="54">
        <f>-IF(JH$10=1,MAX($D$33,ABS(JG$33),ABS(JG$33)*(1+'Model Assumptions'!JH$26)),0)</f>
        <v>0</v>
      </c>
      <c r="JI33" s="54">
        <f>-IF(JI$10=1,MAX($D$33,ABS(JH$33),ABS(JH$33)*(1+'Model Assumptions'!JI$26)),0)</f>
        <v>0</v>
      </c>
      <c r="JJ33" s="54">
        <f>-IF(JJ$10=1,MAX($D$33,ABS(JI$33),ABS(JI$33)*(1+'Model Assumptions'!JJ$26)),0)</f>
        <v>0</v>
      </c>
      <c r="JK33" s="54">
        <f>-IF(JK$10=1,MAX($D$33,ABS(JJ$33),ABS(JJ$33)*(1+'Model Assumptions'!JK$26)),0)</f>
        <v>0</v>
      </c>
      <c r="JL33" s="54">
        <f>-IF(JL$10=1,MAX($D$33,ABS(JK$33),ABS(JK$33)*(1+'Model Assumptions'!JL$26)),0)</f>
        <v>0</v>
      </c>
      <c r="JM33" s="54">
        <f>-IF(JM$10=1,MAX($D$33,ABS(JL$33),ABS(JL$33)*(1+'Model Assumptions'!JM$26)),0)</f>
        <v>0</v>
      </c>
      <c r="JN33" s="54">
        <f>-IF(JN$10=1,MAX($D$33,ABS(JM$33),ABS(JM$33)*(1+'Model Assumptions'!JN$26)),0)</f>
        <v>0</v>
      </c>
      <c r="JO33" s="54">
        <f>-IF(JO$10=1,MAX($D$33,ABS(JN$33),ABS(JN$33)*(1+'Model Assumptions'!JO$26)),0)</f>
        <v>0</v>
      </c>
      <c r="JP33" s="54">
        <f>-IF(JP$10=1,MAX($D$33,ABS(JO$33),ABS(JO$33)*(1+'Model Assumptions'!JP$26)),0)</f>
        <v>0</v>
      </c>
      <c r="JQ33" s="54">
        <f>-IF(JQ$10=1,MAX($D$33,ABS(JP$33),ABS(JP$33)*(1+'Model Assumptions'!JQ$26)),0)</f>
        <v>0</v>
      </c>
      <c r="JR33" s="54">
        <f>-IF(JR$10=1,MAX($D$33,ABS(JQ$33),ABS(JQ$33)*(1+'Model Assumptions'!JR$26)),0)</f>
        <v>0</v>
      </c>
      <c r="JS33" s="54">
        <f>-IF(JS$10=1,MAX($D$33,ABS(JR$33),ABS(JR$33)*(1+'Model Assumptions'!JS$26)),0)</f>
        <v>0</v>
      </c>
      <c r="JT33" s="54">
        <f>-IF(JT$10=1,MAX($D$33,ABS(JS$33),ABS(JS$33)*(1+'Model Assumptions'!JT$26)),0)</f>
        <v>0</v>
      </c>
      <c r="JU33" s="54">
        <f>-IF(JU$10=1,MAX($D$33,ABS(JT$33),ABS(JT$33)*(1+'Model Assumptions'!JU$26)),0)</f>
        <v>0</v>
      </c>
      <c r="JV33" s="54">
        <f>-IF(JV$10=1,MAX($D$33,ABS(JU$33),ABS(JU$33)*(1+'Model Assumptions'!JV$26)),0)</f>
        <v>0</v>
      </c>
      <c r="JW33" s="54">
        <f>-IF(JW$10=1,MAX($D$33,ABS(JV$33),ABS(JV$33)*(1+'Model Assumptions'!JW$26)),0)</f>
        <v>0</v>
      </c>
      <c r="JX33" s="54">
        <f>-IF(JX$10=1,MAX($D$33,ABS(JW$33),ABS(JW$33)*(1+'Model Assumptions'!JX$26)),0)</f>
        <v>0</v>
      </c>
      <c r="JY33" s="54">
        <f>-IF(JY$10=1,MAX($D$33,ABS(JX$33),ABS(JX$33)*(1+'Model Assumptions'!JY$26)),0)</f>
        <v>0</v>
      </c>
      <c r="JZ33" s="54">
        <f>-IF(JZ$10=1,MAX($D$33,ABS(JY$33),ABS(JY$33)*(1+'Model Assumptions'!JZ$26)),0)</f>
        <v>0</v>
      </c>
      <c r="KA33" s="54">
        <f>-IF(KA$10=1,MAX($D$33,ABS(JZ$33),ABS(JZ$33)*(1+'Model Assumptions'!KA$26)),0)</f>
        <v>0</v>
      </c>
      <c r="KB33" s="54">
        <f>-IF(KB$10=1,MAX($D$33,ABS(KA$33),ABS(KA$33)*(1+'Model Assumptions'!KB$26)),0)</f>
        <v>0</v>
      </c>
      <c r="KC33" s="54">
        <f>-IF(KC$10=1,MAX($D$33,ABS(KB$33),ABS(KB$33)*(1+'Model Assumptions'!KC$26)),0)</f>
        <v>0</v>
      </c>
      <c r="KD33" s="54">
        <f>-IF(KD$10=1,MAX($D$33,ABS(KC$33),ABS(KC$33)*(1+'Model Assumptions'!KD$26)),0)</f>
        <v>0</v>
      </c>
      <c r="KE33" s="54">
        <f>-IF(KE$10=1,MAX($D$33,ABS(KD$33),ABS(KD$33)*(1+'Model Assumptions'!KE$26)),0)</f>
        <v>0</v>
      </c>
      <c r="KF33" s="54">
        <f>-IF(KF$10=1,MAX($D$33,ABS(KE$33),ABS(KE$33)*(1+'Model Assumptions'!KF$26)),0)</f>
        <v>0</v>
      </c>
      <c r="KG33" s="54">
        <f>-IF(KG$10=1,MAX($D$33,ABS(KF$33),ABS(KF$33)*(1+'Model Assumptions'!KG$26)),0)</f>
        <v>0</v>
      </c>
      <c r="KH33" s="54">
        <f>-IF(KH$10=1,MAX($D$33,ABS(KG$33),ABS(KG$33)*(1+'Model Assumptions'!KH$26)),0)</f>
        <v>0</v>
      </c>
      <c r="KI33" s="54">
        <f>-IF(KI$10=1,MAX($D$33,ABS(KH$33),ABS(KH$33)*(1+'Model Assumptions'!KI$26)),0)</f>
        <v>0</v>
      </c>
      <c r="KJ33" s="54">
        <f>-IF(KJ$10=1,MAX($D$33,ABS(KI$33),ABS(KI$33)*(1+'Model Assumptions'!KJ$26)),0)</f>
        <v>0</v>
      </c>
      <c r="KK33" s="54">
        <f>-IF(KK$10=1,MAX($D$33,ABS(KJ$33),ABS(KJ$33)*(1+'Model Assumptions'!KK$26)),0)</f>
        <v>0</v>
      </c>
      <c r="KL33" s="54">
        <f>-IF(KL$10=1,MAX($D$33,ABS(KK$33),ABS(KK$33)*(1+'Model Assumptions'!KL$26)),0)</f>
        <v>0</v>
      </c>
      <c r="KM33" s="54">
        <f>-IF(KM$10=1,MAX($D$33,ABS(KL$33),ABS(KL$33)*(1+'Model Assumptions'!KM$26)),0)</f>
        <v>0</v>
      </c>
      <c r="KN33" s="54">
        <f>-IF(KN$10=1,MAX($D$33,ABS(KM$33),ABS(KM$33)*(1+'Model Assumptions'!KN$26)),0)</f>
        <v>0</v>
      </c>
      <c r="KO33" s="54">
        <f>-IF(KO$10=1,MAX($D$33,ABS(KN$33),ABS(KN$33)*(1+'Model Assumptions'!KO$26)),0)</f>
        <v>0</v>
      </c>
      <c r="KP33" s="54">
        <f>-IF(KP$10=1,MAX($D$33,ABS(KO$33),ABS(KO$33)*(1+'Model Assumptions'!KP$26)),0)</f>
        <v>0</v>
      </c>
      <c r="KQ33" s="54">
        <f>-IF(KQ$10=1,MAX($D$33,ABS(KP$33),ABS(KP$33)*(1+'Model Assumptions'!KQ$26)),0)</f>
        <v>0</v>
      </c>
      <c r="KR33" s="54">
        <f>-IF(KR$10=1,MAX($D$33,ABS(KQ$33),ABS(KQ$33)*(1+'Model Assumptions'!KR$26)),0)</f>
        <v>0</v>
      </c>
      <c r="KS33" s="54">
        <f>-IF(KS$10=1,MAX($D$33,ABS(KR$33),ABS(KR$33)*(1+'Model Assumptions'!KS$26)),0)</f>
        <v>0</v>
      </c>
      <c r="KT33" s="54">
        <f>-IF(KT$10=1,MAX($D$33,ABS(KS$33),ABS(KS$33)*(1+'Model Assumptions'!KT$26)),0)</f>
        <v>0</v>
      </c>
      <c r="KU33" s="54">
        <f>-IF(KU$10=1,MAX($D$33,ABS(KT$33),ABS(KT$33)*(1+'Model Assumptions'!KU$26)),0)</f>
        <v>0</v>
      </c>
      <c r="KV33" s="54">
        <f>-IF(KV$10=1,MAX($D$33,ABS(KU$33),ABS(KU$33)*(1+'Model Assumptions'!KV$26)),0)</f>
        <v>0</v>
      </c>
      <c r="KW33" s="54">
        <f>-IF(KW$10=1,MAX($D$33,ABS(KV$33),ABS(KV$33)*(1+'Model Assumptions'!KW$26)),0)</f>
        <v>0</v>
      </c>
      <c r="KX33" s="54">
        <f>-IF(KX$10=1,MAX($D$33,ABS(KW$33),ABS(KW$33)*(1+'Model Assumptions'!KX$26)),0)</f>
        <v>0</v>
      </c>
      <c r="KY33" s="54">
        <f>-IF(KY$10=1,MAX($D$33,ABS(KX$33),ABS(KX$33)*(1+'Model Assumptions'!KY$26)),0)</f>
        <v>0</v>
      </c>
      <c r="KZ33" s="54">
        <f>-IF(KZ$10=1,MAX($D$33,ABS(KY$33),ABS(KY$33)*(1+'Model Assumptions'!KZ$26)),0)</f>
        <v>0</v>
      </c>
      <c r="LA33" s="54">
        <f>-IF(LA$10=1,MAX($D$33,ABS(KZ$33),ABS(KZ$33)*(1+'Model Assumptions'!LA$26)),0)</f>
        <v>0</v>
      </c>
      <c r="LB33" s="54">
        <f>-IF(LB$10=1,MAX($D$33,ABS(LA$33),ABS(LA$33)*(1+'Model Assumptions'!LB$26)),0)</f>
        <v>0</v>
      </c>
      <c r="LC33" s="54">
        <f>-IF(LC$10=1,MAX($D$33,ABS(LB$33),ABS(LB$33)*(1+'Model Assumptions'!LC$26)),0)</f>
        <v>0</v>
      </c>
      <c r="LD33" s="54">
        <f>-IF(LD$10=1,MAX($D$33,ABS(LC$33),ABS(LC$33)*(1+'Model Assumptions'!LD$26)),0)</f>
        <v>0</v>
      </c>
      <c r="LE33" s="54">
        <f>-IF(LE$10=1,MAX($D$33,ABS(LD$33),ABS(LD$33)*(1+'Model Assumptions'!LE$26)),0)</f>
        <v>0</v>
      </c>
      <c r="LF33" s="54">
        <f>-IF(LF$10=1,MAX($D$33,ABS(LE$33),ABS(LE$33)*(1+'Model Assumptions'!LF$26)),0)</f>
        <v>0</v>
      </c>
      <c r="LG33" s="54">
        <f>-IF(LG$10=1,MAX($D$33,ABS(LF$33),ABS(LF$33)*(1+'Model Assumptions'!LG$26)),0)</f>
        <v>0</v>
      </c>
      <c r="LH33" s="54">
        <f>-IF(LH$10=1,MAX($D$33,ABS(LG$33),ABS(LG$33)*(1+'Model Assumptions'!LH$26)),0)</f>
        <v>0</v>
      </c>
      <c r="LI33" s="54">
        <f>-IF(LI$10=1,MAX($D$33,ABS(LH$33),ABS(LH$33)*(1+'Model Assumptions'!LI$26)),0)</f>
        <v>0</v>
      </c>
      <c r="LJ33" s="54">
        <f>-IF(LJ$10=1,MAX($D$33,ABS(LI$33),ABS(LI$33)*(1+'Model Assumptions'!LJ$26)),0)</f>
        <v>0</v>
      </c>
      <c r="LK33" s="54">
        <f>-IF(LK$10=1,MAX($D$33,ABS(LJ$33),ABS(LJ$33)*(1+'Model Assumptions'!LK$26)),0)</f>
        <v>0</v>
      </c>
      <c r="LL33" s="54">
        <f>-IF(LL$10=1,MAX($D$33,ABS(LK$33),ABS(LK$33)*(1+'Model Assumptions'!LL$26)),0)</f>
        <v>0</v>
      </c>
      <c r="LM33" s="54">
        <f>-IF(LM$10=1,MAX($D$33,ABS(LL$33),ABS(LL$33)*(1+'Model Assumptions'!LM$26)),0)</f>
        <v>0</v>
      </c>
      <c r="LN33" s="54">
        <f>-IF(LN$10=1,MAX($D$33,ABS(LM$33),ABS(LM$33)*(1+'Model Assumptions'!LN$26)),0)</f>
        <v>0</v>
      </c>
      <c r="LO33" s="54">
        <f>-IF(LO$10=1,MAX($D$33,ABS(LN$33),ABS(LN$33)*(1+'Model Assumptions'!LO$26)),0)</f>
        <v>0</v>
      </c>
      <c r="LP33" s="54">
        <f>-IF(LP$10=1,MAX($D$33,ABS(LO$33),ABS(LO$33)*(1+'Model Assumptions'!LP$26)),0)</f>
        <v>0</v>
      </c>
      <c r="LQ33" s="54">
        <f>-IF(LQ$10=1,MAX($D$33,ABS(LP$33),ABS(LP$33)*(1+'Model Assumptions'!LQ$26)),0)</f>
        <v>0</v>
      </c>
      <c r="LR33" s="54">
        <f>-IF(LR$10=1,MAX($D$33,ABS(LQ$33),ABS(LQ$33)*(1+'Model Assumptions'!LR$26)),0)</f>
        <v>0</v>
      </c>
      <c r="LS33" s="54">
        <f>-IF(LS$10=1,MAX($D$33,ABS(LR$33),ABS(LR$33)*(1+'Model Assumptions'!LS$26)),0)</f>
        <v>0</v>
      </c>
      <c r="LT33" s="54">
        <f>-IF(LT$10=1,MAX($D$33,ABS(LS$33),ABS(LS$33)*(1+'Model Assumptions'!LT$26)),0)</f>
        <v>0</v>
      </c>
      <c r="LU33" s="54">
        <f>-IF(LU$10=1,MAX($D$33,ABS(LT$33),ABS(LT$33)*(1+'Model Assumptions'!LU$26)),0)</f>
        <v>0</v>
      </c>
      <c r="LV33" s="54">
        <f>-IF(LV$10=1,MAX($D$33,ABS(LU$33),ABS(LU$33)*(1+'Model Assumptions'!LV$26)),0)</f>
        <v>0</v>
      </c>
      <c r="LW33" s="54">
        <f>-IF(LW$10=1,MAX($D$33,ABS(LV$33),ABS(LV$33)*(1+'Model Assumptions'!LW$26)),0)</f>
        <v>0</v>
      </c>
      <c r="LX33" s="54">
        <f>-IF(LX$10=1,MAX($D$33,ABS(LW$33),ABS(LW$33)*(1+'Model Assumptions'!LX$26)),0)</f>
        <v>0</v>
      </c>
      <c r="LY33" s="54">
        <f>-IF(LY$10=1,MAX($D$33,ABS(LX$33),ABS(LX$33)*(1+'Model Assumptions'!LY$26)),0)</f>
        <v>0</v>
      </c>
      <c r="LZ33" s="54">
        <f>-IF(LZ$10=1,MAX($D$33,ABS(LY$33),ABS(LY$33)*(1+'Model Assumptions'!LZ$26)),0)</f>
        <v>0</v>
      </c>
      <c r="MA33" s="54">
        <f>-IF(MA$10=1,MAX($D$33,ABS(LZ$33),ABS(LZ$33)*(1+'Model Assumptions'!MA$26)),0)</f>
        <v>0</v>
      </c>
      <c r="MB33" s="54">
        <f>-IF(MB$10=1,MAX($D$33,ABS(MA$33),ABS(MA$33)*(1+'Model Assumptions'!MB$26)),0)</f>
        <v>0</v>
      </c>
      <c r="MC33" s="54">
        <f>-IF(MC$10=1,MAX($D$33,ABS(MB$33),ABS(MB$33)*(1+'Model Assumptions'!MC$26)),0)</f>
        <v>0</v>
      </c>
      <c r="MD33" s="54">
        <f>-IF(MD$10=1,MAX($D$33,ABS(MC$33),ABS(MC$33)*(1+'Model Assumptions'!MD$26)),0)</f>
        <v>0</v>
      </c>
      <c r="ME33" s="54">
        <f>-IF(ME$10=1,MAX($D$33,ABS(MD$33),ABS(MD$33)*(1+'Model Assumptions'!ME$26)),0)</f>
        <v>0</v>
      </c>
      <c r="MF33" s="54">
        <f>-IF(MF$10=1,MAX($D$33,ABS(ME$33),ABS(ME$33)*(1+'Model Assumptions'!MF$26)),0)</f>
        <v>0</v>
      </c>
      <c r="MG33" s="54">
        <f>-IF(MG$10=1,MAX($D$33,ABS(MF$33),ABS(MF$33)*(1+'Model Assumptions'!MG$26)),0)</f>
        <v>0</v>
      </c>
      <c r="MH33" s="54">
        <f>-IF(MH$10=1,MAX($D$33,ABS(MG$33),ABS(MG$33)*(1+'Model Assumptions'!MH$26)),0)</f>
        <v>0</v>
      </c>
      <c r="MI33" s="54">
        <f>-IF(MI$10=1,MAX($D$33,ABS(MH$33),ABS(MH$33)*(1+'Model Assumptions'!MI$26)),0)</f>
        <v>0</v>
      </c>
      <c r="MJ33" s="54">
        <f>-IF(MJ$10=1,MAX($D$33,ABS(MI$33),ABS(MI$33)*(1+'Model Assumptions'!MJ$26)),0)</f>
        <v>0</v>
      </c>
      <c r="MK33" s="54">
        <f>-IF(MK$10=1,MAX($D$33,ABS(MJ$33),ABS(MJ$33)*(1+'Model Assumptions'!MK$26)),0)</f>
        <v>0</v>
      </c>
      <c r="ML33" s="54">
        <f>-IF(ML$10=1,MAX($D$33,ABS(MK$33),ABS(MK$33)*(1+'Model Assumptions'!ML$26)),0)</f>
        <v>0</v>
      </c>
      <c r="MM33" s="54">
        <f>-IF(MM$10=1,MAX($D$33,ABS(ML$33),ABS(ML$33)*(1+'Model Assumptions'!MM$26)),0)</f>
        <v>0</v>
      </c>
      <c r="MN33" s="54">
        <f>-IF(MN$10=1,MAX($D$33,ABS(MM$33),ABS(MM$33)*(1+'Model Assumptions'!MN$26)),0)</f>
        <v>0</v>
      </c>
      <c r="MO33" s="54">
        <f>-IF(MO$10=1,MAX($D$33,ABS(MN$33),ABS(MN$33)*(1+'Model Assumptions'!MO$26)),0)</f>
        <v>0</v>
      </c>
      <c r="MP33" s="54">
        <f>-IF(MP$10=1,MAX($D$33,ABS(MO$33),ABS(MO$33)*(1+'Model Assumptions'!MP$26)),0)</f>
        <v>0</v>
      </c>
      <c r="MQ33" s="54">
        <f>-IF(MQ$10=1,MAX($D$33,ABS(MP$33),ABS(MP$33)*(1+'Model Assumptions'!MQ$26)),0)</f>
        <v>0</v>
      </c>
      <c r="MR33" s="54">
        <f>-IF(MR$10=1,MAX($D$33,ABS(MQ$33),ABS(MQ$33)*(1+'Model Assumptions'!MR$26)),0)</f>
        <v>0</v>
      </c>
      <c r="MS33" s="54">
        <f>-IF(MS$10=1,MAX($D$33,ABS(MR$33),ABS(MR$33)*(1+'Model Assumptions'!MS$26)),0)</f>
        <v>0</v>
      </c>
      <c r="MT33" s="54">
        <f>-IF(MT$10=1,MAX($D$33,ABS(MS$33),ABS(MS$33)*(1+'Model Assumptions'!MT$26)),0)</f>
        <v>0</v>
      </c>
      <c r="MU33" s="54">
        <f>-IF(MU$10=1,MAX($D$33,ABS(MT$33),ABS(MT$33)*(1+'Model Assumptions'!MU$26)),0)</f>
        <v>0</v>
      </c>
      <c r="MV33" s="54">
        <f>-IF(MV$10=1,MAX($D$33,ABS(MU$33),ABS(MU$33)*(1+'Model Assumptions'!MV$26)),0)</f>
        <v>0</v>
      </c>
      <c r="MW33" s="54">
        <f>-IF(MW$10=1,MAX($D$33,ABS(MV$33),ABS(MV$33)*(1+'Model Assumptions'!MW$26)),0)</f>
        <v>0</v>
      </c>
      <c r="MX33" s="54">
        <f>-IF(MX$10=1,MAX($D$33,ABS(MW$33),ABS(MW$33)*(1+'Model Assumptions'!MX$26)),0)</f>
        <v>0</v>
      </c>
      <c r="MY33" s="54">
        <f>-IF(MY$10=1,MAX($D$33,ABS(MX$33),ABS(MX$33)*(1+'Model Assumptions'!MY$26)),0)</f>
        <v>0</v>
      </c>
      <c r="MZ33" s="54">
        <f>-IF(MZ$10=1,MAX($D$33,ABS(MY$33),ABS(MY$33)*(1+'Model Assumptions'!MZ$26)),0)</f>
        <v>0</v>
      </c>
      <c r="NA33" s="54">
        <f>-IF(NA$10=1,MAX($D$33,ABS(MZ$33),ABS(MZ$33)*(1+'Model Assumptions'!NA$26)),0)</f>
        <v>0</v>
      </c>
      <c r="NB33" s="54">
        <f>-IF(NB$10=1,MAX($D$33,ABS(NA$33),ABS(NA$33)*(1+'Model Assumptions'!NB$26)),0)</f>
        <v>0</v>
      </c>
      <c r="NC33" s="56"/>
    </row>
    <row r="34" spans="2:367" x14ac:dyDescent="0.15">
      <c r="B34" s="45" t="s">
        <v>141</v>
      </c>
      <c r="C34" s="194"/>
      <c r="F34" s="56">
        <f t="shared" ref="F34:BQ34" si="56">SUM(F30:F33)</f>
        <v>0</v>
      </c>
      <c r="G34" s="56">
        <f t="shared" si="56"/>
        <v>-7630.8042416666667</v>
      </c>
      <c r="H34" s="56">
        <f t="shared" si="56"/>
        <v>-7630.8042416666667</v>
      </c>
      <c r="I34" s="56">
        <f t="shared" si="56"/>
        <v>-7630.8042416666667</v>
      </c>
      <c r="J34" s="56">
        <f t="shared" si="56"/>
        <v>-7630.8042416666667</v>
      </c>
      <c r="K34" s="56">
        <f t="shared" si="56"/>
        <v>-7630.8042416666667</v>
      </c>
      <c r="L34" s="563">
        <f t="shared" si="56"/>
        <v>-7630.8042416666667</v>
      </c>
      <c r="M34" s="56">
        <f t="shared" si="56"/>
        <v>-7630.8042416666667</v>
      </c>
      <c r="N34" s="56">
        <f t="shared" si="56"/>
        <v>-7630.8042416666667</v>
      </c>
      <c r="O34" s="56">
        <f t="shared" si="56"/>
        <v>-7630.8042416666667</v>
      </c>
      <c r="P34" s="56">
        <f t="shared" si="56"/>
        <v>-7630.8042416666667</v>
      </c>
      <c r="Q34" s="56">
        <f t="shared" si="56"/>
        <v>-7630.8042416666667</v>
      </c>
      <c r="R34" s="56">
        <f t="shared" si="56"/>
        <v>-7630.8042416666667</v>
      </c>
      <c r="S34" s="56">
        <f t="shared" si="56"/>
        <v>-7798.9661598333332</v>
      </c>
      <c r="T34" s="56">
        <f t="shared" si="56"/>
        <v>-7798.9661598333332</v>
      </c>
      <c r="U34" s="56">
        <f t="shared" si="56"/>
        <v>-7798.9661598333332</v>
      </c>
      <c r="V34" s="56">
        <f t="shared" si="56"/>
        <v>-7798.9661598333332</v>
      </c>
      <c r="W34" s="56">
        <f t="shared" si="56"/>
        <v>-7798.9661598333332</v>
      </c>
      <c r="X34" s="56">
        <f t="shared" si="56"/>
        <v>-7798.9661598333332</v>
      </c>
      <c r="Y34" s="56">
        <f t="shared" si="56"/>
        <v>-7798.9661598333332</v>
      </c>
      <c r="Z34" s="56">
        <f t="shared" si="56"/>
        <v>-7798.9661598333332</v>
      </c>
      <c r="AA34" s="56">
        <f t="shared" si="56"/>
        <v>-7798.9661598333332</v>
      </c>
      <c r="AB34" s="56">
        <f t="shared" si="56"/>
        <v>-7798.9661598333332</v>
      </c>
      <c r="AC34" s="56">
        <f t="shared" si="56"/>
        <v>-7798.9661598333332</v>
      </c>
      <c r="AD34" s="56">
        <f t="shared" si="56"/>
        <v>-7798.9661598333332</v>
      </c>
      <c r="AE34" s="56">
        <f t="shared" si="56"/>
        <v>-7970.8799621966664</v>
      </c>
      <c r="AF34" s="56">
        <f t="shared" si="56"/>
        <v>-7970.8799621966664</v>
      </c>
      <c r="AG34" s="56">
        <f t="shared" si="56"/>
        <v>-7970.8799621966664</v>
      </c>
      <c r="AH34" s="56">
        <f t="shared" si="56"/>
        <v>-7970.8799621966664</v>
      </c>
      <c r="AI34" s="56">
        <f t="shared" si="56"/>
        <v>-7970.8799621966664</v>
      </c>
      <c r="AJ34" s="56">
        <f t="shared" si="56"/>
        <v>-7970.8799621966664</v>
      </c>
      <c r="AK34" s="56">
        <f t="shared" si="56"/>
        <v>-7970.8799621966664</v>
      </c>
      <c r="AL34" s="56">
        <f t="shared" si="56"/>
        <v>-7970.8799621966664</v>
      </c>
      <c r="AM34" s="56">
        <f t="shared" si="56"/>
        <v>-7970.8799621966664</v>
      </c>
      <c r="AN34" s="56">
        <f t="shared" si="56"/>
        <v>-7970.8799621966664</v>
      </c>
      <c r="AO34" s="56">
        <f t="shared" si="56"/>
        <v>-7970.8799621966664</v>
      </c>
      <c r="AP34" s="56">
        <f t="shared" si="56"/>
        <v>-7970.8799621966664</v>
      </c>
      <c r="AQ34" s="56">
        <f t="shared" si="56"/>
        <v>-8146.630402586432</v>
      </c>
      <c r="AR34" s="56">
        <f t="shared" si="56"/>
        <v>-8146.630402586432</v>
      </c>
      <c r="AS34" s="56">
        <f t="shared" si="56"/>
        <v>-8146.630402586432</v>
      </c>
      <c r="AT34" s="56">
        <f t="shared" si="56"/>
        <v>-8146.630402586432</v>
      </c>
      <c r="AU34" s="56">
        <f t="shared" si="56"/>
        <v>-8146.630402586432</v>
      </c>
      <c r="AV34" s="56">
        <f t="shared" si="56"/>
        <v>-8146.630402586432</v>
      </c>
      <c r="AW34" s="56">
        <f t="shared" si="56"/>
        <v>-8146.630402586432</v>
      </c>
      <c r="AX34" s="56">
        <f t="shared" si="56"/>
        <v>-8146.630402586432</v>
      </c>
      <c r="AY34" s="56">
        <f t="shared" si="56"/>
        <v>-8146.630402586432</v>
      </c>
      <c r="AZ34" s="56">
        <f t="shared" si="56"/>
        <v>-8146.630402586432</v>
      </c>
      <c r="BA34" s="56">
        <f t="shared" si="56"/>
        <v>-8146.630402586432</v>
      </c>
      <c r="BB34" s="56">
        <f t="shared" si="56"/>
        <v>-8146.630402586432</v>
      </c>
      <c r="BC34" s="56">
        <f t="shared" si="56"/>
        <v>-8326.3041728126409</v>
      </c>
      <c r="BD34" s="56">
        <f t="shared" si="56"/>
        <v>-8326.3041728126409</v>
      </c>
      <c r="BE34" s="56">
        <f t="shared" si="56"/>
        <v>-8326.3041728126409</v>
      </c>
      <c r="BF34" s="56">
        <f t="shared" si="56"/>
        <v>-8326.3041728126409</v>
      </c>
      <c r="BG34" s="56">
        <f t="shared" si="56"/>
        <v>-8326.3041728126409</v>
      </c>
      <c r="BH34" s="56">
        <f t="shared" si="56"/>
        <v>-8326.3041728126409</v>
      </c>
      <c r="BI34" s="56">
        <f t="shared" si="56"/>
        <v>-8326.3041728126409</v>
      </c>
      <c r="BJ34" s="56">
        <f t="shared" si="56"/>
        <v>-8326.3041728126409</v>
      </c>
      <c r="BK34" s="56">
        <f t="shared" si="56"/>
        <v>-8326.3041728126409</v>
      </c>
      <c r="BL34" s="56">
        <f t="shared" si="56"/>
        <v>-8326.3041728126409</v>
      </c>
      <c r="BM34" s="56">
        <f t="shared" si="56"/>
        <v>-8326.3041728126409</v>
      </c>
      <c r="BN34" s="56">
        <f t="shared" si="56"/>
        <v>-8326.3041728126409</v>
      </c>
      <c r="BO34" s="56">
        <f t="shared" si="56"/>
        <v>-8509.9899474977337</v>
      </c>
      <c r="BP34" s="56">
        <f t="shared" si="56"/>
        <v>-8509.9899474977337</v>
      </c>
      <c r="BQ34" s="56">
        <f t="shared" si="56"/>
        <v>-8509.9899474977337</v>
      </c>
      <c r="BR34" s="56">
        <f t="shared" ref="BR34:EC34" si="57">SUM(BR30:BR33)</f>
        <v>-8509.9899474977337</v>
      </c>
      <c r="BS34" s="56">
        <f t="shared" si="57"/>
        <v>-8509.9899474977337</v>
      </c>
      <c r="BT34" s="56">
        <f t="shared" si="57"/>
        <v>-8509.9899474977337</v>
      </c>
      <c r="BU34" s="56">
        <f t="shared" si="57"/>
        <v>-8509.9899474977337</v>
      </c>
      <c r="BV34" s="56">
        <f t="shared" si="57"/>
        <v>-8509.9899474977337</v>
      </c>
      <c r="BW34" s="56">
        <f t="shared" si="57"/>
        <v>-8509.9899474977337</v>
      </c>
      <c r="BX34" s="56">
        <f t="shared" si="57"/>
        <v>-8509.9899474977337</v>
      </c>
      <c r="BY34" s="56">
        <f t="shared" si="57"/>
        <v>-8509.9899474977337</v>
      </c>
      <c r="BZ34" s="56">
        <f t="shared" si="57"/>
        <v>-8509.9899474977337</v>
      </c>
      <c r="CA34" s="56">
        <f t="shared" si="57"/>
        <v>-8697.7784299572486</v>
      </c>
      <c r="CB34" s="56">
        <f t="shared" si="57"/>
        <v>-8697.7784299572486</v>
      </c>
      <c r="CC34" s="56">
        <f t="shared" si="57"/>
        <v>-8697.7784299572486</v>
      </c>
      <c r="CD34" s="56">
        <f t="shared" si="57"/>
        <v>-8697.7784299572486</v>
      </c>
      <c r="CE34" s="56">
        <f t="shared" si="57"/>
        <v>-8697.7784299572486</v>
      </c>
      <c r="CF34" s="56">
        <f t="shared" si="57"/>
        <v>-8697.7784299572486</v>
      </c>
      <c r="CG34" s="56">
        <f t="shared" si="57"/>
        <v>-8697.7784299572486</v>
      </c>
      <c r="CH34" s="56">
        <f t="shared" si="57"/>
        <v>-8697.7784299572486</v>
      </c>
      <c r="CI34" s="56">
        <f t="shared" si="57"/>
        <v>-8697.7784299572486</v>
      </c>
      <c r="CJ34" s="56">
        <f t="shared" si="57"/>
        <v>-8697.7784299572486</v>
      </c>
      <c r="CK34" s="56">
        <f t="shared" si="57"/>
        <v>-8697.7784299572486</v>
      </c>
      <c r="CL34" s="56">
        <f t="shared" si="57"/>
        <v>-8697.7784299572486</v>
      </c>
      <c r="CM34" s="56">
        <f t="shared" si="57"/>
        <v>-8889.7623991536966</v>
      </c>
      <c r="CN34" s="56">
        <f t="shared" si="57"/>
        <v>-8889.7623991536966</v>
      </c>
      <c r="CO34" s="56">
        <f t="shared" si="57"/>
        <v>-8889.7623991536966</v>
      </c>
      <c r="CP34" s="56">
        <f t="shared" si="57"/>
        <v>-8889.7623991536966</v>
      </c>
      <c r="CQ34" s="56">
        <f t="shared" si="57"/>
        <v>-8889.7623991536966</v>
      </c>
      <c r="CR34" s="56">
        <f t="shared" si="57"/>
        <v>-8889.7623991536966</v>
      </c>
      <c r="CS34" s="56">
        <f t="shared" si="57"/>
        <v>-8889.7623991536966</v>
      </c>
      <c r="CT34" s="56">
        <f t="shared" si="57"/>
        <v>-8889.7623991536966</v>
      </c>
      <c r="CU34" s="56">
        <f t="shared" si="57"/>
        <v>-8889.7623991536966</v>
      </c>
      <c r="CV34" s="56">
        <f t="shared" si="57"/>
        <v>-8889.7623991536966</v>
      </c>
      <c r="CW34" s="56">
        <f t="shared" si="57"/>
        <v>-8889.7623991536966</v>
      </c>
      <c r="CX34" s="56">
        <f t="shared" si="57"/>
        <v>-8889.7623991536966</v>
      </c>
      <c r="CY34" s="56">
        <f t="shared" si="57"/>
        <v>-9086.0367577490033</v>
      </c>
      <c r="CZ34" s="56">
        <f t="shared" si="57"/>
        <v>-9086.0367577490033</v>
      </c>
      <c r="DA34" s="56">
        <f t="shared" si="57"/>
        <v>-9086.0367577490033</v>
      </c>
      <c r="DB34" s="56">
        <f t="shared" si="57"/>
        <v>-9086.0367577490033</v>
      </c>
      <c r="DC34" s="56">
        <f t="shared" si="57"/>
        <v>-9086.0367577490033</v>
      </c>
      <c r="DD34" s="56">
        <f t="shared" si="57"/>
        <v>-9086.0367577490033</v>
      </c>
      <c r="DE34" s="56">
        <f t="shared" si="57"/>
        <v>-9086.0367577490033</v>
      </c>
      <c r="DF34" s="56">
        <f t="shared" si="57"/>
        <v>-9086.0367577490033</v>
      </c>
      <c r="DG34" s="56">
        <f t="shared" si="57"/>
        <v>-9086.0367577490033</v>
      </c>
      <c r="DH34" s="56">
        <f t="shared" si="57"/>
        <v>-9086.0367577490033</v>
      </c>
      <c r="DI34" s="56">
        <f t="shared" si="57"/>
        <v>-9086.0367577490033</v>
      </c>
      <c r="DJ34" s="56">
        <f t="shared" si="57"/>
        <v>-9086.0367577490033</v>
      </c>
      <c r="DK34" s="56">
        <f t="shared" si="57"/>
        <v>-9286.6985812815237</v>
      </c>
      <c r="DL34" s="56">
        <f t="shared" si="57"/>
        <v>-9286.6985812815237</v>
      </c>
      <c r="DM34" s="56">
        <f t="shared" si="57"/>
        <v>-9286.6985812815237</v>
      </c>
      <c r="DN34" s="56">
        <f t="shared" si="57"/>
        <v>-9286.6985812815237</v>
      </c>
      <c r="DO34" s="56">
        <f t="shared" si="57"/>
        <v>-9286.6985812815237</v>
      </c>
      <c r="DP34" s="56">
        <f t="shared" si="57"/>
        <v>-9286.6985812815237</v>
      </c>
      <c r="DQ34" s="56">
        <f t="shared" si="57"/>
        <v>-9286.6985812815237</v>
      </c>
      <c r="DR34" s="56">
        <f t="shared" si="57"/>
        <v>-9286.6985812815237</v>
      </c>
      <c r="DS34" s="56">
        <f t="shared" si="57"/>
        <v>-9286.6985812815237</v>
      </c>
      <c r="DT34" s="56">
        <f t="shared" si="57"/>
        <v>-9286.6985812815237</v>
      </c>
      <c r="DU34" s="56">
        <f t="shared" si="57"/>
        <v>-9286.6985812815237</v>
      </c>
      <c r="DV34" s="56">
        <f t="shared" si="57"/>
        <v>-9286.6985812815237</v>
      </c>
      <c r="DW34" s="56">
        <f t="shared" si="57"/>
        <v>-9491.8471684941323</v>
      </c>
      <c r="DX34" s="56">
        <f t="shared" si="57"/>
        <v>-9491.8471684941323</v>
      </c>
      <c r="DY34" s="56">
        <f t="shared" si="57"/>
        <v>-9491.8471684941323</v>
      </c>
      <c r="DZ34" s="56">
        <f t="shared" si="57"/>
        <v>-9491.8471684941323</v>
      </c>
      <c r="EA34" s="56">
        <f t="shared" si="57"/>
        <v>-9491.8471684941323</v>
      </c>
      <c r="EB34" s="56">
        <f t="shared" si="57"/>
        <v>-9491.8471684941323</v>
      </c>
      <c r="EC34" s="56">
        <f t="shared" si="57"/>
        <v>-9491.8471684941323</v>
      </c>
      <c r="ED34" s="56">
        <f t="shared" ref="ED34:GO34" si="58">SUM(ED30:ED33)</f>
        <v>-9491.8471684941323</v>
      </c>
      <c r="EE34" s="56">
        <f t="shared" si="58"/>
        <v>-9491.8471684941323</v>
      </c>
      <c r="EF34" s="56">
        <f t="shared" si="58"/>
        <v>-9491.8471684941323</v>
      </c>
      <c r="EG34" s="56">
        <f t="shared" si="58"/>
        <v>-9491.8471684941323</v>
      </c>
      <c r="EH34" s="56">
        <f t="shared" si="58"/>
        <v>-9491.8471684941323</v>
      </c>
      <c r="EI34" s="56">
        <f t="shared" si="58"/>
        <v>-9701.5840928406651</v>
      </c>
      <c r="EJ34" s="56">
        <f t="shared" si="58"/>
        <v>-9701.5840928406651</v>
      </c>
      <c r="EK34" s="56">
        <f t="shared" si="58"/>
        <v>-9701.5840928406651</v>
      </c>
      <c r="EL34" s="56">
        <f t="shared" si="58"/>
        <v>-9701.5840928406651</v>
      </c>
      <c r="EM34" s="56">
        <f t="shared" si="58"/>
        <v>-9701.5840928406651</v>
      </c>
      <c r="EN34" s="56">
        <f t="shared" si="58"/>
        <v>-9701.5840928406651</v>
      </c>
      <c r="EO34" s="56">
        <f t="shared" si="58"/>
        <v>-9701.5840928406651</v>
      </c>
      <c r="EP34" s="56">
        <f t="shared" si="58"/>
        <v>-9701.5840928406651</v>
      </c>
      <c r="EQ34" s="56">
        <f t="shared" si="58"/>
        <v>-9701.5840928406651</v>
      </c>
      <c r="ER34" s="56">
        <f t="shared" si="58"/>
        <v>-9701.5840928406651</v>
      </c>
      <c r="ES34" s="56">
        <f t="shared" si="58"/>
        <v>-9701.5840928406651</v>
      </c>
      <c r="ET34" s="56">
        <f t="shared" si="58"/>
        <v>-9701.5840928406651</v>
      </c>
      <c r="EU34" s="56">
        <f t="shared" si="58"/>
        <v>-9916.013255198548</v>
      </c>
      <c r="EV34" s="56">
        <f t="shared" si="58"/>
        <v>-9916.013255198548</v>
      </c>
      <c r="EW34" s="56">
        <f t="shared" si="58"/>
        <v>-9916.013255198548</v>
      </c>
      <c r="EX34" s="56">
        <f t="shared" si="58"/>
        <v>-9916.013255198548</v>
      </c>
      <c r="EY34" s="56">
        <f t="shared" si="58"/>
        <v>-9916.013255198548</v>
      </c>
      <c r="EZ34" s="56">
        <f t="shared" si="58"/>
        <v>-9916.013255198548</v>
      </c>
      <c r="FA34" s="56">
        <f t="shared" si="58"/>
        <v>-9916.013255198548</v>
      </c>
      <c r="FB34" s="56">
        <f t="shared" si="58"/>
        <v>-9916.013255198548</v>
      </c>
      <c r="FC34" s="56">
        <f t="shared" si="58"/>
        <v>-9916.013255198548</v>
      </c>
      <c r="FD34" s="56">
        <f t="shared" si="58"/>
        <v>-9916.013255198548</v>
      </c>
      <c r="FE34" s="56">
        <f t="shared" si="58"/>
        <v>-9916.013255198548</v>
      </c>
      <c r="FF34" s="56">
        <f t="shared" si="58"/>
        <v>-9916.013255198548</v>
      </c>
      <c r="FG34" s="56">
        <f t="shared" si="58"/>
        <v>-10135.240937816114</v>
      </c>
      <c r="FH34" s="56">
        <f t="shared" si="58"/>
        <v>-10135.240937816114</v>
      </c>
      <c r="FI34" s="56">
        <f t="shared" si="58"/>
        <v>-10135.240937816114</v>
      </c>
      <c r="FJ34" s="56">
        <f t="shared" si="58"/>
        <v>-10135.240937816114</v>
      </c>
      <c r="FK34" s="56">
        <f t="shared" si="58"/>
        <v>-10135.240937816114</v>
      </c>
      <c r="FL34" s="56">
        <f t="shared" si="58"/>
        <v>-10135.240937816114</v>
      </c>
      <c r="FM34" s="56">
        <f t="shared" si="58"/>
        <v>-10135.240937816114</v>
      </c>
      <c r="FN34" s="56">
        <f t="shared" si="58"/>
        <v>-10135.240937816114</v>
      </c>
      <c r="FO34" s="56">
        <f t="shared" si="58"/>
        <v>-10135.240937816114</v>
      </c>
      <c r="FP34" s="56">
        <f t="shared" si="58"/>
        <v>-10135.240937816114</v>
      </c>
      <c r="FQ34" s="56">
        <f t="shared" si="58"/>
        <v>-10135.240937816114</v>
      </c>
      <c r="FR34" s="56">
        <f t="shared" si="58"/>
        <v>-10135.240937816114</v>
      </c>
      <c r="FS34" s="56">
        <f t="shared" si="58"/>
        <v>-10359.375859523872</v>
      </c>
      <c r="FT34" s="56">
        <f t="shared" si="58"/>
        <v>-10359.375859523872</v>
      </c>
      <c r="FU34" s="56">
        <f t="shared" si="58"/>
        <v>-10359.375859523872</v>
      </c>
      <c r="FV34" s="56">
        <f t="shared" si="58"/>
        <v>-10359.375859523872</v>
      </c>
      <c r="FW34" s="56">
        <f t="shared" si="58"/>
        <v>-10359.375859523872</v>
      </c>
      <c r="FX34" s="56">
        <f t="shared" si="58"/>
        <v>-10359.375859523872</v>
      </c>
      <c r="FY34" s="56">
        <f t="shared" si="58"/>
        <v>-10359.375859523872</v>
      </c>
      <c r="FZ34" s="56">
        <f t="shared" si="58"/>
        <v>-10359.375859523872</v>
      </c>
      <c r="GA34" s="56">
        <f t="shared" si="58"/>
        <v>-10359.375859523872</v>
      </c>
      <c r="GB34" s="56">
        <f t="shared" si="58"/>
        <v>-10359.375859523872</v>
      </c>
      <c r="GC34" s="56">
        <f t="shared" si="58"/>
        <v>-10359.375859523872</v>
      </c>
      <c r="GD34" s="56">
        <f t="shared" si="58"/>
        <v>-10359.375859523872</v>
      </c>
      <c r="GE34" s="56">
        <f t="shared" si="58"/>
        <v>0</v>
      </c>
      <c r="GF34" s="56">
        <f t="shared" si="58"/>
        <v>0</v>
      </c>
      <c r="GG34" s="56">
        <f t="shared" si="58"/>
        <v>0</v>
      </c>
      <c r="GH34" s="56">
        <f t="shared" si="58"/>
        <v>0</v>
      </c>
      <c r="GI34" s="56">
        <f t="shared" si="58"/>
        <v>0</v>
      </c>
      <c r="GJ34" s="56">
        <f t="shared" si="58"/>
        <v>0</v>
      </c>
      <c r="GK34" s="56">
        <f t="shared" si="58"/>
        <v>0</v>
      </c>
      <c r="GL34" s="56">
        <f t="shared" si="58"/>
        <v>0</v>
      </c>
      <c r="GM34" s="56">
        <f t="shared" si="58"/>
        <v>0</v>
      </c>
      <c r="GN34" s="56">
        <f t="shared" si="58"/>
        <v>0</v>
      </c>
      <c r="GO34" s="56">
        <f t="shared" si="58"/>
        <v>0</v>
      </c>
      <c r="GP34" s="56">
        <f t="shared" ref="GP34:JA34" si="59">SUM(GP30:GP33)</f>
        <v>0</v>
      </c>
      <c r="GQ34" s="56">
        <f t="shared" si="59"/>
        <v>0</v>
      </c>
      <c r="GR34" s="56">
        <f t="shared" si="59"/>
        <v>0</v>
      </c>
      <c r="GS34" s="56">
        <f t="shared" si="59"/>
        <v>0</v>
      </c>
      <c r="GT34" s="56">
        <f t="shared" si="59"/>
        <v>0</v>
      </c>
      <c r="GU34" s="56">
        <f t="shared" si="59"/>
        <v>0</v>
      </c>
      <c r="GV34" s="56">
        <f t="shared" si="59"/>
        <v>0</v>
      </c>
      <c r="GW34" s="56">
        <f t="shared" si="59"/>
        <v>0</v>
      </c>
      <c r="GX34" s="56">
        <f t="shared" si="59"/>
        <v>0</v>
      </c>
      <c r="GY34" s="56">
        <f t="shared" si="59"/>
        <v>0</v>
      </c>
      <c r="GZ34" s="56">
        <f t="shared" si="59"/>
        <v>0</v>
      </c>
      <c r="HA34" s="56">
        <f t="shared" si="59"/>
        <v>0</v>
      </c>
      <c r="HB34" s="56">
        <f t="shared" si="59"/>
        <v>0</v>
      </c>
      <c r="HC34" s="56">
        <f t="shared" si="59"/>
        <v>0</v>
      </c>
      <c r="HD34" s="56">
        <f t="shared" si="59"/>
        <v>0</v>
      </c>
      <c r="HE34" s="56">
        <f t="shared" si="59"/>
        <v>0</v>
      </c>
      <c r="HF34" s="56">
        <f t="shared" si="59"/>
        <v>0</v>
      </c>
      <c r="HG34" s="56">
        <f t="shared" si="59"/>
        <v>0</v>
      </c>
      <c r="HH34" s="56">
        <f t="shared" si="59"/>
        <v>0</v>
      </c>
      <c r="HI34" s="56">
        <f t="shared" si="59"/>
        <v>0</v>
      </c>
      <c r="HJ34" s="56">
        <f t="shared" si="59"/>
        <v>0</v>
      </c>
      <c r="HK34" s="56">
        <f t="shared" si="59"/>
        <v>0</v>
      </c>
      <c r="HL34" s="56">
        <f t="shared" si="59"/>
        <v>0</v>
      </c>
      <c r="HM34" s="56">
        <f t="shared" si="59"/>
        <v>0</v>
      </c>
      <c r="HN34" s="56">
        <f t="shared" si="59"/>
        <v>0</v>
      </c>
      <c r="HO34" s="56">
        <f t="shared" si="59"/>
        <v>0</v>
      </c>
      <c r="HP34" s="56">
        <f t="shared" si="59"/>
        <v>0</v>
      </c>
      <c r="HQ34" s="56">
        <f t="shared" si="59"/>
        <v>0</v>
      </c>
      <c r="HR34" s="56">
        <f t="shared" si="59"/>
        <v>0</v>
      </c>
      <c r="HS34" s="56">
        <f t="shared" si="59"/>
        <v>0</v>
      </c>
      <c r="HT34" s="56">
        <f t="shared" si="59"/>
        <v>0</v>
      </c>
      <c r="HU34" s="56">
        <f t="shared" si="59"/>
        <v>0</v>
      </c>
      <c r="HV34" s="56">
        <f t="shared" si="59"/>
        <v>0</v>
      </c>
      <c r="HW34" s="56">
        <f t="shared" si="59"/>
        <v>0</v>
      </c>
      <c r="HX34" s="56">
        <f t="shared" si="59"/>
        <v>0</v>
      </c>
      <c r="HY34" s="56">
        <f t="shared" si="59"/>
        <v>0</v>
      </c>
      <c r="HZ34" s="56">
        <f t="shared" si="59"/>
        <v>0</v>
      </c>
      <c r="IA34" s="56">
        <f t="shared" si="59"/>
        <v>0</v>
      </c>
      <c r="IB34" s="56">
        <f t="shared" si="59"/>
        <v>0</v>
      </c>
      <c r="IC34" s="56">
        <f t="shared" si="59"/>
        <v>0</v>
      </c>
      <c r="ID34" s="56">
        <f t="shared" si="59"/>
        <v>0</v>
      </c>
      <c r="IE34" s="56">
        <f t="shared" si="59"/>
        <v>0</v>
      </c>
      <c r="IF34" s="56">
        <f t="shared" si="59"/>
        <v>0</v>
      </c>
      <c r="IG34" s="56">
        <f t="shared" si="59"/>
        <v>0</v>
      </c>
      <c r="IH34" s="56">
        <f t="shared" si="59"/>
        <v>0</v>
      </c>
      <c r="II34" s="56">
        <f t="shared" si="59"/>
        <v>0</v>
      </c>
      <c r="IJ34" s="56">
        <f t="shared" si="59"/>
        <v>0</v>
      </c>
      <c r="IK34" s="56">
        <f t="shared" si="59"/>
        <v>0</v>
      </c>
      <c r="IL34" s="56">
        <f t="shared" si="59"/>
        <v>0</v>
      </c>
      <c r="IM34" s="56">
        <f t="shared" si="59"/>
        <v>0</v>
      </c>
      <c r="IN34" s="56">
        <f t="shared" si="59"/>
        <v>0</v>
      </c>
      <c r="IO34" s="56">
        <f t="shared" si="59"/>
        <v>0</v>
      </c>
      <c r="IP34" s="56">
        <f t="shared" si="59"/>
        <v>0</v>
      </c>
      <c r="IQ34" s="56">
        <f t="shared" si="59"/>
        <v>0</v>
      </c>
      <c r="IR34" s="56">
        <f t="shared" si="59"/>
        <v>0</v>
      </c>
      <c r="IS34" s="56">
        <f t="shared" si="59"/>
        <v>0</v>
      </c>
      <c r="IT34" s="56">
        <f t="shared" si="59"/>
        <v>0</v>
      </c>
      <c r="IU34" s="56">
        <f t="shared" si="59"/>
        <v>0</v>
      </c>
      <c r="IV34" s="56">
        <f t="shared" si="59"/>
        <v>0</v>
      </c>
      <c r="IW34" s="56">
        <f t="shared" si="59"/>
        <v>0</v>
      </c>
      <c r="IX34" s="56">
        <f t="shared" si="59"/>
        <v>0</v>
      </c>
      <c r="IY34" s="56">
        <f t="shared" si="59"/>
        <v>0</v>
      </c>
      <c r="IZ34" s="56">
        <f t="shared" si="59"/>
        <v>0</v>
      </c>
      <c r="JA34" s="56">
        <f t="shared" si="59"/>
        <v>0</v>
      </c>
      <c r="JB34" s="56">
        <f t="shared" ref="JB34:LM34" si="60">SUM(JB30:JB33)</f>
        <v>0</v>
      </c>
      <c r="JC34" s="56">
        <f t="shared" si="60"/>
        <v>0</v>
      </c>
      <c r="JD34" s="56">
        <f t="shared" si="60"/>
        <v>0</v>
      </c>
      <c r="JE34" s="56">
        <f t="shared" si="60"/>
        <v>0</v>
      </c>
      <c r="JF34" s="56">
        <f t="shared" si="60"/>
        <v>0</v>
      </c>
      <c r="JG34" s="56">
        <f t="shared" si="60"/>
        <v>0</v>
      </c>
      <c r="JH34" s="56">
        <f t="shared" si="60"/>
        <v>0</v>
      </c>
      <c r="JI34" s="56">
        <f t="shared" si="60"/>
        <v>0</v>
      </c>
      <c r="JJ34" s="56">
        <f t="shared" si="60"/>
        <v>0</v>
      </c>
      <c r="JK34" s="56">
        <f t="shared" si="60"/>
        <v>0</v>
      </c>
      <c r="JL34" s="56">
        <f t="shared" si="60"/>
        <v>0</v>
      </c>
      <c r="JM34" s="56">
        <f t="shared" si="60"/>
        <v>0</v>
      </c>
      <c r="JN34" s="56">
        <f t="shared" si="60"/>
        <v>0</v>
      </c>
      <c r="JO34" s="56">
        <f t="shared" si="60"/>
        <v>0</v>
      </c>
      <c r="JP34" s="56">
        <f t="shared" si="60"/>
        <v>0</v>
      </c>
      <c r="JQ34" s="56">
        <f t="shared" si="60"/>
        <v>0</v>
      </c>
      <c r="JR34" s="56">
        <f t="shared" si="60"/>
        <v>0</v>
      </c>
      <c r="JS34" s="56">
        <f t="shared" si="60"/>
        <v>0</v>
      </c>
      <c r="JT34" s="56">
        <f t="shared" si="60"/>
        <v>0</v>
      </c>
      <c r="JU34" s="56">
        <f t="shared" si="60"/>
        <v>0</v>
      </c>
      <c r="JV34" s="56">
        <f t="shared" si="60"/>
        <v>0</v>
      </c>
      <c r="JW34" s="56">
        <f t="shared" si="60"/>
        <v>0</v>
      </c>
      <c r="JX34" s="56">
        <f t="shared" si="60"/>
        <v>0</v>
      </c>
      <c r="JY34" s="56">
        <f t="shared" si="60"/>
        <v>0</v>
      </c>
      <c r="JZ34" s="56">
        <f t="shared" si="60"/>
        <v>0</v>
      </c>
      <c r="KA34" s="56">
        <f t="shared" si="60"/>
        <v>0</v>
      </c>
      <c r="KB34" s="56">
        <f t="shared" si="60"/>
        <v>0</v>
      </c>
      <c r="KC34" s="56">
        <f t="shared" si="60"/>
        <v>0</v>
      </c>
      <c r="KD34" s="56">
        <f t="shared" si="60"/>
        <v>0</v>
      </c>
      <c r="KE34" s="56">
        <f t="shared" si="60"/>
        <v>0</v>
      </c>
      <c r="KF34" s="56">
        <f t="shared" si="60"/>
        <v>0</v>
      </c>
      <c r="KG34" s="56">
        <f t="shared" si="60"/>
        <v>0</v>
      </c>
      <c r="KH34" s="56">
        <f t="shared" si="60"/>
        <v>0</v>
      </c>
      <c r="KI34" s="56">
        <f t="shared" si="60"/>
        <v>0</v>
      </c>
      <c r="KJ34" s="56">
        <f t="shared" si="60"/>
        <v>0</v>
      </c>
      <c r="KK34" s="56">
        <f t="shared" si="60"/>
        <v>0</v>
      </c>
      <c r="KL34" s="56">
        <f t="shared" si="60"/>
        <v>0</v>
      </c>
      <c r="KM34" s="56">
        <f t="shared" si="60"/>
        <v>0</v>
      </c>
      <c r="KN34" s="56">
        <f t="shared" si="60"/>
        <v>0</v>
      </c>
      <c r="KO34" s="56">
        <f t="shared" si="60"/>
        <v>0</v>
      </c>
      <c r="KP34" s="56">
        <f t="shared" si="60"/>
        <v>0</v>
      </c>
      <c r="KQ34" s="56">
        <f t="shared" si="60"/>
        <v>0</v>
      </c>
      <c r="KR34" s="56">
        <f t="shared" si="60"/>
        <v>0</v>
      </c>
      <c r="KS34" s="56">
        <f t="shared" si="60"/>
        <v>0</v>
      </c>
      <c r="KT34" s="56">
        <f t="shared" si="60"/>
        <v>0</v>
      </c>
      <c r="KU34" s="56">
        <f t="shared" si="60"/>
        <v>0</v>
      </c>
      <c r="KV34" s="56">
        <f t="shared" si="60"/>
        <v>0</v>
      </c>
      <c r="KW34" s="56">
        <f t="shared" si="60"/>
        <v>0</v>
      </c>
      <c r="KX34" s="56">
        <f t="shared" si="60"/>
        <v>0</v>
      </c>
      <c r="KY34" s="56">
        <f t="shared" si="60"/>
        <v>0</v>
      </c>
      <c r="KZ34" s="56">
        <f t="shared" si="60"/>
        <v>0</v>
      </c>
      <c r="LA34" s="56">
        <f t="shared" si="60"/>
        <v>0</v>
      </c>
      <c r="LB34" s="56">
        <f t="shared" si="60"/>
        <v>0</v>
      </c>
      <c r="LC34" s="56">
        <f t="shared" si="60"/>
        <v>0</v>
      </c>
      <c r="LD34" s="56">
        <f t="shared" si="60"/>
        <v>0</v>
      </c>
      <c r="LE34" s="56">
        <f t="shared" si="60"/>
        <v>0</v>
      </c>
      <c r="LF34" s="56">
        <f t="shared" si="60"/>
        <v>0</v>
      </c>
      <c r="LG34" s="56">
        <f t="shared" si="60"/>
        <v>0</v>
      </c>
      <c r="LH34" s="56">
        <f t="shared" si="60"/>
        <v>0</v>
      </c>
      <c r="LI34" s="56">
        <f t="shared" si="60"/>
        <v>0</v>
      </c>
      <c r="LJ34" s="56">
        <f t="shared" si="60"/>
        <v>0</v>
      </c>
      <c r="LK34" s="56">
        <f t="shared" si="60"/>
        <v>0</v>
      </c>
      <c r="LL34" s="56">
        <f t="shared" si="60"/>
        <v>0</v>
      </c>
      <c r="LM34" s="56">
        <f t="shared" si="60"/>
        <v>0</v>
      </c>
      <c r="LN34" s="56">
        <f t="shared" ref="LN34:NB34" si="61">SUM(LN30:LN33)</f>
        <v>0</v>
      </c>
      <c r="LO34" s="56">
        <f t="shared" si="61"/>
        <v>0</v>
      </c>
      <c r="LP34" s="56">
        <f t="shared" si="61"/>
        <v>0</v>
      </c>
      <c r="LQ34" s="56">
        <f t="shared" si="61"/>
        <v>0</v>
      </c>
      <c r="LR34" s="56">
        <f t="shared" si="61"/>
        <v>0</v>
      </c>
      <c r="LS34" s="56">
        <f t="shared" si="61"/>
        <v>0</v>
      </c>
      <c r="LT34" s="56">
        <f t="shared" si="61"/>
        <v>0</v>
      </c>
      <c r="LU34" s="56">
        <f t="shared" si="61"/>
        <v>0</v>
      </c>
      <c r="LV34" s="56">
        <f t="shared" si="61"/>
        <v>0</v>
      </c>
      <c r="LW34" s="56">
        <f t="shared" si="61"/>
        <v>0</v>
      </c>
      <c r="LX34" s="56">
        <f t="shared" si="61"/>
        <v>0</v>
      </c>
      <c r="LY34" s="56">
        <f t="shared" si="61"/>
        <v>0</v>
      </c>
      <c r="LZ34" s="56">
        <f t="shared" si="61"/>
        <v>0</v>
      </c>
      <c r="MA34" s="56">
        <f t="shared" si="61"/>
        <v>0</v>
      </c>
      <c r="MB34" s="56">
        <f t="shared" si="61"/>
        <v>0</v>
      </c>
      <c r="MC34" s="56">
        <f t="shared" si="61"/>
        <v>0</v>
      </c>
      <c r="MD34" s="56">
        <f t="shared" si="61"/>
        <v>0</v>
      </c>
      <c r="ME34" s="56">
        <f t="shared" si="61"/>
        <v>0</v>
      </c>
      <c r="MF34" s="56">
        <f t="shared" si="61"/>
        <v>0</v>
      </c>
      <c r="MG34" s="56">
        <f t="shared" si="61"/>
        <v>0</v>
      </c>
      <c r="MH34" s="56">
        <f t="shared" si="61"/>
        <v>0</v>
      </c>
      <c r="MI34" s="56">
        <f t="shared" si="61"/>
        <v>0</v>
      </c>
      <c r="MJ34" s="56">
        <f t="shared" si="61"/>
        <v>0</v>
      </c>
      <c r="MK34" s="56">
        <f t="shared" si="61"/>
        <v>0</v>
      </c>
      <c r="ML34" s="56">
        <f t="shared" si="61"/>
        <v>0</v>
      </c>
      <c r="MM34" s="56">
        <f t="shared" si="61"/>
        <v>0</v>
      </c>
      <c r="MN34" s="56">
        <f t="shared" si="61"/>
        <v>0</v>
      </c>
      <c r="MO34" s="56">
        <f t="shared" si="61"/>
        <v>0</v>
      </c>
      <c r="MP34" s="56">
        <f t="shared" si="61"/>
        <v>0</v>
      </c>
      <c r="MQ34" s="56">
        <f t="shared" si="61"/>
        <v>0</v>
      </c>
      <c r="MR34" s="56">
        <f t="shared" si="61"/>
        <v>0</v>
      </c>
      <c r="MS34" s="56">
        <f t="shared" si="61"/>
        <v>0</v>
      </c>
      <c r="MT34" s="56">
        <f t="shared" si="61"/>
        <v>0</v>
      </c>
      <c r="MU34" s="56">
        <f t="shared" si="61"/>
        <v>0</v>
      </c>
      <c r="MV34" s="56">
        <f t="shared" si="61"/>
        <v>0</v>
      </c>
      <c r="MW34" s="56">
        <f t="shared" si="61"/>
        <v>0</v>
      </c>
      <c r="MX34" s="56">
        <f t="shared" si="61"/>
        <v>0</v>
      </c>
      <c r="MY34" s="56">
        <f t="shared" si="61"/>
        <v>0</v>
      </c>
      <c r="MZ34" s="56">
        <f t="shared" si="61"/>
        <v>0</v>
      </c>
      <c r="NA34" s="56">
        <f t="shared" si="61"/>
        <v>0</v>
      </c>
      <c r="NB34" s="56">
        <f t="shared" si="61"/>
        <v>0</v>
      </c>
    </row>
    <row r="35" spans="2:367" x14ac:dyDescent="0.15">
      <c r="B35" s="120"/>
      <c r="C35" s="194"/>
      <c r="F35" s="56"/>
      <c r="G35" s="56"/>
      <c r="H35" s="56"/>
      <c r="I35" s="56"/>
      <c r="J35" s="56"/>
      <c r="K35" s="56"/>
      <c r="L35" s="563"/>
      <c r="M35" s="56"/>
      <c r="N35" s="56"/>
      <c r="O35" s="56"/>
      <c r="P35" s="56"/>
      <c r="Q35" s="56"/>
      <c r="R35" s="56"/>
      <c r="S35" s="56"/>
      <c r="T35" s="56"/>
      <c r="U35" s="56"/>
      <c r="V35" s="56"/>
      <c r="W35" s="56"/>
      <c r="X35" s="56"/>
      <c r="Y35" s="56"/>
      <c r="Z35" s="56"/>
      <c r="AA35" s="56"/>
      <c r="AB35" s="56"/>
      <c r="AC35" s="56"/>
      <c r="AD35" s="56"/>
      <c r="AE35" s="56"/>
      <c r="AF35" s="56"/>
      <c r="AG35" s="56"/>
      <c r="AH35" s="56"/>
      <c r="AI35" s="56"/>
      <c r="AJ35" s="56"/>
      <c r="AK35" s="56"/>
      <c r="AL35" s="56"/>
      <c r="AM35" s="56"/>
      <c r="AN35" s="56"/>
      <c r="AO35" s="56"/>
      <c r="AP35" s="56"/>
      <c r="AQ35" s="56"/>
      <c r="AR35" s="56"/>
      <c r="AS35" s="56"/>
      <c r="AT35" s="56"/>
      <c r="AU35" s="56"/>
      <c r="AV35" s="56"/>
      <c r="AW35" s="56"/>
      <c r="AX35" s="56"/>
      <c r="AY35" s="56"/>
      <c r="AZ35" s="56"/>
      <c r="BA35" s="56"/>
      <c r="BB35" s="56"/>
      <c r="BC35" s="56"/>
      <c r="BD35" s="56"/>
      <c r="BE35" s="56"/>
      <c r="BF35" s="56"/>
      <c r="BG35" s="56"/>
      <c r="BH35" s="56"/>
      <c r="BI35" s="56"/>
      <c r="BJ35" s="56"/>
      <c r="BK35" s="56"/>
      <c r="BL35" s="56"/>
      <c r="BM35" s="56"/>
      <c r="BN35" s="56"/>
      <c r="BO35" s="56"/>
      <c r="BP35" s="56"/>
      <c r="BQ35" s="56"/>
      <c r="BR35" s="56"/>
      <c r="BS35" s="56"/>
      <c r="BT35" s="56"/>
      <c r="BU35" s="56"/>
      <c r="BV35" s="56"/>
      <c r="BW35" s="56"/>
      <c r="BX35" s="56"/>
      <c r="BY35" s="56"/>
      <c r="BZ35" s="56"/>
      <c r="CA35" s="56"/>
      <c r="CB35" s="56"/>
      <c r="CC35" s="56"/>
      <c r="CD35" s="56"/>
      <c r="CE35" s="56"/>
      <c r="CF35" s="56"/>
      <c r="CG35" s="56"/>
      <c r="CH35" s="56"/>
      <c r="CI35" s="56"/>
      <c r="CJ35" s="56"/>
      <c r="CK35" s="56"/>
    </row>
    <row r="36" spans="2:367" x14ac:dyDescent="0.15">
      <c r="B36" s="4" t="s">
        <v>99</v>
      </c>
      <c r="C36" s="201"/>
      <c r="D36" s="4"/>
      <c r="E36" s="198"/>
      <c r="F36" s="191">
        <f t="shared" ref="F36:BQ36" si="62">F26+F34</f>
        <v>0</v>
      </c>
      <c r="G36" s="191">
        <f t="shared" si="62"/>
        <v>26871.622258333337</v>
      </c>
      <c r="H36" s="191">
        <f t="shared" si="62"/>
        <v>26871.622258333337</v>
      </c>
      <c r="I36" s="191">
        <f t="shared" si="62"/>
        <v>26871.622258333337</v>
      </c>
      <c r="J36" s="191">
        <f t="shared" si="62"/>
        <v>26871.622258333337</v>
      </c>
      <c r="K36" s="191">
        <f t="shared" si="62"/>
        <v>26871.622258333337</v>
      </c>
      <c r="L36" s="564">
        <f t="shared" si="62"/>
        <v>26871.622258333337</v>
      </c>
      <c r="M36" s="191">
        <f t="shared" si="62"/>
        <v>26719.570758333335</v>
      </c>
      <c r="N36" s="191">
        <f t="shared" si="62"/>
        <v>26719.570758333335</v>
      </c>
      <c r="O36" s="191">
        <f t="shared" si="62"/>
        <v>26719.570758333335</v>
      </c>
      <c r="P36" s="191">
        <f t="shared" si="62"/>
        <v>26719.570758333335</v>
      </c>
      <c r="Q36" s="191">
        <f t="shared" si="62"/>
        <v>26719.570758333335</v>
      </c>
      <c r="R36" s="191">
        <f t="shared" si="62"/>
        <v>26719.570758333335</v>
      </c>
      <c r="S36" s="191">
        <f t="shared" si="62"/>
        <v>27579.420090166663</v>
      </c>
      <c r="T36" s="191">
        <f t="shared" si="62"/>
        <v>27579.420090166663</v>
      </c>
      <c r="U36" s="191">
        <f t="shared" si="62"/>
        <v>27579.420090166663</v>
      </c>
      <c r="V36" s="191">
        <f t="shared" si="62"/>
        <v>27579.420090166663</v>
      </c>
      <c r="W36" s="191">
        <f t="shared" si="62"/>
        <v>27579.420090166663</v>
      </c>
      <c r="X36" s="191">
        <f t="shared" si="62"/>
        <v>27579.420090166663</v>
      </c>
      <c r="Y36" s="191">
        <f t="shared" si="62"/>
        <v>27579.420090166663</v>
      </c>
      <c r="Z36" s="191">
        <f t="shared" si="62"/>
        <v>27579.420090166663</v>
      </c>
      <c r="AA36" s="191">
        <f t="shared" si="62"/>
        <v>27579.420090166663</v>
      </c>
      <c r="AB36" s="191">
        <f t="shared" si="62"/>
        <v>27579.420090166663</v>
      </c>
      <c r="AC36" s="191">
        <f t="shared" si="62"/>
        <v>27579.420090166663</v>
      </c>
      <c r="AD36" s="191">
        <f t="shared" si="62"/>
        <v>27579.420090166663</v>
      </c>
      <c r="AE36" s="191">
        <f t="shared" si="62"/>
        <v>28466.295375303329</v>
      </c>
      <c r="AF36" s="191">
        <f t="shared" si="62"/>
        <v>28466.295375303329</v>
      </c>
      <c r="AG36" s="191">
        <f t="shared" si="62"/>
        <v>28466.295375303329</v>
      </c>
      <c r="AH36" s="191">
        <f t="shared" si="62"/>
        <v>28466.295375303329</v>
      </c>
      <c r="AI36" s="191">
        <f t="shared" si="62"/>
        <v>28466.295375303329</v>
      </c>
      <c r="AJ36" s="191">
        <f t="shared" si="62"/>
        <v>28466.295375303329</v>
      </c>
      <c r="AK36" s="191">
        <f t="shared" si="62"/>
        <v>28466.295375303329</v>
      </c>
      <c r="AL36" s="191">
        <f t="shared" si="62"/>
        <v>28466.295375303329</v>
      </c>
      <c r="AM36" s="191">
        <f t="shared" si="62"/>
        <v>28466.295375303329</v>
      </c>
      <c r="AN36" s="191">
        <f t="shared" si="62"/>
        <v>28466.295375303329</v>
      </c>
      <c r="AO36" s="191">
        <f t="shared" si="62"/>
        <v>28466.295375303329</v>
      </c>
      <c r="AP36" s="191">
        <f t="shared" si="62"/>
        <v>28466.295375303329</v>
      </c>
      <c r="AQ36" s="191">
        <f t="shared" si="62"/>
        <v>29381.033632538572</v>
      </c>
      <c r="AR36" s="191">
        <f t="shared" si="62"/>
        <v>29381.033632538572</v>
      </c>
      <c r="AS36" s="191">
        <f t="shared" si="62"/>
        <v>29381.033632538572</v>
      </c>
      <c r="AT36" s="191">
        <f t="shared" si="62"/>
        <v>29381.033632538572</v>
      </c>
      <c r="AU36" s="191">
        <f t="shared" si="62"/>
        <v>29381.033632538572</v>
      </c>
      <c r="AV36" s="191">
        <f t="shared" si="62"/>
        <v>29381.033632538572</v>
      </c>
      <c r="AW36" s="191">
        <f t="shared" si="62"/>
        <v>29381.033632538572</v>
      </c>
      <c r="AX36" s="191">
        <f t="shared" si="62"/>
        <v>29381.033632538572</v>
      </c>
      <c r="AY36" s="191">
        <f t="shared" si="62"/>
        <v>29381.033632538572</v>
      </c>
      <c r="AZ36" s="191">
        <f t="shared" si="62"/>
        <v>29381.033632538572</v>
      </c>
      <c r="BA36" s="191">
        <f t="shared" si="62"/>
        <v>29381.033632538572</v>
      </c>
      <c r="BB36" s="191">
        <f t="shared" si="62"/>
        <v>29381.033632538572</v>
      </c>
      <c r="BC36" s="191">
        <f t="shared" si="62"/>
        <v>30324.49755680361</v>
      </c>
      <c r="BD36" s="191">
        <f t="shared" si="62"/>
        <v>30324.49755680361</v>
      </c>
      <c r="BE36" s="191">
        <f t="shared" si="62"/>
        <v>30324.49755680361</v>
      </c>
      <c r="BF36" s="191">
        <f t="shared" si="62"/>
        <v>30324.49755680361</v>
      </c>
      <c r="BG36" s="191">
        <f t="shared" si="62"/>
        <v>30324.49755680361</v>
      </c>
      <c r="BH36" s="191">
        <f t="shared" si="62"/>
        <v>30324.49755680361</v>
      </c>
      <c r="BI36" s="191">
        <f t="shared" si="62"/>
        <v>30324.49755680361</v>
      </c>
      <c r="BJ36" s="191">
        <f t="shared" si="62"/>
        <v>30324.49755680361</v>
      </c>
      <c r="BK36" s="191">
        <f t="shared" si="62"/>
        <v>30324.49755680361</v>
      </c>
      <c r="BL36" s="191">
        <f t="shared" si="62"/>
        <v>30324.49755680361</v>
      </c>
      <c r="BM36" s="191">
        <f t="shared" si="62"/>
        <v>30324.49755680361</v>
      </c>
      <c r="BN36" s="191">
        <f t="shared" si="62"/>
        <v>30324.49755680361</v>
      </c>
      <c r="BO36" s="191">
        <f t="shared" si="62"/>
        <v>31297.576301780442</v>
      </c>
      <c r="BP36" s="191">
        <f t="shared" si="62"/>
        <v>31297.576301780442</v>
      </c>
      <c r="BQ36" s="191">
        <f t="shared" si="62"/>
        <v>31297.576301780442</v>
      </c>
      <c r="BR36" s="191">
        <f t="shared" ref="BR36:EC36" si="63">BR26+BR34</f>
        <v>31297.576301780442</v>
      </c>
      <c r="BS36" s="191">
        <f t="shared" si="63"/>
        <v>31297.576301780442</v>
      </c>
      <c r="BT36" s="191">
        <f t="shared" si="63"/>
        <v>31297.576301780442</v>
      </c>
      <c r="BU36" s="191">
        <f t="shared" si="63"/>
        <v>31297.576301780442</v>
      </c>
      <c r="BV36" s="191">
        <f t="shared" si="63"/>
        <v>31297.576301780442</v>
      </c>
      <c r="BW36" s="191">
        <f t="shared" si="63"/>
        <v>31297.576301780442</v>
      </c>
      <c r="BX36" s="191">
        <f t="shared" si="63"/>
        <v>31297.576301780442</v>
      </c>
      <c r="BY36" s="191">
        <f t="shared" si="63"/>
        <v>31297.576301780442</v>
      </c>
      <c r="BZ36" s="191">
        <f t="shared" si="63"/>
        <v>31297.576301780442</v>
      </c>
      <c r="CA36" s="191">
        <f t="shared" si="63"/>
        <v>32301.18628626705</v>
      </c>
      <c r="CB36" s="191">
        <f t="shared" si="63"/>
        <v>32301.18628626705</v>
      </c>
      <c r="CC36" s="191">
        <f t="shared" si="63"/>
        <v>32301.18628626705</v>
      </c>
      <c r="CD36" s="191">
        <f t="shared" si="63"/>
        <v>32301.18628626705</v>
      </c>
      <c r="CE36" s="191">
        <f t="shared" si="63"/>
        <v>32301.18628626705</v>
      </c>
      <c r="CF36" s="191">
        <f t="shared" si="63"/>
        <v>32301.18628626705</v>
      </c>
      <c r="CG36" s="191">
        <f t="shared" si="63"/>
        <v>32301.18628626705</v>
      </c>
      <c r="CH36" s="191">
        <f t="shared" si="63"/>
        <v>32301.18628626705</v>
      </c>
      <c r="CI36" s="191">
        <f t="shared" si="63"/>
        <v>32301.18628626705</v>
      </c>
      <c r="CJ36" s="191">
        <f t="shared" si="63"/>
        <v>32301.18628626705</v>
      </c>
      <c r="CK36" s="191">
        <f t="shared" si="63"/>
        <v>32301.18628626705</v>
      </c>
      <c r="CL36" s="191">
        <f t="shared" si="63"/>
        <v>32301.18628626705</v>
      </c>
      <c r="CM36" s="191">
        <f t="shared" si="63"/>
        <v>33336.272025011793</v>
      </c>
      <c r="CN36" s="191">
        <f t="shared" si="63"/>
        <v>33336.272025011793</v>
      </c>
      <c r="CO36" s="191">
        <f t="shared" si="63"/>
        <v>33336.272025011793</v>
      </c>
      <c r="CP36" s="191">
        <f t="shared" si="63"/>
        <v>33336.272025011793</v>
      </c>
      <c r="CQ36" s="191">
        <f t="shared" si="63"/>
        <v>33336.272025011793</v>
      </c>
      <c r="CR36" s="191">
        <f t="shared" si="63"/>
        <v>33336.272025011793</v>
      </c>
      <c r="CS36" s="191">
        <f t="shared" si="63"/>
        <v>33336.272025011793</v>
      </c>
      <c r="CT36" s="191">
        <f t="shared" si="63"/>
        <v>33336.272025011793</v>
      </c>
      <c r="CU36" s="191">
        <f t="shared" si="63"/>
        <v>33336.272025011793</v>
      </c>
      <c r="CV36" s="191">
        <f t="shared" si="63"/>
        <v>33336.272025011793</v>
      </c>
      <c r="CW36" s="191">
        <f t="shared" si="63"/>
        <v>33336.272025011793</v>
      </c>
      <c r="CX36" s="191">
        <f t="shared" si="63"/>
        <v>33336.272025011793</v>
      </c>
      <c r="CY36" s="191">
        <f t="shared" si="63"/>
        <v>34403.806984757284</v>
      </c>
      <c r="CZ36" s="191">
        <f t="shared" si="63"/>
        <v>34403.806984757284</v>
      </c>
      <c r="DA36" s="191">
        <f t="shared" si="63"/>
        <v>34403.806984757284</v>
      </c>
      <c r="DB36" s="191">
        <f t="shared" si="63"/>
        <v>34403.806984757284</v>
      </c>
      <c r="DC36" s="191">
        <f t="shared" si="63"/>
        <v>34403.806984757284</v>
      </c>
      <c r="DD36" s="191">
        <f t="shared" si="63"/>
        <v>34403.806984757284</v>
      </c>
      <c r="DE36" s="191">
        <f t="shared" si="63"/>
        <v>34403.806984757284</v>
      </c>
      <c r="DF36" s="191">
        <f t="shared" si="63"/>
        <v>34403.806984757284</v>
      </c>
      <c r="DG36" s="191">
        <f t="shared" si="63"/>
        <v>34403.806984757284</v>
      </c>
      <c r="DH36" s="191">
        <f t="shared" si="63"/>
        <v>34403.806984757284</v>
      </c>
      <c r="DI36" s="191">
        <f t="shared" si="63"/>
        <v>34403.806984757284</v>
      </c>
      <c r="DJ36" s="191">
        <f t="shared" si="63"/>
        <v>34403.806984757284</v>
      </c>
      <c r="DK36" s="191">
        <f t="shared" si="63"/>
        <v>35504.794466256171</v>
      </c>
      <c r="DL36" s="191">
        <f t="shared" si="63"/>
        <v>35504.794466256171</v>
      </c>
      <c r="DM36" s="191">
        <f t="shared" si="63"/>
        <v>35504.794466256171</v>
      </c>
      <c r="DN36" s="191">
        <f t="shared" si="63"/>
        <v>35504.794466256171</v>
      </c>
      <c r="DO36" s="191">
        <f t="shared" si="63"/>
        <v>35504.794466256171</v>
      </c>
      <c r="DP36" s="191">
        <f t="shared" si="63"/>
        <v>35504.794466256171</v>
      </c>
      <c r="DQ36" s="191">
        <f t="shared" si="63"/>
        <v>35504.794466256171</v>
      </c>
      <c r="DR36" s="191">
        <f t="shared" si="63"/>
        <v>35504.794466256171</v>
      </c>
      <c r="DS36" s="191">
        <f t="shared" si="63"/>
        <v>35504.794466256171</v>
      </c>
      <c r="DT36" s="191">
        <f t="shared" si="63"/>
        <v>35504.794466256171</v>
      </c>
      <c r="DU36" s="191">
        <f t="shared" si="63"/>
        <v>35504.794466256171</v>
      </c>
      <c r="DV36" s="191">
        <f t="shared" si="63"/>
        <v>35504.794466256171</v>
      </c>
      <c r="DW36" s="191">
        <f t="shared" si="63"/>
        <v>36640.26851304483</v>
      </c>
      <c r="DX36" s="191">
        <f t="shared" si="63"/>
        <v>36640.26851304483</v>
      </c>
      <c r="DY36" s="191">
        <f t="shared" si="63"/>
        <v>36640.26851304483</v>
      </c>
      <c r="DZ36" s="191">
        <f t="shared" si="63"/>
        <v>36640.26851304483</v>
      </c>
      <c r="EA36" s="191">
        <f t="shared" si="63"/>
        <v>36640.26851304483</v>
      </c>
      <c r="EB36" s="191">
        <f t="shared" si="63"/>
        <v>36640.26851304483</v>
      </c>
      <c r="EC36" s="191">
        <f t="shared" si="63"/>
        <v>36640.26851304483</v>
      </c>
      <c r="ED36" s="191">
        <f t="shared" ref="ED36:GO36" si="64">ED26+ED34</f>
        <v>36640.26851304483</v>
      </c>
      <c r="EE36" s="191">
        <f t="shared" si="64"/>
        <v>36640.26851304483</v>
      </c>
      <c r="EF36" s="191">
        <f t="shared" si="64"/>
        <v>36640.26851304483</v>
      </c>
      <c r="EG36" s="191">
        <f t="shared" si="64"/>
        <v>36640.26851304483</v>
      </c>
      <c r="EH36" s="191">
        <f t="shared" si="64"/>
        <v>36640.26851304483</v>
      </c>
      <c r="EI36" s="191">
        <f t="shared" si="64"/>
        <v>37811.294847783982</v>
      </c>
      <c r="EJ36" s="191">
        <f t="shared" si="64"/>
        <v>37811.294847783982</v>
      </c>
      <c r="EK36" s="191">
        <f t="shared" si="64"/>
        <v>37811.294847783982</v>
      </c>
      <c r="EL36" s="191">
        <f t="shared" si="64"/>
        <v>37811.294847783982</v>
      </c>
      <c r="EM36" s="191">
        <f t="shared" si="64"/>
        <v>37811.294847783982</v>
      </c>
      <c r="EN36" s="191">
        <f t="shared" si="64"/>
        <v>37811.294847783982</v>
      </c>
      <c r="EO36" s="191">
        <f t="shared" si="64"/>
        <v>37811.294847783982</v>
      </c>
      <c r="EP36" s="191">
        <f t="shared" si="64"/>
        <v>37811.294847783982</v>
      </c>
      <c r="EQ36" s="191">
        <f t="shared" si="64"/>
        <v>37811.294847783982</v>
      </c>
      <c r="ER36" s="191">
        <f t="shared" si="64"/>
        <v>37811.294847783982</v>
      </c>
      <c r="ES36" s="191">
        <f t="shared" si="64"/>
        <v>37811.294847783982</v>
      </c>
      <c r="ET36" s="191">
        <f t="shared" si="64"/>
        <v>37811.294847783982</v>
      </c>
      <c r="EU36" s="191">
        <f t="shared" si="64"/>
        <v>39018.971837000325</v>
      </c>
      <c r="EV36" s="191">
        <f t="shared" si="64"/>
        <v>39018.971837000325</v>
      </c>
      <c r="EW36" s="191">
        <f t="shared" si="64"/>
        <v>39018.971837000325</v>
      </c>
      <c r="EX36" s="191">
        <f t="shared" si="64"/>
        <v>39018.971837000325</v>
      </c>
      <c r="EY36" s="191">
        <f t="shared" si="64"/>
        <v>39018.971837000325</v>
      </c>
      <c r="EZ36" s="191">
        <f t="shared" si="64"/>
        <v>39018.971837000325</v>
      </c>
      <c r="FA36" s="191">
        <f t="shared" si="64"/>
        <v>39018.971837000325</v>
      </c>
      <c r="FB36" s="191">
        <f t="shared" si="64"/>
        <v>39018.971837000325</v>
      </c>
      <c r="FC36" s="191">
        <f t="shared" si="64"/>
        <v>39018.971837000325</v>
      </c>
      <c r="FD36" s="191">
        <f t="shared" si="64"/>
        <v>39018.971837000325</v>
      </c>
      <c r="FE36" s="191">
        <f t="shared" si="64"/>
        <v>39018.971837000325</v>
      </c>
      <c r="FF36" s="191">
        <f t="shared" si="64"/>
        <v>39018.971837000325</v>
      </c>
      <c r="FG36" s="191">
        <f t="shared" si="64"/>
        <v>40264.431485088106</v>
      </c>
      <c r="FH36" s="191">
        <f t="shared" si="64"/>
        <v>40264.431485088106</v>
      </c>
      <c r="FI36" s="191">
        <f t="shared" si="64"/>
        <v>40264.431485088106</v>
      </c>
      <c r="FJ36" s="191">
        <f t="shared" si="64"/>
        <v>40264.431485088106</v>
      </c>
      <c r="FK36" s="191">
        <f t="shared" si="64"/>
        <v>40264.431485088106</v>
      </c>
      <c r="FL36" s="191">
        <f t="shared" si="64"/>
        <v>40264.431485088106</v>
      </c>
      <c r="FM36" s="191">
        <f t="shared" si="64"/>
        <v>40264.431485088106</v>
      </c>
      <c r="FN36" s="191">
        <f t="shared" si="64"/>
        <v>40264.431485088106</v>
      </c>
      <c r="FO36" s="191">
        <f t="shared" si="64"/>
        <v>40264.431485088106</v>
      </c>
      <c r="FP36" s="191">
        <f t="shared" si="64"/>
        <v>40264.431485088106</v>
      </c>
      <c r="FQ36" s="191">
        <f t="shared" si="64"/>
        <v>40264.431485088106</v>
      </c>
      <c r="FR36" s="191">
        <f t="shared" si="64"/>
        <v>40264.431485088106</v>
      </c>
      <c r="FS36" s="191">
        <f t="shared" si="64"/>
        <v>41548.84045845535</v>
      </c>
      <c r="FT36" s="191">
        <f t="shared" si="64"/>
        <v>41548.84045845535</v>
      </c>
      <c r="FU36" s="191">
        <f t="shared" si="64"/>
        <v>41548.84045845535</v>
      </c>
      <c r="FV36" s="191">
        <f t="shared" si="64"/>
        <v>41548.84045845535</v>
      </c>
      <c r="FW36" s="191">
        <f t="shared" si="64"/>
        <v>41548.84045845535</v>
      </c>
      <c r="FX36" s="191">
        <f t="shared" si="64"/>
        <v>41548.84045845535</v>
      </c>
      <c r="FY36" s="191">
        <f t="shared" si="64"/>
        <v>41548.84045845535</v>
      </c>
      <c r="FZ36" s="191">
        <f t="shared" si="64"/>
        <v>41548.84045845535</v>
      </c>
      <c r="GA36" s="191">
        <f t="shared" si="64"/>
        <v>41548.84045845535</v>
      </c>
      <c r="GB36" s="191">
        <f t="shared" si="64"/>
        <v>41548.84045845535</v>
      </c>
      <c r="GC36" s="191">
        <f t="shared" si="64"/>
        <v>41548.84045845535</v>
      </c>
      <c r="GD36" s="191">
        <f t="shared" si="64"/>
        <v>41548.84045845535</v>
      </c>
      <c r="GE36" s="191">
        <f t="shared" si="64"/>
        <v>0</v>
      </c>
      <c r="GF36" s="191">
        <f t="shared" si="64"/>
        <v>0</v>
      </c>
      <c r="GG36" s="191">
        <f t="shared" si="64"/>
        <v>0</v>
      </c>
      <c r="GH36" s="191">
        <f t="shared" si="64"/>
        <v>0</v>
      </c>
      <c r="GI36" s="191">
        <f t="shared" si="64"/>
        <v>0</v>
      </c>
      <c r="GJ36" s="191">
        <f t="shared" si="64"/>
        <v>0</v>
      </c>
      <c r="GK36" s="191">
        <f t="shared" si="64"/>
        <v>0</v>
      </c>
      <c r="GL36" s="191">
        <f t="shared" si="64"/>
        <v>0</v>
      </c>
      <c r="GM36" s="191">
        <f t="shared" si="64"/>
        <v>0</v>
      </c>
      <c r="GN36" s="191">
        <f t="shared" si="64"/>
        <v>0</v>
      </c>
      <c r="GO36" s="191">
        <f t="shared" si="64"/>
        <v>0</v>
      </c>
      <c r="GP36" s="191">
        <f t="shared" ref="GP36:JA36" si="65">GP26+GP34</f>
        <v>0</v>
      </c>
      <c r="GQ36" s="191">
        <f t="shared" si="65"/>
        <v>0</v>
      </c>
      <c r="GR36" s="191">
        <f t="shared" si="65"/>
        <v>0</v>
      </c>
      <c r="GS36" s="191">
        <f t="shared" si="65"/>
        <v>0</v>
      </c>
      <c r="GT36" s="191">
        <f t="shared" si="65"/>
        <v>0</v>
      </c>
      <c r="GU36" s="191">
        <f t="shared" si="65"/>
        <v>0</v>
      </c>
      <c r="GV36" s="191">
        <f t="shared" si="65"/>
        <v>0</v>
      </c>
      <c r="GW36" s="191">
        <f t="shared" si="65"/>
        <v>0</v>
      </c>
      <c r="GX36" s="191">
        <f t="shared" si="65"/>
        <v>0</v>
      </c>
      <c r="GY36" s="191">
        <f t="shared" si="65"/>
        <v>0</v>
      </c>
      <c r="GZ36" s="191">
        <f t="shared" si="65"/>
        <v>0</v>
      </c>
      <c r="HA36" s="191">
        <f t="shared" si="65"/>
        <v>0</v>
      </c>
      <c r="HB36" s="191">
        <f t="shared" si="65"/>
        <v>0</v>
      </c>
      <c r="HC36" s="191">
        <f t="shared" si="65"/>
        <v>0</v>
      </c>
      <c r="HD36" s="191">
        <f t="shared" si="65"/>
        <v>0</v>
      </c>
      <c r="HE36" s="191">
        <f t="shared" si="65"/>
        <v>0</v>
      </c>
      <c r="HF36" s="191">
        <f t="shared" si="65"/>
        <v>0</v>
      </c>
      <c r="HG36" s="191">
        <f t="shared" si="65"/>
        <v>0</v>
      </c>
      <c r="HH36" s="191">
        <f t="shared" si="65"/>
        <v>0</v>
      </c>
      <c r="HI36" s="191">
        <f t="shared" si="65"/>
        <v>0</v>
      </c>
      <c r="HJ36" s="191">
        <f t="shared" si="65"/>
        <v>0</v>
      </c>
      <c r="HK36" s="191">
        <f t="shared" si="65"/>
        <v>0</v>
      </c>
      <c r="HL36" s="191">
        <f t="shared" si="65"/>
        <v>0</v>
      </c>
      <c r="HM36" s="191">
        <f t="shared" si="65"/>
        <v>0</v>
      </c>
      <c r="HN36" s="191">
        <f t="shared" si="65"/>
        <v>0</v>
      </c>
      <c r="HO36" s="191">
        <f t="shared" si="65"/>
        <v>0</v>
      </c>
      <c r="HP36" s="191">
        <f t="shared" si="65"/>
        <v>0</v>
      </c>
      <c r="HQ36" s="191">
        <f t="shared" si="65"/>
        <v>0</v>
      </c>
      <c r="HR36" s="191">
        <f t="shared" si="65"/>
        <v>0</v>
      </c>
      <c r="HS36" s="191">
        <f t="shared" si="65"/>
        <v>0</v>
      </c>
      <c r="HT36" s="191">
        <f t="shared" si="65"/>
        <v>0</v>
      </c>
      <c r="HU36" s="191">
        <f t="shared" si="65"/>
        <v>0</v>
      </c>
      <c r="HV36" s="191">
        <f t="shared" si="65"/>
        <v>0</v>
      </c>
      <c r="HW36" s="191">
        <f t="shared" si="65"/>
        <v>0</v>
      </c>
      <c r="HX36" s="191">
        <f t="shared" si="65"/>
        <v>0</v>
      </c>
      <c r="HY36" s="191">
        <f t="shared" si="65"/>
        <v>0</v>
      </c>
      <c r="HZ36" s="191">
        <f t="shared" si="65"/>
        <v>0</v>
      </c>
      <c r="IA36" s="191">
        <f t="shared" si="65"/>
        <v>0</v>
      </c>
      <c r="IB36" s="191">
        <f t="shared" si="65"/>
        <v>0</v>
      </c>
      <c r="IC36" s="191">
        <f t="shared" si="65"/>
        <v>0</v>
      </c>
      <c r="ID36" s="191">
        <f t="shared" si="65"/>
        <v>0</v>
      </c>
      <c r="IE36" s="191">
        <f t="shared" si="65"/>
        <v>0</v>
      </c>
      <c r="IF36" s="191">
        <f t="shared" si="65"/>
        <v>0</v>
      </c>
      <c r="IG36" s="191">
        <f t="shared" si="65"/>
        <v>0</v>
      </c>
      <c r="IH36" s="191">
        <f t="shared" si="65"/>
        <v>0</v>
      </c>
      <c r="II36" s="191">
        <f t="shared" si="65"/>
        <v>0</v>
      </c>
      <c r="IJ36" s="191">
        <f t="shared" si="65"/>
        <v>0</v>
      </c>
      <c r="IK36" s="191">
        <f t="shared" si="65"/>
        <v>0</v>
      </c>
      <c r="IL36" s="191">
        <f t="shared" si="65"/>
        <v>0</v>
      </c>
      <c r="IM36" s="191">
        <f t="shared" si="65"/>
        <v>0</v>
      </c>
      <c r="IN36" s="191">
        <f t="shared" si="65"/>
        <v>0</v>
      </c>
      <c r="IO36" s="191">
        <f t="shared" si="65"/>
        <v>0</v>
      </c>
      <c r="IP36" s="191">
        <f t="shared" si="65"/>
        <v>0</v>
      </c>
      <c r="IQ36" s="191">
        <f t="shared" si="65"/>
        <v>0</v>
      </c>
      <c r="IR36" s="191">
        <f t="shared" si="65"/>
        <v>0</v>
      </c>
      <c r="IS36" s="191">
        <f t="shared" si="65"/>
        <v>0</v>
      </c>
      <c r="IT36" s="191">
        <f t="shared" si="65"/>
        <v>0</v>
      </c>
      <c r="IU36" s="191">
        <f t="shared" si="65"/>
        <v>0</v>
      </c>
      <c r="IV36" s="191">
        <f t="shared" si="65"/>
        <v>0</v>
      </c>
      <c r="IW36" s="191">
        <f t="shared" si="65"/>
        <v>0</v>
      </c>
      <c r="IX36" s="191">
        <f t="shared" si="65"/>
        <v>0</v>
      </c>
      <c r="IY36" s="191">
        <f t="shared" si="65"/>
        <v>0</v>
      </c>
      <c r="IZ36" s="191">
        <f t="shared" si="65"/>
        <v>0</v>
      </c>
      <c r="JA36" s="191">
        <f t="shared" si="65"/>
        <v>0</v>
      </c>
      <c r="JB36" s="191">
        <f t="shared" ref="JB36:LM36" si="66">JB26+JB34</f>
        <v>0</v>
      </c>
      <c r="JC36" s="191">
        <f t="shared" si="66"/>
        <v>0</v>
      </c>
      <c r="JD36" s="191">
        <f t="shared" si="66"/>
        <v>0</v>
      </c>
      <c r="JE36" s="191">
        <f t="shared" si="66"/>
        <v>0</v>
      </c>
      <c r="JF36" s="191">
        <f t="shared" si="66"/>
        <v>0</v>
      </c>
      <c r="JG36" s="191">
        <f t="shared" si="66"/>
        <v>0</v>
      </c>
      <c r="JH36" s="191">
        <f t="shared" si="66"/>
        <v>0</v>
      </c>
      <c r="JI36" s="191">
        <f t="shared" si="66"/>
        <v>0</v>
      </c>
      <c r="JJ36" s="191">
        <f t="shared" si="66"/>
        <v>0</v>
      </c>
      <c r="JK36" s="191">
        <f t="shared" si="66"/>
        <v>0</v>
      </c>
      <c r="JL36" s="191">
        <f t="shared" si="66"/>
        <v>0</v>
      </c>
      <c r="JM36" s="191">
        <f t="shared" si="66"/>
        <v>0</v>
      </c>
      <c r="JN36" s="191">
        <f t="shared" si="66"/>
        <v>0</v>
      </c>
      <c r="JO36" s="191">
        <f t="shared" si="66"/>
        <v>0</v>
      </c>
      <c r="JP36" s="191">
        <f t="shared" si="66"/>
        <v>0</v>
      </c>
      <c r="JQ36" s="191">
        <f t="shared" si="66"/>
        <v>0</v>
      </c>
      <c r="JR36" s="191">
        <f t="shared" si="66"/>
        <v>0</v>
      </c>
      <c r="JS36" s="191">
        <f t="shared" si="66"/>
        <v>0</v>
      </c>
      <c r="JT36" s="191">
        <f t="shared" si="66"/>
        <v>0</v>
      </c>
      <c r="JU36" s="191">
        <f t="shared" si="66"/>
        <v>0</v>
      </c>
      <c r="JV36" s="191">
        <f t="shared" si="66"/>
        <v>0</v>
      </c>
      <c r="JW36" s="191">
        <f t="shared" si="66"/>
        <v>0</v>
      </c>
      <c r="JX36" s="191">
        <f t="shared" si="66"/>
        <v>0</v>
      </c>
      <c r="JY36" s="191">
        <f t="shared" si="66"/>
        <v>0</v>
      </c>
      <c r="JZ36" s="191">
        <f t="shared" si="66"/>
        <v>0</v>
      </c>
      <c r="KA36" s="191">
        <f t="shared" si="66"/>
        <v>0</v>
      </c>
      <c r="KB36" s="191">
        <f t="shared" si="66"/>
        <v>0</v>
      </c>
      <c r="KC36" s="191">
        <f t="shared" si="66"/>
        <v>0</v>
      </c>
      <c r="KD36" s="191">
        <f t="shared" si="66"/>
        <v>0</v>
      </c>
      <c r="KE36" s="191">
        <f t="shared" si="66"/>
        <v>0</v>
      </c>
      <c r="KF36" s="191">
        <f t="shared" si="66"/>
        <v>0</v>
      </c>
      <c r="KG36" s="191">
        <f t="shared" si="66"/>
        <v>0</v>
      </c>
      <c r="KH36" s="191">
        <f t="shared" si="66"/>
        <v>0</v>
      </c>
      <c r="KI36" s="191">
        <f t="shared" si="66"/>
        <v>0</v>
      </c>
      <c r="KJ36" s="191">
        <f t="shared" si="66"/>
        <v>0</v>
      </c>
      <c r="KK36" s="191">
        <f t="shared" si="66"/>
        <v>0</v>
      </c>
      <c r="KL36" s="191">
        <f t="shared" si="66"/>
        <v>0</v>
      </c>
      <c r="KM36" s="191">
        <f t="shared" si="66"/>
        <v>0</v>
      </c>
      <c r="KN36" s="191">
        <f t="shared" si="66"/>
        <v>0</v>
      </c>
      <c r="KO36" s="191">
        <f t="shared" si="66"/>
        <v>0</v>
      </c>
      <c r="KP36" s="191">
        <f t="shared" si="66"/>
        <v>0</v>
      </c>
      <c r="KQ36" s="191">
        <f t="shared" si="66"/>
        <v>0</v>
      </c>
      <c r="KR36" s="191">
        <f t="shared" si="66"/>
        <v>0</v>
      </c>
      <c r="KS36" s="191">
        <f t="shared" si="66"/>
        <v>0</v>
      </c>
      <c r="KT36" s="191">
        <f t="shared" si="66"/>
        <v>0</v>
      </c>
      <c r="KU36" s="191">
        <f t="shared" si="66"/>
        <v>0</v>
      </c>
      <c r="KV36" s="191">
        <f t="shared" si="66"/>
        <v>0</v>
      </c>
      <c r="KW36" s="191">
        <f t="shared" si="66"/>
        <v>0</v>
      </c>
      <c r="KX36" s="191">
        <f t="shared" si="66"/>
        <v>0</v>
      </c>
      <c r="KY36" s="191">
        <f t="shared" si="66"/>
        <v>0</v>
      </c>
      <c r="KZ36" s="191">
        <f t="shared" si="66"/>
        <v>0</v>
      </c>
      <c r="LA36" s="191">
        <f t="shared" si="66"/>
        <v>0</v>
      </c>
      <c r="LB36" s="191">
        <f t="shared" si="66"/>
        <v>0</v>
      </c>
      <c r="LC36" s="191">
        <f t="shared" si="66"/>
        <v>0</v>
      </c>
      <c r="LD36" s="191">
        <f t="shared" si="66"/>
        <v>0</v>
      </c>
      <c r="LE36" s="191">
        <f t="shared" si="66"/>
        <v>0</v>
      </c>
      <c r="LF36" s="191">
        <f t="shared" si="66"/>
        <v>0</v>
      </c>
      <c r="LG36" s="191">
        <f t="shared" si="66"/>
        <v>0</v>
      </c>
      <c r="LH36" s="191">
        <f t="shared" si="66"/>
        <v>0</v>
      </c>
      <c r="LI36" s="191">
        <f t="shared" si="66"/>
        <v>0</v>
      </c>
      <c r="LJ36" s="191">
        <f t="shared" si="66"/>
        <v>0</v>
      </c>
      <c r="LK36" s="191">
        <f t="shared" si="66"/>
        <v>0</v>
      </c>
      <c r="LL36" s="191">
        <f t="shared" si="66"/>
        <v>0</v>
      </c>
      <c r="LM36" s="191">
        <f t="shared" si="66"/>
        <v>0</v>
      </c>
      <c r="LN36" s="191">
        <f t="shared" ref="LN36:NB36" si="67">LN26+LN34</f>
        <v>0</v>
      </c>
      <c r="LO36" s="191">
        <f t="shared" si="67"/>
        <v>0</v>
      </c>
      <c r="LP36" s="191">
        <f t="shared" si="67"/>
        <v>0</v>
      </c>
      <c r="LQ36" s="191">
        <f t="shared" si="67"/>
        <v>0</v>
      </c>
      <c r="LR36" s="191">
        <f t="shared" si="67"/>
        <v>0</v>
      </c>
      <c r="LS36" s="191">
        <f t="shared" si="67"/>
        <v>0</v>
      </c>
      <c r="LT36" s="191">
        <f t="shared" si="67"/>
        <v>0</v>
      </c>
      <c r="LU36" s="191">
        <f t="shared" si="67"/>
        <v>0</v>
      </c>
      <c r="LV36" s="191">
        <f t="shared" si="67"/>
        <v>0</v>
      </c>
      <c r="LW36" s="191">
        <f t="shared" si="67"/>
        <v>0</v>
      </c>
      <c r="LX36" s="191">
        <f t="shared" si="67"/>
        <v>0</v>
      </c>
      <c r="LY36" s="191">
        <f t="shared" si="67"/>
        <v>0</v>
      </c>
      <c r="LZ36" s="191">
        <f t="shared" si="67"/>
        <v>0</v>
      </c>
      <c r="MA36" s="191">
        <f t="shared" si="67"/>
        <v>0</v>
      </c>
      <c r="MB36" s="191">
        <f t="shared" si="67"/>
        <v>0</v>
      </c>
      <c r="MC36" s="191">
        <f t="shared" si="67"/>
        <v>0</v>
      </c>
      <c r="MD36" s="191">
        <f t="shared" si="67"/>
        <v>0</v>
      </c>
      <c r="ME36" s="191">
        <f t="shared" si="67"/>
        <v>0</v>
      </c>
      <c r="MF36" s="191">
        <f t="shared" si="67"/>
        <v>0</v>
      </c>
      <c r="MG36" s="191">
        <f t="shared" si="67"/>
        <v>0</v>
      </c>
      <c r="MH36" s="191">
        <f t="shared" si="67"/>
        <v>0</v>
      </c>
      <c r="MI36" s="191">
        <f t="shared" si="67"/>
        <v>0</v>
      </c>
      <c r="MJ36" s="191">
        <f t="shared" si="67"/>
        <v>0</v>
      </c>
      <c r="MK36" s="191">
        <f t="shared" si="67"/>
        <v>0</v>
      </c>
      <c r="ML36" s="191">
        <f t="shared" si="67"/>
        <v>0</v>
      </c>
      <c r="MM36" s="191">
        <f t="shared" si="67"/>
        <v>0</v>
      </c>
      <c r="MN36" s="191">
        <f t="shared" si="67"/>
        <v>0</v>
      </c>
      <c r="MO36" s="191">
        <f t="shared" si="67"/>
        <v>0</v>
      </c>
      <c r="MP36" s="191">
        <f t="shared" si="67"/>
        <v>0</v>
      </c>
      <c r="MQ36" s="191">
        <f t="shared" si="67"/>
        <v>0</v>
      </c>
      <c r="MR36" s="191">
        <f t="shared" si="67"/>
        <v>0</v>
      </c>
      <c r="MS36" s="191">
        <f t="shared" si="67"/>
        <v>0</v>
      </c>
      <c r="MT36" s="191">
        <f t="shared" si="67"/>
        <v>0</v>
      </c>
      <c r="MU36" s="191">
        <f t="shared" si="67"/>
        <v>0</v>
      </c>
      <c r="MV36" s="191">
        <f t="shared" si="67"/>
        <v>0</v>
      </c>
      <c r="MW36" s="191">
        <f t="shared" si="67"/>
        <v>0</v>
      </c>
      <c r="MX36" s="191">
        <f t="shared" si="67"/>
        <v>0</v>
      </c>
      <c r="MY36" s="191">
        <f t="shared" si="67"/>
        <v>0</v>
      </c>
      <c r="MZ36" s="191">
        <f t="shared" si="67"/>
        <v>0</v>
      </c>
      <c r="NA36" s="191">
        <f t="shared" si="67"/>
        <v>0</v>
      </c>
      <c r="NB36" s="191">
        <f t="shared" si="67"/>
        <v>0</v>
      </c>
      <c r="NC36" s="40"/>
    </row>
    <row r="37" spans="2:367" x14ac:dyDescent="0.15">
      <c r="B37" s="120"/>
      <c r="D37" s="7"/>
      <c r="F37" s="56"/>
      <c r="G37" s="56"/>
      <c r="H37" s="56"/>
      <c r="I37" s="56"/>
      <c r="J37" s="56"/>
      <c r="K37" s="56"/>
      <c r="L37" s="563"/>
      <c r="M37" s="56"/>
      <c r="N37" s="56"/>
      <c r="O37" s="56"/>
      <c r="P37" s="56"/>
      <c r="Q37" s="56"/>
      <c r="R37" s="56"/>
      <c r="S37" s="56"/>
      <c r="T37" s="56"/>
      <c r="U37" s="56"/>
      <c r="V37" s="56"/>
      <c r="W37" s="56"/>
      <c r="X37" s="56"/>
      <c r="Y37" s="56"/>
      <c r="Z37" s="56"/>
      <c r="AA37" s="56"/>
      <c r="AB37" s="56"/>
      <c r="AC37" s="56"/>
      <c r="AD37" s="56"/>
      <c r="AE37" s="56"/>
      <c r="AF37" s="56"/>
      <c r="AG37" s="56"/>
      <c r="AH37" s="56"/>
      <c r="AI37" s="56"/>
      <c r="AJ37" s="56"/>
      <c r="AK37" s="56"/>
      <c r="AL37" s="56"/>
      <c r="AM37" s="56"/>
      <c r="AN37" s="56"/>
      <c r="AO37" s="56"/>
      <c r="AP37" s="56"/>
      <c r="AQ37" s="56"/>
      <c r="AR37" s="56"/>
      <c r="AS37" s="56"/>
      <c r="AT37" s="56"/>
      <c r="AU37" s="56"/>
      <c r="AV37" s="56"/>
      <c r="AW37" s="56"/>
      <c r="AX37" s="56"/>
      <c r="AY37" s="56"/>
      <c r="AZ37" s="56"/>
      <c r="BA37" s="56"/>
      <c r="BB37" s="56"/>
      <c r="BC37" s="56"/>
      <c r="BD37" s="56"/>
      <c r="BE37" s="56"/>
      <c r="BF37" s="56"/>
      <c r="BG37" s="56"/>
      <c r="BH37" s="56"/>
      <c r="BI37" s="56"/>
      <c r="BJ37" s="56"/>
      <c r="BK37" s="56"/>
      <c r="BL37" s="56"/>
      <c r="BM37" s="56"/>
      <c r="BN37" s="56"/>
      <c r="BO37" s="56"/>
      <c r="BP37" s="56"/>
      <c r="BQ37" s="56"/>
      <c r="BR37" s="56"/>
      <c r="BS37" s="56"/>
      <c r="BT37" s="56"/>
      <c r="BU37" s="56"/>
      <c r="BV37" s="56"/>
      <c r="BW37" s="56"/>
      <c r="BX37" s="56"/>
      <c r="BY37" s="56"/>
      <c r="BZ37" s="56"/>
      <c r="CA37" s="56"/>
      <c r="CB37" s="56"/>
      <c r="CC37" s="56"/>
      <c r="CD37" s="56"/>
      <c r="CE37" s="56"/>
      <c r="CF37" s="56"/>
      <c r="CG37" s="56"/>
      <c r="CH37" s="56"/>
      <c r="CI37" s="56"/>
      <c r="CJ37" s="56"/>
      <c r="CK37" s="56"/>
      <c r="CL37" s="56"/>
      <c r="CM37" s="56"/>
      <c r="CN37" s="56"/>
      <c r="CO37" s="56"/>
      <c r="CP37" s="56"/>
      <c r="CQ37" s="56"/>
      <c r="CR37" s="56"/>
      <c r="CS37" s="56"/>
      <c r="CT37" s="56"/>
      <c r="CU37" s="56"/>
      <c r="CV37" s="56"/>
      <c r="CW37" s="56"/>
      <c r="CX37" s="56"/>
      <c r="CY37" s="56"/>
      <c r="CZ37" s="56"/>
      <c r="DA37" s="56"/>
      <c r="DB37" s="56"/>
      <c r="DC37" s="56"/>
      <c r="DD37" s="56"/>
      <c r="DE37" s="56"/>
      <c r="DF37" s="56"/>
      <c r="DG37" s="56"/>
      <c r="DH37" s="56"/>
      <c r="DI37" s="56"/>
      <c r="DJ37" s="56"/>
      <c r="DK37" s="56"/>
      <c r="DL37" s="56"/>
      <c r="DM37" s="56"/>
      <c r="DN37" s="56"/>
      <c r="DO37" s="56"/>
      <c r="DP37" s="56"/>
      <c r="DQ37" s="56"/>
      <c r="DR37" s="56"/>
      <c r="DS37" s="56"/>
      <c r="DT37" s="56"/>
      <c r="DU37" s="56"/>
      <c r="DV37" s="56"/>
      <c r="DW37" s="56"/>
      <c r="DX37" s="56"/>
      <c r="DY37" s="56"/>
      <c r="DZ37" s="56"/>
      <c r="EA37" s="56"/>
      <c r="EB37" s="56"/>
      <c r="EC37" s="56"/>
      <c r="ED37" s="56"/>
      <c r="EE37" s="56"/>
      <c r="EF37" s="56"/>
      <c r="EG37" s="56"/>
      <c r="EH37" s="56"/>
      <c r="EI37" s="56"/>
      <c r="EJ37" s="56"/>
      <c r="EK37" s="56"/>
      <c r="EL37" s="56"/>
      <c r="EM37" s="56"/>
      <c r="EN37" s="56"/>
      <c r="EO37" s="56"/>
      <c r="EP37" s="56"/>
      <c r="EQ37" s="56"/>
      <c r="ER37" s="56"/>
      <c r="ES37" s="56"/>
      <c r="ET37" s="56"/>
      <c r="EU37" s="56"/>
      <c r="EV37" s="56"/>
      <c r="EW37" s="56"/>
      <c r="EX37" s="56"/>
      <c r="EY37" s="56"/>
      <c r="EZ37" s="56"/>
      <c r="FA37" s="56"/>
      <c r="FB37" s="56"/>
      <c r="FC37" s="56"/>
      <c r="FD37" s="56"/>
      <c r="FE37" s="56"/>
      <c r="FF37" s="56"/>
      <c r="FG37" s="56"/>
      <c r="FH37" s="56"/>
      <c r="FI37" s="56"/>
      <c r="FJ37" s="56"/>
      <c r="FK37" s="56"/>
      <c r="FL37" s="56"/>
      <c r="FM37" s="56"/>
      <c r="FN37" s="56"/>
      <c r="FO37" s="56"/>
      <c r="FP37" s="56"/>
      <c r="FQ37" s="56"/>
      <c r="FR37" s="56"/>
      <c r="FS37" s="56"/>
      <c r="FT37" s="56"/>
      <c r="FU37" s="56"/>
      <c r="FV37" s="56"/>
      <c r="FW37" s="56"/>
      <c r="FX37" s="56"/>
      <c r="FY37" s="56"/>
      <c r="FZ37" s="56"/>
      <c r="GA37" s="56"/>
      <c r="GB37" s="56"/>
      <c r="GC37" s="56"/>
      <c r="GD37" s="56"/>
      <c r="GE37" s="56"/>
      <c r="GF37" s="56"/>
      <c r="GG37" s="56"/>
      <c r="GH37" s="56"/>
      <c r="GI37" s="56"/>
      <c r="GJ37" s="56"/>
      <c r="GK37" s="56"/>
      <c r="GL37" s="56"/>
      <c r="GM37" s="56"/>
      <c r="GN37" s="56"/>
      <c r="GO37" s="56"/>
      <c r="GP37" s="56"/>
      <c r="GQ37" s="56"/>
      <c r="GR37" s="56"/>
      <c r="GS37" s="56"/>
      <c r="GT37" s="56"/>
      <c r="GU37" s="56"/>
      <c r="GV37" s="56"/>
      <c r="GW37" s="56"/>
      <c r="GX37" s="56"/>
      <c r="GY37" s="56"/>
      <c r="GZ37" s="56"/>
      <c r="HA37" s="56"/>
      <c r="HB37" s="56"/>
      <c r="HC37" s="56"/>
      <c r="HD37" s="56"/>
      <c r="HE37" s="56"/>
      <c r="HF37" s="56"/>
      <c r="HG37" s="56"/>
      <c r="HH37" s="56"/>
      <c r="HI37" s="56"/>
      <c r="HJ37" s="56"/>
      <c r="HK37" s="56"/>
      <c r="HL37" s="56"/>
      <c r="HM37" s="56"/>
      <c r="HN37" s="56"/>
      <c r="HO37" s="56"/>
      <c r="HP37" s="56"/>
      <c r="HQ37" s="56"/>
      <c r="HR37" s="56"/>
      <c r="HS37" s="56"/>
      <c r="HT37" s="56"/>
      <c r="HU37" s="56"/>
      <c r="HV37" s="56"/>
      <c r="HW37" s="56"/>
      <c r="HX37" s="56"/>
      <c r="HY37" s="56"/>
      <c r="HZ37" s="56"/>
      <c r="IA37" s="56"/>
      <c r="IB37" s="56"/>
      <c r="IC37" s="56"/>
      <c r="ID37" s="56"/>
      <c r="IE37" s="56"/>
      <c r="IF37" s="56"/>
      <c r="IG37" s="56"/>
      <c r="IH37" s="56"/>
      <c r="II37" s="56"/>
      <c r="IJ37" s="56"/>
      <c r="IK37" s="56"/>
      <c r="IL37" s="56"/>
      <c r="IM37" s="56"/>
      <c r="IN37" s="56"/>
      <c r="IO37" s="56"/>
      <c r="IP37" s="56"/>
      <c r="IQ37" s="56"/>
      <c r="IR37" s="56"/>
      <c r="IS37" s="56"/>
      <c r="IT37" s="56"/>
      <c r="IU37" s="56"/>
      <c r="IV37" s="56"/>
      <c r="IW37" s="56"/>
      <c r="IX37" s="56"/>
      <c r="IY37" s="56"/>
      <c r="IZ37" s="56"/>
      <c r="JA37" s="56"/>
      <c r="JB37" s="56"/>
      <c r="JC37" s="56"/>
      <c r="JD37" s="56"/>
      <c r="JE37" s="56"/>
      <c r="JF37" s="56"/>
      <c r="JG37" s="56"/>
      <c r="JH37" s="56"/>
      <c r="JI37" s="56"/>
      <c r="JJ37" s="56"/>
      <c r="JK37" s="56"/>
      <c r="JL37" s="56"/>
      <c r="JM37" s="56"/>
      <c r="JN37" s="56"/>
      <c r="JO37" s="56"/>
      <c r="JP37" s="56"/>
      <c r="JQ37" s="56"/>
      <c r="JR37" s="56"/>
      <c r="JS37" s="56"/>
      <c r="JT37" s="56"/>
      <c r="JU37" s="56"/>
      <c r="JV37" s="56"/>
      <c r="JW37" s="56"/>
      <c r="JX37" s="56"/>
      <c r="JY37" s="56"/>
      <c r="JZ37" s="56"/>
      <c r="KA37" s="56"/>
      <c r="KB37" s="56"/>
      <c r="KC37" s="56"/>
      <c r="KD37" s="56"/>
      <c r="KE37" s="56"/>
      <c r="KF37" s="56"/>
      <c r="KG37" s="56"/>
      <c r="KH37" s="56"/>
      <c r="KI37" s="56"/>
      <c r="KJ37" s="56"/>
      <c r="KK37" s="56"/>
      <c r="KL37" s="56"/>
      <c r="KM37" s="56"/>
      <c r="KN37" s="56"/>
      <c r="KO37" s="56"/>
      <c r="KP37" s="56"/>
      <c r="KQ37" s="56"/>
      <c r="KR37" s="56"/>
      <c r="KS37" s="56"/>
      <c r="KT37" s="56"/>
      <c r="KU37" s="56"/>
      <c r="KV37" s="56"/>
      <c r="KW37" s="56"/>
      <c r="KX37" s="56"/>
      <c r="KY37" s="56"/>
      <c r="KZ37" s="56"/>
      <c r="LA37" s="56"/>
      <c r="LB37" s="56"/>
      <c r="LC37" s="56"/>
      <c r="LD37" s="56"/>
      <c r="LE37" s="56"/>
      <c r="LF37" s="56"/>
      <c r="LG37" s="56"/>
      <c r="LH37" s="56"/>
      <c r="LI37" s="56"/>
      <c r="LJ37" s="56"/>
      <c r="LK37" s="56"/>
      <c r="LL37" s="56"/>
      <c r="LM37" s="56"/>
      <c r="LN37" s="56"/>
      <c r="LO37" s="56"/>
      <c r="LP37" s="56"/>
      <c r="LQ37" s="56"/>
      <c r="LR37" s="56"/>
      <c r="LS37" s="56"/>
      <c r="LT37" s="56"/>
      <c r="LU37" s="56"/>
      <c r="LV37" s="56"/>
      <c r="LW37" s="56"/>
      <c r="LX37" s="56"/>
      <c r="LY37" s="56"/>
      <c r="LZ37" s="56"/>
      <c r="MA37" s="56"/>
      <c r="MB37" s="56"/>
      <c r="MC37" s="56"/>
      <c r="MD37" s="56"/>
      <c r="ME37" s="56"/>
      <c r="MF37" s="56"/>
      <c r="MG37" s="56"/>
      <c r="MH37" s="56"/>
      <c r="MI37" s="56"/>
      <c r="MJ37" s="56"/>
      <c r="MK37" s="56"/>
      <c r="ML37" s="56"/>
      <c r="MM37" s="56"/>
      <c r="MN37" s="56"/>
      <c r="MO37" s="56"/>
      <c r="MP37" s="56"/>
      <c r="MQ37" s="56"/>
      <c r="MR37" s="56"/>
      <c r="MS37" s="56"/>
      <c r="MT37" s="56"/>
      <c r="MU37" s="56"/>
      <c r="MV37" s="56"/>
      <c r="MW37" s="56"/>
      <c r="MX37" s="56"/>
      <c r="MY37" s="56"/>
      <c r="MZ37" s="56"/>
      <c r="NA37" s="56"/>
      <c r="NB37" s="56"/>
    </row>
    <row r="38" spans="2:367" x14ac:dyDescent="0.15">
      <c r="B38" t="s">
        <v>105</v>
      </c>
      <c r="C38" s="1" t="s">
        <v>3</v>
      </c>
      <c r="D38" s="56"/>
      <c r="F38" s="40">
        <v>0</v>
      </c>
      <c r="G38" s="40">
        <f>-IF(G$7&lt;='Main Assumptions'!$E$22,'Main Assumptions'!$E$21/'Main Assumptions'!$E$22,IF(AND(G7&gt;=$F$5-exit_renovation,G7&lt;$F$5),'Main Assumptions'!$E$23/exit_renovation,0))</f>
        <v>-133333.33333333334</v>
      </c>
      <c r="H38" s="40">
        <f>-IF(H$7&lt;='Main Assumptions'!$E$22,'Main Assumptions'!$E$21/'Main Assumptions'!$E$22,IF(AND(H7&gt;=$F$5-exit_renovation,H7&lt;$F$5),'Main Assumptions'!$E$23/exit_renovation,0))</f>
        <v>-133333.33333333334</v>
      </c>
      <c r="I38" s="40">
        <f>-IF(I$7&lt;='Main Assumptions'!$E$22,'Main Assumptions'!$E$21/'Main Assumptions'!$E$22,IF(AND(I7&gt;=$F$5-exit_renovation,I7&lt;$F$5),'Main Assumptions'!$E$23/exit_renovation,0))</f>
        <v>-133333.33333333334</v>
      </c>
      <c r="J38" s="40">
        <f>-IF(J$7&lt;='Main Assumptions'!$E$22,'Main Assumptions'!$E$21/'Main Assumptions'!$E$22,IF(AND(J7&gt;=$F$5-exit_renovation,J7&lt;$F$5),'Main Assumptions'!$E$23/exit_renovation,0))</f>
        <v>0</v>
      </c>
      <c r="K38" s="40">
        <f>-IF(K$7&lt;='Main Assumptions'!$E$22,'Main Assumptions'!$E$21/'Main Assumptions'!$E$22,IF(AND(K7&gt;=$F$5-exit_renovation,K7&lt;$F$5),'Main Assumptions'!$E$23/exit_renovation,0))</f>
        <v>0</v>
      </c>
      <c r="L38" s="431">
        <f>-IF(L$7&lt;='Main Assumptions'!$E$22,'Main Assumptions'!$E$21/'Main Assumptions'!$E$22,IF(AND(L7&gt;=$F$5-exit_renovation,L7&lt;$F$5),'Main Assumptions'!$E$23/exit_renovation,0))</f>
        <v>0</v>
      </c>
      <c r="M38" s="40">
        <f>-IF(M$7&lt;='Main Assumptions'!$E$22,'Main Assumptions'!$E$21/'Main Assumptions'!$E$22,IF(AND(M7&gt;=$F$5-exit_renovation,M7&lt;$F$5),'Main Assumptions'!$E$23/exit_renovation,0))</f>
        <v>0</v>
      </c>
      <c r="N38" s="40">
        <f>-IF(N$7&lt;='Main Assumptions'!$E$22,'Main Assumptions'!$E$21/'Main Assumptions'!$E$22,IF(AND(N7&gt;=$F$5-exit_renovation,N7&lt;$F$5),'Main Assumptions'!$E$23/exit_renovation,0))</f>
        <v>0</v>
      </c>
      <c r="O38" s="40">
        <f>-IF(O$7&lt;='Main Assumptions'!$E$22,'Main Assumptions'!$E$21/'Main Assumptions'!$E$22,IF(AND(O7&gt;=$F$5-exit_renovation,O7&lt;$F$5),'Main Assumptions'!$E$23/exit_renovation,0))</f>
        <v>0</v>
      </c>
      <c r="P38" s="40">
        <f>-IF(P$7&lt;='Main Assumptions'!$E$22,'Main Assumptions'!$E$21/'Main Assumptions'!$E$22,IF(AND(P7&gt;=$F$5-exit_renovation,P7&lt;$F$5),'Main Assumptions'!$E$23/exit_renovation,0))</f>
        <v>0</v>
      </c>
      <c r="Q38" s="40">
        <f>-IF(Q$7&lt;='Main Assumptions'!$E$22,'Main Assumptions'!$E$21/'Main Assumptions'!$E$22,IF(AND(Q7&gt;=$F$5-exit_renovation,Q7&lt;$F$5),'Main Assumptions'!$E$23/exit_renovation,0))</f>
        <v>0</v>
      </c>
      <c r="R38" s="40">
        <f>-IF(R$7&lt;='Main Assumptions'!$E$22,'Main Assumptions'!$E$21/'Main Assumptions'!$E$22,IF(AND(R7&gt;=$F$5-exit_renovation,R7&lt;$F$5),'Main Assumptions'!$E$23/exit_renovation,0))</f>
        <v>0</v>
      </c>
      <c r="S38" s="40">
        <f>-IF(S$7&lt;='Main Assumptions'!$E$22,'Main Assumptions'!$E$21/'Main Assumptions'!$E$22,IF(AND(S7&gt;=$F$5-exit_renovation,S7&lt;$F$5),'Main Assumptions'!$E$23/exit_renovation,0))</f>
        <v>0</v>
      </c>
      <c r="T38" s="40">
        <f>-IF(T$7&lt;='Main Assumptions'!$E$22,'Main Assumptions'!$E$21/'Main Assumptions'!$E$22,IF(AND(T7&gt;=$F$5-exit_renovation,T7&lt;$F$5),'Main Assumptions'!$E$23/exit_renovation,0))</f>
        <v>0</v>
      </c>
      <c r="U38" s="40">
        <f>-IF(U$7&lt;='Main Assumptions'!$E$22,'Main Assumptions'!$E$21/'Main Assumptions'!$E$22,IF(AND(U7&gt;=$F$5-exit_renovation,U7&lt;$F$5),'Main Assumptions'!$E$23/exit_renovation,0))</f>
        <v>0</v>
      </c>
      <c r="V38" s="40">
        <f>-IF(V$7&lt;='Main Assumptions'!$E$22,'Main Assumptions'!$E$21/'Main Assumptions'!$E$22,IF(AND(V7&gt;=$F$5-exit_renovation,V7&lt;$F$5),'Main Assumptions'!$E$23/exit_renovation,0))</f>
        <v>0</v>
      </c>
      <c r="W38" s="40">
        <f>-IF(W$7&lt;='Main Assumptions'!$E$22,'Main Assumptions'!$E$21/'Main Assumptions'!$E$22,IF(AND(W7&gt;=$F$5-exit_renovation,W7&lt;$F$5),'Main Assumptions'!$E$23/exit_renovation,0))</f>
        <v>0</v>
      </c>
      <c r="X38" s="40">
        <f>-IF(X$7&lt;='Main Assumptions'!$E$22,'Main Assumptions'!$E$21/'Main Assumptions'!$E$22,IF(AND(X7&gt;=$F$5-exit_renovation,X7&lt;$F$5),'Main Assumptions'!$E$23/exit_renovation,0))</f>
        <v>0</v>
      </c>
      <c r="Y38" s="40">
        <f>-IF(Y$7&lt;='Main Assumptions'!$E$22,'Main Assumptions'!$E$21/'Main Assumptions'!$E$22,IF(AND(Y7&gt;=$F$5-exit_renovation,Y7&lt;$F$5),'Main Assumptions'!$E$23/exit_renovation,0))</f>
        <v>0</v>
      </c>
      <c r="Z38" s="40">
        <f>-IF(Z$7&lt;='Main Assumptions'!$E$22,'Main Assumptions'!$E$21/'Main Assumptions'!$E$22,IF(AND(Z7&gt;=$F$5-exit_renovation,Z7&lt;$F$5),'Main Assumptions'!$E$23/exit_renovation,0))</f>
        <v>0</v>
      </c>
      <c r="AA38" s="40">
        <f>-IF(AA$7&lt;='Main Assumptions'!$E$22,'Main Assumptions'!$E$21/'Main Assumptions'!$E$22,IF(AND(AA7&gt;=$F$5-exit_renovation,AA7&lt;$F$5),'Main Assumptions'!$E$23/exit_renovation,0))</f>
        <v>0</v>
      </c>
      <c r="AB38" s="40">
        <f>-IF(AB$7&lt;='Main Assumptions'!$E$22,'Main Assumptions'!$E$21/'Main Assumptions'!$E$22,IF(AND(AB7&gt;=$F$5-exit_renovation,AB7&lt;$F$5),'Main Assumptions'!$E$23/exit_renovation,0))</f>
        <v>0</v>
      </c>
      <c r="AC38" s="40">
        <f>-IF(AC$7&lt;='Main Assumptions'!$E$22,'Main Assumptions'!$E$21/'Main Assumptions'!$E$22,IF(AND(AC7&gt;=$F$5-exit_renovation,AC7&lt;$F$5),'Main Assumptions'!$E$23/exit_renovation,0))</f>
        <v>0</v>
      </c>
      <c r="AD38" s="573">
        <f>-IF(AD$7&lt;='Main Assumptions'!$E$22,'Main Assumptions'!$E$21/'Main Assumptions'!$E$22,IF(AND(AD7&gt;=$F$5-exit_renovation,AD7&lt;$F$5),'Main Assumptions'!$E$23/exit_renovation,0))</f>
        <v>0</v>
      </c>
      <c r="AE38" s="40">
        <f>-IF(AE$7&lt;='Main Assumptions'!$E$22,'Main Assumptions'!$E$21/'Main Assumptions'!$E$22,IF(AND(AE7&gt;=$F$5-exit_renovation,AE7&lt;$F$5),'Main Assumptions'!$E$23/exit_renovation,0))</f>
        <v>0</v>
      </c>
      <c r="AF38" s="40">
        <f>-IF(AF$7&lt;='Main Assumptions'!$E$22,'Main Assumptions'!$E$21/'Main Assumptions'!$E$22,IF(AND(AF7&gt;=$F$5-exit_renovation,AF7&lt;$F$5),'Main Assumptions'!$E$23/exit_renovation,0))</f>
        <v>0</v>
      </c>
      <c r="AG38" s="40">
        <f>-IF(AG$7&lt;='Main Assumptions'!$E$22,'Main Assumptions'!$E$21/'Main Assumptions'!$E$22,IF(AND(AG7&gt;=$F$5-exit_renovation,AG7&lt;$F$5),'Main Assumptions'!$E$23/exit_renovation,0))</f>
        <v>0</v>
      </c>
      <c r="AH38" s="40">
        <f>-IF(AH$7&lt;='Main Assumptions'!$E$22,'Main Assumptions'!$E$21/'Main Assumptions'!$E$22,IF(AND(AH7&gt;=$F$5-exit_renovation,AH7&lt;$F$5),'Main Assumptions'!$E$23/exit_renovation,0))</f>
        <v>0</v>
      </c>
      <c r="AI38" s="40">
        <f>-IF(AI$7&lt;='Main Assumptions'!$E$22,'Main Assumptions'!$E$21/'Main Assumptions'!$E$22,IF(AND(AI7&gt;=$F$5-exit_renovation,AI7&lt;$F$5),'Main Assumptions'!$E$23/exit_renovation,0))</f>
        <v>0</v>
      </c>
      <c r="AJ38" s="40">
        <f>-IF(AJ$7&lt;='Main Assumptions'!$E$22,'Main Assumptions'!$E$21/'Main Assumptions'!$E$22,IF(AND(AJ7&gt;=$F$5-exit_renovation,AJ7&lt;$F$5),'Main Assumptions'!$E$23/exit_renovation,0))</f>
        <v>0</v>
      </c>
      <c r="AK38" s="40">
        <f>-IF(AK$7&lt;='Main Assumptions'!$E$22,'Main Assumptions'!$E$21/'Main Assumptions'!$E$22,IF(AND(AK7&gt;=$F$5-exit_renovation,AK7&lt;$F$5),'Main Assumptions'!$E$23/exit_renovation,0))</f>
        <v>0</v>
      </c>
      <c r="AL38" s="40">
        <f>-IF(AL$7&lt;='Main Assumptions'!$E$22,'Main Assumptions'!$E$21/'Main Assumptions'!$E$22,IF(AND(AL7&gt;=$F$5-exit_renovation,AL7&lt;$F$5),'Main Assumptions'!$E$23/exit_renovation,0))</f>
        <v>0</v>
      </c>
      <c r="AM38" s="40">
        <f>-IF(AM$7&lt;='Main Assumptions'!$E$22,'Main Assumptions'!$E$21/'Main Assumptions'!$E$22,IF(AND(AM7&gt;=$F$5-exit_renovation,AM7&lt;$F$5),'Main Assumptions'!$E$23/exit_renovation,0))</f>
        <v>0</v>
      </c>
      <c r="AN38" s="40">
        <f>-IF(AN$7&lt;='Main Assumptions'!$E$22,'Main Assumptions'!$E$21/'Main Assumptions'!$E$22,IF(AND(AN7&gt;=$F$5-exit_renovation,AN7&lt;$F$5),'Main Assumptions'!$E$23/exit_renovation,0))</f>
        <v>0</v>
      </c>
      <c r="AO38" s="40">
        <f>-IF(AO$7&lt;='Main Assumptions'!$E$22,'Main Assumptions'!$E$21/'Main Assumptions'!$E$22,IF(AND(AO7&gt;=$F$5-exit_renovation,AO7&lt;$F$5),'Main Assumptions'!$E$23/exit_renovation,0))</f>
        <v>0</v>
      </c>
      <c r="AP38" s="40">
        <f>-IF(AP$7&lt;='Main Assumptions'!$E$22,'Main Assumptions'!$E$21/'Main Assumptions'!$E$22,IF(AND(AP7&gt;=$F$5-exit_renovation,AP7&lt;$F$5),'Main Assumptions'!$E$23/exit_renovation,0))</f>
        <v>0</v>
      </c>
      <c r="AQ38" s="40">
        <f>-IF(AQ$7&lt;='Main Assumptions'!$E$22,'Main Assumptions'!$E$21/'Main Assumptions'!$E$22,IF(AND(AQ7&gt;=$F$5-exit_renovation,AQ7&lt;$F$5),'Main Assumptions'!$E$23/exit_renovation,0))</f>
        <v>0</v>
      </c>
      <c r="AR38" s="40">
        <f>-IF(AR$7&lt;='Main Assumptions'!$E$22,'Main Assumptions'!$E$21/'Main Assumptions'!$E$22,IF(AND(AR7&gt;=$F$5-exit_renovation,AR7&lt;$F$5),'Main Assumptions'!$E$23/exit_renovation,0))</f>
        <v>0</v>
      </c>
      <c r="AS38" s="40">
        <f>-IF(AS$7&lt;='Main Assumptions'!$E$22,'Main Assumptions'!$E$21/'Main Assumptions'!$E$22,IF(AND(AS7&gt;=$F$5-exit_renovation,AS7&lt;$F$5),'Main Assumptions'!$E$23/exit_renovation,0))</f>
        <v>0</v>
      </c>
      <c r="AT38" s="40">
        <f>-IF(AT$7&lt;='Main Assumptions'!$E$22,'Main Assumptions'!$E$21/'Main Assumptions'!$E$22,IF(AND(AT7&gt;=$F$5-exit_renovation,AT7&lt;$F$5),'Main Assumptions'!$E$23/exit_renovation,0))</f>
        <v>0</v>
      </c>
      <c r="AU38" s="40">
        <f>-IF(AU$7&lt;='Main Assumptions'!$E$22,'Main Assumptions'!$E$21/'Main Assumptions'!$E$22,IF(AND(AU7&gt;=$F$5-exit_renovation,AU7&lt;$F$5),'Main Assumptions'!$E$23/exit_renovation,0))</f>
        <v>0</v>
      </c>
      <c r="AV38" s="40">
        <f>-IF(AV$7&lt;='Main Assumptions'!$E$22,'Main Assumptions'!$E$21/'Main Assumptions'!$E$22,IF(AND(AV7&gt;=$F$5-exit_renovation,AV7&lt;$F$5),'Main Assumptions'!$E$23/exit_renovation,0))</f>
        <v>0</v>
      </c>
      <c r="AW38" s="40">
        <f>-IF(AW$7&lt;='Main Assumptions'!$E$22,'Main Assumptions'!$E$21/'Main Assumptions'!$E$22,IF(AND(AW7&gt;=$F$5-exit_renovation,AW7&lt;$F$5),'Main Assumptions'!$E$23/exit_renovation,0))</f>
        <v>0</v>
      </c>
      <c r="AX38" s="40">
        <f>-IF(AX$7&lt;='Main Assumptions'!$E$22,'Main Assumptions'!$E$21/'Main Assumptions'!$E$22,IF(AND(AX7&gt;=$F$5-exit_renovation,AX7&lt;$F$5),'Main Assumptions'!$E$23/exit_renovation,0))</f>
        <v>0</v>
      </c>
      <c r="AY38" s="40">
        <f>-IF(AY$7&lt;='Main Assumptions'!$E$22,'Main Assumptions'!$E$21/'Main Assumptions'!$E$22,IF(AND(AY7&gt;=$F$5-exit_renovation,AY7&lt;$F$5),'Main Assumptions'!$E$23/exit_renovation,0))</f>
        <v>0</v>
      </c>
      <c r="AZ38" s="40">
        <f>-IF(AZ$7&lt;='Main Assumptions'!$E$22,'Main Assumptions'!$E$21/'Main Assumptions'!$E$22,IF(AND(AZ7&gt;=$F$5-exit_renovation,AZ7&lt;$F$5),'Main Assumptions'!$E$23/exit_renovation,0))</f>
        <v>0</v>
      </c>
      <c r="BA38" s="40">
        <f>-IF(BA$7&lt;='Main Assumptions'!$E$22,'Main Assumptions'!$E$21/'Main Assumptions'!$E$22,IF(AND(BA7&gt;=$F$5-exit_renovation,BA7&lt;$F$5),'Main Assumptions'!$E$23/exit_renovation,0))</f>
        <v>0</v>
      </c>
      <c r="BB38" s="40">
        <f>-IF(BB$7&lt;='Main Assumptions'!$E$22,'Main Assumptions'!$E$21/'Main Assumptions'!$E$22,IF(AND(BB7&gt;=$F$5-exit_renovation,BB7&lt;$F$5),'Main Assumptions'!$E$23/exit_renovation,0))</f>
        <v>0</v>
      </c>
      <c r="BC38" s="40">
        <f>-IF(BC$7&lt;='Main Assumptions'!$E$22,'Main Assumptions'!$E$21/'Main Assumptions'!$E$22,IF(AND(BC7&gt;=$F$5-exit_renovation,BC7&lt;$F$5),'Main Assumptions'!$E$23/exit_renovation,0))</f>
        <v>0</v>
      </c>
      <c r="BD38" s="40">
        <f>-IF(BD$7&lt;='Main Assumptions'!$E$22,'Main Assumptions'!$E$21/'Main Assumptions'!$E$22,IF(AND(BD7&gt;=$F$5-exit_renovation,BD7&lt;$F$5),'Main Assumptions'!$E$23/exit_renovation,0))</f>
        <v>0</v>
      </c>
      <c r="BE38" s="40">
        <f>-IF(BE$7&lt;='Main Assumptions'!$E$22,'Main Assumptions'!$E$21/'Main Assumptions'!$E$22,IF(AND(BE7&gt;=$F$5-exit_renovation,BE7&lt;$F$5),'Main Assumptions'!$E$23/exit_renovation,0))</f>
        <v>0</v>
      </c>
      <c r="BF38" s="40">
        <f>-IF(BF$7&lt;='Main Assumptions'!$E$22,'Main Assumptions'!$E$21/'Main Assumptions'!$E$22,IF(AND(BF7&gt;=$F$5-exit_renovation,BF7&lt;$F$5),'Main Assumptions'!$E$23/exit_renovation,0))</f>
        <v>0</v>
      </c>
      <c r="BG38" s="40">
        <f>-IF(BG$7&lt;='Main Assumptions'!$E$22,'Main Assumptions'!$E$21/'Main Assumptions'!$E$22,IF(AND(BG7&gt;=$F$5-exit_renovation,BG7&lt;$F$5),'Main Assumptions'!$E$23/exit_renovation,0))</f>
        <v>0</v>
      </c>
      <c r="BH38" s="40">
        <f>-IF(BH$7&lt;='Main Assumptions'!$E$22,'Main Assumptions'!$E$21/'Main Assumptions'!$E$22,IF(AND(BH7&gt;=$F$5-exit_renovation,BH7&lt;$F$5),'Main Assumptions'!$E$23/exit_renovation,0))</f>
        <v>0</v>
      </c>
      <c r="BI38" s="40">
        <f>-IF(BI$7&lt;='Main Assumptions'!$E$22,'Main Assumptions'!$E$21/'Main Assumptions'!$E$22,IF(AND(BI7&gt;=$F$5-exit_renovation,BI7&lt;$F$5),'Main Assumptions'!$E$23/exit_renovation,0))</f>
        <v>0</v>
      </c>
      <c r="BJ38" s="40">
        <f>-IF(BJ$7&lt;='Main Assumptions'!$E$22,'Main Assumptions'!$E$21/'Main Assumptions'!$E$22,IF(AND(BJ7&gt;=$F$5-exit_renovation,BJ7&lt;$F$5),'Main Assumptions'!$E$23/exit_renovation,0))</f>
        <v>0</v>
      </c>
      <c r="BK38" s="40">
        <f>-IF(BK$7&lt;='Main Assumptions'!$E$22,'Main Assumptions'!$E$21/'Main Assumptions'!$E$22,IF(AND(BK7&gt;=$F$5-exit_renovation,BK7&lt;$F$5),'Main Assumptions'!$E$23/exit_renovation,0))</f>
        <v>0</v>
      </c>
      <c r="BL38" s="40">
        <f>-IF(BL$7&lt;='Main Assumptions'!$E$22,'Main Assumptions'!$E$21/'Main Assumptions'!$E$22,IF(AND(BL7&gt;=$F$5-exit_renovation,BL7&lt;$F$5),'Main Assumptions'!$E$23/exit_renovation,0))</f>
        <v>0</v>
      </c>
      <c r="BM38" s="40">
        <f>-IF(BM$7&lt;='Main Assumptions'!$E$22,'Main Assumptions'!$E$21/'Main Assumptions'!$E$22,IF(AND(BM7&gt;=$F$5-exit_renovation,BM7&lt;$F$5),'Main Assumptions'!$E$23/exit_renovation,0))</f>
        <v>0</v>
      </c>
      <c r="BN38" s="40">
        <f>-IF(BN$7&lt;='Main Assumptions'!$E$22,'Main Assumptions'!$E$21/'Main Assumptions'!$E$22,IF(AND(BN7&gt;=$F$5-exit_renovation,BN7&lt;$F$5),'Main Assumptions'!$E$23/exit_renovation,0))</f>
        <v>0</v>
      </c>
      <c r="BO38" s="40">
        <f>-IF(BO$7&lt;='Main Assumptions'!$E$22,'Main Assumptions'!$E$21/'Main Assumptions'!$E$22,IF(AND(BO7&gt;=$F$5-exit_renovation,BO7&lt;$F$5),'Main Assumptions'!$E$23/exit_renovation,0))</f>
        <v>0</v>
      </c>
      <c r="BP38" s="40">
        <f>-IF(BP$7&lt;='Main Assumptions'!$E$22,'Main Assumptions'!$E$21/'Main Assumptions'!$E$22,IF(AND(BP7&gt;=$F$5-exit_renovation,BP7&lt;$F$5),'Main Assumptions'!$E$23/exit_renovation,0))</f>
        <v>0</v>
      </c>
      <c r="BQ38" s="40">
        <f>-IF(BQ$7&lt;='Main Assumptions'!$E$22,'Main Assumptions'!$E$21/'Main Assumptions'!$E$22,IF(AND(BQ7&gt;=$F$5-exit_renovation,BQ7&lt;$F$5),'Main Assumptions'!$E$23/exit_renovation,0))</f>
        <v>0</v>
      </c>
      <c r="BR38" s="40">
        <f>-IF(BR$7&lt;='Main Assumptions'!$E$22,'Main Assumptions'!$E$21/'Main Assumptions'!$E$22,IF(AND(BR7&gt;=$F$5-exit_renovation,BR7&lt;$F$5),'Main Assumptions'!$E$23/exit_renovation,0))</f>
        <v>0</v>
      </c>
      <c r="BS38" s="40">
        <f>-IF(BS$7&lt;='Main Assumptions'!$E$22,'Main Assumptions'!$E$21/'Main Assumptions'!$E$22,IF(AND(BS7&gt;=$F$5-exit_renovation,BS7&lt;$F$5),'Main Assumptions'!$E$23/exit_renovation,0))</f>
        <v>0</v>
      </c>
      <c r="BT38" s="40">
        <f>-IF(BT$7&lt;='Main Assumptions'!$E$22,'Main Assumptions'!$E$21/'Main Assumptions'!$E$22,IF(AND(BT7&gt;=$F$5-exit_renovation,BT7&lt;$F$5),'Main Assumptions'!$E$23/exit_renovation,0))</f>
        <v>0</v>
      </c>
      <c r="BU38" s="40">
        <f>-IF(BU$7&lt;='Main Assumptions'!$E$22,'Main Assumptions'!$E$21/'Main Assumptions'!$E$22,IF(AND(BU7&gt;=$F$5-exit_renovation,BU7&lt;$F$5),'Main Assumptions'!$E$23/exit_renovation,0))</f>
        <v>0</v>
      </c>
      <c r="BV38" s="40">
        <f>-IF(BV$7&lt;='Main Assumptions'!$E$22,'Main Assumptions'!$E$21/'Main Assumptions'!$E$22,IF(AND(BV7&gt;=$F$5-exit_renovation,BV7&lt;$F$5),'Main Assumptions'!$E$23/exit_renovation,0))</f>
        <v>0</v>
      </c>
      <c r="BW38" s="40">
        <f>-IF(BW$7&lt;='Main Assumptions'!$E$22,'Main Assumptions'!$E$21/'Main Assumptions'!$E$22,IF(AND(BW7&gt;=$F$5-exit_renovation,BW7&lt;$F$5),'Main Assumptions'!$E$23/exit_renovation,0))</f>
        <v>0</v>
      </c>
      <c r="BX38" s="40">
        <f>-IF(BX$7&lt;='Main Assumptions'!$E$22,'Main Assumptions'!$E$21/'Main Assumptions'!$E$22,IF(AND(BX7&gt;=$F$5-exit_renovation,BX7&lt;$F$5),'Main Assumptions'!$E$23/exit_renovation,0))</f>
        <v>0</v>
      </c>
      <c r="BY38" s="40">
        <f>-IF(BY$7&lt;='Main Assumptions'!$E$22,'Main Assumptions'!$E$21/'Main Assumptions'!$E$22,IF(AND(BY7&gt;=$F$5-exit_renovation,BY7&lt;$F$5),'Main Assumptions'!$E$23/exit_renovation,0))</f>
        <v>0</v>
      </c>
      <c r="BZ38" s="40">
        <f>-IF(BZ$7&lt;='Main Assumptions'!$E$22,'Main Assumptions'!$E$21/'Main Assumptions'!$E$22,IF(AND(BZ7&gt;=$F$5-exit_renovation,BZ7&lt;$F$5),'Main Assumptions'!$E$23/exit_renovation,0))</f>
        <v>0</v>
      </c>
      <c r="CA38" s="40">
        <f>-IF(CA$7&lt;='Main Assumptions'!$E$22,'Main Assumptions'!$E$21/'Main Assumptions'!$E$22,IF(AND(CA7&gt;=$F$5-exit_renovation,CA7&lt;$F$5),'Main Assumptions'!$E$23/exit_renovation,0))</f>
        <v>0</v>
      </c>
      <c r="CB38" s="40">
        <f>-IF(CB$7&lt;='Main Assumptions'!$E$22,'Main Assumptions'!$E$21/'Main Assumptions'!$E$22,IF(AND(CB7&gt;=$F$5-exit_renovation,CB7&lt;$F$5),'Main Assumptions'!$E$23/exit_renovation,0))</f>
        <v>0</v>
      </c>
      <c r="CC38" s="40">
        <f>-IF(CC$7&lt;='Main Assumptions'!$E$22,'Main Assumptions'!$E$21/'Main Assumptions'!$E$22,IF(AND(CC7&gt;=$F$5-exit_renovation,CC7&lt;$F$5),'Main Assumptions'!$E$23/exit_renovation,0))</f>
        <v>0</v>
      </c>
      <c r="CD38" s="40">
        <f>-IF(CD$7&lt;='Main Assumptions'!$E$22,'Main Assumptions'!$E$21/'Main Assumptions'!$E$22,IF(AND(CD7&gt;=$F$5-exit_renovation,CD7&lt;$F$5),'Main Assumptions'!$E$23/exit_renovation,0))</f>
        <v>0</v>
      </c>
      <c r="CE38" s="40">
        <f>-IF(CE$7&lt;='Main Assumptions'!$E$22,'Main Assumptions'!$E$21/'Main Assumptions'!$E$22,IF(AND(CE7&gt;=$F$5-exit_renovation,CE7&lt;$F$5),'Main Assumptions'!$E$23/exit_renovation,0))</f>
        <v>0</v>
      </c>
      <c r="CF38" s="40">
        <f>-IF(CF$7&lt;='Main Assumptions'!$E$22,'Main Assumptions'!$E$21/'Main Assumptions'!$E$22,IF(AND(CF7&gt;=$F$5-exit_renovation,CF7&lt;$F$5),'Main Assumptions'!$E$23/exit_renovation,0))</f>
        <v>0</v>
      </c>
      <c r="CG38" s="40">
        <f>-IF(CG$7&lt;='Main Assumptions'!$E$22,'Main Assumptions'!$E$21/'Main Assumptions'!$E$22,IF(AND(CG7&gt;=$F$5-exit_renovation,CG7&lt;$F$5),'Main Assumptions'!$E$23/exit_renovation,0))</f>
        <v>0</v>
      </c>
      <c r="CH38" s="40">
        <f>-IF(CH$7&lt;='Main Assumptions'!$E$22,'Main Assumptions'!$E$21/'Main Assumptions'!$E$22,IF(AND(CH7&gt;=$F$5-exit_renovation,CH7&lt;$F$5),'Main Assumptions'!$E$23/exit_renovation,0))</f>
        <v>0</v>
      </c>
      <c r="CI38" s="40">
        <f>-IF(CI$7&lt;='Main Assumptions'!$E$22,'Main Assumptions'!$E$21/'Main Assumptions'!$E$22,IF(AND(CI7&gt;=$F$5-exit_renovation,CI7&lt;$F$5),'Main Assumptions'!$E$23/exit_renovation,0))</f>
        <v>0</v>
      </c>
      <c r="CJ38" s="40">
        <f>-IF(CJ$7&lt;='Main Assumptions'!$E$22,'Main Assumptions'!$E$21/'Main Assumptions'!$E$22,IF(AND(CJ7&gt;=$F$5-exit_renovation,CJ7&lt;$F$5),'Main Assumptions'!$E$23/exit_renovation,0))</f>
        <v>0</v>
      </c>
      <c r="CK38" s="40">
        <f>-IF(CK$7&lt;='Main Assumptions'!$E$22,'Main Assumptions'!$E$21/'Main Assumptions'!$E$22,IF(AND(CK7&gt;=$F$5-exit_renovation,CK7&lt;$F$5),'Main Assumptions'!$E$23/exit_renovation,0))</f>
        <v>0</v>
      </c>
      <c r="CL38" s="40">
        <f>-IF(CL$7&lt;='Main Assumptions'!$E$22,'Main Assumptions'!$E$21/'Main Assumptions'!$E$22,IF(AND(CL7&gt;=$F$5-exit_renovation,CL7&lt;$F$5),'Main Assumptions'!$E$23/exit_renovation,0))</f>
        <v>0</v>
      </c>
      <c r="CM38" s="40">
        <f>-IF(CM$7&lt;='Main Assumptions'!$E$22,'Main Assumptions'!$E$21/'Main Assumptions'!$E$22,IF(AND(CM7&gt;=$F$5-exit_renovation,CM7&lt;$F$5),'Main Assumptions'!$E$23/exit_renovation,0))</f>
        <v>0</v>
      </c>
      <c r="CN38" s="40">
        <f>-IF(CN$7&lt;='Main Assumptions'!$E$22,'Main Assumptions'!$E$21/'Main Assumptions'!$E$22,IF(AND(CN7&gt;=$F$5-exit_renovation,CN7&lt;$F$5),'Main Assumptions'!$E$23/exit_renovation,0))</f>
        <v>0</v>
      </c>
      <c r="CO38" s="40">
        <f>-IF(CO$7&lt;='Main Assumptions'!$E$22,'Main Assumptions'!$E$21/'Main Assumptions'!$E$22,IF(AND(CO7&gt;=$F$5-exit_renovation,CO7&lt;$F$5),'Main Assumptions'!$E$23/exit_renovation,0))</f>
        <v>0</v>
      </c>
      <c r="CP38" s="40">
        <f>-IF(CP$7&lt;='Main Assumptions'!$E$22,'Main Assumptions'!$E$21/'Main Assumptions'!$E$22,IF(AND(CP7&gt;=$F$5-exit_renovation,CP7&lt;$F$5),'Main Assumptions'!$E$23/exit_renovation,0))</f>
        <v>0</v>
      </c>
      <c r="CQ38" s="40">
        <f>-IF(CQ$7&lt;='Main Assumptions'!$E$22,'Main Assumptions'!$E$21/'Main Assumptions'!$E$22,IF(AND(CQ7&gt;=$F$5-exit_renovation,CQ7&lt;$F$5),'Main Assumptions'!$E$23/exit_renovation,0))</f>
        <v>0</v>
      </c>
      <c r="CR38" s="40">
        <f>-IF(CR$7&lt;='Main Assumptions'!$E$22,'Main Assumptions'!$E$21/'Main Assumptions'!$E$22,IF(AND(CR7&gt;=$F$5-exit_renovation,CR7&lt;$F$5),'Main Assumptions'!$E$23/exit_renovation,0))</f>
        <v>0</v>
      </c>
      <c r="CS38" s="40">
        <f>-IF(CS$7&lt;='Main Assumptions'!$E$22,'Main Assumptions'!$E$21/'Main Assumptions'!$E$22,IF(AND(CS7&gt;=$F$5-exit_renovation,CS7&lt;$F$5),'Main Assumptions'!$E$23/exit_renovation,0))</f>
        <v>0</v>
      </c>
      <c r="CT38" s="40">
        <f>-IF(CT$7&lt;='Main Assumptions'!$E$22,'Main Assumptions'!$E$21/'Main Assumptions'!$E$22,IF(AND(CT7&gt;=$F$5-exit_renovation,CT7&lt;$F$5),'Main Assumptions'!$E$23/exit_renovation,0))</f>
        <v>0</v>
      </c>
      <c r="CU38" s="40">
        <f>-IF(CU$7&lt;='Main Assumptions'!$E$22,'Main Assumptions'!$E$21/'Main Assumptions'!$E$22,IF(AND(CU7&gt;=$F$5-exit_renovation,CU7&lt;$F$5),'Main Assumptions'!$E$23/exit_renovation,0))</f>
        <v>0</v>
      </c>
      <c r="CV38" s="40">
        <f>-IF(CV$7&lt;='Main Assumptions'!$E$22,'Main Assumptions'!$E$21/'Main Assumptions'!$E$22,IF(AND(CV7&gt;=$F$5-exit_renovation,CV7&lt;$F$5),'Main Assumptions'!$E$23/exit_renovation,0))</f>
        <v>0</v>
      </c>
      <c r="CW38" s="40">
        <f>-IF(CW$7&lt;='Main Assumptions'!$E$22,'Main Assumptions'!$E$21/'Main Assumptions'!$E$22,IF(AND(CW7&gt;=$F$5-exit_renovation,CW7&lt;$F$5),'Main Assumptions'!$E$23/exit_renovation,0))</f>
        <v>0</v>
      </c>
      <c r="CX38" s="40">
        <f>-IF(CX$7&lt;='Main Assumptions'!$E$22,'Main Assumptions'!$E$21/'Main Assumptions'!$E$22,IF(AND(CX7&gt;=$F$5-exit_renovation,CX7&lt;$F$5),'Main Assumptions'!$E$23/exit_renovation,0))</f>
        <v>0</v>
      </c>
      <c r="CY38" s="40">
        <f>-IF(CY$7&lt;='Main Assumptions'!$E$22,'Main Assumptions'!$E$21/'Main Assumptions'!$E$22,IF(AND(CY7&gt;=$F$5-exit_renovation,CY7&lt;$F$5),'Main Assumptions'!$E$23/exit_renovation,0))</f>
        <v>0</v>
      </c>
      <c r="CZ38" s="40">
        <f>-IF(CZ$7&lt;='Main Assumptions'!$E$22,'Main Assumptions'!$E$21/'Main Assumptions'!$E$22,IF(AND(CZ7&gt;=$F$5-exit_renovation,CZ7&lt;$F$5),'Main Assumptions'!$E$23/exit_renovation,0))</f>
        <v>0</v>
      </c>
      <c r="DA38" s="40">
        <f>-IF(DA$7&lt;='Main Assumptions'!$E$22,'Main Assumptions'!$E$21/'Main Assumptions'!$E$22,IF(AND(DA7&gt;=$F$5-exit_renovation,DA7&lt;$F$5),'Main Assumptions'!$E$23/exit_renovation,0))</f>
        <v>0</v>
      </c>
      <c r="DB38" s="40">
        <f>-IF(DB$7&lt;='Main Assumptions'!$E$22,'Main Assumptions'!$E$21/'Main Assumptions'!$E$22,IF(AND(DB7&gt;=$F$5-exit_renovation,DB7&lt;$F$5),'Main Assumptions'!$E$23/exit_renovation,0))</f>
        <v>0</v>
      </c>
      <c r="DC38" s="40">
        <f>-IF(DC$7&lt;='Main Assumptions'!$E$22,'Main Assumptions'!$E$21/'Main Assumptions'!$E$22,IF(AND(DC7&gt;=$F$5-exit_renovation,DC7&lt;$F$5),'Main Assumptions'!$E$23/exit_renovation,0))</f>
        <v>0</v>
      </c>
      <c r="DD38" s="40">
        <f>-IF(DD$7&lt;='Main Assumptions'!$E$22,'Main Assumptions'!$E$21/'Main Assumptions'!$E$22,IF(AND(DD7&gt;=$F$5-exit_renovation,DD7&lt;$F$5),'Main Assumptions'!$E$23/exit_renovation,0))</f>
        <v>0</v>
      </c>
      <c r="DE38" s="40">
        <f>-IF(DE$7&lt;='Main Assumptions'!$E$22,'Main Assumptions'!$E$21/'Main Assumptions'!$E$22,IF(AND(DE7&gt;=$F$5-exit_renovation,DE7&lt;$F$5),'Main Assumptions'!$E$23/exit_renovation,0))</f>
        <v>0</v>
      </c>
      <c r="DF38" s="40">
        <f>-IF(DF$7&lt;='Main Assumptions'!$E$22,'Main Assumptions'!$E$21/'Main Assumptions'!$E$22,IF(AND(DF7&gt;=$F$5-exit_renovation,DF7&lt;$F$5),'Main Assumptions'!$E$23/exit_renovation,0))</f>
        <v>0</v>
      </c>
      <c r="DG38" s="40">
        <f>-IF(DG$7&lt;='Main Assumptions'!$E$22,'Main Assumptions'!$E$21/'Main Assumptions'!$E$22,IF(AND(DG7&gt;=$F$5-exit_renovation,DG7&lt;$F$5),'Main Assumptions'!$E$23/exit_renovation,0))</f>
        <v>0</v>
      </c>
      <c r="DH38" s="40">
        <f>-IF(DH$7&lt;='Main Assumptions'!$E$22,'Main Assumptions'!$E$21/'Main Assumptions'!$E$22,IF(AND(DH7&gt;=$F$5-exit_renovation,DH7&lt;$F$5),'Main Assumptions'!$E$23/exit_renovation,0))</f>
        <v>0</v>
      </c>
      <c r="DI38" s="40">
        <f>-IF(DI$7&lt;='Main Assumptions'!$E$22,'Main Assumptions'!$E$21/'Main Assumptions'!$E$22,IF(AND(DI7&gt;=$F$5-exit_renovation,DI7&lt;$F$5),'Main Assumptions'!$E$23/exit_renovation,0))</f>
        <v>0</v>
      </c>
      <c r="DJ38" s="40">
        <f>-IF(DJ$7&lt;='Main Assumptions'!$E$22,'Main Assumptions'!$E$21/'Main Assumptions'!$E$22,IF(AND(DJ7&gt;=$F$5-exit_renovation,DJ7&lt;$F$5),'Main Assumptions'!$E$23/exit_renovation,0))</f>
        <v>0</v>
      </c>
      <c r="DK38" s="40">
        <f>-IF(DK$7&lt;='Main Assumptions'!$E$22,'Main Assumptions'!$E$21/'Main Assumptions'!$E$22,IF(AND(DK7&gt;=$F$5-exit_renovation,DK7&lt;$F$5),'Main Assumptions'!$E$23/exit_renovation,0))</f>
        <v>0</v>
      </c>
      <c r="DL38" s="40">
        <f>-IF(DL$7&lt;='Main Assumptions'!$E$22,'Main Assumptions'!$E$21/'Main Assumptions'!$E$22,IF(AND(DL7&gt;=$F$5-exit_renovation,DL7&lt;$F$5),'Main Assumptions'!$E$23/exit_renovation,0))</f>
        <v>0</v>
      </c>
      <c r="DM38" s="40">
        <f>-IF(DM$7&lt;='Main Assumptions'!$E$22,'Main Assumptions'!$E$21/'Main Assumptions'!$E$22,IF(AND(DM7&gt;=$F$5-exit_renovation,DM7&lt;$F$5),'Main Assumptions'!$E$23/exit_renovation,0))</f>
        <v>0</v>
      </c>
      <c r="DN38" s="40">
        <f>-IF(DN$7&lt;='Main Assumptions'!$E$22,'Main Assumptions'!$E$21/'Main Assumptions'!$E$22,IF(AND(DN7&gt;=$F$5-exit_renovation,DN7&lt;$F$5),'Main Assumptions'!$E$23/exit_renovation,0))</f>
        <v>0</v>
      </c>
      <c r="DO38" s="40">
        <f>-IF(DO$7&lt;='Main Assumptions'!$E$22,'Main Assumptions'!$E$21/'Main Assumptions'!$E$22,IF(AND(DO7&gt;=$F$5-exit_renovation,DO7&lt;$F$5),'Main Assumptions'!$E$23/exit_renovation,0))</f>
        <v>0</v>
      </c>
      <c r="DP38" s="40">
        <f>-IF(DP$7&lt;='Main Assumptions'!$E$22,'Main Assumptions'!$E$21/'Main Assumptions'!$E$22,IF(AND(DP7&gt;=$F$5-exit_renovation,DP7&lt;$F$5),'Main Assumptions'!$E$23/exit_renovation,0))</f>
        <v>0</v>
      </c>
      <c r="DQ38" s="40">
        <f>-IF(DQ$7&lt;='Main Assumptions'!$E$22,'Main Assumptions'!$E$21/'Main Assumptions'!$E$22,IF(AND(DQ7&gt;=$F$5-exit_renovation,DQ7&lt;$F$5),'Main Assumptions'!$E$23/exit_renovation,0))</f>
        <v>0</v>
      </c>
      <c r="DR38" s="40">
        <f>-IF(DR$7&lt;='Main Assumptions'!$E$22,'Main Assumptions'!$E$21/'Main Assumptions'!$E$22,IF(AND(DR7&gt;=$F$5-exit_renovation,DR7&lt;$F$5),'Main Assumptions'!$E$23/exit_renovation,0))</f>
        <v>0</v>
      </c>
      <c r="DS38" s="40">
        <f>-IF(DS$7&lt;='Main Assumptions'!$E$22,'Main Assumptions'!$E$21/'Main Assumptions'!$E$22,IF(AND(DS7&gt;=$F$5-exit_renovation,DS7&lt;$F$5),'Main Assumptions'!$E$23/exit_renovation,0))</f>
        <v>0</v>
      </c>
      <c r="DT38" s="40">
        <f>-IF(DT$7&lt;='Main Assumptions'!$E$22,'Main Assumptions'!$E$21/'Main Assumptions'!$E$22,IF(AND(DT7&gt;=$F$5-exit_renovation,DT7&lt;$F$5),'Main Assumptions'!$E$23/exit_renovation,0))</f>
        <v>0</v>
      </c>
      <c r="DU38" s="40">
        <f>-IF(DU$7&lt;='Main Assumptions'!$E$22,'Main Assumptions'!$E$21/'Main Assumptions'!$E$22,IF(AND(DU7&gt;=$F$5-exit_renovation,DU7&lt;$F$5),'Main Assumptions'!$E$23/exit_renovation,0))</f>
        <v>0</v>
      </c>
      <c r="DV38" s="40">
        <f>-IF(DV$7&lt;='Main Assumptions'!$E$22,'Main Assumptions'!$E$21/'Main Assumptions'!$E$22,IF(AND(DV7&gt;=$F$5-exit_renovation,DV7&lt;$F$5),'Main Assumptions'!$E$23/exit_renovation,0))</f>
        <v>0</v>
      </c>
      <c r="DW38" s="40">
        <f>-IF(DW$7&lt;='Main Assumptions'!$E$22,'Main Assumptions'!$E$21/'Main Assumptions'!$E$22,IF(AND(DW7&gt;=$F$5-exit_renovation,DW7&lt;$F$5),'Main Assumptions'!$E$23/exit_renovation,0))</f>
        <v>0</v>
      </c>
      <c r="DX38" s="40">
        <f>-IF(DX$7&lt;='Main Assumptions'!$E$22,'Main Assumptions'!$E$21/'Main Assumptions'!$E$22,IF(AND(DX7&gt;=$F$5-exit_renovation,DX7&lt;$F$5),'Main Assumptions'!$E$23/exit_renovation,0))</f>
        <v>0</v>
      </c>
      <c r="DY38" s="40">
        <f>-IF(DY$7&lt;='Main Assumptions'!$E$22,'Main Assumptions'!$E$21/'Main Assumptions'!$E$22,IF(AND(DY7&gt;=$F$5-exit_renovation,DY7&lt;$F$5),'Main Assumptions'!$E$23/exit_renovation,0))</f>
        <v>0</v>
      </c>
      <c r="DZ38" s="40">
        <f>-IF(DZ$7&lt;='Main Assumptions'!$E$22,'Main Assumptions'!$E$21/'Main Assumptions'!$E$22,IF(AND(DZ7&gt;=$F$5-exit_renovation,DZ7&lt;$F$5),'Main Assumptions'!$E$23/exit_renovation,0))</f>
        <v>0</v>
      </c>
      <c r="EA38" s="40">
        <f>-IF(EA$7&lt;='Main Assumptions'!$E$22,'Main Assumptions'!$E$21/'Main Assumptions'!$E$22,IF(AND(EA7&gt;=$F$5-exit_renovation,EA7&lt;$F$5),'Main Assumptions'!$E$23/exit_renovation,0))</f>
        <v>0</v>
      </c>
      <c r="EB38" s="40">
        <f>-IF(EB$7&lt;='Main Assumptions'!$E$22,'Main Assumptions'!$E$21/'Main Assumptions'!$E$22,IF(AND(EB7&gt;=$F$5-exit_renovation,EB7&lt;$F$5),'Main Assumptions'!$E$23/exit_renovation,0))</f>
        <v>0</v>
      </c>
      <c r="EC38" s="40">
        <f>-IF(EC$7&lt;='Main Assumptions'!$E$22,'Main Assumptions'!$E$21/'Main Assumptions'!$E$22,IF(AND(EC7&gt;=$F$5-exit_renovation,EC7&lt;$F$5),'Main Assumptions'!$E$23/exit_renovation,0))</f>
        <v>0</v>
      </c>
      <c r="ED38" s="40">
        <f>-IF(ED$7&lt;='Main Assumptions'!$E$22,'Main Assumptions'!$E$21/'Main Assumptions'!$E$22,IF(AND(ED7&gt;=$F$5-exit_renovation,ED7&lt;$F$5),'Main Assumptions'!$E$23/exit_renovation,0))</f>
        <v>0</v>
      </c>
      <c r="EE38" s="40">
        <f>-IF(EE$7&lt;='Main Assumptions'!$E$22,'Main Assumptions'!$E$21/'Main Assumptions'!$E$22,IF(AND(EE7&gt;=$F$5-exit_renovation,EE7&lt;$F$5),'Main Assumptions'!$E$23/exit_renovation,0))</f>
        <v>0</v>
      </c>
      <c r="EF38" s="40">
        <f>-IF(EF$7&lt;='Main Assumptions'!$E$22,'Main Assumptions'!$E$21/'Main Assumptions'!$E$22,IF(AND(EF7&gt;=$F$5-exit_renovation,EF7&lt;$F$5),'Main Assumptions'!$E$23/exit_renovation,0))</f>
        <v>0</v>
      </c>
      <c r="EG38" s="40">
        <f>-IF(EG$7&lt;='Main Assumptions'!$E$22,'Main Assumptions'!$E$21/'Main Assumptions'!$E$22,IF(AND(EG7&gt;=$F$5-exit_renovation,EG7&lt;$F$5),'Main Assumptions'!$E$23/exit_renovation,0))</f>
        <v>0</v>
      </c>
      <c r="EH38" s="40">
        <f>-IF(EH$7&lt;='Main Assumptions'!$E$22,'Main Assumptions'!$E$21/'Main Assumptions'!$E$22,IF(AND(EH7&gt;=$F$5-exit_renovation,EH7&lt;$F$5),'Main Assumptions'!$E$23/exit_renovation,0))</f>
        <v>0</v>
      </c>
      <c r="EI38" s="40">
        <f>-IF(EI$7&lt;='Main Assumptions'!$E$22,'Main Assumptions'!$E$21/'Main Assumptions'!$E$22,IF(AND(EI7&gt;=$F$5-exit_renovation,EI7&lt;$F$5),'Main Assumptions'!$E$23/exit_renovation,0))</f>
        <v>0</v>
      </c>
      <c r="EJ38" s="40">
        <f>-IF(EJ$7&lt;='Main Assumptions'!$E$22,'Main Assumptions'!$E$21/'Main Assumptions'!$E$22,IF(AND(EJ7&gt;=$F$5-exit_renovation,EJ7&lt;$F$5),'Main Assumptions'!$E$23/exit_renovation,0))</f>
        <v>0</v>
      </c>
      <c r="EK38" s="40">
        <f>-IF(EK$7&lt;='Main Assumptions'!$E$22,'Main Assumptions'!$E$21/'Main Assumptions'!$E$22,IF(AND(EK7&gt;=$F$5-exit_renovation,EK7&lt;$F$5),'Main Assumptions'!$E$23/exit_renovation,0))</f>
        <v>0</v>
      </c>
      <c r="EL38" s="40">
        <f>-IF(EL$7&lt;='Main Assumptions'!$E$22,'Main Assumptions'!$E$21/'Main Assumptions'!$E$22,IF(AND(EL7&gt;=$F$5-exit_renovation,EL7&lt;$F$5),'Main Assumptions'!$E$23/exit_renovation,0))</f>
        <v>0</v>
      </c>
      <c r="EM38" s="40">
        <f>-IF(EM$7&lt;='Main Assumptions'!$E$22,'Main Assumptions'!$E$21/'Main Assumptions'!$E$22,IF(AND(EM7&gt;=$F$5-exit_renovation,EM7&lt;$F$5),'Main Assumptions'!$E$23/exit_renovation,0))</f>
        <v>0</v>
      </c>
      <c r="EN38" s="40">
        <f>-IF(EN$7&lt;='Main Assumptions'!$E$22,'Main Assumptions'!$E$21/'Main Assumptions'!$E$22,IF(AND(EN7&gt;=$F$5-exit_renovation,EN7&lt;$F$5),'Main Assumptions'!$E$23/exit_renovation,0))</f>
        <v>0</v>
      </c>
      <c r="EO38" s="40">
        <f>-IF(EO$7&lt;='Main Assumptions'!$E$22,'Main Assumptions'!$E$21/'Main Assumptions'!$E$22,IF(AND(EO7&gt;=$F$5-exit_renovation,EO7&lt;$F$5),'Main Assumptions'!$E$23/exit_renovation,0))</f>
        <v>0</v>
      </c>
      <c r="EP38" s="40">
        <f>-IF(EP$7&lt;='Main Assumptions'!$E$22,'Main Assumptions'!$E$21/'Main Assumptions'!$E$22,IF(AND(EP7&gt;=$F$5-exit_renovation,EP7&lt;$F$5),'Main Assumptions'!$E$23/exit_renovation,0))</f>
        <v>0</v>
      </c>
      <c r="EQ38" s="40">
        <f>-IF(EQ$7&lt;='Main Assumptions'!$E$22,'Main Assumptions'!$E$21/'Main Assumptions'!$E$22,IF(AND(EQ7&gt;=$F$5-exit_renovation,EQ7&lt;$F$5),'Main Assumptions'!$E$23/exit_renovation,0))</f>
        <v>0</v>
      </c>
      <c r="ER38" s="40">
        <f>-IF(ER$7&lt;='Main Assumptions'!$E$22,'Main Assumptions'!$E$21/'Main Assumptions'!$E$22,IF(AND(ER7&gt;=$F$5-exit_renovation,ER7&lt;$F$5),'Main Assumptions'!$E$23/exit_renovation,0))</f>
        <v>0</v>
      </c>
      <c r="ES38" s="40">
        <f>-IF(ES$7&lt;='Main Assumptions'!$E$22,'Main Assumptions'!$E$21/'Main Assumptions'!$E$22,IF(AND(ES7&gt;=$F$5-exit_renovation,ES7&lt;$F$5),'Main Assumptions'!$E$23/exit_renovation,0))</f>
        <v>0</v>
      </c>
      <c r="ET38" s="40">
        <f>-IF(ET$7&lt;='Main Assumptions'!$E$22,'Main Assumptions'!$E$21/'Main Assumptions'!$E$22,IF(AND(ET7&gt;=$F$5-exit_renovation,ET7&lt;$F$5),'Main Assumptions'!$E$23/exit_renovation,0))</f>
        <v>0</v>
      </c>
      <c r="EU38" s="40">
        <f>-IF(EU$7&lt;='Main Assumptions'!$E$22,'Main Assumptions'!$E$21/'Main Assumptions'!$E$22,IF(AND(EU7&gt;=$F$5-exit_renovation,EU7&lt;$F$5),'Main Assumptions'!$E$23/exit_renovation,0))</f>
        <v>0</v>
      </c>
      <c r="EV38" s="40">
        <f>-IF(EV$7&lt;='Main Assumptions'!$E$22,'Main Assumptions'!$E$21/'Main Assumptions'!$E$22,IF(AND(EV7&gt;=$F$5-exit_renovation,EV7&lt;$F$5),'Main Assumptions'!$E$23/exit_renovation,0))</f>
        <v>0</v>
      </c>
      <c r="EW38" s="40">
        <f>-IF(EW$7&lt;='Main Assumptions'!$E$22,'Main Assumptions'!$E$21/'Main Assumptions'!$E$22,IF(AND(EW7&gt;=$F$5-exit_renovation,EW7&lt;$F$5),'Main Assumptions'!$E$23/exit_renovation,0))</f>
        <v>0</v>
      </c>
      <c r="EX38" s="40">
        <f>-IF(EX$7&lt;='Main Assumptions'!$E$22,'Main Assumptions'!$E$21/'Main Assumptions'!$E$22,IF(AND(EX7&gt;=$F$5-exit_renovation,EX7&lt;$F$5),'Main Assumptions'!$E$23/exit_renovation,0))</f>
        <v>0</v>
      </c>
      <c r="EY38" s="40">
        <f>-IF(EY$7&lt;='Main Assumptions'!$E$22,'Main Assumptions'!$E$21/'Main Assumptions'!$E$22,IF(AND(EY7&gt;=$F$5-exit_renovation,EY7&lt;$F$5),'Main Assumptions'!$E$23/exit_renovation,0))</f>
        <v>0</v>
      </c>
      <c r="EZ38" s="40">
        <f>-IF(EZ$7&lt;='Main Assumptions'!$E$22,'Main Assumptions'!$E$21/'Main Assumptions'!$E$22,IF(AND(EZ7&gt;=$F$5-exit_renovation,EZ7&lt;$F$5),'Main Assumptions'!$E$23/exit_renovation,0))</f>
        <v>0</v>
      </c>
      <c r="FA38" s="40">
        <f>-IF(FA$7&lt;='Main Assumptions'!$E$22,'Main Assumptions'!$E$21/'Main Assumptions'!$E$22,IF(AND(FA7&gt;=$F$5-exit_renovation,FA7&lt;$F$5),'Main Assumptions'!$E$23/exit_renovation,0))</f>
        <v>0</v>
      </c>
      <c r="FB38" s="40">
        <f>-IF(FB$7&lt;='Main Assumptions'!$E$22,'Main Assumptions'!$E$21/'Main Assumptions'!$E$22,IF(AND(FB7&gt;=$F$5-exit_renovation,FB7&lt;$F$5),'Main Assumptions'!$E$23/exit_renovation,0))</f>
        <v>0</v>
      </c>
      <c r="FC38" s="40">
        <f>-IF(FC$7&lt;='Main Assumptions'!$E$22,'Main Assumptions'!$E$21/'Main Assumptions'!$E$22,IF(AND(FC7&gt;=$F$5-exit_renovation,FC7&lt;$F$5),'Main Assumptions'!$E$23/exit_renovation,0))</f>
        <v>0</v>
      </c>
      <c r="FD38" s="40">
        <f>-IF(FD$7&lt;='Main Assumptions'!$E$22,'Main Assumptions'!$E$21/'Main Assumptions'!$E$22,IF(AND(FD7&gt;=$F$5-exit_renovation,FD7&lt;$F$5),'Main Assumptions'!$E$23/exit_renovation,0))</f>
        <v>0</v>
      </c>
      <c r="FE38" s="40">
        <f>-IF(FE$7&lt;='Main Assumptions'!$E$22,'Main Assumptions'!$E$21/'Main Assumptions'!$E$22,IF(AND(FE7&gt;=$F$5-exit_renovation,FE7&lt;$F$5),'Main Assumptions'!$E$23/exit_renovation,0))</f>
        <v>0</v>
      </c>
      <c r="FF38" s="40">
        <f>-IF(FF$7&lt;='Main Assumptions'!$E$22,'Main Assumptions'!$E$21/'Main Assumptions'!$E$22,IF(AND(FF7&gt;=$F$5-exit_renovation,FF7&lt;$F$5),'Main Assumptions'!$E$23/exit_renovation,0))</f>
        <v>0</v>
      </c>
      <c r="FG38" s="40">
        <f>-IF(FG$7&lt;='Main Assumptions'!$E$22,'Main Assumptions'!$E$21/'Main Assumptions'!$E$22,IF(AND(FG7&gt;=$F$5-exit_renovation,FG7&lt;$F$5),'Main Assumptions'!$E$23/exit_renovation,0))</f>
        <v>0</v>
      </c>
      <c r="FH38" s="40">
        <f>-IF(FH$7&lt;='Main Assumptions'!$E$22,'Main Assumptions'!$E$21/'Main Assumptions'!$E$22,IF(AND(FH7&gt;=$F$5-exit_renovation,FH7&lt;$F$5),'Main Assumptions'!$E$23/exit_renovation,0))</f>
        <v>0</v>
      </c>
      <c r="FI38" s="40">
        <f>-IF(FI$7&lt;='Main Assumptions'!$E$22,'Main Assumptions'!$E$21/'Main Assumptions'!$E$22,IF(AND(FI7&gt;=$F$5-exit_renovation,FI7&lt;$F$5),'Main Assumptions'!$E$23/exit_renovation,0))</f>
        <v>0</v>
      </c>
      <c r="FJ38" s="40">
        <f>-IF(FJ$7&lt;='Main Assumptions'!$E$22,'Main Assumptions'!$E$21/'Main Assumptions'!$E$22,IF(AND(FJ7&gt;=$F$5-exit_renovation,FJ7&lt;$F$5),'Main Assumptions'!$E$23/exit_renovation,0))</f>
        <v>0</v>
      </c>
      <c r="FK38" s="40">
        <f>-IF(FK$7&lt;='Main Assumptions'!$E$22,'Main Assumptions'!$E$21/'Main Assumptions'!$E$22,IF(AND(FK7&gt;=$F$5-exit_renovation,FK7&lt;$F$5),'Main Assumptions'!$E$23/exit_renovation,0))</f>
        <v>0</v>
      </c>
      <c r="FL38" s="40">
        <f>-IF(FL$7&lt;='Main Assumptions'!$E$22,'Main Assumptions'!$E$21/'Main Assumptions'!$E$22,IF(AND(FL7&gt;=$F$5-exit_renovation,FL7&lt;$F$5),'Main Assumptions'!$E$23/exit_renovation,0))</f>
        <v>0</v>
      </c>
      <c r="FM38" s="40">
        <f>-IF(FM$7&lt;='Main Assumptions'!$E$22,'Main Assumptions'!$E$21/'Main Assumptions'!$E$22,IF(AND(FM7&gt;=$F$5-exit_renovation,FM7&lt;$F$5),'Main Assumptions'!$E$23/exit_renovation,0))</f>
        <v>0</v>
      </c>
      <c r="FN38" s="40">
        <f>-IF(FN$7&lt;='Main Assumptions'!$E$22,'Main Assumptions'!$E$21/'Main Assumptions'!$E$22,IF(AND(FN7&gt;=$F$5-exit_renovation,FN7&lt;$F$5),'Main Assumptions'!$E$23/exit_renovation,0))</f>
        <v>0</v>
      </c>
      <c r="FO38" s="40">
        <f>-IF(FO$7&lt;='Main Assumptions'!$E$22,'Main Assumptions'!$E$21/'Main Assumptions'!$E$22,IF(AND(FO7&gt;=$F$5-exit_renovation,FO7&lt;$F$5),'Main Assumptions'!$E$23/exit_renovation,0))</f>
        <v>0</v>
      </c>
      <c r="FP38" s="40">
        <f>-IF(FP$7&lt;='Main Assumptions'!$E$22,'Main Assumptions'!$E$21/'Main Assumptions'!$E$22,IF(AND(FP7&gt;=$F$5-exit_renovation,FP7&lt;$F$5),'Main Assumptions'!$E$23/exit_renovation,0))</f>
        <v>0</v>
      </c>
      <c r="FQ38" s="40">
        <f>-IF(FQ$7&lt;='Main Assumptions'!$E$22,'Main Assumptions'!$E$21/'Main Assumptions'!$E$22,IF(AND(FQ7&gt;=$F$5-exit_renovation,FQ7&lt;$F$5),'Main Assumptions'!$E$23/exit_renovation,0))</f>
        <v>0</v>
      </c>
      <c r="FR38" s="40">
        <f>-IF(FR$7&lt;='Main Assumptions'!$E$22,'Main Assumptions'!$E$21/'Main Assumptions'!$E$22,IF(AND(FR7&gt;=$F$5-exit_renovation,FR7&lt;$F$5),'Main Assumptions'!$E$23/exit_renovation,0))</f>
        <v>0</v>
      </c>
      <c r="FS38" s="40">
        <f>-IF(FS$7&lt;='Main Assumptions'!$E$22,'Main Assumptions'!$E$21/'Main Assumptions'!$E$22,IF(AND(FS7&gt;=$F$5-exit_renovation,FS7&lt;$F$5),'Main Assumptions'!$E$23/exit_renovation,0))</f>
        <v>0</v>
      </c>
      <c r="FT38" s="40">
        <f>-IF(FT$7&lt;='Main Assumptions'!$E$22,'Main Assumptions'!$E$21/'Main Assumptions'!$E$22,IF(AND(FT7&gt;=$F$5-exit_renovation,FT7&lt;$F$5),'Main Assumptions'!$E$23/exit_renovation,0))</f>
        <v>0</v>
      </c>
      <c r="FU38" s="40">
        <f>-IF(FU$7&lt;='Main Assumptions'!$E$22,'Main Assumptions'!$E$21/'Main Assumptions'!$E$22,IF(AND(FU7&gt;=$F$5-exit_renovation,FU7&lt;$F$5),'Main Assumptions'!$E$23/exit_renovation,0))</f>
        <v>0</v>
      </c>
      <c r="FV38" s="40">
        <f>-IF(FV$7&lt;='Main Assumptions'!$E$22,'Main Assumptions'!$E$21/'Main Assumptions'!$E$22,IF(AND(FV7&gt;=$F$5-exit_renovation,FV7&lt;$F$5),'Main Assumptions'!$E$23/exit_renovation,0))</f>
        <v>0</v>
      </c>
      <c r="FW38" s="40">
        <f>-IF(FW$7&lt;='Main Assumptions'!$E$22,'Main Assumptions'!$E$21/'Main Assumptions'!$E$22,IF(AND(FW7&gt;=$F$5-exit_renovation,FW7&lt;$F$5),'Main Assumptions'!$E$23/exit_renovation,0))</f>
        <v>0</v>
      </c>
      <c r="FX38" s="40">
        <f>-IF(FX$7&lt;='Main Assumptions'!$E$22,'Main Assumptions'!$E$21/'Main Assumptions'!$E$22,IF(AND(FX7&gt;=$F$5-exit_renovation,FX7&lt;$F$5),'Main Assumptions'!$E$23/exit_renovation,0))</f>
        <v>0</v>
      </c>
      <c r="FY38" s="40">
        <f>-IF(FY$7&lt;='Main Assumptions'!$E$22,'Main Assumptions'!$E$21/'Main Assumptions'!$E$22,IF(AND(FY7&gt;=$F$5-exit_renovation,FY7&lt;$F$5),'Main Assumptions'!$E$23/exit_renovation,0))</f>
        <v>0</v>
      </c>
      <c r="FZ38" s="40">
        <f>-IF(FZ$7&lt;='Main Assumptions'!$E$22,'Main Assumptions'!$E$21/'Main Assumptions'!$E$22,IF(AND(FZ7&gt;=$F$5-exit_renovation,FZ7&lt;$F$5),'Main Assumptions'!$E$23/exit_renovation,0))</f>
        <v>0</v>
      </c>
      <c r="GA38" s="40">
        <f>-IF(GA$7&lt;='Main Assumptions'!$E$22,'Main Assumptions'!$E$21/'Main Assumptions'!$E$22,IF(AND(GA7&gt;=$F$5-exit_renovation,GA7&lt;$F$5),'Main Assumptions'!$E$23/exit_renovation,0))</f>
        <v>-33333.333333333336</v>
      </c>
      <c r="GB38" s="40">
        <f>-IF(GB$7&lt;='Main Assumptions'!$E$22,'Main Assumptions'!$E$21/'Main Assumptions'!$E$22,IF(AND(GB7&gt;=$F$5-exit_renovation,GB7&lt;$F$5),'Main Assumptions'!$E$23/exit_renovation,0))</f>
        <v>-33333.333333333336</v>
      </c>
      <c r="GC38" s="40">
        <f>-IF(GC$7&lt;='Main Assumptions'!$E$22,'Main Assumptions'!$E$21/'Main Assumptions'!$E$22,IF(AND(GC7&gt;=$F$5-exit_renovation,GC7&lt;$F$5),'Main Assumptions'!$E$23/exit_renovation,0))</f>
        <v>-33333.333333333336</v>
      </c>
      <c r="GD38" s="40">
        <f>-IF(GD$7&lt;='Main Assumptions'!$E$22,'Main Assumptions'!$E$21/'Main Assumptions'!$E$22,IF(AND(GD7&gt;=$F$5-exit_renovation,GD7&lt;$F$5),'Main Assumptions'!$E$23/exit_renovation,0))</f>
        <v>0</v>
      </c>
      <c r="GE38" s="40">
        <f>-IF(GE$7&lt;='Main Assumptions'!$E$22,'Main Assumptions'!$E$21/'Main Assumptions'!$E$22,IF(AND(GE7&gt;=$F$5-exit_renovation,GE7&lt;$F$5),'Main Assumptions'!$E$23/exit_renovation,0))</f>
        <v>0</v>
      </c>
      <c r="GF38" s="40">
        <f>-IF(GF$7&lt;='Main Assumptions'!$E$22,'Main Assumptions'!$E$21/'Main Assumptions'!$E$22,IF(AND(GF7&gt;=$F$5-exit_renovation,GF7&lt;$F$5),'Main Assumptions'!$E$23/exit_renovation,0))</f>
        <v>0</v>
      </c>
      <c r="GG38" s="40">
        <f>-IF(GG$7&lt;='Main Assumptions'!$E$22,'Main Assumptions'!$E$21/'Main Assumptions'!$E$22,IF(AND(GG7&gt;=$F$5-exit_renovation,GG7&lt;$F$5),'Main Assumptions'!$E$23/exit_renovation,0))</f>
        <v>0</v>
      </c>
      <c r="GH38" s="40">
        <f>-IF(GH$7&lt;='Main Assumptions'!$E$22,'Main Assumptions'!$E$21/'Main Assumptions'!$E$22,IF(AND(GH7&gt;=$F$5-exit_renovation,GH7&lt;$F$5),'Main Assumptions'!$E$23/exit_renovation,0))</f>
        <v>0</v>
      </c>
      <c r="GI38" s="40">
        <f>-IF(GI$7&lt;='Main Assumptions'!$E$22,'Main Assumptions'!$E$21/'Main Assumptions'!$E$22,IF(AND(GI7&gt;=$F$5-exit_renovation,GI7&lt;$F$5),'Main Assumptions'!$E$23/exit_renovation,0))</f>
        <v>0</v>
      </c>
      <c r="GJ38" s="40">
        <f>-IF(GJ$7&lt;='Main Assumptions'!$E$22,'Main Assumptions'!$E$21/'Main Assumptions'!$E$22,IF(AND(GJ7&gt;=$F$5-exit_renovation,GJ7&lt;$F$5),'Main Assumptions'!$E$23/exit_renovation,0))</f>
        <v>0</v>
      </c>
      <c r="GK38" s="40">
        <f>-IF(GK$7&lt;='Main Assumptions'!$E$22,'Main Assumptions'!$E$21/'Main Assumptions'!$E$22,IF(AND(GK7&gt;=$F$5-exit_renovation,GK7&lt;$F$5),'Main Assumptions'!$E$23/exit_renovation,0))</f>
        <v>0</v>
      </c>
      <c r="GL38" s="40">
        <f>-IF(GL$7&lt;='Main Assumptions'!$E$22,'Main Assumptions'!$E$21/'Main Assumptions'!$E$22,IF(AND(GL7&gt;=$F$5-exit_renovation,GL7&lt;$F$5),'Main Assumptions'!$E$23/exit_renovation,0))</f>
        <v>0</v>
      </c>
      <c r="GM38" s="40">
        <f>-IF(GM$7&lt;='Main Assumptions'!$E$22,'Main Assumptions'!$E$21/'Main Assumptions'!$E$22,IF(AND(GM7&gt;=$F$5-exit_renovation,GM7&lt;$F$5),'Main Assumptions'!$E$23/exit_renovation,0))</f>
        <v>0</v>
      </c>
      <c r="GN38" s="40">
        <f>-IF(GN$7&lt;='Main Assumptions'!$E$22,'Main Assumptions'!$E$21/'Main Assumptions'!$E$22,IF(AND(GN7&gt;=$F$5-exit_renovation,GN7&lt;$F$5),'Main Assumptions'!$E$23/exit_renovation,0))</f>
        <v>0</v>
      </c>
      <c r="GO38" s="40">
        <f>-IF(GO$7&lt;='Main Assumptions'!$E$22,'Main Assumptions'!$E$21/'Main Assumptions'!$E$22,IF(AND(GO7&gt;=$F$5-exit_renovation,GO7&lt;$F$5),'Main Assumptions'!$E$23/exit_renovation,0))</f>
        <v>0</v>
      </c>
      <c r="GP38" s="40">
        <f>-IF(GP$7&lt;='Main Assumptions'!$E$22,'Main Assumptions'!$E$21/'Main Assumptions'!$E$22,IF(AND(GP7&gt;=$F$5-exit_renovation,GP7&lt;$F$5),'Main Assumptions'!$E$23/exit_renovation,0))</f>
        <v>0</v>
      </c>
      <c r="GQ38" s="40">
        <f>-IF(GQ$7&lt;='Main Assumptions'!$E$22,'Main Assumptions'!$E$21/'Main Assumptions'!$E$22,IF(AND(GQ7&gt;=$F$5-exit_renovation,GQ7&lt;$F$5),'Main Assumptions'!$E$23/exit_renovation,0))</f>
        <v>0</v>
      </c>
      <c r="GR38" s="40">
        <f>-IF(GR$7&lt;='Main Assumptions'!$E$22,'Main Assumptions'!$E$21/'Main Assumptions'!$E$22,IF(AND(GR7&gt;=$F$5-exit_renovation,GR7&lt;$F$5),'Main Assumptions'!$E$23/exit_renovation,0))</f>
        <v>0</v>
      </c>
      <c r="GS38" s="40">
        <f>-IF(GS$7&lt;='Main Assumptions'!$E$22,'Main Assumptions'!$E$21/'Main Assumptions'!$E$22,IF(AND(GS7&gt;=$F$5-exit_renovation,GS7&lt;$F$5),'Main Assumptions'!$E$23/exit_renovation,0))</f>
        <v>0</v>
      </c>
      <c r="GT38" s="40">
        <f>-IF(GT$7&lt;='Main Assumptions'!$E$22,'Main Assumptions'!$E$21/'Main Assumptions'!$E$22,IF(AND(GT7&gt;=$F$5-exit_renovation,GT7&lt;$F$5),'Main Assumptions'!$E$23/exit_renovation,0))</f>
        <v>0</v>
      </c>
      <c r="GU38" s="40">
        <f>-IF(GU$7&lt;='Main Assumptions'!$E$22,'Main Assumptions'!$E$21/'Main Assumptions'!$E$22,IF(AND(GU7&gt;=$F$5-exit_renovation,GU7&lt;$F$5),'Main Assumptions'!$E$23/exit_renovation,0))</f>
        <v>0</v>
      </c>
      <c r="GV38" s="40">
        <f>-IF(GV$7&lt;='Main Assumptions'!$E$22,'Main Assumptions'!$E$21/'Main Assumptions'!$E$22,IF(AND(GV7&gt;=$F$5-exit_renovation,GV7&lt;$F$5),'Main Assumptions'!$E$23/exit_renovation,0))</f>
        <v>0</v>
      </c>
      <c r="GW38" s="40">
        <f>-IF(GW$7&lt;='Main Assumptions'!$E$22,'Main Assumptions'!$E$21/'Main Assumptions'!$E$22,IF(AND(GW7&gt;=$F$5-exit_renovation,GW7&lt;$F$5),'Main Assumptions'!$E$23/exit_renovation,0))</f>
        <v>0</v>
      </c>
      <c r="GX38" s="40">
        <f>-IF(GX$7&lt;='Main Assumptions'!$E$22,'Main Assumptions'!$E$21/'Main Assumptions'!$E$22,IF(AND(GX7&gt;=$F$5-exit_renovation,GX7&lt;$F$5),'Main Assumptions'!$E$23/exit_renovation,0))</f>
        <v>0</v>
      </c>
      <c r="GY38" s="40">
        <f>-IF(GY$7&lt;='Main Assumptions'!$E$22,'Main Assumptions'!$E$21/'Main Assumptions'!$E$22,IF(AND(GY7&gt;=$F$5-exit_renovation,GY7&lt;$F$5),'Main Assumptions'!$E$23/exit_renovation,0))</f>
        <v>0</v>
      </c>
      <c r="GZ38" s="40">
        <f>-IF(GZ$7&lt;='Main Assumptions'!$E$22,'Main Assumptions'!$E$21/'Main Assumptions'!$E$22,IF(AND(GZ7&gt;=$F$5-exit_renovation,GZ7&lt;$F$5),'Main Assumptions'!$E$23/exit_renovation,0))</f>
        <v>0</v>
      </c>
      <c r="HA38" s="40">
        <f>-IF(HA$7&lt;='Main Assumptions'!$E$22,'Main Assumptions'!$E$21/'Main Assumptions'!$E$22,IF(AND(HA7&gt;=$F$5-exit_renovation,HA7&lt;$F$5),'Main Assumptions'!$E$23/exit_renovation,0))</f>
        <v>0</v>
      </c>
      <c r="HB38" s="40">
        <f>-IF(HB$7&lt;='Main Assumptions'!$E$22,'Main Assumptions'!$E$21/'Main Assumptions'!$E$22,IF(AND(HB7&gt;=$F$5-exit_renovation,HB7&lt;$F$5),'Main Assumptions'!$E$23/exit_renovation,0))</f>
        <v>0</v>
      </c>
      <c r="HC38" s="40">
        <f>-IF(HC$7&lt;='Main Assumptions'!$E$22,'Main Assumptions'!$E$21/'Main Assumptions'!$E$22,IF(AND(HC7&gt;=$F$5-exit_renovation,HC7&lt;$F$5),'Main Assumptions'!$E$23/exit_renovation,0))</f>
        <v>0</v>
      </c>
      <c r="HD38" s="40">
        <f>-IF(HD$7&lt;='Main Assumptions'!$E$22,'Main Assumptions'!$E$21/'Main Assumptions'!$E$22,IF(AND(HD7&gt;=$F$5-exit_renovation,HD7&lt;$F$5),'Main Assumptions'!$E$23/exit_renovation,0))</f>
        <v>0</v>
      </c>
      <c r="HE38" s="40">
        <f>-IF(HE$7&lt;='Main Assumptions'!$E$22,'Main Assumptions'!$E$21/'Main Assumptions'!$E$22,IF(AND(HE7&gt;=$F$5-exit_renovation,HE7&lt;$F$5),'Main Assumptions'!$E$23/exit_renovation,0))</f>
        <v>0</v>
      </c>
      <c r="HF38" s="40">
        <f>-IF(HF$7&lt;='Main Assumptions'!$E$22,'Main Assumptions'!$E$21/'Main Assumptions'!$E$22,IF(AND(HF7&gt;=$F$5-exit_renovation,HF7&lt;$F$5),'Main Assumptions'!$E$23/exit_renovation,0))</f>
        <v>0</v>
      </c>
      <c r="HG38" s="40">
        <f>-IF(HG$7&lt;='Main Assumptions'!$E$22,'Main Assumptions'!$E$21/'Main Assumptions'!$E$22,IF(AND(HG7&gt;=$F$5-exit_renovation,HG7&lt;$F$5),'Main Assumptions'!$E$23/exit_renovation,0))</f>
        <v>0</v>
      </c>
      <c r="HH38" s="40">
        <f>-IF(HH$7&lt;='Main Assumptions'!$E$22,'Main Assumptions'!$E$21/'Main Assumptions'!$E$22,IF(AND(HH7&gt;=$F$5-exit_renovation,HH7&lt;$F$5),'Main Assumptions'!$E$23/exit_renovation,0))</f>
        <v>0</v>
      </c>
      <c r="HI38" s="40">
        <f>-IF(HI$7&lt;='Main Assumptions'!$E$22,'Main Assumptions'!$E$21/'Main Assumptions'!$E$22,IF(AND(HI7&gt;=$F$5-exit_renovation,HI7&lt;$F$5),'Main Assumptions'!$E$23/exit_renovation,0))</f>
        <v>0</v>
      </c>
      <c r="HJ38" s="40">
        <f>-IF(HJ$7&lt;='Main Assumptions'!$E$22,'Main Assumptions'!$E$21/'Main Assumptions'!$E$22,IF(AND(HJ7&gt;=$F$5-exit_renovation,HJ7&lt;$F$5),'Main Assumptions'!$E$23/exit_renovation,0))</f>
        <v>0</v>
      </c>
      <c r="HK38" s="40">
        <f>-IF(HK$7&lt;='Main Assumptions'!$E$22,'Main Assumptions'!$E$21/'Main Assumptions'!$E$22,IF(AND(HK7&gt;=$F$5-exit_renovation,HK7&lt;$F$5),'Main Assumptions'!$E$23/exit_renovation,0))</f>
        <v>0</v>
      </c>
      <c r="HL38" s="40">
        <f>-IF(HL$7&lt;='Main Assumptions'!$E$22,'Main Assumptions'!$E$21/'Main Assumptions'!$E$22,IF(AND(HL7&gt;=$F$5-exit_renovation,HL7&lt;$F$5),'Main Assumptions'!$E$23/exit_renovation,0))</f>
        <v>0</v>
      </c>
      <c r="HM38" s="40">
        <f>-IF(HM$7&lt;='Main Assumptions'!$E$22,'Main Assumptions'!$E$21/'Main Assumptions'!$E$22,IF(AND(HM7&gt;=$F$5-exit_renovation,HM7&lt;$F$5),'Main Assumptions'!$E$23/exit_renovation,0))</f>
        <v>0</v>
      </c>
      <c r="HN38" s="40">
        <f>-IF(HN$7&lt;='Main Assumptions'!$E$22,'Main Assumptions'!$E$21/'Main Assumptions'!$E$22,IF(AND(HN7&gt;=$F$5-exit_renovation,HN7&lt;$F$5),'Main Assumptions'!$E$23/exit_renovation,0))</f>
        <v>0</v>
      </c>
      <c r="HO38" s="40">
        <f>-IF(HO$7&lt;='Main Assumptions'!$E$22,'Main Assumptions'!$E$21/'Main Assumptions'!$E$22,IF(AND(HO7&gt;=$F$5-exit_renovation,HO7&lt;$F$5),'Main Assumptions'!$E$23/exit_renovation,0))</f>
        <v>0</v>
      </c>
      <c r="HP38" s="40">
        <f>-IF(HP$7&lt;='Main Assumptions'!$E$22,'Main Assumptions'!$E$21/'Main Assumptions'!$E$22,IF(AND(HP7&gt;=$F$5-exit_renovation,HP7&lt;$F$5),'Main Assumptions'!$E$23/exit_renovation,0))</f>
        <v>0</v>
      </c>
      <c r="HQ38" s="40">
        <f>-IF(HQ$7&lt;='Main Assumptions'!$E$22,'Main Assumptions'!$E$21/'Main Assumptions'!$E$22,IF(AND(HQ7&gt;=$F$5-exit_renovation,HQ7&lt;$F$5),'Main Assumptions'!$E$23/exit_renovation,0))</f>
        <v>0</v>
      </c>
      <c r="HR38" s="40">
        <f>-IF(HR$7&lt;='Main Assumptions'!$E$22,'Main Assumptions'!$E$21/'Main Assumptions'!$E$22,IF(AND(HR7&gt;=$F$5-exit_renovation,HR7&lt;$F$5),'Main Assumptions'!$E$23/exit_renovation,0))</f>
        <v>0</v>
      </c>
      <c r="HS38" s="40">
        <f>-IF(HS$7&lt;='Main Assumptions'!$E$22,'Main Assumptions'!$E$21/'Main Assumptions'!$E$22,IF(AND(HS7&gt;=$F$5-exit_renovation,HS7&lt;$F$5),'Main Assumptions'!$E$23/exit_renovation,0))</f>
        <v>0</v>
      </c>
      <c r="HT38" s="40">
        <f>-IF(HT$7&lt;='Main Assumptions'!$E$22,'Main Assumptions'!$E$21/'Main Assumptions'!$E$22,IF(AND(HT7&gt;=$F$5-exit_renovation,HT7&lt;$F$5),'Main Assumptions'!$E$23/exit_renovation,0))</f>
        <v>0</v>
      </c>
      <c r="HU38" s="40">
        <f>-IF(HU$7&lt;='Main Assumptions'!$E$22,'Main Assumptions'!$E$21/'Main Assumptions'!$E$22,IF(AND(HU7&gt;=$F$5-exit_renovation,HU7&lt;$F$5),'Main Assumptions'!$E$23/exit_renovation,0))</f>
        <v>0</v>
      </c>
      <c r="HV38" s="40">
        <f>-IF(HV$7&lt;='Main Assumptions'!$E$22,'Main Assumptions'!$E$21/'Main Assumptions'!$E$22,IF(AND(HV7&gt;=$F$5-exit_renovation,HV7&lt;$F$5),'Main Assumptions'!$E$23/exit_renovation,0))</f>
        <v>0</v>
      </c>
      <c r="HW38" s="40">
        <f>-IF(HW$7&lt;='Main Assumptions'!$E$22,'Main Assumptions'!$E$21/'Main Assumptions'!$E$22,IF(AND(HW7&gt;=$F$5-exit_renovation,HW7&lt;$F$5),'Main Assumptions'!$E$23/exit_renovation,0))</f>
        <v>0</v>
      </c>
      <c r="HX38" s="40">
        <f>-IF(HX$7&lt;='Main Assumptions'!$E$22,'Main Assumptions'!$E$21/'Main Assumptions'!$E$22,IF(AND(HX7&gt;=$F$5-exit_renovation,HX7&lt;$F$5),'Main Assumptions'!$E$23/exit_renovation,0))</f>
        <v>0</v>
      </c>
      <c r="HY38" s="40">
        <f>-IF(HY$7&lt;='Main Assumptions'!$E$22,'Main Assumptions'!$E$21/'Main Assumptions'!$E$22,IF(AND(HY7&gt;=$F$5-exit_renovation,HY7&lt;$F$5),'Main Assumptions'!$E$23/exit_renovation,0))</f>
        <v>0</v>
      </c>
      <c r="HZ38" s="40">
        <f>-IF(HZ$7&lt;='Main Assumptions'!$E$22,'Main Assumptions'!$E$21/'Main Assumptions'!$E$22,IF(AND(HZ7&gt;=$F$5-exit_renovation,HZ7&lt;$F$5),'Main Assumptions'!$E$23/exit_renovation,0))</f>
        <v>0</v>
      </c>
      <c r="IA38" s="40">
        <f>-IF(IA$7&lt;='Main Assumptions'!$E$22,'Main Assumptions'!$E$21/'Main Assumptions'!$E$22,IF(AND(IA7&gt;=$F$5-exit_renovation,IA7&lt;$F$5),'Main Assumptions'!$E$23/exit_renovation,0))</f>
        <v>0</v>
      </c>
      <c r="IB38" s="40">
        <f>-IF(IB$7&lt;='Main Assumptions'!$E$22,'Main Assumptions'!$E$21/'Main Assumptions'!$E$22,IF(AND(IB7&gt;=$F$5-exit_renovation,IB7&lt;$F$5),'Main Assumptions'!$E$23/exit_renovation,0))</f>
        <v>0</v>
      </c>
      <c r="IC38" s="40">
        <f>-IF(IC$7&lt;='Main Assumptions'!$E$22,'Main Assumptions'!$E$21/'Main Assumptions'!$E$22,IF(AND(IC7&gt;=$F$5-exit_renovation,IC7&lt;$F$5),'Main Assumptions'!$E$23/exit_renovation,0))</f>
        <v>0</v>
      </c>
      <c r="ID38" s="40">
        <f>-IF(ID$7&lt;='Main Assumptions'!$E$22,'Main Assumptions'!$E$21/'Main Assumptions'!$E$22,IF(AND(ID7&gt;=$F$5-exit_renovation,ID7&lt;$F$5),'Main Assumptions'!$E$23/exit_renovation,0))</f>
        <v>0</v>
      </c>
      <c r="IE38" s="40">
        <f>-IF(IE$7&lt;='Main Assumptions'!$E$22,'Main Assumptions'!$E$21/'Main Assumptions'!$E$22,IF(AND(IE7&gt;=$F$5-exit_renovation,IE7&lt;$F$5),'Main Assumptions'!$E$23/exit_renovation,0))</f>
        <v>0</v>
      </c>
      <c r="IF38" s="40">
        <f>-IF(IF$7&lt;='Main Assumptions'!$E$22,'Main Assumptions'!$E$21/'Main Assumptions'!$E$22,IF(AND(IF7&gt;=$F$5-exit_renovation,IF7&lt;$F$5),'Main Assumptions'!$E$23/exit_renovation,0))</f>
        <v>0</v>
      </c>
      <c r="IG38" s="40">
        <f>-IF(IG$7&lt;='Main Assumptions'!$E$22,'Main Assumptions'!$E$21/'Main Assumptions'!$E$22,IF(AND(IG7&gt;=$F$5-exit_renovation,IG7&lt;$F$5),'Main Assumptions'!$E$23/exit_renovation,0))</f>
        <v>0</v>
      </c>
      <c r="IH38" s="40">
        <f>-IF(IH$7&lt;='Main Assumptions'!$E$22,'Main Assumptions'!$E$21/'Main Assumptions'!$E$22,IF(AND(IH7&gt;=$F$5-exit_renovation,IH7&lt;$F$5),'Main Assumptions'!$E$23/exit_renovation,0))</f>
        <v>0</v>
      </c>
      <c r="II38" s="40">
        <f>-IF(II$7&lt;='Main Assumptions'!$E$22,'Main Assumptions'!$E$21/'Main Assumptions'!$E$22,IF(AND(II7&gt;=$F$5-exit_renovation,II7&lt;$F$5),'Main Assumptions'!$E$23/exit_renovation,0))</f>
        <v>0</v>
      </c>
      <c r="IJ38" s="40">
        <f>-IF(IJ$7&lt;='Main Assumptions'!$E$22,'Main Assumptions'!$E$21/'Main Assumptions'!$E$22,IF(AND(IJ7&gt;=$F$5-exit_renovation,IJ7&lt;$F$5),'Main Assumptions'!$E$23/exit_renovation,0))</f>
        <v>0</v>
      </c>
      <c r="IK38" s="40">
        <f>-IF(IK$7&lt;='Main Assumptions'!$E$22,'Main Assumptions'!$E$21/'Main Assumptions'!$E$22,IF(AND(IK7&gt;=$F$5-exit_renovation,IK7&lt;$F$5),'Main Assumptions'!$E$23/exit_renovation,0))</f>
        <v>0</v>
      </c>
      <c r="IL38" s="40">
        <f>-IF(IL$7&lt;='Main Assumptions'!$E$22,'Main Assumptions'!$E$21/'Main Assumptions'!$E$22,IF(AND(IL7&gt;=$F$5-exit_renovation,IL7&lt;$F$5),'Main Assumptions'!$E$23/exit_renovation,0))</f>
        <v>0</v>
      </c>
      <c r="IM38" s="40">
        <f>-IF(IM$7&lt;='Main Assumptions'!$E$22,'Main Assumptions'!$E$21/'Main Assumptions'!$E$22,IF(AND(IM7&gt;=$F$5-exit_renovation,IM7&lt;$F$5),'Main Assumptions'!$E$23/exit_renovation,0))</f>
        <v>0</v>
      </c>
      <c r="IN38" s="40">
        <f>-IF(IN$7&lt;='Main Assumptions'!$E$22,'Main Assumptions'!$E$21/'Main Assumptions'!$E$22,IF(AND(IN7&gt;=$F$5-exit_renovation,IN7&lt;$F$5),'Main Assumptions'!$E$23/exit_renovation,0))</f>
        <v>0</v>
      </c>
      <c r="IO38" s="40">
        <f>-IF(IO$7&lt;='Main Assumptions'!$E$22,'Main Assumptions'!$E$21/'Main Assumptions'!$E$22,IF(AND(IO7&gt;=$F$5-exit_renovation,IO7&lt;$F$5),'Main Assumptions'!$E$23/exit_renovation,0))</f>
        <v>0</v>
      </c>
      <c r="IP38" s="40">
        <f>-IF(IP$7&lt;='Main Assumptions'!$E$22,'Main Assumptions'!$E$21/'Main Assumptions'!$E$22,IF(AND(IP7&gt;=$F$5-exit_renovation,IP7&lt;$F$5),'Main Assumptions'!$E$23/exit_renovation,0))</f>
        <v>0</v>
      </c>
      <c r="IQ38" s="40">
        <f>-IF(IQ$7&lt;='Main Assumptions'!$E$22,'Main Assumptions'!$E$21/'Main Assumptions'!$E$22,IF(AND(IQ7&gt;=$F$5-exit_renovation,IQ7&lt;$F$5),'Main Assumptions'!$E$23/exit_renovation,0))</f>
        <v>0</v>
      </c>
      <c r="IR38" s="40">
        <f>-IF(IR$7&lt;='Main Assumptions'!$E$22,'Main Assumptions'!$E$21/'Main Assumptions'!$E$22,IF(AND(IR7&gt;=$F$5-exit_renovation,IR7&lt;$F$5),'Main Assumptions'!$E$23/exit_renovation,0))</f>
        <v>0</v>
      </c>
      <c r="IS38" s="40">
        <f>-IF(IS$7&lt;='Main Assumptions'!$E$22,'Main Assumptions'!$E$21/'Main Assumptions'!$E$22,IF(AND(IS7&gt;=$F$5-exit_renovation,IS7&lt;$F$5),'Main Assumptions'!$E$23/exit_renovation,0))</f>
        <v>0</v>
      </c>
      <c r="IT38" s="40">
        <f>-IF(IT$7&lt;='Main Assumptions'!$E$22,'Main Assumptions'!$E$21/'Main Assumptions'!$E$22,IF(AND(IT7&gt;=$F$5-exit_renovation,IT7&lt;$F$5),'Main Assumptions'!$E$23/exit_renovation,0))</f>
        <v>0</v>
      </c>
      <c r="IU38" s="40">
        <f>-IF(IU$7&lt;='Main Assumptions'!$E$22,'Main Assumptions'!$E$21/'Main Assumptions'!$E$22,IF(AND(IU7&gt;=$F$5-exit_renovation,IU7&lt;$F$5),'Main Assumptions'!$E$23/exit_renovation,0))</f>
        <v>0</v>
      </c>
      <c r="IV38" s="40">
        <f>-IF(IV$7&lt;='Main Assumptions'!$E$22,'Main Assumptions'!$E$21/'Main Assumptions'!$E$22,IF(AND(IV7&gt;=$F$5-exit_renovation,IV7&lt;$F$5),'Main Assumptions'!$E$23/exit_renovation,0))</f>
        <v>0</v>
      </c>
      <c r="IW38" s="40">
        <f>-IF(IW$7&lt;='Main Assumptions'!$E$22,'Main Assumptions'!$E$21/'Main Assumptions'!$E$22,IF(AND(IW7&gt;=$F$5-exit_renovation,IW7&lt;$F$5),'Main Assumptions'!$E$23/exit_renovation,0))</f>
        <v>0</v>
      </c>
      <c r="IX38" s="40">
        <f>-IF(IX$7&lt;='Main Assumptions'!$E$22,'Main Assumptions'!$E$21/'Main Assumptions'!$E$22,IF(AND(IX7&gt;=$F$5-exit_renovation,IX7&lt;$F$5),'Main Assumptions'!$E$23/exit_renovation,0))</f>
        <v>0</v>
      </c>
      <c r="IY38" s="40">
        <f>-IF(IY$7&lt;='Main Assumptions'!$E$22,'Main Assumptions'!$E$21/'Main Assumptions'!$E$22,IF(AND(IY7&gt;=$F$5-exit_renovation,IY7&lt;$F$5),'Main Assumptions'!$E$23/exit_renovation,0))</f>
        <v>0</v>
      </c>
      <c r="IZ38" s="40">
        <f>-IF(IZ$7&lt;='Main Assumptions'!$E$22,'Main Assumptions'!$E$21/'Main Assumptions'!$E$22,IF(AND(IZ7&gt;=$F$5-exit_renovation,IZ7&lt;$F$5),'Main Assumptions'!$E$23/exit_renovation,0))</f>
        <v>0</v>
      </c>
      <c r="JA38" s="40">
        <f>-IF(JA$7&lt;='Main Assumptions'!$E$22,'Main Assumptions'!$E$21/'Main Assumptions'!$E$22,IF(AND(JA7&gt;=$F$5-exit_renovation,JA7&lt;$F$5),'Main Assumptions'!$E$23/exit_renovation,0))</f>
        <v>0</v>
      </c>
      <c r="JB38" s="40">
        <f>-IF(JB$7&lt;='Main Assumptions'!$E$22,'Main Assumptions'!$E$21/'Main Assumptions'!$E$22,IF(AND(JB7&gt;=$F$5-exit_renovation,JB7&lt;$F$5),'Main Assumptions'!$E$23/exit_renovation,0))</f>
        <v>0</v>
      </c>
      <c r="JC38" s="40">
        <f>-IF(JC$7&lt;='Main Assumptions'!$E$22,'Main Assumptions'!$E$21/'Main Assumptions'!$E$22,IF(AND(JC7&gt;=$F$5-exit_renovation,JC7&lt;$F$5),'Main Assumptions'!$E$23/exit_renovation,0))</f>
        <v>0</v>
      </c>
      <c r="JD38" s="40">
        <f>-IF(JD$7&lt;='Main Assumptions'!$E$22,'Main Assumptions'!$E$21/'Main Assumptions'!$E$22,IF(AND(JD7&gt;=$F$5-exit_renovation,JD7&lt;$F$5),'Main Assumptions'!$E$23/exit_renovation,0))</f>
        <v>0</v>
      </c>
      <c r="JE38" s="40">
        <f>-IF(JE$7&lt;='Main Assumptions'!$E$22,'Main Assumptions'!$E$21/'Main Assumptions'!$E$22,IF(AND(JE7&gt;=$F$5-exit_renovation,JE7&lt;$F$5),'Main Assumptions'!$E$23/exit_renovation,0))</f>
        <v>0</v>
      </c>
      <c r="JF38" s="40">
        <f>-IF(JF$7&lt;='Main Assumptions'!$E$22,'Main Assumptions'!$E$21/'Main Assumptions'!$E$22,IF(AND(JF7&gt;=$F$5-exit_renovation,JF7&lt;$F$5),'Main Assumptions'!$E$23/exit_renovation,0))</f>
        <v>0</v>
      </c>
      <c r="JG38" s="40">
        <f>-IF(JG$7&lt;='Main Assumptions'!$E$22,'Main Assumptions'!$E$21/'Main Assumptions'!$E$22,IF(AND(JG7&gt;=$F$5-exit_renovation,JG7&lt;$F$5),'Main Assumptions'!$E$23/exit_renovation,0))</f>
        <v>0</v>
      </c>
      <c r="JH38" s="40">
        <f>-IF(JH$7&lt;='Main Assumptions'!$E$22,'Main Assumptions'!$E$21/'Main Assumptions'!$E$22,IF(AND(JH7&gt;=$F$5-exit_renovation,JH7&lt;$F$5),'Main Assumptions'!$E$23/exit_renovation,0))</f>
        <v>0</v>
      </c>
      <c r="JI38" s="40">
        <f>-IF(JI$7&lt;='Main Assumptions'!$E$22,'Main Assumptions'!$E$21/'Main Assumptions'!$E$22,IF(AND(JI7&gt;=$F$5-exit_renovation,JI7&lt;$F$5),'Main Assumptions'!$E$23/exit_renovation,0))</f>
        <v>0</v>
      </c>
      <c r="JJ38" s="40">
        <f>-IF(JJ$7&lt;='Main Assumptions'!$E$22,'Main Assumptions'!$E$21/'Main Assumptions'!$E$22,IF(AND(JJ7&gt;=$F$5-exit_renovation,JJ7&lt;$F$5),'Main Assumptions'!$E$23/exit_renovation,0))</f>
        <v>0</v>
      </c>
      <c r="JK38" s="40">
        <f>-IF(JK$7&lt;='Main Assumptions'!$E$22,'Main Assumptions'!$E$21/'Main Assumptions'!$E$22,IF(AND(JK7&gt;=$F$5-exit_renovation,JK7&lt;$F$5),'Main Assumptions'!$E$23/exit_renovation,0))</f>
        <v>0</v>
      </c>
      <c r="JL38" s="40">
        <f>-IF(JL$7&lt;='Main Assumptions'!$E$22,'Main Assumptions'!$E$21/'Main Assumptions'!$E$22,IF(AND(JL7&gt;=$F$5-exit_renovation,JL7&lt;$F$5),'Main Assumptions'!$E$23/exit_renovation,0))</f>
        <v>0</v>
      </c>
      <c r="JM38" s="40">
        <f>-IF(JM$7&lt;='Main Assumptions'!$E$22,'Main Assumptions'!$E$21/'Main Assumptions'!$E$22,IF(AND(JM7&gt;=$F$5-exit_renovation,JM7&lt;$F$5),'Main Assumptions'!$E$23/exit_renovation,0))</f>
        <v>0</v>
      </c>
      <c r="JN38" s="40">
        <f>-IF(JN$7&lt;='Main Assumptions'!$E$22,'Main Assumptions'!$E$21/'Main Assumptions'!$E$22,IF(AND(JN7&gt;=$F$5-exit_renovation,JN7&lt;$F$5),'Main Assumptions'!$E$23/exit_renovation,0))</f>
        <v>0</v>
      </c>
      <c r="JO38" s="40">
        <f>-IF(JO$7&lt;='Main Assumptions'!$E$22,'Main Assumptions'!$E$21/'Main Assumptions'!$E$22,IF(AND(JO7&gt;=$F$5-exit_renovation,JO7&lt;$F$5),'Main Assumptions'!$E$23/exit_renovation,0))</f>
        <v>0</v>
      </c>
      <c r="JP38" s="40">
        <f>-IF(JP$7&lt;='Main Assumptions'!$E$22,'Main Assumptions'!$E$21/'Main Assumptions'!$E$22,IF(AND(JP7&gt;=$F$5-exit_renovation,JP7&lt;$F$5),'Main Assumptions'!$E$23/exit_renovation,0))</f>
        <v>0</v>
      </c>
      <c r="JQ38" s="40">
        <f>-IF(JQ$7&lt;='Main Assumptions'!$E$22,'Main Assumptions'!$E$21/'Main Assumptions'!$E$22,IF(AND(JQ7&gt;=$F$5-exit_renovation,JQ7&lt;$F$5),'Main Assumptions'!$E$23/exit_renovation,0))</f>
        <v>0</v>
      </c>
      <c r="JR38" s="40">
        <f>-IF(JR$7&lt;='Main Assumptions'!$E$22,'Main Assumptions'!$E$21/'Main Assumptions'!$E$22,IF(AND(JR7&gt;=$F$5-exit_renovation,JR7&lt;$F$5),'Main Assumptions'!$E$23/exit_renovation,0))</f>
        <v>0</v>
      </c>
      <c r="JS38" s="40">
        <f>-IF(JS$7&lt;='Main Assumptions'!$E$22,'Main Assumptions'!$E$21/'Main Assumptions'!$E$22,IF(AND(JS7&gt;=$F$5-exit_renovation,JS7&lt;$F$5),'Main Assumptions'!$E$23/exit_renovation,0))</f>
        <v>0</v>
      </c>
      <c r="JT38" s="40">
        <f>-IF(JT$7&lt;='Main Assumptions'!$E$22,'Main Assumptions'!$E$21/'Main Assumptions'!$E$22,IF(AND(JT7&gt;=$F$5-exit_renovation,JT7&lt;$F$5),'Main Assumptions'!$E$23/exit_renovation,0))</f>
        <v>0</v>
      </c>
      <c r="JU38" s="40">
        <f>-IF(JU$7&lt;='Main Assumptions'!$E$22,'Main Assumptions'!$E$21/'Main Assumptions'!$E$22,IF(AND(JU7&gt;=$F$5-exit_renovation,JU7&lt;$F$5),'Main Assumptions'!$E$23/exit_renovation,0))</f>
        <v>0</v>
      </c>
      <c r="JV38" s="40">
        <f>-IF(JV$7&lt;='Main Assumptions'!$E$22,'Main Assumptions'!$E$21/'Main Assumptions'!$E$22,IF(AND(JV7&gt;=$F$5-exit_renovation,JV7&lt;$F$5),'Main Assumptions'!$E$23/exit_renovation,0))</f>
        <v>0</v>
      </c>
      <c r="JW38" s="40">
        <f>-IF(JW$7&lt;='Main Assumptions'!$E$22,'Main Assumptions'!$E$21/'Main Assumptions'!$E$22,IF(AND(JW7&gt;=$F$5-exit_renovation,JW7&lt;$F$5),'Main Assumptions'!$E$23/exit_renovation,0))</f>
        <v>0</v>
      </c>
      <c r="JX38" s="40">
        <f>-IF(JX$7&lt;='Main Assumptions'!$E$22,'Main Assumptions'!$E$21/'Main Assumptions'!$E$22,IF(AND(JX7&gt;=$F$5-exit_renovation,JX7&lt;$F$5),'Main Assumptions'!$E$23/exit_renovation,0))</f>
        <v>0</v>
      </c>
      <c r="JY38" s="40">
        <f>-IF(JY$7&lt;='Main Assumptions'!$E$22,'Main Assumptions'!$E$21/'Main Assumptions'!$E$22,IF(AND(JY7&gt;=$F$5-exit_renovation,JY7&lt;$F$5),'Main Assumptions'!$E$23/exit_renovation,0))</f>
        <v>0</v>
      </c>
      <c r="JZ38" s="40">
        <f>-IF(JZ$7&lt;='Main Assumptions'!$E$22,'Main Assumptions'!$E$21/'Main Assumptions'!$E$22,IF(AND(JZ7&gt;=$F$5-exit_renovation,JZ7&lt;$F$5),'Main Assumptions'!$E$23/exit_renovation,0))</f>
        <v>0</v>
      </c>
      <c r="KA38" s="40">
        <f>-IF(KA$7&lt;='Main Assumptions'!$E$22,'Main Assumptions'!$E$21/'Main Assumptions'!$E$22,IF(AND(KA7&gt;=$F$5-exit_renovation,KA7&lt;$F$5),'Main Assumptions'!$E$23/exit_renovation,0))</f>
        <v>0</v>
      </c>
      <c r="KB38" s="40">
        <f>-IF(KB$7&lt;='Main Assumptions'!$E$22,'Main Assumptions'!$E$21/'Main Assumptions'!$E$22,IF(AND(KB7&gt;=$F$5-exit_renovation,KB7&lt;$F$5),'Main Assumptions'!$E$23/exit_renovation,0))</f>
        <v>0</v>
      </c>
      <c r="KC38" s="40">
        <f>-IF(KC$7&lt;='Main Assumptions'!$E$22,'Main Assumptions'!$E$21/'Main Assumptions'!$E$22,IF(AND(KC7&gt;=$F$5-exit_renovation,KC7&lt;$F$5),'Main Assumptions'!$E$23/exit_renovation,0))</f>
        <v>0</v>
      </c>
      <c r="KD38" s="40">
        <f>-IF(KD$7&lt;='Main Assumptions'!$E$22,'Main Assumptions'!$E$21/'Main Assumptions'!$E$22,IF(AND(KD7&gt;=$F$5-exit_renovation,KD7&lt;$F$5),'Main Assumptions'!$E$23/exit_renovation,0))</f>
        <v>0</v>
      </c>
      <c r="KE38" s="40">
        <f>-IF(KE$7&lt;='Main Assumptions'!$E$22,'Main Assumptions'!$E$21/'Main Assumptions'!$E$22,IF(AND(KE7&gt;=$F$5-exit_renovation,KE7&lt;$F$5),'Main Assumptions'!$E$23/exit_renovation,0))</f>
        <v>0</v>
      </c>
      <c r="KF38" s="40">
        <f>-IF(KF$7&lt;='Main Assumptions'!$E$22,'Main Assumptions'!$E$21/'Main Assumptions'!$E$22,IF(AND(KF7&gt;=$F$5-exit_renovation,KF7&lt;$F$5),'Main Assumptions'!$E$23/exit_renovation,0))</f>
        <v>0</v>
      </c>
      <c r="KG38" s="40">
        <f>-IF(KG$7&lt;='Main Assumptions'!$E$22,'Main Assumptions'!$E$21/'Main Assumptions'!$E$22,IF(AND(KG7&gt;=$F$5-exit_renovation,KG7&lt;$F$5),'Main Assumptions'!$E$23/exit_renovation,0))</f>
        <v>0</v>
      </c>
      <c r="KH38" s="40">
        <f>-IF(KH$7&lt;='Main Assumptions'!$E$22,'Main Assumptions'!$E$21/'Main Assumptions'!$E$22,IF(AND(KH7&gt;=$F$5-exit_renovation,KH7&lt;$F$5),'Main Assumptions'!$E$23/exit_renovation,0))</f>
        <v>0</v>
      </c>
      <c r="KI38" s="40">
        <f>-IF(KI$7&lt;='Main Assumptions'!$E$22,'Main Assumptions'!$E$21/'Main Assumptions'!$E$22,IF(AND(KI7&gt;=$F$5-exit_renovation,KI7&lt;$F$5),'Main Assumptions'!$E$23/exit_renovation,0))</f>
        <v>0</v>
      </c>
      <c r="KJ38" s="40">
        <f>-IF(KJ$7&lt;='Main Assumptions'!$E$22,'Main Assumptions'!$E$21/'Main Assumptions'!$E$22,IF(AND(KJ7&gt;=$F$5-exit_renovation,KJ7&lt;$F$5),'Main Assumptions'!$E$23/exit_renovation,0))</f>
        <v>0</v>
      </c>
      <c r="KK38" s="40">
        <f>-IF(KK$7&lt;='Main Assumptions'!$E$22,'Main Assumptions'!$E$21/'Main Assumptions'!$E$22,IF(AND(KK7&gt;=$F$5-exit_renovation,KK7&lt;$F$5),'Main Assumptions'!$E$23/exit_renovation,0))</f>
        <v>0</v>
      </c>
      <c r="KL38" s="40">
        <f>-IF(KL$7&lt;='Main Assumptions'!$E$22,'Main Assumptions'!$E$21/'Main Assumptions'!$E$22,IF(AND(KL7&gt;=$F$5-exit_renovation,KL7&lt;$F$5),'Main Assumptions'!$E$23/exit_renovation,0))</f>
        <v>0</v>
      </c>
      <c r="KM38" s="40">
        <f>-IF(KM$7&lt;='Main Assumptions'!$E$22,'Main Assumptions'!$E$21/'Main Assumptions'!$E$22,IF(AND(KM7&gt;=$F$5-exit_renovation,KM7&lt;$F$5),'Main Assumptions'!$E$23/exit_renovation,0))</f>
        <v>0</v>
      </c>
      <c r="KN38" s="40">
        <f>-IF(KN$7&lt;='Main Assumptions'!$E$22,'Main Assumptions'!$E$21/'Main Assumptions'!$E$22,IF(AND(KN7&gt;=$F$5-exit_renovation,KN7&lt;$F$5),'Main Assumptions'!$E$23/exit_renovation,0))</f>
        <v>0</v>
      </c>
      <c r="KO38" s="40">
        <f>-IF(KO$7&lt;='Main Assumptions'!$E$22,'Main Assumptions'!$E$21/'Main Assumptions'!$E$22,IF(AND(KO7&gt;=$F$5-exit_renovation,KO7&lt;$F$5),'Main Assumptions'!$E$23/exit_renovation,0))</f>
        <v>0</v>
      </c>
      <c r="KP38" s="40">
        <f>-IF(KP$7&lt;='Main Assumptions'!$E$22,'Main Assumptions'!$E$21/'Main Assumptions'!$E$22,IF(AND(KP7&gt;=$F$5-exit_renovation,KP7&lt;$F$5),'Main Assumptions'!$E$23/exit_renovation,0))</f>
        <v>0</v>
      </c>
      <c r="KQ38" s="40">
        <f>-IF(KQ$7&lt;='Main Assumptions'!$E$22,'Main Assumptions'!$E$21/'Main Assumptions'!$E$22,IF(AND(KQ7&gt;=$F$5-exit_renovation,KQ7&lt;$F$5),'Main Assumptions'!$E$23/exit_renovation,0))</f>
        <v>0</v>
      </c>
      <c r="KR38" s="40">
        <f>-IF(KR$7&lt;='Main Assumptions'!$E$22,'Main Assumptions'!$E$21/'Main Assumptions'!$E$22,IF(AND(KR7&gt;=$F$5-exit_renovation,KR7&lt;$F$5),'Main Assumptions'!$E$23/exit_renovation,0))</f>
        <v>0</v>
      </c>
      <c r="KS38" s="40">
        <f>-IF(KS$7&lt;='Main Assumptions'!$E$22,'Main Assumptions'!$E$21/'Main Assumptions'!$E$22,IF(AND(KS7&gt;=$F$5-exit_renovation,KS7&lt;$F$5),'Main Assumptions'!$E$23/exit_renovation,0))</f>
        <v>0</v>
      </c>
      <c r="KT38" s="40">
        <f>-IF(KT$7&lt;='Main Assumptions'!$E$22,'Main Assumptions'!$E$21/'Main Assumptions'!$E$22,IF(AND(KT7&gt;=$F$5-exit_renovation,KT7&lt;$F$5),'Main Assumptions'!$E$23/exit_renovation,0))</f>
        <v>0</v>
      </c>
      <c r="KU38" s="40">
        <f>-IF(KU$7&lt;='Main Assumptions'!$E$22,'Main Assumptions'!$E$21/'Main Assumptions'!$E$22,IF(AND(KU7&gt;=$F$5-exit_renovation,KU7&lt;$F$5),'Main Assumptions'!$E$23/exit_renovation,0))</f>
        <v>0</v>
      </c>
      <c r="KV38" s="40">
        <f>-IF(KV$7&lt;='Main Assumptions'!$E$22,'Main Assumptions'!$E$21/'Main Assumptions'!$E$22,IF(AND(KV7&gt;=$F$5-exit_renovation,KV7&lt;$F$5),'Main Assumptions'!$E$23/exit_renovation,0))</f>
        <v>0</v>
      </c>
      <c r="KW38" s="40">
        <f>-IF(KW$7&lt;='Main Assumptions'!$E$22,'Main Assumptions'!$E$21/'Main Assumptions'!$E$22,IF(AND(KW7&gt;=$F$5-exit_renovation,KW7&lt;$F$5),'Main Assumptions'!$E$23/exit_renovation,0))</f>
        <v>0</v>
      </c>
      <c r="KX38" s="40">
        <f>-IF(KX$7&lt;='Main Assumptions'!$E$22,'Main Assumptions'!$E$21/'Main Assumptions'!$E$22,IF(AND(KX7&gt;=$F$5-exit_renovation,KX7&lt;$F$5),'Main Assumptions'!$E$23/exit_renovation,0))</f>
        <v>0</v>
      </c>
      <c r="KY38" s="40">
        <f>-IF(KY$7&lt;='Main Assumptions'!$E$22,'Main Assumptions'!$E$21/'Main Assumptions'!$E$22,IF(AND(KY7&gt;=$F$5-exit_renovation,KY7&lt;$F$5),'Main Assumptions'!$E$23/exit_renovation,0))</f>
        <v>0</v>
      </c>
      <c r="KZ38" s="40">
        <f>-IF(KZ$7&lt;='Main Assumptions'!$E$22,'Main Assumptions'!$E$21/'Main Assumptions'!$E$22,IF(AND(KZ7&gt;=$F$5-exit_renovation,KZ7&lt;$F$5),'Main Assumptions'!$E$23/exit_renovation,0))</f>
        <v>0</v>
      </c>
      <c r="LA38" s="40">
        <f>-IF(LA$7&lt;='Main Assumptions'!$E$22,'Main Assumptions'!$E$21/'Main Assumptions'!$E$22,IF(AND(LA7&gt;=$F$5-exit_renovation,LA7&lt;$F$5),'Main Assumptions'!$E$23/exit_renovation,0))</f>
        <v>0</v>
      </c>
      <c r="LB38" s="40">
        <f>-IF(LB$7&lt;='Main Assumptions'!$E$22,'Main Assumptions'!$E$21/'Main Assumptions'!$E$22,IF(AND(LB7&gt;=$F$5-exit_renovation,LB7&lt;$F$5),'Main Assumptions'!$E$23/exit_renovation,0))</f>
        <v>0</v>
      </c>
      <c r="LC38" s="40">
        <f>-IF(LC$7&lt;='Main Assumptions'!$E$22,'Main Assumptions'!$E$21/'Main Assumptions'!$E$22,IF(AND(LC7&gt;=$F$5-exit_renovation,LC7&lt;$F$5),'Main Assumptions'!$E$23/exit_renovation,0))</f>
        <v>0</v>
      </c>
      <c r="LD38" s="40">
        <f>-IF(LD$7&lt;='Main Assumptions'!$E$22,'Main Assumptions'!$E$21/'Main Assumptions'!$E$22,IF(AND(LD7&gt;=$F$5-exit_renovation,LD7&lt;$F$5),'Main Assumptions'!$E$23/exit_renovation,0))</f>
        <v>0</v>
      </c>
      <c r="LE38" s="40">
        <f>-IF(LE$7&lt;='Main Assumptions'!$E$22,'Main Assumptions'!$E$21/'Main Assumptions'!$E$22,IF(AND(LE7&gt;=$F$5-exit_renovation,LE7&lt;$F$5),'Main Assumptions'!$E$23/exit_renovation,0))</f>
        <v>0</v>
      </c>
      <c r="LF38" s="40">
        <f>-IF(LF$7&lt;='Main Assumptions'!$E$22,'Main Assumptions'!$E$21/'Main Assumptions'!$E$22,IF(AND(LF7&gt;=$F$5-exit_renovation,LF7&lt;$F$5),'Main Assumptions'!$E$23/exit_renovation,0))</f>
        <v>0</v>
      </c>
      <c r="LG38" s="40">
        <f>-IF(LG$7&lt;='Main Assumptions'!$E$22,'Main Assumptions'!$E$21/'Main Assumptions'!$E$22,IF(AND(LG7&gt;=$F$5-exit_renovation,LG7&lt;$F$5),'Main Assumptions'!$E$23/exit_renovation,0))</f>
        <v>0</v>
      </c>
      <c r="LH38" s="40">
        <f>-IF(LH$7&lt;='Main Assumptions'!$E$22,'Main Assumptions'!$E$21/'Main Assumptions'!$E$22,IF(AND(LH7&gt;=$F$5-exit_renovation,LH7&lt;$F$5),'Main Assumptions'!$E$23/exit_renovation,0))</f>
        <v>0</v>
      </c>
      <c r="LI38" s="40">
        <f>-IF(LI$7&lt;='Main Assumptions'!$E$22,'Main Assumptions'!$E$21/'Main Assumptions'!$E$22,IF(AND(LI7&gt;=$F$5-exit_renovation,LI7&lt;$F$5),'Main Assumptions'!$E$23/exit_renovation,0))</f>
        <v>0</v>
      </c>
      <c r="LJ38" s="40">
        <f>-IF(LJ$7&lt;='Main Assumptions'!$E$22,'Main Assumptions'!$E$21/'Main Assumptions'!$E$22,IF(AND(LJ7&gt;=$F$5-exit_renovation,LJ7&lt;$F$5),'Main Assumptions'!$E$23/exit_renovation,0))</f>
        <v>0</v>
      </c>
      <c r="LK38" s="40">
        <f>-IF(LK$7&lt;='Main Assumptions'!$E$22,'Main Assumptions'!$E$21/'Main Assumptions'!$E$22,IF(AND(LK7&gt;=$F$5-exit_renovation,LK7&lt;$F$5),'Main Assumptions'!$E$23/exit_renovation,0))</f>
        <v>0</v>
      </c>
      <c r="LL38" s="40">
        <f>-IF(LL$7&lt;='Main Assumptions'!$E$22,'Main Assumptions'!$E$21/'Main Assumptions'!$E$22,IF(AND(LL7&gt;=$F$5-exit_renovation,LL7&lt;$F$5),'Main Assumptions'!$E$23/exit_renovation,0))</f>
        <v>0</v>
      </c>
      <c r="LM38" s="40">
        <f>-IF(LM$7&lt;='Main Assumptions'!$E$22,'Main Assumptions'!$E$21/'Main Assumptions'!$E$22,IF(AND(LM7&gt;=$F$5-exit_renovation,LM7&lt;$F$5),'Main Assumptions'!$E$23/exit_renovation,0))</f>
        <v>0</v>
      </c>
      <c r="LN38" s="40">
        <f>-IF(LN$7&lt;='Main Assumptions'!$E$22,'Main Assumptions'!$E$21/'Main Assumptions'!$E$22,IF(AND(LN7&gt;=$F$5-exit_renovation,LN7&lt;$F$5),'Main Assumptions'!$E$23/exit_renovation,0))</f>
        <v>0</v>
      </c>
      <c r="LO38" s="40">
        <f>-IF(LO$7&lt;='Main Assumptions'!$E$22,'Main Assumptions'!$E$21/'Main Assumptions'!$E$22,IF(AND(LO7&gt;=$F$5-exit_renovation,LO7&lt;$F$5),'Main Assumptions'!$E$23/exit_renovation,0))</f>
        <v>0</v>
      </c>
      <c r="LP38" s="40">
        <f>-IF(LP$7&lt;='Main Assumptions'!$E$22,'Main Assumptions'!$E$21/'Main Assumptions'!$E$22,IF(AND(LP7&gt;=$F$5-exit_renovation,LP7&lt;$F$5),'Main Assumptions'!$E$23/exit_renovation,0))</f>
        <v>0</v>
      </c>
      <c r="LQ38" s="40">
        <f>-IF(LQ$7&lt;='Main Assumptions'!$E$22,'Main Assumptions'!$E$21/'Main Assumptions'!$E$22,IF(AND(LQ7&gt;=$F$5-exit_renovation,LQ7&lt;$F$5),'Main Assumptions'!$E$23/exit_renovation,0))</f>
        <v>0</v>
      </c>
      <c r="LR38" s="40">
        <f>-IF(LR$7&lt;='Main Assumptions'!$E$22,'Main Assumptions'!$E$21/'Main Assumptions'!$E$22,IF(AND(LR7&gt;=$F$5-exit_renovation,LR7&lt;$F$5),'Main Assumptions'!$E$23/exit_renovation,0))</f>
        <v>0</v>
      </c>
      <c r="LS38" s="40">
        <f>-IF(LS$7&lt;='Main Assumptions'!$E$22,'Main Assumptions'!$E$21/'Main Assumptions'!$E$22,IF(AND(LS7&gt;=$F$5-exit_renovation,LS7&lt;$F$5),'Main Assumptions'!$E$23/exit_renovation,0))</f>
        <v>0</v>
      </c>
      <c r="LT38" s="40">
        <f>-IF(LT$7&lt;='Main Assumptions'!$E$22,'Main Assumptions'!$E$21/'Main Assumptions'!$E$22,IF(AND(LT7&gt;=$F$5-exit_renovation,LT7&lt;$F$5),'Main Assumptions'!$E$23/exit_renovation,0))</f>
        <v>0</v>
      </c>
      <c r="LU38" s="40">
        <f>-IF(LU$7&lt;='Main Assumptions'!$E$22,'Main Assumptions'!$E$21/'Main Assumptions'!$E$22,IF(AND(LU7&gt;=$F$5-exit_renovation,LU7&lt;$F$5),'Main Assumptions'!$E$23/exit_renovation,0))</f>
        <v>0</v>
      </c>
      <c r="LV38" s="40">
        <f>-IF(LV$7&lt;='Main Assumptions'!$E$22,'Main Assumptions'!$E$21/'Main Assumptions'!$E$22,IF(AND(LV7&gt;=$F$5-exit_renovation,LV7&lt;$F$5),'Main Assumptions'!$E$23/exit_renovation,0))</f>
        <v>0</v>
      </c>
      <c r="LW38" s="40">
        <f>-IF(LW$7&lt;='Main Assumptions'!$E$22,'Main Assumptions'!$E$21/'Main Assumptions'!$E$22,IF(AND(LW7&gt;=$F$5-exit_renovation,LW7&lt;$F$5),'Main Assumptions'!$E$23/exit_renovation,0))</f>
        <v>0</v>
      </c>
      <c r="LX38" s="40">
        <f>-IF(LX$7&lt;='Main Assumptions'!$E$22,'Main Assumptions'!$E$21/'Main Assumptions'!$E$22,IF(AND(LX7&gt;=$F$5-exit_renovation,LX7&lt;$F$5),'Main Assumptions'!$E$23/exit_renovation,0))</f>
        <v>0</v>
      </c>
      <c r="LY38" s="40">
        <f>-IF(LY$7&lt;='Main Assumptions'!$E$22,'Main Assumptions'!$E$21/'Main Assumptions'!$E$22,IF(AND(LY7&gt;=$F$5-exit_renovation,LY7&lt;$F$5),'Main Assumptions'!$E$23/exit_renovation,0))</f>
        <v>0</v>
      </c>
      <c r="LZ38" s="40">
        <f>-IF(LZ$7&lt;='Main Assumptions'!$E$22,'Main Assumptions'!$E$21/'Main Assumptions'!$E$22,IF(AND(LZ7&gt;=$F$5-exit_renovation,LZ7&lt;$F$5),'Main Assumptions'!$E$23/exit_renovation,0))</f>
        <v>0</v>
      </c>
      <c r="MA38" s="40">
        <f>-IF(MA$7&lt;='Main Assumptions'!$E$22,'Main Assumptions'!$E$21/'Main Assumptions'!$E$22,IF(AND(MA7&gt;=$F$5-exit_renovation,MA7&lt;$F$5),'Main Assumptions'!$E$23/exit_renovation,0))</f>
        <v>0</v>
      </c>
      <c r="MB38" s="40">
        <f>-IF(MB$7&lt;='Main Assumptions'!$E$22,'Main Assumptions'!$E$21/'Main Assumptions'!$E$22,IF(AND(MB7&gt;=$F$5-exit_renovation,MB7&lt;$F$5),'Main Assumptions'!$E$23/exit_renovation,0))</f>
        <v>0</v>
      </c>
      <c r="MC38" s="40">
        <f>-IF(MC$7&lt;='Main Assumptions'!$E$22,'Main Assumptions'!$E$21/'Main Assumptions'!$E$22,IF(AND(MC7&gt;=$F$5-exit_renovation,MC7&lt;$F$5),'Main Assumptions'!$E$23/exit_renovation,0))</f>
        <v>0</v>
      </c>
      <c r="MD38" s="40">
        <f>-IF(MD$7&lt;='Main Assumptions'!$E$22,'Main Assumptions'!$E$21/'Main Assumptions'!$E$22,IF(AND(MD7&gt;=$F$5-exit_renovation,MD7&lt;$F$5),'Main Assumptions'!$E$23/exit_renovation,0))</f>
        <v>0</v>
      </c>
      <c r="ME38" s="40">
        <f>-IF(ME$7&lt;='Main Assumptions'!$E$22,'Main Assumptions'!$E$21/'Main Assumptions'!$E$22,IF(AND(ME7&gt;=$F$5-exit_renovation,ME7&lt;$F$5),'Main Assumptions'!$E$23/exit_renovation,0))</f>
        <v>0</v>
      </c>
      <c r="MF38" s="40">
        <f>-IF(MF$7&lt;='Main Assumptions'!$E$22,'Main Assumptions'!$E$21/'Main Assumptions'!$E$22,IF(AND(MF7&gt;=$F$5-exit_renovation,MF7&lt;$F$5),'Main Assumptions'!$E$23/exit_renovation,0))</f>
        <v>0</v>
      </c>
      <c r="MG38" s="40">
        <f>-IF(MG$7&lt;='Main Assumptions'!$E$22,'Main Assumptions'!$E$21/'Main Assumptions'!$E$22,IF(AND(MG7&gt;=$F$5-exit_renovation,MG7&lt;$F$5),'Main Assumptions'!$E$23/exit_renovation,0))</f>
        <v>0</v>
      </c>
      <c r="MH38" s="40">
        <f>-IF(MH$7&lt;='Main Assumptions'!$E$22,'Main Assumptions'!$E$21/'Main Assumptions'!$E$22,IF(AND(MH7&gt;=$F$5-exit_renovation,MH7&lt;$F$5),'Main Assumptions'!$E$23/exit_renovation,0))</f>
        <v>0</v>
      </c>
      <c r="MI38" s="40">
        <f>-IF(MI$7&lt;='Main Assumptions'!$E$22,'Main Assumptions'!$E$21/'Main Assumptions'!$E$22,IF(AND(MI7&gt;=$F$5-exit_renovation,MI7&lt;$F$5),'Main Assumptions'!$E$23/exit_renovation,0))</f>
        <v>0</v>
      </c>
      <c r="MJ38" s="40">
        <f>-IF(MJ$7&lt;='Main Assumptions'!$E$22,'Main Assumptions'!$E$21/'Main Assumptions'!$E$22,IF(AND(MJ7&gt;=$F$5-exit_renovation,MJ7&lt;$F$5),'Main Assumptions'!$E$23/exit_renovation,0))</f>
        <v>0</v>
      </c>
      <c r="MK38" s="40">
        <f>-IF(MK$7&lt;='Main Assumptions'!$E$22,'Main Assumptions'!$E$21/'Main Assumptions'!$E$22,IF(AND(MK7&gt;=$F$5-exit_renovation,MK7&lt;$F$5),'Main Assumptions'!$E$23/exit_renovation,0))</f>
        <v>0</v>
      </c>
      <c r="ML38" s="40">
        <f>-IF(ML$7&lt;='Main Assumptions'!$E$22,'Main Assumptions'!$E$21/'Main Assumptions'!$E$22,IF(AND(ML7&gt;=$F$5-exit_renovation,ML7&lt;$F$5),'Main Assumptions'!$E$23/exit_renovation,0))</f>
        <v>0</v>
      </c>
      <c r="MM38" s="40">
        <f>-IF(MM$7&lt;='Main Assumptions'!$E$22,'Main Assumptions'!$E$21/'Main Assumptions'!$E$22,IF(AND(MM7&gt;=$F$5-exit_renovation,MM7&lt;$F$5),'Main Assumptions'!$E$23/exit_renovation,0))</f>
        <v>0</v>
      </c>
      <c r="MN38" s="40">
        <f>-IF(MN$7&lt;='Main Assumptions'!$E$22,'Main Assumptions'!$E$21/'Main Assumptions'!$E$22,IF(AND(MN7&gt;=$F$5-exit_renovation,MN7&lt;$F$5),'Main Assumptions'!$E$23/exit_renovation,0))</f>
        <v>0</v>
      </c>
      <c r="MO38" s="40">
        <f>-IF(MO$7&lt;='Main Assumptions'!$E$22,'Main Assumptions'!$E$21/'Main Assumptions'!$E$22,IF(AND(MO7&gt;=$F$5-exit_renovation,MO7&lt;$F$5),'Main Assumptions'!$E$23/exit_renovation,0))</f>
        <v>0</v>
      </c>
      <c r="MP38" s="40">
        <f>-IF(MP$7&lt;='Main Assumptions'!$E$22,'Main Assumptions'!$E$21/'Main Assumptions'!$E$22,IF(AND(MP7&gt;=$F$5-exit_renovation,MP7&lt;$F$5),'Main Assumptions'!$E$23/exit_renovation,0))</f>
        <v>0</v>
      </c>
      <c r="MQ38" s="40">
        <f>-IF(MQ$7&lt;='Main Assumptions'!$E$22,'Main Assumptions'!$E$21/'Main Assumptions'!$E$22,IF(AND(MQ7&gt;=$F$5-exit_renovation,MQ7&lt;$F$5),'Main Assumptions'!$E$23/exit_renovation,0))</f>
        <v>0</v>
      </c>
      <c r="MR38" s="40">
        <f>-IF(MR$7&lt;='Main Assumptions'!$E$22,'Main Assumptions'!$E$21/'Main Assumptions'!$E$22,IF(AND(MR7&gt;=$F$5-exit_renovation,MR7&lt;$F$5),'Main Assumptions'!$E$23/exit_renovation,0))</f>
        <v>0</v>
      </c>
      <c r="MS38" s="40">
        <f>-IF(MS$7&lt;='Main Assumptions'!$E$22,'Main Assumptions'!$E$21/'Main Assumptions'!$E$22,IF(AND(MS7&gt;=$F$5-exit_renovation,MS7&lt;$F$5),'Main Assumptions'!$E$23/exit_renovation,0))</f>
        <v>0</v>
      </c>
      <c r="MT38" s="40">
        <f>-IF(MT$7&lt;='Main Assumptions'!$E$22,'Main Assumptions'!$E$21/'Main Assumptions'!$E$22,IF(AND(MT7&gt;=$F$5-exit_renovation,MT7&lt;$F$5),'Main Assumptions'!$E$23/exit_renovation,0))</f>
        <v>0</v>
      </c>
      <c r="MU38" s="40">
        <f>-IF(MU$7&lt;='Main Assumptions'!$E$22,'Main Assumptions'!$E$21/'Main Assumptions'!$E$22,IF(AND(MU7&gt;=$F$5-exit_renovation,MU7&lt;$F$5),'Main Assumptions'!$E$23/exit_renovation,0))</f>
        <v>0</v>
      </c>
      <c r="MV38" s="40">
        <f>-IF(MV$7&lt;='Main Assumptions'!$E$22,'Main Assumptions'!$E$21/'Main Assumptions'!$E$22,IF(AND(MV7&gt;=$F$5-exit_renovation,MV7&lt;$F$5),'Main Assumptions'!$E$23/exit_renovation,0))</f>
        <v>0</v>
      </c>
      <c r="MW38" s="40">
        <f>-IF(MW$7&lt;='Main Assumptions'!$E$22,'Main Assumptions'!$E$21/'Main Assumptions'!$E$22,IF(AND(MW7&gt;=$F$5-exit_renovation,MW7&lt;$F$5),'Main Assumptions'!$E$23/exit_renovation,0))</f>
        <v>0</v>
      </c>
      <c r="MX38" s="40">
        <f>-IF(MX$7&lt;='Main Assumptions'!$E$22,'Main Assumptions'!$E$21/'Main Assumptions'!$E$22,IF(AND(MX7&gt;=$F$5-exit_renovation,MX7&lt;$F$5),'Main Assumptions'!$E$23/exit_renovation,0))</f>
        <v>0</v>
      </c>
      <c r="MY38" s="40">
        <f>-IF(MY$7&lt;='Main Assumptions'!$E$22,'Main Assumptions'!$E$21/'Main Assumptions'!$E$22,IF(AND(MY7&gt;=$F$5-exit_renovation,MY7&lt;$F$5),'Main Assumptions'!$E$23/exit_renovation,0))</f>
        <v>0</v>
      </c>
      <c r="MZ38" s="40">
        <f>-IF(MZ$7&lt;='Main Assumptions'!$E$22,'Main Assumptions'!$E$21/'Main Assumptions'!$E$22,IF(AND(MZ7&gt;=$F$5-exit_renovation,MZ7&lt;$F$5),'Main Assumptions'!$E$23/exit_renovation,0))</f>
        <v>0</v>
      </c>
      <c r="NA38" s="40">
        <f>-IF(NA$7&lt;='Main Assumptions'!$E$22,'Main Assumptions'!$E$21/'Main Assumptions'!$E$22,IF(AND(NA7&gt;=$F$5-exit_renovation,NA7&lt;$F$5),'Main Assumptions'!$E$23/exit_renovation,0))</f>
        <v>0</v>
      </c>
      <c r="NB38" s="40">
        <f>-IF(NB$7&lt;='Main Assumptions'!$E$22,'Main Assumptions'!$E$21/'Main Assumptions'!$E$22,IF(AND(NB7&gt;=$F$5-exit_renovation,NB7&lt;$F$5),'Main Assumptions'!$E$23/exit_renovation,0))</f>
        <v>0</v>
      </c>
    </row>
    <row r="39" spans="2:367" x14ac:dyDescent="0.15">
      <c r="B39" s="6"/>
      <c r="C39" s="6"/>
      <c r="D39" s="54"/>
      <c r="E39" s="34"/>
      <c r="F39" s="15"/>
      <c r="G39" s="15"/>
      <c r="H39" s="15"/>
      <c r="I39" s="15"/>
      <c r="J39" s="15"/>
      <c r="K39" s="15"/>
      <c r="L39" s="383"/>
      <c r="M39" s="15"/>
      <c r="N39" s="15"/>
      <c r="O39" s="15"/>
      <c r="P39" s="15"/>
      <c r="Q39" s="15"/>
      <c r="R39" s="15"/>
      <c r="S39" s="15"/>
      <c r="T39" s="15"/>
      <c r="U39" s="15"/>
      <c r="V39" s="15"/>
      <c r="W39" s="15"/>
      <c r="X39" s="15"/>
      <c r="Y39" s="15"/>
      <c r="Z39" s="15"/>
      <c r="AA39" s="15"/>
      <c r="AB39" s="15"/>
      <c r="AC39" s="15"/>
      <c r="AD39" s="15"/>
      <c r="AE39" s="15"/>
      <c r="AF39" s="15"/>
      <c r="AG39" s="15"/>
      <c r="AH39" s="15"/>
      <c r="AI39" s="15"/>
      <c r="AJ39" s="15"/>
      <c r="AK39" s="15"/>
      <c r="AL39" s="15"/>
      <c r="AM39" s="15"/>
      <c r="AN39" s="15"/>
      <c r="AO39" s="15"/>
      <c r="AP39" s="15"/>
      <c r="AQ39" s="15"/>
      <c r="AR39" s="15"/>
      <c r="AS39" s="15"/>
      <c r="AT39" s="15"/>
      <c r="AU39" s="15"/>
      <c r="AV39" s="15"/>
      <c r="AW39" s="15"/>
      <c r="AX39" s="15"/>
      <c r="AY39" s="15"/>
      <c r="AZ39" s="15"/>
      <c r="BA39" s="15"/>
      <c r="BB39" s="15"/>
      <c r="BC39" s="15"/>
      <c r="BD39" s="15"/>
      <c r="BE39" s="15"/>
      <c r="BF39" s="15"/>
      <c r="BG39" s="15"/>
      <c r="BH39" s="15"/>
      <c r="BI39" s="15"/>
      <c r="BJ39" s="15"/>
      <c r="BK39" s="15"/>
      <c r="BL39" s="15"/>
      <c r="BM39" s="15"/>
      <c r="BN39" s="15"/>
      <c r="BO39" s="15"/>
      <c r="BP39" s="15"/>
      <c r="BQ39" s="15"/>
      <c r="BR39" s="15"/>
      <c r="BS39" s="15"/>
      <c r="BT39" s="15"/>
      <c r="BU39" s="15"/>
      <c r="BV39" s="15"/>
      <c r="BW39" s="15"/>
      <c r="BX39" s="15"/>
      <c r="BY39" s="15"/>
      <c r="BZ39" s="15"/>
      <c r="CA39" s="15"/>
      <c r="CB39" s="15"/>
      <c r="CC39" s="15"/>
      <c r="CD39" s="15"/>
      <c r="CE39" s="15"/>
      <c r="CF39" s="15"/>
      <c r="CG39" s="15"/>
      <c r="CH39" s="15"/>
      <c r="CI39" s="15"/>
      <c r="CJ39" s="15"/>
      <c r="CK39" s="15"/>
      <c r="CL39" s="15"/>
      <c r="CM39" s="15"/>
      <c r="CN39" s="15"/>
      <c r="CO39" s="15"/>
      <c r="CP39" s="15"/>
      <c r="CQ39" s="15"/>
      <c r="CR39" s="15"/>
      <c r="CS39" s="15"/>
      <c r="CT39" s="15"/>
      <c r="CU39" s="15"/>
      <c r="CV39" s="15"/>
      <c r="CW39" s="15"/>
      <c r="CX39" s="15"/>
      <c r="CY39" s="15"/>
      <c r="CZ39" s="15"/>
      <c r="DA39" s="15"/>
      <c r="DB39" s="15"/>
      <c r="DC39" s="15"/>
      <c r="DD39" s="15"/>
      <c r="DE39" s="15"/>
      <c r="DF39" s="15"/>
      <c r="DG39" s="15"/>
      <c r="DH39" s="15"/>
      <c r="DI39" s="15"/>
      <c r="DJ39" s="15"/>
      <c r="DK39" s="15"/>
      <c r="DL39" s="15"/>
      <c r="DM39" s="15"/>
      <c r="DN39" s="15"/>
      <c r="DO39" s="15"/>
      <c r="DP39" s="15"/>
      <c r="DQ39" s="15"/>
      <c r="DR39" s="15"/>
      <c r="DS39" s="15"/>
      <c r="DT39" s="15"/>
      <c r="DU39" s="15"/>
      <c r="DV39" s="15"/>
      <c r="DW39" s="15"/>
      <c r="DX39" s="15"/>
      <c r="DY39" s="15"/>
      <c r="DZ39" s="15"/>
      <c r="EA39" s="15"/>
      <c r="EB39" s="15"/>
      <c r="EC39" s="15"/>
      <c r="ED39" s="15"/>
      <c r="EE39" s="15"/>
      <c r="EF39" s="15"/>
      <c r="EG39" s="15"/>
      <c r="EH39" s="15"/>
      <c r="EI39" s="15"/>
      <c r="EJ39" s="15"/>
      <c r="EK39" s="15"/>
      <c r="EL39" s="15"/>
      <c r="EM39" s="15"/>
      <c r="EN39" s="15"/>
      <c r="EO39" s="15"/>
      <c r="EP39" s="15"/>
      <c r="EQ39" s="15"/>
      <c r="ER39" s="15"/>
      <c r="ES39" s="15"/>
      <c r="ET39" s="15"/>
      <c r="EU39" s="15"/>
      <c r="EV39" s="15"/>
      <c r="EW39" s="15"/>
      <c r="EX39" s="15"/>
      <c r="EY39" s="15"/>
      <c r="EZ39" s="15"/>
      <c r="FA39" s="15"/>
      <c r="FB39" s="15"/>
      <c r="FC39" s="15"/>
      <c r="FD39" s="15"/>
      <c r="FE39" s="15"/>
      <c r="FF39" s="15"/>
      <c r="FG39" s="15"/>
      <c r="FH39" s="15"/>
      <c r="FI39" s="15"/>
      <c r="FJ39" s="15"/>
      <c r="FK39" s="15"/>
      <c r="FL39" s="15"/>
      <c r="FM39" s="15"/>
      <c r="FN39" s="15"/>
      <c r="FO39" s="15"/>
      <c r="FP39" s="15"/>
      <c r="FQ39" s="15"/>
      <c r="FR39" s="15"/>
      <c r="FS39" s="15"/>
      <c r="FT39" s="15"/>
      <c r="FU39" s="15"/>
      <c r="FV39" s="15"/>
      <c r="FW39" s="15"/>
      <c r="FX39" s="15"/>
      <c r="FY39" s="15"/>
      <c r="FZ39" s="15"/>
      <c r="GA39" s="15"/>
      <c r="GB39" s="15"/>
      <c r="GC39" s="15"/>
      <c r="GD39" s="15"/>
      <c r="GE39" s="15"/>
      <c r="GF39" s="15"/>
      <c r="GG39" s="15"/>
      <c r="GH39" s="15"/>
      <c r="GI39" s="15"/>
      <c r="GJ39" s="15"/>
      <c r="GK39" s="15"/>
      <c r="GL39" s="15"/>
      <c r="GM39" s="15"/>
      <c r="GN39" s="15"/>
      <c r="GO39" s="15"/>
      <c r="GP39" s="15"/>
      <c r="GQ39" s="15"/>
      <c r="GR39" s="15"/>
      <c r="GS39" s="15"/>
      <c r="GT39" s="15"/>
      <c r="GU39" s="15"/>
      <c r="GV39" s="15"/>
      <c r="GW39" s="15"/>
      <c r="GX39" s="15"/>
      <c r="GY39" s="15"/>
      <c r="GZ39" s="15"/>
      <c r="HA39" s="15"/>
      <c r="HB39" s="15"/>
      <c r="HC39" s="15"/>
      <c r="HD39" s="15"/>
      <c r="HE39" s="15"/>
      <c r="HF39" s="15"/>
      <c r="HG39" s="15"/>
      <c r="HH39" s="15"/>
      <c r="HI39" s="15"/>
      <c r="HJ39" s="15"/>
      <c r="HK39" s="15"/>
      <c r="HL39" s="15"/>
      <c r="HM39" s="15"/>
      <c r="HN39" s="15"/>
      <c r="HO39" s="15"/>
      <c r="HP39" s="15"/>
      <c r="HQ39" s="15"/>
      <c r="HR39" s="15"/>
      <c r="HS39" s="15"/>
      <c r="HT39" s="15"/>
      <c r="HU39" s="15"/>
      <c r="HV39" s="15"/>
      <c r="HW39" s="15"/>
      <c r="HX39" s="15"/>
      <c r="HY39" s="15"/>
      <c r="HZ39" s="15"/>
      <c r="IA39" s="15"/>
      <c r="IB39" s="15"/>
      <c r="IC39" s="15"/>
      <c r="ID39" s="15"/>
      <c r="IE39" s="15"/>
      <c r="IF39" s="15"/>
      <c r="IG39" s="15"/>
      <c r="IH39" s="15"/>
      <c r="II39" s="15"/>
      <c r="IJ39" s="15"/>
      <c r="IK39" s="15"/>
      <c r="IL39" s="15"/>
      <c r="IM39" s="15"/>
      <c r="IN39" s="15"/>
      <c r="IO39" s="15"/>
      <c r="IP39" s="15"/>
      <c r="IQ39" s="15"/>
      <c r="IR39" s="15"/>
      <c r="IS39" s="15"/>
      <c r="IT39" s="15"/>
      <c r="IU39" s="15"/>
      <c r="IV39" s="15"/>
      <c r="IW39" s="15"/>
      <c r="IX39" s="15"/>
      <c r="IY39" s="15"/>
      <c r="IZ39" s="15"/>
      <c r="JA39" s="15"/>
      <c r="JB39" s="15"/>
      <c r="JC39" s="15"/>
      <c r="JD39" s="15"/>
      <c r="JE39" s="15"/>
      <c r="JF39" s="15"/>
      <c r="JG39" s="15"/>
      <c r="JH39" s="15"/>
      <c r="JI39" s="15"/>
      <c r="JJ39" s="15"/>
      <c r="JK39" s="15"/>
      <c r="JL39" s="15"/>
      <c r="JM39" s="15"/>
      <c r="JN39" s="15"/>
      <c r="JO39" s="15"/>
      <c r="JP39" s="15"/>
      <c r="JQ39" s="15"/>
      <c r="JR39" s="15"/>
      <c r="JS39" s="15"/>
      <c r="JT39" s="15"/>
      <c r="JU39" s="15"/>
      <c r="JV39" s="15"/>
      <c r="JW39" s="15"/>
      <c r="JX39" s="15"/>
      <c r="JY39" s="15"/>
      <c r="JZ39" s="15"/>
      <c r="KA39" s="15"/>
      <c r="KB39" s="15"/>
      <c r="KC39" s="15"/>
      <c r="KD39" s="15"/>
      <c r="KE39" s="15"/>
      <c r="KF39" s="15"/>
      <c r="KG39" s="15"/>
      <c r="KH39" s="15"/>
      <c r="KI39" s="15"/>
      <c r="KJ39" s="15"/>
      <c r="KK39" s="15"/>
      <c r="KL39" s="15"/>
      <c r="KM39" s="15"/>
      <c r="KN39" s="15"/>
      <c r="KO39" s="15"/>
      <c r="KP39" s="15"/>
      <c r="KQ39" s="15"/>
      <c r="KR39" s="15"/>
      <c r="KS39" s="15"/>
      <c r="KT39" s="15"/>
      <c r="KU39" s="15"/>
      <c r="KV39" s="15"/>
      <c r="KW39" s="15"/>
      <c r="KX39" s="15"/>
      <c r="KY39" s="15"/>
      <c r="KZ39" s="15"/>
      <c r="LA39" s="15"/>
      <c r="LB39" s="15"/>
      <c r="LC39" s="15"/>
      <c r="LD39" s="15"/>
      <c r="LE39" s="15"/>
      <c r="LF39" s="15"/>
      <c r="LG39" s="15"/>
      <c r="LH39" s="15"/>
      <c r="LI39" s="15"/>
      <c r="LJ39" s="15"/>
      <c r="LK39" s="15"/>
      <c r="LL39" s="15"/>
      <c r="LM39" s="15"/>
      <c r="LN39" s="15"/>
      <c r="LO39" s="15"/>
      <c r="LP39" s="15"/>
      <c r="LQ39" s="15"/>
      <c r="LR39" s="15"/>
      <c r="LS39" s="15"/>
      <c r="LT39" s="15"/>
      <c r="LU39" s="15"/>
      <c r="LV39" s="15"/>
      <c r="LW39" s="15"/>
      <c r="LX39" s="15"/>
      <c r="LY39" s="15"/>
      <c r="LZ39" s="15"/>
      <c r="MA39" s="15"/>
      <c r="MB39" s="15"/>
      <c r="MC39" s="15"/>
      <c r="MD39" s="15"/>
      <c r="ME39" s="15"/>
      <c r="MF39" s="15"/>
      <c r="MG39" s="15"/>
      <c r="MH39" s="15"/>
      <c r="MI39" s="15"/>
      <c r="MJ39" s="15"/>
      <c r="MK39" s="15"/>
      <c r="ML39" s="15"/>
      <c r="MM39" s="15"/>
      <c r="MN39" s="15"/>
      <c r="MO39" s="15"/>
      <c r="MP39" s="15"/>
      <c r="MQ39" s="15"/>
      <c r="MR39" s="15"/>
      <c r="MS39" s="15"/>
      <c r="MT39" s="15"/>
      <c r="MU39" s="15"/>
      <c r="MV39" s="15"/>
      <c r="MW39" s="15"/>
      <c r="MX39" s="15"/>
      <c r="MY39" s="15"/>
      <c r="MZ39" s="15"/>
      <c r="NA39" s="15"/>
      <c r="NB39" s="15"/>
    </row>
    <row r="40" spans="2:367" x14ac:dyDescent="0.15">
      <c r="B40" s="4" t="s">
        <v>127</v>
      </c>
      <c r="C40" s="4"/>
      <c r="F40" s="40">
        <f>F36+F38</f>
        <v>0</v>
      </c>
      <c r="G40" s="40">
        <f t="shared" ref="G40:BR40" si="68">G36+G38</f>
        <v>-106461.711075</v>
      </c>
      <c r="H40" s="40">
        <f t="shared" si="68"/>
        <v>-106461.711075</v>
      </c>
      <c r="I40" s="40">
        <f t="shared" si="68"/>
        <v>-106461.711075</v>
      </c>
      <c r="J40" s="40">
        <f t="shared" si="68"/>
        <v>26871.622258333337</v>
      </c>
      <c r="K40" s="40">
        <f t="shared" si="68"/>
        <v>26871.622258333337</v>
      </c>
      <c r="L40" s="431">
        <f t="shared" si="68"/>
        <v>26871.622258333337</v>
      </c>
      <c r="M40" s="40">
        <f t="shared" si="68"/>
        <v>26719.570758333335</v>
      </c>
      <c r="N40" s="40">
        <f t="shared" si="68"/>
        <v>26719.570758333335</v>
      </c>
      <c r="O40" s="40">
        <f t="shared" si="68"/>
        <v>26719.570758333335</v>
      </c>
      <c r="P40" s="40">
        <f t="shared" si="68"/>
        <v>26719.570758333335</v>
      </c>
      <c r="Q40" s="40">
        <f t="shared" si="68"/>
        <v>26719.570758333335</v>
      </c>
      <c r="R40" s="40">
        <f t="shared" si="68"/>
        <v>26719.570758333335</v>
      </c>
      <c r="S40" s="40">
        <f t="shared" si="68"/>
        <v>27579.420090166663</v>
      </c>
      <c r="T40" s="40">
        <f t="shared" si="68"/>
        <v>27579.420090166663</v>
      </c>
      <c r="U40" s="40">
        <f t="shared" si="68"/>
        <v>27579.420090166663</v>
      </c>
      <c r="V40" s="40">
        <f t="shared" si="68"/>
        <v>27579.420090166663</v>
      </c>
      <c r="W40" s="40">
        <f t="shared" si="68"/>
        <v>27579.420090166663</v>
      </c>
      <c r="X40" s="40">
        <f t="shared" si="68"/>
        <v>27579.420090166663</v>
      </c>
      <c r="Y40" s="40">
        <f t="shared" si="68"/>
        <v>27579.420090166663</v>
      </c>
      <c r="Z40" s="40">
        <f t="shared" si="68"/>
        <v>27579.420090166663</v>
      </c>
      <c r="AA40" s="40">
        <f t="shared" si="68"/>
        <v>27579.420090166663</v>
      </c>
      <c r="AB40" s="40">
        <f t="shared" si="68"/>
        <v>27579.420090166663</v>
      </c>
      <c r="AC40" s="40">
        <f t="shared" si="68"/>
        <v>27579.420090166663</v>
      </c>
      <c r="AD40" s="573">
        <f t="shared" si="68"/>
        <v>27579.420090166663</v>
      </c>
      <c r="AE40" s="40">
        <f t="shared" si="68"/>
        <v>28466.295375303329</v>
      </c>
      <c r="AF40" s="40">
        <f t="shared" si="68"/>
        <v>28466.295375303329</v>
      </c>
      <c r="AG40" s="40">
        <f t="shared" si="68"/>
        <v>28466.295375303329</v>
      </c>
      <c r="AH40" s="40">
        <f t="shared" si="68"/>
        <v>28466.295375303329</v>
      </c>
      <c r="AI40" s="40">
        <f t="shared" si="68"/>
        <v>28466.295375303329</v>
      </c>
      <c r="AJ40" s="40">
        <f t="shared" si="68"/>
        <v>28466.295375303329</v>
      </c>
      <c r="AK40" s="40">
        <f t="shared" si="68"/>
        <v>28466.295375303329</v>
      </c>
      <c r="AL40" s="40">
        <f t="shared" si="68"/>
        <v>28466.295375303329</v>
      </c>
      <c r="AM40" s="40">
        <f t="shared" si="68"/>
        <v>28466.295375303329</v>
      </c>
      <c r="AN40" s="40">
        <f t="shared" si="68"/>
        <v>28466.295375303329</v>
      </c>
      <c r="AO40" s="40">
        <f t="shared" si="68"/>
        <v>28466.295375303329</v>
      </c>
      <c r="AP40" s="40">
        <f t="shared" si="68"/>
        <v>28466.295375303329</v>
      </c>
      <c r="AQ40" s="40">
        <f t="shared" si="68"/>
        <v>29381.033632538572</v>
      </c>
      <c r="AR40" s="40">
        <f t="shared" si="68"/>
        <v>29381.033632538572</v>
      </c>
      <c r="AS40" s="40">
        <f t="shared" si="68"/>
        <v>29381.033632538572</v>
      </c>
      <c r="AT40" s="40">
        <f t="shared" si="68"/>
        <v>29381.033632538572</v>
      </c>
      <c r="AU40" s="40">
        <f t="shared" si="68"/>
        <v>29381.033632538572</v>
      </c>
      <c r="AV40" s="40">
        <f t="shared" si="68"/>
        <v>29381.033632538572</v>
      </c>
      <c r="AW40" s="40">
        <f t="shared" si="68"/>
        <v>29381.033632538572</v>
      </c>
      <c r="AX40" s="40">
        <f t="shared" si="68"/>
        <v>29381.033632538572</v>
      </c>
      <c r="AY40" s="40">
        <f t="shared" si="68"/>
        <v>29381.033632538572</v>
      </c>
      <c r="AZ40" s="40">
        <f t="shared" si="68"/>
        <v>29381.033632538572</v>
      </c>
      <c r="BA40" s="40">
        <f t="shared" si="68"/>
        <v>29381.033632538572</v>
      </c>
      <c r="BB40" s="40">
        <f t="shared" si="68"/>
        <v>29381.033632538572</v>
      </c>
      <c r="BC40" s="40">
        <f t="shared" si="68"/>
        <v>30324.49755680361</v>
      </c>
      <c r="BD40" s="40">
        <f t="shared" si="68"/>
        <v>30324.49755680361</v>
      </c>
      <c r="BE40" s="40">
        <f t="shared" si="68"/>
        <v>30324.49755680361</v>
      </c>
      <c r="BF40" s="40">
        <f t="shared" si="68"/>
        <v>30324.49755680361</v>
      </c>
      <c r="BG40" s="40">
        <f t="shared" si="68"/>
        <v>30324.49755680361</v>
      </c>
      <c r="BH40" s="40">
        <f t="shared" si="68"/>
        <v>30324.49755680361</v>
      </c>
      <c r="BI40" s="40">
        <f t="shared" si="68"/>
        <v>30324.49755680361</v>
      </c>
      <c r="BJ40" s="40">
        <f t="shared" si="68"/>
        <v>30324.49755680361</v>
      </c>
      <c r="BK40" s="40">
        <f t="shared" si="68"/>
        <v>30324.49755680361</v>
      </c>
      <c r="BL40" s="40">
        <f t="shared" si="68"/>
        <v>30324.49755680361</v>
      </c>
      <c r="BM40" s="40">
        <f t="shared" si="68"/>
        <v>30324.49755680361</v>
      </c>
      <c r="BN40" s="40">
        <f t="shared" si="68"/>
        <v>30324.49755680361</v>
      </c>
      <c r="BO40" s="40">
        <f t="shared" si="68"/>
        <v>31297.576301780442</v>
      </c>
      <c r="BP40" s="40">
        <f t="shared" si="68"/>
        <v>31297.576301780442</v>
      </c>
      <c r="BQ40" s="40">
        <f t="shared" si="68"/>
        <v>31297.576301780442</v>
      </c>
      <c r="BR40" s="40">
        <f t="shared" si="68"/>
        <v>31297.576301780442</v>
      </c>
      <c r="BS40" s="40">
        <f t="shared" ref="BS40:ED40" si="69">BS36+BS38</f>
        <v>31297.576301780442</v>
      </c>
      <c r="BT40" s="40">
        <f t="shared" si="69"/>
        <v>31297.576301780442</v>
      </c>
      <c r="BU40" s="40">
        <f t="shared" si="69"/>
        <v>31297.576301780442</v>
      </c>
      <c r="BV40" s="40">
        <f t="shared" si="69"/>
        <v>31297.576301780442</v>
      </c>
      <c r="BW40" s="40">
        <f t="shared" si="69"/>
        <v>31297.576301780442</v>
      </c>
      <c r="BX40" s="40">
        <f t="shared" si="69"/>
        <v>31297.576301780442</v>
      </c>
      <c r="BY40" s="40">
        <f t="shared" si="69"/>
        <v>31297.576301780442</v>
      </c>
      <c r="BZ40" s="40">
        <f t="shared" si="69"/>
        <v>31297.576301780442</v>
      </c>
      <c r="CA40" s="40">
        <f t="shared" si="69"/>
        <v>32301.18628626705</v>
      </c>
      <c r="CB40" s="40">
        <f t="shared" si="69"/>
        <v>32301.18628626705</v>
      </c>
      <c r="CC40" s="40">
        <f t="shared" si="69"/>
        <v>32301.18628626705</v>
      </c>
      <c r="CD40" s="40">
        <f t="shared" si="69"/>
        <v>32301.18628626705</v>
      </c>
      <c r="CE40" s="40">
        <f t="shared" si="69"/>
        <v>32301.18628626705</v>
      </c>
      <c r="CF40" s="40">
        <f t="shared" si="69"/>
        <v>32301.18628626705</v>
      </c>
      <c r="CG40" s="40">
        <f t="shared" si="69"/>
        <v>32301.18628626705</v>
      </c>
      <c r="CH40" s="40">
        <f t="shared" si="69"/>
        <v>32301.18628626705</v>
      </c>
      <c r="CI40" s="40">
        <f t="shared" si="69"/>
        <v>32301.18628626705</v>
      </c>
      <c r="CJ40" s="40">
        <f t="shared" si="69"/>
        <v>32301.18628626705</v>
      </c>
      <c r="CK40" s="40">
        <f t="shared" si="69"/>
        <v>32301.18628626705</v>
      </c>
      <c r="CL40" s="40">
        <f t="shared" si="69"/>
        <v>32301.18628626705</v>
      </c>
      <c r="CM40" s="40">
        <f t="shared" si="69"/>
        <v>33336.272025011793</v>
      </c>
      <c r="CN40" s="40">
        <f t="shared" si="69"/>
        <v>33336.272025011793</v>
      </c>
      <c r="CO40" s="40">
        <f t="shared" si="69"/>
        <v>33336.272025011793</v>
      </c>
      <c r="CP40" s="40">
        <f t="shared" si="69"/>
        <v>33336.272025011793</v>
      </c>
      <c r="CQ40" s="40">
        <f t="shared" si="69"/>
        <v>33336.272025011793</v>
      </c>
      <c r="CR40" s="40">
        <f t="shared" si="69"/>
        <v>33336.272025011793</v>
      </c>
      <c r="CS40" s="40">
        <f t="shared" si="69"/>
        <v>33336.272025011793</v>
      </c>
      <c r="CT40" s="40">
        <f t="shared" si="69"/>
        <v>33336.272025011793</v>
      </c>
      <c r="CU40" s="40">
        <f t="shared" si="69"/>
        <v>33336.272025011793</v>
      </c>
      <c r="CV40" s="40">
        <f t="shared" si="69"/>
        <v>33336.272025011793</v>
      </c>
      <c r="CW40" s="40">
        <f t="shared" si="69"/>
        <v>33336.272025011793</v>
      </c>
      <c r="CX40" s="40">
        <f t="shared" si="69"/>
        <v>33336.272025011793</v>
      </c>
      <c r="CY40" s="40">
        <f t="shared" si="69"/>
        <v>34403.806984757284</v>
      </c>
      <c r="CZ40" s="40">
        <f t="shared" si="69"/>
        <v>34403.806984757284</v>
      </c>
      <c r="DA40" s="40">
        <f t="shared" si="69"/>
        <v>34403.806984757284</v>
      </c>
      <c r="DB40" s="40">
        <f t="shared" si="69"/>
        <v>34403.806984757284</v>
      </c>
      <c r="DC40" s="40">
        <f t="shared" si="69"/>
        <v>34403.806984757284</v>
      </c>
      <c r="DD40" s="40">
        <f t="shared" si="69"/>
        <v>34403.806984757284</v>
      </c>
      <c r="DE40" s="40">
        <f t="shared" si="69"/>
        <v>34403.806984757284</v>
      </c>
      <c r="DF40" s="40">
        <f t="shared" si="69"/>
        <v>34403.806984757284</v>
      </c>
      <c r="DG40" s="40">
        <f t="shared" si="69"/>
        <v>34403.806984757284</v>
      </c>
      <c r="DH40" s="40">
        <f t="shared" si="69"/>
        <v>34403.806984757284</v>
      </c>
      <c r="DI40" s="40">
        <f t="shared" si="69"/>
        <v>34403.806984757284</v>
      </c>
      <c r="DJ40" s="40">
        <f t="shared" si="69"/>
        <v>34403.806984757284</v>
      </c>
      <c r="DK40" s="40">
        <f t="shared" si="69"/>
        <v>35504.794466256171</v>
      </c>
      <c r="DL40" s="40">
        <f t="shared" si="69"/>
        <v>35504.794466256171</v>
      </c>
      <c r="DM40" s="40">
        <f t="shared" si="69"/>
        <v>35504.794466256171</v>
      </c>
      <c r="DN40" s="40">
        <f t="shared" si="69"/>
        <v>35504.794466256171</v>
      </c>
      <c r="DO40" s="40">
        <f t="shared" si="69"/>
        <v>35504.794466256171</v>
      </c>
      <c r="DP40" s="40">
        <f t="shared" si="69"/>
        <v>35504.794466256171</v>
      </c>
      <c r="DQ40" s="40">
        <f t="shared" si="69"/>
        <v>35504.794466256171</v>
      </c>
      <c r="DR40" s="40">
        <f t="shared" si="69"/>
        <v>35504.794466256171</v>
      </c>
      <c r="DS40" s="40">
        <f t="shared" si="69"/>
        <v>35504.794466256171</v>
      </c>
      <c r="DT40" s="40">
        <f t="shared" si="69"/>
        <v>35504.794466256171</v>
      </c>
      <c r="DU40" s="40">
        <f t="shared" si="69"/>
        <v>35504.794466256171</v>
      </c>
      <c r="DV40" s="40">
        <f t="shared" si="69"/>
        <v>35504.794466256171</v>
      </c>
      <c r="DW40" s="40">
        <f t="shared" si="69"/>
        <v>36640.26851304483</v>
      </c>
      <c r="DX40" s="40">
        <f t="shared" si="69"/>
        <v>36640.26851304483</v>
      </c>
      <c r="DY40" s="40">
        <f t="shared" si="69"/>
        <v>36640.26851304483</v>
      </c>
      <c r="DZ40" s="40">
        <f t="shared" si="69"/>
        <v>36640.26851304483</v>
      </c>
      <c r="EA40" s="40">
        <f t="shared" si="69"/>
        <v>36640.26851304483</v>
      </c>
      <c r="EB40" s="40">
        <f t="shared" si="69"/>
        <v>36640.26851304483</v>
      </c>
      <c r="EC40" s="40">
        <f t="shared" si="69"/>
        <v>36640.26851304483</v>
      </c>
      <c r="ED40" s="40">
        <f t="shared" si="69"/>
        <v>36640.26851304483</v>
      </c>
      <c r="EE40" s="40">
        <f t="shared" ref="EE40:GP40" si="70">EE36+EE38</f>
        <v>36640.26851304483</v>
      </c>
      <c r="EF40" s="40">
        <f t="shared" si="70"/>
        <v>36640.26851304483</v>
      </c>
      <c r="EG40" s="40">
        <f t="shared" si="70"/>
        <v>36640.26851304483</v>
      </c>
      <c r="EH40" s="40">
        <f t="shared" si="70"/>
        <v>36640.26851304483</v>
      </c>
      <c r="EI40" s="40">
        <f t="shared" si="70"/>
        <v>37811.294847783982</v>
      </c>
      <c r="EJ40" s="40">
        <f t="shared" si="70"/>
        <v>37811.294847783982</v>
      </c>
      <c r="EK40" s="40">
        <f t="shared" si="70"/>
        <v>37811.294847783982</v>
      </c>
      <c r="EL40" s="40">
        <f t="shared" si="70"/>
        <v>37811.294847783982</v>
      </c>
      <c r="EM40" s="40">
        <f t="shared" si="70"/>
        <v>37811.294847783982</v>
      </c>
      <c r="EN40" s="40">
        <f t="shared" si="70"/>
        <v>37811.294847783982</v>
      </c>
      <c r="EO40" s="40">
        <f t="shared" si="70"/>
        <v>37811.294847783982</v>
      </c>
      <c r="EP40" s="40">
        <f t="shared" si="70"/>
        <v>37811.294847783982</v>
      </c>
      <c r="EQ40" s="40">
        <f t="shared" si="70"/>
        <v>37811.294847783982</v>
      </c>
      <c r="ER40" s="40">
        <f t="shared" si="70"/>
        <v>37811.294847783982</v>
      </c>
      <c r="ES40" s="40">
        <f t="shared" si="70"/>
        <v>37811.294847783982</v>
      </c>
      <c r="ET40" s="40">
        <f t="shared" si="70"/>
        <v>37811.294847783982</v>
      </c>
      <c r="EU40" s="40">
        <f t="shared" si="70"/>
        <v>39018.971837000325</v>
      </c>
      <c r="EV40" s="40">
        <f t="shared" si="70"/>
        <v>39018.971837000325</v>
      </c>
      <c r="EW40" s="40">
        <f t="shared" si="70"/>
        <v>39018.971837000325</v>
      </c>
      <c r="EX40" s="40">
        <f t="shared" si="70"/>
        <v>39018.971837000325</v>
      </c>
      <c r="EY40" s="40">
        <f t="shared" si="70"/>
        <v>39018.971837000325</v>
      </c>
      <c r="EZ40" s="40">
        <f t="shared" si="70"/>
        <v>39018.971837000325</v>
      </c>
      <c r="FA40" s="40">
        <f t="shared" si="70"/>
        <v>39018.971837000325</v>
      </c>
      <c r="FB40" s="40">
        <f t="shared" si="70"/>
        <v>39018.971837000325</v>
      </c>
      <c r="FC40" s="40">
        <f t="shared" si="70"/>
        <v>39018.971837000325</v>
      </c>
      <c r="FD40" s="40">
        <f t="shared" si="70"/>
        <v>39018.971837000325</v>
      </c>
      <c r="FE40" s="40">
        <f t="shared" si="70"/>
        <v>39018.971837000325</v>
      </c>
      <c r="FF40" s="40">
        <f t="shared" si="70"/>
        <v>39018.971837000325</v>
      </c>
      <c r="FG40" s="40">
        <f t="shared" si="70"/>
        <v>40264.431485088106</v>
      </c>
      <c r="FH40" s="40">
        <f t="shared" si="70"/>
        <v>40264.431485088106</v>
      </c>
      <c r="FI40" s="40">
        <f t="shared" si="70"/>
        <v>40264.431485088106</v>
      </c>
      <c r="FJ40" s="40">
        <f t="shared" si="70"/>
        <v>40264.431485088106</v>
      </c>
      <c r="FK40" s="40">
        <f t="shared" si="70"/>
        <v>40264.431485088106</v>
      </c>
      <c r="FL40" s="40">
        <f t="shared" si="70"/>
        <v>40264.431485088106</v>
      </c>
      <c r="FM40" s="40">
        <f t="shared" si="70"/>
        <v>40264.431485088106</v>
      </c>
      <c r="FN40" s="40">
        <f t="shared" si="70"/>
        <v>40264.431485088106</v>
      </c>
      <c r="FO40" s="40">
        <f t="shared" si="70"/>
        <v>40264.431485088106</v>
      </c>
      <c r="FP40" s="40">
        <f t="shared" si="70"/>
        <v>40264.431485088106</v>
      </c>
      <c r="FQ40" s="40">
        <f t="shared" si="70"/>
        <v>40264.431485088106</v>
      </c>
      <c r="FR40" s="40">
        <f t="shared" si="70"/>
        <v>40264.431485088106</v>
      </c>
      <c r="FS40" s="40">
        <f t="shared" si="70"/>
        <v>41548.84045845535</v>
      </c>
      <c r="FT40" s="40">
        <f t="shared" si="70"/>
        <v>41548.84045845535</v>
      </c>
      <c r="FU40" s="40">
        <f t="shared" si="70"/>
        <v>41548.84045845535</v>
      </c>
      <c r="FV40" s="40">
        <f t="shared" si="70"/>
        <v>41548.84045845535</v>
      </c>
      <c r="FW40" s="40">
        <f t="shared" si="70"/>
        <v>41548.84045845535</v>
      </c>
      <c r="FX40" s="40">
        <f t="shared" si="70"/>
        <v>41548.84045845535</v>
      </c>
      <c r="FY40" s="40">
        <f t="shared" si="70"/>
        <v>41548.84045845535</v>
      </c>
      <c r="FZ40" s="40">
        <f t="shared" si="70"/>
        <v>41548.84045845535</v>
      </c>
      <c r="GA40" s="40">
        <f t="shared" si="70"/>
        <v>8215.5071251220143</v>
      </c>
      <c r="GB40" s="40">
        <f t="shared" si="70"/>
        <v>8215.5071251220143</v>
      </c>
      <c r="GC40" s="40">
        <f t="shared" si="70"/>
        <v>8215.5071251220143</v>
      </c>
      <c r="GD40" s="40">
        <f t="shared" si="70"/>
        <v>41548.84045845535</v>
      </c>
      <c r="GE40" s="40">
        <f t="shared" si="70"/>
        <v>0</v>
      </c>
      <c r="GF40" s="40">
        <f t="shared" si="70"/>
        <v>0</v>
      </c>
      <c r="GG40" s="40">
        <f t="shared" si="70"/>
        <v>0</v>
      </c>
      <c r="GH40" s="40">
        <f t="shared" si="70"/>
        <v>0</v>
      </c>
      <c r="GI40" s="40">
        <f t="shared" si="70"/>
        <v>0</v>
      </c>
      <c r="GJ40" s="40">
        <f t="shared" si="70"/>
        <v>0</v>
      </c>
      <c r="GK40" s="40">
        <f t="shared" si="70"/>
        <v>0</v>
      </c>
      <c r="GL40" s="40">
        <f t="shared" si="70"/>
        <v>0</v>
      </c>
      <c r="GM40" s="40">
        <f t="shared" si="70"/>
        <v>0</v>
      </c>
      <c r="GN40" s="40">
        <f t="shared" si="70"/>
        <v>0</v>
      </c>
      <c r="GO40" s="40">
        <f t="shared" si="70"/>
        <v>0</v>
      </c>
      <c r="GP40" s="40">
        <f t="shared" si="70"/>
        <v>0</v>
      </c>
      <c r="GQ40" s="40">
        <f t="shared" ref="GQ40:IL40" si="71">GQ36+GQ38</f>
        <v>0</v>
      </c>
      <c r="GR40" s="40">
        <f t="shared" si="71"/>
        <v>0</v>
      </c>
      <c r="GS40" s="40">
        <f t="shared" si="71"/>
        <v>0</v>
      </c>
      <c r="GT40" s="40">
        <f t="shared" si="71"/>
        <v>0</v>
      </c>
      <c r="GU40" s="40">
        <f t="shared" si="71"/>
        <v>0</v>
      </c>
      <c r="GV40" s="40">
        <f t="shared" si="71"/>
        <v>0</v>
      </c>
      <c r="GW40" s="40">
        <f t="shared" si="71"/>
        <v>0</v>
      </c>
      <c r="GX40" s="40">
        <f t="shared" si="71"/>
        <v>0</v>
      </c>
      <c r="GY40" s="40">
        <f t="shared" si="71"/>
        <v>0</v>
      </c>
      <c r="GZ40" s="40">
        <f t="shared" si="71"/>
        <v>0</v>
      </c>
      <c r="HA40" s="40">
        <f t="shared" si="71"/>
        <v>0</v>
      </c>
      <c r="HB40" s="40">
        <f t="shared" si="71"/>
        <v>0</v>
      </c>
      <c r="HC40" s="40">
        <f t="shared" si="71"/>
        <v>0</v>
      </c>
      <c r="HD40" s="40">
        <f t="shared" si="71"/>
        <v>0</v>
      </c>
      <c r="HE40" s="40">
        <f t="shared" si="71"/>
        <v>0</v>
      </c>
      <c r="HF40" s="40">
        <f t="shared" si="71"/>
        <v>0</v>
      </c>
      <c r="HG40" s="40">
        <f t="shared" si="71"/>
        <v>0</v>
      </c>
      <c r="HH40" s="40">
        <f t="shared" si="71"/>
        <v>0</v>
      </c>
      <c r="HI40" s="40">
        <f t="shared" si="71"/>
        <v>0</v>
      </c>
      <c r="HJ40" s="40">
        <f t="shared" si="71"/>
        <v>0</v>
      </c>
      <c r="HK40" s="40">
        <f t="shared" si="71"/>
        <v>0</v>
      </c>
      <c r="HL40" s="40">
        <f t="shared" si="71"/>
        <v>0</v>
      </c>
      <c r="HM40" s="40">
        <f t="shared" si="71"/>
        <v>0</v>
      </c>
      <c r="HN40" s="40">
        <f t="shared" si="71"/>
        <v>0</v>
      </c>
      <c r="HO40" s="40">
        <f t="shared" si="71"/>
        <v>0</v>
      </c>
      <c r="HP40" s="40">
        <f t="shared" si="71"/>
        <v>0</v>
      </c>
      <c r="HQ40" s="40">
        <f t="shared" si="71"/>
        <v>0</v>
      </c>
      <c r="HR40" s="40">
        <f t="shared" si="71"/>
        <v>0</v>
      </c>
      <c r="HS40" s="40">
        <f t="shared" si="71"/>
        <v>0</v>
      </c>
      <c r="HT40" s="40">
        <f t="shared" si="71"/>
        <v>0</v>
      </c>
      <c r="HU40" s="40">
        <f t="shared" si="71"/>
        <v>0</v>
      </c>
      <c r="HV40" s="40">
        <f t="shared" si="71"/>
        <v>0</v>
      </c>
      <c r="HW40" s="40">
        <f t="shared" si="71"/>
        <v>0</v>
      </c>
      <c r="HX40" s="40">
        <f t="shared" si="71"/>
        <v>0</v>
      </c>
      <c r="HY40" s="40">
        <f t="shared" si="71"/>
        <v>0</v>
      </c>
      <c r="HZ40" s="40">
        <f t="shared" si="71"/>
        <v>0</v>
      </c>
      <c r="IA40" s="40">
        <f t="shared" si="71"/>
        <v>0</v>
      </c>
      <c r="IB40" s="40">
        <f t="shared" si="71"/>
        <v>0</v>
      </c>
      <c r="IC40" s="40">
        <f t="shared" si="71"/>
        <v>0</v>
      </c>
      <c r="ID40" s="40">
        <f t="shared" si="71"/>
        <v>0</v>
      </c>
      <c r="IE40" s="40">
        <f t="shared" si="71"/>
        <v>0</v>
      </c>
      <c r="IF40" s="40">
        <f t="shared" si="71"/>
        <v>0</v>
      </c>
      <c r="IG40" s="40">
        <f t="shared" si="71"/>
        <v>0</v>
      </c>
      <c r="IH40" s="40">
        <f t="shared" si="71"/>
        <v>0</v>
      </c>
      <c r="II40" s="40">
        <f t="shared" si="71"/>
        <v>0</v>
      </c>
      <c r="IJ40" s="40">
        <f t="shared" si="71"/>
        <v>0</v>
      </c>
      <c r="IK40" s="40">
        <f t="shared" si="71"/>
        <v>0</v>
      </c>
      <c r="IL40" s="40">
        <f t="shared" si="71"/>
        <v>0</v>
      </c>
      <c r="IM40" s="40">
        <f t="shared" ref="IM40:KX40" si="72">IM36+IM38</f>
        <v>0</v>
      </c>
      <c r="IN40" s="40">
        <f t="shared" si="72"/>
        <v>0</v>
      </c>
      <c r="IO40" s="40">
        <f t="shared" si="72"/>
        <v>0</v>
      </c>
      <c r="IP40" s="40">
        <f t="shared" si="72"/>
        <v>0</v>
      </c>
      <c r="IQ40" s="40">
        <f t="shared" si="72"/>
        <v>0</v>
      </c>
      <c r="IR40" s="40">
        <f t="shared" si="72"/>
        <v>0</v>
      </c>
      <c r="IS40" s="40">
        <f t="shared" si="72"/>
        <v>0</v>
      </c>
      <c r="IT40" s="40">
        <f t="shared" si="72"/>
        <v>0</v>
      </c>
      <c r="IU40" s="40">
        <f t="shared" si="72"/>
        <v>0</v>
      </c>
      <c r="IV40" s="40">
        <f t="shared" si="72"/>
        <v>0</v>
      </c>
      <c r="IW40" s="40">
        <f t="shared" si="72"/>
        <v>0</v>
      </c>
      <c r="IX40" s="40">
        <f t="shared" si="72"/>
        <v>0</v>
      </c>
      <c r="IY40" s="40">
        <f t="shared" si="72"/>
        <v>0</v>
      </c>
      <c r="IZ40" s="40">
        <f t="shared" si="72"/>
        <v>0</v>
      </c>
      <c r="JA40" s="40">
        <f t="shared" si="72"/>
        <v>0</v>
      </c>
      <c r="JB40" s="40">
        <f t="shared" si="72"/>
        <v>0</v>
      </c>
      <c r="JC40" s="40">
        <f t="shared" si="72"/>
        <v>0</v>
      </c>
      <c r="JD40" s="40">
        <f t="shared" si="72"/>
        <v>0</v>
      </c>
      <c r="JE40" s="40">
        <f t="shared" si="72"/>
        <v>0</v>
      </c>
      <c r="JF40" s="40">
        <f t="shared" si="72"/>
        <v>0</v>
      </c>
      <c r="JG40" s="40">
        <f t="shared" si="72"/>
        <v>0</v>
      </c>
      <c r="JH40" s="40">
        <f t="shared" si="72"/>
        <v>0</v>
      </c>
      <c r="JI40" s="40">
        <f t="shared" si="72"/>
        <v>0</v>
      </c>
      <c r="JJ40" s="40">
        <f t="shared" si="72"/>
        <v>0</v>
      </c>
      <c r="JK40" s="40">
        <f t="shared" si="72"/>
        <v>0</v>
      </c>
      <c r="JL40" s="40">
        <f t="shared" si="72"/>
        <v>0</v>
      </c>
      <c r="JM40" s="40">
        <f t="shared" si="72"/>
        <v>0</v>
      </c>
      <c r="JN40" s="40">
        <f t="shared" si="72"/>
        <v>0</v>
      </c>
      <c r="JO40" s="40">
        <f t="shared" si="72"/>
        <v>0</v>
      </c>
      <c r="JP40" s="40">
        <f t="shared" si="72"/>
        <v>0</v>
      </c>
      <c r="JQ40" s="40">
        <f t="shared" si="72"/>
        <v>0</v>
      </c>
      <c r="JR40" s="40">
        <f t="shared" si="72"/>
        <v>0</v>
      </c>
      <c r="JS40" s="40">
        <f t="shared" si="72"/>
        <v>0</v>
      </c>
      <c r="JT40" s="40">
        <f t="shared" si="72"/>
        <v>0</v>
      </c>
      <c r="JU40" s="40">
        <f t="shared" si="72"/>
        <v>0</v>
      </c>
      <c r="JV40" s="40">
        <f t="shared" si="72"/>
        <v>0</v>
      </c>
      <c r="JW40" s="40">
        <f t="shared" si="72"/>
        <v>0</v>
      </c>
      <c r="JX40" s="40">
        <f t="shared" si="72"/>
        <v>0</v>
      </c>
      <c r="JY40" s="40">
        <f t="shared" si="72"/>
        <v>0</v>
      </c>
      <c r="JZ40" s="40">
        <f t="shared" si="72"/>
        <v>0</v>
      </c>
      <c r="KA40" s="40">
        <f t="shared" si="72"/>
        <v>0</v>
      </c>
      <c r="KB40" s="40">
        <f t="shared" si="72"/>
        <v>0</v>
      </c>
      <c r="KC40" s="40">
        <f t="shared" si="72"/>
        <v>0</v>
      </c>
      <c r="KD40" s="40">
        <f t="shared" si="72"/>
        <v>0</v>
      </c>
      <c r="KE40" s="40">
        <f t="shared" si="72"/>
        <v>0</v>
      </c>
      <c r="KF40" s="40">
        <f t="shared" si="72"/>
        <v>0</v>
      </c>
      <c r="KG40" s="40">
        <f t="shared" si="72"/>
        <v>0</v>
      </c>
      <c r="KH40" s="40">
        <f t="shared" si="72"/>
        <v>0</v>
      </c>
      <c r="KI40" s="40">
        <f t="shared" si="72"/>
        <v>0</v>
      </c>
      <c r="KJ40" s="40">
        <f t="shared" si="72"/>
        <v>0</v>
      </c>
      <c r="KK40" s="40">
        <f t="shared" si="72"/>
        <v>0</v>
      </c>
      <c r="KL40" s="40">
        <f t="shared" si="72"/>
        <v>0</v>
      </c>
      <c r="KM40" s="40">
        <f t="shared" si="72"/>
        <v>0</v>
      </c>
      <c r="KN40" s="40">
        <f t="shared" si="72"/>
        <v>0</v>
      </c>
      <c r="KO40" s="40">
        <f t="shared" si="72"/>
        <v>0</v>
      </c>
      <c r="KP40" s="40">
        <f t="shared" si="72"/>
        <v>0</v>
      </c>
      <c r="KQ40" s="40">
        <f t="shared" si="72"/>
        <v>0</v>
      </c>
      <c r="KR40" s="40">
        <f t="shared" si="72"/>
        <v>0</v>
      </c>
      <c r="KS40" s="40">
        <f t="shared" si="72"/>
        <v>0</v>
      </c>
      <c r="KT40" s="40">
        <f t="shared" si="72"/>
        <v>0</v>
      </c>
      <c r="KU40" s="40">
        <f t="shared" si="72"/>
        <v>0</v>
      </c>
      <c r="KV40" s="40">
        <f t="shared" si="72"/>
        <v>0</v>
      </c>
      <c r="KW40" s="40">
        <f t="shared" si="72"/>
        <v>0</v>
      </c>
      <c r="KX40" s="40">
        <f t="shared" si="72"/>
        <v>0</v>
      </c>
      <c r="KY40" s="40">
        <f t="shared" ref="KY40:NB40" si="73">KY36+KY38</f>
        <v>0</v>
      </c>
      <c r="KZ40" s="40">
        <f t="shared" si="73"/>
        <v>0</v>
      </c>
      <c r="LA40" s="40">
        <f t="shared" si="73"/>
        <v>0</v>
      </c>
      <c r="LB40" s="40">
        <f t="shared" si="73"/>
        <v>0</v>
      </c>
      <c r="LC40" s="40">
        <f t="shared" si="73"/>
        <v>0</v>
      </c>
      <c r="LD40" s="40">
        <f t="shared" si="73"/>
        <v>0</v>
      </c>
      <c r="LE40" s="40">
        <f t="shared" si="73"/>
        <v>0</v>
      </c>
      <c r="LF40" s="40">
        <f t="shared" si="73"/>
        <v>0</v>
      </c>
      <c r="LG40" s="40">
        <f t="shared" si="73"/>
        <v>0</v>
      </c>
      <c r="LH40" s="40">
        <f t="shared" si="73"/>
        <v>0</v>
      </c>
      <c r="LI40" s="40">
        <f t="shared" si="73"/>
        <v>0</v>
      </c>
      <c r="LJ40" s="40">
        <f t="shared" si="73"/>
        <v>0</v>
      </c>
      <c r="LK40" s="40">
        <f t="shared" si="73"/>
        <v>0</v>
      </c>
      <c r="LL40" s="40">
        <f t="shared" si="73"/>
        <v>0</v>
      </c>
      <c r="LM40" s="40">
        <f t="shared" si="73"/>
        <v>0</v>
      </c>
      <c r="LN40" s="40">
        <f t="shared" si="73"/>
        <v>0</v>
      </c>
      <c r="LO40" s="40">
        <f t="shared" si="73"/>
        <v>0</v>
      </c>
      <c r="LP40" s="40">
        <f t="shared" si="73"/>
        <v>0</v>
      </c>
      <c r="LQ40" s="40">
        <f t="shared" si="73"/>
        <v>0</v>
      </c>
      <c r="LR40" s="40">
        <f t="shared" si="73"/>
        <v>0</v>
      </c>
      <c r="LS40" s="40">
        <f t="shared" si="73"/>
        <v>0</v>
      </c>
      <c r="LT40" s="40">
        <f t="shared" si="73"/>
        <v>0</v>
      </c>
      <c r="LU40" s="40">
        <f t="shared" si="73"/>
        <v>0</v>
      </c>
      <c r="LV40" s="40">
        <f t="shared" si="73"/>
        <v>0</v>
      </c>
      <c r="LW40" s="40">
        <f t="shared" si="73"/>
        <v>0</v>
      </c>
      <c r="LX40" s="40">
        <f t="shared" si="73"/>
        <v>0</v>
      </c>
      <c r="LY40" s="40">
        <f t="shared" si="73"/>
        <v>0</v>
      </c>
      <c r="LZ40" s="40">
        <f t="shared" si="73"/>
        <v>0</v>
      </c>
      <c r="MA40" s="40">
        <f t="shared" si="73"/>
        <v>0</v>
      </c>
      <c r="MB40" s="40">
        <f t="shared" si="73"/>
        <v>0</v>
      </c>
      <c r="MC40" s="40">
        <f t="shared" si="73"/>
        <v>0</v>
      </c>
      <c r="MD40" s="40">
        <f t="shared" si="73"/>
        <v>0</v>
      </c>
      <c r="ME40" s="40">
        <f t="shared" si="73"/>
        <v>0</v>
      </c>
      <c r="MF40" s="40">
        <f t="shared" si="73"/>
        <v>0</v>
      </c>
      <c r="MG40" s="40">
        <f t="shared" si="73"/>
        <v>0</v>
      </c>
      <c r="MH40" s="40">
        <f t="shared" si="73"/>
        <v>0</v>
      </c>
      <c r="MI40" s="40">
        <f t="shared" si="73"/>
        <v>0</v>
      </c>
      <c r="MJ40" s="40">
        <f t="shared" si="73"/>
        <v>0</v>
      </c>
      <c r="MK40" s="40">
        <f t="shared" si="73"/>
        <v>0</v>
      </c>
      <c r="ML40" s="40">
        <f t="shared" si="73"/>
        <v>0</v>
      </c>
      <c r="MM40" s="40">
        <f t="shared" si="73"/>
        <v>0</v>
      </c>
      <c r="MN40" s="40">
        <f t="shared" si="73"/>
        <v>0</v>
      </c>
      <c r="MO40" s="40">
        <f t="shared" si="73"/>
        <v>0</v>
      </c>
      <c r="MP40" s="40">
        <f t="shared" si="73"/>
        <v>0</v>
      </c>
      <c r="MQ40" s="40">
        <f t="shared" si="73"/>
        <v>0</v>
      </c>
      <c r="MR40" s="40">
        <f t="shared" si="73"/>
        <v>0</v>
      </c>
      <c r="MS40" s="40">
        <f t="shared" si="73"/>
        <v>0</v>
      </c>
      <c r="MT40" s="40">
        <f t="shared" si="73"/>
        <v>0</v>
      </c>
      <c r="MU40" s="40">
        <f t="shared" si="73"/>
        <v>0</v>
      </c>
      <c r="MV40" s="40">
        <f t="shared" si="73"/>
        <v>0</v>
      </c>
      <c r="MW40" s="40">
        <f t="shared" si="73"/>
        <v>0</v>
      </c>
      <c r="MX40" s="40">
        <f t="shared" si="73"/>
        <v>0</v>
      </c>
      <c r="MY40" s="40">
        <f t="shared" si="73"/>
        <v>0</v>
      </c>
      <c r="MZ40" s="40">
        <f t="shared" si="73"/>
        <v>0</v>
      </c>
      <c r="NA40" s="40">
        <f t="shared" si="73"/>
        <v>0</v>
      </c>
      <c r="NB40" s="40">
        <f t="shared" si="73"/>
        <v>0</v>
      </c>
    </row>
    <row r="41" spans="2:367" x14ac:dyDescent="0.15">
      <c r="B41" s="45"/>
      <c r="C41" s="45"/>
      <c r="D41" s="4"/>
      <c r="E41" s="198"/>
      <c r="F41" s="46"/>
      <c r="G41" s="46"/>
      <c r="H41" s="46"/>
      <c r="I41" s="46"/>
      <c r="J41" s="46"/>
      <c r="K41" s="46"/>
      <c r="L41" s="565"/>
      <c r="M41" s="46"/>
      <c r="N41" s="46"/>
      <c r="O41" s="46"/>
      <c r="P41" s="46"/>
      <c r="Q41" s="46"/>
      <c r="R41" s="46"/>
      <c r="S41" s="46"/>
      <c r="T41" s="46"/>
      <c r="U41" s="46"/>
      <c r="V41" s="46"/>
      <c r="W41" s="46"/>
      <c r="X41" s="46"/>
      <c r="Y41" s="46"/>
      <c r="Z41" s="46"/>
      <c r="AA41" s="46"/>
      <c r="AB41" s="46"/>
      <c r="AC41" s="46"/>
      <c r="AD41" s="574"/>
      <c r="AE41" s="46"/>
      <c r="AF41" s="46"/>
      <c r="AG41" s="46"/>
      <c r="AH41" s="46"/>
      <c r="AI41" s="46"/>
      <c r="AJ41" s="46"/>
      <c r="AK41" s="46"/>
      <c r="AL41" s="46"/>
      <c r="AM41" s="46"/>
      <c r="AN41" s="46"/>
      <c r="AO41" s="46"/>
      <c r="AP41" s="46"/>
      <c r="AQ41" s="46"/>
      <c r="AR41" s="46"/>
      <c r="AS41" s="46"/>
      <c r="AT41" s="46"/>
      <c r="AU41" s="46"/>
      <c r="AV41" s="46"/>
      <c r="AW41" s="46"/>
      <c r="AX41" s="46"/>
      <c r="AY41" s="46"/>
      <c r="AZ41" s="46"/>
      <c r="BA41" s="46"/>
      <c r="BB41" s="46"/>
      <c r="BC41" s="46"/>
      <c r="BD41" s="46"/>
      <c r="BE41" s="46"/>
      <c r="BF41" s="46"/>
      <c r="BG41" s="46"/>
      <c r="BH41" s="46"/>
      <c r="BI41" s="46"/>
      <c r="BJ41" s="46"/>
      <c r="BK41" s="46"/>
      <c r="BL41" s="46"/>
      <c r="BM41" s="46"/>
      <c r="BN41" s="46"/>
      <c r="BO41" s="46"/>
      <c r="BP41" s="46"/>
      <c r="BQ41" s="46"/>
      <c r="BR41" s="46"/>
      <c r="BS41" s="46"/>
      <c r="BT41" s="46"/>
      <c r="BU41" s="46"/>
      <c r="BV41" s="46"/>
      <c r="BW41" s="46"/>
      <c r="BX41" s="46"/>
      <c r="BY41" s="46"/>
      <c r="BZ41" s="46"/>
      <c r="CA41" s="46"/>
      <c r="CB41" s="46"/>
      <c r="CC41" s="46"/>
      <c r="CD41" s="46"/>
      <c r="CE41" s="46"/>
      <c r="CF41" s="46"/>
      <c r="CG41" s="46"/>
      <c r="CH41" s="46"/>
      <c r="CI41" s="46"/>
      <c r="CJ41" s="46"/>
      <c r="CK41" s="46"/>
      <c r="CL41" s="46"/>
      <c r="CM41" s="46"/>
      <c r="CN41" s="46"/>
      <c r="CO41" s="46"/>
      <c r="CP41" s="46"/>
      <c r="CQ41" s="46"/>
      <c r="CR41" s="46"/>
      <c r="CS41" s="46"/>
      <c r="CT41" s="46"/>
      <c r="CU41" s="46"/>
      <c r="CV41" s="46"/>
      <c r="CW41" s="46"/>
      <c r="CX41" s="46"/>
      <c r="CY41" s="46"/>
      <c r="CZ41" s="46"/>
      <c r="DA41" s="46"/>
      <c r="DB41" s="46"/>
      <c r="DC41" s="46"/>
      <c r="DD41" s="46"/>
      <c r="DE41" s="46"/>
      <c r="DF41" s="46"/>
      <c r="DG41" s="46"/>
      <c r="DH41" s="46"/>
      <c r="DI41" s="46"/>
      <c r="DJ41" s="46"/>
      <c r="DK41" s="46"/>
      <c r="DL41" s="46"/>
      <c r="DM41" s="46"/>
      <c r="DN41" s="46"/>
      <c r="DO41" s="46"/>
      <c r="DP41" s="46"/>
      <c r="DQ41" s="46"/>
      <c r="DR41" s="46"/>
      <c r="DS41" s="46"/>
      <c r="DT41" s="46"/>
      <c r="DU41" s="46"/>
      <c r="DV41" s="46"/>
      <c r="DW41" s="46"/>
      <c r="DX41" s="46"/>
      <c r="DY41" s="46"/>
      <c r="DZ41" s="46"/>
      <c r="EA41" s="46"/>
      <c r="EB41" s="46"/>
      <c r="EC41" s="46"/>
      <c r="ED41" s="46"/>
      <c r="EE41" s="46"/>
      <c r="EF41" s="46"/>
      <c r="EG41" s="46"/>
      <c r="EH41" s="46"/>
      <c r="EI41" s="46"/>
      <c r="EJ41" s="46"/>
      <c r="EK41" s="46"/>
      <c r="EL41" s="46"/>
      <c r="EM41" s="46"/>
      <c r="EN41" s="46"/>
      <c r="EO41" s="46"/>
      <c r="EP41" s="46"/>
      <c r="EQ41" s="46"/>
      <c r="ER41" s="46"/>
      <c r="ES41" s="46"/>
      <c r="ET41" s="46"/>
      <c r="EU41" s="46"/>
      <c r="EV41" s="46"/>
      <c r="EW41" s="46"/>
      <c r="EX41" s="46"/>
      <c r="EY41" s="46"/>
      <c r="EZ41" s="46"/>
      <c r="FA41" s="46"/>
      <c r="FB41" s="46"/>
      <c r="FC41" s="46"/>
      <c r="FD41" s="46"/>
      <c r="FE41" s="46"/>
      <c r="FF41" s="46"/>
      <c r="FG41" s="46"/>
      <c r="FH41" s="46"/>
      <c r="FI41" s="46"/>
      <c r="FJ41" s="46"/>
      <c r="FK41" s="46"/>
      <c r="FL41" s="46"/>
      <c r="FM41" s="46"/>
      <c r="FN41" s="46"/>
      <c r="FO41" s="46"/>
      <c r="FP41" s="46"/>
      <c r="FQ41" s="46"/>
      <c r="FR41" s="46"/>
      <c r="FS41" s="46"/>
      <c r="FT41" s="46"/>
      <c r="FU41" s="46"/>
      <c r="FV41" s="46"/>
      <c r="FW41" s="46"/>
      <c r="FX41" s="46"/>
      <c r="FY41" s="46"/>
      <c r="FZ41" s="46"/>
      <c r="GA41" s="46"/>
      <c r="GB41" s="46"/>
      <c r="GC41" s="46"/>
      <c r="GD41" s="46"/>
      <c r="GE41" s="46"/>
      <c r="GF41" s="46"/>
      <c r="GG41" s="46"/>
      <c r="GH41" s="46"/>
      <c r="GI41" s="46"/>
      <c r="GJ41" s="46"/>
      <c r="GK41" s="46"/>
      <c r="GL41" s="46"/>
      <c r="GM41" s="46"/>
      <c r="GN41" s="46"/>
      <c r="GO41" s="46"/>
      <c r="GP41" s="46"/>
      <c r="GQ41" s="46"/>
      <c r="GR41" s="46"/>
      <c r="GS41" s="46"/>
      <c r="GT41" s="46"/>
      <c r="GU41" s="46"/>
      <c r="GV41" s="46"/>
      <c r="GW41" s="46"/>
      <c r="GX41" s="46"/>
      <c r="GY41" s="46"/>
      <c r="GZ41" s="46"/>
      <c r="HA41" s="46"/>
      <c r="HB41" s="46"/>
      <c r="HC41" s="46"/>
      <c r="HD41" s="46"/>
      <c r="HE41" s="46"/>
      <c r="HF41" s="46"/>
      <c r="HG41" s="46"/>
      <c r="HH41" s="46"/>
      <c r="HI41" s="46"/>
      <c r="HJ41" s="46"/>
      <c r="HK41" s="46"/>
      <c r="HL41" s="46"/>
      <c r="HM41" s="46"/>
      <c r="HN41" s="46"/>
      <c r="HO41" s="46"/>
      <c r="HP41" s="46"/>
      <c r="HQ41" s="46"/>
      <c r="HR41" s="46"/>
      <c r="HS41" s="46"/>
      <c r="HT41" s="46"/>
      <c r="HU41" s="46"/>
      <c r="HV41" s="46"/>
      <c r="HW41" s="46"/>
      <c r="HX41" s="46"/>
      <c r="HY41" s="46"/>
      <c r="HZ41" s="46"/>
      <c r="IA41" s="46"/>
      <c r="IB41" s="46"/>
      <c r="IC41" s="46"/>
      <c r="ID41" s="46"/>
      <c r="IE41" s="46"/>
      <c r="IF41" s="46"/>
      <c r="IG41" s="46"/>
      <c r="IH41" s="46"/>
      <c r="II41" s="46"/>
      <c r="IJ41" s="46"/>
      <c r="IK41" s="46"/>
      <c r="IL41" s="46"/>
      <c r="IM41" s="46"/>
      <c r="IN41" s="46"/>
      <c r="IO41" s="46"/>
      <c r="IP41" s="46"/>
      <c r="IQ41" s="46"/>
      <c r="IR41" s="46"/>
      <c r="IS41" s="46"/>
      <c r="IT41" s="46"/>
      <c r="IU41" s="46"/>
      <c r="IV41" s="46"/>
      <c r="IW41" s="46"/>
      <c r="IX41" s="46"/>
      <c r="IY41" s="46"/>
      <c r="IZ41" s="46"/>
      <c r="JA41" s="46"/>
      <c r="JB41" s="46"/>
      <c r="JC41" s="46"/>
      <c r="JD41" s="46"/>
      <c r="JE41" s="46"/>
      <c r="JF41" s="46"/>
      <c r="JG41" s="46"/>
      <c r="JH41" s="46"/>
      <c r="JI41" s="46"/>
      <c r="JJ41" s="46"/>
      <c r="JK41" s="46"/>
      <c r="JL41" s="46"/>
      <c r="JM41" s="46"/>
      <c r="JN41" s="46"/>
      <c r="JO41" s="46"/>
      <c r="JP41" s="46"/>
      <c r="JQ41" s="46"/>
      <c r="JR41" s="46"/>
      <c r="JS41" s="46"/>
      <c r="JT41" s="46"/>
      <c r="JU41" s="46"/>
      <c r="JV41" s="46"/>
      <c r="JW41" s="46"/>
      <c r="JX41" s="46"/>
      <c r="JY41" s="46"/>
      <c r="JZ41" s="46"/>
      <c r="KA41" s="46"/>
      <c r="KB41" s="46"/>
      <c r="KC41" s="46"/>
      <c r="KD41" s="46"/>
      <c r="KE41" s="46"/>
      <c r="KF41" s="46"/>
      <c r="KG41" s="46"/>
      <c r="KH41" s="46"/>
      <c r="KI41" s="46"/>
      <c r="KJ41" s="46"/>
      <c r="KK41" s="46"/>
      <c r="KL41" s="46"/>
      <c r="KM41" s="46"/>
      <c r="KN41" s="46"/>
      <c r="KO41" s="46"/>
      <c r="KP41" s="46"/>
      <c r="KQ41" s="46"/>
      <c r="KR41" s="46"/>
      <c r="KS41" s="46"/>
      <c r="KT41" s="46"/>
      <c r="KU41" s="46"/>
      <c r="KV41" s="46"/>
      <c r="KW41" s="46"/>
      <c r="KX41" s="46"/>
      <c r="KY41" s="46"/>
      <c r="KZ41" s="46"/>
      <c r="LA41" s="46"/>
      <c r="LB41" s="46"/>
      <c r="LC41" s="46"/>
      <c r="LD41" s="46"/>
      <c r="LE41" s="46"/>
      <c r="LF41" s="46"/>
      <c r="LG41" s="46"/>
      <c r="LH41" s="46"/>
      <c r="LI41" s="46"/>
      <c r="LJ41" s="46"/>
      <c r="LK41" s="46"/>
      <c r="LL41" s="46"/>
      <c r="LM41" s="46"/>
      <c r="LN41" s="46"/>
      <c r="LO41" s="46"/>
      <c r="LP41" s="46"/>
      <c r="LQ41" s="46"/>
      <c r="LR41" s="46"/>
      <c r="LS41" s="46"/>
      <c r="LT41" s="46"/>
      <c r="LU41" s="46"/>
      <c r="LV41" s="46"/>
      <c r="LW41" s="46"/>
      <c r="LX41" s="46"/>
      <c r="LY41" s="46"/>
      <c r="LZ41" s="46"/>
      <c r="MA41" s="46"/>
      <c r="MB41" s="46"/>
      <c r="MC41" s="46"/>
      <c r="MD41" s="46"/>
      <c r="ME41" s="46"/>
      <c r="MF41" s="46"/>
      <c r="MG41" s="46"/>
      <c r="MH41" s="46"/>
      <c r="MI41" s="46"/>
      <c r="MJ41" s="46"/>
      <c r="MK41" s="46"/>
      <c r="ML41" s="46"/>
      <c r="MM41" s="46"/>
      <c r="MN41" s="46"/>
      <c r="MO41" s="46"/>
      <c r="MP41" s="46"/>
      <c r="MQ41" s="46"/>
      <c r="MR41" s="46"/>
      <c r="MS41" s="46"/>
      <c r="MT41" s="46"/>
      <c r="MU41" s="46"/>
      <c r="MV41" s="46"/>
      <c r="MW41" s="46"/>
      <c r="MX41" s="46"/>
      <c r="MY41" s="46"/>
      <c r="MZ41" s="46"/>
      <c r="NA41" s="46"/>
      <c r="NB41" s="46"/>
    </row>
    <row r="42" spans="2:367" x14ac:dyDescent="0.15">
      <c r="B42" s="4" t="s">
        <v>107</v>
      </c>
      <c r="C42" s="4"/>
      <c r="F42" s="40"/>
      <c r="G42" s="40"/>
      <c r="H42" s="40"/>
      <c r="I42" s="40"/>
      <c r="J42" s="40"/>
      <c r="K42" s="40"/>
      <c r="L42" s="431"/>
      <c r="M42" s="40"/>
      <c r="N42" s="40"/>
      <c r="O42" s="40"/>
      <c r="P42" s="40"/>
      <c r="Q42" s="40"/>
      <c r="R42" s="40"/>
      <c r="S42" s="40"/>
      <c r="T42" s="40"/>
      <c r="U42" s="40"/>
      <c r="V42" s="40"/>
      <c r="W42" s="40"/>
      <c r="X42" s="40"/>
      <c r="Y42" s="40"/>
      <c r="Z42" s="40"/>
      <c r="AA42" s="40"/>
      <c r="AB42" s="40"/>
      <c r="AC42" s="40"/>
      <c r="AD42" s="573"/>
      <c r="AE42" s="40"/>
      <c r="AF42" s="40"/>
      <c r="AG42" s="40"/>
      <c r="AH42" s="40"/>
      <c r="AI42" s="40"/>
      <c r="AJ42" s="40"/>
      <c r="AK42" s="40"/>
      <c r="AL42" s="40"/>
      <c r="AM42" s="40"/>
      <c r="AN42" s="40"/>
      <c r="AO42" s="40"/>
      <c r="AP42" s="40"/>
      <c r="AQ42" s="40"/>
      <c r="AR42" s="40"/>
      <c r="AS42" s="40"/>
      <c r="AT42" s="40"/>
      <c r="AU42" s="40"/>
      <c r="AV42" s="40"/>
      <c r="AW42" s="40"/>
      <c r="AX42" s="40"/>
      <c r="AY42" s="40"/>
      <c r="AZ42" s="40"/>
      <c r="BA42" s="40"/>
      <c r="BB42" s="40"/>
      <c r="BC42" s="40"/>
      <c r="BD42" s="40"/>
      <c r="BE42" s="40"/>
      <c r="BF42" s="40"/>
      <c r="BG42" s="40"/>
      <c r="BH42" s="40"/>
      <c r="BI42" s="40"/>
      <c r="BJ42" s="40"/>
      <c r="BK42" s="40"/>
      <c r="BL42" s="40"/>
      <c r="BM42" s="40"/>
      <c r="BN42" s="40"/>
      <c r="BO42" s="40"/>
      <c r="BP42" s="40"/>
      <c r="BQ42" s="40"/>
      <c r="BR42" s="40"/>
      <c r="BS42" s="40"/>
      <c r="BT42" s="40"/>
      <c r="BU42" s="40"/>
      <c r="BV42" s="40"/>
      <c r="BW42" s="40"/>
      <c r="BX42" s="40"/>
      <c r="BY42" s="40"/>
      <c r="BZ42" s="40"/>
      <c r="CA42" s="40"/>
      <c r="CB42" s="40"/>
      <c r="CC42" s="40"/>
      <c r="CD42" s="40"/>
      <c r="CE42" s="40"/>
      <c r="CF42" s="40"/>
      <c r="CG42" s="40"/>
      <c r="CH42" s="40"/>
      <c r="CI42" s="40"/>
      <c r="CJ42" s="40"/>
      <c r="CK42" s="40"/>
      <c r="CL42" s="40"/>
      <c r="CM42" s="40"/>
      <c r="CN42" s="40"/>
      <c r="CO42" s="40"/>
      <c r="CP42" s="40"/>
      <c r="CQ42" s="40"/>
      <c r="CR42" s="40"/>
      <c r="CS42" s="40"/>
      <c r="CT42" s="40"/>
      <c r="CU42" s="40"/>
      <c r="CV42" s="40"/>
      <c r="CW42" s="40"/>
      <c r="CX42" s="40"/>
      <c r="CY42" s="40"/>
      <c r="CZ42" s="40"/>
      <c r="DA42" s="40"/>
      <c r="DB42" s="40"/>
      <c r="DC42" s="40"/>
      <c r="DD42" s="40"/>
      <c r="DE42" s="40"/>
      <c r="DF42" s="40"/>
      <c r="DG42" s="40"/>
      <c r="DH42" s="40"/>
      <c r="DI42" s="40"/>
      <c r="DJ42" s="40"/>
      <c r="DK42" s="40"/>
      <c r="DL42" s="40"/>
      <c r="DM42" s="40"/>
      <c r="DN42" s="40"/>
      <c r="DO42" s="40"/>
      <c r="DP42" s="40"/>
      <c r="DQ42" s="40"/>
      <c r="DR42" s="40"/>
      <c r="DS42" s="40"/>
      <c r="DT42" s="40"/>
      <c r="DU42" s="40"/>
      <c r="DV42" s="40"/>
      <c r="DW42" s="40"/>
      <c r="DX42" s="40"/>
      <c r="DY42" s="40"/>
      <c r="DZ42" s="40"/>
      <c r="EA42" s="40"/>
      <c r="EB42" s="40"/>
      <c r="EC42" s="40"/>
      <c r="ED42" s="40"/>
      <c r="EE42" s="40"/>
      <c r="EF42" s="40"/>
      <c r="EG42" s="40"/>
      <c r="EH42" s="40"/>
      <c r="EI42" s="40"/>
      <c r="EJ42" s="40"/>
      <c r="EK42" s="40"/>
      <c r="EL42" s="40"/>
      <c r="EM42" s="40"/>
      <c r="EN42" s="40"/>
      <c r="EO42" s="40"/>
      <c r="EP42" s="40"/>
      <c r="EQ42" s="40"/>
      <c r="ER42" s="40"/>
      <c r="ES42" s="40"/>
      <c r="ET42" s="40"/>
      <c r="EU42" s="40"/>
      <c r="EV42" s="40"/>
      <c r="EW42" s="40"/>
      <c r="EX42" s="40"/>
      <c r="EY42" s="40"/>
      <c r="EZ42" s="40"/>
      <c r="FA42" s="40"/>
      <c r="FB42" s="40"/>
      <c r="FC42" s="40"/>
      <c r="FD42" s="40"/>
      <c r="FE42" s="40"/>
      <c r="FF42" s="40"/>
      <c r="FG42" s="40"/>
      <c r="FH42" s="40"/>
      <c r="FI42" s="40"/>
      <c r="FJ42" s="40"/>
      <c r="FK42" s="40"/>
      <c r="FL42" s="40"/>
      <c r="FM42" s="40"/>
      <c r="FN42" s="40"/>
      <c r="FO42" s="40"/>
      <c r="FP42" s="40"/>
      <c r="FQ42" s="40"/>
      <c r="FR42" s="40"/>
      <c r="FS42" s="40"/>
      <c r="FT42" s="40"/>
      <c r="FU42" s="40"/>
      <c r="FV42" s="40"/>
      <c r="FW42" s="40"/>
      <c r="FX42" s="40"/>
      <c r="FY42" s="40"/>
      <c r="FZ42" s="40"/>
      <c r="GA42" s="40"/>
      <c r="GB42" s="40"/>
      <c r="GC42" s="40"/>
      <c r="GD42" s="40"/>
      <c r="GE42" s="40"/>
      <c r="GF42" s="40"/>
      <c r="GG42" s="40"/>
      <c r="GH42" s="40"/>
      <c r="GI42" s="40"/>
      <c r="GJ42" s="40"/>
      <c r="GK42" s="40"/>
      <c r="GL42" s="40"/>
      <c r="GM42" s="40"/>
      <c r="GN42" s="40"/>
      <c r="GO42" s="40"/>
      <c r="GP42" s="40"/>
      <c r="GQ42" s="40"/>
      <c r="GR42" s="40"/>
      <c r="GS42" s="40"/>
      <c r="GT42" s="40"/>
      <c r="GU42" s="40"/>
      <c r="GV42" s="40"/>
      <c r="GW42" s="40"/>
      <c r="GX42" s="40"/>
      <c r="GY42" s="40"/>
      <c r="GZ42" s="40"/>
      <c r="HA42" s="40"/>
      <c r="HB42" s="40"/>
      <c r="HC42" s="40"/>
      <c r="HD42" s="40"/>
      <c r="HE42" s="40"/>
      <c r="HF42" s="40"/>
      <c r="HG42" s="40"/>
      <c r="HH42" s="40"/>
      <c r="HI42" s="40"/>
      <c r="HJ42" s="40"/>
      <c r="HK42" s="40"/>
      <c r="HL42" s="40"/>
      <c r="HM42" s="40"/>
      <c r="HN42" s="40"/>
      <c r="HO42" s="40"/>
      <c r="HP42" s="40"/>
      <c r="HQ42" s="40"/>
      <c r="HR42" s="40"/>
      <c r="HS42" s="40"/>
      <c r="HT42" s="40"/>
      <c r="HU42" s="40"/>
      <c r="HV42" s="40"/>
      <c r="HW42" s="40"/>
      <c r="HX42" s="40"/>
      <c r="HY42" s="40"/>
      <c r="HZ42" s="40"/>
      <c r="IA42" s="40"/>
      <c r="IB42" s="40"/>
      <c r="IC42" s="40"/>
      <c r="ID42" s="40"/>
      <c r="IE42" s="40"/>
      <c r="IF42" s="40"/>
      <c r="IG42" s="40"/>
      <c r="IH42" s="40"/>
      <c r="II42" s="40"/>
      <c r="IJ42" s="40"/>
      <c r="IK42" s="40"/>
      <c r="IL42" s="40"/>
      <c r="IM42" s="40"/>
      <c r="IN42" s="40"/>
      <c r="IO42" s="40"/>
      <c r="IP42" s="40"/>
      <c r="IQ42" s="40"/>
      <c r="IR42" s="40"/>
      <c r="IS42" s="40"/>
      <c r="IT42" s="40"/>
      <c r="IU42" s="40"/>
      <c r="IV42" s="40"/>
      <c r="IW42" s="40"/>
      <c r="IX42" s="40"/>
      <c r="IY42" s="40"/>
      <c r="IZ42" s="40"/>
      <c r="JA42" s="40"/>
      <c r="JB42" s="40"/>
      <c r="JC42" s="40"/>
      <c r="JD42" s="40"/>
      <c r="JE42" s="40"/>
      <c r="JF42" s="40"/>
      <c r="JG42" s="40"/>
      <c r="JH42" s="40"/>
      <c r="JI42" s="40"/>
      <c r="JJ42" s="40"/>
      <c r="JK42" s="40"/>
      <c r="JL42" s="40"/>
      <c r="JM42" s="40"/>
      <c r="JN42" s="40"/>
      <c r="JO42" s="40"/>
      <c r="JP42" s="40"/>
      <c r="JQ42" s="40"/>
      <c r="JR42" s="40"/>
      <c r="JS42" s="40"/>
      <c r="JT42" s="40"/>
      <c r="JU42" s="40"/>
      <c r="JV42" s="40"/>
      <c r="JW42" s="40"/>
      <c r="JX42" s="40"/>
      <c r="JY42" s="40"/>
      <c r="JZ42" s="40"/>
      <c r="KA42" s="40"/>
      <c r="KB42" s="40"/>
      <c r="KC42" s="40"/>
      <c r="KD42" s="40"/>
      <c r="KE42" s="40"/>
      <c r="KF42" s="40"/>
      <c r="KG42" s="40"/>
      <c r="KH42" s="40"/>
      <c r="KI42" s="40"/>
      <c r="KJ42" s="40"/>
      <c r="KK42" s="40"/>
      <c r="KL42" s="40"/>
      <c r="KM42" s="40"/>
      <c r="KN42" s="40"/>
      <c r="KO42" s="40"/>
      <c r="KP42" s="40"/>
      <c r="KQ42" s="40"/>
      <c r="KR42" s="40"/>
      <c r="KS42" s="40"/>
      <c r="KT42" s="40"/>
      <c r="KU42" s="40"/>
      <c r="KV42" s="40"/>
      <c r="KW42" s="40"/>
      <c r="KX42" s="40"/>
      <c r="KY42" s="40"/>
      <c r="KZ42" s="40"/>
      <c r="LA42" s="40"/>
      <c r="LB42" s="40"/>
      <c r="LC42" s="40"/>
      <c r="LD42" s="40"/>
      <c r="LE42" s="40"/>
      <c r="LF42" s="40"/>
      <c r="LG42" s="40"/>
      <c r="LH42" s="40"/>
      <c r="LI42" s="40"/>
      <c r="LJ42" s="40"/>
      <c r="LK42" s="40"/>
      <c r="LL42" s="40"/>
      <c r="LM42" s="40"/>
      <c r="LN42" s="40"/>
      <c r="LO42" s="40"/>
      <c r="LP42" s="40"/>
      <c r="LQ42" s="40"/>
      <c r="LR42" s="40"/>
      <c r="LS42" s="40"/>
      <c r="LT42" s="40"/>
      <c r="LU42" s="40"/>
      <c r="LV42" s="40"/>
      <c r="LW42" s="40"/>
      <c r="LX42" s="40"/>
      <c r="LY42" s="40"/>
      <c r="LZ42" s="40"/>
      <c r="MA42" s="40"/>
      <c r="MB42" s="40"/>
      <c r="MC42" s="40"/>
      <c r="MD42" s="40"/>
      <c r="ME42" s="40"/>
      <c r="MF42" s="40"/>
      <c r="MG42" s="40"/>
      <c r="MH42" s="40"/>
      <c r="MI42" s="40"/>
      <c r="MJ42" s="40"/>
      <c r="MK42" s="40"/>
      <c r="ML42" s="40"/>
      <c r="MM42" s="40"/>
      <c r="MN42" s="40"/>
      <c r="MO42" s="40"/>
      <c r="MP42" s="40"/>
      <c r="MQ42" s="40"/>
      <c r="MR42" s="40"/>
      <c r="MS42" s="40"/>
      <c r="MT42" s="40"/>
      <c r="MU42" s="40"/>
      <c r="MV42" s="40"/>
      <c r="MW42" s="40"/>
      <c r="MX42" s="40"/>
      <c r="MY42" s="40"/>
      <c r="MZ42" s="40"/>
      <c r="NA42" s="40"/>
      <c r="NB42" s="40"/>
    </row>
    <row r="43" spans="2:367" x14ac:dyDescent="0.15">
      <c r="B43" s="45" t="s">
        <v>108</v>
      </c>
      <c r="C43" s="45"/>
      <c r="F43" s="1">
        <f>debt</f>
        <v>4724400</v>
      </c>
      <c r="G43" s="1">
        <f>F43+F44-F45-F46-F48-F49-F50</f>
        <v>4724400</v>
      </c>
      <c r="H43" s="1">
        <f t="shared" ref="H43:BS43" si="74">G43+G44-G45-G46-G48-G49-G50</f>
        <v>4717041.5505146543</v>
      </c>
      <c r="I43" s="1">
        <f t="shared" si="74"/>
        <v>4709649.3748025009</v>
      </c>
      <c r="J43" s="1">
        <f t="shared" si="74"/>
        <v>4702223.3182849996</v>
      </c>
      <c r="K43" s="1">
        <f t="shared" si="74"/>
        <v>4694763.2256751265</v>
      </c>
      <c r="L43" s="563">
        <f t="shared" si="74"/>
        <v>4687268.9409741256</v>
      </c>
      <c r="M43" s="1">
        <f t="shared" si="74"/>
        <v>4679740.3074682448</v>
      </c>
      <c r="N43" s="1">
        <f t="shared" si="74"/>
        <v>4672177.1677254615</v>
      </c>
      <c r="O43" s="1">
        <f t="shared" si="74"/>
        <v>4664579.3635921907</v>
      </c>
      <c r="P43" s="1">
        <f t="shared" si="74"/>
        <v>4656946.7361899763</v>
      </c>
      <c r="Q43" s="1">
        <f t="shared" si="74"/>
        <v>4649279.1259121681</v>
      </c>
      <c r="R43" s="1">
        <f t="shared" si="74"/>
        <v>4641576.3724205866</v>
      </c>
      <c r="S43" s="1">
        <f t="shared" si="74"/>
        <v>4633838.3146421686</v>
      </c>
      <c r="T43" s="1">
        <f t="shared" si="74"/>
        <v>4626064.7907655993</v>
      </c>
      <c r="U43" s="1">
        <f t="shared" si="74"/>
        <v>4618255.6382379299</v>
      </c>
      <c r="V43" s="1">
        <f t="shared" si="74"/>
        <v>4610410.6937611746</v>
      </c>
      <c r="W43" s="1">
        <f t="shared" si="74"/>
        <v>4602529.7932889014</v>
      </c>
      <c r="X43" s="1">
        <f t="shared" si="74"/>
        <v>4594612.7720227968</v>
      </c>
      <c r="Y43" s="1">
        <f t="shared" si="74"/>
        <v>4586659.4644092228</v>
      </c>
      <c r="Z43" s="1">
        <f t="shared" si="74"/>
        <v>4578669.7041357532</v>
      </c>
      <c r="AA43" s="1">
        <f t="shared" si="74"/>
        <v>4570643.3241276965</v>
      </c>
      <c r="AB43" s="1">
        <f t="shared" si="74"/>
        <v>4562580.1565446025</v>
      </c>
      <c r="AC43" s="1">
        <f t="shared" si="74"/>
        <v>4554480.0327767534</v>
      </c>
      <c r="AD43" s="56">
        <f t="shared" si="74"/>
        <v>4546342.7834416348</v>
      </c>
      <c r="AE43" s="1">
        <f t="shared" si="74"/>
        <v>4538168.2383803967</v>
      </c>
      <c r="AF43" s="1">
        <f t="shared" si="74"/>
        <v>4529956.2266542949</v>
      </c>
      <c r="AG43" s="1">
        <f t="shared" si="74"/>
        <v>4521706.5765411146</v>
      </c>
      <c r="AH43" s="1">
        <f t="shared" si="74"/>
        <v>4513419.1155315824</v>
      </c>
      <c r="AI43" s="1">
        <f t="shared" si="74"/>
        <v>4505093.6703257561</v>
      </c>
      <c r="AJ43" s="1">
        <f t="shared" si="74"/>
        <v>4496730.0668294029</v>
      </c>
      <c r="AK43" s="1">
        <f t="shared" si="74"/>
        <v>4488328.1301503582</v>
      </c>
      <c r="AL43" s="1">
        <f t="shared" si="74"/>
        <v>4479887.6845948687</v>
      </c>
      <c r="AM43" s="1">
        <f t="shared" si="74"/>
        <v>4471408.553663916</v>
      </c>
      <c r="AN43" s="1">
        <f t="shared" si="74"/>
        <v>4462890.5600495301</v>
      </c>
      <c r="AO43" s="1">
        <f t="shared" si="74"/>
        <v>4454333.5256310776</v>
      </c>
      <c r="AP43" s="1">
        <f t="shared" si="74"/>
        <v>4445737.2714715414</v>
      </c>
      <c r="AQ43" s="1">
        <f t="shared" si="74"/>
        <v>4437101.6178137735</v>
      </c>
      <c r="AR43" s="1">
        <f t="shared" si="74"/>
        <v>4428426.3840767406</v>
      </c>
      <c r="AS43" s="1">
        <f t="shared" si="74"/>
        <v>4419711.3888517469</v>
      </c>
      <c r="AT43" s="1">
        <f t="shared" si="74"/>
        <v>4410956.4498986378</v>
      </c>
      <c r="AU43" s="1">
        <f t="shared" si="74"/>
        <v>4402161.3841419937</v>
      </c>
      <c r="AV43" s="1">
        <f t="shared" si="74"/>
        <v>4393326.0076672984</v>
      </c>
      <c r="AW43" s="1">
        <f t="shared" si="74"/>
        <v>4384450.1357170939</v>
      </c>
      <c r="AX43" s="1">
        <f t="shared" si="74"/>
        <v>4375533.5826871181</v>
      </c>
      <c r="AY43" s="1">
        <f t="shared" si="74"/>
        <v>4366576.1621224219</v>
      </c>
      <c r="AZ43" s="1">
        <f t="shared" si="74"/>
        <v>4357577.6867134701</v>
      </c>
      <c r="BA43" s="1">
        <f t="shared" si="74"/>
        <v>4348537.9682922279</v>
      </c>
      <c r="BB43" s="1">
        <f t="shared" si="74"/>
        <v>4339456.8178282212</v>
      </c>
      <c r="BC43" s="1">
        <f t="shared" si="74"/>
        <v>4330334.045424588</v>
      </c>
      <c r="BD43" s="1">
        <f t="shared" si="74"/>
        <v>4321169.4603141053</v>
      </c>
      <c r="BE43" s="1">
        <f t="shared" si="74"/>
        <v>4311962.8708551992</v>
      </c>
      <c r="BF43" s="1">
        <f t="shared" si="74"/>
        <v>4302714.0845279396</v>
      </c>
      <c r="BG43" s="1">
        <f t="shared" si="74"/>
        <v>4293422.9079300137</v>
      </c>
      <c r="BH43" s="1">
        <f t="shared" si="74"/>
        <v>4284089.1467726808</v>
      </c>
      <c r="BI43" s="1">
        <f t="shared" si="74"/>
        <v>4274712.6058767093</v>
      </c>
      <c r="BJ43" s="1">
        <f t="shared" si="74"/>
        <v>4265293.0891682981</v>
      </c>
      <c r="BK43" s="1">
        <f t="shared" si="74"/>
        <v>4255830.3996749735</v>
      </c>
      <c r="BL43" s="1">
        <f t="shared" si="74"/>
        <v>4246324.3395214714</v>
      </c>
      <c r="BM43" s="1">
        <f t="shared" si="74"/>
        <v>4236774.7099255994</v>
      </c>
      <c r="BN43" s="1">
        <f t="shared" si="74"/>
        <v>4227181.311194079</v>
      </c>
      <c r="BO43" s="1">
        <f t="shared" si="74"/>
        <v>4217543.9427183727</v>
      </c>
      <c r="BP43" s="1">
        <f t="shared" si="74"/>
        <v>4207862.4029704863</v>
      </c>
      <c r="BQ43" s="1">
        <f t="shared" si="74"/>
        <v>4198136.489498755</v>
      </c>
      <c r="BR43" s="1">
        <f t="shared" si="74"/>
        <v>4188365.9989236118</v>
      </c>
      <c r="BS43" s="1">
        <f t="shared" si="74"/>
        <v>4178550.7269333322</v>
      </c>
      <c r="BT43" s="1">
        <f t="shared" ref="BT43:EE43" si="75">BS43+BS44-BS45-BS46-BS48-BS49-BS50</f>
        <v>4168690.4682797641</v>
      </c>
      <c r="BU43" s="1">
        <f t="shared" si="75"/>
        <v>4158785.0167740337</v>
      </c>
      <c r="BV43" s="1">
        <f t="shared" si="75"/>
        <v>4148834.1652822355</v>
      </c>
      <c r="BW43" s="1">
        <f t="shared" si="75"/>
        <v>4138837.7057210999</v>
      </c>
      <c r="BX43" s="1">
        <f t="shared" si="75"/>
        <v>4128795.4290536423</v>
      </c>
      <c r="BY43" s="1">
        <f t="shared" si="75"/>
        <v>4118707.1252847924</v>
      </c>
      <c r="BZ43" s="1">
        <f t="shared" si="75"/>
        <v>4108572.583457002</v>
      </c>
      <c r="CA43" s="1">
        <f t="shared" si="75"/>
        <v>4098391.591645834</v>
      </c>
      <c r="CB43" s="1">
        <f t="shared" si="75"/>
        <v>4088163.9369555316</v>
      </c>
      <c r="CC43" s="1">
        <f t="shared" si="75"/>
        <v>4077889.4055145653</v>
      </c>
      <c r="CD43" s="1">
        <f t="shared" si="75"/>
        <v>4067567.7824711613</v>
      </c>
      <c r="CE43" s="1">
        <f t="shared" si="75"/>
        <v>4057198.8519888083</v>
      </c>
      <c r="CF43" s="1">
        <f t="shared" si="75"/>
        <v>4046782.3972417447</v>
      </c>
      <c r="CG43" s="1">
        <f t="shared" si="75"/>
        <v>4036318.2004104233</v>
      </c>
      <c r="CH43" s="1">
        <f t="shared" si="75"/>
        <v>4025806.0426769587</v>
      </c>
      <c r="CI43" s="1">
        <f t="shared" si="75"/>
        <v>4015245.7042205487</v>
      </c>
      <c r="CJ43" s="1">
        <f t="shared" si="75"/>
        <v>4004636.9642128805</v>
      </c>
      <c r="CK43" s="1">
        <f t="shared" si="75"/>
        <v>3993979.6008135104</v>
      </c>
      <c r="CL43" s="1">
        <f t="shared" si="75"/>
        <v>3983273.3911652267</v>
      </c>
      <c r="CM43" s="1">
        <f t="shared" si="75"/>
        <v>3972518.1113893883</v>
      </c>
      <c r="CN43" s="1">
        <f t="shared" si="75"/>
        <v>3961713.5365812439</v>
      </c>
      <c r="CO43" s="1">
        <f t="shared" si="75"/>
        <v>3950859.4408052289</v>
      </c>
      <c r="CP43" s="1">
        <f t="shared" si="75"/>
        <v>3939955.5970902406</v>
      </c>
      <c r="CQ43" s="1">
        <f t="shared" si="75"/>
        <v>3929001.7774248915</v>
      </c>
      <c r="CR43" s="1">
        <f t="shared" si="75"/>
        <v>3917997.7527527432</v>
      </c>
      <c r="CS43" s="1">
        <f t="shared" si="75"/>
        <v>3906943.2929675141</v>
      </c>
      <c r="CT43" s="1">
        <f t="shared" si="75"/>
        <v>3895838.1669082693</v>
      </c>
      <c r="CU43" s="1">
        <f t="shared" si="75"/>
        <v>3884682.1423545862</v>
      </c>
      <c r="CV43" s="1">
        <f t="shared" si="75"/>
        <v>3873474.9860216989</v>
      </c>
      <c r="CW43" s="1">
        <f t="shared" si="75"/>
        <v>3862216.4635556191</v>
      </c>
      <c r="CX43" s="1">
        <f t="shared" si="75"/>
        <v>3850906.3395282365</v>
      </c>
      <c r="CY43" s="1">
        <f>CX43+CX44-CX45-CX46-CX48-CX49-CX50</f>
        <v>3839544.3774323952</v>
      </c>
      <c r="CZ43" s="1">
        <f t="shared" si="75"/>
        <v>3828130.3396769478</v>
      </c>
      <c r="DA43" s="1">
        <f t="shared" si="75"/>
        <v>3816663.9875817881</v>
      </c>
      <c r="DB43" s="1">
        <f t="shared" si="75"/>
        <v>3805145.081372859</v>
      </c>
      <c r="DC43" s="1">
        <f t="shared" si="75"/>
        <v>3793573.3801771388</v>
      </c>
      <c r="DD43" s="1">
        <f t="shared" si="75"/>
        <v>3781948.6420176048</v>
      </c>
      <c r="DE43" s="1">
        <f t="shared" si="75"/>
        <v>3770270.623808173</v>
      </c>
      <c r="DF43" s="1">
        <f t="shared" si="75"/>
        <v>3758539.0813486148</v>
      </c>
      <c r="DG43" s="1">
        <f t="shared" si="75"/>
        <v>3746753.76931945</v>
      </c>
      <c r="DH43" s="1">
        <f t="shared" si="75"/>
        <v>3734914.4412768185</v>
      </c>
      <c r="DI43" s="1">
        <f t="shared" si="75"/>
        <v>3723020.849647325</v>
      </c>
      <c r="DJ43" s="1">
        <f t="shared" si="75"/>
        <v>3711072.7457228629</v>
      </c>
      <c r="DK43" s="1">
        <f t="shared" si="75"/>
        <v>3699069.8796554133</v>
      </c>
      <c r="DL43" s="1">
        <f t="shared" si="75"/>
        <v>3687012.0004518214</v>
      </c>
      <c r="DM43" s="1">
        <f t="shared" si="75"/>
        <v>3674898.8559685466</v>
      </c>
      <c r="DN43" s="1">
        <f t="shared" si="75"/>
        <v>3662730.1929063899</v>
      </c>
      <c r="DO43" s="1">
        <f t="shared" si="75"/>
        <v>3650505.7568051983</v>
      </c>
      <c r="DP43" s="1">
        <f t="shared" si="75"/>
        <v>3638225.2920385431</v>
      </c>
      <c r="DQ43" s="1">
        <f t="shared" si="75"/>
        <v>3625888.5418083738</v>
      </c>
      <c r="DR43" s="1">
        <f t="shared" si="75"/>
        <v>3613495.2481396496</v>
      </c>
      <c r="DS43" s="1">
        <f t="shared" si="75"/>
        <v>3601045.1518749436</v>
      </c>
      <c r="DT43" s="1">
        <f t="shared" si="75"/>
        <v>3588537.9926690245</v>
      </c>
      <c r="DU43" s="1">
        <f t="shared" si="75"/>
        <v>3575973.5089834118</v>
      </c>
      <c r="DV43" s="1">
        <f t="shared" si="75"/>
        <v>3563351.4380809069</v>
      </c>
      <c r="DW43" s="1">
        <f t="shared" si="75"/>
        <v>3550671.5160200987</v>
      </c>
      <c r="DX43" s="1">
        <f t="shared" si="75"/>
        <v>3537933.4776498452</v>
      </c>
      <c r="DY43" s="1">
        <f t="shared" si="75"/>
        <v>3525137.0566037279</v>
      </c>
      <c r="DZ43" s="1">
        <f t="shared" si="75"/>
        <v>3512281.9852944827</v>
      </c>
      <c r="EA43" s="1">
        <f t="shared" si="75"/>
        <v>3499367.9949084031</v>
      </c>
      <c r="EB43" s="1">
        <f t="shared" si="75"/>
        <v>3486394.8153997208</v>
      </c>
      <c r="EC43" s="1">
        <f t="shared" si="75"/>
        <v>3473362.1754849572</v>
      </c>
      <c r="ED43" s="1">
        <f t="shared" si="75"/>
        <v>3460269.8026372506</v>
      </c>
      <c r="EE43" s="1">
        <f t="shared" si="75"/>
        <v>3447117.423080659</v>
      </c>
      <c r="EF43" s="1">
        <f t="shared" ref="EF43:GQ43" si="76">EE43+EE44-EE45-EE46-EE48-EE49-EE50</f>
        <v>3433904.7617844329</v>
      </c>
      <c r="EG43" s="1">
        <f t="shared" si="76"/>
        <v>3420631.5424572658</v>
      </c>
      <c r="EH43" s="1">
        <f t="shared" si="76"/>
        <v>3407297.4875415158</v>
      </c>
      <c r="EI43" s="1">
        <f t="shared" si="76"/>
        <v>3393902.3182074018</v>
      </c>
      <c r="EJ43" s="1">
        <f t="shared" si="76"/>
        <v>3380445.754347173</v>
      </c>
      <c r="EK43" s="1">
        <f t="shared" si="76"/>
        <v>3366927.5145692518</v>
      </c>
      <c r="EL43" s="1">
        <f t="shared" si="76"/>
        <v>3353347.3161923485</v>
      </c>
      <c r="EM43" s="1">
        <f t="shared" si="76"/>
        <v>3339704.8752395511</v>
      </c>
      <c r="EN43" s="1">
        <f t="shared" si="76"/>
        <v>3325999.9064323865</v>
      </c>
      <c r="EO43" s="1">
        <f t="shared" si="76"/>
        <v>3312232.1231848556</v>
      </c>
      <c r="EP43" s="1">
        <f t="shared" si="76"/>
        <v>3298401.2375974404</v>
      </c>
      <c r="EQ43" s="1">
        <f t="shared" si="76"/>
        <v>3284506.9604510828</v>
      </c>
      <c r="ER43" s="1">
        <f t="shared" si="76"/>
        <v>3270549.0012011379</v>
      </c>
      <c r="ES43" s="1">
        <f t="shared" si="76"/>
        <v>3256527.0679712971</v>
      </c>
      <c r="ET43" s="1">
        <f t="shared" si="76"/>
        <v>3242440.8675474864</v>
      </c>
      <c r="EU43" s="1">
        <f t="shared" si="76"/>
        <v>3228290.1053717332</v>
      </c>
      <c r="EV43" s="1">
        <f t="shared" si="76"/>
        <v>3214074.4855360077</v>
      </c>
      <c r="EW43" s="1">
        <f t="shared" si="76"/>
        <v>3199793.7107760352</v>
      </c>
      <c r="EX43" s="1">
        <f t="shared" si="76"/>
        <v>3185447.4824650795</v>
      </c>
      <c r="EY43" s="1">
        <f t="shared" si="76"/>
        <v>3171035.5006076987</v>
      </c>
      <c r="EZ43" s="1">
        <f t="shared" si="76"/>
        <v>3156557.4638334713</v>
      </c>
      <c r="FA43" s="1">
        <f t="shared" si="76"/>
        <v>3142013.0693906955</v>
      </c>
      <c r="FB43" s="1">
        <f t="shared" si="76"/>
        <v>3127402.0131400572</v>
      </c>
      <c r="FC43" s="1">
        <f t="shared" si="76"/>
        <v>3112723.9895482701</v>
      </c>
      <c r="FD43" s="1">
        <f t="shared" si="76"/>
        <v>3097978.6916816873</v>
      </c>
      <c r="FE43" s="1">
        <f t="shared" si="76"/>
        <v>3083165.8111998825</v>
      </c>
      <c r="FF43" s="1">
        <f t="shared" si="76"/>
        <v>3068285.0383492028</v>
      </c>
      <c r="FG43" s="1">
        <f t="shared" si="76"/>
        <v>3053336.0619562911</v>
      </c>
      <c r="FH43" s="1">
        <f t="shared" si="76"/>
        <v>3038318.5694215782</v>
      </c>
      <c r="FI43" s="1">
        <f t="shared" si="76"/>
        <v>3023232.246712748</v>
      </c>
      <c r="FJ43" s="1">
        <f t="shared" si="76"/>
        <v>3008076.7783581689</v>
      </c>
      <c r="FK43" s="1">
        <f t="shared" si="76"/>
        <v>2992851.8474402982</v>
      </c>
      <c r="FL43" s="1">
        <f t="shared" si="76"/>
        <v>2977557.1355890539</v>
      </c>
      <c r="FM43" s="1">
        <f t="shared" si="76"/>
        <v>2962192.3229751578</v>
      </c>
      <c r="FN43" s="1">
        <f t="shared" si="76"/>
        <v>2946757.0883034482</v>
      </c>
      <c r="FO43" s="1">
        <f t="shared" si="76"/>
        <v>2931251.1088061598</v>
      </c>
      <c r="FP43" s="1">
        <f t="shared" si="76"/>
        <v>2915674.0602361755</v>
      </c>
      <c r="FQ43" s="1">
        <f t="shared" si="76"/>
        <v>2900025.6168602454</v>
      </c>
      <c r="FR43" s="1">
        <f t="shared" si="76"/>
        <v>2884305.4514521756</v>
      </c>
      <c r="FS43" s="1">
        <f t="shared" si="76"/>
        <v>2868513.2352859857</v>
      </c>
      <c r="FT43" s="1">
        <f t="shared" si="76"/>
        <v>2852648.6381290341</v>
      </c>
      <c r="FU43" s="1">
        <f t="shared" si="76"/>
        <v>2836711.3282351131</v>
      </c>
      <c r="FV43" s="1">
        <f t="shared" si="76"/>
        <v>2820700.9723375114</v>
      </c>
      <c r="FW43" s="1">
        <f t="shared" si="76"/>
        <v>2804617.2356420457</v>
      </c>
      <c r="FX43" s="1">
        <f t="shared" si="76"/>
        <v>2788459.7818200593</v>
      </c>
      <c r="FY43" s="1">
        <f t="shared" si="76"/>
        <v>2772228.2730013886</v>
      </c>
      <c r="FZ43" s="1">
        <f t="shared" si="76"/>
        <v>2755922.3697672994</v>
      </c>
      <c r="GA43" s="1">
        <f t="shared" si="76"/>
        <v>2739541.731143387</v>
      </c>
      <c r="GB43" s="1">
        <f t="shared" si="76"/>
        <v>2723086.0145924482</v>
      </c>
      <c r="GC43" s="1">
        <f t="shared" si="76"/>
        <v>2706554.876007318</v>
      </c>
      <c r="GD43" s="1">
        <f t="shared" si="76"/>
        <v>2689947.9697036725</v>
      </c>
      <c r="GE43" s="1">
        <f t="shared" ca="1" si="76"/>
        <v>0</v>
      </c>
      <c r="GF43" s="1">
        <f t="shared" ca="1" si="76"/>
        <v>0</v>
      </c>
      <c r="GG43" s="1">
        <f t="shared" ca="1" si="76"/>
        <v>0</v>
      </c>
      <c r="GH43" s="1">
        <f t="shared" ca="1" si="76"/>
        <v>0</v>
      </c>
      <c r="GI43" s="1">
        <f t="shared" ca="1" si="76"/>
        <v>0</v>
      </c>
      <c r="GJ43" s="1">
        <f t="shared" ca="1" si="76"/>
        <v>0</v>
      </c>
      <c r="GK43" s="1">
        <f t="shared" ca="1" si="76"/>
        <v>0</v>
      </c>
      <c r="GL43" s="1">
        <f t="shared" ca="1" si="76"/>
        <v>0</v>
      </c>
      <c r="GM43" s="1">
        <f t="shared" ca="1" si="76"/>
        <v>0</v>
      </c>
      <c r="GN43" s="1">
        <f t="shared" ca="1" si="76"/>
        <v>0</v>
      </c>
      <c r="GO43" s="1">
        <f t="shared" ca="1" si="76"/>
        <v>0</v>
      </c>
      <c r="GP43" s="1">
        <f t="shared" ca="1" si="76"/>
        <v>0</v>
      </c>
      <c r="GQ43" s="1">
        <f t="shared" ca="1" si="76"/>
        <v>0</v>
      </c>
      <c r="GR43" s="1">
        <f t="shared" ref="GR43:IK43" ca="1" si="77">GQ43+GQ44-GQ45-GQ46-GQ48-GQ49-GQ50</f>
        <v>0</v>
      </c>
      <c r="GS43" s="1">
        <f t="shared" ca="1" si="77"/>
        <v>0</v>
      </c>
      <c r="GT43" s="1">
        <f t="shared" ca="1" si="77"/>
        <v>0</v>
      </c>
      <c r="GU43" s="1">
        <f t="shared" ca="1" si="77"/>
        <v>0</v>
      </c>
      <c r="GV43" s="1">
        <f t="shared" ca="1" si="77"/>
        <v>0</v>
      </c>
      <c r="GW43" s="1">
        <f t="shared" ca="1" si="77"/>
        <v>0</v>
      </c>
      <c r="GX43" s="1">
        <f t="shared" ca="1" si="77"/>
        <v>0</v>
      </c>
      <c r="GY43" s="1">
        <f t="shared" ca="1" si="77"/>
        <v>0</v>
      </c>
      <c r="GZ43" s="1">
        <f t="shared" ca="1" si="77"/>
        <v>0</v>
      </c>
      <c r="HA43" s="1">
        <f t="shared" ca="1" si="77"/>
        <v>0</v>
      </c>
      <c r="HB43" s="1">
        <f t="shared" ca="1" si="77"/>
        <v>0</v>
      </c>
      <c r="HC43" s="1">
        <f t="shared" ca="1" si="77"/>
        <v>0</v>
      </c>
      <c r="HD43" s="1">
        <f t="shared" ca="1" si="77"/>
        <v>0</v>
      </c>
      <c r="HE43" s="1">
        <f t="shared" ca="1" si="77"/>
        <v>0</v>
      </c>
      <c r="HF43" s="1">
        <f t="shared" ca="1" si="77"/>
        <v>0</v>
      </c>
      <c r="HG43" s="1">
        <f t="shared" ca="1" si="77"/>
        <v>0</v>
      </c>
      <c r="HH43" s="1">
        <f t="shared" ca="1" si="77"/>
        <v>0</v>
      </c>
      <c r="HI43" s="1">
        <f t="shared" ca="1" si="77"/>
        <v>0</v>
      </c>
      <c r="HJ43" s="1">
        <f t="shared" ca="1" si="77"/>
        <v>0</v>
      </c>
      <c r="HK43" s="1">
        <f t="shared" ca="1" si="77"/>
        <v>0</v>
      </c>
      <c r="HL43" s="1">
        <f t="shared" ca="1" si="77"/>
        <v>0</v>
      </c>
      <c r="HM43" s="1">
        <f t="shared" ca="1" si="77"/>
        <v>0</v>
      </c>
      <c r="HN43" s="1">
        <f t="shared" ca="1" si="77"/>
        <v>0</v>
      </c>
      <c r="HO43" s="1">
        <f t="shared" ca="1" si="77"/>
        <v>0</v>
      </c>
      <c r="HP43" s="1">
        <f t="shared" ca="1" si="77"/>
        <v>0</v>
      </c>
      <c r="HQ43" s="1">
        <f t="shared" ca="1" si="77"/>
        <v>0</v>
      </c>
      <c r="HR43" s="1">
        <f t="shared" ca="1" si="77"/>
        <v>0</v>
      </c>
      <c r="HS43" s="1">
        <f t="shared" ca="1" si="77"/>
        <v>0</v>
      </c>
      <c r="HT43" s="1">
        <f t="shared" ca="1" si="77"/>
        <v>0</v>
      </c>
      <c r="HU43" s="1">
        <f t="shared" ca="1" si="77"/>
        <v>0</v>
      </c>
      <c r="HV43" s="1">
        <f t="shared" ca="1" si="77"/>
        <v>0</v>
      </c>
      <c r="HW43" s="1">
        <f t="shared" ca="1" si="77"/>
        <v>0</v>
      </c>
      <c r="HX43" s="1">
        <f t="shared" ca="1" si="77"/>
        <v>0</v>
      </c>
      <c r="HY43" s="1">
        <f t="shared" ca="1" si="77"/>
        <v>0</v>
      </c>
      <c r="HZ43" s="1">
        <f t="shared" ca="1" si="77"/>
        <v>0</v>
      </c>
      <c r="IA43" s="1">
        <f t="shared" ca="1" si="77"/>
        <v>0</v>
      </c>
      <c r="IB43" s="1">
        <f t="shared" ca="1" si="77"/>
        <v>0</v>
      </c>
      <c r="IC43" s="1">
        <f t="shared" ca="1" si="77"/>
        <v>0</v>
      </c>
      <c r="ID43" s="1">
        <f t="shared" ca="1" si="77"/>
        <v>0</v>
      </c>
      <c r="IE43" s="1">
        <f t="shared" ca="1" si="77"/>
        <v>0</v>
      </c>
      <c r="IF43" s="1">
        <f t="shared" ca="1" si="77"/>
        <v>0</v>
      </c>
      <c r="IG43" s="1">
        <f t="shared" ca="1" si="77"/>
        <v>0</v>
      </c>
      <c r="IH43" s="1">
        <f t="shared" ca="1" si="77"/>
        <v>0</v>
      </c>
      <c r="II43" s="1">
        <f t="shared" ca="1" si="77"/>
        <v>0</v>
      </c>
      <c r="IJ43" s="1">
        <f t="shared" ca="1" si="77"/>
        <v>0</v>
      </c>
      <c r="IK43" s="1">
        <f t="shared" ca="1" si="77"/>
        <v>0</v>
      </c>
      <c r="IL43" s="1">
        <f ca="1">IK43+IK44-IK45-IK46-IK48-IK49-IK50</f>
        <v>0</v>
      </c>
      <c r="IM43" s="1">
        <f t="shared" ref="IM43:KX43" ca="1" si="78">IL43+IL44-IL45-IL46-IL48-IL49-IL50</f>
        <v>0</v>
      </c>
      <c r="IN43" s="1">
        <f t="shared" ca="1" si="78"/>
        <v>0</v>
      </c>
      <c r="IO43" s="1">
        <f t="shared" ca="1" si="78"/>
        <v>0</v>
      </c>
      <c r="IP43" s="1">
        <f t="shared" ca="1" si="78"/>
        <v>0</v>
      </c>
      <c r="IQ43" s="1">
        <f t="shared" ca="1" si="78"/>
        <v>0</v>
      </c>
      <c r="IR43" s="1">
        <f t="shared" ca="1" si="78"/>
        <v>0</v>
      </c>
      <c r="IS43" s="1">
        <f t="shared" ca="1" si="78"/>
        <v>0</v>
      </c>
      <c r="IT43" s="1">
        <f t="shared" ca="1" si="78"/>
        <v>0</v>
      </c>
      <c r="IU43" s="1">
        <f t="shared" ca="1" si="78"/>
        <v>0</v>
      </c>
      <c r="IV43" s="1">
        <f t="shared" ca="1" si="78"/>
        <v>0</v>
      </c>
      <c r="IW43" s="1">
        <f t="shared" ca="1" si="78"/>
        <v>0</v>
      </c>
      <c r="IX43" s="1">
        <f t="shared" ca="1" si="78"/>
        <v>0</v>
      </c>
      <c r="IY43" s="1">
        <f t="shared" ca="1" si="78"/>
        <v>0</v>
      </c>
      <c r="IZ43" s="1">
        <f t="shared" ca="1" si="78"/>
        <v>0</v>
      </c>
      <c r="JA43" s="1">
        <f t="shared" ca="1" si="78"/>
        <v>0</v>
      </c>
      <c r="JB43" s="1">
        <f t="shared" ca="1" si="78"/>
        <v>0</v>
      </c>
      <c r="JC43" s="1">
        <f t="shared" ca="1" si="78"/>
        <v>0</v>
      </c>
      <c r="JD43" s="1">
        <f t="shared" ca="1" si="78"/>
        <v>0</v>
      </c>
      <c r="JE43" s="1">
        <f t="shared" ca="1" si="78"/>
        <v>0</v>
      </c>
      <c r="JF43" s="1">
        <f t="shared" ca="1" si="78"/>
        <v>0</v>
      </c>
      <c r="JG43" s="1">
        <f t="shared" ca="1" si="78"/>
        <v>0</v>
      </c>
      <c r="JH43" s="1">
        <f t="shared" ca="1" si="78"/>
        <v>0</v>
      </c>
      <c r="JI43" s="1">
        <f t="shared" ca="1" si="78"/>
        <v>0</v>
      </c>
      <c r="JJ43" s="1">
        <f t="shared" ca="1" si="78"/>
        <v>0</v>
      </c>
      <c r="JK43" s="1">
        <f t="shared" ca="1" si="78"/>
        <v>0</v>
      </c>
      <c r="JL43" s="1">
        <f t="shared" ca="1" si="78"/>
        <v>0</v>
      </c>
      <c r="JM43" s="1">
        <f t="shared" ca="1" si="78"/>
        <v>0</v>
      </c>
      <c r="JN43" s="1">
        <f t="shared" ca="1" si="78"/>
        <v>0</v>
      </c>
      <c r="JO43" s="1">
        <f t="shared" ca="1" si="78"/>
        <v>0</v>
      </c>
      <c r="JP43" s="1">
        <f t="shared" ca="1" si="78"/>
        <v>0</v>
      </c>
      <c r="JQ43" s="1">
        <f t="shared" ca="1" si="78"/>
        <v>0</v>
      </c>
      <c r="JR43" s="1">
        <f t="shared" ca="1" si="78"/>
        <v>0</v>
      </c>
      <c r="JS43" s="1">
        <f t="shared" ca="1" si="78"/>
        <v>0</v>
      </c>
      <c r="JT43" s="1">
        <f t="shared" ca="1" si="78"/>
        <v>0</v>
      </c>
      <c r="JU43" s="1">
        <f t="shared" ca="1" si="78"/>
        <v>0</v>
      </c>
      <c r="JV43" s="1">
        <f t="shared" ca="1" si="78"/>
        <v>0</v>
      </c>
      <c r="JW43" s="1">
        <f t="shared" ca="1" si="78"/>
        <v>0</v>
      </c>
      <c r="JX43" s="1">
        <f t="shared" ca="1" si="78"/>
        <v>0</v>
      </c>
      <c r="JY43" s="1">
        <f t="shared" ca="1" si="78"/>
        <v>0</v>
      </c>
      <c r="JZ43" s="1">
        <f t="shared" ca="1" si="78"/>
        <v>0</v>
      </c>
      <c r="KA43" s="1">
        <f t="shared" ca="1" si="78"/>
        <v>0</v>
      </c>
      <c r="KB43" s="1">
        <f t="shared" ca="1" si="78"/>
        <v>0</v>
      </c>
      <c r="KC43" s="1">
        <f t="shared" ca="1" si="78"/>
        <v>0</v>
      </c>
      <c r="KD43" s="1">
        <f t="shared" ca="1" si="78"/>
        <v>0</v>
      </c>
      <c r="KE43" s="1">
        <f t="shared" ca="1" si="78"/>
        <v>0</v>
      </c>
      <c r="KF43" s="1">
        <f t="shared" ca="1" si="78"/>
        <v>0</v>
      </c>
      <c r="KG43" s="1">
        <f t="shared" ca="1" si="78"/>
        <v>0</v>
      </c>
      <c r="KH43" s="1">
        <f t="shared" ca="1" si="78"/>
        <v>0</v>
      </c>
      <c r="KI43" s="1">
        <f t="shared" ca="1" si="78"/>
        <v>0</v>
      </c>
      <c r="KJ43" s="1">
        <f t="shared" ca="1" si="78"/>
        <v>0</v>
      </c>
      <c r="KK43" s="1">
        <f t="shared" ca="1" si="78"/>
        <v>0</v>
      </c>
      <c r="KL43" s="1">
        <f t="shared" ca="1" si="78"/>
        <v>0</v>
      </c>
      <c r="KM43" s="1">
        <f t="shared" ca="1" si="78"/>
        <v>0</v>
      </c>
      <c r="KN43" s="1">
        <f t="shared" ca="1" si="78"/>
        <v>0</v>
      </c>
      <c r="KO43" s="1">
        <f t="shared" ca="1" si="78"/>
        <v>0</v>
      </c>
      <c r="KP43" s="1">
        <f t="shared" ca="1" si="78"/>
        <v>0</v>
      </c>
      <c r="KQ43" s="1">
        <f t="shared" ca="1" si="78"/>
        <v>0</v>
      </c>
      <c r="KR43" s="1">
        <f t="shared" ca="1" si="78"/>
        <v>0</v>
      </c>
      <c r="KS43" s="1">
        <f t="shared" ca="1" si="78"/>
        <v>0</v>
      </c>
      <c r="KT43" s="1">
        <f t="shared" ca="1" si="78"/>
        <v>0</v>
      </c>
      <c r="KU43" s="1">
        <f t="shared" ca="1" si="78"/>
        <v>0</v>
      </c>
      <c r="KV43" s="1">
        <f t="shared" ca="1" si="78"/>
        <v>0</v>
      </c>
      <c r="KW43" s="1">
        <f t="shared" ca="1" si="78"/>
        <v>0</v>
      </c>
      <c r="KX43" s="1">
        <f t="shared" ca="1" si="78"/>
        <v>0</v>
      </c>
      <c r="KY43" s="1">
        <f t="shared" ref="KY43:NB43" ca="1" si="79">KX43+KX44-KX45-KX46-KX48-KX49-KX50</f>
        <v>0</v>
      </c>
      <c r="KZ43" s="1">
        <f t="shared" ca="1" si="79"/>
        <v>0</v>
      </c>
      <c r="LA43" s="1">
        <f t="shared" ca="1" si="79"/>
        <v>0</v>
      </c>
      <c r="LB43" s="1">
        <f t="shared" ca="1" si="79"/>
        <v>0</v>
      </c>
      <c r="LC43" s="1">
        <f t="shared" ca="1" si="79"/>
        <v>0</v>
      </c>
      <c r="LD43" s="1">
        <f t="shared" ca="1" si="79"/>
        <v>0</v>
      </c>
      <c r="LE43" s="1">
        <f t="shared" ca="1" si="79"/>
        <v>0</v>
      </c>
      <c r="LF43" s="1">
        <f t="shared" ca="1" si="79"/>
        <v>0</v>
      </c>
      <c r="LG43" s="1">
        <f t="shared" ca="1" si="79"/>
        <v>0</v>
      </c>
      <c r="LH43" s="1">
        <f t="shared" ca="1" si="79"/>
        <v>0</v>
      </c>
      <c r="LI43" s="1">
        <f t="shared" ca="1" si="79"/>
        <v>0</v>
      </c>
      <c r="LJ43" s="1">
        <f t="shared" ca="1" si="79"/>
        <v>0</v>
      </c>
      <c r="LK43" s="1">
        <f t="shared" ca="1" si="79"/>
        <v>0</v>
      </c>
      <c r="LL43" s="1">
        <f t="shared" ca="1" si="79"/>
        <v>0</v>
      </c>
      <c r="LM43" s="1">
        <f t="shared" ca="1" si="79"/>
        <v>0</v>
      </c>
      <c r="LN43" s="1">
        <f t="shared" ca="1" si="79"/>
        <v>0</v>
      </c>
      <c r="LO43" s="1">
        <f t="shared" ca="1" si="79"/>
        <v>0</v>
      </c>
      <c r="LP43" s="1">
        <f t="shared" ca="1" si="79"/>
        <v>0</v>
      </c>
      <c r="LQ43" s="1">
        <f t="shared" ca="1" si="79"/>
        <v>0</v>
      </c>
      <c r="LR43" s="1">
        <f t="shared" ca="1" si="79"/>
        <v>0</v>
      </c>
      <c r="LS43" s="1">
        <f t="shared" ca="1" si="79"/>
        <v>0</v>
      </c>
      <c r="LT43" s="1">
        <f t="shared" ca="1" si="79"/>
        <v>0</v>
      </c>
      <c r="LU43" s="1">
        <f t="shared" ca="1" si="79"/>
        <v>0</v>
      </c>
      <c r="LV43" s="1">
        <f t="shared" ca="1" si="79"/>
        <v>0</v>
      </c>
      <c r="LW43" s="1">
        <f t="shared" ca="1" si="79"/>
        <v>0</v>
      </c>
      <c r="LX43" s="1">
        <f t="shared" ca="1" si="79"/>
        <v>0</v>
      </c>
      <c r="LY43" s="1">
        <f t="shared" ca="1" si="79"/>
        <v>0</v>
      </c>
      <c r="LZ43" s="1">
        <f t="shared" ca="1" si="79"/>
        <v>0</v>
      </c>
      <c r="MA43" s="1">
        <f t="shared" ca="1" si="79"/>
        <v>0</v>
      </c>
      <c r="MB43" s="1">
        <f t="shared" ca="1" si="79"/>
        <v>0</v>
      </c>
      <c r="MC43" s="1">
        <f t="shared" ca="1" si="79"/>
        <v>0</v>
      </c>
      <c r="MD43" s="1">
        <f t="shared" ca="1" si="79"/>
        <v>0</v>
      </c>
      <c r="ME43" s="1">
        <f t="shared" ca="1" si="79"/>
        <v>0</v>
      </c>
      <c r="MF43" s="1">
        <f t="shared" ca="1" si="79"/>
        <v>0</v>
      </c>
      <c r="MG43" s="1">
        <f t="shared" ca="1" si="79"/>
        <v>0</v>
      </c>
      <c r="MH43" s="1">
        <f t="shared" ca="1" si="79"/>
        <v>0</v>
      </c>
      <c r="MI43" s="1">
        <f t="shared" ca="1" si="79"/>
        <v>0</v>
      </c>
      <c r="MJ43" s="1">
        <f t="shared" ca="1" si="79"/>
        <v>0</v>
      </c>
      <c r="MK43" s="1">
        <f t="shared" ca="1" si="79"/>
        <v>0</v>
      </c>
      <c r="ML43" s="1">
        <f t="shared" ca="1" si="79"/>
        <v>0</v>
      </c>
      <c r="MM43" s="1">
        <f t="shared" ca="1" si="79"/>
        <v>0</v>
      </c>
      <c r="MN43" s="1">
        <f t="shared" ca="1" si="79"/>
        <v>0</v>
      </c>
      <c r="MO43" s="1">
        <f t="shared" ca="1" si="79"/>
        <v>0</v>
      </c>
      <c r="MP43" s="1">
        <f t="shared" ca="1" si="79"/>
        <v>0</v>
      </c>
      <c r="MQ43" s="1">
        <f t="shared" ca="1" si="79"/>
        <v>0</v>
      </c>
      <c r="MR43" s="1">
        <f t="shared" ca="1" si="79"/>
        <v>0</v>
      </c>
      <c r="MS43" s="1">
        <f t="shared" ca="1" si="79"/>
        <v>0</v>
      </c>
      <c r="MT43" s="1">
        <f t="shared" ca="1" si="79"/>
        <v>0</v>
      </c>
      <c r="MU43" s="1">
        <f t="shared" ca="1" si="79"/>
        <v>0</v>
      </c>
      <c r="MV43" s="1">
        <f t="shared" ca="1" si="79"/>
        <v>0</v>
      </c>
      <c r="MW43" s="1">
        <f t="shared" ca="1" si="79"/>
        <v>0</v>
      </c>
      <c r="MX43" s="1">
        <f t="shared" ca="1" si="79"/>
        <v>0</v>
      </c>
      <c r="MY43" s="1">
        <f t="shared" ca="1" si="79"/>
        <v>0</v>
      </c>
      <c r="MZ43" s="1">
        <f t="shared" ca="1" si="79"/>
        <v>0</v>
      </c>
      <c r="NA43" s="1">
        <f t="shared" ca="1" si="79"/>
        <v>0</v>
      </c>
      <c r="NB43" s="1">
        <f t="shared" ca="1" si="79"/>
        <v>0</v>
      </c>
    </row>
    <row r="44" spans="2:367" x14ac:dyDescent="0.15">
      <c r="B44" s="45" t="s">
        <v>109</v>
      </c>
      <c r="C44" s="45"/>
      <c r="D44" s="53">
        <f>interest_rate</f>
        <v>5.5E-2</v>
      </c>
      <c r="F44" s="1">
        <f>IF(ISERROR(HLOOKUP(F$7,'Debt Amort'!$F$14:$NA$19,5,FALSE)),0,HLOOKUP(F$7,'Debt Amort'!$F$14:$NA$19,5,FALSE))</f>
        <v>0</v>
      </c>
      <c r="G44" s="1">
        <f>IF(ISERROR(HLOOKUP(G$7,'Debt Amort'!$F$14:$NA$19,5,FALSE)),0,HLOOKUP(G$7,'Debt Amort'!$F$14:$NA$19,5,FALSE))</f>
        <v>21653.5</v>
      </c>
      <c r="H44" s="1">
        <f>IF(ISERROR(HLOOKUP(H$7,'Debt Amort'!$F$14:$NA$19,5,FALSE)),0,HLOOKUP(H$7,'Debt Amort'!$F$14:$NA$19,5,FALSE))</f>
        <v>21619.773773192166</v>
      </c>
      <c r="I44" s="1">
        <f>IF(ISERROR(HLOOKUP(I$7,'Debt Amort'!$F$14:$NA$19,5,FALSE)),0,HLOOKUP(I$7,'Debt Amort'!$F$14:$NA$19,5,FALSE))</f>
        <v>21585.892967844797</v>
      </c>
      <c r="J44" s="1">
        <f>IF(ISERROR(HLOOKUP(J$7,'Debt Amort'!$F$14:$NA$19,5,FALSE)),0,HLOOKUP(J$7,'Debt Amort'!$F$14:$NA$19,5,FALSE))</f>
        <v>21551.856875472913</v>
      </c>
      <c r="K44" s="1">
        <f>IF(ISERROR(HLOOKUP(K$7,'Debt Amort'!$F$14:$NA$19,5,FALSE)),0,HLOOKUP(K$7,'Debt Amort'!$F$14:$NA$19,5,FALSE))</f>
        <v>21517.664784344332</v>
      </c>
      <c r="L44" s="563">
        <f>IF(ISERROR(HLOOKUP(L$7,'Debt Amort'!$F$14:$NA$19,5,FALSE)),0,HLOOKUP(L$7,'Debt Amort'!$F$14:$NA$19,5,FALSE))</f>
        <v>21483.31597946474</v>
      </c>
      <c r="M44" s="1">
        <f>IF(ISERROR(HLOOKUP(M$7,'Debt Amort'!$F$14:$NA$19,5,FALSE)),0,HLOOKUP(M$7,'Debt Amort'!$F$14:$NA$19,5,FALSE))</f>
        <v>21448.809742562786</v>
      </c>
      <c r="N44" s="1">
        <f>IF(ISERROR(HLOOKUP(N$7,'Debt Amort'!$F$14:$NA$19,5,FALSE)),0,HLOOKUP(N$7,'Debt Amort'!$F$14:$NA$19,5,FALSE))</f>
        <v>21414.145352075029</v>
      </c>
      <c r="O44" s="1">
        <f>IF(ISERROR(HLOOKUP(O$7,'Debt Amort'!$F$14:$NA$19,5,FALSE)),0,HLOOKUP(O$7,'Debt Amort'!$F$14:$NA$19,5,FALSE))</f>
        <v>21379.322083130868</v>
      </c>
      <c r="P44" s="1">
        <f>IF(ISERROR(HLOOKUP(P$7,'Debt Amort'!$F$14:$NA$19,5,FALSE)),0,HLOOKUP(P$7,'Debt Amort'!$F$14:$NA$19,5,FALSE))</f>
        <v>21344.339207537381</v>
      </c>
      <c r="Q44" s="1">
        <f>IF(ISERROR(HLOOKUP(Q$7,'Debt Amort'!$F$14:$NA$19,5,FALSE)),0,HLOOKUP(Q$7,'Debt Amort'!$F$14:$NA$19,5,FALSE))</f>
        <v>21309.195993764097</v>
      </c>
      <c r="R44" s="1">
        <f>IF(ISERROR(HLOOKUP(R$7,'Debt Amort'!$F$14:$NA$19,5,FALSE)),0,HLOOKUP(R$7,'Debt Amort'!$F$14:$NA$19,5,FALSE))</f>
        <v>21273.891706927679</v>
      </c>
      <c r="S44" s="1">
        <f>IF(ISERROR(HLOOKUP(S$7,'Debt Amort'!$F$14:$NA$19,5,FALSE)),0,HLOOKUP(S$7,'Debt Amort'!$F$14:$NA$19,5,FALSE))</f>
        <v>21238.425608776597</v>
      </c>
      <c r="T44" s="1">
        <f>IF(ISERROR(HLOOKUP(T$7,'Debt Amort'!$F$14:$NA$19,5,FALSE)),0,HLOOKUP(T$7,'Debt Amort'!$F$14:$NA$19,5,FALSE))</f>
        <v>21202.796957675655</v>
      </c>
      <c r="U44" s="1">
        <f>IF(ISERROR(HLOOKUP(U$7,'Debt Amort'!$F$14:$NA$19,5,FALSE)),0,HLOOKUP(U$7,'Debt Amort'!$F$14:$NA$19,5,FALSE))</f>
        <v>21167.005008590499</v>
      </c>
      <c r="V44" s="1">
        <f>IF(ISERROR(HLOOKUP(V$7,'Debt Amort'!$F$14:$NA$19,5,FALSE)),0,HLOOKUP(V$7,'Debt Amort'!$F$14:$NA$19,5,FALSE))</f>
        <v>21131.049013072039</v>
      </c>
      <c r="W44" s="1">
        <f>IF(ISERROR(HLOOKUP(W$7,'Debt Amort'!$F$14:$NA$19,5,FALSE)),0,HLOOKUP(W$7,'Debt Amort'!$F$14:$NA$19,5,FALSE))</f>
        <v>21094.928219240781</v>
      </c>
      <c r="X44" s="1">
        <f>IF(ISERROR(HLOOKUP(X$7,'Debt Amort'!$F$14:$NA$19,5,FALSE)),0,HLOOKUP(X$7,'Debt Amort'!$F$14:$NA$19,5,FALSE))</f>
        <v>21058.641871771135</v>
      </c>
      <c r="Y44" s="1">
        <f>IF(ISERROR(HLOOKUP(Y$7,'Debt Amort'!$F$14:$NA$19,5,FALSE)),0,HLOOKUP(Y$7,'Debt Amort'!$F$14:$NA$19,5,FALSE))</f>
        <v>21022.189211875582</v>
      </c>
      <c r="Z44" s="1">
        <f>IF(ISERROR(HLOOKUP(Z$7,'Debt Amort'!$F$14:$NA$19,5,FALSE)),0,HLOOKUP(Z$7,'Debt Amort'!$F$14:$NA$19,5,FALSE))</f>
        <v>20985.569477288842</v>
      </c>
      <c r="AA44" s="1">
        <f>IF(ISERROR(HLOOKUP(AA$7,'Debt Amort'!$F$14:$NA$19,5,FALSE)),0,HLOOKUP(AA$7,'Debt Amort'!$F$14:$NA$19,5,FALSE))</f>
        <v>20948.781902251918</v>
      </c>
      <c r="AB44" s="1">
        <f>IF(ISERROR(HLOOKUP(AB$7,'Debt Amort'!$F$14:$NA$19,5,FALSE)),0,HLOOKUP(AB$7,'Debt Amort'!$F$14:$NA$19,5,FALSE))</f>
        <v>20911.825717496071</v>
      </c>
      <c r="AC44" s="1">
        <f>IF(ISERROR(HLOOKUP(AC$7,'Debt Amort'!$F$14:$NA$19,5,FALSE)),0,HLOOKUP(AC$7,'Debt Amort'!$F$14:$NA$19,5,FALSE))</f>
        <v>20874.700150226756</v>
      </c>
      <c r="AD44" s="56">
        <f>IF(ISERROR(HLOOKUP(AD$7,'Debt Amort'!$F$14:$NA$19,5,FALSE)),0,HLOOKUP(AD$7,'Debt Amort'!$F$14:$NA$19,5,FALSE))</f>
        <v>20837.404424107463</v>
      </c>
      <c r="AE44" s="1">
        <f>IF(ISERROR(HLOOKUP(AE$7,'Debt Amort'!$F$14:$NA$19,5,FALSE)),0,HLOOKUP(AE$7,'Debt Amort'!$F$14:$NA$19,5,FALSE))</f>
        <v>20799.937759243454</v>
      </c>
      <c r="AF44" s="1">
        <f>IF(ISERROR(HLOOKUP(AF$7,'Debt Amort'!$F$14:$NA$19,5,FALSE)),0,HLOOKUP(AF$7,'Debt Amort'!$F$14:$NA$19,5,FALSE))</f>
        <v>20762.299372165486</v>
      </c>
      <c r="AG44" s="1">
        <f>IF(ISERROR(HLOOKUP(AG$7,'Debt Amort'!$F$14:$NA$19,5,FALSE)),0,HLOOKUP(AG$7,'Debt Amort'!$F$14:$NA$19,5,FALSE))</f>
        <v>20724.488475813407</v>
      </c>
      <c r="AH44" s="1">
        <f>IF(ISERROR(HLOOKUP(AH$7,'Debt Amort'!$F$14:$NA$19,5,FALSE)),0,HLOOKUP(AH$7,'Debt Amort'!$F$14:$NA$19,5,FALSE))</f>
        <v>20686.504279519719</v>
      </c>
      <c r="AI44" s="1">
        <f>IF(ISERROR(HLOOKUP(AI$7,'Debt Amort'!$F$14:$NA$19,5,FALSE)),0,HLOOKUP(AI$7,'Debt Amort'!$F$14:$NA$19,5,FALSE))</f>
        <v>20648.345988993016</v>
      </c>
      <c r="AJ44" s="1">
        <f>IF(ISERROR(HLOOKUP(AJ$7,'Debt Amort'!$F$14:$NA$19,5,FALSE)),0,HLOOKUP(AJ$7,'Debt Amort'!$F$14:$NA$19,5,FALSE))</f>
        <v>20610.012806301394</v>
      </c>
      <c r="AK44" s="1">
        <f>IF(ISERROR(HLOOKUP(AK$7,'Debt Amort'!$F$14:$NA$19,5,FALSE)),0,HLOOKUP(AK$7,'Debt Amort'!$F$14:$NA$19,5,FALSE))</f>
        <v>20571.503929855775</v>
      </c>
      <c r="AL44" s="1">
        <f>IF(ISERROR(HLOOKUP(AL$7,'Debt Amort'!$F$14:$NA$19,5,FALSE)),0,HLOOKUP(AL$7,'Debt Amort'!$F$14:$NA$19,5,FALSE))</f>
        <v>20532.81855439311</v>
      </c>
      <c r="AM44" s="1">
        <f>IF(ISERROR(HLOOKUP(AM$7,'Debt Amort'!$F$14:$NA$19,5,FALSE)),0,HLOOKUP(AM$7,'Debt Amort'!$F$14:$NA$19,5,FALSE))</f>
        <v>20493.955870959577</v>
      </c>
      <c r="AN44" s="1">
        <f>IF(ISERROR(HLOOKUP(AN$7,'Debt Amort'!$F$14:$NA$19,5,FALSE)),0,HLOOKUP(AN$7,'Debt Amort'!$F$14:$NA$19,5,FALSE))</f>
        <v>20454.915066893642</v>
      </c>
      <c r="AO44" s="1">
        <f>IF(ISERROR(HLOOKUP(AO$7,'Debt Amort'!$F$14:$NA$19,5,FALSE)),0,HLOOKUP(AO$7,'Debt Amort'!$F$14:$NA$19,5,FALSE))</f>
        <v>20415.695325809069</v>
      </c>
      <c r="AP44" s="1">
        <f>IF(ISERROR(HLOOKUP(AP$7,'Debt Amort'!$F$14:$NA$19,5,FALSE)),0,HLOOKUP(AP$7,'Debt Amort'!$F$14:$NA$19,5,FALSE))</f>
        <v>20376.295827577855</v>
      </c>
      <c r="AQ44" s="1">
        <f>IF(ISERROR(HLOOKUP(AQ$7,'Debt Amort'!$F$14:$NA$19,5,FALSE)),0,HLOOKUP(AQ$7,'Debt Amort'!$F$14:$NA$19,5,FALSE))</f>
        <v>20336.715748313087</v>
      </c>
      <c r="AR44" s="1">
        <f>IF(ISERROR(HLOOKUP(AR$7,'Debt Amort'!$F$14:$NA$19,5,FALSE)),0,HLOOKUP(AR$7,'Debt Amort'!$F$14:$NA$19,5,FALSE))</f>
        <v>20296.954260351686</v>
      </c>
      <c r="AS44" s="1">
        <f>IF(ISERROR(HLOOKUP(AS$7,'Debt Amort'!$F$14:$NA$19,5,FALSE)),0,HLOOKUP(AS$7,'Debt Amort'!$F$14:$NA$19,5,FALSE))</f>
        <v>20257.010532237131</v>
      </c>
      <c r="AT44" s="1">
        <f>IF(ISERROR(HLOOKUP(AT$7,'Debt Amort'!$F$14:$NA$19,5,FALSE)),0,HLOOKUP(AT$7,'Debt Amort'!$F$14:$NA$19,5,FALSE))</f>
        <v>20216.883728702047</v>
      </c>
      <c r="AU44" s="1">
        <f>IF(ISERROR(HLOOKUP(AU$7,'Debt Amort'!$F$14:$NA$19,5,FALSE)),0,HLOOKUP(AU$7,'Debt Amort'!$F$14:$NA$19,5,FALSE))</f>
        <v>20176.573010650762</v>
      </c>
      <c r="AV44" s="1">
        <f>IF(ISERROR(HLOOKUP(AV$7,'Debt Amort'!$F$14:$NA$19,5,FALSE)),0,HLOOKUP(AV$7,'Debt Amort'!$F$14:$NA$19,5,FALSE))</f>
        <v>20136.077535141743</v>
      </c>
      <c r="AW44" s="1">
        <f>IF(ISERROR(HLOOKUP(AW$7,'Debt Amort'!$F$14:$NA$19,5,FALSE)),0,HLOOKUP(AW$7,'Debt Amort'!$F$14:$NA$19,5,FALSE))</f>
        <v>20095.39645536997</v>
      </c>
      <c r="AX44" s="1">
        <f>IF(ISERROR(HLOOKUP(AX$7,'Debt Amort'!$F$14:$NA$19,5,FALSE)),0,HLOOKUP(AX$7,'Debt Amort'!$F$14:$NA$19,5,FALSE))</f>
        <v>20054.528920649249</v>
      </c>
      <c r="AY44" s="1">
        <f>IF(ISERROR(HLOOKUP(AY$7,'Debt Amort'!$F$14:$NA$19,5,FALSE)),0,HLOOKUP(AY$7,'Debt Amort'!$F$14:$NA$19,5,FALSE))</f>
        <v>20013.474076394392</v>
      </c>
      <c r="AZ44" s="1">
        <f>IF(ISERROR(HLOOKUP(AZ$7,'Debt Amort'!$F$14:$NA$19,5,FALSE)),0,HLOOKUP(AZ$7,'Debt Amort'!$F$14:$NA$19,5,FALSE))</f>
        <v>19972.231064103362</v>
      </c>
      <c r="BA44" s="1">
        <f>IF(ISERROR(HLOOKUP(BA$7,'Debt Amort'!$F$14:$NA$19,5,FALSE)),0,HLOOKUP(BA$7,'Debt Amort'!$F$14:$NA$19,5,FALSE))</f>
        <v>19930.799021339335</v>
      </c>
      <c r="BB44" s="1">
        <f>IF(ISERROR(HLOOKUP(BB$7,'Debt Amort'!$F$14:$NA$19,5,FALSE)),0,HLOOKUP(BB$7,'Debt Amort'!$F$14:$NA$19,5,FALSE))</f>
        <v>19889.177081712638</v>
      </c>
      <c r="BC44" s="1">
        <f>IF(ISERROR(HLOOKUP(BC$7,'Debt Amort'!$F$14:$NA$19,5,FALSE)),0,HLOOKUP(BC$7,'Debt Amort'!$F$14:$NA$19,5,FALSE))</f>
        <v>19847.364374862653</v>
      </c>
      <c r="BD44" s="1">
        <f>IF(ISERROR(HLOOKUP(BD$7,'Debt Amort'!$F$14:$NA$19,5,FALSE)),0,HLOOKUP(BD$7,'Debt Amort'!$F$14:$NA$19,5,FALSE))</f>
        <v>19805.360026439608</v>
      </c>
      <c r="BE44" s="1">
        <f>IF(ISERROR(HLOOKUP(BE$7,'Debt Amort'!$F$14:$NA$19,5,FALSE)),0,HLOOKUP(BE$7,'Debt Amort'!$F$14:$NA$19,5,FALSE))</f>
        <v>19763.163158086289</v>
      </c>
      <c r="BF44" s="1">
        <f>IF(ISERROR(HLOOKUP(BF$7,'Debt Amort'!$F$14:$NA$19,5,FALSE)),0,HLOOKUP(BF$7,'Debt Amort'!$F$14:$NA$19,5,FALSE))</f>
        <v>19720.77288741968</v>
      </c>
      <c r="BG44" s="1">
        <f>IF(ISERROR(HLOOKUP(BG$7,'Debt Amort'!$F$14:$NA$19,5,FALSE)),0,HLOOKUP(BG$7,'Debt Amort'!$F$14:$NA$19,5,FALSE))</f>
        <v>19678.188328012522</v>
      </c>
      <c r="BH44" s="1">
        <f>IF(ISERROR(HLOOKUP(BH$7,'Debt Amort'!$F$14:$NA$19,5,FALSE)),0,HLOOKUP(BH$7,'Debt Amort'!$F$14:$NA$19,5,FALSE))</f>
        <v>19635.408589374743</v>
      </c>
      <c r="BI44" s="1">
        <f>IF(ISERROR(HLOOKUP(BI$7,'Debt Amort'!$F$14:$NA$19,5,FALSE)),0,HLOOKUP(BI$7,'Debt Amort'!$F$14:$NA$19,5,FALSE))</f>
        <v>19592.432776934875</v>
      </c>
      <c r="BJ44" s="1">
        <f>IF(ISERROR(HLOOKUP(BJ$7,'Debt Amort'!$F$14:$NA$19,5,FALSE)),0,HLOOKUP(BJ$7,'Debt Amort'!$F$14:$NA$19,5,FALSE))</f>
        <v>19549.259992021325</v>
      </c>
      <c r="BK44" s="1">
        <f>IF(ISERROR(HLOOKUP(BK$7,'Debt Amort'!$F$14:$NA$19,5,FALSE)),0,HLOOKUP(BK$7,'Debt Amort'!$F$14:$NA$19,5,FALSE))</f>
        <v>19505.889331843584</v>
      </c>
      <c r="BL44" s="1">
        <f>IF(ISERROR(HLOOKUP(BL$7,'Debt Amort'!$F$14:$NA$19,5,FALSE)),0,HLOOKUP(BL$7,'Debt Amort'!$F$14:$NA$19,5,FALSE))</f>
        <v>19462.319889473369</v>
      </c>
      <c r="BM44" s="1">
        <f>IF(ISERROR(HLOOKUP(BM$7,'Debt Amort'!$F$14:$NA$19,5,FALSE)),0,HLOOKUP(BM$7,'Debt Amort'!$F$14:$NA$19,5,FALSE))</f>
        <v>19418.550753825621</v>
      </c>
      <c r="BN44" s="1">
        <f>IF(ISERROR(HLOOKUP(BN$7,'Debt Amort'!$F$14:$NA$19,5,FALSE)),0,HLOOKUP(BN$7,'Debt Amort'!$F$14:$NA$19,5,FALSE))</f>
        <v>19374.581009639485</v>
      </c>
      <c r="BO44" s="1">
        <f>IF(ISERROR(HLOOKUP(BO$7,'Debt Amort'!$F$14:$NA$19,5,FALSE)),0,HLOOKUP(BO$7,'Debt Amort'!$F$14:$NA$19,5,FALSE))</f>
        <v>19330.409737459166</v>
      </c>
      <c r="BP44" s="1">
        <f>IF(ISERROR(HLOOKUP(BP$7,'Debt Amort'!$F$14:$NA$19,5,FALSE)),0,HLOOKUP(BP$7,'Debt Amort'!$F$14:$NA$19,5,FALSE))</f>
        <v>19286.036013614685</v>
      </c>
      <c r="BQ44" s="1">
        <f>IF(ISERROR(HLOOKUP(BQ$7,'Debt Amort'!$F$14:$NA$19,5,FALSE)),0,HLOOKUP(BQ$7,'Debt Amort'!$F$14:$NA$19,5,FALSE))</f>
        <v>19241.458910202586</v>
      </c>
      <c r="BR44" s="1">
        <f>IF(ISERROR(HLOOKUP(BR$7,'Debt Amort'!$F$14:$NA$19,5,FALSE)),0,HLOOKUP(BR$7,'Debt Amort'!$F$14:$NA$19,5,FALSE))</f>
        <v>19196.677495066513</v>
      </c>
      <c r="BS44" s="1">
        <f>IF(ISERROR(HLOOKUP(BS$7,'Debt Amort'!$F$14:$NA$19,5,FALSE)),0,HLOOKUP(BS$7,'Debt Amort'!$F$14:$NA$19,5,FALSE))</f>
        <v>19151.690831777731</v>
      </c>
      <c r="BT44" s="1">
        <f>IF(ISERROR(HLOOKUP(BT$7,'Debt Amort'!$F$14:$NA$19,5,FALSE)),0,HLOOKUP(BT$7,'Debt Amort'!$F$14:$NA$19,5,FALSE))</f>
        <v>19106.497979615546</v>
      </c>
      <c r="BU44" s="1">
        <f>IF(ISERROR(HLOOKUP(BU$7,'Debt Amort'!$F$14:$NA$19,5,FALSE)),0,HLOOKUP(BU$7,'Debt Amort'!$F$14:$NA$19,5,FALSE))</f>
        <v>19061.097993547613</v>
      </c>
      <c r="BV44" s="1">
        <f>IF(ISERROR(HLOOKUP(BV$7,'Debt Amort'!$F$14:$NA$19,5,FALSE)),0,HLOOKUP(BV$7,'Debt Amort'!$F$14:$NA$19,5,FALSE))</f>
        <v>19015.489924210204</v>
      </c>
      <c r="BW44" s="1">
        <f>IF(ISERROR(HLOOKUP(BW$7,'Debt Amort'!$F$14:$NA$19,5,FALSE)),0,HLOOKUP(BW$7,'Debt Amort'!$F$14:$NA$19,5,FALSE))</f>
        <v>18969.672817888335</v>
      </c>
      <c r="BX44" s="1">
        <f>IF(ISERROR(HLOOKUP(BX$7,'Debt Amort'!$F$14:$NA$19,5,FALSE)),0,HLOOKUP(BX$7,'Debt Amort'!$F$14:$NA$19,5,FALSE))</f>
        <v>18923.645716495819</v>
      </c>
      <c r="BY44" s="1">
        <f>IF(ISERROR(HLOOKUP(BY$7,'Debt Amort'!$F$14:$NA$19,5,FALSE)),0,HLOOKUP(BY$7,'Debt Amort'!$F$14:$NA$19,5,FALSE))</f>
        <v>18877.407657555257</v>
      </c>
      <c r="BZ44" s="1">
        <f>IF(ISERROR(HLOOKUP(BZ$7,'Debt Amort'!$F$14:$NA$19,5,FALSE)),0,HLOOKUP(BZ$7,'Debt Amort'!$F$14:$NA$19,5,FALSE))</f>
        <v>18830.957674177884</v>
      </c>
      <c r="CA44" s="1">
        <f>IF(ISERROR(HLOOKUP(CA$7,'Debt Amort'!$F$14:$NA$19,5,FALSE)),0,HLOOKUP(CA$7,'Debt Amort'!$F$14:$NA$19,5,FALSE))</f>
        <v>18784.294795043366</v>
      </c>
      <c r="CB44" s="1">
        <f>IF(ISERROR(HLOOKUP(CB$7,'Debt Amort'!$F$14:$NA$19,5,FALSE)),0,HLOOKUP(CB$7,'Debt Amort'!$F$14:$NA$19,5,FALSE))</f>
        <v>18737.418044379479</v>
      </c>
      <c r="CC44" s="1">
        <f>IF(ISERROR(HLOOKUP(CC$7,'Debt Amort'!$F$14:$NA$19,5,FALSE)),0,HLOOKUP(CC$7,'Debt Amort'!$F$14:$NA$19,5,FALSE))</f>
        <v>18690.326441941717</v>
      </c>
      <c r="CD44" s="1">
        <f>IF(ISERROR(HLOOKUP(CD$7,'Debt Amort'!$F$14:$NA$19,5,FALSE)),0,HLOOKUP(CD$7,'Debt Amort'!$F$14:$NA$19,5,FALSE))</f>
        <v>18643.019002992783</v>
      </c>
      <c r="CE44" s="1">
        <f>IF(ISERROR(HLOOKUP(CE$7,'Debt Amort'!$F$14:$NA$19,5,FALSE)),0,HLOOKUP(CE$7,'Debt Amort'!$F$14:$NA$19,5,FALSE))</f>
        <v>18595.494738281999</v>
      </c>
      <c r="CF44" s="1">
        <f>IF(ISERROR(HLOOKUP(CF$7,'Debt Amort'!$F$14:$NA$19,5,FALSE)),0,HLOOKUP(CF$7,'Debt Amort'!$F$14:$NA$19,5,FALSE))</f>
        <v>18547.752654024622</v>
      </c>
      <c r="CG44" s="1">
        <f>IF(ISERROR(HLOOKUP(CG$7,'Debt Amort'!$F$14:$NA$19,5,FALSE)),0,HLOOKUP(CG$7,'Debt Amort'!$F$14:$NA$19,5,FALSE))</f>
        <v>18499.791751881068</v>
      </c>
      <c r="CH44" s="1">
        <f>IF(ISERROR(HLOOKUP(CH$7,'Debt Amort'!$F$14:$NA$19,5,FALSE)),0,HLOOKUP(CH$7,'Debt Amort'!$F$14:$NA$19,5,FALSE))</f>
        <v>18451.611028936019</v>
      </c>
      <c r="CI44" s="1">
        <f>IF(ISERROR(HLOOKUP(CI$7,'Debt Amort'!$F$14:$NA$19,5,FALSE)),0,HLOOKUP(CI$7,'Debt Amort'!$F$14:$NA$19,5,FALSE))</f>
        <v>18403.209477677476</v>
      </c>
      <c r="CJ44" s="1">
        <f>IF(ISERROR(HLOOKUP(CJ$7,'Debt Amort'!$F$14:$NA$19,5,FALSE)),0,HLOOKUP(CJ$7,'Debt Amort'!$F$14:$NA$19,5,FALSE))</f>
        <v>18354.586085975661</v>
      </c>
      <c r="CK44" s="1">
        <f>IF(ISERROR(HLOOKUP(CK$7,'Debt Amort'!$F$14:$NA$19,5,FALSE)),0,HLOOKUP(CK$7,'Debt Amort'!$F$14:$NA$19,5,FALSE))</f>
        <v>18305.739837061883</v>
      </c>
      <c r="CL44" s="1">
        <f>IF(ISERROR(HLOOKUP(CL$7,'Debt Amort'!$F$14:$NA$19,5,FALSE)),0,HLOOKUP(CL$7,'Debt Amort'!$F$14:$NA$19,5,FALSE))</f>
        <v>18256.669709507245</v>
      </c>
      <c r="CM44" s="1">
        <f>IF(ISERROR(HLOOKUP(CM$7,'Debt Amort'!$F$14:$NA$19,5,FALSE)),0,HLOOKUP(CM$7,'Debt Amort'!$F$14:$NA$19,5,FALSE))</f>
        <v>18207.374677201322</v>
      </c>
      <c r="CN44" s="1">
        <f>IF(ISERROR(HLOOKUP(CN$7,'Debt Amort'!$F$14:$NA$19,5,FALSE)),0,HLOOKUP(CN$7,'Debt Amort'!$F$14:$NA$19,5,FALSE))</f>
        <v>18157.853709330659</v>
      </c>
      <c r="CO44" s="1">
        <f>IF(ISERROR(HLOOKUP(CO$7,'Debt Amort'!$F$14:$NA$19,5,FALSE)),0,HLOOKUP(CO$7,'Debt Amort'!$F$14:$NA$19,5,FALSE))</f>
        <v>18108.105770357255</v>
      </c>
      <c r="CP44" s="1">
        <f>IF(ISERROR(HLOOKUP(CP$7,'Debt Amort'!$F$14:$NA$19,5,FALSE)),0,HLOOKUP(CP$7,'Debt Amort'!$F$14:$NA$19,5,FALSE))</f>
        <v>18058.129819996895</v>
      </c>
      <c r="CQ44" s="1">
        <f>IF(ISERROR(HLOOKUP(CQ$7,'Debt Amort'!$F$14:$NA$19,5,FALSE)),0,HLOOKUP(CQ$7,'Debt Amort'!$F$14:$NA$19,5,FALSE))</f>
        <v>18007.924813197376</v>
      </c>
      <c r="CR44" s="1">
        <f>IF(ISERROR(HLOOKUP(CR$7,'Debt Amort'!$F$14:$NA$19,5,FALSE)),0,HLOOKUP(CR$7,'Debt Amort'!$F$14:$NA$19,5,FALSE))</f>
        <v>17957.489700116697</v>
      </c>
      <c r="CS44" s="1">
        <f>IF(ISERROR(HLOOKUP(CS$7,'Debt Amort'!$F$14:$NA$19,5,FALSE)),0,HLOOKUP(CS$7,'Debt Amort'!$F$14:$NA$19,5,FALSE))</f>
        <v>17906.823426101062</v>
      </c>
      <c r="CT44" s="1">
        <f>IF(ISERROR(HLOOKUP(CT$7,'Debt Amort'!$F$14:$NA$19,5,FALSE)),0,HLOOKUP(CT$7,'Debt Amort'!$F$14:$NA$19,5,FALSE))</f>
        <v>17855.924931662859</v>
      </c>
      <c r="CU44" s="1">
        <f>IF(ISERROR(HLOOKUP(CU$7,'Debt Amort'!$F$14:$NA$19,5,FALSE)),0,HLOOKUP(CU$7,'Debt Amort'!$F$14:$NA$19,5,FALSE))</f>
        <v>17804.793152458478</v>
      </c>
      <c r="CV44" s="1">
        <f>IF(ISERROR(HLOOKUP(CV$7,'Debt Amort'!$F$14:$NA$19,5,FALSE)),0,HLOOKUP(CV$7,'Debt Amort'!$F$14:$NA$19,5,FALSE))</f>
        <v>17753.427019266077</v>
      </c>
      <c r="CW44" s="1">
        <f>IF(ISERROR(HLOOKUP(CW$7,'Debt Amort'!$F$14:$NA$19,5,FALSE)),0,HLOOKUP(CW$7,'Debt Amort'!$F$14:$NA$19,5,FALSE))</f>
        <v>17701.825457963212</v>
      </c>
      <c r="CX44" s="1">
        <f>IF(ISERROR(HLOOKUP(CX$7,'Debt Amort'!$F$14:$NA$19,5,FALSE)),0,HLOOKUP(CX$7,'Debt Amort'!$F$14:$NA$19,5,FALSE))</f>
        <v>17649.987389504375</v>
      </c>
      <c r="CY44" s="1">
        <f>IF(ISERROR(HLOOKUP(CY$7,'Debt Amort'!$F$14:$NA$19,5,FALSE)),0,HLOOKUP(CY$7,'Debt Amort'!$F$14:$NA$19,5,FALSE))</f>
        <v>17597.911729898435</v>
      </c>
      <c r="CZ44" s="1">
        <f>IF(ISERROR(HLOOKUP(CZ$7,'Debt Amort'!$F$14:$NA$19,5,FALSE)),0,HLOOKUP(CZ$7,'Debt Amort'!$F$14:$NA$19,5,FALSE))</f>
        <v>17545.597390185969</v>
      </c>
      <c r="DA44" s="1">
        <f>IF(ISERROR(HLOOKUP(DA$7,'Debt Amort'!$F$14:$NA$19,5,FALSE)),0,HLOOKUP(DA$7,'Debt Amort'!$F$14:$NA$19,5,FALSE))</f>
        <v>17493.043276416487</v>
      </c>
      <c r="DB44" s="1">
        <f>IF(ISERROR(HLOOKUP(DB$7,'Debt Amort'!$F$14:$NA$19,5,FALSE)),0,HLOOKUP(DB$7,'Debt Amort'!$F$14:$NA$19,5,FALSE))</f>
        <v>17440.248289625561</v>
      </c>
      <c r="DC44" s="1">
        <f>IF(ISERROR(HLOOKUP(DC$7,'Debt Amort'!$F$14:$NA$19,5,FALSE)),0,HLOOKUP(DC$7,'Debt Amort'!$F$14:$NA$19,5,FALSE))</f>
        <v>17387.211325811844</v>
      </c>
      <c r="DD44" s="1">
        <f>IF(ISERROR(HLOOKUP(DD$7,'Debt Amort'!$F$14:$NA$19,5,FALSE)),0,HLOOKUP(DD$7,'Debt Amort'!$F$14:$NA$19,5,FALSE))</f>
        <v>17333.931275913979</v>
      </c>
      <c r="DE44" s="1">
        <f>IF(ISERROR(HLOOKUP(DE$7,'Debt Amort'!$F$14:$NA$19,5,FALSE)),0,HLOOKUP(DE$7,'Debt Amort'!$F$14:$NA$19,5,FALSE))</f>
        <v>17280.407025787415</v>
      </c>
      <c r="DF44" s="1">
        <f>IF(ISERROR(HLOOKUP(DF$7,'Debt Amort'!$F$14:$NA$19,5,FALSE)),0,HLOOKUP(DF$7,'Debt Amort'!$F$14:$NA$19,5,FALSE))</f>
        <v>17226.63745618111</v>
      </c>
      <c r="DG44" s="1">
        <f>IF(ISERROR(HLOOKUP(DG$7,'Debt Amort'!$F$14:$NA$19,5,FALSE)),0,HLOOKUP(DG$7,'Debt Amort'!$F$14:$NA$19,5,FALSE))</f>
        <v>17172.621442714102</v>
      </c>
      <c r="DH44" s="1">
        <f>IF(ISERROR(HLOOKUP(DH$7,'Debt Amort'!$F$14:$NA$19,5,FALSE)),0,HLOOKUP(DH$7,'Debt Amort'!$F$14:$NA$19,5,FALSE))</f>
        <v>17118.357855852042</v>
      </c>
      <c r="DI44" s="1">
        <f>IF(ISERROR(HLOOKUP(DI$7,'Debt Amort'!$F$14:$NA$19,5,FALSE)),0,HLOOKUP(DI$7,'Debt Amort'!$F$14:$NA$19,5,FALSE))</f>
        <v>17063.845560883532</v>
      </c>
      <c r="DJ44" s="1">
        <f>IF(ISERROR(HLOOKUP(DJ$7,'Debt Amort'!$F$14:$NA$19,5,FALSE)),0,HLOOKUP(DJ$7,'Debt Amort'!$F$14:$NA$19,5,FALSE))</f>
        <v>17009.083417896411</v>
      </c>
      <c r="DK44" s="1">
        <f>IF(ISERROR(HLOOKUP(DK$7,'Debt Amort'!$F$14:$NA$19,5,FALSE)),0,HLOOKUP(DK$7,'Debt Amort'!$F$14:$NA$19,5,FALSE))</f>
        <v>16954.070281753935</v>
      </c>
      <c r="DL44" s="1">
        <f>IF(ISERROR(HLOOKUP(DL$7,'Debt Amort'!$F$14:$NA$19,5,FALSE)),0,HLOOKUP(DL$7,'Debt Amort'!$F$14:$NA$19,5,FALSE))</f>
        <v>16898.805002070807</v>
      </c>
      <c r="DM44" s="1">
        <f>IF(ISERROR(HLOOKUP(DM$7,'Debt Amort'!$F$14:$NA$19,5,FALSE)),0,HLOOKUP(DM$7,'Debt Amort'!$F$14:$NA$19,5,FALSE))</f>
        <v>16843.286423189129</v>
      </c>
      <c r="DN44" s="1">
        <f>IF(ISERROR(HLOOKUP(DN$7,'Debt Amort'!$F$14:$NA$19,5,FALSE)),0,HLOOKUP(DN$7,'Debt Amort'!$F$14:$NA$19,5,FALSE))</f>
        <v>16787.513384154245</v>
      </c>
      <c r="DO44" s="1">
        <f>IF(ISERROR(HLOOKUP(DO$7,'Debt Amort'!$F$14:$NA$19,5,FALSE)),0,HLOOKUP(DO$7,'Debt Amort'!$F$14:$NA$19,5,FALSE))</f>
        <v>16731.484718690448</v>
      </c>
      <c r="DP44" s="1">
        <f>IF(ISERROR(HLOOKUP(DP$7,'Debt Amort'!$F$14:$NA$19,5,FALSE)),0,HLOOKUP(DP$7,'Debt Amort'!$F$14:$NA$19,5,FALSE))</f>
        <v>16675.199255176612</v>
      </c>
      <c r="DQ44" s="1">
        <f>IF(ISERROR(HLOOKUP(DQ$7,'Debt Amort'!$F$14:$NA$19,5,FALSE)),0,HLOOKUP(DQ$7,'Debt Amort'!$F$14:$NA$19,5,FALSE))</f>
        <v>16618.655816621671</v>
      </c>
      <c r="DR44" s="1">
        <f>IF(ISERROR(HLOOKUP(DR$7,'Debt Amort'!$F$14:$NA$19,5,FALSE)),0,HLOOKUP(DR$7,'Debt Amort'!$F$14:$NA$19,5,FALSE))</f>
        <v>16561.85322064002</v>
      </c>
      <c r="DS44" s="1">
        <f>IF(ISERROR(HLOOKUP(DS$7,'Debt Amort'!$F$14:$NA$19,5,FALSE)),0,HLOOKUP(DS$7,'Debt Amort'!$F$14:$NA$19,5,FALSE))</f>
        <v>16504.790279426783</v>
      </c>
      <c r="DT44" s="1">
        <f>IF(ISERROR(HLOOKUP(DT$7,'Debt Amort'!$F$14:$NA$19,5,FALSE)),0,HLOOKUP(DT$7,'Debt Amort'!$F$14:$NA$19,5,FALSE))</f>
        <v>16447.465799732985</v>
      </c>
      <c r="DU44" s="1">
        <f>IF(ISERROR(HLOOKUP(DU$7,'Debt Amort'!$F$14:$NA$19,5,FALSE)),0,HLOOKUP(DU$7,'Debt Amort'!$F$14:$NA$19,5,FALSE))</f>
        <v>16389.878582840596</v>
      </c>
      <c r="DV44" s="1">
        <f>IF(ISERROR(HLOOKUP(DV$7,'Debt Amort'!$F$14:$NA$19,5,FALSE)),0,HLOOKUP(DV$7,'Debt Amort'!$F$14:$NA$19,5,FALSE))</f>
        <v>16332.027424537448</v>
      </c>
      <c r="DW44" s="1">
        <f>IF(ISERROR(HLOOKUP(DW$7,'Debt Amort'!$F$14:$NA$19,5,FALSE)),0,HLOOKUP(DW$7,'Debt Amort'!$F$14:$NA$19,5,FALSE))</f>
        <v>16273.911115092076</v>
      </c>
      <c r="DX44" s="1">
        <f>IF(ISERROR(HLOOKUP(DX$7,'Debt Amort'!$F$14:$NA$19,5,FALSE)),0,HLOOKUP(DX$7,'Debt Amort'!$F$14:$NA$19,5,FALSE))</f>
        <v>16215.528439228414</v>
      </c>
      <c r="DY44" s="1">
        <f>IF(ISERROR(HLOOKUP(DY$7,'Debt Amort'!$F$14:$NA$19,5,FALSE)),0,HLOOKUP(DY$7,'Debt Amort'!$F$14:$NA$19,5,FALSE))</f>
        <v>16156.878176100377</v>
      </c>
      <c r="DZ44" s="1">
        <f>IF(ISERROR(HLOOKUP(DZ$7,'Debt Amort'!$F$14:$NA$19,5,FALSE)),0,HLOOKUP(DZ$7,'Debt Amort'!$F$14:$NA$19,5,FALSE))</f>
        <v>16097.959099266336</v>
      </c>
      <c r="EA44" s="1">
        <f>IF(ISERROR(HLOOKUP(EA$7,'Debt Amort'!$F$14:$NA$19,5,FALSE)),0,HLOOKUP(EA$7,'Debt Amort'!$F$14:$NA$19,5,FALSE))</f>
        <v>16038.769976663472</v>
      </c>
      <c r="EB44" s="1">
        <f>IF(ISERROR(HLOOKUP(EB$7,'Debt Amort'!$F$14:$NA$19,5,FALSE)),0,HLOOKUP(EB$7,'Debt Amort'!$F$14:$NA$19,5,FALSE))</f>
        <v>15979.309570582011</v>
      </c>
      <c r="EC44" s="1">
        <f>IF(ISERROR(HLOOKUP(EC$7,'Debt Amort'!$F$14:$NA$19,5,FALSE)),0,HLOOKUP(EC$7,'Debt Amort'!$F$14:$NA$19,5,FALSE))</f>
        <v>15919.576637639344</v>
      </c>
      <c r="ED44" s="1">
        <f>IF(ISERROR(HLOOKUP(ED$7,'Debt Amort'!$F$14:$NA$19,5,FALSE)),0,HLOOKUP(ED$7,'Debt Amort'!$F$14:$NA$19,5,FALSE))</f>
        <v>15859.569928754023</v>
      </c>
      <c r="EE44" s="1">
        <f>IF(ISERROR(HLOOKUP(EE$7,'Debt Amort'!$F$14:$NA$19,5,FALSE)),0,HLOOKUP(EE$7,'Debt Amort'!$F$14:$NA$19,5,FALSE))</f>
        <v>15799.288189119645</v>
      </c>
      <c r="EF44" s="1">
        <f>IF(ISERROR(HLOOKUP(EF$7,'Debt Amort'!$F$14:$NA$19,5,FALSE)),0,HLOOKUP(EF$7,'Debt Amort'!$F$14:$NA$19,5,FALSE))</f>
        <v>15738.730158178609</v>
      </c>
      <c r="EG44" s="1">
        <f>IF(ISERROR(HLOOKUP(EG$7,'Debt Amort'!$F$14:$NA$19,5,FALSE)),0,HLOOKUP(EG$7,'Debt Amort'!$F$14:$NA$19,5,FALSE))</f>
        <v>15677.894569595759</v>
      </c>
      <c r="EH44" s="1">
        <f>IF(ISERROR(HLOOKUP(EH$7,'Debt Amort'!$F$14:$NA$19,5,FALSE)),0,HLOOKUP(EH$7,'Debt Amort'!$F$14:$NA$19,5,FALSE))</f>
        <v>15616.780151231906</v>
      </c>
      <c r="EI44" s="1">
        <f>IF(ISERROR(HLOOKUP(EI$7,'Debt Amort'!$F$14:$NA$19,5,FALSE)),0,HLOOKUP(EI$7,'Debt Amort'!$F$14:$NA$19,5,FALSE))</f>
        <v>15555.385625117215</v>
      </c>
      <c r="EJ44" s="1">
        <f>IF(ISERROR(HLOOKUP(EJ$7,'Debt Amort'!$F$14:$NA$19,5,FALSE)),0,HLOOKUP(EJ$7,'Debt Amort'!$F$14:$NA$19,5,FALSE))</f>
        <v>15493.709707424501</v>
      </c>
      <c r="EK44" s="1">
        <f>IF(ISERROR(HLOOKUP(EK$7,'Debt Amort'!$F$14:$NA$19,5,FALSE)),0,HLOOKUP(EK$7,'Debt Amort'!$F$14:$NA$19,5,FALSE))</f>
        <v>15431.751108442362</v>
      </c>
      <c r="EL44" s="1">
        <f>IF(ISERROR(HLOOKUP(EL$7,'Debt Amort'!$F$14:$NA$19,5,FALSE)),0,HLOOKUP(EL$7,'Debt Amort'!$F$14:$NA$19,5,FALSE))</f>
        <v>15369.508532548221</v>
      </c>
      <c r="EM44" s="1">
        <f>IF(ISERROR(HLOOKUP(EM$7,'Debt Amort'!$F$14:$NA$19,5,FALSE)),0,HLOOKUP(EM$7,'Debt Amort'!$F$14:$NA$19,5,FALSE))</f>
        <v>15306.980678181233</v>
      </c>
      <c r="EN44" s="1">
        <f>IF(ISERROR(HLOOKUP(EN$7,'Debt Amort'!$F$14:$NA$19,5,FALSE)),0,HLOOKUP(EN$7,'Debt Amort'!$F$14:$NA$19,5,FALSE))</f>
        <v>15244.166237815061</v>
      </c>
      <c r="EO44" s="1">
        <f>IF(ISERROR(HLOOKUP(EO$7,'Debt Amort'!$F$14:$NA$19,5,FALSE)),0,HLOOKUP(EO$7,'Debt Amort'!$F$14:$NA$19,5,FALSE))</f>
        <v>15181.063897930546</v>
      </c>
      <c r="EP44" s="1">
        <f>IF(ISERROR(HLOOKUP(EP$7,'Debt Amort'!$F$14:$NA$19,5,FALSE)),0,HLOOKUP(EP$7,'Debt Amort'!$F$14:$NA$19,5,FALSE))</f>
        <v>15117.672338988226</v>
      </c>
      <c r="EQ44" s="1">
        <f>IF(ISERROR(HLOOKUP(EQ$7,'Debt Amort'!$F$14:$NA$19,5,FALSE)),0,HLOOKUP(EQ$7,'Debt Amort'!$F$14:$NA$19,5,FALSE))</f>
        <v>15053.990235400754</v>
      </c>
      <c r="ER44" s="1">
        <f>IF(ISERROR(HLOOKUP(ER$7,'Debt Amort'!$F$14:$NA$19,5,FALSE)),0,HLOOKUP(ER$7,'Debt Amort'!$F$14:$NA$19,5,FALSE))</f>
        <v>14990.016255505172</v>
      </c>
      <c r="ES44" s="1">
        <f>IF(ISERROR(HLOOKUP(ES$7,'Debt Amort'!$F$14:$NA$19,5,FALSE)),0,HLOOKUP(ES$7,'Debt Amort'!$F$14:$NA$19,5,FALSE))</f>
        <v>14925.749061535069</v>
      </c>
      <c r="ET44" s="1">
        <f>IF(ISERROR(HLOOKUP(ET$7,'Debt Amort'!$F$14:$NA$19,5,FALSE)),0,HLOOKUP(ET$7,'Debt Amort'!$F$14:$NA$19,5,FALSE))</f>
        <v>14861.187309592604</v>
      </c>
      <c r="EU44" s="1">
        <f>IF(ISERROR(HLOOKUP(EU$7,'Debt Amort'!$F$14:$NA$19,5,FALSE)),0,HLOOKUP(EU$7,'Debt Amort'!$F$14:$NA$19,5,FALSE))</f>
        <v>14796.329649620402</v>
      </c>
      <c r="EV44" s="1">
        <f>IF(ISERROR(HLOOKUP(EV$7,'Debt Amort'!$F$14:$NA$19,5,FALSE)),0,HLOOKUP(EV$7,'Debt Amort'!$F$14:$NA$19,5,FALSE))</f>
        <v>14731.174725373327</v>
      </c>
      <c r="EW44" s="1">
        <f>IF(ISERROR(HLOOKUP(EW$7,'Debt Amort'!$F$14:$NA$19,5,FALSE)),0,HLOOKUP(EW$7,'Debt Amort'!$F$14:$NA$19,5,FALSE))</f>
        <v>14665.721174390119</v>
      </c>
      <c r="EX44" s="1">
        <f>IF(ISERROR(HLOOKUP(EX$7,'Debt Amort'!$F$14:$NA$19,5,FALSE)),0,HLOOKUP(EX$7,'Debt Amort'!$F$14:$NA$19,5,FALSE))</f>
        <v>14599.967627964905</v>
      </c>
      <c r="EY44" s="1">
        <f>IF(ISERROR(HLOOKUP(EY$7,'Debt Amort'!$F$14:$NA$19,5,FALSE)),0,HLOOKUP(EY$7,'Debt Amort'!$F$14:$NA$19,5,FALSE))</f>
        <v>14533.912711118577</v>
      </c>
      <c r="EZ44" s="1">
        <f>IF(ISERROR(HLOOKUP(EZ$7,'Debt Amort'!$F$14:$NA$19,5,FALSE)),0,HLOOKUP(EZ$7,'Debt Amort'!$F$14:$NA$19,5,FALSE))</f>
        <v>14467.555042570035</v>
      </c>
      <c r="FA44" s="1">
        <f>IF(ISERROR(HLOOKUP(FA$7,'Debt Amort'!$F$14:$NA$19,5,FALSE)),0,HLOOKUP(FA$7,'Debt Amort'!$F$14:$NA$19,5,FALSE))</f>
        <v>14400.893234707311</v>
      </c>
      <c r="FB44" s="1">
        <f>IF(ISERROR(HLOOKUP(FB$7,'Debt Amort'!$F$14:$NA$19,5,FALSE)),0,HLOOKUP(FB$7,'Debt Amort'!$F$14:$NA$19,5,FALSE))</f>
        <v>14333.925893558553</v>
      </c>
      <c r="FC44" s="1">
        <f>IF(ISERROR(HLOOKUP(FC$7,'Debt Amort'!$F$14:$NA$19,5,FALSE)),0,HLOOKUP(FC$7,'Debt Amort'!$F$14:$NA$19,5,FALSE))</f>
        <v>14266.651618762862</v>
      </c>
      <c r="FD44" s="1">
        <f>IF(ISERROR(HLOOKUP(FD$7,'Debt Amort'!$F$14:$NA$19,5,FALSE)),0,HLOOKUP(FD$7,'Debt Amort'!$F$14:$NA$19,5,FALSE))</f>
        <v>14199.069003541024</v>
      </c>
      <c r="FE44" s="1">
        <f>IF(ISERROR(HLOOKUP(FE$7,'Debt Amort'!$F$14:$NA$19,5,FALSE)),0,HLOOKUP(FE$7,'Debt Amort'!$F$14:$NA$19,5,FALSE))</f>
        <v>14131.176634666086</v>
      </c>
      <c r="FF44" s="1">
        <f>IF(ISERROR(HLOOKUP(FF$7,'Debt Amort'!$F$14:$NA$19,5,FALSE)),0,HLOOKUP(FF$7,'Debt Amort'!$F$14:$NA$19,5,FALSE))</f>
        <v>14062.973092433804</v>
      </c>
      <c r="FG44" s="1">
        <f>IF(ISERROR(HLOOKUP(FG$7,'Debt Amort'!$F$14:$NA$19,5,FALSE)),0,HLOOKUP(FG$7,'Debt Amort'!$F$14:$NA$19,5,FALSE))</f>
        <v>13994.456950632959</v>
      </c>
      <c r="FH44" s="1">
        <f>IF(ISERROR(HLOOKUP(FH$7,'Debt Amort'!$F$14:$NA$19,5,FALSE)),0,HLOOKUP(FH$7,'Debt Amort'!$F$14:$NA$19,5,FALSE))</f>
        <v>13925.626776515524</v>
      </c>
      <c r="FI44" s="1">
        <f>IF(ISERROR(HLOOKUP(FI$7,'Debt Amort'!$F$14:$NA$19,5,FALSE)),0,HLOOKUP(FI$7,'Debt Amort'!$F$14:$NA$19,5,FALSE))</f>
        <v>13856.481130766719</v>
      </c>
      <c r="FJ44" s="1">
        <f>IF(ISERROR(HLOOKUP(FJ$7,'Debt Amort'!$F$14:$NA$19,5,FALSE)),0,HLOOKUP(FJ$7,'Debt Amort'!$F$14:$NA$19,5,FALSE))</f>
        <v>13787.018567474897</v>
      </c>
      <c r="FK44" s="1">
        <f>IF(ISERROR(HLOOKUP(FK$7,'Debt Amort'!$F$14:$NA$19,5,FALSE)),0,HLOOKUP(FK$7,'Debt Amort'!$F$14:$NA$19,5,FALSE))</f>
        <v>13717.237634101324</v>
      </c>
      <c r="FL44" s="1">
        <f>IF(ISERROR(HLOOKUP(FL$7,'Debt Amort'!$F$14:$NA$19,5,FALSE)),0,HLOOKUP(FL$7,'Debt Amort'!$F$14:$NA$19,5,FALSE))</f>
        <v>13647.136871449788</v>
      </c>
      <c r="FM44" s="1">
        <f>IF(ISERROR(HLOOKUP(FM$7,'Debt Amort'!$F$14:$NA$19,5,FALSE)),0,HLOOKUP(FM$7,'Debt Amort'!$F$14:$NA$19,5,FALSE))</f>
        <v>13576.714813636097</v>
      </c>
      <c r="FN44" s="1">
        <f>IF(ISERROR(HLOOKUP(FN$7,'Debt Amort'!$F$14:$NA$19,5,FALSE)),0,HLOOKUP(FN$7,'Debt Amort'!$F$14:$NA$19,5,FALSE))</f>
        <v>13505.969988057428</v>
      </c>
      <c r="FO44" s="1">
        <f>IF(ISERROR(HLOOKUP(FO$7,'Debt Amort'!$F$14:$NA$19,5,FALSE)),0,HLOOKUP(FO$7,'Debt Amort'!$F$14:$NA$19,5,FALSE))</f>
        <v>13434.900915361522</v>
      </c>
      <c r="FP44" s="1">
        <f>IF(ISERROR(HLOOKUP(FP$7,'Debt Amort'!$F$14:$NA$19,5,FALSE)),0,HLOOKUP(FP$7,'Debt Amort'!$F$14:$NA$19,5,FALSE))</f>
        <v>13363.506109415763</v>
      </c>
      <c r="FQ44" s="1">
        <f>IF(ISERROR(HLOOKUP(FQ$7,'Debt Amort'!$F$14:$NA$19,5,FALSE)),0,HLOOKUP(FQ$7,'Debt Amort'!$F$14:$NA$19,5,FALSE))</f>
        <v>13291.784077276083</v>
      </c>
      <c r="FR44" s="1">
        <f>IF(ISERROR(HLOOKUP(FR$7,'Debt Amort'!$F$14:$NA$19,5,FALSE)),0,HLOOKUP(FR$7,'Debt Amort'!$F$14:$NA$19,5,FALSE))</f>
        <v>13219.733319155763</v>
      </c>
      <c r="FS44" s="1">
        <f>IF(ISERROR(HLOOKUP(FS$7,'Debt Amort'!$F$14:$NA$19,5,FALSE)),0,HLOOKUP(FS$7,'Debt Amort'!$F$14:$NA$19,5,FALSE))</f>
        <v>13147.352328394059</v>
      </c>
      <c r="FT44" s="1">
        <f>IF(ISERROR(HLOOKUP(FT$7,'Debt Amort'!$F$14:$NA$19,5,FALSE)),0,HLOOKUP(FT$7,'Debt Amort'!$F$14:$NA$19,5,FALSE))</f>
        <v>13074.639591424697</v>
      </c>
      <c r="FU44" s="1">
        <f>IF(ISERROR(HLOOKUP(FU$7,'Debt Amort'!$F$14:$NA$19,5,FALSE)),0,HLOOKUP(FU$7,'Debt Amort'!$F$14:$NA$19,5,FALSE))</f>
        <v>13001.593587744226</v>
      </c>
      <c r="FV44" s="1">
        <f>IF(ISERROR(HLOOKUP(FV$7,'Debt Amort'!$F$14:$NA$19,5,FALSE)),0,HLOOKUP(FV$7,'Debt Amort'!$F$14:$NA$19,5,FALSE))</f>
        <v>12928.212789880217</v>
      </c>
      <c r="FW44" s="1">
        <f>IF(ISERROR(HLOOKUP(FW$7,'Debt Amort'!$F$14:$NA$19,5,FALSE)),0,HLOOKUP(FW$7,'Debt Amort'!$F$14:$NA$19,5,FALSE))</f>
        <v>12854.495663359334</v>
      </c>
      <c r="FX44" s="1">
        <f>IF(ISERROR(HLOOKUP(FX$7,'Debt Amort'!$F$14:$NA$19,5,FALSE)),0,HLOOKUP(FX$7,'Debt Amort'!$F$14:$NA$19,5,FALSE))</f>
        <v>12780.440666675229</v>
      </c>
      <c r="FY44" s="1">
        <f>IF(ISERROR(HLOOKUP(FY$7,'Debt Amort'!$F$14:$NA$19,5,FALSE)),0,HLOOKUP(FY$7,'Debt Amort'!$F$14:$NA$19,5,FALSE))</f>
        <v>12706.046251256323</v>
      </c>
      <c r="FZ44" s="1">
        <f>IF(ISERROR(HLOOKUP(FZ$7,'Debt Amort'!$F$14:$NA$19,5,FALSE)),0,HLOOKUP(FZ$7,'Debt Amort'!$F$14:$NA$19,5,FALSE))</f>
        <v>12631.310861433412</v>
      </c>
      <c r="GA44" s="1">
        <f>IF(ISERROR(HLOOKUP(GA$7,'Debt Amort'!$F$14:$NA$19,5,FALSE)),0,HLOOKUP(GA$7,'Debt Amort'!$F$14:$NA$19,5,FALSE))</f>
        <v>12556.232934407148</v>
      </c>
      <c r="GB44" s="1">
        <f>IF(ISERROR(HLOOKUP(GB$7,'Debt Amort'!$F$14:$NA$19,5,FALSE)),0,HLOOKUP(GB$7,'Debt Amort'!$F$14:$NA$19,5,FALSE))</f>
        <v>12480.810900215345</v>
      </c>
      <c r="GC44" s="1">
        <f>IF(ISERROR(HLOOKUP(GC$7,'Debt Amort'!$F$14:$NA$19,5,FALSE)),0,HLOOKUP(GC$7,'Debt Amort'!$F$14:$NA$19,5,FALSE))</f>
        <v>12405.043181700164</v>
      </c>
      <c r="GD44" s="1">
        <f>IF(ISERROR(HLOOKUP(GD$7,'Debt Amort'!$F$14:$NA$19,5,FALSE)),0,HLOOKUP(GD$7,'Debt Amort'!$F$14:$NA$19,5,FALSE))</f>
        <v>12328.928194475122</v>
      </c>
      <c r="GE44" s="1">
        <f>IF(ISERROR(HLOOKUP(GE$7,'Debt Amort'!$F$14:$NA$19,5,FALSE)),0,HLOOKUP(GE$7,'Debt Amort'!$F$14:$NA$19,5,FALSE))</f>
        <v>0</v>
      </c>
      <c r="GF44" s="1">
        <f>IF(ISERROR(HLOOKUP(GF$7,'Debt Amort'!$F$14:$NA$19,5,FALSE)),0,HLOOKUP(GF$7,'Debt Amort'!$F$14:$NA$19,5,FALSE))</f>
        <v>0</v>
      </c>
      <c r="GG44" s="1">
        <f>IF(ISERROR(HLOOKUP(GG$7,'Debt Amort'!$F$14:$NA$19,5,FALSE)),0,HLOOKUP(GG$7,'Debt Amort'!$F$14:$NA$19,5,FALSE))</f>
        <v>0</v>
      </c>
      <c r="GH44" s="1">
        <f>IF(ISERROR(HLOOKUP(GH$7,'Debt Amort'!$F$14:$NA$19,5,FALSE)),0,HLOOKUP(GH$7,'Debt Amort'!$F$14:$NA$19,5,FALSE))</f>
        <v>0</v>
      </c>
      <c r="GI44" s="1">
        <f>IF(ISERROR(HLOOKUP(GI$7,'Debt Amort'!$F$14:$NA$19,5,FALSE)),0,HLOOKUP(GI$7,'Debt Amort'!$F$14:$NA$19,5,FALSE))</f>
        <v>0</v>
      </c>
      <c r="GJ44" s="1">
        <f>IF(ISERROR(HLOOKUP(GJ$7,'Debt Amort'!$F$14:$NA$19,5,FALSE)),0,HLOOKUP(GJ$7,'Debt Amort'!$F$14:$NA$19,5,FALSE))</f>
        <v>0</v>
      </c>
      <c r="GK44" s="1">
        <f>IF(ISERROR(HLOOKUP(GK$7,'Debt Amort'!$F$14:$NA$19,5,FALSE)),0,HLOOKUP(GK$7,'Debt Amort'!$F$14:$NA$19,5,FALSE))</f>
        <v>0</v>
      </c>
      <c r="GL44" s="1">
        <f>IF(ISERROR(HLOOKUP(GL$7,'Debt Amort'!$F$14:$NA$19,5,FALSE)),0,HLOOKUP(GL$7,'Debt Amort'!$F$14:$NA$19,5,FALSE))</f>
        <v>0</v>
      </c>
      <c r="GM44" s="1">
        <f>IF(ISERROR(HLOOKUP(GM$7,'Debt Amort'!$F$14:$NA$19,5,FALSE)),0,HLOOKUP(GM$7,'Debt Amort'!$F$14:$NA$19,5,FALSE))</f>
        <v>0</v>
      </c>
      <c r="GN44" s="1">
        <f>IF(ISERROR(HLOOKUP(GN$7,'Debt Amort'!$F$14:$NA$19,5,FALSE)),0,HLOOKUP(GN$7,'Debt Amort'!$F$14:$NA$19,5,FALSE))</f>
        <v>0</v>
      </c>
      <c r="GO44" s="1">
        <f>IF(ISERROR(HLOOKUP(GO$7,'Debt Amort'!$F$14:$NA$19,5,FALSE)),0,HLOOKUP(GO$7,'Debt Amort'!$F$14:$NA$19,5,FALSE))</f>
        <v>0</v>
      </c>
      <c r="GP44" s="1">
        <f>IF(ISERROR(HLOOKUP(GP$7,'Debt Amort'!$F$14:$NA$19,5,FALSE)),0,HLOOKUP(GP$7,'Debt Amort'!$F$14:$NA$19,5,FALSE))</f>
        <v>0</v>
      </c>
      <c r="GQ44" s="1">
        <f>IF(ISERROR(HLOOKUP(GQ$7,'Debt Amort'!$F$14:$NA$19,5,FALSE)),0,HLOOKUP(GQ$7,'Debt Amort'!$F$14:$NA$19,5,FALSE))</f>
        <v>0</v>
      </c>
      <c r="GR44" s="1">
        <f>IF(ISERROR(HLOOKUP(GR$7,'Debt Amort'!$F$14:$NA$19,5,FALSE)),0,HLOOKUP(GR$7,'Debt Amort'!$F$14:$NA$19,5,FALSE))</f>
        <v>0</v>
      </c>
      <c r="GS44" s="1">
        <f>IF(ISERROR(HLOOKUP(GS$7,'Debt Amort'!$F$14:$NA$19,5,FALSE)),0,HLOOKUP(GS$7,'Debt Amort'!$F$14:$NA$19,5,FALSE))</f>
        <v>0</v>
      </c>
      <c r="GT44" s="1">
        <f>IF(ISERROR(HLOOKUP(GT$7,'Debt Amort'!$F$14:$NA$19,5,FALSE)),0,HLOOKUP(GT$7,'Debt Amort'!$F$14:$NA$19,5,FALSE))</f>
        <v>0</v>
      </c>
      <c r="GU44" s="1">
        <f>IF(ISERROR(HLOOKUP(GU$7,'Debt Amort'!$F$14:$NA$19,5,FALSE)),0,HLOOKUP(GU$7,'Debt Amort'!$F$14:$NA$19,5,FALSE))</f>
        <v>0</v>
      </c>
      <c r="GV44" s="1">
        <f>IF(ISERROR(HLOOKUP(GV$7,'Debt Amort'!$F$14:$NA$19,5,FALSE)),0,HLOOKUP(GV$7,'Debt Amort'!$F$14:$NA$19,5,FALSE))</f>
        <v>0</v>
      </c>
      <c r="GW44" s="1">
        <f>IF(ISERROR(HLOOKUP(GW$7,'Debt Amort'!$F$14:$NA$19,5,FALSE)),0,HLOOKUP(GW$7,'Debt Amort'!$F$14:$NA$19,5,FALSE))</f>
        <v>0</v>
      </c>
      <c r="GX44" s="1">
        <f>IF(ISERROR(HLOOKUP(GX$7,'Debt Amort'!$F$14:$NA$19,5,FALSE)),0,HLOOKUP(GX$7,'Debt Amort'!$F$14:$NA$19,5,FALSE))</f>
        <v>0</v>
      </c>
      <c r="GY44" s="1">
        <f>IF(ISERROR(HLOOKUP(GY$7,'Debt Amort'!$F$14:$NA$19,5,FALSE)),0,HLOOKUP(GY$7,'Debt Amort'!$F$14:$NA$19,5,FALSE))</f>
        <v>0</v>
      </c>
      <c r="GZ44" s="1">
        <f>IF(ISERROR(HLOOKUP(GZ$7,'Debt Amort'!$F$14:$NA$19,5,FALSE)),0,HLOOKUP(GZ$7,'Debt Amort'!$F$14:$NA$19,5,FALSE))</f>
        <v>0</v>
      </c>
      <c r="HA44" s="1">
        <f>IF(ISERROR(HLOOKUP(HA$7,'Debt Amort'!$F$14:$NA$19,5,FALSE)),0,HLOOKUP(HA$7,'Debt Amort'!$F$14:$NA$19,5,FALSE))</f>
        <v>0</v>
      </c>
      <c r="HB44" s="1">
        <f>IF(ISERROR(HLOOKUP(HB$7,'Debt Amort'!$F$14:$NA$19,5,FALSE)),0,HLOOKUP(HB$7,'Debt Amort'!$F$14:$NA$19,5,FALSE))</f>
        <v>0</v>
      </c>
      <c r="HC44" s="1">
        <f>IF(ISERROR(HLOOKUP(HC$7,'Debt Amort'!$F$14:$NA$19,5,FALSE)),0,HLOOKUP(HC$7,'Debt Amort'!$F$14:$NA$19,5,FALSE))</f>
        <v>0</v>
      </c>
      <c r="HD44" s="1">
        <f>IF(ISERROR(HLOOKUP(HD$7,'Debt Amort'!$F$14:$NA$19,5,FALSE)),0,HLOOKUP(HD$7,'Debt Amort'!$F$14:$NA$19,5,FALSE))</f>
        <v>0</v>
      </c>
      <c r="HE44" s="1">
        <f>IF(ISERROR(HLOOKUP(HE$7,'Debt Amort'!$F$14:$NA$19,5,FALSE)),0,HLOOKUP(HE$7,'Debt Amort'!$F$14:$NA$19,5,FALSE))</f>
        <v>0</v>
      </c>
      <c r="HF44" s="1">
        <f>IF(ISERROR(HLOOKUP(HF$7,'Debt Amort'!$F$14:$NA$19,5,FALSE)),0,HLOOKUP(HF$7,'Debt Amort'!$F$14:$NA$19,5,FALSE))</f>
        <v>0</v>
      </c>
      <c r="HG44" s="1">
        <f>IF(ISERROR(HLOOKUP(HG$7,'Debt Amort'!$F$14:$NA$19,5,FALSE)),0,HLOOKUP(HG$7,'Debt Amort'!$F$14:$NA$19,5,FALSE))</f>
        <v>0</v>
      </c>
      <c r="HH44" s="1">
        <f>IF(ISERROR(HLOOKUP(HH$7,'Debt Amort'!$F$14:$NA$19,5,FALSE)),0,HLOOKUP(HH$7,'Debt Amort'!$F$14:$NA$19,5,FALSE))</f>
        <v>0</v>
      </c>
      <c r="HI44" s="1">
        <f>IF(ISERROR(HLOOKUP(HI$7,'Debt Amort'!$F$14:$NA$19,5,FALSE)),0,HLOOKUP(HI$7,'Debt Amort'!$F$14:$NA$19,5,FALSE))</f>
        <v>0</v>
      </c>
      <c r="HJ44" s="1">
        <f>IF(ISERROR(HLOOKUP(HJ$7,'Debt Amort'!$F$14:$NA$19,5,FALSE)),0,HLOOKUP(HJ$7,'Debt Amort'!$F$14:$NA$19,5,FALSE))</f>
        <v>0</v>
      </c>
      <c r="HK44" s="1">
        <f>IF(ISERROR(HLOOKUP(HK$7,'Debt Amort'!$F$14:$NA$19,5,FALSE)),0,HLOOKUP(HK$7,'Debt Amort'!$F$14:$NA$19,5,FALSE))</f>
        <v>0</v>
      </c>
      <c r="HL44" s="1">
        <f>IF(ISERROR(HLOOKUP(HL$7,'Debt Amort'!$F$14:$NA$19,5,FALSE)),0,HLOOKUP(HL$7,'Debt Amort'!$F$14:$NA$19,5,FALSE))</f>
        <v>0</v>
      </c>
      <c r="HM44" s="1">
        <f>IF(ISERROR(HLOOKUP(HM$7,'Debt Amort'!$F$14:$NA$19,5,FALSE)),0,HLOOKUP(HM$7,'Debt Amort'!$F$14:$NA$19,5,FALSE))</f>
        <v>0</v>
      </c>
      <c r="HN44" s="1">
        <f>IF(ISERROR(HLOOKUP(HN$7,'Debt Amort'!$F$14:$NA$19,5,FALSE)),0,HLOOKUP(HN$7,'Debt Amort'!$F$14:$NA$19,5,FALSE))</f>
        <v>0</v>
      </c>
      <c r="HO44" s="1">
        <f>IF(ISERROR(HLOOKUP(HO$7,'Debt Amort'!$F$14:$NA$19,5,FALSE)),0,HLOOKUP(HO$7,'Debt Amort'!$F$14:$NA$19,5,FALSE))</f>
        <v>0</v>
      </c>
      <c r="HP44" s="1">
        <f>IF(ISERROR(HLOOKUP(HP$7,'Debt Amort'!$F$14:$NA$19,5,FALSE)),0,HLOOKUP(HP$7,'Debt Amort'!$F$14:$NA$19,5,FALSE))</f>
        <v>0</v>
      </c>
      <c r="HQ44" s="1">
        <f>IF(ISERROR(HLOOKUP(HQ$7,'Debt Amort'!$F$14:$NA$19,5,FALSE)),0,HLOOKUP(HQ$7,'Debt Amort'!$F$14:$NA$19,5,FALSE))</f>
        <v>0</v>
      </c>
      <c r="HR44" s="1">
        <f>IF(ISERROR(HLOOKUP(HR$7,'Debt Amort'!$F$14:$NA$19,5,FALSE)),0,HLOOKUP(HR$7,'Debt Amort'!$F$14:$NA$19,5,FALSE))</f>
        <v>0</v>
      </c>
      <c r="HS44" s="1">
        <f>IF(ISERROR(HLOOKUP(HS$7,'Debt Amort'!$F$14:$NA$19,5,FALSE)),0,HLOOKUP(HS$7,'Debt Amort'!$F$14:$NA$19,5,FALSE))</f>
        <v>0</v>
      </c>
      <c r="HT44" s="1">
        <f>IF(ISERROR(HLOOKUP(HT$7,'Debt Amort'!$F$14:$NA$19,5,FALSE)),0,HLOOKUP(HT$7,'Debt Amort'!$F$14:$NA$19,5,FALSE))</f>
        <v>0</v>
      </c>
      <c r="HU44" s="1">
        <f>IF(ISERROR(HLOOKUP(HU$7,'Debt Amort'!$F$14:$NA$19,5,FALSE)),0,HLOOKUP(HU$7,'Debt Amort'!$F$14:$NA$19,5,FALSE))</f>
        <v>0</v>
      </c>
      <c r="HV44" s="1">
        <f>IF(ISERROR(HLOOKUP(HV$7,'Debt Amort'!$F$14:$NA$19,5,FALSE)),0,HLOOKUP(HV$7,'Debt Amort'!$F$14:$NA$19,5,FALSE))</f>
        <v>0</v>
      </c>
      <c r="HW44" s="1">
        <f>IF(ISERROR(HLOOKUP(HW$7,'Debt Amort'!$F$14:$NA$19,5,FALSE)),0,HLOOKUP(HW$7,'Debt Amort'!$F$14:$NA$19,5,FALSE))</f>
        <v>0</v>
      </c>
      <c r="HX44" s="1">
        <f>IF(ISERROR(HLOOKUP(HX$7,'Debt Amort'!$F$14:$NA$19,5,FALSE)),0,HLOOKUP(HX$7,'Debt Amort'!$F$14:$NA$19,5,FALSE))</f>
        <v>0</v>
      </c>
      <c r="HY44" s="1">
        <f>IF(ISERROR(HLOOKUP(HY$7,'Debt Amort'!$F$14:$NA$19,5,FALSE)),0,HLOOKUP(HY$7,'Debt Amort'!$F$14:$NA$19,5,FALSE))</f>
        <v>0</v>
      </c>
      <c r="HZ44" s="1">
        <f>IF(ISERROR(HLOOKUP(HZ$7,'Debt Amort'!$F$14:$NA$19,5,FALSE)),0,HLOOKUP(HZ$7,'Debt Amort'!$F$14:$NA$19,5,FALSE))</f>
        <v>0</v>
      </c>
      <c r="IA44" s="1">
        <f>IF(ISERROR(HLOOKUP(IA$7,'Debt Amort'!$F$14:$NA$19,5,FALSE)),0,HLOOKUP(IA$7,'Debt Amort'!$F$14:$NA$19,5,FALSE))</f>
        <v>0</v>
      </c>
      <c r="IB44" s="1">
        <f>IF(ISERROR(HLOOKUP(IB$7,'Debt Amort'!$F$14:$NA$19,5,FALSE)),0,HLOOKUP(IB$7,'Debt Amort'!$F$14:$NA$19,5,FALSE))</f>
        <v>0</v>
      </c>
      <c r="IC44" s="1">
        <f>IF(ISERROR(HLOOKUP(IC$7,'Debt Amort'!$F$14:$NA$19,5,FALSE)),0,HLOOKUP(IC$7,'Debt Amort'!$F$14:$NA$19,5,FALSE))</f>
        <v>0</v>
      </c>
      <c r="ID44" s="1">
        <f>IF(ISERROR(HLOOKUP(ID$7,'Debt Amort'!$F$14:$NA$19,5,FALSE)),0,HLOOKUP(ID$7,'Debt Amort'!$F$14:$NA$19,5,FALSE))</f>
        <v>0</v>
      </c>
      <c r="IE44" s="1">
        <f>IF(ISERROR(HLOOKUP(IE$7,'Debt Amort'!$F$14:$NA$19,5,FALSE)),0,HLOOKUP(IE$7,'Debt Amort'!$F$14:$NA$19,5,FALSE))</f>
        <v>0</v>
      </c>
      <c r="IF44" s="1">
        <f>IF(ISERROR(HLOOKUP(IF$7,'Debt Amort'!$F$14:$NA$19,5,FALSE)),0,HLOOKUP(IF$7,'Debt Amort'!$F$14:$NA$19,5,FALSE))</f>
        <v>0</v>
      </c>
      <c r="IG44" s="1">
        <f>IF(ISERROR(HLOOKUP(IG$7,'Debt Amort'!$F$14:$NA$19,5,FALSE)),0,HLOOKUP(IG$7,'Debt Amort'!$F$14:$NA$19,5,FALSE))</f>
        <v>0</v>
      </c>
      <c r="IH44" s="1">
        <f>IF(ISERROR(HLOOKUP(IH$7,'Debt Amort'!$F$14:$NA$19,5,FALSE)),0,HLOOKUP(IH$7,'Debt Amort'!$F$14:$NA$19,5,FALSE))</f>
        <v>0</v>
      </c>
      <c r="II44" s="1">
        <f>IF(ISERROR(HLOOKUP(II$7,'Debt Amort'!$F$14:$NA$19,5,FALSE)),0,HLOOKUP(II$7,'Debt Amort'!$F$14:$NA$19,5,FALSE))</f>
        <v>0</v>
      </c>
      <c r="IJ44" s="1">
        <f>IF(ISERROR(HLOOKUP(IJ$7,'Debt Amort'!$F$14:$NA$19,5,FALSE)),0,HLOOKUP(IJ$7,'Debt Amort'!$F$14:$NA$19,5,FALSE))</f>
        <v>0</v>
      </c>
      <c r="IK44" s="1">
        <f>IF(ISERROR(HLOOKUP(IK$7,'Debt Amort'!$F$14:$NA$19,5,FALSE)),0,HLOOKUP(IK$7,'Debt Amort'!$F$14:$NA$19,5,FALSE))</f>
        <v>0</v>
      </c>
      <c r="IL44" s="1">
        <f>IF(ISERROR(HLOOKUP(IL$7,'Debt Amort'!$F$14:$NA$19,5,FALSE)),0,HLOOKUP(IL$7,'Debt Amort'!$F$14:$NA$19,5,FALSE))</f>
        <v>0</v>
      </c>
      <c r="IM44" s="1">
        <f>IF(ISERROR(HLOOKUP(IM$7,'Debt Amort'!$F$14:$NA$19,5,FALSE)),0,HLOOKUP(IM$7,'Debt Amort'!$F$14:$NA$19,5,FALSE))</f>
        <v>0</v>
      </c>
      <c r="IN44" s="1">
        <f>IF(ISERROR(HLOOKUP(IN$7,'Debt Amort'!$F$14:$NA$19,5,FALSE)),0,HLOOKUP(IN$7,'Debt Amort'!$F$14:$NA$19,5,FALSE))</f>
        <v>0</v>
      </c>
      <c r="IO44" s="1">
        <f>IF(ISERROR(HLOOKUP(IO$7,'Debt Amort'!$F$14:$NA$19,5,FALSE)),0,HLOOKUP(IO$7,'Debt Amort'!$F$14:$NA$19,5,FALSE))</f>
        <v>0</v>
      </c>
      <c r="IP44" s="1">
        <f>IF(ISERROR(HLOOKUP(IP$7,'Debt Amort'!$F$14:$NA$19,5,FALSE)),0,HLOOKUP(IP$7,'Debt Amort'!$F$14:$NA$19,5,FALSE))</f>
        <v>0</v>
      </c>
      <c r="IQ44" s="1">
        <f>IF(ISERROR(HLOOKUP(IQ$7,'Debt Amort'!$F$14:$NA$19,5,FALSE)),0,HLOOKUP(IQ$7,'Debt Amort'!$F$14:$NA$19,5,FALSE))</f>
        <v>0</v>
      </c>
      <c r="IR44" s="1">
        <f>IF(ISERROR(HLOOKUP(IR$7,'Debt Amort'!$F$14:$NA$19,5,FALSE)),0,HLOOKUP(IR$7,'Debt Amort'!$F$14:$NA$19,5,FALSE))</f>
        <v>0</v>
      </c>
      <c r="IS44" s="1">
        <f>IF(ISERROR(HLOOKUP(IS$7,'Debt Amort'!$F$14:$NA$19,5,FALSE)),0,HLOOKUP(IS$7,'Debt Amort'!$F$14:$NA$19,5,FALSE))</f>
        <v>0</v>
      </c>
      <c r="IT44" s="1">
        <f>IF(ISERROR(HLOOKUP(IT$7,'Debt Amort'!$F$14:$NA$19,5,FALSE)),0,HLOOKUP(IT$7,'Debt Amort'!$F$14:$NA$19,5,FALSE))</f>
        <v>0</v>
      </c>
      <c r="IU44" s="1">
        <f>IF(ISERROR(HLOOKUP(IU$7,'Debt Amort'!$F$14:$NA$19,5,FALSE)),0,HLOOKUP(IU$7,'Debt Amort'!$F$14:$NA$19,5,FALSE))</f>
        <v>0</v>
      </c>
      <c r="IV44" s="1">
        <f>IF(ISERROR(HLOOKUP(IV$7,'Debt Amort'!$F$14:$NA$19,5,FALSE)),0,HLOOKUP(IV$7,'Debt Amort'!$F$14:$NA$19,5,FALSE))</f>
        <v>0</v>
      </c>
      <c r="IW44" s="1">
        <f>IF(ISERROR(HLOOKUP(IW$7,'Debt Amort'!$F$14:$NA$19,5,FALSE)),0,HLOOKUP(IW$7,'Debt Amort'!$F$14:$NA$19,5,FALSE))</f>
        <v>0</v>
      </c>
      <c r="IX44" s="1">
        <f>IF(ISERROR(HLOOKUP(IX$7,'Debt Amort'!$F$14:$NA$19,5,FALSE)),0,HLOOKUP(IX$7,'Debt Amort'!$F$14:$NA$19,5,FALSE))</f>
        <v>0</v>
      </c>
      <c r="IY44" s="1">
        <f>IF(ISERROR(HLOOKUP(IY$7,'Debt Amort'!$F$14:$NA$19,5,FALSE)),0,HLOOKUP(IY$7,'Debt Amort'!$F$14:$NA$19,5,FALSE))</f>
        <v>0</v>
      </c>
      <c r="IZ44" s="1">
        <f>IF(ISERROR(HLOOKUP(IZ$7,'Debt Amort'!$F$14:$NA$19,5,FALSE)),0,HLOOKUP(IZ$7,'Debt Amort'!$F$14:$NA$19,5,FALSE))</f>
        <v>0</v>
      </c>
      <c r="JA44" s="1">
        <f>IF(ISERROR(HLOOKUP(JA$7,'Debt Amort'!$F$14:$NA$19,5,FALSE)),0,HLOOKUP(JA$7,'Debt Amort'!$F$14:$NA$19,5,FALSE))</f>
        <v>0</v>
      </c>
      <c r="JB44" s="1">
        <f>IF(ISERROR(HLOOKUP(JB$7,'Debt Amort'!$F$14:$NA$19,5,FALSE)),0,HLOOKUP(JB$7,'Debt Amort'!$F$14:$NA$19,5,FALSE))</f>
        <v>0</v>
      </c>
      <c r="JC44" s="1">
        <f>IF(ISERROR(HLOOKUP(JC$7,'Debt Amort'!$F$14:$NA$19,5,FALSE)),0,HLOOKUP(JC$7,'Debt Amort'!$F$14:$NA$19,5,FALSE))</f>
        <v>0</v>
      </c>
      <c r="JD44" s="1">
        <f>IF(ISERROR(HLOOKUP(JD$7,'Debt Amort'!$F$14:$NA$19,5,FALSE)),0,HLOOKUP(JD$7,'Debt Amort'!$F$14:$NA$19,5,FALSE))</f>
        <v>0</v>
      </c>
      <c r="JE44" s="1">
        <f>IF(ISERROR(HLOOKUP(JE$7,'Debt Amort'!$F$14:$NA$19,5,FALSE)),0,HLOOKUP(JE$7,'Debt Amort'!$F$14:$NA$19,5,FALSE))</f>
        <v>0</v>
      </c>
      <c r="JF44" s="1">
        <f>IF(ISERROR(HLOOKUP(JF$7,'Debt Amort'!$F$14:$NA$19,5,FALSE)),0,HLOOKUP(JF$7,'Debt Amort'!$F$14:$NA$19,5,FALSE))</f>
        <v>0</v>
      </c>
      <c r="JG44" s="1">
        <f>IF(ISERROR(HLOOKUP(JG$7,'Debt Amort'!$F$14:$NA$19,5,FALSE)),0,HLOOKUP(JG$7,'Debt Amort'!$F$14:$NA$19,5,FALSE))</f>
        <v>0</v>
      </c>
      <c r="JH44" s="1">
        <f>IF(ISERROR(HLOOKUP(JH$7,'Debt Amort'!$F$14:$NA$19,5,FALSE)),0,HLOOKUP(JH$7,'Debt Amort'!$F$14:$NA$19,5,FALSE))</f>
        <v>0</v>
      </c>
      <c r="JI44" s="1">
        <f>IF(ISERROR(HLOOKUP(JI$7,'Debt Amort'!$F$14:$NA$19,5,FALSE)),0,HLOOKUP(JI$7,'Debt Amort'!$F$14:$NA$19,5,FALSE))</f>
        <v>0</v>
      </c>
      <c r="JJ44" s="1">
        <f>IF(ISERROR(HLOOKUP(JJ$7,'Debt Amort'!$F$14:$NA$19,5,FALSE)),0,HLOOKUP(JJ$7,'Debt Amort'!$F$14:$NA$19,5,FALSE))</f>
        <v>0</v>
      </c>
      <c r="JK44" s="1">
        <f>IF(ISERROR(HLOOKUP(JK$7,'Debt Amort'!$F$14:$NA$19,5,FALSE)),0,HLOOKUP(JK$7,'Debt Amort'!$F$14:$NA$19,5,FALSE))</f>
        <v>0</v>
      </c>
      <c r="JL44" s="1">
        <f>IF(ISERROR(HLOOKUP(JL$7,'Debt Amort'!$F$14:$NA$19,5,FALSE)),0,HLOOKUP(JL$7,'Debt Amort'!$F$14:$NA$19,5,FALSE))</f>
        <v>0</v>
      </c>
      <c r="JM44" s="1">
        <f>IF(ISERROR(HLOOKUP(JM$7,'Debt Amort'!$F$14:$NA$19,5,FALSE)),0,HLOOKUP(JM$7,'Debt Amort'!$F$14:$NA$19,5,FALSE))</f>
        <v>0</v>
      </c>
      <c r="JN44" s="1">
        <f>IF(ISERROR(HLOOKUP(JN$7,'Debt Amort'!$F$14:$NA$19,5,FALSE)),0,HLOOKUP(JN$7,'Debt Amort'!$F$14:$NA$19,5,FALSE))</f>
        <v>0</v>
      </c>
      <c r="JO44" s="1">
        <f>IF(ISERROR(HLOOKUP(JO$7,'Debt Amort'!$F$14:$NA$19,5,FALSE)),0,HLOOKUP(JO$7,'Debt Amort'!$F$14:$NA$19,5,FALSE))</f>
        <v>0</v>
      </c>
      <c r="JP44" s="1">
        <f>IF(ISERROR(HLOOKUP(JP$7,'Debt Amort'!$F$14:$NA$19,5,FALSE)),0,HLOOKUP(JP$7,'Debt Amort'!$F$14:$NA$19,5,FALSE))</f>
        <v>0</v>
      </c>
      <c r="JQ44" s="1">
        <f>IF(ISERROR(HLOOKUP(JQ$7,'Debt Amort'!$F$14:$NA$19,5,FALSE)),0,HLOOKUP(JQ$7,'Debt Amort'!$F$14:$NA$19,5,FALSE))</f>
        <v>0</v>
      </c>
      <c r="JR44" s="1">
        <f>IF(ISERROR(HLOOKUP(JR$7,'Debt Amort'!$F$14:$NA$19,5,FALSE)),0,HLOOKUP(JR$7,'Debt Amort'!$F$14:$NA$19,5,FALSE))</f>
        <v>0</v>
      </c>
      <c r="JS44" s="1">
        <f>IF(ISERROR(HLOOKUP(JS$7,'Debt Amort'!$F$14:$NA$19,5,FALSE)),0,HLOOKUP(JS$7,'Debt Amort'!$F$14:$NA$19,5,FALSE))</f>
        <v>0</v>
      </c>
      <c r="JT44" s="1">
        <f>IF(ISERROR(HLOOKUP(JT$7,'Debt Amort'!$F$14:$NA$19,5,FALSE)),0,HLOOKUP(JT$7,'Debt Amort'!$F$14:$NA$19,5,FALSE))</f>
        <v>0</v>
      </c>
      <c r="JU44" s="1">
        <f>IF(ISERROR(HLOOKUP(JU$7,'Debt Amort'!$F$14:$NA$19,5,FALSE)),0,HLOOKUP(JU$7,'Debt Amort'!$F$14:$NA$19,5,FALSE))</f>
        <v>0</v>
      </c>
      <c r="JV44" s="1">
        <f>IF(ISERROR(HLOOKUP(JV$7,'Debt Amort'!$F$14:$NA$19,5,FALSE)),0,HLOOKUP(JV$7,'Debt Amort'!$F$14:$NA$19,5,FALSE))</f>
        <v>0</v>
      </c>
      <c r="JW44" s="1">
        <f>IF(ISERROR(HLOOKUP(JW$7,'Debt Amort'!$F$14:$NA$19,5,FALSE)),0,HLOOKUP(JW$7,'Debt Amort'!$F$14:$NA$19,5,FALSE))</f>
        <v>0</v>
      </c>
      <c r="JX44" s="1">
        <f>IF(ISERROR(HLOOKUP(JX$7,'Debt Amort'!$F$14:$NA$19,5,FALSE)),0,HLOOKUP(JX$7,'Debt Amort'!$F$14:$NA$19,5,FALSE))</f>
        <v>0</v>
      </c>
      <c r="JY44" s="1">
        <f>IF(ISERROR(HLOOKUP(JY$7,'Debt Amort'!$F$14:$NA$19,5,FALSE)),0,HLOOKUP(JY$7,'Debt Amort'!$F$14:$NA$19,5,FALSE))</f>
        <v>0</v>
      </c>
      <c r="JZ44" s="1">
        <f>IF(ISERROR(HLOOKUP(JZ$7,'Debt Amort'!$F$14:$NA$19,5,FALSE)),0,HLOOKUP(JZ$7,'Debt Amort'!$F$14:$NA$19,5,FALSE))</f>
        <v>0</v>
      </c>
      <c r="KA44" s="1">
        <f>IF(ISERROR(HLOOKUP(KA$7,'Debt Amort'!$F$14:$NA$19,5,FALSE)),0,HLOOKUP(KA$7,'Debt Amort'!$F$14:$NA$19,5,FALSE))</f>
        <v>0</v>
      </c>
      <c r="KB44" s="1">
        <f>IF(ISERROR(HLOOKUP(KB$7,'Debt Amort'!$F$14:$NA$19,5,FALSE)),0,HLOOKUP(KB$7,'Debt Amort'!$F$14:$NA$19,5,FALSE))</f>
        <v>0</v>
      </c>
      <c r="KC44" s="1">
        <f>IF(ISERROR(HLOOKUP(KC$7,'Debt Amort'!$F$14:$NA$19,5,FALSE)),0,HLOOKUP(KC$7,'Debt Amort'!$F$14:$NA$19,5,FALSE))</f>
        <v>0</v>
      </c>
      <c r="KD44" s="1">
        <f>IF(ISERROR(HLOOKUP(KD$7,'Debt Amort'!$F$14:$NA$19,5,FALSE)),0,HLOOKUP(KD$7,'Debt Amort'!$F$14:$NA$19,5,FALSE))</f>
        <v>0</v>
      </c>
      <c r="KE44" s="1">
        <f>IF(ISERROR(HLOOKUP(KE$7,'Debt Amort'!$F$14:$NA$19,5,FALSE)),0,HLOOKUP(KE$7,'Debt Amort'!$F$14:$NA$19,5,FALSE))</f>
        <v>0</v>
      </c>
      <c r="KF44" s="1">
        <f>IF(ISERROR(HLOOKUP(KF$7,'Debt Amort'!$F$14:$NA$19,5,FALSE)),0,HLOOKUP(KF$7,'Debt Amort'!$F$14:$NA$19,5,FALSE))</f>
        <v>0</v>
      </c>
      <c r="KG44" s="1">
        <f>IF(ISERROR(HLOOKUP(KG$7,'Debt Amort'!$F$14:$NA$19,5,FALSE)),0,HLOOKUP(KG$7,'Debt Amort'!$F$14:$NA$19,5,FALSE))</f>
        <v>0</v>
      </c>
      <c r="KH44" s="1">
        <f>IF(ISERROR(HLOOKUP(KH$7,'Debt Amort'!$F$14:$NA$19,5,FALSE)),0,HLOOKUP(KH$7,'Debt Amort'!$F$14:$NA$19,5,FALSE))</f>
        <v>0</v>
      </c>
      <c r="KI44" s="1">
        <f>IF(ISERROR(HLOOKUP(KI$7,'Debt Amort'!$F$14:$NA$19,5,FALSE)),0,HLOOKUP(KI$7,'Debt Amort'!$F$14:$NA$19,5,FALSE))</f>
        <v>0</v>
      </c>
      <c r="KJ44" s="1">
        <f>IF(ISERROR(HLOOKUP(KJ$7,'Debt Amort'!$F$14:$NA$19,5,FALSE)),0,HLOOKUP(KJ$7,'Debt Amort'!$F$14:$NA$19,5,FALSE))</f>
        <v>0</v>
      </c>
      <c r="KK44" s="1">
        <f>IF(ISERROR(HLOOKUP(KK$7,'Debt Amort'!$F$14:$NA$19,5,FALSE)),0,HLOOKUP(KK$7,'Debt Amort'!$F$14:$NA$19,5,FALSE))</f>
        <v>0</v>
      </c>
      <c r="KL44" s="1">
        <f>IF(ISERROR(HLOOKUP(KL$7,'Debt Amort'!$F$14:$NA$19,5,FALSE)),0,HLOOKUP(KL$7,'Debt Amort'!$F$14:$NA$19,5,FALSE))</f>
        <v>0</v>
      </c>
      <c r="KM44" s="1">
        <f>IF(ISERROR(HLOOKUP(KM$7,'Debt Amort'!$F$14:$NA$19,5,FALSE)),0,HLOOKUP(KM$7,'Debt Amort'!$F$14:$NA$19,5,FALSE))</f>
        <v>0</v>
      </c>
      <c r="KN44" s="1">
        <f>IF(ISERROR(HLOOKUP(KN$7,'Debt Amort'!$F$14:$NA$19,5,FALSE)),0,HLOOKUP(KN$7,'Debt Amort'!$F$14:$NA$19,5,FALSE))</f>
        <v>0</v>
      </c>
      <c r="KO44" s="1">
        <f>IF(ISERROR(HLOOKUP(KO$7,'Debt Amort'!$F$14:$NA$19,5,FALSE)),0,HLOOKUP(KO$7,'Debt Amort'!$F$14:$NA$19,5,FALSE))</f>
        <v>0</v>
      </c>
      <c r="KP44" s="1">
        <f>IF(ISERROR(HLOOKUP(KP$7,'Debt Amort'!$F$14:$NA$19,5,FALSE)),0,HLOOKUP(KP$7,'Debt Amort'!$F$14:$NA$19,5,FALSE))</f>
        <v>0</v>
      </c>
      <c r="KQ44" s="1">
        <f>IF(ISERROR(HLOOKUP(KQ$7,'Debt Amort'!$F$14:$NA$19,5,FALSE)),0,HLOOKUP(KQ$7,'Debt Amort'!$F$14:$NA$19,5,FALSE))</f>
        <v>0</v>
      </c>
      <c r="KR44" s="1">
        <f>IF(ISERROR(HLOOKUP(KR$7,'Debt Amort'!$F$14:$NA$19,5,FALSE)),0,HLOOKUP(KR$7,'Debt Amort'!$F$14:$NA$19,5,FALSE))</f>
        <v>0</v>
      </c>
      <c r="KS44" s="1">
        <f>IF(ISERROR(HLOOKUP(KS$7,'Debt Amort'!$F$14:$NA$19,5,FALSE)),0,HLOOKUP(KS$7,'Debt Amort'!$F$14:$NA$19,5,FALSE))</f>
        <v>0</v>
      </c>
      <c r="KT44" s="1">
        <f>IF(ISERROR(HLOOKUP(KT$7,'Debt Amort'!$F$14:$NA$19,5,FALSE)),0,HLOOKUP(KT$7,'Debt Amort'!$F$14:$NA$19,5,FALSE))</f>
        <v>0</v>
      </c>
      <c r="KU44" s="1">
        <f>IF(ISERROR(HLOOKUP(KU$7,'Debt Amort'!$F$14:$NA$19,5,FALSE)),0,HLOOKUP(KU$7,'Debt Amort'!$F$14:$NA$19,5,FALSE))</f>
        <v>0</v>
      </c>
      <c r="KV44" s="1">
        <f>IF(ISERROR(HLOOKUP(KV$7,'Debt Amort'!$F$14:$NA$19,5,FALSE)),0,HLOOKUP(KV$7,'Debt Amort'!$F$14:$NA$19,5,FALSE))</f>
        <v>0</v>
      </c>
      <c r="KW44" s="1">
        <f>IF(ISERROR(HLOOKUP(KW$7,'Debt Amort'!$F$14:$NA$19,5,FALSE)),0,HLOOKUP(KW$7,'Debt Amort'!$F$14:$NA$19,5,FALSE))</f>
        <v>0</v>
      </c>
      <c r="KX44" s="1">
        <f>IF(ISERROR(HLOOKUP(KX$7,'Debt Amort'!$F$14:$NA$19,5,FALSE)),0,HLOOKUP(KX$7,'Debt Amort'!$F$14:$NA$19,5,FALSE))</f>
        <v>0</v>
      </c>
      <c r="KY44" s="1">
        <f>IF(ISERROR(HLOOKUP(KY$7,'Debt Amort'!$F$14:$NA$19,5,FALSE)),0,HLOOKUP(KY$7,'Debt Amort'!$F$14:$NA$19,5,FALSE))</f>
        <v>0</v>
      </c>
      <c r="KZ44" s="1">
        <f>IF(ISERROR(HLOOKUP(KZ$7,'Debt Amort'!$F$14:$NA$19,5,FALSE)),0,HLOOKUP(KZ$7,'Debt Amort'!$F$14:$NA$19,5,FALSE))</f>
        <v>0</v>
      </c>
      <c r="LA44" s="1">
        <f>IF(ISERROR(HLOOKUP(LA$7,'Debt Amort'!$F$14:$NA$19,5,FALSE)),0,HLOOKUP(LA$7,'Debt Amort'!$F$14:$NA$19,5,FALSE))</f>
        <v>0</v>
      </c>
      <c r="LB44" s="1">
        <f>IF(ISERROR(HLOOKUP(LB$7,'Debt Amort'!$F$14:$NA$19,5,FALSE)),0,HLOOKUP(LB$7,'Debt Amort'!$F$14:$NA$19,5,FALSE))</f>
        <v>0</v>
      </c>
      <c r="LC44" s="1">
        <f>IF(ISERROR(HLOOKUP(LC$7,'Debt Amort'!$F$14:$NA$19,5,FALSE)),0,HLOOKUP(LC$7,'Debt Amort'!$F$14:$NA$19,5,FALSE))</f>
        <v>0</v>
      </c>
      <c r="LD44" s="1">
        <f>IF(ISERROR(HLOOKUP(LD$7,'Debt Amort'!$F$14:$NA$19,5,FALSE)),0,HLOOKUP(LD$7,'Debt Amort'!$F$14:$NA$19,5,FALSE))</f>
        <v>0</v>
      </c>
      <c r="LE44" s="1">
        <f>IF(ISERROR(HLOOKUP(LE$7,'Debt Amort'!$F$14:$NA$19,5,FALSE)),0,HLOOKUP(LE$7,'Debt Amort'!$F$14:$NA$19,5,FALSE))</f>
        <v>0</v>
      </c>
      <c r="LF44" s="1">
        <f>IF(ISERROR(HLOOKUP(LF$7,'Debt Amort'!$F$14:$NA$19,5,FALSE)),0,HLOOKUP(LF$7,'Debt Amort'!$F$14:$NA$19,5,FALSE))</f>
        <v>0</v>
      </c>
      <c r="LG44" s="1">
        <f>IF(ISERROR(HLOOKUP(LG$7,'Debt Amort'!$F$14:$NA$19,5,FALSE)),0,HLOOKUP(LG$7,'Debt Amort'!$F$14:$NA$19,5,FALSE))</f>
        <v>0</v>
      </c>
      <c r="LH44" s="1">
        <f>IF(ISERROR(HLOOKUP(LH$7,'Debt Amort'!$F$14:$NA$19,5,FALSE)),0,HLOOKUP(LH$7,'Debt Amort'!$F$14:$NA$19,5,FALSE))</f>
        <v>0</v>
      </c>
      <c r="LI44" s="1">
        <f>IF(ISERROR(HLOOKUP(LI$7,'Debt Amort'!$F$14:$NA$19,5,FALSE)),0,HLOOKUP(LI$7,'Debt Amort'!$F$14:$NA$19,5,FALSE))</f>
        <v>0</v>
      </c>
      <c r="LJ44" s="1">
        <f>IF(ISERROR(HLOOKUP(LJ$7,'Debt Amort'!$F$14:$NA$19,5,FALSE)),0,HLOOKUP(LJ$7,'Debt Amort'!$F$14:$NA$19,5,FALSE))</f>
        <v>0</v>
      </c>
      <c r="LK44" s="1">
        <f>IF(ISERROR(HLOOKUP(LK$7,'Debt Amort'!$F$14:$NA$19,5,FALSE)),0,HLOOKUP(LK$7,'Debt Amort'!$F$14:$NA$19,5,FALSE))</f>
        <v>0</v>
      </c>
      <c r="LL44" s="1">
        <f>IF(ISERROR(HLOOKUP(LL$7,'Debt Amort'!$F$14:$NA$19,5,FALSE)),0,HLOOKUP(LL$7,'Debt Amort'!$F$14:$NA$19,5,FALSE))</f>
        <v>0</v>
      </c>
      <c r="LM44" s="1">
        <f>IF(ISERROR(HLOOKUP(LM$7,'Debt Amort'!$F$14:$NA$19,5,FALSE)),0,HLOOKUP(LM$7,'Debt Amort'!$F$14:$NA$19,5,FALSE))</f>
        <v>0</v>
      </c>
      <c r="LN44" s="1">
        <f>IF(ISERROR(HLOOKUP(LN$7,'Debt Amort'!$F$14:$NA$19,5,FALSE)),0,HLOOKUP(LN$7,'Debt Amort'!$F$14:$NA$19,5,FALSE))</f>
        <v>0</v>
      </c>
      <c r="LO44" s="1">
        <f>IF(ISERROR(HLOOKUP(LO$7,'Debt Amort'!$F$14:$NA$19,5,FALSE)),0,HLOOKUP(LO$7,'Debt Amort'!$F$14:$NA$19,5,FALSE))</f>
        <v>0</v>
      </c>
      <c r="LP44" s="1">
        <f>IF(ISERROR(HLOOKUP(LP$7,'Debt Amort'!$F$14:$NA$19,5,FALSE)),0,HLOOKUP(LP$7,'Debt Amort'!$F$14:$NA$19,5,FALSE))</f>
        <v>0</v>
      </c>
      <c r="LQ44" s="1">
        <f>IF(ISERROR(HLOOKUP(LQ$7,'Debt Amort'!$F$14:$NA$19,5,FALSE)),0,HLOOKUP(LQ$7,'Debt Amort'!$F$14:$NA$19,5,FALSE))</f>
        <v>0</v>
      </c>
      <c r="LR44" s="1">
        <f>IF(ISERROR(HLOOKUP(LR$7,'Debt Amort'!$F$14:$NA$19,5,FALSE)),0,HLOOKUP(LR$7,'Debt Amort'!$F$14:$NA$19,5,FALSE))</f>
        <v>0</v>
      </c>
      <c r="LS44" s="1">
        <f>IF(ISERROR(HLOOKUP(LS$7,'Debt Amort'!$F$14:$NA$19,5,FALSE)),0,HLOOKUP(LS$7,'Debt Amort'!$F$14:$NA$19,5,FALSE))</f>
        <v>0</v>
      </c>
      <c r="LT44" s="1">
        <f>IF(ISERROR(HLOOKUP(LT$7,'Debt Amort'!$F$14:$NA$19,5,FALSE)),0,HLOOKUP(LT$7,'Debt Amort'!$F$14:$NA$19,5,FALSE))</f>
        <v>0</v>
      </c>
      <c r="LU44" s="1">
        <f>IF(ISERROR(HLOOKUP(LU$7,'Debt Amort'!$F$14:$NA$19,5,FALSE)),0,HLOOKUP(LU$7,'Debt Amort'!$F$14:$NA$19,5,FALSE))</f>
        <v>0</v>
      </c>
      <c r="LV44" s="1">
        <f>IF(ISERROR(HLOOKUP(LV$7,'Debt Amort'!$F$14:$NA$19,5,FALSE)),0,HLOOKUP(LV$7,'Debt Amort'!$F$14:$NA$19,5,FALSE))</f>
        <v>0</v>
      </c>
      <c r="LW44" s="1">
        <f>IF(ISERROR(HLOOKUP(LW$7,'Debt Amort'!$F$14:$NA$19,5,FALSE)),0,HLOOKUP(LW$7,'Debt Amort'!$F$14:$NA$19,5,FALSE))</f>
        <v>0</v>
      </c>
      <c r="LX44" s="1">
        <f>IF(ISERROR(HLOOKUP(LX$7,'Debt Amort'!$F$14:$NA$19,5,FALSE)),0,HLOOKUP(LX$7,'Debt Amort'!$F$14:$NA$19,5,FALSE))</f>
        <v>0</v>
      </c>
      <c r="LY44" s="1">
        <f>IF(ISERROR(HLOOKUP(LY$7,'Debt Amort'!$F$14:$NA$19,5,FALSE)),0,HLOOKUP(LY$7,'Debt Amort'!$F$14:$NA$19,5,FALSE))</f>
        <v>0</v>
      </c>
      <c r="LZ44" s="1">
        <f>IF(ISERROR(HLOOKUP(LZ$7,'Debt Amort'!$F$14:$NA$19,5,FALSE)),0,HLOOKUP(LZ$7,'Debt Amort'!$F$14:$NA$19,5,FALSE))</f>
        <v>0</v>
      </c>
      <c r="MA44" s="1">
        <f>IF(ISERROR(HLOOKUP(MA$7,'Debt Amort'!$F$14:$NA$19,5,FALSE)),0,HLOOKUP(MA$7,'Debt Amort'!$F$14:$NA$19,5,FALSE))</f>
        <v>0</v>
      </c>
      <c r="MB44" s="1">
        <f>IF(ISERROR(HLOOKUP(MB$7,'Debt Amort'!$F$14:$NA$19,5,FALSE)),0,HLOOKUP(MB$7,'Debt Amort'!$F$14:$NA$19,5,FALSE))</f>
        <v>0</v>
      </c>
      <c r="MC44" s="1">
        <f>IF(ISERROR(HLOOKUP(MC$7,'Debt Amort'!$F$14:$NA$19,5,FALSE)),0,HLOOKUP(MC$7,'Debt Amort'!$F$14:$NA$19,5,FALSE))</f>
        <v>0</v>
      </c>
      <c r="MD44" s="1">
        <f>IF(ISERROR(HLOOKUP(MD$7,'Debt Amort'!$F$14:$NA$19,5,FALSE)),0,HLOOKUP(MD$7,'Debt Amort'!$F$14:$NA$19,5,FALSE))</f>
        <v>0</v>
      </c>
      <c r="ME44" s="1">
        <f>IF(ISERROR(HLOOKUP(ME$7,'Debt Amort'!$F$14:$NA$19,5,FALSE)),0,HLOOKUP(ME$7,'Debt Amort'!$F$14:$NA$19,5,FALSE))</f>
        <v>0</v>
      </c>
      <c r="MF44" s="1">
        <f>IF(ISERROR(HLOOKUP(MF$7,'Debt Amort'!$F$14:$NA$19,5,FALSE)),0,HLOOKUP(MF$7,'Debt Amort'!$F$14:$NA$19,5,FALSE))</f>
        <v>0</v>
      </c>
      <c r="MG44" s="1">
        <f>IF(ISERROR(HLOOKUP(MG$7,'Debt Amort'!$F$14:$NA$19,5,FALSE)),0,HLOOKUP(MG$7,'Debt Amort'!$F$14:$NA$19,5,FALSE))</f>
        <v>0</v>
      </c>
      <c r="MH44" s="1">
        <f>IF(ISERROR(HLOOKUP(MH$7,'Debt Amort'!$F$14:$NA$19,5,FALSE)),0,HLOOKUP(MH$7,'Debt Amort'!$F$14:$NA$19,5,FALSE))</f>
        <v>0</v>
      </c>
      <c r="MI44" s="1">
        <f>IF(ISERROR(HLOOKUP(MI$7,'Debt Amort'!$F$14:$NA$19,5,FALSE)),0,HLOOKUP(MI$7,'Debt Amort'!$F$14:$NA$19,5,FALSE))</f>
        <v>0</v>
      </c>
      <c r="MJ44" s="1">
        <f>IF(ISERROR(HLOOKUP(MJ$7,'Debt Amort'!$F$14:$NA$19,5,FALSE)),0,HLOOKUP(MJ$7,'Debt Amort'!$F$14:$NA$19,5,FALSE))</f>
        <v>0</v>
      </c>
      <c r="MK44" s="1">
        <f>IF(ISERROR(HLOOKUP(MK$7,'Debt Amort'!$F$14:$NA$19,5,FALSE)),0,HLOOKUP(MK$7,'Debt Amort'!$F$14:$NA$19,5,FALSE))</f>
        <v>0</v>
      </c>
      <c r="ML44" s="1">
        <f>IF(ISERROR(HLOOKUP(ML$7,'Debt Amort'!$F$14:$NA$19,5,FALSE)),0,HLOOKUP(ML$7,'Debt Amort'!$F$14:$NA$19,5,FALSE))</f>
        <v>0</v>
      </c>
      <c r="MM44" s="1">
        <f>IF(ISERROR(HLOOKUP(MM$7,'Debt Amort'!$F$14:$NA$19,5,FALSE)),0,HLOOKUP(MM$7,'Debt Amort'!$F$14:$NA$19,5,FALSE))</f>
        <v>0</v>
      </c>
      <c r="MN44" s="1">
        <f>IF(ISERROR(HLOOKUP(MN$7,'Debt Amort'!$F$14:$NA$19,5,FALSE)),0,HLOOKUP(MN$7,'Debt Amort'!$F$14:$NA$19,5,FALSE))</f>
        <v>0</v>
      </c>
      <c r="MO44" s="1">
        <f>IF(ISERROR(HLOOKUP(MO$7,'Debt Amort'!$F$14:$NA$19,5,FALSE)),0,HLOOKUP(MO$7,'Debt Amort'!$F$14:$NA$19,5,FALSE))</f>
        <v>0</v>
      </c>
      <c r="MP44" s="1">
        <f>IF(ISERROR(HLOOKUP(MP$7,'Debt Amort'!$F$14:$NA$19,5,FALSE)),0,HLOOKUP(MP$7,'Debt Amort'!$F$14:$NA$19,5,FALSE))</f>
        <v>0</v>
      </c>
      <c r="MQ44" s="1">
        <f>IF(ISERROR(HLOOKUP(MQ$7,'Debt Amort'!$F$14:$NA$19,5,FALSE)),0,HLOOKUP(MQ$7,'Debt Amort'!$F$14:$NA$19,5,FALSE))</f>
        <v>0</v>
      </c>
      <c r="MR44" s="1">
        <f>IF(ISERROR(HLOOKUP(MR$7,'Debt Amort'!$F$14:$NA$19,5,FALSE)),0,HLOOKUP(MR$7,'Debt Amort'!$F$14:$NA$19,5,FALSE))</f>
        <v>0</v>
      </c>
      <c r="MS44" s="1">
        <f>IF(ISERROR(HLOOKUP(MS$7,'Debt Amort'!$F$14:$NA$19,5,FALSE)),0,HLOOKUP(MS$7,'Debt Amort'!$F$14:$NA$19,5,FALSE))</f>
        <v>0</v>
      </c>
      <c r="MT44" s="1">
        <f>IF(ISERROR(HLOOKUP(MT$7,'Debt Amort'!$F$14:$NA$19,5,FALSE)),0,HLOOKUP(MT$7,'Debt Amort'!$F$14:$NA$19,5,FALSE))</f>
        <v>0</v>
      </c>
      <c r="MU44" s="1">
        <f>IF(ISERROR(HLOOKUP(MU$7,'Debt Amort'!$F$14:$NA$19,5,FALSE)),0,HLOOKUP(MU$7,'Debt Amort'!$F$14:$NA$19,5,FALSE))</f>
        <v>0</v>
      </c>
      <c r="MV44" s="1">
        <f>IF(ISERROR(HLOOKUP(MV$7,'Debt Amort'!$F$14:$NA$19,5,FALSE)),0,HLOOKUP(MV$7,'Debt Amort'!$F$14:$NA$19,5,FALSE))</f>
        <v>0</v>
      </c>
      <c r="MW44" s="1">
        <f>IF(ISERROR(HLOOKUP(MW$7,'Debt Amort'!$F$14:$NA$19,5,FALSE)),0,HLOOKUP(MW$7,'Debt Amort'!$F$14:$NA$19,5,FALSE))</f>
        <v>0</v>
      </c>
      <c r="MX44" s="1">
        <f>IF(ISERROR(HLOOKUP(MX$7,'Debt Amort'!$F$14:$NA$19,5,FALSE)),0,HLOOKUP(MX$7,'Debt Amort'!$F$14:$NA$19,5,FALSE))</f>
        <v>0</v>
      </c>
      <c r="MY44" s="1">
        <f>IF(ISERROR(HLOOKUP(MY$7,'Debt Amort'!$F$14:$NA$19,5,FALSE)),0,HLOOKUP(MY$7,'Debt Amort'!$F$14:$NA$19,5,FALSE))</f>
        <v>0</v>
      </c>
      <c r="MZ44" s="1">
        <f>IF(ISERROR(HLOOKUP(MZ$7,'Debt Amort'!$F$14:$NA$19,5,FALSE)),0,HLOOKUP(MZ$7,'Debt Amort'!$F$14:$NA$19,5,FALSE))</f>
        <v>0</v>
      </c>
      <c r="NA44" s="1">
        <f>IF(ISERROR(HLOOKUP(NA$7,'Debt Amort'!$F$14:$NA$19,5,FALSE)),0,HLOOKUP(NA$7,'Debt Amort'!$F$14:$NA$19,5,FALSE))</f>
        <v>0</v>
      </c>
      <c r="NB44" s="1">
        <f>IF(ISERROR(HLOOKUP(NB$7,'Debt Amort'!$F$14:$NA$19,5,FALSE)),0,HLOOKUP(NB$7,'Debt Amort'!$F$14:$NA$19,5,FALSE))</f>
        <v>0</v>
      </c>
    </row>
    <row r="45" spans="2:367" x14ac:dyDescent="0.15">
      <c r="B45" s="45" t="s">
        <v>110</v>
      </c>
      <c r="C45" s="45"/>
      <c r="F45" s="1">
        <f>MAX(0,MIN(F40,F44))</f>
        <v>0</v>
      </c>
      <c r="G45" s="1">
        <f t="shared" ref="G45:BR45" si="80">MAX(0,MIN(G40,G44))</f>
        <v>0</v>
      </c>
      <c r="H45" s="1">
        <f t="shared" si="80"/>
        <v>0</v>
      </c>
      <c r="I45" s="1">
        <f t="shared" si="80"/>
        <v>0</v>
      </c>
      <c r="J45" s="1">
        <f t="shared" si="80"/>
        <v>21551.856875472913</v>
      </c>
      <c r="K45" s="1">
        <f t="shared" si="80"/>
        <v>21517.664784344332</v>
      </c>
      <c r="L45" s="563">
        <f t="shared" si="80"/>
        <v>21483.31597946474</v>
      </c>
      <c r="M45" s="1">
        <f t="shared" si="80"/>
        <v>21448.809742562786</v>
      </c>
      <c r="N45" s="1">
        <f t="shared" si="80"/>
        <v>21414.145352075029</v>
      </c>
      <c r="O45" s="1">
        <f t="shared" si="80"/>
        <v>21379.322083130868</v>
      </c>
      <c r="P45" s="1">
        <f t="shared" si="80"/>
        <v>21344.339207537381</v>
      </c>
      <c r="Q45" s="1">
        <f t="shared" si="80"/>
        <v>21309.195993764097</v>
      </c>
      <c r="R45" s="1">
        <f t="shared" si="80"/>
        <v>21273.891706927679</v>
      </c>
      <c r="S45" s="1">
        <f t="shared" si="80"/>
        <v>21238.425608776597</v>
      </c>
      <c r="T45" s="1">
        <f t="shared" si="80"/>
        <v>21202.796957675655</v>
      </c>
      <c r="U45" s="1">
        <f t="shared" si="80"/>
        <v>21167.005008590499</v>
      </c>
      <c r="V45" s="1">
        <f t="shared" si="80"/>
        <v>21131.049013072039</v>
      </c>
      <c r="W45" s="1">
        <f t="shared" si="80"/>
        <v>21094.928219240781</v>
      </c>
      <c r="X45" s="1">
        <f t="shared" si="80"/>
        <v>21058.641871771135</v>
      </c>
      <c r="Y45" s="1">
        <f t="shared" si="80"/>
        <v>21022.189211875582</v>
      </c>
      <c r="Z45" s="1">
        <f t="shared" si="80"/>
        <v>20985.569477288842</v>
      </c>
      <c r="AA45" s="1">
        <f t="shared" si="80"/>
        <v>20948.781902251918</v>
      </c>
      <c r="AB45" s="1">
        <f t="shared" si="80"/>
        <v>20911.825717496071</v>
      </c>
      <c r="AC45" s="1">
        <f t="shared" si="80"/>
        <v>20874.700150226756</v>
      </c>
      <c r="AD45" s="56">
        <f t="shared" si="80"/>
        <v>20837.404424107463</v>
      </c>
      <c r="AE45" s="1">
        <f t="shared" si="80"/>
        <v>20799.937759243454</v>
      </c>
      <c r="AF45" s="1">
        <f t="shared" si="80"/>
        <v>20762.299372165486</v>
      </c>
      <c r="AG45" s="1">
        <f t="shared" si="80"/>
        <v>20724.488475813407</v>
      </c>
      <c r="AH45" s="1">
        <f t="shared" si="80"/>
        <v>20686.504279519719</v>
      </c>
      <c r="AI45" s="1">
        <f t="shared" si="80"/>
        <v>20648.345988993016</v>
      </c>
      <c r="AJ45" s="1">
        <f t="shared" si="80"/>
        <v>20610.012806301394</v>
      </c>
      <c r="AK45" s="1">
        <f t="shared" si="80"/>
        <v>20571.503929855775</v>
      </c>
      <c r="AL45" s="1">
        <f t="shared" si="80"/>
        <v>20532.81855439311</v>
      </c>
      <c r="AM45" s="1">
        <f t="shared" si="80"/>
        <v>20493.955870959577</v>
      </c>
      <c r="AN45" s="1">
        <f t="shared" si="80"/>
        <v>20454.915066893642</v>
      </c>
      <c r="AO45" s="1">
        <f t="shared" si="80"/>
        <v>20415.695325809069</v>
      </c>
      <c r="AP45" s="1">
        <f t="shared" si="80"/>
        <v>20376.295827577855</v>
      </c>
      <c r="AQ45" s="1">
        <f t="shared" si="80"/>
        <v>20336.715748313087</v>
      </c>
      <c r="AR45" s="1">
        <f t="shared" si="80"/>
        <v>20296.954260351686</v>
      </c>
      <c r="AS45" s="1">
        <f t="shared" si="80"/>
        <v>20257.010532237131</v>
      </c>
      <c r="AT45" s="1">
        <f t="shared" si="80"/>
        <v>20216.883728702047</v>
      </c>
      <c r="AU45" s="1">
        <f t="shared" si="80"/>
        <v>20176.573010650762</v>
      </c>
      <c r="AV45" s="1">
        <f t="shared" si="80"/>
        <v>20136.077535141743</v>
      </c>
      <c r="AW45" s="1">
        <f t="shared" si="80"/>
        <v>20095.39645536997</v>
      </c>
      <c r="AX45" s="1">
        <f t="shared" si="80"/>
        <v>20054.528920649249</v>
      </c>
      <c r="AY45" s="1">
        <f t="shared" si="80"/>
        <v>20013.474076394392</v>
      </c>
      <c r="AZ45" s="1">
        <f t="shared" si="80"/>
        <v>19972.231064103362</v>
      </c>
      <c r="BA45" s="1">
        <f t="shared" si="80"/>
        <v>19930.799021339335</v>
      </c>
      <c r="BB45" s="1">
        <f t="shared" si="80"/>
        <v>19889.177081712638</v>
      </c>
      <c r="BC45" s="1">
        <f t="shared" si="80"/>
        <v>19847.364374862653</v>
      </c>
      <c r="BD45" s="1">
        <f t="shared" si="80"/>
        <v>19805.360026439608</v>
      </c>
      <c r="BE45" s="1">
        <f t="shared" si="80"/>
        <v>19763.163158086289</v>
      </c>
      <c r="BF45" s="1">
        <f t="shared" si="80"/>
        <v>19720.77288741968</v>
      </c>
      <c r="BG45" s="1">
        <f t="shared" si="80"/>
        <v>19678.188328012522</v>
      </c>
      <c r="BH45" s="1">
        <f t="shared" si="80"/>
        <v>19635.408589374743</v>
      </c>
      <c r="BI45" s="1">
        <f t="shared" si="80"/>
        <v>19592.432776934875</v>
      </c>
      <c r="BJ45" s="1">
        <f t="shared" si="80"/>
        <v>19549.259992021325</v>
      </c>
      <c r="BK45" s="1">
        <f t="shared" si="80"/>
        <v>19505.889331843584</v>
      </c>
      <c r="BL45" s="1">
        <f t="shared" si="80"/>
        <v>19462.319889473369</v>
      </c>
      <c r="BM45" s="1">
        <f t="shared" si="80"/>
        <v>19418.550753825621</v>
      </c>
      <c r="BN45" s="1">
        <f t="shared" si="80"/>
        <v>19374.581009639485</v>
      </c>
      <c r="BO45" s="1">
        <f t="shared" si="80"/>
        <v>19330.409737459166</v>
      </c>
      <c r="BP45" s="1">
        <f t="shared" si="80"/>
        <v>19286.036013614685</v>
      </c>
      <c r="BQ45" s="1">
        <f t="shared" si="80"/>
        <v>19241.458910202586</v>
      </c>
      <c r="BR45" s="1">
        <f t="shared" si="80"/>
        <v>19196.677495066513</v>
      </c>
      <c r="BS45" s="1">
        <f t="shared" ref="BS45:ED45" si="81">MAX(0,MIN(BS40,BS44))</f>
        <v>19151.690831777731</v>
      </c>
      <c r="BT45" s="1">
        <f t="shared" si="81"/>
        <v>19106.497979615546</v>
      </c>
      <c r="BU45" s="1">
        <f t="shared" si="81"/>
        <v>19061.097993547613</v>
      </c>
      <c r="BV45" s="1">
        <f t="shared" si="81"/>
        <v>19015.489924210204</v>
      </c>
      <c r="BW45" s="1">
        <f t="shared" si="81"/>
        <v>18969.672817888335</v>
      </c>
      <c r="BX45" s="1">
        <f t="shared" si="81"/>
        <v>18923.645716495819</v>
      </c>
      <c r="BY45" s="1">
        <f t="shared" si="81"/>
        <v>18877.407657555257</v>
      </c>
      <c r="BZ45" s="1">
        <f t="shared" si="81"/>
        <v>18830.957674177884</v>
      </c>
      <c r="CA45" s="1">
        <f t="shared" si="81"/>
        <v>18784.294795043366</v>
      </c>
      <c r="CB45" s="1">
        <f t="shared" si="81"/>
        <v>18737.418044379479</v>
      </c>
      <c r="CC45" s="1">
        <f t="shared" si="81"/>
        <v>18690.326441941717</v>
      </c>
      <c r="CD45" s="1">
        <f t="shared" si="81"/>
        <v>18643.019002992783</v>
      </c>
      <c r="CE45" s="1">
        <f t="shared" si="81"/>
        <v>18595.494738281999</v>
      </c>
      <c r="CF45" s="1">
        <f t="shared" si="81"/>
        <v>18547.752654024622</v>
      </c>
      <c r="CG45" s="1">
        <f t="shared" si="81"/>
        <v>18499.791751881068</v>
      </c>
      <c r="CH45" s="1">
        <f t="shared" si="81"/>
        <v>18451.611028936019</v>
      </c>
      <c r="CI45" s="1">
        <f t="shared" si="81"/>
        <v>18403.209477677476</v>
      </c>
      <c r="CJ45" s="1">
        <f t="shared" si="81"/>
        <v>18354.586085975661</v>
      </c>
      <c r="CK45" s="1">
        <f t="shared" si="81"/>
        <v>18305.739837061883</v>
      </c>
      <c r="CL45" s="1">
        <f t="shared" si="81"/>
        <v>18256.669709507245</v>
      </c>
      <c r="CM45" s="1">
        <f t="shared" si="81"/>
        <v>18207.374677201322</v>
      </c>
      <c r="CN45" s="1">
        <f t="shared" si="81"/>
        <v>18157.853709330659</v>
      </c>
      <c r="CO45" s="1">
        <f t="shared" si="81"/>
        <v>18108.105770357255</v>
      </c>
      <c r="CP45" s="1">
        <f t="shared" si="81"/>
        <v>18058.129819996895</v>
      </c>
      <c r="CQ45" s="1">
        <f t="shared" si="81"/>
        <v>18007.924813197376</v>
      </c>
      <c r="CR45" s="1">
        <f t="shared" si="81"/>
        <v>17957.489700116697</v>
      </c>
      <c r="CS45" s="1">
        <f t="shared" si="81"/>
        <v>17906.823426101062</v>
      </c>
      <c r="CT45" s="1">
        <f t="shared" si="81"/>
        <v>17855.924931662859</v>
      </c>
      <c r="CU45" s="1">
        <f t="shared" si="81"/>
        <v>17804.793152458478</v>
      </c>
      <c r="CV45" s="1">
        <f t="shared" si="81"/>
        <v>17753.427019266077</v>
      </c>
      <c r="CW45" s="1">
        <f t="shared" si="81"/>
        <v>17701.825457963212</v>
      </c>
      <c r="CX45" s="1">
        <f t="shared" si="81"/>
        <v>17649.987389504375</v>
      </c>
      <c r="CY45" s="1">
        <f t="shared" si="81"/>
        <v>17597.911729898435</v>
      </c>
      <c r="CZ45" s="1">
        <f t="shared" si="81"/>
        <v>17545.597390185969</v>
      </c>
      <c r="DA45" s="1">
        <f t="shared" si="81"/>
        <v>17493.043276416487</v>
      </c>
      <c r="DB45" s="1">
        <f t="shared" si="81"/>
        <v>17440.248289625561</v>
      </c>
      <c r="DC45" s="1">
        <f t="shared" si="81"/>
        <v>17387.211325811844</v>
      </c>
      <c r="DD45" s="1">
        <f t="shared" si="81"/>
        <v>17333.931275913979</v>
      </c>
      <c r="DE45" s="1">
        <f t="shared" si="81"/>
        <v>17280.407025787415</v>
      </c>
      <c r="DF45" s="1">
        <f t="shared" si="81"/>
        <v>17226.63745618111</v>
      </c>
      <c r="DG45" s="1">
        <f t="shared" si="81"/>
        <v>17172.621442714102</v>
      </c>
      <c r="DH45" s="1">
        <f t="shared" si="81"/>
        <v>17118.357855852042</v>
      </c>
      <c r="DI45" s="1">
        <f t="shared" si="81"/>
        <v>17063.845560883532</v>
      </c>
      <c r="DJ45" s="1">
        <f t="shared" si="81"/>
        <v>17009.083417896411</v>
      </c>
      <c r="DK45" s="1">
        <f t="shared" si="81"/>
        <v>16954.070281753935</v>
      </c>
      <c r="DL45" s="1">
        <f t="shared" si="81"/>
        <v>16898.805002070807</v>
      </c>
      <c r="DM45" s="1">
        <f t="shared" si="81"/>
        <v>16843.286423189129</v>
      </c>
      <c r="DN45" s="1">
        <f t="shared" si="81"/>
        <v>16787.513384154245</v>
      </c>
      <c r="DO45" s="1">
        <f t="shared" si="81"/>
        <v>16731.484718690448</v>
      </c>
      <c r="DP45" s="1">
        <f t="shared" si="81"/>
        <v>16675.199255176612</v>
      </c>
      <c r="DQ45" s="1">
        <f t="shared" si="81"/>
        <v>16618.655816621671</v>
      </c>
      <c r="DR45" s="1">
        <f t="shared" si="81"/>
        <v>16561.85322064002</v>
      </c>
      <c r="DS45" s="1">
        <f t="shared" si="81"/>
        <v>16504.790279426783</v>
      </c>
      <c r="DT45" s="1">
        <f t="shared" si="81"/>
        <v>16447.465799732985</v>
      </c>
      <c r="DU45" s="1">
        <f t="shared" si="81"/>
        <v>16389.878582840596</v>
      </c>
      <c r="DV45" s="1">
        <f t="shared" si="81"/>
        <v>16332.027424537448</v>
      </c>
      <c r="DW45" s="1">
        <f t="shared" si="81"/>
        <v>16273.911115092076</v>
      </c>
      <c r="DX45" s="1">
        <f t="shared" si="81"/>
        <v>16215.528439228414</v>
      </c>
      <c r="DY45" s="1">
        <f t="shared" si="81"/>
        <v>16156.878176100377</v>
      </c>
      <c r="DZ45" s="1">
        <f t="shared" si="81"/>
        <v>16097.959099266336</v>
      </c>
      <c r="EA45" s="1">
        <f t="shared" si="81"/>
        <v>16038.769976663472</v>
      </c>
      <c r="EB45" s="1">
        <f t="shared" si="81"/>
        <v>15979.309570582011</v>
      </c>
      <c r="EC45" s="1">
        <f t="shared" si="81"/>
        <v>15919.576637639344</v>
      </c>
      <c r="ED45" s="1">
        <f t="shared" si="81"/>
        <v>15859.569928754023</v>
      </c>
      <c r="EE45" s="1">
        <f t="shared" ref="EE45:GP45" si="82">MAX(0,MIN(EE40,EE44))</f>
        <v>15799.288189119645</v>
      </c>
      <c r="EF45" s="1">
        <f t="shared" si="82"/>
        <v>15738.730158178609</v>
      </c>
      <c r="EG45" s="1">
        <f t="shared" si="82"/>
        <v>15677.894569595759</v>
      </c>
      <c r="EH45" s="1">
        <f t="shared" si="82"/>
        <v>15616.780151231906</v>
      </c>
      <c r="EI45" s="1">
        <f t="shared" si="82"/>
        <v>15555.385625117215</v>
      </c>
      <c r="EJ45" s="1">
        <f t="shared" si="82"/>
        <v>15493.709707424501</v>
      </c>
      <c r="EK45" s="1">
        <f t="shared" si="82"/>
        <v>15431.751108442362</v>
      </c>
      <c r="EL45" s="1">
        <f t="shared" si="82"/>
        <v>15369.508532548221</v>
      </c>
      <c r="EM45" s="1">
        <f t="shared" si="82"/>
        <v>15306.980678181233</v>
      </c>
      <c r="EN45" s="1">
        <f t="shared" si="82"/>
        <v>15244.166237815061</v>
      </c>
      <c r="EO45" s="1">
        <f t="shared" si="82"/>
        <v>15181.063897930546</v>
      </c>
      <c r="EP45" s="1">
        <f t="shared" si="82"/>
        <v>15117.672338988226</v>
      </c>
      <c r="EQ45" s="1">
        <f t="shared" si="82"/>
        <v>15053.990235400754</v>
      </c>
      <c r="ER45" s="1">
        <f t="shared" si="82"/>
        <v>14990.016255505172</v>
      </c>
      <c r="ES45" s="1">
        <f t="shared" si="82"/>
        <v>14925.749061535069</v>
      </c>
      <c r="ET45" s="1">
        <f t="shared" si="82"/>
        <v>14861.187309592604</v>
      </c>
      <c r="EU45" s="1">
        <f t="shared" si="82"/>
        <v>14796.329649620402</v>
      </c>
      <c r="EV45" s="1">
        <f t="shared" si="82"/>
        <v>14731.174725373327</v>
      </c>
      <c r="EW45" s="1">
        <f t="shared" si="82"/>
        <v>14665.721174390119</v>
      </c>
      <c r="EX45" s="1">
        <f t="shared" si="82"/>
        <v>14599.967627964905</v>
      </c>
      <c r="EY45" s="1">
        <f t="shared" si="82"/>
        <v>14533.912711118577</v>
      </c>
      <c r="EZ45" s="1">
        <f t="shared" si="82"/>
        <v>14467.555042570035</v>
      </c>
      <c r="FA45" s="1">
        <f t="shared" si="82"/>
        <v>14400.893234707311</v>
      </c>
      <c r="FB45" s="1">
        <f t="shared" si="82"/>
        <v>14333.925893558553</v>
      </c>
      <c r="FC45" s="1">
        <f t="shared" si="82"/>
        <v>14266.651618762862</v>
      </c>
      <c r="FD45" s="1">
        <f t="shared" si="82"/>
        <v>14199.069003541024</v>
      </c>
      <c r="FE45" s="1">
        <f t="shared" si="82"/>
        <v>14131.176634666086</v>
      </c>
      <c r="FF45" s="1">
        <f t="shared" si="82"/>
        <v>14062.973092433804</v>
      </c>
      <c r="FG45" s="1">
        <f t="shared" si="82"/>
        <v>13994.456950632959</v>
      </c>
      <c r="FH45" s="1">
        <f t="shared" si="82"/>
        <v>13925.626776515524</v>
      </c>
      <c r="FI45" s="1">
        <f t="shared" si="82"/>
        <v>13856.481130766719</v>
      </c>
      <c r="FJ45" s="1">
        <f t="shared" si="82"/>
        <v>13787.018567474897</v>
      </c>
      <c r="FK45" s="1">
        <f t="shared" si="82"/>
        <v>13717.237634101324</v>
      </c>
      <c r="FL45" s="1">
        <f t="shared" si="82"/>
        <v>13647.136871449788</v>
      </c>
      <c r="FM45" s="1">
        <f t="shared" si="82"/>
        <v>13576.714813636097</v>
      </c>
      <c r="FN45" s="1">
        <f t="shared" si="82"/>
        <v>13505.969988057428</v>
      </c>
      <c r="FO45" s="1">
        <f t="shared" si="82"/>
        <v>13434.900915361522</v>
      </c>
      <c r="FP45" s="1">
        <f t="shared" si="82"/>
        <v>13363.506109415763</v>
      </c>
      <c r="FQ45" s="1">
        <f t="shared" si="82"/>
        <v>13291.784077276083</v>
      </c>
      <c r="FR45" s="1">
        <f t="shared" si="82"/>
        <v>13219.733319155763</v>
      </c>
      <c r="FS45" s="1">
        <f t="shared" si="82"/>
        <v>13147.352328394059</v>
      </c>
      <c r="FT45" s="1">
        <f t="shared" si="82"/>
        <v>13074.639591424697</v>
      </c>
      <c r="FU45" s="1">
        <f t="shared" si="82"/>
        <v>13001.593587744226</v>
      </c>
      <c r="FV45" s="1">
        <f t="shared" si="82"/>
        <v>12928.212789880217</v>
      </c>
      <c r="FW45" s="1">
        <f t="shared" si="82"/>
        <v>12854.495663359334</v>
      </c>
      <c r="FX45" s="1">
        <f t="shared" si="82"/>
        <v>12780.440666675229</v>
      </c>
      <c r="FY45" s="1">
        <f t="shared" si="82"/>
        <v>12706.046251256323</v>
      </c>
      <c r="FZ45" s="1">
        <f t="shared" si="82"/>
        <v>12631.310861433412</v>
      </c>
      <c r="GA45" s="1">
        <f t="shared" si="82"/>
        <v>8215.5071251220143</v>
      </c>
      <c r="GB45" s="1">
        <f t="shared" si="82"/>
        <v>8215.5071251220143</v>
      </c>
      <c r="GC45" s="1">
        <f t="shared" si="82"/>
        <v>8215.5071251220143</v>
      </c>
      <c r="GD45" s="1">
        <f t="shared" si="82"/>
        <v>12328.928194475122</v>
      </c>
      <c r="GE45" s="1">
        <f t="shared" si="82"/>
        <v>0</v>
      </c>
      <c r="GF45" s="1">
        <f t="shared" si="82"/>
        <v>0</v>
      </c>
      <c r="GG45" s="1">
        <f t="shared" si="82"/>
        <v>0</v>
      </c>
      <c r="GH45" s="1">
        <f t="shared" si="82"/>
        <v>0</v>
      </c>
      <c r="GI45" s="1">
        <f t="shared" si="82"/>
        <v>0</v>
      </c>
      <c r="GJ45" s="1">
        <f t="shared" si="82"/>
        <v>0</v>
      </c>
      <c r="GK45" s="1">
        <f t="shared" si="82"/>
        <v>0</v>
      </c>
      <c r="GL45" s="1">
        <f t="shared" si="82"/>
        <v>0</v>
      </c>
      <c r="GM45" s="1">
        <f t="shared" si="82"/>
        <v>0</v>
      </c>
      <c r="GN45" s="1">
        <f t="shared" si="82"/>
        <v>0</v>
      </c>
      <c r="GO45" s="1">
        <f t="shared" si="82"/>
        <v>0</v>
      </c>
      <c r="GP45" s="1">
        <f t="shared" si="82"/>
        <v>0</v>
      </c>
      <c r="GQ45" s="1">
        <f t="shared" ref="GQ45:IL45" si="83">MAX(0,MIN(GQ40,GQ44))</f>
        <v>0</v>
      </c>
      <c r="GR45" s="1">
        <f t="shared" si="83"/>
        <v>0</v>
      </c>
      <c r="GS45" s="1">
        <f t="shared" si="83"/>
        <v>0</v>
      </c>
      <c r="GT45" s="1">
        <f t="shared" si="83"/>
        <v>0</v>
      </c>
      <c r="GU45" s="1">
        <f t="shared" si="83"/>
        <v>0</v>
      </c>
      <c r="GV45" s="1">
        <f t="shared" si="83"/>
        <v>0</v>
      </c>
      <c r="GW45" s="1">
        <f t="shared" si="83"/>
        <v>0</v>
      </c>
      <c r="GX45" s="1">
        <f t="shared" si="83"/>
        <v>0</v>
      </c>
      <c r="GY45" s="1">
        <f t="shared" si="83"/>
        <v>0</v>
      </c>
      <c r="GZ45" s="1">
        <f t="shared" si="83"/>
        <v>0</v>
      </c>
      <c r="HA45" s="1">
        <f t="shared" si="83"/>
        <v>0</v>
      </c>
      <c r="HB45" s="1">
        <f t="shared" si="83"/>
        <v>0</v>
      </c>
      <c r="HC45" s="1">
        <f t="shared" si="83"/>
        <v>0</v>
      </c>
      <c r="HD45" s="1">
        <f t="shared" si="83"/>
        <v>0</v>
      </c>
      <c r="HE45" s="1">
        <f t="shared" si="83"/>
        <v>0</v>
      </c>
      <c r="HF45" s="1">
        <f t="shared" si="83"/>
        <v>0</v>
      </c>
      <c r="HG45" s="1">
        <f t="shared" si="83"/>
        <v>0</v>
      </c>
      <c r="HH45" s="1">
        <f t="shared" si="83"/>
        <v>0</v>
      </c>
      <c r="HI45" s="1">
        <f t="shared" si="83"/>
        <v>0</v>
      </c>
      <c r="HJ45" s="1">
        <f t="shared" si="83"/>
        <v>0</v>
      </c>
      <c r="HK45" s="1">
        <f t="shared" si="83"/>
        <v>0</v>
      </c>
      <c r="HL45" s="1">
        <f t="shared" si="83"/>
        <v>0</v>
      </c>
      <c r="HM45" s="1">
        <f t="shared" si="83"/>
        <v>0</v>
      </c>
      <c r="HN45" s="1">
        <f t="shared" si="83"/>
        <v>0</v>
      </c>
      <c r="HO45" s="1">
        <f t="shared" si="83"/>
        <v>0</v>
      </c>
      <c r="HP45" s="1">
        <f t="shared" si="83"/>
        <v>0</v>
      </c>
      <c r="HQ45" s="1">
        <f t="shared" si="83"/>
        <v>0</v>
      </c>
      <c r="HR45" s="1">
        <f t="shared" si="83"/>
        <v>0</v>
      </c>
      <c r="HS45" s="1">
        <f t="shared" si="83"/>
        <v>0</v>
      </c>
      <c r="HT45" s="1">
        <f t="shared" si="83"/>
        <v>0</v>
      </c>
      <c r="HU45" s="1">
        <f t="shared" si="83"/>
        <v>0</v>
      </c>
      <c r="HV45" s="1">
        <f t="shared" si="83"/>
        <v>0</v>
      </c>
      <c r="HW45" s="1">
        <f t="shared" si="83"/>
        <v>0</v>
      </c>
      <c r="HX45" s="1">
        <f t="shared" si="83"/>
        <v>0</v>
      </c>
      <c r="HY45" s="1">
        <f t="shared" si="83"/>
        <v>0</v>
      </c>
      <c r="HZ45" s="1">
        <f t="shared" si="83"/>
        <v>0</v>
      </c>
      <c r="IA45" s="1">
        <f t="shared" si="83"/>
        <v>0</v>
      </c>
      <c r="IB45" s="1">
        <f t="shared" si="83"/>
        <v>0</v>
      </c>
      <c r="IC45" s="1">
        <f t="shared" si="83"/>
        <v>0</v>
      </c>
      <c r="ID45" s="1">
        <f t="shared" si="83"/>
        <v>0</v>
      </c>
      <c r="IE45" s="1">
        <f t="shared" si="83"/>
        <v>0</v>
      </c>
      <c r="IF45" s="1">
        <f t="shared" si="83"/>
        <v>0</v>
      </c>
      <c r="IG45" s="1">
        <f t="shared" si="83"/>
        <v>0</v>
      </c>
      <c r="IH45" s="1">
        <f t="shared" si="83"/>
        <v>0</v>
      </c>
      <c r="II45" s="1">
        <f t="shared" si="83"/>
        <v>0</v>
      </c>
      <c r="IJ45" s="1">
        <f t="shared" si="83"/>
        <v>0</v>
      </c>
      <c r="IK45" s="1">
        <f t="shared" si="83"/>
        <v>0</v>
      </c>
      <c r="IL45" s="1">
        <f t="shared" si="83"/>
        <v>0</v>
      </c>
      <c r="IM45" s="1">
        <f t="shared" ref="IM45:KX45" si="84">MAX(0,MIN(IM40,IM44))</f>
        <v>0</v>
      </c>
      <c r="IN45" s="1">
        <f t="shared" si="84"/>
        <v>0</v>
      </c>
      <c r="IO45" s="1">
        <f t="shared" si="84"/>
        <v>0</v>
      </c>
      <c r="IP45" s="1">
        <f t="shared" si="84"/>
        <v>0</v>
      </c>
      <c r="IQ45" s="1">
        <f t="shared" si="84"/>
        <v>0</v>
      </c>
      <c r="IR45" s="1">
        <f t="shared" si="84"/>
        <v>0</v>
      </c>
      <c r="IS45" s="1">
        <f t="shared" si="84"/>
        <v>0</v>
      </c>
      <c r="IT45" s="1">
        <f t="shared" si="84"/>
        <v>0</v>
      </c>
      <c r="IU45" s="1">
        <f t="shared" si="84"/>
        <v>0</v>
      </c>
      <c r="IV45" s="1">
        <f t="shared" si="84"/>
        <v>0</v>
      </c>
      <c r="IW45" s="1">
        <f t="shared" si="84"/>
        <v>0</v>
      </c>
      <c r="IX45" s="1">
        <f t="shared" si="84"/>
        <v>0</v>
      </c>
      <c r="IY45" s="1">
        <f t="shared" si="84"/>
        <v>0</v>
      </c>
      <c r="IZ45" s="1">
        <f t="shared" si="84"/>
        <v>0</v>
      </c>
      <c r="JA45" s="1">
        <f t="shared" si="84"/>
        <v>0</v>
      </c>
      <c r="JB45" s="1">
        <f t="shared" si="84"/>
        <v>0</v>
      </c>
      <c r="JC45" s="1">
        <f t="shared" si="84"/>
        <v>0</v>
      </c>
      <c r="JD45" s="1">
        <f t="shared" si="84"/>
        <v>0</v>
      </c>
      <c r="JE45" s="1">
        <f t="shared" si="84"/>
        <v>0</v>
      </c>
      <c r="JF45" s="1">
        <f t="shared" si="84"/>
        <v>0</v>
      </c>
      <c r="JG45" s="1">
        <f t="shared" si="84"/>
        <v>0</v>
      </c>
      <c r="JH45" s="1">
        <f t="shared" si="84"/>
        <v>0</v>
      </c>
      <c r="JI45" s="1">
        <f t="shared" si="84"/>
        <v>0</v>
      </c>
      <c r="JJ45" s="1">
        <f t="shared" si="84"/>
        <v>0</v>
      </c>
      <c r="JK45" s="1">
        <f t="shared" si="84"/>
        <v>0</v>
      </c>
      <c r="JL45" s="1">
        <f t="shared" si="84"/>
        <v>0</v>
      </c>
      <c r="JM45" s="1">
        <f t="shared" si="84"/>
        <v>0</v>
      </c>
      <c r="JN45" s="1">
        <f t="shared" si="84"/>
        <v>0</v>
      </c>
      <c r="JO45" s="1">
        <f t="shared" si="84"/>
        <v>0</v>
      </c>
      <c r="JP45" s="1">
        <f t="shared" si="84"/>
        <v>0</v>
      </c>
      <c r="JQ45" s="1">
        <f t="shared" si="84"/>
        <v>0</v>
      </c>
      <c r="JR45" s="1">
        <f t="shared" si="84"/>
        <v>0</v>
      </c>
      <c r="JS45" s="1">
        <f t="shared" si="84"/>
        <v>0</v>
      </c>
      <c r="JT45" s="1">
        <f t="shared" si="84"/>
        <v>0</v>
      </c>
      <c r="JU45" s="1">
        <f t="shared" si="84"/>
        <v>0</v>
      </c>
      <c r="JV45" s="1">
        <f t="shared" si="84"/>
        <v>0</v>
      </c>
      <c r="JW45" s="1">
        <f t="shared" si="84"/>
        <v>0</v>
      </c>
      <c r="JX45" s="1">
        <f t="shared" si="84"/>
        <v>0</v>
      </c>
      <c r="JY45" s="1">
        <f t="shared" si="84"/>
        <v>0</v>
      </c>
      <c r="JZ45" s="1">
        <f t="shared" si="84"/>
        <v>0</v>
      </c>
      <c r="KA45" s="1">
        <f t="shared" si="84"/>
        <v>0</v>
      </c>
      <c r="KB45" s="1">
        <f t="shared" si="84"/>
        <v>0</v>
      </c>
      <c r="KC45" s="1">
        <f t="shared" si="84"/>
        <v>0</v>
      </c>
      <c r="KD45" s="1">
        <f t="shared" si="84"/>
        <v>0</v>
      </c>
      <c r="KE45" s="1">
        <f t="shared" si="84"/>
        <v>0</v>
      </c>
      <c r="KF45" s="1">
        <f t="shared" si="84"/>
        <v>0</v>
      </c>
      <c r="KG45" s="1">
        <f t="shared" si="84"/>
        <v>0</v>
      </c>
      <c r="KH45" s="1">
        <f t="shared" si="84"/>
        <v>0</v>
      </c>
      <c r="KI45" s="1">
        <f t="shared" si="84"/>
        <v>0</v>
      </c>
      <c r="KJ45" s="1">
        <f t="shared" si="84"/>
        <v>0</v>
      </c>
      <c r="KK45" s="1">
        <f t="shared" si="84"/>
        <v>0</v>
      </c>
      <c r="KL45" s="1">
        <f t="shared" si="84"/>
        <v>0</v>
      </c>
      <c r="KM45" s="1">
        <f t="shared" si="84"/>
        <v>0</v>
      </c>
      <c r="KN45" s="1">
        <f t="shared" si="84"/>
        <v>0</v>
      </c>
      <c r="KO45" s="1">
        <f t="shared" si="84"/>
        <v>0</v>
      </c>
      <c r="KP45" s="1">
        <f t="shared" si="84"/>
        <v>0</v>
      </c>
      <c r="KQ45" s="1">
        <f t="shared" si="84"/>
        <v>0</v>
      </c>
      <c r="KR45" s="1">
        <f t="shared" si="84"/>
        <v>0</v>
      </c>
      <c r="KS45" s="1">
        <f t="shared" si="84"/>
        <v>0</v>
      </c>
      <c r="KT45" s="1">
        <f t="shared" si="84"/>
        <v>0</v>
      </c>
      <c r="KU45" s="1">
        <f t="shared" si="84"/>
        <v>0</v>
      </c>
      <c r="KV45" s="1">
        <f t="shared" si="84"/>
        <v>0</v>
      </c>
      <c r="KW45" s="1">
        <f t="shared" si="84"/>
        <v>0</v>
      </c>
      <c r="KX45" s="1">
        <f t="shared" si="84"/>
        <v>0</v>
      </c>
      <c r="KY45" s="1">
        <f t="shared" ref="KY45:NB45" si="85">MAX(0,MIN(KY40,KY44))</f>
        <v>0</v>
      </c>
      <c r="KZ45" s="1">
        <f t="shared" si="85"/>
        <v>0</v>
      </c>
      <c r="LA45" s="1">
        <f t="shared" si="85"/>
        <v>0</v>
      </c>
      <c r="LB45" s="1">
        <f t="shared" si="85"/>
        <v>0</v>
      </c>
      <c r="LC45" s="1">
        <f t="shared" si="85"/>
        <v>0</v>
      </c>
      <c r="LD45" s="1">
        <f t="shared" si="85"/>
        <v>0</v>
      </c>
      <c r="LE45" s="1">
        <f t="shared" si="85"/>
        <v>0</v>
      </c>
      <c r="LF45" s="1">
        <f t="shared" si="85"/>
        <v>0</v>
      </c>
      <c r="LG45" s="1">
        <f t="shared" si="85"/>
        <v>0</v>
      </c>
      <c r="LH45" s="1">
        <f t="shared" si="85"/>
        <v>0</v>
      </c>
      <c r="LI45" s="1">
        <f t="shared" si="85"/>
        <v>0</v>
      </c>
      <c r="LJ45" s="1">
        <f t="shared" si="85"/>
        <v>0</v>
      </c>
      <c r="LK45" s="1">
        <f t="shared" si="85"/>
        <v>0</v>
      </c>
      <c r="LL45" s="1">
        <f t="shared" si="85"/>
        <v>0</v>
      </c>
      <c r="LM45" s="1">
        <f t="shared" si="85"/>
        <v>0</v>
      </c>
      <c r="LN45" s="1">
        <f t="shared" si="85"/>
        <v>0</v>
      </c>
      <c r="LO45" s="1">
        <f t="shared" si="85"/>
        <v>0</v>
      </c>
      <c r="LP45" s="1">
        <f t="shared" si="85"/>
        <v>0</v>
      </c>
      <c r="LQ45" s="1">
        <f t="shared" si="85"/>
        <v>0</v>
      </c>
      <c r="LR45" s="1">
        <f t="shared" si="85"/>
        <v>0</v>
      </c>
      <c r="LS45" s="1">
        <f t="shared" si="85"/>
        <v>0</v>
      </c>
      <c r="LT45" s="1">
        <f t="shared" si="85"/>
        <v>0</v>
      </c>
      <c r="LU45" s="1">
        <f t="shared" si="85"/>
        <v>0</v>
      </c>
      <c r="LV45" s="1">
        <f t="shared" si="85"/>
        <v>0</v>
      </c>
      <c r="LW45" s="1">
        <f t="shared" si="85"/>
        <v>0</v>
      </c>
      <c r="LX45" s="1">
        <f t="shared" si="85"/>
        <v>0</v>
      </c>
      <c r="LY45" s="1">
        <f t="shared" si="85"/>
        <v>0</v>
      </c>
      <c r="LZ45" s="1">
        <f t="shared" si="85"/>
        <v>0</v>
      </c>
      <c r="MA45" s="1">
        <f t="shared" si="85"/>
        <v>0</v>
      </c>
      <c r="MB45" s="1">
        <f t="shared" si="85"/>
        <v>0</v>
      </c>
      <c r="MC45" s="1">
        <f t="shared" si="85"/>
        <v>0</v>
      </c>
      <c r="MD45" s="1">
        <f t="shared" si="85"/>
        <v>0</v>
      </c>
      <c r="ME45" s="1">
        <f t="shared" si="85"/>
        <v>0</v>
      </c>
      <c r="MF45" s="1">
        <f t="shared" si="85"/>
        <v>0</v>
      </c>
      <c r="MG45" s="1">
        <f t="shared" si="85"/>
        <v>0</v>
      </c>
      <c r="MH45" s="1">
        <f t="shared" si="85"/>
        <v>0</v>
      </c>
      <c r="MI45" s="1">
        <f t="shared" si="85"/>
        <v>0</v>
      </c>
      <c r="MJ45" s="1">
        <f t="shared" si="85"/>
        <v>0</v>
      </c>
      <c r="MK45" s="1">
        <f t="shared" si="85"/>
        <v>0</v>
      </c>
      <c r="ML45" s="1">
        <f t="shared" si="85"/>
        <v>0</v>
      </c>
      <c r="MM45" s="1">
        <f t="shared" si="85"/>
        <v>0</v>
      </c>
      <c r="MN45" s="1">
        <f t="shared" si="85"/>
        <v>0</v>
      </c>
      <c r="MO45" s="1">
        <f t="shared" si="85"/>
        <v>0</v>
      </c>
      <c r="MP45" s="1">
        <f t="shared" si="85"/>
        <v>0</v>
      </c>
      <c r="MQ45" s="1">
        <f t="shared" si="85"/>
        <v>0</v>
      </c>
      <c r="MR45" s="1">
        <f t="shared" si="85"/>
        <v>0</v>
      </c>
      <c r="MS45" s="1">
        <f t="shared" si="85"/>
        <v>0</v>
      </c>
      <c r="MT45" s="1">
        <f t="shared" si="85"/>
        <v>0</v>
      </c>
      <c r="MU45" s="1">
        <f t="shared" si="85"/>
        <v>0</v>
      </c>
      <c r="MV45" s="1">
        <f t="shared" si="85"/>
        <v>0</v>
      </c>
      <c r="MW45" s="1">
        <f t="shared" si="85"/>
        <v>0</v>
      </c>
      <c r="MX45" s="1">
        <f t="shared" si="85"/>
        <v>0</v>
      </c>
      <c r="MY45" s="1">
        <f t="shared" si="85"/>
        <v>0</v>
      </c>
      <c r="MZ45" s="1">
        <f t="shared" si="85"/>
        <v>0</v>
      </c>
      <c r="NA45" s="1">
        <f t="shared" si="85"/>
        <v>0</v>
      </c>
      <c r="NB45" s="1">
        <f t="shared" si="85"/>
        <v>0</v>
      </c>
    </row>
    <row r="46" spans="2:367" x14ac:dyDescent="0.15">
      <c r="B46" s="45" t="s">
        <v>114</v>
      </c>
      <c r="C46" s="45"/>
      <c r="F46" s="1">
        <f>IF(F40&lt;F44,F44-F45,0)</f>
        <v>0</v>
      </c>
      <c r="G46" s="1">
        <f t="shared" ref="G46:BR46" si="86">IF(G40&lt;G44,G44-G45,0)</f>
        <v>21653.5</v>
      </c>
      <c r="H46" s="1">
        <f t="shared" si="86"/>
        <v>21619.773773192166</v>
      </c>
      <c r="I46" s="1">
        <f t="shared" si="86"/>
        <v>21585.892967844797</v>
      </c>
      <c r="J46" s="1">
        <f t="shared" si="86"/>
        <v>0</v>
      </c>
      <c r="K46" s="1">
        <f t="shared" si="86"/>
        <v>0</v>
      </c>
      <c r="L46" s="563">
        <f t="shared" si="86"/>
        <v>0</v>
      </c>
      <c r="M46" s="1">
        <f t="shared" si="86"/>
        <v>0</v>
      </c>
      <c r="N46" s="1">
        <f t="shared" si="86"/>
        <v>0</v>
      </c>
      <c r="O46" s="1">
        <f t="shared" si="86"/>
        <v>0</v>
      </c>
      <c r="P46" s="1">
        <f t="shared" si="86"/>
        <v>0</v>
      </c>
      <c r="Q46" s="1">
        <f t="shared" si="86"/>
        <v>0</v>
      </c>
      <c r="R46" s="1">
        <f t="shared" si="86"/>
        <v>0</v>
      </c>
      <c r="S46" s="1">
        <f t="shared" si="86"/>
        <v>0</v>
      </c>
      <c r="T46" s="1">
        <f t="shared" si="86"/>
        <v>0</v>
      </c>
      <c r="U46" s="1">
        <f t="shared" si="86"/>
        <v>0</v>
      </c>
      <c r="V46" s="1">
        <f t="shared" si="86"/>
        <v>0</v>
      </c>
      <c r="W46" s="1">
        <f t="shared" si="86"/>
        <v>0</v>
      </c>
      <c r="X46" s="1">
        <f t="shared" si="86"/>
        <v>0</v>
      </c>
      <c r="Y46" s="1">
        <f t="shared" si="86"/>
        <v>0</v>
      </c>
      <c r="Z46" s="1">
        <f t="shared" si="86"/>
        <v>0</v>
      </c>
      <c r="AA46" s="1">
        <f t="shared" si="86"/>
        <v>0</v>
      </c>
      <c r="AB46" s="1">
        <f t="shared" si="86"/>
        <v>0</v>
      </c>
      <c r="AC46" s="1">
        <f t="shared" si="86"/>
        <v>0</v>
      </c>
      <c r="AD46" s="56">
        <f t="shared" si="86"/>
        <v>0</v>
      </c>
      <c r="AE46" s="1">
        <f t="shared" si="86"/>
        <v>0</v>
      </c>
      <c r="AF46" s="1">
        <f t="shared" si="86"/>
        <v>0</v>
      </c>
      <c r="AG46" s="1">
        <f t="shared" si="86"/>
        <v>0</v>
      </c>
      <c r="AH46" s="1">
        <f t="shared" si="86"/>
        <v>0</v>
      </c>
      <c r="AI46" s="1">
        <f t="shared" si="86"/>
        <v>0</v>
      </c>
      <c r="AJ46" s="1">
        <f t="shared" si="86"/>
        <v>0</v>
      </c>
      <c r="AK46" s="1">
        <f t="shared" si="86"/>
        <v>0</v>
      </c>
      <c r="AL46" s="1">
        <f t="shared" si="86"/>
        <v>0</v>
      </c>
      <c r="AM46" s="1">
        <f t="shared" si="86"/>
        <v>0</v>
      </c>
      <c r="AN46" s="1">
        <f t="shared" si="86"/>
        <v>0</v>
      </c>
      <c r="AO46" s="1">
        <f t="shared" si="86"/>
        <v>0</v>
      </c>
      <c r="AP46" s="1">
        <f t="shared" si="86"/>
        <v>0</v>
      </c>
      <c r="AQ46" s="1">
        <f t="shared" si="86"/>
        <v>0</v>
      </c>
      <c r="AR46" s="1">
        <f t="shared" si="86"/>
        <v>0</v>
      </c>
      <c r="AS46" s="1">
        <f t="shared" si="86"/>
        <v>0</v>
      </c>
      <c r="AT46" s="1">
        <f t="shared" si="86"/>
        <v>0</v>
      </c>
      <c r="AU46" s="1">
        <f t="shared" si="86"/>
        <v>0</v>
      </c>
      <c r="AV46" s="1">
        <f t="shared" si="86"/>
        <v>0</v>
      </c>
      <c r="AW46" s="1">
        <f t="shared" si="86"/>
        <v>0</v>
      </c>
      <c r="AX46" s="1">
        <f t="shared" si="86"/>
        <v>0</v>
      </c>
      <c r="AY46" s="1">
        <f t="shared" si="86"/>
        <v>0</v>
      </c>
      <c r="AZ46" s="1">
        <f t="shared" si="86"/>
        <v>0</v>
      </c>
      <c r="BA46" s="1">
        <f t="shared" si="86"/>
        <v>0</v>
      </c>
      <c r="BB46" s="1">
        <f t="shared" si="86"/>
        <v>0</v>
      </c>
      <c r="BC46" s="1">
        <f t="shared" si="86"/>
        <v>0</v>
      </c>
      <c r="BD46" s="1">
        <f t="shared" si="86"/>
        <v>0</v>
      </c>
      <c r="BE46" s="1">
        <f t="shared" si="86"/>
        <v>0</v>
      </c>
      <c r="BF46" s="1">
        <f t="shared" si="86"/>
        <v>0</v>
      </c>
      <c r="BG46" s="1">
        <f t="shared" si="86"/>
        <v>0</v>
      </c>
      <c r="BH46" s="1">
        <f t="shared" si="86"/>
        <v>0</v>
      </c>
      <c r="BI46" s="1">
        <f t="shared" si="86"/>
        <v>0</v>
      </c>
      <c r="BJ46" s="1">
        <f t="shared" si="86"/>
        <v>0</v>
      </c>
      <c r="BK46" s="1">
        <f t="shared" si="86"/>
        <v>0</v>
      </c>
      <c r="BL46" s="1">
        <f t="shared" si="86"/>
        <v>0</v>
      </c>
      <c r="BM46" s="1">
        <f t="shared" si="86"/>
        <v>0</v>
      </c>
      <c r="BN46" s="1">
        <f t="shared" si="86"/>
        <v>0</v>
      </c>
      <c r="BO46" s="1">
        <f t="shared" si="86"/>
        <v>0</v>
      </c>
      <c r="BP46" s="1">
        <f t="shared" si="86"/>
        <v>0</v>
      </c>
      <c r="BQ46" s="1">
        <f t="shared" si="86"/>
        <v>0</v>
      </c>
      <c r="BR46" s="1">
        <f t="shared" si="86"/>
        <v>0</v>
      </c>
      <c r="BS46" s="1">
        <f t="shared" ref="BS46:ED46" si="87">IF(BS40&lt;BS44,BS44-BS45,0)</f>
        <v>0</v>
      </c>
      <c r="BT46" s="1">
        <f t="shared" si="87"/>
        <v>0</v>
      </c>
      <c r="BU46" s="1">
        <f t="shared" si="87"/>
        <v>0</v>
      </c>
      <c r="BV46" s="1">
        <f t="shared" si="87"/>
        <v>0</v>
      </c>
      <c r="BW46" s="1">
        <f t="shared" si="87"/>
        <v>0</v>
      </c>
      <c r="BX46" s="1">
        <f t="shared" si="87"/>
        <v>0</v>
      </c>
      <c r="BY46" s="1">
        <f t="shared" si="87"/>
        <v>0</v>
      </c>
      <c r="BZ46" s="1">
        <f t="shared" si="87"/>
        <v>0</v>
      </c>
      <c r="CA46" s="1">
        <f t="shared" si="87"/>
        <v>0</v>
      </c>
      <c r="CB46" s="1">
        <f t="shared" si="87"/>
        <v>0</v>
      </c>
      <c r="CC46" s="1">
        <f t="shared" si="87"/>
        <v>0</v>
      </c>
      <c r="CD46" s="1">
        <f t="shared" si="87"/>
        <v>0</v>
      </c>
      <c r="CE46" s="1">
        <f t="shared" si="87"/>
        <v>0</v>
      </c>
      <c r="CF46" s="1">
        <f t="shared" si="87"/>
        <v>0</v>
      </c>
      <c r="CG46" s="1">
        <f t="shared" si="87"/>
        <v>0</v>
      </c>
      <c r="CH46" s="1">
        <f t="shared" si="87"/>
        <v>0</v>
      </c>
      <c r="CI46" s="1">
        <f t="shared" si="87"/>
        <v>0</v>
      </c>
      <c r="CJ46" s="1">
        <f t="shared" si="87"/>
        <v>0</v>
      </c>
      <c r="CK46" s="1">
        <f t="shared" si="87"/>
        <v>0</v>
      </c>
      <c r="CL46" s="1">
        <f t="shared" si="87"/>
        <v>0</v>
      </c>
      <c r="CM46" s="1">
        <f t="shared" si="87"/>
        <v>0</v>
      </c>
      <c r="CN46" s="1">
        <f t="shared" si="87"/>
        <v>0</v>
      </c>
      <c r="CO46" s="1">
        <f t="shared" si="87"/>
        <v>0</v>
      </c>
      <c r="CP46" s="1">
        <f t="shared" si="87"/>
        <v>0</v>
      </c>
      <c r="CQ46" s="1">
        <f t="shared" si="87"/>
        <v>0</v>
      </c>
      <c r="CR46" s="1">
        <f t="shared" si="87"/>
        <v>0</v>
      </c>
      <c r="CS46" s="1">
        <f t="shared" si="87"/>
        <v>0</v>
      </c>
      <c r="CT46" s="1">
        <f t="shared" si="87"/>
        <v>0</v>
      </c>
      <c r="CU46" s="1">
        <f t="shared" si="87"/>
        <v>0</v>
      </c>
      <c r="CV46" s="1">
        <f t="shared" si="87"/>
        <v>0</v>
      </c>
      <c r="CW46" s="1">
        <f t="shared" si="87"/>
        <v>0</v>
      </c>
      <c r="CX46" s="1">
        <f t="shared" si="87"/>
        <v>0</v>
      </c>
      <c r="CY46" s="1">
        <f t="shared" si="87"/>
        <v>0</v>
      </c>
      <c r="CZ46" s="1">
        <f t="shared" si="87"/>
        <v>0</v>
      </c>
      <c r="DA46" s="1">
        <f t="shared" si="87"/>
        <v>0</v>
      </c>
      <c r="DB46" s="1">
        <f t="shared" si="87"/>
        <v>0</v>
      </c>
      <c r="DC46" s="1">
        <f t="shared" si="87"/>
        <v>0</v>
      </c>
      <c r="DD46" s="1">
        <f t="shared" si="87"/>
        <v>0</v>
      </c>
      <c r="DE46" s="1">
        <f t="shared" si="87"/>
        <v>0</v>
      </c>
      <c r="DF46" s="1">
        <f t="shared" si="87"/>
        <v>0</v>
      </c>
      <c r="DG46" s="1">
        <f t="shared" si="87"/>
        <v>0</v>
      </c>
      <c r="DH46" s="1">
        <f t="shared" si="87"/>
        <v>0</v>
      </c>
      <c r="DI46" s="1">
        <f t="shared" si="87"/>
        <v>0</v>
      </c>
      <c r="DJ46" s="1">
        <f t="shared" si="87"/>
        <v>0</v>
      </c>
      <c r="DK46" s="1">
        <f t="shared" si="87"/>
        <v>0</v>
      </c>
      <c r="DL46" s="1">
        <f t="shared" si="87"/>
        <v>0</v>
      </c>
      <c r="DM46" s="1">
        <f t="shared" si="87"/>
        <v>0</v>
      </c>
      <c r="DN46" s="1">
        <f t="shared" si="87"/>
        <v>0</v>
      </c>
      <c r="DO46" s="1">
        <f t="shared" si="87"/>
        <v>0</v>
      </c>
      <c r="DP46" s="1">
        <f t="shared" si="87"/>
        <v>0</v>
      </c>
      <c r="DQ46" s="1">
        <f t="shared" si="87"/>
        <v>0</v>
      </c>
      <c r="DR46" s="1">
        <f t="shared" si="87"/>
        <v>0</v>
      </c>
      <c r="DS46" s="1">
        <f t="shared" si="87"/>
        <v>0</v>
      </c>
      <c r="DT46" s="1">
        <f t="shared" si="87"/>
        <v>0</v>
      </c>
      <c r="DU46" s="1">
        <f t="shared" si="87"/>
        <v>0</v>
      </c>
      <c r="DV46" s="1">
        <f t="shared" si="87"/>
        <v>0</v>
      </c>
      <c r="DW46" s="1">
        <f t="shared" si="87"/>
        <v>0</v>
      </c>
      <c r="DX46" s="1">
        <f t="shared" si="87"/>
        <v>0</v>
      </c>
      <c r="DY46" s="1">
        <f t="shared" si="87"/>
        <v>0</v>
      </c>
      <c r="DZ46" s="1">
        <f t="shared" si="87"/>
        <v>0</v>
      </c>
      <c r="EA46" s="1">
        <f t="shared" si="87"/>
        <v>0</v>
      </c>
      <c r="EB46" s="1">
        <f t="shared" si="87"/>
        <v>0</v>
      </c>
      <c r="EC46" s="1">
        <f t="shared" si="87"/>
        <v>0</v>
      </c>
      <c r="ED46" s="1">
        <f t="shared" si="87"/>
        <v>0</v>
      </c>
      <c r="EE46" s="1">
        <f t="shared" ref="EE46:GP46" si="88">IF(EE40&lt;EE44,EE44-EE45,0)</f>
        <v>0</v>
      </c>
      <c r="EF46" s="1">
        <f t="shared" si="88"/>
        <v>0</v>
      </c>
      <c r="EG46" s="1">
        <f t="shared" si="88"/>
        <v>0</v>
      </c>
      <c r="EH46" s="1">
        <f t="shared" si="88"/>
        <v>0</v>
      </c>
      <c r="EI46" s="1">
        <f t="shared" si="88"/>
        <v>0</v>
      </c>
      <c r="EJ46" s="1">
        <f t="shared" si="88"/>
        <v>0</v>
      </c>
      <c r="EK46" s="1">
        <f t="shared" si="88"/>
        <v>0</v>
      </c>
      <c r="EL46" s="1">
        <f t="shared" si="88"/>
        <v>0</v>
      </c>
      <c r="EM46" s="1">
        <f t="shared" si="88"/>
        <v>0</v>
      </c>
      <c r="EN46" s="1">
        <f t="shared" si="88"/>
        <v>0</v>
      </c>
      <c r="EO46" s="1">
        <f t="shared" si="88"/>
        <v>0</v>
      </c>
      <c r="EP46" s="1">
        <f t="shared" si="88"/>
        <v>0</v>
      </c>
      <c r="EQ46" s="1">
        <f t="shared" si="88"/>
        <v>0</v>
      </c>
      <c r="ER46" s="1">
        <f t="shared" si="88"/>
        <v>0</v>
      </c>
      <c r="ES46" s="1">
        <f t="shared" si="88"/>
        <v>0</v>
      </c>
      <c r="ET46" s="1">
        <f t="shared" si="88"/>
        <v>0</v>
      </c>
      <c r="EU46" s="1">
        <f t="shared" si="88"/>
        <v>0</v>
      </c>
      <c r="EV46" s="1">
        <f t="shared" si="88"/>
        <v>0</v>
      </c>
      <c r="EW46" s="1">
        <f t="shared" si="88"/>
        <v>0</v>
      </c>
      <c r="EX46" s="1">
        <f t="shared" si="88"/>
        <v>0</v>
      </c>
      <c r="EY46" s="1">
        <f t="shared" si="88"/>
        <v>0</v>
      </c>
      <c r="EZ46" s="1">
        <f t="shared" si="88"/>
        <v>0</v>
      </c>
      <c r="FA46" s="1">
        <f t="shared" si="88"/>
        <v>0</v>
      </c>
      <c r="FB46" s="1">
        <f t="shared" si="88"/>
        <v>0</v>
      </c>
      <c r="FC46" s="1">
        <f t="shared" si="88"/>
        <v>0</v>
      </c>
      <c r="FD46" s="1">
        <f t="shared" si="88"/>
        <v>0</v>
      </c>
      <c r="FE46" s="1">
        <f t="shared" si="88"/>
        <v>0</v>
      </c>
      <c r="FF46" s="1">
        <f t="shared" si="88"/>
        <v>0</v>
      </c>
      <c r="FG46" s="1">
        <f t="shared" si="88"/>
        <v>0</v>
      </c>
      <c r="FH46" s="1">
        <f t="shared" si="88"/>
        <v>0</v>
      </c>
      <c r="FI46" s="1">
        <f t="shared" si="88"/>
        <v>0</v>
      </c>
      <c r="FJ46" s="1">
        <f t="shared" si="88"/>
        <v>0</v>
      </c>
      <c r="FK46" s="1">
        <f t="shared" si="88"/>
        <v>0</v>
      </c>
      <c r="FL46" s="1">
        <f t="shared" si="88"/>
        <v>0</v>
      </c>
      <c r="FM46" s="1">
        <f t="shared" si="88"/>
        <v>0</v>
      </c>
      <c r="FN46" s="1">
        <f t="shared" si="88"/>
        <v>0</v>
      </c>
      <c r="FO46" s="1">
        <f t="shared" si="88"/>
        <v>0</v>
      </c>
      <c r="FP46" s="1">
        <f t="shared" si="88"/>
        <v>0</v>
      </c>
      <c r="FQ46" s="1">
        <f t="shared" si="88"/>
        <v>0</v>
      </c>
      <c r="FR46" s="1">
        <f t="shared" si="88"/>
        <v>0</v>
      </c>
      <c r="FS46" s="1">
        <f t="shared" si="88"/>
        <v>0</v>
      </c>
      <c r="FT46" s="1">
        <f t="shared" si="88"/>
        <v>0</v>
      </c>
      <c r="FU46" s="1">
        <f t="shared" si="88"/>
        <v>0</v>
      </c>
      <c r="FV46" s="1">
        <f t="shared" si="88"/>
        <v>0</v>
      </c>
      <c r="FW46" s="1">
        <f t="shared" si="88"/>
        <v>0</v>
      </c>
      <c r="FX46" s="1">
        <f t="shared" si="88"/>
        <v>0</v>
      </c>
      <c r="FY46" s="1">
        <f t="shared" si="88"/>
        <v>0</v>
      </c>
      <c r="FZ46" s="1">
        <f t="shared" si="88"/>
        <v>0</v>
      </c>
      <c r="GA46" s="1">
        <f t="shared" si="88"/>
        <v>4340.7258092851334</v>
      </c>
      <c r="GB46" s="1">
        <f t="shared" si="88"/>
        <v>4265.3037750933308</v>
      </c>
      <c r="GC46" s="1">
        <f t="shared" si="88"/>
        <v>4189.5360565781502</v>
      </c>
      <c r="GD46" s="1">
        <f t="shared" si="88"/>
        <v>0</v>
      </c>
      <c r="GE46" s="1">
        <f t="shared" si="88"/>
        <v>0</v>
      </c>
      <c r="GF46" s="1">
        <f t="shared" si="88"/>
        <v>0</v>
      </c>
      <c r="GG46" s="1">
        <f t="shared" si="88"/>
        <v>0</v>
      </c>
      <c r="GH46" s="1">
        <f t="shared" si="88"/>
        <v>0</v>
      </c>
      <c r="GI46" s="1">
        <f t="shared" si="88"/>
        <v>0</v>
      </c>
      <c r="GJ46" s="1">
        <f t="shared" si="88"/>
        <v>0</v>
      </c>
      <c r="GK46" s="1">
        <f t="shared" si="88"/>
        <v>0</v>
      </c>
      <c r="GL46" s="1">
        <f t="shared" si="88"/>
        <v>0</v>
      </c>
      <c r="GM46" s="1">
        <f t="shared" si="88"/>
        <v>0</v>
      </c>
      <c r="GN46" s="1">
        <f t="shared" si="88"/>
        <v>0</v>
      </c>
      <c r="GO46" s="1">
        <f t="shared" si="88"/>
        <v>0</v>
      </c>
      <c r="GP46" s="1">
        <f t="shared" si="88"/>
        <v>0</v>
      </c>
      <c r="GQ46" s="1">
        <f t="shared" ref="GQ46:IL46" si="89">IF(GQ40&lt;GQ44,GQ44-GQ45,0)</f>
        <v>0</v>
      </c>
      <c r="GR46" s="1">
        <f t="shared" si="89"/>
        <v>0</v>
      </c>
      <c r="GS46" s="1">
        <f t="shared" si="89"/>
        <v>0</v>
      </c>
      <c r="GT46" s="1">
        <f t="shared" si="89"/>
        <v>0</v>
      </c>
      <c r="GU46" s="1">
        <f t="shared" si="89"/>
        <v>0</v>
      </c>
      <c r="GV46" s="1">
        <f t="shared" si="89"/>
        <v>0</v>
      </c>
      <c r="GW46" s="1">
        <f t="shared" si="89"/>
        <v>0</v>
      </c>
      <c r="GX46" s="1">
        <f t="shared" si="89"/>
        <v>0</v>
      </c>
      <c r="GY46" s="1">
        <f t="shared" si="89"/>
        <v>0</v>
      </c>
      <c r="GZ46" s="1">
        <f t="shared" si="89"/>
        <v>0</v>
      </c>
      <c r="HA46" s="1">
        <f t="shared" si="89"/>
        <v>0</v>
      </c>
      <c r="HB46" s="1">
        <f t="shared" si="89"/>
        <v>0</v>
      </c>
      <c r="HC46" s="1">
        <f t="shared" si="89"/>
        <v>0</v>
      </c>
      <c r="HD46" s="1">
        <f t="shared" si="89"/>
        <v>0</v>
      </c>
      <c r="HE46" s="1">
        <f t="shared" si="89"/>
        <v>0</v>
      </c>
      <c r="HF46" s="1">
        <f t="shared" si="89"/>
        <v>0</v>
      </c>
      <c r="HG46" s="1">
        <f t="shared" si="89"/>
        <v>0</v>
      </c>
      <c r="HH46" s="1">
        <f t="shared" si="89"/>
        <v>0</v>
      </c>
      <c r="HI46" s="1">
        <f t="shared" si="89"/>
        <v>0</v>
      </c>
      <c r="HJ46" s="1">
        <f t="shared" si="89"/>
        <v>0</v>
      </c>
      <c r="HK46" s="1">
        <f t="shared" si="89"/>
        <v>0</v>
      </c>
      <c r="HL46" s="1">
        <f t="shared" si="89"/>
        <v>0</v>
      </c>
      <c r="HM46" s="1">
        <f t="shared" si="89"/>
        <v>0</v>
      </c>
      <c r="HN46" s="1">
        <f t="shared" si="89"/>
        <v>0</v>
      </c>
      <c r="HO46" s="1">
        <f t="shared" si="89"/>
        <v>0</v>
      </c>
      <c r="HP46" s="1">
        <f t="shared" si="89"/>
        <v>0</v>
      </c>
      <c r="HQ46" s="1">
        <f t="shared" si="89"/>
        <v>0</v>
      </c>
      <c r="HR46" s="1">
        <f t="shared" si="89"/>
        <v>0</v>
      </c>
      <c r="HS46" s="1">
        <f t="shared" si="89"/>
        <v>0</v>
      </c>
      <c r="HT46" s="1">
        <f t="shared" si="89"/>
        <v>0</v>
      </c>
      <c r="HU46" s="1">
        <f t="shared" si="89"/>
        <v>0</v>
      </c>
      <c r="HV46" s="1">
        <f t="shared" si="89"/>
        <v>0</v>
      </c>
      <c r="HW46" s="1">
        <f t="shared" si="89"/>
        <v>0</v>
      </c>
      <c r="HX46" s="1">
        <f t="shared" si="89"/>
        <v>0</v>
      </c>
      <c r="HY46" s="1">
        <f t="shared" si="89"/>
        <v>0</v>
      </c>
      <c r="HZ46" s="1">
        <f t="shared" si="89"/>
        <v>0</v>
      </c>
      <c r="IA46" s="1">
        <f t="shared" si="89"/>
        <v>0</v>
      </c>
      <c r="IB46" s="1">
        <f t="shared" si="89"/>
        <v>0</v>
      </c>
      <c r="IC46" s="1">
        <f t="shared" si="89"/>
        <v>0</v>
      </c>
      <c r="ID46" s="1">
        <f t="shared" si="89"/>
        <v>0</v>
      </c>
      <c r="IE46" s="1">
        <f t="shared" si="89"/>
        <v>0</v>
      </c>
      <c r="IF46" s="1">
        <f t="shared" si="89"/>
        <v>0</v>
      </c>
      <c r="IG46" s="1">
        <f t="shared" si="89"/>
        <v>0</v>
      </c>
      <c r="IH46" s="1">
        <f t="shared" si="89"/>
        <v>0</v>
      </c>
      <c r="II46" s="1">
        <f t="shared" si="89"/>
        <v>0</v>
      </c>
      <c r="IJ46" s="1">
        <f t="shared" si="89"/>
        <v>0</v>
      </c>
      <c r="IK46" s="1">
        <f t="shared" si="89"/>
        <v>0</v>
      </c>
      <c r="IL46" s="1">
        <f t="shared" si="89"/>
        <v>0</v>
      </c>
      <c r="IM46" s="1">
        <f t="shared" ref="IM46:KX46" si="90">IF(IM40&lt;IM44,IM44-IM45,0)</f>
        <v>0</v>
      </c>
      <c r="IN46" s="1">
        <f t="shared" si="90"/>
        <v>0</v>
      </c>
      <c r="IO46" s="1">
        <f t="shared" si="90"/>
        <v>0</v>
      </c>
      <c r="IP46" s="1">
        <f t="shared" si="90"/>
        <v>0</v>
      </c>
      <c r="IQ46" s="1">
        <f t="shared" si="90"/>
        <v>0</v>
      </c>
      <c r="IR46" s="1">
        <f t="shared" si="90"/>
        <v>0</v>
      </c>
      <c r="IS46" s="1">
        <f t="shared" si="90"/>
        <v>0</v>
      </c>
      <c r="IT46" s="1">
        <f t="shared" si="90"/>
        <v>0</v>
      </c>
      <c r="IU46" s="1">
        <f t="shared" si="90"/>
        <v>0</v>
      </c>
      <c r="IV46" s="1">
        <f t="shared" si="90"/>
        <v>0</v>
      </c>
      <c r="IW46" s="1">
        <f t="shared" si="90"/>
        <v>0</v>
      </c>
      <c r="IX46" s="1">
        <f t="shared" si="90"/>
        <v>0</v>
      </c>
      <c r="IY46" s="1">
        <f t="shared" si="90"/>
        <v>0</v>
      </c>
      <c r="IZ46" s="1">
        <f t="shared" si="90"/>
        <v>0</v>
      </c>
      <c r="JA46" s="1">
        <f t="shared" si="90"/>
        <v>0</v>
      </c>
      <c r="JB46" s="1">
        <f t="shared" si="90"/>
        <v>0</v>
      </c>
      <c r="JC46" s="1">
        <f t="shared" si="90"/>
        <v>0</v>
      </c>
      <c r="JD46" s="1">
        <f t="shared" si="90"/>
        <v>0</v>
      </c>
      <c r="JE46" s="1">
        <f t="shared" si="90"/>
        <v>0</v>
      </c>
      <c r="JF46" s="1">
        <f t="shared" si="90"/>
        <v>0</v>
      </c>
      <c r="JG46" s="1">
        <f t="shared" si="90"/>
        <v>0</v>
      </c>
      <c r="JH46" s="1">
        <f t="shared" si="90"/>
        <v>0</v>
      </c>
      <c r="JI46" s="1">
        <f t="shared" si="90"/>
        <v>0</v>
      </c>
      <c r="JJ46" s="1">
        <f t="shared" si="90"/>
        <v>0</v>
      </c>
      <c r="JK46" s="1">
        <f t="shared" si="90"/>
        <v>0</v>
      </c>
      <c r="JL46" s="1">
        <f t="shared" si="90"/>
        <v>0</v>
      </c>
      <c r="JM46" s="1">
        <f t="shared" si="90"/>
        <v>0</v>
      </c>
      <c r="JN46" s="1">
        <f t="shared" si="90"/>
        <v>0</v>
      </c>
      <c r="JO46" s="1">
        <f t="shared" si="90"/>
        <v>0</v>
      </c>
      <c r="JP46" s="1">
        <f t="shared" si="90"/>
        <v>0</v>
      </c>
      <c r="JQ46" s="1">
        <f t="shared" si="90"/>
        <v>0</v>
      </c>
      <c r="JR46" s="1">
        <f t="shared" si="90"/>
        <v>0</v>
      </c>
      <c r="JS46" s="1">
        <f t="shared" si="90"/>
        <v>0</v>
      </c>
      <c r="JT46" s="1">
        <f t="shared" si="90"/>
        <v>0</v>
      </c>
      <c r="JU46" s="1">
        <f t="shared" si="90"/>
        <v>0</v>
      </c>
      <c r="JV46" s="1">
        <f t="shared" si="90"/>
        <v>0</v>
      </c>
      <c r="JW46" s="1">
        <f t="shared" si="90"/>
        <v>0</v>
      </c>
      <c r="JX46" s="1">
        <f t="shared" si="90"/>
        <v>0</v>
      </c>
      <c r="JY46" s="1">
        <f t="shared" si="90"/>
        <v>0</v>
      </c>
      <c r="JZ46" s="1">
        <f t="shared" si="90"/>
        <v>0</v>
      </c>
      <c r="KA46" s="1">
        <f t="shared" si="90"/>
        <v>0</v>
      </c>
      <c r="KB46" s="1">
        <f t="shared" si="90"/>
        <v>0</v>
      </c>
      <c r="KC46" s="1">
        <f t="shared" si="90"/>
        <v>0</v>
      </c>
      <c r="KD46" s="1">
        <f t="shared" si="90"/>
        <v>0</v>
      </c>
      <c r="KE46" s="1">
        <f t="shared" si="90"/>
        <v>0</v>
      </c>
      <c r="KF46" s="1">
        <f t="shared" si="90"/>
        <v>0</v>
      </c>
      <c r="KG46" s="1">
        <f t="shared" si="90"/>
        <v>0</v>
      </c>
      <c r="KH46" s="1">
        <f t="shared" si="90"/>
        <v>0</v>
      </c>
      <c r="KI46" s="1">
        <f t="shared" si="90"/>
        <v>0</v>
      </c>
      <c r="KJ46" s="1">
        <f t="shared" si="90"/>
        <v>0</v>
      </c>
      <c r="KK46" s="1">
        <f t="shared" si="90"/>
        <v>0</v>
      </c>
      <c r="KL46" s="1">
        <f t="shared" si="90"/>
        <v>0</v>
      </c>
      <c r="KM46" s="1">
        <f t="shared" si="90"/>
        <v>0</v>
      </c>
      <c r="KN46" s="1">
        <f t="shared" si="90"/>
        <v>0</v>
      </c>
      <c r="KO46" s="1">
        <f t="shared" si="90"/>
        <v>0</v>
      </c>
      <c r="KP46" s="1">
        <f t="shared" si="90"/>
        <v>0</v>
      </c>
      <c r="KQ46" s="1">
        <f t="shared" si="90"/>
        <v>0</v>
      </c>
      <c r="KR46" s="1">
        <f t="shared" si="90"/>
        <v>0</v>
      </c>
      <c r="KS46" s="1">
        <f t="shared" si="90"/>
        <v>0</v>
      </c>
      <c r="KT46" s="1">
        <f t="shared" si="90"/>
        <v>0</v>
      </c>
      <c r="KU46" s="1">
        <f t="shared" si="90"/>
        <v>0</v>
      </c>
      <c r="KV46" s="1">
        <f t="shared" si="90"/>
        <v>0</v>
      </c>
      <c r="KW46" s="1">
        <f t="shared" si="90"/>
        <v>0</v>
      </c>
      <c r="KX46" s="1">
        <f t="shared" si="90"/>
        <v>0</v>
      </c>
      <c r="KY46" s="1">
        <f t="shared" ref="KY46:NB46" si="91">IF(KY40&lt;KY44,KY44-KY45,0)</f>
        <v>0</v>
      </c>
      <c r="KZ46" s="1">
        <f t="shared" si="91"/>
        <v>0</v>
      </c>
      <c r="LA46" s="1">
        <f t="shared" si="91"/>
        <v>0</v>
      </c>
      <c r="LB46" s="1">
        <f t="shared" si="91"/>
        <v>0</v>
      </c>
      <c r="LC46" s="1">
        <f t="shared" si="91"/>
        <v>0</v>
      </c>
      <c r="LD46" s="1">
        <f t="shared" si="91"/>
        <v>0</v>
      </c>
      <c r="LE46" s="1">
        <f t="shared" si="91"/>
        <v>0</v>
      </c>
      <c r="LF46" s="1">
        <f t="shared" si="91"/>
        <v>0</v>
      </c>
      <c r="LG46" s="1">
        <f t="shared" si="91"/>
        <v>0</v>
      </c>
      <c r="LH46" s="1">
        <f t="shared" si="91"/>
        <v>0</v>
      </c>
      <c r="LI46" s="1">
        <f t="shared" si="91"/>
        <v>0</v>
      </c>
      <c r="LJ46" s="1">
        <f t="shared" si="91"/>
        <v>0</v>
      </c>
      <c r="LK46" s="1">
        <f t="shared" si="91"/>
        <v>0</v>
      </c>
      <c r="LL46" s="1">
        <f t="shared" si="91"/>
        <v>0</v>
      </c>
      <c r="LM46" s="1">
        <f t="shared" si="91"/>
        <v>0</v>
      </c>
      <c r="LN46" s="1">
        <f t="shared" si="91"/>
        <v>0</v>
      </c>
      <c r="LO46" s="1">
        <f t="shared" si="91"/>
        <v>0</v>
      </c>
      <c r="LP46" s="1">
        <f t="shared" si="91"/>
        <v>0</v>
      </c>
      <c r="LQ46" s="1">
        <f t="shared" si="91"/>
        <v>0</v>
      </c>
      <c r="LR46" s="1">
        <f t="shared" si="91"/>
        <v>0</v>
      </c>
      <c r="LS46" s="1">
        <f t="shared" si="91"/>
        <v>0</v>
      </c>
      <c r="LT46" s="1">
        <f t="shared" si="91"/>
        <v>0</v>
      </c>
      <c r="LU46" s="1">
        <f t="shared" si="91"/>
        <v>0</v>
      </c>
      <c r="LV46" s="1">
        <f t="shared" si="91"/>
        <v>0</v>
      </c>
      <c r="LW46" s="1">
        <f t="shared" si="91"/>
        <v>0</v>
      </c>
      <c r="LX46" s="1">
        <f t="shared" si="91"/>
        <v>0</v>
      </c>
      <c r="LY46" s="1">
        <f t="shared" si="91"/>
        <v>0</v>
      </c>
      <c r="LZ46" s="1">
        <f t="shared" si="91"/>
        <v>0</v>
      </c>
      <c r="MA46" s="1">
        <f t="shared" si="91"/>
        <v>0</v>
      </c>
      <c r="MB46" s="1">
        <f t="shared" si="91"/>
        <v>0</v>
      </c>
      <c r="MC46" s="1">
        <f t="shared" si="91"/>
        <v>0</v>
      </c>
      <c r="MD46" s="1">
        <f t="shared" si="91"/>
        <v>0</v>
      </c>
      <c r="ME46" s="1">
        <f t="shared" si="91"/>
        <v>0</v>
      </c>
      <c r="MF46" s="1">
        <f t="shared" si="91"/>
        <v>0</v>
      </c>
      <c r="MG46" s="1">
        <f t="shared" si="91"/>
        <v>0</v>
      </c>
      <c r="MH46" s="1">
        <f t="shared" si="91"/>
        <v>0</v>
      </c>
      <c r="MI46" s="1">
        <f t="shared" si="91"/>
        <v>0</v>
      </c>
      <c r="MJ46" s="1">
        <f t="shared" si="91"/>
        <v>0</v>
      </c>
      <c r="MK46" s="1">
        <f t="shared" si="91"/>
        <v>0</v>
      </c>
      <c r="ML46" s="1">
        <f t="shared" si="91"/>
        <v>0</v>
      </c>
      <c r="MM46" s="1">
        <f t="shared" si="91"/>
        <v>0</v>
      </c>
      <c r="MN46" s="1">
        <f t="shared" si="91"/>
        <v>0</v>
      </c>
      <c r="MO46" s="1">
        <f t="shared" si="91"/>
        <v>0</v>
      </c>
      <c r="MP46" s="1">
        <f t="shared" si="91"/>
        <v>0</v>
      </c>
      <c r="MQ46" s="1">
        <f t="shared" si="91"/>
        <v>0</v>
      </c>
      <c r="MR46" s="1">
        <f t="shared" si="91"/>
        <v>0</v>
      </c>
      <c r="MS46" s="1">
        <f t="shared" si="91"/>
        <v>0</v>
      </c>
      <c r="MT46" s="1">
        <f t="shared" si="91"/>
        <v>0</v>
      </c>
      <c r="MU46" s="1">
        <f t="shared" si="91"/>
        <v>0</v>
      </c>
      <c r="MV46" s="1">
        <f t="shared" si="91"/>
        <v>0</v>
      </c>
      <c r="MW46" s="1">
        <f t="shared" si="91"/>
        <v>0</v>
      </c>
      <c r="MX46" s="1">
        <f t="shared" si="91"/>
        <v>0</v>
      </c>
      <c r="MY46" s="1">
        <f t="shared" si="91"/>
        <v>0</v>
      </c>
      <c r="MZ46" s="1">
        <f t="shared" si="91"/>
        <v>0</v>
      </c>
      <c r="NA46" s="1">
        <f t="shared" si="91"/>
        <v>0</v>
      </c>
      <c r="NB46" s="1">
        <f t="shared" si="91"/>
        <v>0</v>
      </c>
    </row>
    <row r="47" spans="2:367" x14ac:dyDescent="0.15">
      <c r="B47" s="45" t="s">
        <v>111</v>
      </c>
      <c r="C47" s="45"/>
      <c r="F47" s="1">
        <f>IF(ISERROR(HLOOKUP(F$7,'Debt Amort'!$F$14:$NA$19,6,FALSE)),0,HLOOKUP(F$7,'Debt Amort'!$F$14:$NA$19,6,FALSE))</f>
        <v>0</v>
      </c>
      <c r="G47" s="1">
        <f>IF(ISERROR(HLOOKUP(G$7,'Debt Amort'!$F$14:$NA$19,6,FALSE)),0,HLOOKUP(G$7,'Debt Amort'!$F$14:$NA$19,6,FALSE))</f>
        <v>7358.44948534578</v>
      </c>
      <c r="H47" s="1">
        <f>IF(ISERROR(HLOOKUP(H$7,'Debt Amort'!$F$14:$NA$19,6,FALSE)),0,HLOOKUP(H$7,'Debt Amort'!$F$14:$NA$19,6,FALSE))</f>
        <v>7392.1757121536139</v>
      </c>
      <c r="I47" s="1">
        <f>IF(ISERROR(HLOOKUP(I$7,'Debt Amort'!$F$14:$NA$19,6,FALSE)),0,HLOOKUP(I$7,'Debt Amort'!$F$14:$NA$19,6,FALSE))</f>
        <v>7426.0565175009833</v>
      </c>
      <c r="J47" s="1">
        <f>IF(ISERROR(HLOOKUP(J$7,'Debt Amort'!$F$14:$NA$19,6,FALSE)),0,HLOOKUP(J$7,'Debt Amort'!$F$14:$NA$19,6,FALSE))</f>
        <v>7460.0926098728669</v>
      </c>
      <c r="K47" s="1">
        <f>IF(ISERROR(HLOOKUP(K$7,'Debt Amort'!$F$14:$NA$19,6,FALSE)),0,HLOOKUP(K$7,'Debt Amort'!$F$14:$NA$19,6,FALSE))</f>
        <v>7494.2847010014484</v>
      </c>
      <c r="L47" s="563">
        <f>IF(ISERROR(HLOOKUP(L$7,'Debt Amort'!$F$14:$NA$19,6,FALSE)),0,HLOOKUP(L$7,'Debt Amort'!$F$14:$NA$19,6,FALSE))</f>
        <v>7528.63350588104</v>
      </c>
      <c r="M47" s="1">
        <f>IF(ISERROR(HLOOKUP(M$7,'Debt Amort'!$F$14:$NA$19,6,FALSE)),0,HLOOKUP(M$7,'Debt Amort'!$F$14:$NA$19,6,FALSE))</f>
        <v>7563.1397427829943</v>
      </c>
      <c r="N47" s="1">
        <f>IF(ISERROR(HLOOKUP(N$7,'Debt Amort'!$F$14:$NA$19,6,FALSE)),0,HLOOKUP(N$7,'Debt Amort'!$F$14:$NA$19,6,FALSE))</f>
        <v>7597.8041332707508</v>
      </c>
      <c r="O47" s="1">
        <f>IF(ISERROR(HLOOKUP(O$7,'Debt Amort'!$F$14:$NA$19,6,FALSE)),0,HLOOKUP(O$7,'Debt Amort'!$F$14:$NA$19,6,FALSE))</f>
        <v>7632.6274022149119</v>
      </c>
      <c r="P47" s="1">
        <f>IF(ISERROR(HLOOKUP(P$7,'Debt Amort'!$F$14:$NA$19,6,FALSE)),0,HLOOKUP(P$7,'Debt Amort'!$F$14:$NA$19,6,FALSE))</f>
        <v>7667.6102778083987</v>
      </c>
      <c r="Q47" s="1">
        <f>IF(ISERROR(HLOOKUP(Q$7,'Debt Amort'!$F$14:$NA$19,6,FALSE)),0,HLOOKUP(Q$7,'Debt Amort'!$F$14:$NA$19,6,FALSE))</f>
        <v>7702.7534915816832</v>
      </c>
      <c r="R47" s="1">
        <f>IF(ISERROR(HLOOKUP(R$7,'Debt Amort'!$F$14:$NA$19,6,FALSE)),0,HLOOKUP(R$7,'Debt Amort'!$F$14:$NA$19,6,FALSE))</f>
        <v>7738.0577784181005</v>
      </c>
      <c r="S47" s="1">
        <f>IF(ISERROR(HLOOKUP(S$7,'Debt Amort'!$F$14:$NA$19,6,FALSE)),0,HLOOKUP(S$7,'Debt Amort'!$F$14:$NA$19,6,FALSE))</f>
        <v>7773.5238765691829</v>
      </c>
      <c r="T47" s="1">
        <f>IF(ISERROR(HLOOKUP(T$7,'Debt Amort'!$F$14:$NA$19,6,FALSE)),0,HLOOKUP(T$7,'Debt Amort'!$F$14:$NA$19,6,FALSE))</f>
        <v>7809.152527670125</v>
      </c>
      <c r="U47" s="1">
        <f>IF(ISERROR(HLOOKUP(U$7,'Debt Amort'!$F$14:$NA$19,6,FALSE)),0,HLOOKUP(U$7,'Debt Amort'!$F$14:$NA$19,6,FALSE))</f>
        <v>7844.9444767552814</v>
      </c>
      <c r="V47" s="1">
        <f>IF(ISERROR(HLOOKUP(V$7,'Debt Amort'!$F$14:$NA$19,6,FALSE)),0,HLOOKUP(V$7,'Debt Amort'!$F$14:$NA$19,6,FALSE))</f>
        <v>7880.9004722737409</v>
      </c>
      <c r="W47" s="1">
        <f>IF(ISERROR(HLOOKUP(W$7,'Debt Amort'!$F$14:$NA$19,6,FALSE)),0,HLOOKUP(W$7,'Debt Amort'!$F$14:$NA$19,6,FALSE))</f>
        <v>7917.0212661049991</v>
      </c>
      <c r="X47" s="1">
        <f>IF(ISERROR(HLOOKUP(X$7,'Debt Amort'!$F$14:$NA$19,6,FALSE)),0,HLOOKUP(X$7,'Debt Amort'!$F$14:$NA$19,6,FALSE))</f>
        <v>7953.3076135746451</v>
      </c>
      <c r="Y47" s="1">
        <f>IF(ISERROR(HLOOKUP(Y$7,'Debt Amort'!$F$14:$NA$19,6,FALSE)),0,HLOOKUP(Y$7,'Debt Amort'!$F$14:$NA$19,6,FALSE))</f>
        <v>7989.7602734701977</v>
      </c>
      <c r="Z47" s="1">
        <f>IF(ISERROR(HLOOKUP(Z$7,'Debt Amort'!$F$14:$NA$19,6,FALSE)),0,HLOOKUP(Z$7,'Debt Amort'!$F$14:$NA$19,6,FALSE))</f>
        <v>8026.3800080569381</v>
      </c>
      <c r="AA47" s="1">
        <f>IF(ISERROR(HLOOKUP(AA$7,'Debt Amort'!$F$14:$NA$19,6,FALSE)),0,HLOOKUP(AA$7,'Debt Amort'!$F$14:$NA$19,6,FALSE))</f>
        <v>8063.167583093862</v>
      </c>
      <c r="AB47" s="1">
        <f>IF(ISERROR(HLOOKUP(AB$7,'Debt Amort'!$F$14:$NA$19,6,FALSE)),0,HLOOKUP(AB$7,'Debt Amort'!$F$14:$NA$19,6,FALSE))</f>
        <v>8100.1237678497091</v>
      </c>
      <c r="AC47" s="1">
        <f>IF(ISERROR(HLOOKUP(AC$7,'Debt Amort'!$F$14:$NA$19,6,FALSE)),0,HLOOKUP(AC$7,'Debt Amort'!$F$14:$NA$19,6,FALSE))</f>
        <v>8137.2493351190242</v>
      </c>
      <c r="AD47" s="56">
        <f>IF(ISERROR(HLOOKUP(AD$7,'Debt Amort'!$F$14:$NA$19,6,FALSE)),0,HLOOKUP(AD$7,'Debt Amort'!$F$14:$NA$19,6,FALSE))</f>
        <v>8174.5450612383174</v>
      </c>
      <c r="AE47" s="1">
        <f>IF(ISERROR(HLOOKUP(AE$7,'Debt Amort'!$F$14:$NA$19,6,FALSE)),0,HLOOKUP(AE$7,'Debt Amort'!$F$14:$NA$19,6,FALSE))</f>
        <v>8212.0117261023261</v>
      </c>
      <c r="AF47" s="1">
        <f>IF(ISERROR(HLOOKUP(AF$7,'Debt Amort'!$F$14:$NA$19,6,FALSE)),0,HLOOKUP(AF$7,'Debt Amort'!$F$14:$NA$19,6,FALSE))</f>
        <v>8249.6501131802943</v>
      </c>
      <c r="AG47" s="1">
        <f>IF(ISERROR(HLOOKUP(AG$7,'Debt Amort'!$F$14:$NA$19,6,FALSE)),0,HLOOKUP(AG$7,'Debt Amort'!$F$14:$NA$19,6,FALSE))</f>
        <v>8287.4610095323733</v>
      </c>
      <c r="AH47" s="1">
        <f>IF(ISERROR(HLOOKUP(AH$7,'Debt Amort'!$F$14:$NA$19,6,FALSE)),0,HLOOKUP(AH$7,'Debt Amort'!$F$14:$NA$19,6,FALSE))</f>
        <v>8325.4452058260613</v>
      </c>
      <c r="AI47" s="1">
        <f>IF(ISERROR(HLOOKUP(AI$7,'Debt Amort'!$F$14:$NA$19,6,FALSE)),0,HLOOKUP(AI$7,'Debt Amort'!$F$14:$NA$19,6,FALSE))</f>
        <v>8363.6034963527636</v>
      </c>
      <c r="AJ47" s="1">
        <f>IF(ISERROR(HLOOKUP(AJ$7,'Debt Amort'!$F$14:$NA$19,6,FALSE)),0,HLOOKUP(AJ$7,'Debt Amort'!$F$14:$NA$19,6,FALSE))</f>
        <v>8401.9366790443855</v>
      </c>
      <c r="AK47" s="1">
        <f>IF(ISERROR(HLOOKUP(AK$7,'Debt Amort'!$F$14:$NA$19,6,FALSE)),0,HLOOKUP(AK$7,'Debt Amort'!$F$14:$NA$19,6,FALSE))</f>
        <v>8440.4455554900051</v>
      </c>
      <c r="AL47" s="1">
        <f>IF(ISERROR(HLOOKUP(AL$7,'Debt Amort'!$F$14:$NA$19,6,FALSE)),0,HLOOKUP(AL$7,'Debt Amort'!$F$14:$NA$19,6,FALSE))</f>
        <v>8479.1309309526696</v>
      </c>
      <c r="AM47" s="1">
        <f>IF(ISERROR(HLOOKUP(AM$7,'Debt Amort'!$F$14:$NA$19,6,FALSE)),0,HLOOKUP(AM$7,'Debt Amort'!$F$14:$NA$19,6,FALSE))</f>
        <v>8517.9936143862033</v>
      </c>
      <c r="AN47" s="1">
        <f>IF(ISERROR(HLOOKUP(AN$7,'Debt Amort'!$F$14:$NA$19,6,FALSE)),0,HLOOKUP(AN$7,'Debt Amort'!$F$14:$NA$19,6,FALSE))</f>
        <v>8557.0344184521382</v>
      </c>
      <c r="AO47" s="1">
        <f>IF(ISERROR(HLOOKUP(AO$7,'Debt Amort'!$F$14:$NA$19,6,FALSE)),0,HLOOKUP(AO$7,'Debt Amort'!$F$14:$NA$19,6,FALSE))</f>
        <v>8596.2541595367111</v>
      </c>
      <c r="AP47" s="1">
        <f>IF(ISERROR(HLOOKUP(AP$7,'Debt Amort'!$F$14:$NA$19,6,FALSE)),0,HLOOKUP(AP$7,'Debt Amort'!$F$14:$NA$19,6,FALSE))</f>
        <v>8635.6536577679253</v>
      </c>
      <c r="AQ47" s="1">
        <f>IF(ISERROR(HLOOKUP(AQ$7,'Debt Amort'!$F$14:$NA$19,6,FALSE)),0,HLOOKUP(AQ$7,'Debt Amort'!$F$14:$NA$19,6,FALSE))</f>
        <v>8675.2337370326932</v>
      </c>
      <c r="AR47" s="1">
        <f>IF(ISERROR(HLOOKUP(AR$7,'Debt Amort'!$F$14:$NA$19,6,FALSE)),0,HLOOKUP(AR$7,'Debt Amort'!$F$14:$NA$19,6,FALSE))</f>
        <v>8714.9952249940943</v>
      </c>
      <c r="AS47" s="1">
        <f>IF(ISERROR(HLOOKUP(AS$7,'Debt Amort'!$F$14:$NA$19,6,FALSE)),0,HLOOKUP(AS$7,'Debt Amort'!$F$14:$NA$19,6,FALSE))</f>
        <v>8754.938953108649</v>
      </c>
      <c r="AT47" s="1">
        <f>IF(ISERROR(HLOOKUP(AT$7,'Debt Amort'!$F$14:$NA$19,6,FALSE)),0,HLOOKUP(AT$7,'Debt Amort'!$F$14:$NA$19,6,FALSE))</f>
        <v>8795.065756643733</v>
      </c>
      <c r="AU47" s="1">
        <f>IF(ISERROR(HLOOKUP(AU$7,'Debt Amort'!$F$14:$NA$19,6,FALSE)),0,HLOOKUP(AU$7,'Debt Amort'!$F$14:$NA$19,6,FALSE))</f>
        <v>8835.3764746950183</v>
      </c>
      <c r="AV47" s="1">
        <f>IF(ISERROR(HLOOKUP(AV$7,'Debt Amort'!$F$14:$NA$19,6,FALSE)),0,HLOOKUP(AV$7,'Debt Amort'!$F$14:$NA$19,6,FALSE))</f>
        <v>8875.8719502040367</v>
      </c>
      <c r="AW47" s="1">
        <f>IF(ISERROR(HLOOKUP(AW$7,'Debt Amort'!$F$14:$NA$19,6,FALSE)),0,HLOOKUP(AW$7,'Debt Amort'!$F$14:$NA$19,6,FALSE))</f>
        <v>8916.5530299758102</v>
      </c>
      <c r="AX47" s="1">
        <f>IF(ISERROR(HLOOKUP(AX$7,'Debt Amort'!$F$14:$NA$19,6,FALSE)),0,HLOOKUP(AX$7,'Debt Amort'!$F$14:$NA$19,6,FALSE))</f>
        <v>8957.4205646965311</v>
      </c>
      <c r="AY47" s="1">
        <f>IF(ISERROR(HLOOKUP(AY$7,'Debt Amort'!$F$14:$NA$19,6,FALSE)),0,HLOOKUP(AY$7,'Debt Amort'!$F$14:$NA$19,6,FALSE))</f>
        <v>8998.4754089513881</v>
      </c>
      <c r="AZ47" s="1">
        <f>IF(ISERROR(HLOOKUP(AZ$7,'Debt Amort'!$F$14:$NA$19,6,FALSE)),0,HLOOKUP(AZ$7,'Debt Amort'!$F$14:$NA$19,6,FALSE))</f>
        <v>9039.7184212424181</v>
      </c>
      <c r="BA47" s="1">
        <f>IF(ISERROR(HLOOKUP(BA$7,'Debt Amort'!$F$14:$NA$19,6,FALSE)),0,HLOOKUP(BA$7,'Debt Amort'!$F$14:$NA$19,6,FALSE))</f>
        <v>9081.150464006445</v>
      </c>
      <c r="BB47" s="1">
        <f>IF(ISERROR(HLOOKUP(BB$7,'Debt Amort'!$F$14:$NA$19,6,FALSE)),0,HLOOKUP(BB$7,'Debt Amort'!$F$14:$NA$19,6,FALSE))</f>
        <v>9122.7724036331419</v>
      </c>
      <c r="BC47" s="1">
        <f>IF(ISERROR(HLOOKUP(BC$7,'Debt Amort'!$F$14:$NA$19,6,FALSE)),0,HLOOKUP(BC$7,'Debt Amort'!$F$14:$NA$19,6,FALSE))</f>
        <v>9164.5851104831272</v>
      </c>
      <c r="BD47" s="1">
        <f>IF(ISERROR(HLOOKUP(BD$7,'Debt Amort'!$F$14:$NA$19,6,FALSE)),0,HLOOKUP(BD$7,'Debt Amort'!$F$14:$NA$19,6,FALSE))</f>
        <v>9206.5894589061718</v>
      </c>
      <c r="BE47" s="1">
        <f>IF(ISERROR(HLOOKUP(BE$7,'Debt Amort'!$F$14:$NA$19,6,FALSE)),0,HLOOKUP(BE$7,'Debt Amort'!$F$14:$NA$19,6,FALSE))</f>
        <v>9248.7863272594914</v>
      </c>
      <c r="BF47" s="1">
        <f>IF(ISERROR(HLOOKUP(BF$7,'Debt Amort'!$F$14:$NA$19,6,FALSE)),0,HLOOKUP(BF$7,'Debt Amort'!$F$14:$NA$19,6,FALSE))</f>
        <v>9291.1765979260999</v>
      </c>
      <c r="BG47" s="1">
        <f>IF(ISERROR(HLOOKUP(BG$7,'Debt Amort'!$F$14:$NA$19,6,FALSE)),0,HLOOKUP(BG$7,'Debt Amort'!$F$14:$NA$19,6,FALSE))</f>
        <v>9333.7611573332579</v>
      </c>
      <c r="BH47" s="1">
        <f>IF(ISERROR(HLOOKUP(BH$7,'Debt Amort'!$F$14:$NA$19,6,FALSE)),0,HLOOKUP(BH$7,'Debt Amort'!$F$14:$NA$19,6,FALSE))</f>
        <v>9376.5408959710367</v>
      </c>
      <c r="BI47" s="1">
        <f>IF(ISERROR(HLOOKUP(BI$7,'Debt Amort'!$F$14:$NA$19,6,FALSE)),0,HLOOKUP(BI$7,'Debt Amort'!$F$14:$NA$19,6,FALSE))</f>
        <v>9419.5167084109053</v>
      </c>
      <c r="BJ47" s="1">
        <f>IF(ISERROR(HLOOKUP(BJ$7,'Debt Amort'!$F$14:$NA$19,6,FALSE)),0,HLOOKUP(BJ$7,'Debt Amort'!$F$14:$NA$19,6,FALSE))</f>
        <v>9462.6894933244548</v>
      </c>
      <c r="BK47" s="1">
        <f>IF(ISERROR(HLOOKUP(BK$7,'Debt Amort'!$F$14:$NA$19,6,FALSE)),0,HLOOKUP(BK$7,'Debt Amort'!$F$14:$NA$19,6,FALSE))</f>
        <v>9506.060153502196</v>
      </c>
      <c r="BL47" s="1">
        <f>IF(ISERROR(HLOOKUP(BL$7,'Debt Amort'!$F$14:$NA$19,6,FALSE)),0,HLOOKUP(BL$7,'Debt Amort'!$F$14:$NA$19,6,FALSE))</f>
        <v>9549.6295958724113</v>
      </c>
      <c r="BM47" s="1">
        <f>IF(ISERROR(HLOOKUP(BM$7,'Debt Amort'!$F$14:$NA$19,6,FALSE)),0,HLOOKUP(BM$7,'Debt Amort'!$F$14:$NA$19,6,FALSE))</f>
        <v>9593.3987315201593</v>
      </c>
      <c r="BN47" s="1">
        <f>IF(ISERROR(HLOOKUP(BN$7,'Debt Amort'!$F$14:$NA$19,6,FALSE)),0,HLOOKUP(BN$7,'Debt Amort'!$F$14:$NA$19,6,FALSE))</f>
        <v>9637.3684757062947</v>
      </c>
      <c r="BO47" s="1">
        <f>IF(ISERROR(HLOOKUP(BO$7,'Debt Amort'!$F$14:$NA$19,6,FALSE)),0,HLOOKUP(BO$7,'Debt Amort'!$F$14:$NA$19,6,FALSE))</f>
        <v>9681.5397478866144</v>
      </c>
      <c r="BP47" s="1">
        <f>IF(ISERROR(HLOOKUP(BP$7,'Debt Amort'!$F$14:$NA$19,6,FALSE)),0,HLOOKUP(BP$7,'Debt Amort'!$F$14:$NA$19,6,FALSE))</f>
        <v>9725.9134717310953</v>
      </c>
      <c r="BQ47" s="1">
        <f>IF(ISERROR(HLOOKUP(BQ$7,'Debt Amort'!$F$14:$NA$19,6,FALSE)),0,HLOOKUP(BQ$7,'Debt Amort'!$F$14:$NA$19,6,FALSE))</f>
        <v>9770.4905751431943</v>
      </c>
      <c r="BR47" s="1">
        <f>IF(ISERROR(HLOOKUP(BR$7,'Debt Amort'!$F$14:$NA$19,6,FALSE)),0,HLOOKUP(BR$7,'Debt Amort'!$F$14:$NA$19,6,FALSE))</f>
        <v>9815.2719902792669</v>
      </c>
      <c r="BS47" s="1">
        <f>IF(ISERROR(HLOOKUP(BS$7,'Debt Amort'!$F$14:$NA$19,6,FALSE)),0,HLOOKUP(BS$7,'Debt Amort'!$F$14:$NA$19,6,FALSE))</f>
        <v>9860.2586535680493</v>
      </c>
      <c r="BT47" s="1">
        <f>IF(ISERROR(HLOOKUP(BT$7,'Debt Amort'!$F$14:$NA$19,6,FALSE)),0,HLOOKUP(BT$7,'Debt Amort'!$F$14:$NA$19,6,FALSE))</f>
        <v>9905.4515057302342</v>
      </c>
      <c r="BU47" s="1">
        <f>IF(ISERROR(HLOOKUP(BU$7,'Debt Amort'!$F$14:$NA$19,6,FALSE)),0,HLOOKUP(BU$7,'Debt Amort'!$F$14:$NA$19,6,FALSE))</f>
        <v>9950.8514917981665</v>
      </c>
      <c r="BV47" s="1">
        <f>IF(ISERROR(HLOOKUP(BV$7,'Debt Amort'!$F$14:$NA$19,6,FALSE)),0,HLOOKUP(BV$7,'Debt Amort'!$F$14:$NA$19,6,FALSE))</f>
        <v>9996.4595611355762</v>
      </c>
      <c r="BW47" s="1">
        <f>IF(ISERROR(HLOOKUP(BW$7,'Debt Amort'!$F$14:$NA$19,6,FALSE)),0,HLOOKUP(BW$7,'Debt Amort'!$F$14:$NA$19,6,FALSE))</f>
        <v>10042.276667457445</v>
      </c>
      <c r="BX47" s="1">
        <f>IF(ISERROR(HLOOKUP(BX$7,'Debt Amort'!$F$14:$NA$19,6,FALSE)),0,HLOOKUP(BX$7,'Debt Amort'!$F$14:$NA$19,6,FALSE))</f>
        <v>10088.303768849961</v>
      </c>
      <c r="BY47" s="1">
        <f>IF(ISERROR(HLOOKUP(BY$7,'Debt Amort'!$F$14:$NA$19,6,FALSE)),0,HLOOKUP(BY$7,'Debt Amort'!$F$14:$NA$19,6,FALSE))</f>
        <v>10134.541827790523</v>
      </c>
      <c r="BZ47" s="1">
        <f>IF(ISERROR(HLOOKUP(BZ$7,'Debt Amort'!$F$14:$NA$19,6,FALSE)),0,HLOOKUP(BZ$7,'Debt Amort'!$F$14:$NA$19,6,FALSE))</f>
        <v>10180.991811167896</v>
      </c>
      <c r="CA47" s="1">
        <f>IF(ISERROR(HLOOKUP(CA$7,'Debt Amort'!$F$14:$NA$19,6,FALSE)),0,HLOOKUP(CA$7,'Debt Amort'!$F$14:$NA$19,6,FALSE))</f>
        <v>10227.654690302414</v>
      </c>
      <c r="CB47" s="1">
        <f>IF(ISERROR(HLOOKUP(CB$7,'Debt Amort'!$F$14:$NA$19,6,FALSE)),0,HLOOKUP(CB$7,'Debt Amort'!$F$14:$NA$19,6,FALSE))</f>
        <v>10274.531440966301</v>
      </c>
      <c r="CC47" s="1">
        <f>IF(ISERROR(HLOOKUP(CC$7,'Debt Amort'!$F$14:$NA$19,6,FALSE)),0,HLOOKUP(CC$7,'Debt Amort'!$F$14:$NA$19,6,FALSE))</f>
        <v>10321.623043404063</v>
      </c>
      <c r="CD47" s="1">
        <f>IF(ISERROR(HLOOKUP(CD$7,'Debt Amort'!$F$14:$NA$19,6,FALSE)),0,HLOOKUP(CD$7,'Debt Amort'!$F$14:$NA$19,6,FALSE))</f>
        <v>10368.930482352996</v>
      </c>
      <c r="CE47" s="1">
        <f>IF(ISERROR(HLOOKUP(CE$7,'Debt Amort'!$F$14:$NA$19,6,FALSE)),0,HLOOKUP(CE$7,'Debt Amort'!$F$14:$NA$19,6,FALSE))</f>
        <v>10416.454747063781</v>
      </c>
      <c r="CF47" s="1">
        <f>IF(ISERROR(HLOOKUP(CF$7,'Debt Amort'!$F$14:$NA$19,6,FALSE)),0,HLOOKUP(CF$7,'Debt Amort'!$F$14:$NA$19,6,FALSE))</f>
        <v>10464.196831321158</v>
      </c>
      <c r="CG47" s="1">
        <f>IF(ISERROR(HLOOKUP(CG$7,'Debt Amort'!$F$14:$NA$19,6,FALSE)),0,HLOOKUP(CG$7,'Debt Amort'!$F$14:$NA$19,6,FALSE))</f>
        <v>10512.157733464712</v>
      </c>
      <c r="CH47" s="1">
        <f>IF(ISERROR(HLOOKUP(CH$7,'Debt Amort'!$F$14:$NA$19,6,FALSE)),0,HLOOKUP(CH$7,'Debt Amort'!$F$14:$NA$19,6,FALSE))</f>
        <v>10560.338456409761</v>
      </c>
      <c r="CI47" s="1">
        <f>IF(ISERROR(HLOOKUP(CI$7,'Debt Amort'!$F$14:$NA$19,6,FALSE)),0,HLOOKUP(CI$7,'Debt Amort'!$F$14:$NA$19,6,FALSE))</f>
        <v>10608.740007668304</v>
      </c>
      <c r="CJ47" s="1">
        <f>IF(ISERROR(HLOOKUP(CJ$7,'Debt Amort'!$F$14:$NA$19,6,FALSE)),0,HLOOKUP(CJ$7,'Debt Amort'!$F$14:$NA$19,6,FALSE))</f>
        <v>10657.363399370119</v>
      </c>
      <c r="CK47" s="1">
        <f>IF(ISERROR(HLOOKUP(CK$7,'Debt Amort'!$F$14:$NA$19,6,FALSE)),0,HLOOKUP(CK$7,'Debt Amort'!$F$14:$NA$19,6,FALSE))</f>
        <v>10706.209648283897</v>
      </c>
      <c r="CL47" s="1">
        <f>IF(ISERROR(HLOOKUP(CL$7,'Debt Amort'!$F$14:$NA$19,6,FALSE)),0,HLOOKUP(CL$7,'Debt Amort'!$F$14:$NA$19,6,FALSE))</f>
        <v>10755.279775838535</v>
      </c>
      <c r="CM47" s="1">
        <f>IF(ISERROR(HLOOKUP(CM$7,'Debt Amort'!$F$14:$NA$19,6,FALSE)),0,HLOOKUP(CM$7,'Debt Amort'!$F$14:$NA$19,6,FALSE))</f>
        <v>10804.574808144458</v>
      </c>
      <c r="CN47" s="1">
        <f>IF(ISERROR(HLOOKUP(CN$7,'Debt Amort'!$F$14:$NA$19,6,FALSE)),0,HLOOKUP(CN$7,'Debt Amort'!$F$14:$NA$19,6,FALSE))</f>
        <v>10854.095776015121</v>
      </c>
      <c r="CO47" s="1">
        <f>IF(ISERROR(HLOOKUP(CO$7,'Debt Amort'!$F$14:$NA$19,6,FALSE)),0,HLOOKUP(CO$7,'Debt Amort'!$F$14:$NA$19,6,FALSE))</f>
        <v>10903.843714988525</v>
      </c>
      <c r="CP47" s="1">
        <f>IF(ISERROR(HLOOKUP(CP$7,'Debt Amort'!$F$14:$NA$19,6,FALSE)),0,HLOOKUP(CP$7,'Debt Amort'!$F$14:$NA$19,6,FALSE))</f>
        <v>10953.819665348885</v>
      </c>
      <c r="CQ47" s="1">
        <f>IF(ISERROR(HLOOKUP(CQ$7,'Debt Amort'!$F$14:$NA$19,6,FALSE)),0,HLOOKUP(CQ$7,'Debt Amort'!$F$14:$NA$19,6,FALSE))</f>
        <v>11004.024672148404</v>
      </c>
      <c r="CR47" s="1">
        <f>IF(ISERROR(HLOOKUP(CR$7,'Debt Amort'!$F$14:$NA$19,6,FALSE)),0,HLOOKUP(CR$7,'Debt Amort'!$F$14:$NA$19,6,FALSE))</f>
        <v>11054.459785229083</v>
      </c>
      <c r="CS47" s="1">
        <f>IF(ISERROR(HLOOKUP(CS$7,'Debt Amort'!$F$14:$NA$19,6,FALSE)),0,HLOOKUP(CS$7,'Debt Amort'!$F$14:$NA$19,6,FALSE))</f>
        <v>11105.126059244718</v>
      </c>
      <c r="CT47" s="1">
        <f>IF(ISERROR(HLOOKUP(CT$7,'Debt Amort'!$F$14:$NA$19,6,FALSE)),0,HLOOKUP(CT$7,'Debt Amort'!$F$14:$NA$19,6,FALSE))</f>
        <v>11156.024553682921</v>
      </c>
      <c r="CU47" s="1">
        <f>IF(ISERROR(HLOOKUP(CU$7,'Debt Amort'!$F$14:$NA$19,6,FALSE)),0,HLOOKUP(CU$7,'Debt Amort'!$F$14:$NA$19,6,FALSE))</f>
        <v>11207.156332887302</v>
      </c>
      <c r="CV47" s="1">
        <f>IF(ISERROR(HLOOKUP(CV$7,'Debt Amort'!$F$14:$NA$19,6,FALSE)),0,HLOOKUP(CV$7,'Debt Amort'!$F$14:$NA$19,6,FALSE))</f>
        <v>11258.522466079703</v>
      </c>
      <c r="CW47" s="1">
        <f>IF(ISERROR(HLOOKUP(CW$7,'Debt Amort'!$F$14:$NA$19,6,FALSE)),0,HLOOKUP(CW$7,'Debt Amort'!$F$14:$NA$19,6,FALSE))</f>
        <v>11310.124027382568</v>
      </c>
      <c r="CX47" s="1">
        <f>IF(ISERROR(HLOOKUP(CX$7,'Debt Amort'!$F$14:$NA$19,6,FALSE)),0,HLOOKUP(CX$7,'Debt Amort'!$F$14:$NA$19,6,FALSE))</f>
        <v>11361.962095841405</v>
      </c>
      <c r="CY47" s="1">
        <f>IF(ISERROR(HLOOKUP(CY$7,'Debt Amort'!$F$14:$NA$19,6,FALSE)),0,HLOOKUP(CY$7,'Debt Amort'!$F$14:$NA$19,6,FALSE))</f>
        <v>11414.037755447345</v>
      </c>
      <c r="CZ47" s="1">
        <f>IF(ISERROR(HLOOKUP(CZ$7,'Debt Amort'!$F$14:$NA$19,6,FALSE)),0,HLOOKUP(CZ$7,'Debt Amort'!$F$14:$NA$19,6,FALSE))</f>
        <v>11466.352095159811</v>
      </c>
      <c r="DA47" s="1">
        <f>IF(ISERROR(HLOOKUP(DA$7,'Debt Amort'!$F$14:$NA$19,6,FALSE)),0,HLOOKUP(DA$7,'Debt Amort'!$F$14:$NA$19,6,FALSE))</f>
        <v>11518.906208929293</v>
      </c>
      <c r="DB47" s="1">
        <f>IF(ISERROR(HLOOKUP(DB$7,'Debt Amort'!$F$14:$NA$19,6,FALSE)),0,HLOOKUP(DB$7,'Debt Amort'!$F$14:$NA$19,6,FALSE))</f>
        <v>11571.701195720219</v>
      </c>
      <c r="DC47" s="1">
        <f>IF(ISERROR(HLOOKUP(DC$7,'Debt Amort'!$F$14:$NA$19,6,FALSE)),0,HLOOKUP(DC$7,'Debt Amort'!$F$14:$NA$19,6,FALSE))</f>
        <v>11624.738159533936</v>
      </c>
      <c r="DD47" s="1">
        <f>IF(ISERROR(HLOOKUP(DD$7,'Debt Amort'!$F$14:$NA$19,6,FALSE)),0,HLOOKUP(DD$7,'Debt Amort'!$F$14:$NA$19,6,FALSE))</f>
        <v>11678.018209431801</v>
      </c>
      <c r="DE47" s="1">
        <f>IF(ISERROR(HLOOKUP(DE$7,'Debt Amort'!$F$14:$NA$19,6,FALSE)),0,HLOOKUP(DE$7,'Debt Amort'!$F$14:$NA$19,6,FALSE))</f>
        <v>11731.542459558364</v>
      </c>
      <c r="DF47" s="1">
        <f>IF(ISERROR(HLOOKUP(DF$7,'Debt Amort'!$F$14:$NA$19,6,FALSE)),0,HLOOKUP(DF$7,'Debt Amort'!$F$14:$NA$19,6,FALSE))</f>
        <v>11785.31202916467</v>
      </c>
      <c r="DG47" s="1">
        <f>IF(ISERROR(HLOOKUP(DG$7,'Debt Amort'!$F$14:$NA$19,6,FALSE)),0,HLOOKUP(DG$7,'Debt Amort'!$F$14:$NA$19,6,FALSE))</f>
        <v>11839.328042631678</v>
      </c>
      <c r="DH47" s="1">
        <f>IF(ISERROR(HLOOKUP(DH$7,'Debt Amort'!$F$14:$NA$19,6,FALSE)),0,HLOOKUP(DH$7,'Debt Amort'!$F$14:$NA$19,6,FALSE))</f>
        <v>11893.591629493738</v>
      </c>
      <c r="DI47" s="1">
        <f>IF(ISERROR(HLOOKUP(DI$7,'Debt Amort'!$F$14:$NA$19,6,FALSE)),0,HLOOKUP(DI$7,'Debt Amort'!$F$14:$NA$19,6,FALSE))</f>
        <v>11948.103924462248</v>
      </c>
      <c r="DJ47" s="1">
        <f>IF(ISERROR(HLOOKUP(DJ$7,'Debt Amort'!$F$14:$NA$19,6,FALSE)),0,HLOOKUP(DJ$7,'Debt Amort'!$F$14:$NA$19,6,FALSE))</f>
        <v>12002.866067449369</v>
      </c>
      <c r="DK47" s="1">
        <f>IF(ISERROR(HLOOKUP(DK$7,'Debt Amort'!$F$14:$NA$19,6,FALSE)),0,HLOOKUP(DK$7,'Debt Amort'!$F$14:$NA$19,6,FALSE))</f>
        <v>12057.879203591845</v>
      </c>
      <c r="DL47" s="1">
        <f>IF(ISERROR(HLOOKUP(DL$7,'Debt Amort'!$F$14:$NA$19,6,FALSE)),0,HLOOKUP(DL$7,'Debt Amort'!$F$14:$NA$19,6,FALSE))</f>
        <v>12113.144483274973</v>
      </c>
      <c r="DM47" s="1">
        <f>IF(ISERROR(HLOOKUP(DM$7,'Debt Amort'!$F$14:$NA$19,6,FALSE)),0,HLOOKUP(DM$7,'Debt Amort'!$F$14:$NA$19,6,FALSE))</f>
        <v>12168.663062156651</v>
      </c>
      <c r="DN47" s="1">
        <f>IF(ISERROR(HLOOKUP(DN$7,'Debt Amort'!$F$14:$NA$19,6,FALSE)),0,HLOOKUP(DN$7,'Debt Amort'!$F$14:$NA$19,6,FALSE))</f>
        <v>12224.436101191535</v>
      </c>
      <c r="DO47" s="1">
        <f>IF(ISERROR(HLOOKUP(DO$7,'Debt Amort'!$F$14:$NA$19,6,FALSE)),0,HLOOKUP(DO$7,'Debt Amort'!$F$14:$NA$19,6,FALSE))</f>
        <v>12280.464766655332</v>
      </c>
      <c r="DP47" s="1">
        <f>IF(ISERROR(HLOOKUP(DP$7,'Debt Amort'!$F$14:$NA$19,6,FALSE)),0,HLOOKUP(DP$7,'Debt Amort'!$F$14:$NA$19,6,FALSE))</f>
        <v>12336.750230169167</v>
      </c>
      <c r="DQ47" s="1">
        <f>IF(ISERROR(HLOOKUP(DQ$7,'Debt Amort'!$F$14:$NA$19,6,FALSE)),0,HLOOKUP(DQ$7,'Debt Amort'!$F$14:$NA$19,6,FALSE))</f>
        <v>12393.293668724109</v>
      </c>
      <c r="DR47" s="1">
        <f>IF(ISERROR(HLOOKUP(DR$7,'Debt Amort'!$F$14:$NA$19,6,FALSE)),0,HLOOKUP(DR$7,'Debt Amort'!$F$14:$NA$19,6,FALSE))</f>
        <v>12450.09626470576</v>
      </c>
      <c r="DS47" s="1">
        <f>IF(ISERROR(HLOOKUP(DS$7,'Debt Amort'!$F$14:$NA$19,6,FALSE)),0,HLOOKUP(DS$7,'Debt Amort'!$F$14:$NA$19,6,FALSE))</f>
        <v>12507.159205918997</v>
      </c>
      <c r="DT47" s="1">
        <f>IF(ISERROR(HLOOKUP(DT$7,'Debt Amort'!$F$14:$NA$19,6,FALSE)),0,HLOOKUP(DT$7,'Debt Amort'!$F$14:$NA$19,6,FALSE))</f>
        <v>12564.483685612795</v>
      </c>
      <c r="DU47" s="1">
        <f>IF(ISERROR(HLOOKUP(DU$7,'Debt Amort'!$F$14:$NA$19,6,FALSE)),0,HLOOKUP(DU$7,'Debt Amort'!$F$14:$NA$19,6,FALSE))</f>
        <v>12622.070902505184</v>
      </c>
      <c r="DV47" s="1">
        <f>IF(ISERROR(HLOOKUP(DV$7,'Debt Amort'!$F$14:$NA$19,6,FALSE)),0,HLOOKUP(DV$7,'Debt Amort'!$F$14:$NA$19,6,FALSE))</f>
        <v>12679.922060808332</v>
      </c>
      <c r="DW47" s="1">
        <f>IF(ISERROR(HLOOKUP(DW$7,'Debt Amort'!$F$14:$NA$19,6,FALSE)),0,HLOOKUP(DW$7,'Debt Amort'!$F$14:$NA$19,6,FALSE))</f>
        <v>12738.038370253704</v>
      </c>
      <c r="DX47" s="1">
        <f>IF(ISERROR(HLOOKUP(DX$7,'Debt Amort'!$F$14:$NA$19,6,FALSE)),0,HLOOKUP(DX$7,'Debt Amort'!$F$14:$NA$19,6,FALSE))</f>
        <v>12796.421046117366</v>
      </c>
      <c r="DY47" s="1">
        <f>IF(ISERROR(HLOOKUP(DY$7,'Debt Amort'!$F$14:$NA$19,6,FALSE)),0,HLOOKUP(DY$7,'Debt Amort'!$F$14:$NA$19,6,FALSE))</f>
        <v>12855.071309245403</v>
      </c>
      <c r="DZ47" s="1">
        <f>IF(ISERROR(HLOOKUP(DZ$7,'Debt Amort'!$F$14:$NA$19,6,FALSE)),0,HLOOKUP(DZ$7,'Debt Amort'!$F$14:$NA$19,6,FALSE))</f>
        <v>12913.990386079444</v>
      </c>
      <c r="EA47" s="1">
        <f>IF(ISERROR(HLOOKUP(EA$7,'Debt Amort'!$F$14:$NA$19,6,FALSE)),0,HLOOKUP(EA$7,'Debt Amort'!$F$14:$NA$19,6,FALSE))</f>
        <v>12973.179508682308</v>
      </c>
      <c r="EB47" s="1">
        <f>IF(ISERROR(HLOOKUP(EB$7,'Debt Amort'!$F$14:$NA$19,6,FALSE)),0,HLOOKUP(EB$7,'Debt Amort'!$F$14:$NA$19,6,FALSE))</f>
        <v>13032.639914763769</v>
      </c>
      <c r="EC47" s="1">
        <f>IF(ISERROR(HLOOKUP(EC$7,'Debt Amort'!$F$14:$NA$19,6,FALSE)),0,HLOOKUP(EC$7,'Debt Amort'!$F$14:$NA$19,6,FALSE))</f>
        <v>13092.372847706436</v>
      </c>
      <c r="ED47" s="1">
        <f>IF(ISERROR(HLOOKUP(ED$7,'Debt Amort'!$F$14:$NA$19,6,FALSE)),0,HLOOKUP(ED$7,'Debt Amort'!$F$14:$NA$19,6,FALSE))</f>
        <v>13152.379556591757</v>
      </c>
      <c r="EE47" s="1">
        <f>IF(ISERROR(HLOOKUP(EE$7,'Debt Amort'!$F$14:$NA$19,6,FALSE)),0,HLOOKUP(EE$7,'Debt Amort'!$F$14:$NA$19,6,FALSE))</f>
        <v>13212.661296226135</v>
      </c>
      <c r="EF47" s="1">
        <f>IF(ISERROR(HLOOKUP(EF$7,'Debt Amort'!$F$14:$NA$19,6,FALSE)),0,HLOOKUP(EF$7,'Debt Amort'!$F$14:$NA$19,6,FALSE))</f>
        <v>13273.219327167171</v>
      </c>
      <c r="EG47" s="1">
        <f>IF(ISERROR(HLOOKUP(EG$7,'Debt Amort'!$F$14:$NA$19,6,FALSE)),0,HLOOKUP(EG$7,'Debt Amort'!$F$14:$NA$19,6,FALSE))</f>
        <v>13334.054915750021</v>
      </c>
      <c r="EH47" s="1">
        <f>IF(ISERROR(HLOOKUP(EH$7,'Debt Amort'!$F$14:$NA$19,6,FALSE)),0,HLOOKUP(EH$7,'Debt Amort'!$F$14:$NA$19,6,FALSE))</f>
        <v>13395.169334113874</v>
      </c>
      <c r="EI47" s="1">
        <f>IF(ISERROR(HLOOKUP(EI$7,'Debt Amort'!$F$14:$NA$19,6,FALSE)),0,HLOOKUP(EI$7,'Debt Amort'!$F$14:$NA$19,6,FALSE))</f>
        <v>13456.563860228565</v>
      </c>
      <c r="EJ47" s="1">
        <f>IF(ISERROR(HLOOKUP(EJ$7,'Debt Amort'!$F$14:$NA$19,6,FALSE)),0,HLOOKUP(EJ$7,'Debt Amort'!$F$14:$NA$19,6,FALSE))</f>
        <v>13518.239777921279</v>
      </c>
      <c r="EK47" s="1">
        <f>IF(ISERROR(HLOOKUP(EK$7,'Debt Amort'!$F$14:$NA$19,6,FALSE)),0,HLOOKUP(EK$7,'Debt Amort'!$F$14:$NA$19,6,FALSE))</f>
        <v>13580.198376903418</v>
      </c>
      <c r="EL47" s="1">
        <f>IF(ISERROR(HLOOKUP(EL$7,'Debt Amort'!$F$14:$NA$19,6,FALSE)),0,HLOOKUP(EL$7,'Debt Amort'!$F$14:$NA$19,6,FALSE))</f>
        <v>13642.440952797559</v>
      </c>
      <c r="EM47" s="1">
        <f>IF(ISERROR(HLOOKUP(EM$7,'Debt Amort'!$F$14:$NA$19,6,FALSE)),0,HLOOKUP(EM$7,'Debt Amort'!$F$14:$NA$19,6,FALSE))</f>
        <v>13704.968807164547</v>
      </c>
      <c r="EN47" s="1">
        <f>IF(ISERROR(HLOOKUP(EN$7,'Debt Amort'!$F$14:$NA$19,6,FALSE)),0,HLOOKUP(EN$7,'Debt Amort'!$F$14:$NA$19,6,FALSE))</f>
        <v>13767.783247530719</v>
      </c>
      <c r="EO47" s="1">
        <f>IF(ISERROR(HLOOKUP(EO$7,'Debt Amort'!$F$14:$NA$19,6,FALSE)),0,HLOOKUP(EO$7,'Debt Amort'!$F$14:$NA$19,6,FALSE))</f>
        <v>13830.885587415234</v>
      </c>
      <c r="EP47" s="1">
        <f>IF(ISERROR(HLOOKUP(EP$7,'Debt Amort'!$F$14:$NA$19,6,FALSE)),0,HLOOKUP(EP$7,'Debt Amort'!$F$14:$NA$19,6,FALSE))</f>
        <v>13894.277146357554</v>
      </c>
      <c r="EQ47" s="1">
        <f>IF(ISERROR(HLOOKUP(EQ$7,'Debt Amort'!$F$14:$NA$19,6,FALSE)),0,HLOOKUP(EQ$7,'Debt Amort'!$F$14:$NA$19,6,FALSE))</f>
        <v>13957.959249945026</v>
      </c>
      <c r="ER47" s="1">
        <f>IF(ISERROR(HLOOKUP(ER$7,'Debt Amort'!$F$14:$NA$19,6,FALSE)),0,HLOOKUP(ER$7,'Debt Amort'!$F$14:$NA$19,6,FALSE))</f>
        <v>14021.933229840608</v>
      </c>
      <c r="ES47" s="1">
        <f>IF(ISERROR(HLOOKUP(ES$7,'Debt Amort'!$F$14:$NA$19,6,FALSE)),0,HLOOKUP(ES$7,'Debt Amort'!$F$14:$NA$19,6,FALSE))</f>
        <v>14086.200423810711</v>
      </c>
      <c r="ET47" s="1">
        <f>IF(ISERROR(HLOOKUP(ET$7,'Debt Amort'!$F$14:$NA$19,6,FALSE)),0,HLOOKUP(ET$7,'Debt Amort'!$F$14:$NA$19,6,FALSE))</f>
        <v>14150.762175753176</v>
      </c>
      <c r="EU47" s="1">
        <f>IF(ISERROR(HLOOKUP(EU$7,'Debt Amort'!$F$14:$NA$19,6,FALSE)),0,HLOOKUP(EU$7,'Debt Amort'!$F$14:$NA$19,6,FALSE))</f>
        <v>14215.619835725378</v>
      </c>
      <c r="EV47" s="1">
        <f>IF(ISERROR(HLOOKUP(EV$7,'Debt Amort'!$F$14:$NA$19,6,FALSE)),0,HLOOKUP(EV$7,'Debt Amort'!$F$14:$NA$19,6,FALSE))</f>
        <v>14280.774759972453</v>
      </c>
      <c r="EW47" s="1">
        <f>IF(ISERROR(HLOOKUP(EW$7,'Debt Amort'!$F$14:$NA$19,6,FALSE)),0,HLOOKUP(EW$7,'Debt Amort'!$F$14:$NA$19,6,FALSE))</f>
        <v>14346.228310955661</v>
      </c>
      <c r="EX47" s="1">
        <f>IF(ISERROR(HLOOKUP(EX$7,'Debt Amort'!$F$14:$NA$19,6,FALSE)),0,HLOOKUP(EX$7,'Debt Amort'!$F$14:$NA$19,6,FALSE))</f>
        <v>14411.981857380875</v>
      </c>
      <c r="EY47" s="1">
        <f>IF(ISERROR(HLOOKUP(EY$7,'Debt Amort'!$F$14:$NA$19,6,FALSE)),0,HLOOKUP(EY$7,'Debt Amort'!$F$14:$NA$19,6,FALSE))</f>
        <v>14478.036774227203</v>
      </c>
      <c r="EZ47" s="1">
        <f>IF(ISERROR(HLOOKUP(EZ$7,'Debt Amort'!$F$14:$NA$19,6,FALSE)),0,HLOOKUP(EZ$7,'Debt Amort'!$F$14:$NA$19,6,FALSE))</f>
        <v>14544.394442775745</v>
      </c>
      <c r="FA47" s="1">
        <f>IF(ISERROR(HLOOKUP(FA$7,'Debt Amort'!$F$14:$NA$19,6,FALSE)),0,HLOOKUP(FA$7,'Debt Amort'!$F$14:$NA$19,6,FALSE))</f>
        <v>14611.056250638469</v>
      </c>
      <c r="FB47" s="1">
        <f>IF(ISERROR(HLOOKUP(FB$7,'Debt Amort'!$F$14:$NA$19,6,FALSE)),0,HLOOKUP(FB$7,'Debt Amort'!$F$14:$NA$19,6,FALSE))</f>
        <v>14678.023591787227</v>
      </c>
      <c r="FC47" s="1">
        <f>IF(ISERROR(HLOOKUP(FC$7,'Debt Amort'!$F$14:$NA$19,6,FALSE)),0,HLOOKUP(FC$7,'Debt Amort'!$F$14:$NA$19,6,FALSE))</f>
        <v>14745.297866582918</v>
      </c>
      <c r="FD47" s="1">
        <f>IF(ISERROR(HLOOKUP(FD$7,'Debt Amort'!$F$14:$NA$19,6,FALSE)),0,HLOOKUP(FD$7,'Debt Amort'!$F$14:$NA$19,6,FALSE))</f>
        <v>14812.880481804756</v>
      </c>
      <c r="FE47" s="1">
        <f>IF(ISERROR(HLOOKUP(FE$7,'Debt Amort'!$F$14:$NA$19,6,FALSE)),0,HLOOKUP(FE$7,'Debt Amort'!$F$14:$NA$19,6,FALSE))</f>
        <v>14880.772850679694</v>
      </c>
      <c r="FF47" s="1">
        <f>IF(ISERROR(HLOOKUP(FF$7,'Debt Amort'!$F$14:$NA$19,6,FALSE)),0,HLOOKUP(FF$7,'Debt Amort'!$F$14:$NA$19,6,FALSE))</f>
        <v>14948.976392911976</v>
      </c>
      <c r="FG47" s="1">
        <f>IF(ISERROR(HLOOKUP(FG$7,'Debt Amort'!$F$14:$NA$19,6,FALSE)),0,HLOOKUP(FG$7,'Debt Amort'!$F$14:$NA$19,6,FALSE))</f>
        <v>15017.492534712821</v>
      </c>
      <c r="FH47" s="1">
        <f>IF(ISERROR(HLOOKUP(FH$7,'Debt Amort'!$F$14:$NA$19,6,FALSE)),0,HLOOKUP(FH$7,'Debt Amort'!$F$14:$NA$19,6,FALSE))</f>
        <v>15086.322708830256</v>
      </c>
      <c r="FI47" s="1">
        <f>IF(ISERROR(HLOOKUP(FI$7,'Debt Amort'!$F$14:$NA$19,6,FALSE)),0,HLOOKUP(FI$7,'Debt Amort'!$F$14:$NA$19,6,FALSE))</f>
        <v>15155.468354579061</v>
      </c>
      <c r="FJ47" s="1">
        <f>IF(ISERROR(HLOOKUP(FJ$7,'Debt Amort'!$F$14:$NA$19,6,FALSE)),0,HLOOKUP(FJ$7,'Debt Amort'!$F$14:$NA$19,6,FALSE))</f>
        <v>15224.930917870883</v>
      </c>
      <c r="FK47" s="1">
        <f>IF(ISERROR(HLOOKUP(FK$7,'Debt Amort'!$F$14:$NA$19,6,FALSE)),0,HLOOKUP(FK$7,'Debt Amort'!$F$14:$NA$19,6,FALSE))</f>
        <v>15294.711851244456</v>
      </c>
      <c r="FL47" s="1">
        <f>IF(ISERROR(HLOOKUP(FL$7,'Debt Amort'!$F$14:$NA$19,6,FALSE)),0,HLOOKUP(FL$7,'Debt Amort'!$F$14:$NA$19,6,FALSE))</f>
        <v>15364.812613895992</v>
      </c>
      <c r="FM47" s="1">
        <f>IF(ISERROR(HLOOKUP(FM$7,'Debt Amort'!$F$14:$NA$19,6,FALSE)),0,HLOOKUP(FM$7,'Debt Amort'!$F$14:$NA$19,6,FALSE))</f>
        <v>15435.234671709683</v>
      </c>
      <c r="FN47" s="1">
        <f>IF(ISERROR(HLOOKUP(FN$7,'Debt Amort'!$F$14:$NA$19,6,FALSE)),0,HLOOKUP(FN$7,'Debt Amort'!$F$14:$NA$19,6,FALSE))</f>
        <v>15505.979497288352</v>
      </c>
      <c r="FO47" s="1">
        <f>IF(ISERROR(HLOOKUP(FO$7,'Debt Amort'!$F$14:$NA$19,6,FALSE)),0,HLOOKUP(FO$7,'Debt Amort'!$F$14:$NA$19,6,FALSE))</f>
        <v>15577.048569984257</v>
      </c>
      <c r="FP47" s="1">
        <f>IF(ISERROR(HLOOKUP(FP$7,'Debt Amort'!$F$14:$NA$19,6,FALSE)),0,HLOOKUP(FP$7,'Debt Amort'!$F$14:$NA$19,6,FALSE))</f>
        <v>15648.443375930017</v>
      </c>
      <c r="FQ47" s="1">
        <f>IF(ISERROR(HLOOKUP(FQ$7,'Debt Amort'!$F$14:$NA$19,6,FALSE)),0,HLOOKUP(FQ$7,'Debt Amort'!$F$14:$NA$19,6,FALSE))</f>
        <v>15720.165408069697</v>
      </c>
      <c r="FR47" s="1">
        <f>IF(ISERROR(HLOOKUP(FR$7,'Debt Amort'!$F$14:$NA$19,6,FALSE)),0,HLOOKUP(FR$7,'Debt Amort'!$F$14:$NA$19,6,FALSE))</f>
        <v>15792.216166190017</v>
      </c>
      <c r="FS47" s="1">
        <f>IF(ISERROR(HLOOKUP(FS$7,'Debt Amort'!$F$14:$NA$19,6,FALSE)),0,HLOOKUP(FS$7,'Debt Amort'!$F$14:$NA$19,6,FALSE))</f>
        <v>15864.597156951721</v>
      </c>
      <c r="FT47" s="1">
        <f>IF(ISERROR(HLOOKUP(FT$7,'Debt Amort'!$F$14:$NA$19,6,FALSE)),0,HLOOKUP(FT$7,'Debt Amort'!$F$14:$NA$19,6,FALSE))</f>
        <v>15937.309893921083</v>
      </c>
      <c r="FU47" s="1">
        <f>IF(ISERROR(HLOOKUP(FU$7,'Debt Amort'!$F$14:$NA$19,6,FALSE)),0,HLOOKUP(FU$7,'Debt Amort'!$F$14:$NA$19,6,FALSE))</f>
        <v>16010.355897601554</v>
      </c>
      <c r="FV47" s="1">
        <f>IF(ISERROR(HLOOKUP(FV$7,'Debt Amort'!$F$14:$NA$19,6,FALSE)),0,HLOOKUP(FV$7,'Debt Amort'!$F$14:$NA$19,6,FALSE))</f>
        <v>16083.736695465563</v>
      </c>
      <c r="FW47" s="1">
        <f>IF(ISERROR(HLOOKUP(FW$7,'Debt Amort'!$F$14:$NA$19,6,FALSE)),0,HLOOKUP(FW$7,'Debt Amort'!$F$14:$NA$19,6,FALSE))</f>
        <v>16157.453821986446</v>
      </c>
      <c r="FX47" s="1">
        <f>IF(ISERROR(HLOOKUP(FX$7,'Debt Amort'!$F$14:$NA$19,6,FALSE)),0,HLOOKUP(FX$7,'Debt Amort'!$F$14:$NA$19,6,FALSE))</f>
        <v>16231.508818670551</v>
      </c>
      <c r="FY47" s="1">
        <f>IF(ISERROR(HLOOKUP(FY$7,'Debt Amort'!$F$14:$NA$19,6,FALSE)),0,HLOOKUP(FY$7,'Debt Amort'!$F$14:$NA$19,6,FALSE))</f>
        <v>16305.903234089457</v>
      </c>
      <c r="FZ47" s="1">
        <f>IF(ISERROR(HLOOKUP(FZ$7,'Debt Amort'!$F$14:$NA$19,6,FALSE)),0,HLOOKUP(FZ$7,'Debt Amort'!$F$14:$NA$19,6,FALSE))</f>
        <v>16380.638623912368</v>
      </c>
      <c r="GA47" s="1">
        <f>IF(ISERROR(HLOOKUP(GA$7,'Debt Amort'!$F$14:$NA$19,6,FALSE)),0,HLOOKUP(GA$7,'Debt Amort'!$F$14:$NA$19,6,FALSE))</f>
        <v>16455.716550938632</v>
      </c>
      <c r="GB47" s="1">
        <f>IF(ISERROR(HLOOKUP(GB$7,'Debt Amort'!$F$14:$NA$19,6,FALSE)),0,HLOOKUP(GB$7,'Debt Amort'!$F$14:$NA$19,6,FALSE))</f>
        <v>16531.138585130437</v>
      </c>
      <c r="GC47" s="1">
        <f>IF(ISERROR(HLOOKUP(GC$7,'Debt Amort'!$F$14:$NA$19,6,FALSE)),0,HLOOKUP(GC$7,'Debt Amort'!$F$14:$NA$19,6,FALSE))</f>
        <v>16606.906303645614</v>
      </c>
      <c r="GD47" s="1">
        <f>IF(ISERROR(HLOOKUP(GD$7,'Debt Amort'!$F$14:$NA$19,6,FALSE)),0,HLOOKUP(GD$7,'Debt Amort'!$F$14:$NA$19,6,FALSE))</f>
        <v>16683.02129087066</v>
      </c>
      <c r="GE47" s="1">
        <f>IF(ISERROR(HLOOKUP(GE$7,'Debt Amort'!$F$14:$NA$19,6,FALSE)),0,HLOOKUP(GE$7,'Debt Amort'!$F$14:$NA$19,6,FALSE))</f>
        <v>0</v>
      </c>
      <c r="GF47" s="1">
        <f>IF(ISERROR(HLOOKUP(GF$7,'Debt Amort'!$F$14:$NA$19,6,FALSE)),0,HLOOKUP(GF$7,'Debt Amort'!$F$14:$NA$19,6,FALSE))</f>
        <v>0</v>
      </c>
      <c r="GG47" s="1">
        <f>IF(ISERROR(HLOOKUP(GG$7,'Debt Amort'!$F$14:$NA$19,6,FALSE)),0,HLOOKUP(GG$7,'Debt Amort'!$F$14:$NA$19,6,FALSE))</f>
        <v>0</v>
      </c>
      <c r="GH47" s="1">
        <f>IF(ISERROR(HLOOKUP(GH$7,'Debt Amort'!$F$14:$NA$19,6,FALSE)),0,HLOOKUP(GH$7,'Debt Amort'!$F$14:$NA$19,6,FALSE))</f>
        <v>0</v>
      </c>
      <c r="GI47" s="1">
        <f>IF(ISERROR(HLOOKUP(GI$7,'Debt Amort'!$F$14:$NA$19,6,FALSE)),0,HLOOKUP(GI$7,'Debt Amort'!$F$14:$NA$19,6,FALSE))</f>
        <v>0</v>
      </c>
      <c r="GJ47" s="1">
        <f>IF(ISERROR(HLOOKUP(GJ$7,'Debt Amort'!$F$14:$NA$19,6,FALSE)),0,HLOOKUP(GJ$7,'Debt Amort'!$F$14:$NA$19,6,FALSE))</f>
        <v>0</v>
      </c>
      <c r="GK47" s="1">
        <f>IF(ISERROR(HLOOKUP(GK$7,'Debt Amort'!$F$14:$NA$19,6,FALSE)),0,HLOOKUP(GK$7,'Debt Amort'!$F$14:$NA$19,6,FALSE))</f>
        <v>0</v>
      </c>
      <c r="GL47" s="1">
        <f>IF(ISERROR(HLOOKUP(GL$7,'Debt Amort'!$F$14:$NA$19,6,FALSE)),0,HLOOKUP(GL$7,'Debt Amort'!$F$14:$NA$19,6,FALSE))</f>
        <v>0</v>
      </c>
      <c r="GM47" s="1">
        <f>IF(ISERROR(HLOOKUP(GM$7,'Debt Amort'!$F$14:$NA$19,6,FALSE)),0,HLOOKUP(GM$7,'Debt Amort'!$F$14:$NA$19,6,FALSE))</f>
        <v>0</v>
      </c>
      <c r="GN47" s="1">
        <f>IF(ISERROR(HLOOKUP(GN$7,'Debt Amort'!$F$14:$NA$19,6,FALSE)),0,HLOOKUP(GN$7,'Debt Amort'!$F$14:$NA$19,6,FALSE))</f>
        <v>0</v>
      </c>
      <c r="GO47" s="1">
        <f>IF(ISERROR(HLOOKUP(GO$7,'Debt Amort'!$F$14:$NA$19,6,FALSE)),0,HLOOKUP(GO$7,'Debt Amort'!$F$14:$NA$19,6,FALSE))</f>
        <v>0</v>
      </c>
      <c r="GP47" s="1">
        <f>IF(ISERROR(HLOOKUP(GP$7,'Debt Amort'!$F$14:$NA$19,6,FALSE)),0,HLOOKUP(GP$7,'Debt Amort'!$F$14:$NA$19,6,FALSE))</f>
        <v>0</v>
      </c>
      <c r="GQ47" s="1">
        <f>IF(ISERROR(HLOOKUP(GQ$7,'Debt Amort'!$F$14:$NA$19,6,FALSE)),0,HLOOKUP(GQ$7,'Debt Amort'!$F$14:$NA$19,6,FALSE))</f>
        <v>0</v>
      </c>
      <c r="GR47" s="1">
        <f>IF(ISERROR(HLOOKUP(GR$7,'Debt Amort'!$F$14:$NA$19,6,FALSE)),0,HLOOKUP(GR$7,'Debt Amort'!$F$14:$NA$19,6,FALSE))</f>
        <v>0</v>
      </c>
      <c r="GS47" s="1">
        <f>IF(ISERROR(HLOOKUP(GS$7,'Debt Amort'!$F$14:$NA$19,6,FALSE)),0,HLOOKUP(GS$7,'Debt Amort'!$F$14:$NA$19,6,FALSE))</f>
        <v>0</v>
      </c>
      <c r="GT47" s="1">
        <f>IF(ISERROR(HLOOKUP(GT$7,'Debt Amort'!$F$14:$NA$19,6,FALSE)),0,HLOOKUP(GT$7,'Debt Amort'!$F$14:$NA$19,6,FALSE))</f>
        <v>0</v>
      </c>
      <c r="GU47" s="1">
        <f>IF(ISERROR(HLOOKUP(GU$7,'Debt Amort'!$F$14:$NA$19,6,FALSE)),0,HLOOKUP(GU$7,'Debt Amort'!$F$14:$NA$19,6,FALSE))</f>
        <v>0</v>
      </c>
      <c r="GV47" s="1">
        <f>IF(ISERROR(HLOOKUP(GV$7,'Debt Amort'!$F$14:$NA$19,6,FALSE)),0,HLOOKUP(GV$7,'Debt Amort'!$F$14:$NA$19,6,FALSE))</f>
        <v>0</v>
      </c>
      <c r="GW47" s="1">
        <f>IF(ISERROR(HLOOKUP(GW$7,'Debt Amort'!$F$14:$NA$19,6,FALSE)),0,HLOOKUP(GW$7,'Debt Amort'!$F$14:$NA$19,6,FALSE))</f>
        <v>0</v>
      </c>
      <c r="GX47" s="1">
        <f>IF(ISERROR(HLOOKUP(GX$7,'Debt Amort'!$F$14:$NA$19,6,FALSE)),0,HLOOKUP(GX$7,'Debt Amort'!$F$14:$NA$19,6,FALSE))</f>
        <v>0</v>
      </c>
      <c r="GY47" s="1">
        <f>IF(ISERROR(HLOOKUP(GY$7,'Debt Amort'!$F$14:$NA$19,6,FALSE)),0,HLOOKUP(GY$7,'Debt Amort'!$F$14:$NA$19,6,FALSE))</f>
        <v>0</v>
      </c>
      <c r="GZ47" s="1">
        <f>IF(ISERROR(HLOOKUP(GZ$7,'Debt Amort'!$F$14:$NA$19,6,FALSE)),0,HLOOKUP(GZ$7,'Debt Amort'!$F$14:$NA$19,6,FALSE))</f>
        <v>0</v>
      </c>
      <c r="HA47" s="1">
        <f>IF(ISERROR(HLOOKUP(HA$7,'Debt Amort'!$F$14:$NA$19,6,FALSE)),0,HLOOKUP(HA$7,'Debt Amort'!$F$14:$NA$19,6,FALSE))</f>
        <v>0</v>
      </c>
      <c r="HB47" s="1">
        <f>IF(ISERROR(HLOOKUP(HB$7,'Debt Amort'!$F$14:$NA$19,6,FALSE)),0,HLOOKUP(HB$7,'Debt Amort'!$F$14:$NA$19,6,FALSE))</f>
        <v>0</v>
      </c>
      <c r="HC47" s="1">
        <f>IF(ISERROR(HLOOKUP(HC$7,'Debt Amort'!$F$14:$NA$19,6,FALSE)),0,HLOOKUP(HC$7,'Debt Amort'!$F$14:$NA$19,6,FALSE))</f>
        <v>0</v>
      </c>
      <c r="HD47" s="1">
        <f>IF(ISERROR(HLOOKUP(HD$7,'Debt Amort'!$F$14:$NA$19,6,FALSE)),0,HLOOKUP(HD$7,'Debt Amort'!$F$14:$NA$19,6,FALSE))</f>
        <v>0</v>
      </c>
      <c r="HE47" s="1">
        <f>IF(ISERROR(HLOOKUP(HE$7,'Debt Amort'!$F$14:$NA$19,6,FALSE)),0,HLOOKUP(HE$7,'Debt Amort'!$F$14:$NA$19,6,FALSE))</f>
        <v>0</v>
      </c>
      <c r="HF47" s="1">
        <f>IF(ISERROR(HLOOKUP(HF$7,'Debt Amort'!$F$14:$NA$19,6,FALSE)),0,HLOOKUP(HF$7,'Debt Amort'!$F$14:$NA$19,6,FALSE))</f>
        <v>0</v>
      </c>
      <c r="HG47" s="1">
        <f>IF(ISERROR(HLOOKUP(HG$7,'Debt Amort'!$F$14:$NA$19,6,FALSE)),0,HLOOKUP(HG$7,'Debt Amort'!$F$14:$NA$19,6,FALSE))</f>
        <v>0</v>
      </c>
      <c r="HH47" s="1">
        <f>IF(ISERROR(HLOOKUP(HH$7,'Debt Amort'!$F$14:$NA$19,6,FALSE)),0,HLOOKUP(HH$7,'Debt Amort'!$F$14:$NA$19,6,FALSE))</f>
        <v>0</v>
      </c>
      <c r="HI47" s="1">
        <f>IF(ISERROR(HLOOKUP(HI$7,'Debt Amort'!$F$14:$NA$19,6,FALSE)),0,HLOOKUP(HI$7,'Debt Amort'!$F$14:$NA$19,6,FALSE))</f>
        <v>0</v>
      </c>
      <c r="HJ47" s="1">
        <f>IF(ISERROR(HLOOKUP(HJ$7,'Debt Amort'!$F$14:$NA$19,6,FALSE)),0,HLOOKUP(HJ$7,'Debt Amort'!$F$14:$NA$19,6,FALSE))</f>
        <v>0</v>
      </c>
      <c r="HK47" s="1">
        <f>IF(ISERROR(HLOOKUP(HK$7,'Debt Amort'!$F$14:$NA$19,6,FALSE)),0,HLOOKUP(HK$7,'Debt Amort'!$F$14:$NA$19,6,FALSE))</f>
        <v>0</v>
      </c>
      <c r="HL47" s="1">
        <f>IF(ISERROR(HLOOKUP(HL$7,'Debt Amort'!$F$14:$NA$19,6,FALSE)),0,HLOOKUP(HL$7,'Debt Amort'!$F$14:$NA$19,6,FALSE))</f>
        <v>0</v>
      </c>
      <c r="HM47" s="1">
        <f>IF(ISERROR(HLOOKUP(HM$7,'Debt Amort'!$F$14:$NA$19,6,FALSE)),0,HLOOKUP(HM$7,'Debt Amort'!$F$14:$NA$19,6,FALSE))</f>
        <v>0</v>
      </c>
      <c r="HN47" s="1">
        <f>IF(ISERROR(HLOOKUP(HN$7,'Debt Amort'!$F$14:$NA$19,6,FALSE)),0,HLOOKUP(HN$7,'Debt Amort'!$F$14:$NA$19,6,FALSE))</f>
        <v>0</v>
      </c>
      <c r="HO47" s="1">
        <f>IF(ISERROR(HLOOKUP(HO$7,'Debt Amort'!$F$14:$NA$19,6,FALSE)),0,HLOOKUP(HO$7,'Debt Amort'!$F$14:$NA$19,6,FALSE))</f>
        <v>0</v>
      </c>
      <c r="HP47" s="1">
        <f>IF(ISERROR(HLOOKUP(HP$7,'Debt Amort'!$F$14:$NA$19,6,FALSE)),0,HLOOKUP(HP$7,'Debt Amort'!$F$14:$NA$19,6,FALSE))</f>
        <v>0</v>
      </c>
      <c r="HQ47" s="1">
        <f>IF(ISERROR(HLOOKUP(HQ$7,'Debt Amort'!$F$14:$NA$19,6,FALSE)),0,HLOOKUP(HQ$7,'Debt Amort'!$F$14:$NA$19,6,FALSE))</f>
        <v>0</v>
      </c>
      <c r="HR47" s="1">
        <f>IF(ISERROR(HLOOKUP(HR$7,'Debt Amort'!$F$14:$NA$19,6,FALSE)),0,HLOOKUP(HR$7,'Debt Amort'!$F$14:$NA$19,6,FALSE))</f>
        <v>0</v>
      </c>
      <c r="HS47" s="1">
        <f>IF(ISERROR(HLOOKUP(HS$7,'Debt Amort'!$F$14:$NA$19,6,FALSE)),0,HLOOKUP(HS$7,'Debt Amort'!$F$14:$NA$19,6,FALSE))</f>
        <v>0</v>
      </c>
      <c r="HT47" s="1">
        <f>IF(ISERROR(HLOOKUP(HT$7,'Debt Amort'!$F$14:$NA$19,6,FALSE)),0,HLOOKUP(HT$7,'Debt Amort'!$F$14:$NA$19,6,FALSE))</f>
        <v>0</v>
      </c>
      <c r="HU47" s="1">
        <f>IF(ISERROR(HLOOKUP(HU$7,'Debt Amort'!$F$14:$NA$19,6,FALSE)),0,HLOOKUP(HU$7,'Debt Amort'!$F$14:$NA$19,6,FALSE))</f>
        <v>0</v>
      </c>
      <c r="HV47" s="1">
        <f>IF(ISERROR(HLOOKUP(HV$7,'Debt Amort'!$F$14:$NA$19,6,FALSE)),0,HLOOKUP(HV$7,'Debt Amort'!$F$14:$NA$19,6,FALSE))</f>
        <v>0</v>
      </c>
      <c r="HW47" s="1">
        <f>IF(ISERROR(HLOOKUP(HW$7,'Debt Amort'!$F$14:$NA$19,6,FALSE)),0,HLOOKUP(HW$7,'Debt Amort'!$F$14:$NA$19,6,FALSE))</f>
        <v>0</v>
      </c>
      <c r="HX47" s="1">
        <f>IF(ISERROR(HLOOKUP(HX$7,'Debt Amort'!$F$14:$NA$19,6,FALSE)),0,HLOOKUP(HX$7,'Debt Amort'!$F$14:$NA$19,6,FALSE))</f>
        <v>0</v>
      </c>
      <c r="HY47" s="1">
        <f>IF(ISERROR(HLOOKUP(HY$7,'Debt Amort'!$F$14:$NA$19,6,FALSE)),0,HLOOKUP(HY$7,'Debt Amort'!$F$14:$NA$19,6,FALSE))</f>
        <v>0</v>
      </c>
      <c r="HZ47" s="1">
        <f>IF(ISERROR(HLOOKUP(HZ$7,'Debt Amort'!$F$14:$NA$19,6,FALSE)),0,HLOOKUP(HZ$7,'Debt Amort'!$F$14:$NA$19,6,FALSE))</f>
        <v>0</v>
      </c>
      <c r="IA47" s="1">
        <f>IF(ISERROR(HLOOKUP(IA$7,'Debt Amort'!$F$14:$NA$19,6,FALSE)),0,HLOOKUP(IA$7,'Debt Amort'!$F$14:$NA$19,6,FALSE))</f>
        <v>0</v>
      </c>
      <c r="IB47" s="1">
        <f>IF(ISERROR(HLOOKUP(IB$7,'Debt Amort'!$F$14:$NA$19,6,FALSE)),0,HLOOKUP(IB$7,'Debt Amort'!$F$14:$NA$19,6,FALSE))</f>
        <v>0</v>
      </c>
      <c r="IC47" s="1">
        <f>IF(ISERROR(HLOOKUP(IC$7,'Debt Amort'!$F$14:$NA$19,6,FALSE)),0,HLOOKUP(IC$7,'Debt Amort'!$F$14:$NA$19,6,FALSE))</f>
        <v>0</v>
      </c>
      <c r="ID47" s="1">
        <f>IF(ISERROR(HLOOKUP(ID$7,'Debt Amort'!$F$14:$NA$19,6,FALSE)),0,HLOOKUP(ID$7,'Debt Amort'!$F$14:$NA$19,6,FALSE))</f>
        <v>0</v>
      </c>
      <c r="IE47" s="1">
        <f>IF(ISERROR(HLOOKUP(IE$7,'Debt Amort'!$F$14:$NA$19,6,FALSE)),0,HLOOKUP(IE$7,'Debt Amort'!$F$14:$NA$19,6,FALSE))</f>
        <v>0</v>
      </c>
      <c r="IF47" s="1">
        <f>IF(ISERROR(HLOOKUP(IF$7,'Debt Amort'!$F$14:$NA$19,6,FALSE)),0,HLOOKUP(IF$7,'Debt Amort'!$F$14:$NA$19,6,FALSE))</f>
        <v>0</v>
      </c>
      <c r="IG47" s="1">
        <f>IF(ISERROR(HLOOKUP(IG$7,'Debt Amort'!$F$14:$NA$19,6,FALSE)),0,HLOOKUP(IG$7,'Debt Amort'!$F$14:$NA$19,6,FALSE))</f>
        <v>0</v>
      </c>
      <c r="IH47" s="1">
        <f>IF(ISERROR(HLOOKUP(IH$7,'Debt Amort'!$F$14:$NA$19,6,FALSE)),0,HLOOKUP(IH$7,'Debt Amort'!$F$14:$NA$19,6,FALSE))</f>
        <v>0</v>
      </c>
      <c r="II47" s="1">
        <f>IF(ISERROR(HLOOKUP(II$7,'Debt Amort'!$F$14:$NA$19,6,FALSE)),0,HLOOKUP(II$7,'Debt Amort'!$F$14:$NA$19,6,FALSE))</f>
        <v>0</v>
      </c>
      <c r="IJ47" s="1">
        <f>IF(ISERROR(HLOOKUP(IJ$7,'Debt Amort'!$F$14:$NA$19,6,FALSE)),0,HLOOKUP(IJ$7,'Debt Amort'!$F$14:$NA$19,6,FALSE))</f>
        <v>0</v>
      </c>
      <c r="IK47" s="1">
        <f>IF(ISERROR(HLOOKUP(IK$7,'Debt Amort'!$F$14:$NA$19,6,FALSE)),0,HLOOKUP(IK$7,'Debt Amort'!$F$14:$NA$19,6,FALSE))</f>
        <v>0</v>
      </c>
      <c r="IL47" s="1">
        <f>IF(ISERROR(HLOOKUP(IL$7,'Debt Amort'!$F$14:$NA$19,6,FALSE)),0,HLOOKUP(IL$7,'Debt Amort'!$F$14:$NA$19,6,FALSE))</f>
        <v>0</v>
      </c>
      <c r="IM47" s="1">
        <f>IF(ISERROR(HLOOKUP(IM$7,'Debt Amort'!$F$14:$NA$19,6,FALSE)),0,HLOOKUP(IM$7,'Debt Amort'!$F$14:$NA$19,6,FALSE))</f>
        <v>0</v>
      </c>
      <c r="IN47" s="1">
        <f>IF(ISERROR(HLOOKUP(IN$7,'Debt Amort'!$F$14:$NA$19,6,FALSE)),0,HLOOKUP(IN$7,'Debt Amort'!$F$14:$NA$19,6,FALSE))</f>
        <v>0</v>
      </c>
      <c r="IO47" s="1">
        <f>IF(ISERROR(HLOOKUP(IO$7,'Debt Amort'!$F$14:$NA$19,6,FALSE)),0,HLOOKUP(IO$7,'Debt Amort'!$F$14:$NA$19,6,FALSE))</f>
        <v>0</v>
      </c>
      <c r="IP47" s="1">
        <f>IF(ISERROR(HLOOKUP(IP$7,'Debt Amort'!$F$14:$NA$19,6,FALSE)),0,HLOOKUP(IP$7,'Debt Amort'!$F$14:$NA$19,6,FALSE))</f>
        <v>0</v>
      </c>
      <c r="IQ47" s="1">
        <f>IF(ISERROR(HLOOKUP(IQ$7,'Debt Amort'!$F$14:$NA$19,6,FALSE)),0,HLOOKUP(IQ$7,'Debt Amort'!$F$14:$NA$19,6,FALSE))</f>
        <v>0</v>
      </c>
      <c r="IR47" s="1">
        <f>IF(ISERROR(HLOOKUP(IR$7,'Debt Amort'!$F$14:$NA$19,6,FALSE)),0,HLOOKUP(IR$7,'Debt Amort'!$F$14:$NA$19,6,FALSE))</f>
        <v>0</v>
      </c>
      <c r="IS47" s="1">
        <f>IF(ISERROR(HLOOKUP(IS$7,'Debt Amort'!$F$14:$NA$19,6,FALSE)),0,HLOOKUP(IS$7,'Debt Amort'!$F$14:$NA$19,6,FALSE))</f>
        <v>0</v>
      </c>
      <c r="IT47" s="1">
        <f>IF(ISERROR(HLOOKUP(IT$7,'Debt Amort'!$F$14:$NA$19,6,FALSE)),0,HLOOKUP(IT$7,'Debt Amort'!$F$14:$NA$19,6,FALSE))</f>
        <v>0</v>
      </c>
      <c r="IU47" s="1">
        <f>IF(ISERROR(HLOOKUP(IU$7,'Debt Amort'!$F$14:$NA$19,6,FALSE)),0,HLOOKUP(IU$7,'Debt Amort'!$F$14:$NA$19,6,FALSE))</f>
        <v>0</v>
      </c>
      <c r="IV47" s="1">
        <f>IF(ISERROR(HLOOKUP(IV$7,'Debt Amort'!$F$14:$NA$19,6,FALSE)),0,HLOOKUP(IV$7,'Debt Amort'!$F$14:$NA$19,6,FALSE))</f>
        <v>0</v>
      </c>
      <c r="IW47" s="1">
        <f>IF(ISERROR(HLOOKUP(IW$7,'Debt Amort'!$F$14:$NA$19,6,FALSE)),0,HLOOKUP(IW$7,'Debt Amort'!$F$14:$NA$19,6,FALSE))</f>
        <v>0</v>
      </c>
      <c r="IX47" s="1">
        <f>IF(ISERROR(HLOOKUP(IX$7,'Debt Amort'!$F$14:$NA$19,6,FALSE)),0,HLOOKUP(IX$7,'Debt Amort'!$F$14:$NA$19,6,FALSE))</f>
        <v>0</v>
      </c>
      <c r="IY47" s="1">
        <f>IF(ISERROR(HLOOKUP(IY$7,'Debt Amort'!$F$14:$NA$19,6,FALSE)),0,HLOOKUP(IY$7,'Debt Amort'!$F$14:$NA$19,6,FALSE))</f>
        <v>0</v>
      </c>
      <c r="IZ47" s="1">
        <f>IF(ISERROR(HLOOKUP(IZ$7,'Debt Amort'!$F$14:$NA$19,6,FALSE)),0,HLOOKUP(IZ$7,'Debt Amort'!$F$14:$NA$19,6,FALSE))</f>
        <v>0</v>
      </c>
      <c r="JA47" s="1">
        <f>IF(ISERROR(HLOOKUP(JA$7,'Debt Amort'!$F$14:$NA$19,6,FALSE)),0,HLOOKUP(JA$7,'Debt Amort'!$F$14:$NA$19,6,FALSE))</f>
        <v>0</v>
      </c>
      <c r="JB47" s="1">
        <f>IF(ISERROR(HLOOKUP(JB$7,'Debt Amort'!$F$14:$NA$19,6,FALSE)),0,HLOOKUP(JB$7,'Debt Amort'!$F$14:$NA$19,6,FALSE))</f>
        <v>0</v>
      </c>
      <c r="JC47" s="1">
        <f>IF(ISERROR(HLOOKUP(JC$7,'Debt Amort'!$F$14:$NA$19,6,FALSE)),0,HLOOKUP(JC$7,'Debt Amort'!$F$14:$NA$19,6,FALSE))</f>
        <v>0</v>
      </c>
      <c r="JD47" s="1">
        <f>IF(ISERROR(HLOOKUP(JD$7,'Debt Amort'!$F$14:$NA$19,6,FALSE)),0,HLOOKUP(JD$7,'Debt Amort'!$F$14:$NA$19,6,FALSE))</f>
        <v>0</v>
      </c>
      <c r="JE47" s="1">
        <f>IF(ISERROR(HLOOKUP(JE$7,'Debt Amort'!$F$14:$NA$19,6,FALSE)),0,HLOOKUP(JE$7,'Debt Amort'!$F$14:$NA$19,6,FALSE))</f>
        <v>0</v>
      </c>
      <c r="JF47" s="1">
        <f>IF(ISERROR(HLOOKUP(JF$7,'Debt Amort'!$F$14:$NA$19,6,FALSE)),0,HLOOKUP(JF$7,'Debt Amort'!$F$14:$NA$19,6,FALSE))</f>
        <v>0</v>
      </c>
      <c r="JG47" s="1">
        <f>IF(ISERROR(HLOOKUP(JG$7,'Debt Amort'!$F$14:$NA$19,6,FALSE)),0,HLOOKUP(JG$7,'Debt Amort'!$F$14:$NA$19,6,FALSE))</f>
        <v>0</v>
      </c>
      <c r="JH47" s="1">
        <f>IF(ISERROR(HLOOKUP(JH$7,'Debt Amort'!$F$14:$NA$19,6,FALSE)),0,HLOOKUP(JH$7,'Debt Amort'!$F$14:$NA$19,6,FALSE))</f>
        <v>0</v>
      </c>
      <c r="JI47" s="1">
        <f>IF(ISERROR(HLOOKUP(JI$7,'Debt Amort'!$F$14:$NA$19,6,FALSE)),0,HLOOKUP(JI$7,'Debt Amort'!$F$14:$NA$19,6,FALSE))</f>
        <v>0</v>
      </c>
      <c r="JJ47" s="1">
        <f>IF(ISERROR(HLOOKUP(JJ$7,'Debt Amort'!$F$14:$NA$19,6,FALSE)),0,HLOOKUP(JJ$7,'Debt Amort'!$F$14:$NA$19,6,FALSE))</f>
        <v>0</v>
      </c>
      <c r="JK47" s="1">
        <f>IF(ISERROR(HLOOKUP(JK$7,'Debt Amort'!$F$14:$NA$19,6,FALSE)),0,HLOOKUP(JK$7,'Debt Amort'!$F$14:$NA$19,6,FALSE))</f>
        <v>0</v>
      </c>
      <c r="JL47" s="1">
        <f>IF(ISERROR(HLOOKUP(JL$7,'Debt Amort'!$F$14:$NA$19,6,FALSE)),0,HLOOKUP(JL$7,'Debt Amort'!$F$14:$NA$19,6,FALSE))</f>
        <v>0</v>
      </c>
      <c r="JM47" s="1">
        <f>IF(ISERROR(HLOOKUP(JM$7,'Debt Amort'!$F$14:$NA$19,6,FALSE)),0,HLOOKUP(JM$7,'Debt Amort'!$F$14:$NA$19,6,FALSE))</f>
        <v>0</v>
      </c>
      <c r="JN47" s="1">
        <f>IF(ISERROR(HLOOKUP(JN$7,'Debt Amort'!$F$14:$NA$19,6,FALSE)),0,HLOOKUP(JN$7,'Debt Amort'!$F$14:$NA$19,6,FALSE))</f>
        <v>0</v>
      </c>
      <c r="JO47" s="1">
        <f>IF(ISERROR(HLOOKUP(JO$7,'Debt Amort'!$F$14:$NA$19,6,FALSE)),0,HLOOKUP(JO$7,'Debt Amort'!$F$14:$NA$19,6,FALSE))</f>
        <v>0</v>
      </c>
      <c r="JP47" s="1">
        <f>IF(ISERROR(HLOOKUP(JP$7,'Debt Amort'!$F$14:$NA$19,6,FALSE)),0,HLOOKUP(JP$7,'Debt Amort'!$F$14:$NA$19,6,FALSE))</f>
        <v>0</v>
      </c>
      <c r="JQ47" s="1">
        <f>IF(ISERROR(HLOOKUP(JQ$7,'Debt Amort'!$F$14:$NA$19,6,FALSE)),0,HLOOKUP(JQ$7,'Debt Amort'!$F$14:$NA$19,6,FALSE))</f>
        <v>0</v>
      </c>
      <c r="JR47" s="1">
        <f>IF(ISERROR(HLOOKUP(JR$7,'Debt Amort'!$F$14:$NA$19,6,FALSE)),0,HLOOKUP(JR$7,'Debt Amort'!$F$14:$NA$19,6,FALSE))</f>
        <v>0</v>
      </c>
      <c r="JS47" s="1">
        <f>IF(ISERROR(HLOOKUP(JS$7,'Debt Amort'!$F$14:$NA$19,6,FALSE)),0,HLOOKUP(JS$7,'Debt Amort'!$F$14:$NA$19,6,FALSE))</f>
        <v>0</v>
      </c>
      <c r="JT47" s="1">
        <f>IF(ISERROR(HLOOKUP(JT$7,'Debt Amort'!$F$14:$NA$19,6,FALSE)),0,HLOOKUP(JT$7,'Debt Amort'!$F$14:$NA$19,6,FALSE))</f>
        <v>0</v>
      </c>
      <c r="JU47" s="1">
        <f>IF(ISERROR(HLOOKUP(JU$7,'Debt Amort'!$F$14:$NA$19,6,FALSE)),0,HLOOKUP(JU$7,'Debt Amort'!$F$14:$NA$19,6,FALSE))</f>
        <v>0</v>
      </c>
      <c r="JV47" s="1">
        <f>IF(ISERROR(HLOOKUP(JV$7,'Debt Amort'!$F$14:$NA$19,6,FALSE)),0,HLOOKUP(JV$7,'Debt Amort'!$F$14:$NA$19,6,FALSE))</f>
        <v>0</v>
      </c>
      <c r="JW47" s="1">
        <f>IF(ISERROR(HLOOKUP(JW$7,'Debt Amort'!$F$14:$NA$19,6,FALSE)),0,HLOOKUP(JW$7,'Debt Amort'!$F$14:$NA$19,6,FALSE))</f>
        <v>0</v>
      </c>
      <c r="JX47" s="1">
        <f>IF(ISERROR(HLOOKUP(JX$7,'Debt Amort'!$F$14:$NA$19,6,FALSE)),0,HLOOKUP(JX$7,'Debt Amort'!$F$14:$NA$19,6,FALSE))</f>
        <v>0</v>
      </c>
      <c r="JY47" s="1">
        <f>IF(ISERROR(HLOOKUP(JY$7,'Debt Amort'!$F$14:$NA$19,6,FALSE)),0,HLOOKUP(JY$7,'Debt Amort'!$F$14:$NA$19,6,FALSE))</f>
        <v>0</v>
      </c>
      <c r="JZ47" s="1">
        <f>IF(ISERROR(HLOOKUP(JZ$7,'Debt Amort'!$F$14:$NA$19,6,FALSE)),0,HLOOKUP(JZ$7,'Debt Amort'!$F$14:$NA$19,6,FALSE))</f>
        <v>0</v>
      </c>
      <c r="KA47" s="1">
        <f>IF(ISERROR(HLOOKUP(KA$7,'Debt Amort'!$F$14:$NA$19,6,FALSE)),0,HLOOKUP(KA$7,'Debt Amort'!$F$14:$NA$19,6,FALSE))</f>
        <v>0</v>
      </c>
      <c r="KB47" s="1">
        <f>IF(ISERROR(HLOOKUP(KB$7,'Debt Amort'!$F$14:$NA$19,6,FALSE)),0,HLOOKUP(KB$7,'Debt Amort'!$F$14:$NA$19,6,FALSE))</f>
        <v>0</v>
      </c>
      <c r="KC47" s="1">
        <f>IF(ISERROR(HLOOKUP(KC$7,'Debt Amort'!$F$14:$NA$19,6,FALSE)),0,HLOOKUP(KC$7,'Debt Amort'!$F$14:$NA$19,6,FALSE))</f>
        <v>0</v>
      </c>
      <c r="KD47" s="1">
        <f>IF(ISERROR(HLOOKUP(KD$7,'Debt Amort'!$F$14:$NA$19,6,FALSE)),0,HLOOKUP(KD$7,'Debt Amort'!$F$14:$NA$19,6,FALSE))</f>
        <v>0</v>
      </c>
      <c r="KE47" s="1">
        <f>IF(ISERROR(HLOOKUP(KE$7,'Debt Amort'!$F$14:$NA$19,6,FALSE)),0,HLOOKUP(KE$7,'Debt Amort'!$F$14:$NA$19,6,FALSE))</f>
        <v>0</v>
      </c>
      <c r="KF47" s="1">
        <f>IF(ISERROR(HLOOKUP(KF$7,'Debt Amort'!$F$14:$NA$19,6,FALSE)),0,HLOOKUP(KF$7,'Debt Amort'!$F$14:$NA$19,6,FALSE))</f>
        <v>0</v>
      </c>
      <c r="KG47" s="1">
        <f>IF(ISERROR(HLOOKUP(KG$7,'Debt Amort'!$F$14:$NA$19,6,FALSE)),0,HLOOKUP(KG$7,'Debt Amort'!$F$14:$NA$19,6,FALSE))</f>
        <v>0</v>
      </c>
      <c r="KH47" s="1">
        <f>IF(ISERROR(HLOOKUP(KH$7,'Debt Amort'!$F$14:$NA$19,6,FALSE)),0,HLOOKUP(KH$7,'Debt Amort'!$F$14:$NA$19,6,FALSE))</f>
        <v>0</v>
      </c>
      <c r="KI47" s="1">
        <f>IF(ISERROR(HLOOKUP(KI$7,'Debt Amort'!$F$14:$NA$19,6,FALSE)),0,HLOOKUP(KI$7,'Debt Amort'!$F$14:$NA$19,6,FALSE))</f>
        <v>0</v>
      </c>
      <c r="KJ47" s="1">
        <f>IF(ISERROR(HLOOKUP(KJ$7,'Debt Amort'!$F$14:$NA$19,6,FALSE)),0,HLOOKUP(KJ$7,'Debt Amort'!$F$14:$NA$19,6,FALSE))</f>
        <v>0</v>
      </c>
      <c r="KK47" s="1">
        <f>IF(ISERROR(HLOOKUP(KK$7,'Debt Amort'!$F$14:$NA$19,6,FALSE)),0,HLOOKUP(KK$7,'Debt Amort'!$F$14:$NA$19,6,FALSE))</f>
        <v>0</v>
      </c>
      <c r="KL47" s="1">
        <f>IF(ISERROR(HLOOKUP(KL$7,'Debt Amort'!$F$14:$NA$19,6,FALSE)),0,HLOOKUP(KL$7,'Debt Amort'!$F$14:$NA$19,6,FALSE))</f>
        <v>0</v>
      </c>
      <c r="KM47" s="1">
        <f>IF(ISERROR(HLOOKUP(KM$7,'Debt Amort'!$F$14:$NA$19,6,FALSE)),0,HLOOKUP(KM$7,'Debt Amort'!$F$14:$NA$19,6,FALSE))</f>
        <v>0</v>
      </c>
      <c r="KN47" s="1">
        <f>IF(ISERROR(HLOOKUP(KN$7,'Debt Amort'!$F$14:$NA$19,6,FALSE)),0,HLOOKUP(KN$7,'Debt Amort'!$F$14:$NA$19,6,FALSE))</f>
        <v>0</v>
      </c>
      <c r="KO47" s="1">
        <f>IF(ISERROR(HLOOKUP(KO$7,'Debt Amort'!$F$14:$NA$19,6,FALSE)),0,HLOOKUP(KO$7,'Debt Amort'!$F$14:$NA$19,6,FALSE))</f>
        <v>0</v>
      </c>
      <c r="KP47" s="1">
        <f>IF(ISERROR(HLOOKUP(KP$7,'Debt Amort'!$F$14:$NA$19,6,FALSE)),0,HLOOKUP(KP$7,'Debt Amort'!$F$14:$NA$19,6,FALSE))</f>
        <v>0</v>
      </c>
      <c r="KQ47" s="1">
        <f>IF(ISERROR(HLOOKUP(KQ$7,'Debt Amort'!$F$14:$NA$19,6,FALSE)),0,HLOOKUP(KQ$7,'Debt Amort'!$F$14:$NA$19,6,FALSE))</f>
        <v>0</v>
      </c>
      <c r="KR47" s="1">
        <f>IF(ISERROR(HLOOKUP(KR$7,'Debt Amort'!$F$14:$NA$19,6,FALSE)),0,HLOOKUP(KR$7,'Debt Amort'!$F$14:$NA$19,6,FALSE))</f>
        <v>0</v>
      </c>
      <c r="KS47" s="1">
        <f>IF(ISERROR(HLOOKUP(KS$7,'Debt Amort'!$F$14:$NA$19,6,FALSE)),0,HLOOKUP(KS$7,'Debt Amort'!$F$14:$NA$19,6,FALSE))</f>
        <v>0</v>
      </c>
      <c r="KT47" s="1">
        <f>IF(ISERROR(HLOOKUP(KT$7,'Debt Amort'!$F$14:$NA$19,6,FALSE)),0,HLOOKUP(KT$7,'Debt Amort'!$F$14:$NA$19,6,FALSE))</f>
        <v>0</v>
      </c>
      <c r="KU47" s="1">
        <f>IF(ISERROR(HLOOKUP(KU$7,'Debt Amort'!$F$14:$NA$19,6,FALSE)),0,HLOOKUP(KU$7,'Debt Amort'!$F$14:$NA$19,6,FALSE))</f>
        <v>0</v>
      </c>
      <c r="KV47" s="1">
        <f>IF(ISERROR(HLOOKUP(KV$7,'Debt Amort'!$F$14:$NA$19,6,FALSE)),0,HLOOKUP(KV$7,'Debt Amort'!$F$14:$NA$19,6,FALSE))</f>
        <v>0</v>
      </c>
      <c r="KW47" s="1">
        <f>IF(ISERROR(HLOOKUP(KW$7,'Debt Amort'!$F$14:$NA$19,6,FALSE)),0,HLOOKUP(KW$7,'Debt Amort'!$F$14:$NA$19,6,FALSE))</f>
        <v>0</v>
      </c>
      <c r="KX47" s="1">
        <f>IF(ISERROR(HLOOKUP(KX$7,'Debt Amort'!$F$14:$NA$19,6,FALSE)),0,HLOOKUP(KX$7,'Debt Amort'!$F$14:$NA$19,6,FALSE))</f>
        <v>0</v>
      </c>
      <c r="KY47" s="1">
        <f>IF(ISERROR(HLOOKUP(KY$7,'Debt Amort'!$F$14:$NA$19,6,FALSE)),0,HLOOKUP(KY$7,'Debt Amort'!$F$14:$NA$19,6,FALSE))</f>
        <v>0</v>
      </c>
      <c r="KZ47" s="1">
        <f>IF(ISERROR(HLOOKUP(KZ$7,'Debt Amort'!$F$14:$NA$19,6,FALSE)),0,HLOOKUP(KZ$7,'Debt Amort'!$F$14:$NA$19,6,FALSE))</f>
        <v>0</v>
      </c>
      <c r="LA47" s="1">
        <f>IF(ISERROR(HLOOKUP(LA$7,'Debt Amort'!$F$14:$NA$19,6,FALSE)),0,HLOOKUP(LA$7,'Debt Amort'!$F$14:$NA$19,6,FALSE))</f>
        <v>0</v>
      </c>
      <c r="LB47" s="1">
        <f>IF(ISERROR(HLOOKUP(LB$7,'Debt Amort'!$F$14:$NA$19,6,FALSE)),0,HLOOKUP(LB$7,'Debt Amort'!$F$14:$NA$19,6,FALSE))</f>
        <v>0</v>
      </c>
      <c r="LC47" s="1">
        <f>IF(ISERROR(HLOOKUP(LC$7,'Debt Amort'!$F$14:$NA$19,6,FALSE)),0,HLOOKUP(LC$7,'Debt Amort'!$F$14:$NA$19,6,FALSE))</f>
        <v>0</v>
      </c>
      <c r="LD47" s="1">
        <f>IF(ISERROR(HLOOKUP(LD$7,'Debt Amort'!$F$14:$NA$19,6,FALSE)),0,HLOOKUP(LD$7,'Debt Amort'!$F$14:$NA$19,6,FALSE))</f>
        <v>0</v>
      </c>
      <c r="LE47" s="1">
        <f>IF(ISERROR(HLOOKUP(LE$7,'Debt Amort'!$F$14:$NA$19,6,FALSE)),0,HLOOKUP(LE$7,'Debt Amort'!$F$14:$NA$19,6,FALSE))</f>
        <v>0</v>
      </c>
      <c r="LF47" s="1">
        <f>IF(ISERROR(HLOOKUP(LF$7,'Debt Amort'!$F$14:$NA$19,6,FALSE)),0,HLOOKUP(LF$7,'Debt Amort'!$F$14:$NA$19,6,FALSE))</f>
        <v>0</v>
      </c>
      <c r="LG47" s="1">
        <f>IF(ISERROR(HLOOKUP(LG$7,'Debt Amort'!$F$14:$NA$19,6,FALSE)),0,HLOOKUP(LG$7,'Debt Amort'!$F$14:$NA$19,6,FALSE))</f>
        <v>0</v>
      </c>
      <c r="LH47" s="1">
        <f>IF(ISERROR(HLOOKUP(LH$7,'Debt Amort'!$F$14:$NA$19,6,FALSE)),0,HLOOKUP(LH$7,'Debt Amort'!$F$14:$NA$19,6,FALSE))</f>
        <v>0</v>
      </c>
      <c r="LI47" s="1">
        <f>IF(ISERROR(HLOOKUP(LI$7,'Debt Amort'!$F$14:$NA$19,6,FALSE)),0,HLOOKUP(LI$7,'Debt Amort'!$F$14:$NA$19,6,FALSE))</f>
        <v>0</v>
      </c>
      <c r="LJ47" s="1">
        <f>IF(ISERROR(HLOOKUP(LJ$7,'Debt Amort'!$F$14:$NA$19,6,FALSE)),0,HLOOKUP(LJ$7,'Debt Amort'!$F$14:$NA$19,6,FALSE))</f>
        <v>0</v>
      </c>
      <c r="LK47" s="1">
        <f>IF(ISERROR(HLOOKUP(LK$7,'Debt Amort'!$F$14:$NA$19,6,FALSE)),0,HLOOKUP(LK$7,'Debt Amort'!$F$14:$NA$19,6,FALSE))</f>
        <v>0</v>
      </c>
      <c r="LL47" s="1">
        <f>IF(ISERROR(HLOOKUP(LL$7,'Debt Amort'!$F$14:$NA$19,6,FALSE)),0,HLOOKUP(LL$7,'Debt Amort'!$F$14:$NA$19,6,FALSE))</f>
        <v>0</v>
      </c>
      <c r="LM47" s="1">
        <f>IF(ISERROR(HLOOKUP(LM$7,'Debt Amort'!$F$14:$NA$19,6,FALSE)),0,HLOOKUP(LM$7,'Debt Amort'!$F$14:$NA$19,6,FALSE))</f>
        <v>0</v>
      </c>
      <c r="LN47" s="1">
        <f>IF(ISERROR(HLOOKUP(LN$7,'Debt Amort'!$F$14:$NA$19,6,FALSE)),0,HLOOKUP(LN$7,'Debt Amort'!$F$14:$NA$19,6,FALSE))</f>
        <v>0</v>
      </c>
      <c r="LO47" s="1">
        <f>IF(ISERROR(HLOOKUP(LO$7,'Debt Amort'!$F$14:$NA$19,6,FALSE)),0,HLOOKUP(LO$7,'Debt Amort'!$F$14:$NA$19,6,FALSE))</f>
        <v>0</v>
      </c>
      <c r="LP47" s="1">
        <f>IF(ISERROR(HLOOKUP(LP$7,'Debt Amort'!$F$14:$NA$19,6,FALSE)),0,HLOOKUP(LP$7,'Debt Amort'!$F$14:$NA$19,6,FALSE))</f>
        <v>0</v>
      </c>
      <c r="LQ47" s="1">
        <f>IF(ISERROR(HLOOKUP(LQ$7,'Debt Amort'!$F$14:$NA$19,6,FALSE)),0,HLOOKUP(LQ$7,'Debt Amort'!$F$14:$NA$19,6,FALSE))</f>
        <v>0</v>
      </c>
      <c r="LR47" s="1">
        <f>IF(ISERROR(HLOOKUP(LR$7,'Debt Amort'!$F$14:$NA$19,6,FALSE)),0,HLOOKUP(LR$7,'Debt Amort'!$F$14:$NA$19,6,FALSE))</f>
        <v>0</v>
      </c>
      <c r="LS47" s="1">
        <f>IF(ISERROR(HLOOKUP(LS$7,'Debt Amort'!$F$14:$NA$19,6,FALSE)),0,HLOOKUP(LS$7,'Debt Amort'!$F$14:$NA$19,6,FALSE))</f>
        <v>0</v>
      </c>
      <c r="LT47" s="1">
        <f>IF(ISERROR(HLOOKUP(LT$7,'Debt Amort'!$F$14:$NA$19,6,FALSE)),0,HLOOKUP(LT$7,'Debt Amort'!$F$14:$NA$19,6,FALSE))</f>
        <v>0</v>
      </c>
      <c r="LU47" s="1">
        <f>IF(ISERROR(HLOOKUP(LU$7,'Debt Amort'!$F$14:$NA$19,6,FALSE)),0,HLOOKUP(LU$7,'Debt Amort'!$F$14:$NA$19,6,FALSE))</f>
        <v>0</v>
      </c>
      <c r="LV47" s="1">
        <f>IF(ISERROR(HLOOKUP(LV$7,'Debt Amort'!$F$14:$NA$19,6,FALSE)),0,HLOOKUP(LV$7,'Debt Amort'!$F$14:$NA$19,6,FALSE))</f>
        <v>0</v>
      </c>
      <c r="LW47" s="1">
        <f>IF(ISERROR(HLOOKUP(LW$7,'Debt Amort'!$F$14:$NA$19,6,FALSE)),0,HLOOKUP(LW$7,'Debt Amort'!$F$14:$NA$19,6,FALSE))</f>
        <v>0</v>
      </c>
      <c r="LX47" s="1">
        <f>IF(ISERROR(HLOOKUP(LX$7,'Debt Amort'!$F$14:$NA$19,6,FALSE)),0,HLOOKUP(LX$7,'Debt Amort'!$F$14:$NA$19,6,FALSE))</f>
        <v>0</v>
      </c>
      <c r="LY47" s="1">
        <f>IF(ISERROR(HLOOKUP(LY$7,'Debt Amort'!$F$14:$NA$19,6,FALSE)),0,HLOOKUP(LY$7,'Debt Amort'!$F$14:$NA$19,6,FALSE))</f>
        <v>0</v>
      </c>
      <c r="LZ47" s="1">
        <f>IF(ISERROR(HLOOKUP(LZ$7,'Debt Amort'!$F$14:$NA$19,6,FALSE)),0,HLOOKUP(LZ$7,'Debt Amort'!$F$14:$NA$19,6,FALSE))</f>
        <v>0</v>
      </c>
      <c r="MA47" s="1">
        <f>IF(ISERROR(HLOOKUP(MA$7,'Debt Amort'!$F$14:$NA$19,6,FALSE)),0,HLOOKUP(MA$7,'Debt Amort'!$F$14:$NA$19,6,FALSE))</f>
        <v>0</v>
      </c>
      <c r="MB47" s="1">
        <f>IF(ISERROR(HLOOKUP(MB$7,'Debt Amort'!$F$14:$NA$19,6,FALSE)),0,HLOOKUP(MB$7,'Debt Amort'!$F$14:$NA$19,6,FALSE))</f>
        <v>0</v>
      </c>
      <c r="MC47" s="1">
        <f>IF(ISERROR(HLOOKUP(MC$7,'Debt Amort'!$F$14:$NA$19,6,FALSE)),0,HLOOKUP(MC$7,'Debt Amort'!$F$14:$NA$19,6,FALSE))</f>
        <v>0</v>
      </c>
      <c r="MD47" s="1">
        <f>IF(ISERROR(HLOOKUP(MD$7,'Debt Amort'!$F$14:$NA$19,6,FALSE)),0,HLOOKUP(MD$7,'Debt Amort'!$F$14:$NA$19,6,FALSE))</f>
        <v>0</v>
      </c>
      <c r="ME47" s="1">
        <f>IF(ISERROR(HLOOKUP(ME$7,'Debt Amort'!$F$14:$NA$19,6,FALSE)),0,HLOOKUP(ME$7,'Debt Amort'!$F$14:$NA$19,6,FALSE))</f>
        <v>0</v>
      </c>
      <c r="MF47" s="1">
        <f>IF(ISERROR(HLOOKUP(MF$7,'Debt Amort'!$F$14:$NA$19,6,FALSE)),0,HLOOKUP(MF$7,'Debt Amort'!$F$14:$NA$19,6,FALSE))</f>
        <v>0</v>
      </c>
      <c r="MG47" s="1">
        <f>IF(ISERROR(HLOOKUP(MG$7,'Debt Amort'!$F$14:$NA$19,6,FALSE)),0,HLOOKUP(MG$7,'Debt Amort'!$F$14:$NA$19,6,FALSE))</f>
        <v>0</v>
      </c>
      <c r="MH47" s="1">
        <f>IF(ISERROR(HLOOKUP(MH$7,'Debt Amort'!$F$14:$NA$19,6,FALSE)),0,HLOOKUP(MH$7,'Debt Amort'!$F$14:$NA$19,6,FALSE))</f>
        <v>0</v>
      </c>
      <c r="MI47" s="1">
        <f>IF(ISERROR(HLOOKUP(MI$7,'Debt Amort'!$F$14:$NA$19,6,FALSE)),0,HLOOKUP(MI$7,'Debt Amort'!$F$14:$NA$19,6,FALSE))</f>
        <v>0</v>
      </c>
      <c r="MJ47" s="1">
        <f>IF(ISERROR(HLOOKUP(MJ$7,'Debt Amort'!$F$14:$NA$19,6,FALSE)),0,HLOOKUP(MJ$7,'Debt Amort'!$F$14:$NA$19,6,FALSE))</f>
        <v>0</v>
      </c>
      <c r="MK47" s="1">
        <f>IF(ISERROR(HLOOKUP(MK$7,'Debt Amort'!$F$14:$NA$19,6,FALSE)),0,HLOOKUP(MK$7,'Debt Amort'!$F$14:$NA$19,6,FALSE))</f>
        <v>0</v>
      </c>
      <c r="ML47" s="1">
        <f>IF(ISERROR(HLOOKUP(ML$7,'Debt Amort'!$F$14:$NA$19,6,FALSE)),0,HLOOKUP(ML$7,'Debt Amort'!$F$14:$NA$19,6,FALSE))</f>
        <v>0</v>
      </c>
      <c r="MM47" s="1">
        <f>IF(ISERROR(HLOOKUP(MM$7,'Debt Amort'!$F$14:$NA$19,6,FALSE)),0,HLOOKUP(MM$7,'Debt Amort'!$F$14:$NA$19,6,FALSE))</f>
        <v>0</v>
      </c>
      <c r="MN47" s="1">
        <f>IF(ISERROR(HLOOKUP(MN$7,'Debt Amort'!$F$14:$NA$19,6,FALSE)),0,HLOOKUP(MN$7,'Debt Amort'!$F$14:$NA$19,6,FALSE))</f>
        <v>0</v>
      </c>
      <c r="MO47" s="1">
        <f>IF(ISERROR(HLOOKUP(MO$7,'Debt Amort'!$F$14:$NA$19,6,FALSE)),0,HLOOKUP(MO$7,'Debt Amort'!$F$14:$NA$19,6,FALSE))</f>
        <v>0</v>
      </c>
      <c r="MP47" s="1">
        <f>IF(ISERROR(HLOOKUP(MP$7,'Debt Amort'!$F$14:$NA$19,6,FALSE)),0,HLOOKUP(MP$7,'Debt Amort'!$F$14:$NA$19,6,FALSE))</f>
        <v>0</v>
      </c>
      <c r="MQ47" s="1">
        <f>IF(ISERROR(HLOOKUP(MQ$7,'Debt Amort'!$F$14:$NA$19,6,FALSE)),0,HLOOKUP(MQ$7,'Debt Amort'!$F$14:$NA$19,6,FALSE))</f>
        <v>0</v>
      </c>
      <c r="MR47" s="1">
        <f>IF(ISERROR(HLOOKUP(MR$7,'Debt Amort'!$F$14:$NA$19,6,FALSE)),0,HLOOKUP(MR$7,'Debt Amort'!$F$14:$NA$19,6,FALSE))</f>
        <v>0</v>
      </c>
      <c r="MS47" s="1">
        <f>IF(ISERROR(HLOOKUP(MS$7,'Debt Amort'!$F$14:$NA$19,6,FALSE)),0,HLOOKUP(MS$7,'Debt Amort'!$F$14:$NA$19,6,FALSE))</f>
        <v>0</v>
      </c>
      <c r="MT47" s="1">
        <f>IF(ISERROR(HLOOKUP(MT$7,'Debt Amort'!$F$14:$NA$19,6,FALSE)),0,HLOOKUP(MT$7,'Debt Amort'!$F$14:$NA$19,6,FALSE))</f>
        <v>0</v>
      </c>
      <c r="MU47" s="1">
        <f>IF(ISERROR(HLOOKUP(MU$7,'Debt Amort'!$F$14:$NA$19,6,FALSE)),0,HLOOKUP(MU$7,'Debt Amort'!$F$14:$NA$19,6,FALSE))</f>
        <v>0</v>
      </c>
      <c r="MV47" s="1">
        <f>IF(ISERROR(HLOOKUP(MV$7,'Debt Amort'!$F$14:$NA$19,6,FALSE)),0,HLOOKUP(MV$7,'Debt Amort'!$F$14:$NA$19,6,FALSE))</f>
        <v>0</v>
      </c>
      <c r="MW47" s="1">
        <f>IF(ISERROR(HLOOKUP(MW$7,'Debt Amort'!$F$14:$NA$19,6,FALSE)),0,HLOOKUP(MW$7,'Debt Amort'!$F$14:$NA$19,6,FALSE))</f>
        <v>0</v>
      </c>
      <c r="MX47" s="1">
        <f>IF(ISERROR(HLOOKUP(MX$7,'Debt Amort'!$F$14:$NA$19,6,FALSE)),0,HLOOKUP(MX$7,'Debt Amort'!$F$14:$NA$19,6,FALSE))</f>
        <v>0</v>
      </c>
      <c r="MY47" s="1">
        <f>IF(ISERROR(HLOOKUP(MY$7,'Debt Amort'!$F$14:$NA$19,6,FALSE)),0,HLOOKUP(MY$7,'Debt Amort'!$F$14:$NA$19,6,FALSE))</f>
        <v>0</v>
      </c>
      <c r="MZ47" s="1">
        <f>IF(ISERROR(HLOOKUP(MZ$7,'Debt Amort'!$F$14:$NA$19,6,FALSE)),0,HLOOKUP(MZ$7,'Debt Amort'!$F$14:$NA$19,6,FALSE))</f>
        <v>0</v>
      </c>
      <c r="NA47" s="1">
        <f>IF(ISERROR(HLOOKUP(NA$7,'Debt Amort'!$F$14:$NA$19,6,FALSE)),0,HLOOKUP(NA$7,'Debt Amort'!$F$14:$NA$19,6,FALSE))</f>
        <v>0</v>
      </c>
      <c r="NB47" s="1">
        <f>IF(ISERROR(HLOOKUP(NB$7,'Debt Amort'!$F$14:$NA$19,6,FALSE)),0,HLOOKUP(NB$7,'Debt Amort'!$F$14:$NA$19,6,FALSE))</f>
        <v>0</v>
      </c>
    </row>
    <row r="48" spans="2:367" x14ac:dyDescent="0.15">
      <c r="B48" s="45" t="s">
        <v>112</v>
      </c>
      <c r="C48" s="45"/>
      <c r="F48" s="1">
        <f>IF(F45&lt;=0,0,MIN(F40-F45,F47))</f>
        <v>0</v>
      </c>
      <c r="G48" s="1">
        <f t="shared" ref="G48:BR48" si="92">IF(G45&lt;=0,0,MIN(G40-G45,G47))</f>
        <v>0</v>
      </c>
      <c r="H48" s="1">
        <f t="shared" si="92"/>
        <v>0</v>
      </c>
      <c r="I48" s="1">
        <f t="shared" si="92"/>
        <v>0</v>
      </c>
      <c r="J48" s="1">
        <f t="shared" si="92"/>
        <v>5319.7653828604234</v>
      </c>
      <c r="K48" s="1">
        <f t="shared" si="92"/>
        <v>5353.9574739890049</v>
      </c>
      <c r="L48" s="563">
        <f t="shared" si="92"/>
        <v>5388.3062788685966</v>
      </c>
      <c r="M48" s="1">
        <f t="shared" si="92"/>
        <v>5270.7610157705494</v>
      </c>
      <c r="N48" s="1">
        <f t="shared" si="92"/>
        <v>5305.4254062583059</v>
      </c>
      <c r="O48" s="1">
        <f t="shared" si="92"/>
        <v>5340.248675202467</v>
      </c>
      <c r="P48" s="1">
        <f t="shared" si="92"/>
        <v>5375.2315507959538</v>
      </c>
      <c r="Q48" s="1">
        <f t="shared" si="92"/>
        <v>5410.3747645692383</v>
      </c>
      <c r="R48" s="1">
        <f t="shared" si="92"/>
        <v>5445.6790514056556</v>
      </c>
      <c r="S48" s="1">
        <f t="shared" si="92"/>
        <v>6340.9944813900656</v>
      </c>
      <c r="T48" s="1">
        <f t="shared" si="92"/>
        <v>6376.6231324910077</v>
      </c>
      <c r="U48" s="1">
        <f t="shared" si="92"/>
        <v>6412.4150815761641</v>
      </c>
      <c r="V48" s="1">
        <f t="shared" si="92"/>
        <v>6448.3710770946236</v>
      </c>
      <c r="W48" s="1">
        <f t="shared" si="92"/>
        <v>6484.4918709258818</v>
      </c>
      <c r="X48" s="1">
        <f t="shared" si="92"/>
        <v>6520.7782183955278</v>
      </c>
      <c r="Y48" s="1">
        <f t="shared" si="92"/>
        <v>6557.2308782910804</v>
      </c>
      <c r="Z48" s="1">
        <f t="shared" si="92"/>
        <v>6593.8506128778208</v>
      </c>
      <c r="AA48" s="1">
        <f t="shared" si="92"/>
        <v>6630.6381879147448</v>
      </c>
      <c r="AB48" s="1">
        <f t="shared" si="92"/>
        <v>6667.5943726705918</v>
      </c>
      <c r="AC48" s="1">
        <f t="shared" si="92"/>
        <v>6704.7199399399069</v>
      </c>
      <c r="AD48" s="56">
        <f t="shared" si="92"/>
        <v>6742.0156660592002</v>
      </c>
      <c r="AE48" s="1">
        <f t="shared" si="92"/>
        <v>7666.357616059875</v>
      </c>
      <c r="AF48" s="1">
        <f t="shared" si="92"/>
        <v>7703.9960031378432</v>
      </c>
      <c r="AG48" s="1">
        <f t="shared" si="92"/>
        <v>7741.8068994899222</v>
      </c>
      <c r="AH48" s="1">
        <f t="shared" si="92"/>
        <v>7779.7910957836102</v>
      </c>
      <c r="AI48" s="1">
        <f t="shared" si="92"/>
        <v>7817.9493863103125</v>
      </c>
      <c r="AJ48" s="1">
        <f t="shared" si="92"/>
        <v>7856.2825690019345</v>
      </c>
      <c r="AK48" s="1">
        <f t="shared" si="92"/>
        <v>7894.791445447554</v>
      </c>
      <c r="AL48" s="1">
        <f t="shared" si="92"/>
        <v>7933.4768209102185</v>
      </c>
      <c r="AM48" s="1">
        <f t="shared" si="92"/>
        <v>7972.3395043437522</v>
      </c>
      <c r="AN48" s="1">
        <f t="shared" si="92"/>
        <v>8011.3803084096871</v>
      </c>
      <c r="AO48" s="1">
        <f t="shared" si="92"/>
        <v>8050.60004949426</v>
      </c>
      <c r="AP48" s="1">
        <f t="shared" si="92"/>
        <v>8089.9995477254743</v>
      </c>
      <c r="AQ48" s="1">
        <f t="shared" si="92"/>
        <v>8675.2337370326932</v>
      </c>
      <c r="AR48" s="1">
        <f t="shared" si="92"/>
        <v>8714.9952249940943</v>
      </c>
      <c r="AS48" s="1">
        <f t="shared" si="92"/>
        <v>8754.938953108649</v>
      </c>
      <c r="AT48" s="1">
        <f t="shared" si="92"/>
        <v>8795.065756643733</v>
      </c>
      <c r="AU48" s="1">
        <f t="shared" si="92"/>
        <v>8835.3764746950183</v>
      </c>
      <c r="AV48" s="1">
        <f t="shared" si="92"/>
        <v>8875.8719502040367</v>
      </c>
      <c r="AW48" s="1">
        <f t="shared" si="92"/>
        <v>8916.5530299758102</v>
      </c>
      <c r="AX48" s="1">
        <f t="shared" si="92"/>
        <v>8957.4205646965311</v>
      </c>
      <c r="AY48" s="1">
        <f t="shared" si="92"/>
        <v>8998.4754089513881</v>
      </c>
      <c r="AZ48" s="1">
        <f t="shared" si="92"/>
        <v>9039.7184212424181</v>
      </c>
      <c r="BA48" s="1">
        <f t="shared" si="92"/>
        <v>9081.150464006445</v>
      </c>
      <c r="BB48" s="1">
        <f t="shared" si="92"/>
        <v>9122.7724036331419</v>
      </c>
      <c r="BC48" s="1">
        <f t="shared" si="92"/>
        <v>9164.5851104831272</v>
      </c>
      <c r="BD48" s="1">
        <f t="shared" si="92"/>
        <v>9206.5894589061718</v>
      </c>
      <c r="BE48" s="1">
        <f t="shared" si="92"/>
        <v>9248.7863272594914</v>
      </c>
      <c r="BF48" s="1">
        <f t="shared" si="92"/>
        <v>9291.1765979260999</v>
      </c>
      <c r="BG48" s="1">
        <f t="shared" si="92"/>
        <v>9333.7611573332579</v>
      </c>
      <c r="BH48" s="1">
        <f t="shared" si="92"/>
        <v>9376.5408959710367</v>
      </c>
      <c r="BI48" s="1">
        <f t="shared" si="92"/>
        <v>9419.5167084109053</v>
      </c>
      <c r="BJ48" s="1">
        <f t="shared" si="92"/>
        <v>9462.6894933244548</v>
      </c>
      <c r="BK48" s="1">
        <f t="shared" si="92"/>
        <v>9506.060153502196</v>
      </c>
      <c r="BL48" s="1">
        <f t="shared" si="92"/>
        <v>9549.6295958724113</v>
      </c>
      <c r="BM48" s="1">
        <f t="shared" si="92"/>
        <v>9593.3987315201593</v>
      </c>
      <c r="BN48" s="1">
        <f t="shared" si="92"/>
        <v>9637.3684757062947</v>
      </c>
      <c r="BO48" s="1">
        <f t="shared" si="92"/>
        <v>9681.5397478866144</v>
      </c>
      <c r="BP48" s="1">
        <f t="shared" si="92"/>
        <v>9725.9134717310953</v>
      </c>
      <c r="BQ48" s="1">
        <f t="shared" si="92"/>
        <v>9770.4905751431943</v>
      </c>
      <c r="BR48" s="1">
        <f t="shared" si="92"/>
        <v>9815.2719902792669</v>
      </c>
      <c r="BS48" s="1">
        <f t="shared" ref="BS48:ED48" si="93">IF(BS45&lt;=0,0,MIN(BS40-BS45,BS47))</f>
        <v>9860.2586535680493</v>
      </c>
      <c r="BT48" s="1">
        <f t="shared" si="93"/>
        <v>9905.4515057302342</v>
      </c>
      <c r="BU48" s="1">
        <f t="shared" si="93"/>
        <v>9950.8514917981665</v>
      </c>
      <c r="BV48" s="1">
        <f t="shared" si="93"/>
        <v>9996.4595611355762</v>
      </c>
      <c r="BW48" s="1">
        <f t="shared" si="93"/>
        <v>10042.276667457445</v>
      </c>
      <c r="BX48" s="1">
        <f t="shared" si="93"/>
        <v>10088.303768849961</v>
      </c>
      <c r="BY48" s="1">
        <f t="shared" si="93"/>
        <v>10134.541827790523</v>
      </c>
      <c r="BZ48" s="1">
        <f t="shared" si="93"/>
        <v>10180.991811167896</v>
      </c>
      <c r="CA48" s="1">
        <f t="shared" si="93"/>
        <v>10227.654690302414</v>
      </c>
      <c r="CB48" s="1">
        <f t="shared" si="93"/>
        <v>10274.531440966301</v>
      </c>
      <c r="CC48" s="1">
        <f t="shared" si="93"/>
        <v>10321.623043404063</v>
      </c>
      <c r="CD48" s="1">
        <f t="shared" si="93"/>
        <v>10368.930482352996</v>
      </c>
      <c r="CE48" s="1">
        <f t="shared" si="93"/>
        <v>10416.454747063781</v>
      </c>
      <c r="CF48" s="1">
        <f t="shared" si="93"/>
        <v>10464.196831321158</v>
      </c>
      <c r="CG48" s="1">
        <f t="shared" si="93"/>
        <v>10512.157733464712</v>
      </c>
      <c r="CH48" s="1">
        <f t="shared" si="93"/>
        <v>10560.338456409761</v>
      </c>
      <c r="CI48" s="1">
        <f t="shared" si="93"/>
        <v>10608.740007668304</v>
      </c>
      <c r="CJ48" s="1">
        <f t="shared" si="93"/>
        <v>10657.363399370119</v>
      </c>
      <c r="CK48" s="1">
        <f t="shared" si="93"/>
        <v>10706.209648283897</v>
      </c>
      <c r="CL48" s="1">
        <f t="shared" si="93"/>
        <v>10755.279775838535</v>
      </c>
      <c r="CM48" s="1">
        <f t="shared" si="93"/>
        <v>10804.574808144458</v>
      </c>
      <c r="CN48" s="1">
        <f t="shared" si="93"/>
        <v>10854.095776015121</v>
      </c>
      <c r="CO48" s="1">
        <f t="shared" si="93"/>
        <v>10903.843714988525</v>
      </c>
      <c r="CP48" s="1">
        <f t="shared" si="93"/>
        <v>10953.819665348885</v>
      </c>
      <c r="CQ48" s="1">
        <f t="shared" si="93"/>
        <v>11004.024672148404</v>
      </c>
      <c r="CR48" s="1">
        <f t="shared" si="93"/>
        <v>11054.459785229083</v>
      </c>
      <c r="CS48" s="1">
        <f t="shared" si="93"/>
        <v>11105.126059244718</v>
      </c>
      <c r="CT48" s="1">
        <f t="shared" si="93"/>
        <v>11156.024553682921</v>
      </c>
      <c r="CU48" s="1">
        <f t="shared" si="93"/>
        <v>11207.156332887302</v>
      </c>
      <c r="CV48" s="1">
        <f t="shared" si="93"/>
        <v>11258.522466079703</v>
      </c>
      <c r="CW48" s="1">
        <f t="shared" si="93"/>
        <v>11310.124027382568</v>
      </c>
      <c r="CX48" s="1">
        <f t="shared" si="93"/>
        <v>11361.962095841405</v>
      </c>
      <c r="CY48" s="1">
        <f t="shared" si="93"/>
        <v>11414.037755447345</v>
      </c>
      <c r="CZ48" s="1">
        <f t="shared" si="93"/>
        <v>11466.352095159811</v>
      </c>
      <c r="DA48" s="1">
        <f t="shared" si="93"/>
        <v>11518.906208929293</v>
      </c>
      <c r="DB48" s="1">
        <f t="shared" si="93"/>
        <v>11571.701195720219</v>
      </c>
      <c r="DC48" s="1">
        <f t="shared" si="93"/>
        <v>11624.738159533936</v>
      </c>
      <c r="DD48" s="1">
        <f t="shared" si="93"/>
        <v>11678.018209431801</v>
      </c>
      <c r="DE48" s="1">
        <f t="shared" si="93"/>
        <v>11731.542459558364</v>
      </c>
      <c r="DF48" s="1">
        <f t="shared" si="93"/>
        <v>11785.31202916467</v>
      </c>
      <c r="DG48" s="1">
        <f t="shared" si="93"/>
        <v>11839.328042631678</v>
      </c>
      <c r="DH48" s="1">
        <f t="shared" si="93"/>
        <v>11893.591629493738</v>
      </c>
      <c r="DI48" s="1">
        <f t="shared" si="93"/>
        <v>11948.103924462248</v>
      </c>
      <c r="DJ48" s="1">
        <f t="shared" si="93"/>
        <v>12002.866067449369</v>
      </c>
      <c r="DK48" s="1">
        <f t="shared" si="93"/>
        <v>12057.879203591845</v>
      </c>
      <c r="DL48" s="1">
        <f t="shared" si="93"/>
        <v>12113.144483274973</v>
      </c>
      <c r="DM48" s="1">
        <f t="shared" si="93"/>
        <v>12168.663062156651</v>
      </c>
      <c r="DN48" s="1">
        <f t="shared" si="93"/>
        <v>12224.436101191535</v>
      </c>
      <c r="DO48" s="1">
        <f t="shared" si="93"/>
        <v>12280.464766655332</v>
      </c>
      <c r="DP48" s="1">
        <f t="shared" si="93"/>
        <v>12336.750230169167</v>
      </c>
      <c r="DQ48" s="1">
        <f t="shared" si="93"/>
        <v>12393.293668724109</v>
      </c>
      <c r="DR48" s="1">
        <f t="shared" si="93"/>
        <v>12450.09626470576</v>
      </c>
      <c r="DS48" s="1">
        <f t="shared" si="93"/>
        <v>12507.159205918997</v>
      </c>
      <c r="DT48" s="1">
        <f t="shared" si="93"/>
        <v>12564.483685612795</v>
      </c>
      <c r="DU48" s="1">
        <f t="shared" si="93"/>
        <v>12622.070902505184</v>
      </c>
      <c r="DV48" s="1">
        <f t="shared" si="93"/>
        <v>12679.922060808332</v>
      </c>
      <c r="DW48" s="1">
        <f t="shared" si="93"/>
        <v>12738.038370253704</v>
      </c>
      <c r="DX48" s="1">
        <f t="shared" si="93"/>
        <v>12796.421046117366</v>
      </c>
      <c r="DY48" s="1">
        <f t="shared" si="93"/>
        <v>12855.071309245403</v>
      </c>
      <c r="DZ48" s="1">
        <f t="shared" si="93"/>
        <v>12913.990386079444</v>
      </c>
      <c r="EA48" s="1">
        <f t="shared" si="93"/>
        <v>12973.179508682308</v>
      </c>
      <c r="EB48" s="1">
        <f t="shared" si="93"/>
        <v>13032.639914763769</v>
      </c>
      <c r="EC48" s="1">
        <f t="shared" si="93"/>
        <v>13092.372847706436</v>
      </c>
      <c r="ED48" s="1">
        <f t="shared" si="93"/>
        <v>13152.379556591757</v>
      </c>
      <c r="EE48" s="1">
        <f t="shared" ref="EE48:GP48" si="94">IF(EE45&lt;=0,0,MIN(EE40-EE45,EE47))</f>
        <v>13212.661296226135</v>
      </c>
      <c r="EF48" s="1">
        <f t="shared" si="94"/>
        <v>13273.219327167171</v>
      </c>
      <c r="EG48" s="1">
        <f t="shared" si="94"/>
        <v>13334.054915750021</v>
      </c>
      <c r="EH48" s="1">
        <f t="shared" si="94"/>
        <v>13395.169334113874</v>
      </c>
      <c r="EI48" s="1">
        <f t="shared" si="94"/>
        <v>13456.563860228565</v>
      </c>
      <c r="EJ48" s="1">
        <f t="shared" si="94"/>
        <v>13518.239777921279</v>
      </c>
      <c r="EK48" s="1">
        <f t="shared" si="94"/>
        <v>13580.198376903418</v>
      </c>
      <c r="EL48" s="1">
        <f t="shared" si="94"/>
        <v>13642.440952797559</v>
      </c>
      <c r="EM48" s="1">
        <f t="shared" si="94"/>
        <v>13704.968807164547</v>
      </c>
      <c r="EN48" s="1">
        <f t="shared" si="94"/>
        <v>13767.783247530719</v>
      </c>
      <c r="EO48" s="1">
        <f t="shared" si="94"/>
        <v>13830.885587415234</v>
      </c>
      <c r="EP48" s="1">
        <f t="shared" si="94"/>
        <v>13894.277146357554</v>
      </c>
      <c r="EQ48" s="1">
        <f t="shared" si="94"/>
        <v>13957.959249945026</v>
      </c>
      <c r="ER48" s="1">
        <f t="shared" si="94"/>
        <v>14021.933229840608</v>
      </c>
      <c r="ES48" s="1">
        <f t="shared" si="94"/>
        <v>14086.200423810711</v>
      </c>
      <c r="ET48" s="1">
        <f t="shared" si="94"/>
        <v>14150.762175753176</v>
      </c>
      <c r="EU48" s="1">
        <f t="shared" si="94"/>
        <v>14215.619835725378</v>
      </c>
      <c r="EV48" s="1">
        <f t="shared" si="94"/>
        <v>14280.774759972453</v>
      </c>
      <c r="EW48" s="1">
        <f t="shared" si="94"/>
        <v>14346.228310955661</v>
      </c>
      <c r="EX48" s="1">
        <f t="shared" si="94"/>
        <v>14411.981857380875</v>
      </c>
      <c r="EY48" s="1">
        <f t="shared" si="94"/>
        <v>14478.036774227203</v>
      </c>
      <c r="EZ48" s="1">
        <f t="shared" si="94"/>
        <v>14544.394442775745</v>
      </c>
      <c r="FA48" s="1">
        <f t="shared" si="94"/>
        <v>14611.056250638469</v>
      </c>
      <c r="FB48" s="1">
        <f t="shared" si="94"/>
        <v>14678.023591787227</v>
      </c>
      <c r="FC48" s="1">
        <f t="shared" si="94"/>
        <v>14745.297866582918</v>
      </c>
      <c r="FD48" s="1">
        <f t="shared" si="94"/>
        <v>14812.880481804756</v>
      </c>
      <c r="FE48" s="1">
        <f t="shared" si="94"/>
        <v>14880.772850679694</v>
      </c>
      <c r="FF48" s="1">
        <f t="shared" si="94"/>
        <v>14948.976392911976</v>
      </c>
      <c r="FG48" s="1">
        <f t="shared" si="94"/>
        <v>15017.492534712821</v>
      </c>
      <c r="FH48" s="1">
        <f t="shared" si="94"/>
        <v>15086.322708830256</v>
      </c>
      <c r="FI48" s="1">
        <f t="shared" si="94"/>
        <v>15155.468354579061</v>
      </c>
      <c r="FJ48" s="1">
        <f t="shared" si="94"/>
        <v>15224.930917870883</v>
      </c>
      <c r="FK48" s="1">
        <f t="shared" si="94"/>
        <v>15294.711851244456</v>
      </c>
      <c r="FL48" s="1">
        <f t="shared" si="94"/>
        <v>15364.812613895992</v>
      </c>
      <c r="FM48" s="1">
        <f t="shared" si="94"/>
        <v>15435.234671709683</v>
      </c>
      <c r="FN48" s="1">
        <f t="shared" si="94"/>
        <v>15505.979497288352</v>
      </c>
      <c r="FO48" s="1">
        <f t="shared" si="94"/>
        <v>15577.048569984257</v>
      </c>
      <c r="FP48" s="1">
        <f t="shared" si="94"/>
        <v>15648.443375930017</v>
      </c>
      <c r="FQ48" s="1">
        <f t="shared" si="94"/>
        <v>15720.165408069697</v>
      </c>
      <c r="FR48" s="1">
        <f t="shared" si="94"/>
        <v>15792.216166190017</v>
      </c>
      <c r="FS48" s="1">
        <f t="shared" si="94"/>
        <v>15864.597156951721</v>
      </c>
      <c r="FT48" s="1">
        <f t="shared" si="94"/>
        <v>15937.309893921083</v>
      </c>
      <c r="FU48" s="1">
        <f t="shared" si="94"/>
        <v>16010.355897601554</v>
      </c>
      <c r="FV48" s="1">
        <f t="shared" si="94"/>
        <v>16083.736695465563</v>
      </c>
      <c r="FW48" s="1">
        <f t="shared" si="94"/>
        <v>16157.453821986446</v>
      </c>
      <c r="FX48" s="1">
        <f t="shared" si="94"/>
        <v>16231.508818670551</v>
      </c>
      <c r="FY48" s="1">
        <f t="shared" si="94"/>
        <v>16305.903234089457</v>
      </c>
      <c r="FZ48" s="1">
        <f t="shared" si="94"/>
        <v>16380.638623912368</v>
      </c>
      <c r="GA48" s="1">
        <f t="shared" si="94"/>
        <v>0</v>
      </c>
      <c r="GB48" s="1">
        <f t="shared" si="94"/>
        <v>0</v>
      </c>
      <c r="GC48" s="1">
        <f t="shared" si="94"/>
        <v>0</v>
      </c>
      <c r="GD48" s="1">
        <f t="shared" si="94"/>
        <v>16683.02129087066</v>
      </c>
      <c r="GE48" s="1">
        <f t="shared" si="94"/>
        <v>0</v>
      </c>
      <c r="GF48" s="1">
        <f t="shared" si="94"/>
        <v>0</v>
      </c>
      <c r="GG48" s="1">
        <f t="shared" si="94"/>
        <v>0</v>
      </c>
      <c r="GH48" s="1">
        <f t="shared" si="94"/>
        <v>0</v>
      </c>
      <c r="GI48" s="1">
        <f t="shared" si="94"/>
        <v>0</v>
      </c>
      <c r="GJ48" s="1">
        <f t="shared" si="94"/>
        <v>0</v>
      </c>
      <c r="GK48" s="1">
        <f t="shared" si="94"/>
        <v>0</v>
      </c>
      <c r="GL48" s="1">
        <f t="shared" si="94"/>
        <v>0</v>
      </c>
      <c r="GM48" s="1">
        <f t="shared" si="94"/>
        <v>0</v>
      </c>
      <c r="GN48" s="1">
        <f t="shared" si="94"/>
        <v>0</v>
      </c>
      <c r="GO48" s="1">
        <f t="shared" si="94"/>
        <v>0</v>
      </c>
      <c r="GP48" s="1">
        <f t="shared" si="94"/>
        <v>0</v>
      </c>
      <c r="GQ48" s="1">
        <f t="shared" ref="GQ48:IL48" si="95">IF(GQ45&lt;=0,0,MIN(GQ40-GQ45,GQ47))</f>
        <v>0</v>
      </c>
      <c r="GR48" s="1">
        <f t="shared" si="95"/>
        <v>0</v>
      </c>
      <c r="GS48" s="1">
        <f t="shared" si="95"/>
        <v>0</v>
      </c>
      <c r="GT48" s="1">
        <f t="shared" si="95"/>
        <v>0</v>
      </c>
      <c r="GU48" s="1">
        <f t="shared" si="95"/>
        <v>0</v>
      </c>
      <c r="GV48" s="1">
        <f t="shared" si="95"/>
        <v>0</v>
      </c>
      <c r="GW48" s="1">
        <f t="shared" si="95"/>
        <v>0</v>
      </c>
      <c r="GX48" s="1">
        <f t="shared" si="95"/>
        <v>0</v>
      </c>
      <c r="GY48" s="1">
        <f t="shared" si="95"/>
        <v>0</v>
      </c>
      <c r="GZ48" s="1">
        <f t="shared" si="95"/>
        <v>0</v>
      </c>
      <c r="HA48" s="1">
        <f t="shared" si="95"/>
        <v>0</v>
      </c>
      <c r="HB48" s="1">
        <f t="shared" si="95"/>
        <v>0</v>
      </c>
      <c r="HC48" s="1">
        <f t="shared" si="95"/>
        <v>0</v>
      </c>
      <c r="HD48" s="1">
        <f t="shared" si="95"/>
        <v>0</v>
      </c>
      <c r="HE48" s="1">
        <f t="shared" si="95"/>
        <v>0</v>
      </c>
      <c r="HF48" s="1">
        <f t="shared" si="95"/>
        <v>0</v>
      </c>
      <c r="HG48" s="1">
        <f t="shared" si="95"/>
        <v>0</v>
      </c>
      <c r="HH48" s="1">
        <f t="shared" si="95"/>
        <v>0</v>
      </c>
      <c r="HI48" s="1">
        <f t="shared" si="95"/>
        <v>0</v>
      </c>
      <c r="HJ48" s="1">
        <f t="shared" si="95"/>
        <v>0</v>
      </c>
      <c r="HK48" s="1">
        <f t="shared" si="95"/>
        <v>0</v>
      </c>
      <c r="HL48" s="1">
        <f t="shared" si="95"/>
        <v>0</v>
      </c>
      <c r="HM48" s="1">
        <f t="shared" si="95"/>
        <v>0</v>
      </c>
      <c r="HN48" s="1">
        <f t="shared" si="95"/>
        <v>0</v>
      </c>
      <c r="HO48" s="1">
        <f t="shared" si="95"/>
        <v>0</v>
      </c>
      <c r="HP48" s="1">
        <f t="shared" si="95"/>
        <v>0</v>
      </c>
      <c r="HQ48" s="1">
        <f t="shared" si="95"/>
        <v>0</v>
      </c>
      <c r="HR48" s="1">
        <f t="shared" si="95"/>
        <v>0</v>
      </c>
      <c r="HS48" s="1">
        <f t="shared" si="95"/>
        <v>0</v>
      </c>
      <c r="HT48" s="1">
        <f t="shared" si="95"/>
        <v>0</v>
      </c>
      <c r="HU48" s="1">
        <f t="shared" si="95"/>
        <v>0</v>
      </c>
      <c r="HV48" s="1">
        <f t="shared" si="95"/>
        <v>0</v>
      </c>
      <c r="HW48" s="1">
        <f t="shared" si="95"/>
        <v>0</v>
      </c>
      <c r="HX48" s="1">
        <f t="shared" si="95"/>
        <v>0</v>
      </c>
      <c r="HY48" s="1">
        <f t="shared" si="95"/>
        <v>0</v>
      </c>
      <c r="HZ48" s="1">
        <f t="shared" si="95"/>
        <v>0</v>
      </c>
      <c r="IA48" s="1">
        <f t="shared" si="95"/>
        <v>0</v>
      </c>
      <c r="IB48" s="1">
        <f t="shared" si="95"/>
        <v>0</v>
      </c>
      <c r="IC48" s="1">
        <f t="shared" si="95"/>
        <v>0</v>
      </c>
      <c r="ID48" s="1">
        <f t="shared" si="95"/>
        <v>0</v>
      </c>
      <c r="IE48" s="1">
        <f t="shared" si="95"/>
        <v>0</v>
      </c>
      <c r="IF48" s="1">
        <f t="shared" si="95"/>
        <v>0</v>
      </c>
      <c r="IG48" s="1">
        <f t="shared" si="95"/>
        <v>0</v>
      </c>
      <c r="IH48" s="1">
        <f t="shared" si="95"/>
        <v>0</v>
      </c>
      <c r="II48" s="1">
        <f t="shared" si="95"/>
        <v>0</v>
      </c>
      <c r="IJ48" s="1">
        <f t="shared" si="95"/>
        <v>0</v>
      </c>
      <c r="IK48" s="1">
        <f t="shared" si="95"/>
        <v>0</v>
      </c>
      <c r="IL48" s="1">
        <f t="shared" si="95"/>
        <v>0</v>
      </c>
      <c r="IM48" s="1">
        <f t="shared" ref="IM48:KX48" si="96">IF(IM45&lt;=0,0,MIN(IM40-IM45,IM47))</f>
        <v>0</v>
      </c>
      <c r="IN48" s="1">
        <f t="shared" si="96"/>
        <v>0</v>
      </c>
      <c r="IO48" s="1">
        <f t="shared" si="96"/>
        <v>0</v>
      </c>
      <c r="IP48" s="1">
        <f t="shared" si="96"/>
        <v>0</v>
      </c>
      <c r="IQ48" s="1">
        <f t="shared" si="96"/>
        <v>0</v>
      </c>
      <c r="IR48" s="1">
        <f t="shared" si="96"/>
        <v>0</v>
      </c>
      <c r="IS48" s="1">
        <f t="shared" si="96"/>
        <v>0</v>
      </c>
      <c r="IT48" s="1">
        <f t="shared" si="96"/>
        <v>0</v>
      </c>
      <c r="IU48" s="1">
        <f t="shared" si="96"/>
        <v>0</v>
      </c>
      <c r="IV48" s="1">
        <f t="shared" si="96"/>
        <v>0</v>
      </c>
      <c r="IW48" s="1">
        <f t="shared" si="96"/>
        <v>0</v>
      </c>
      <c r="IX48" s="1">
        <f t="shared" si="96"/>
        <v>0</v>
      </c>
      <c r="IY48" s="1">
        <f t="shared" si="96"/>
        <v>0</v>
      </c>
      <c r="IZ48" s="1">
        <f t="shared" si="96"/>
        <v>0</v>
      </c>
      <c r="JA48" s="1">
        <f t="shared" si="96"/>
        <v>0</v>
      </c>
      <c r="JB48" s="1">
        <f t="shared" si="96"/>
        <v>0</v>
      </c>
      <c r="JC48" s="1">
        <f t="shared" si="96"/>
        <v>0</v>
      </c>
      <c r="JD48" s="1">
        <f t="shared" si="96"/>
        <v>0</v>
      </c>
      <c r="JE48" s="1">
        <f t="shared" si="96"/>
        <v>0</v>
      </c>
      <c r="JF48" s="1">
        <f t="shared" si="96"/>
        <v>0</v>
      </c>
      <c r="JG48" s="1">
        <f t="shared" si="96"/>
        <v>0</v>
      </c>
      <c r="JH48" s="1">
        <f t="shared" si="96"/>
        <v>0</v>
      </c>
      <c r="JI48" s="1">
        <f t="shared" si="96"/>
        <v>0</v>
      </c>
      <c r="JJ48" s="1">
        <f t="shared" si="96"/>
        <v>0</v>
      </c>
      <c r="JK48" s="1">
        <f t="shared" si="96"/>
        <v>0</v>
      </c>
      <c r="JL48" s="1">
        <f t="shared" si="96"/>
        <v>0</v>
      </c>
      <c r="JM48" s="1">
        <f t="shared" si="96"/>
        <v>0</v>
      </c>
      <c r="JN48" s="1">
        <f t="shared" si="96"/>
        <v>0</v>
      </c>
      <c r="JO48" s="1">
        <f t="shared" si="96"/>
        <v>0</v>
      </c>
      <c r="JP48" s="1">
        <f t="shared" si="96"/>
        <v>0</v>
      </c>
      <c r="JQ48" s="1">
        <f t="shared" si="96"/>
        <v>0</v>
      </c>
      <c r="JR48" s="1">
        <f t="shared" si="96"/>
        <v>0</v>
      </c>
      <c r="JS48" s="1">
        <f t="shared" si="96"/>
        <v>0</v>
      </c>
      <c r="JT48" s="1">
        <f t="shared" si="96"/>
        <v>0</v>
      </c>
      <c r="JU48" s="1">
        <f t="shared" si="96"/>
        <v>0</v>
      </c>
      <c r="JV48" s="1">
        <f t="shared" si="96"/>
        <v>0</v>
      </c>
      <c r="JW48" s="1">
        <f t="shared" si="96"/>
        <v>0</v>
      </c>
      <c r="JX48" s="1">
        <f t="shared" si="96"/>
        <v>0</v>
      </c>
      <c r="JY48" s="1">
        <f t="shared" si="96"/>
        <v>0</v>
      </c>
      <c r="JZ48" s="1">
        <f t="shared" si="96"/>
        <v>0</v>
      </c>
      <c r="KA48" s="1">
        <f t="shared" si="96"/>
        <v>0</v>
      </c>
      <c r="KB48" s="1">
        <f t="shared" si="96"/>
        <v>0</v>
      </c>
      <c r="KC48" s="1">
        <f t="shared" si="96"/>
        <v>0</v>
      </c>
      <c r="KD48" s="1">
        <f t="shared" si="96"/>
        <v>0</v>
      </c>
      <c r="KE48" s="1">
        <f t="shared" si="96"/>
        <v>0</v>
      </c>
      <c r="KF48" s="1">
        <f t="shared" si="96"/>
        <v>0</v>
      </c>
      <c r="KG48" s="1">
        <f t="shared" si="96"/>
        <v>0</v>
      </c>
      <c r="KH48" s="1">
        <f t="shared" si="96"/>
        <v>0</v>
      </c>
      <c r="KI48" s="1">
        <f t="shared" si="96"/>
        <v>0</v>
      </c>
      <c r="KJ48" s="1">
        <f t="shared" si="96"/>
        <v>0</v>
      </c>
      <c r="KK48" s="1">
        <f t="shared" si="96"/>
        <v>0</v>
      </c>
      <c r="KL48" s="1">
        <f t="shared" si="96"/>
        <v>0</v>
      </c>
      <c r="KM48" s="1">
        <f t="shared" si="96"/>
        <v>0</v>
      </c>
      <c r="KN48" s="1">
        <f t="shared" si="96"/>
        <v>0</v>
      </c>
      <c r="KO48" s="1">
        <f t="shared" si="96"/>
        <v>0</v>
      </c>
      <c r="KP48" s="1">
        <f t="shared" si="96"/>
        <v>0</v>
      </c>
      <c r="KQ48" s="1">
        <f t="shared" si="96"/>
        <v>0</v>
      </c>
      <c r="KR48" s="1">
        <f t="shared" si="96"/>
        <v>0</v>
      </c>
      <c r="KS48" s="1">
        <f t="shared" si="96"/>
        <v>0</v>
      </c>
      <c r="KT48" s="1">
        <f t="shared" si="96"/>
        <v>0</v>
      </c>
      <c r="KU48" s="1">
        <f t="shared" si="96"/>
        <v>0</v>
      </c>
      <c r="KV48" s="1">
        <f t="shared" si="96"/>
        <v>0</v>
      </c>
      <c r="KW48" s="1">
        <f t="shared" si="96"/>
        <v>0</v>
      </c>
      <c r="KX48" s="1">
        <f t="shared" si="96"/>
        <v>0</v>
      </c>
      <c r="KY48" s="1">
        <f t="shared" ref="KY48:NB48" si="97">IF(KY45&lt;=0,0,MIN(KY40-KY45,KY47))</f>
        <v>0</v>
      </c>
      <c r="KZ48" s="1">
        <f t="shared" si="97"/>
        <v>0</v>
      </c>
      <c r="LA48" s="1">
        <f t="shared" si="97"/>
        <v>0</v>
      </c>
      <c r="LB48" s="1">
        <f t="shared" si="97"/>
        <v>0</v>
      </c>
      <c r="LC48" s="1">
        <f t="shared" si="97"/>
        <v>0</v>
      </c>
      <c r="LD48" s="1">
        <f t="shared" si="97"/>
        <v>0</v>
      </c>
      <c r="LE48" s="1">
        <f t="shared" si="97"/>
        <v>0</v>
      </c>
      <c r="LF48" s="1">
        <f t="shared" si="97"/>
        <v>0</v>
      </c>
      <c r="LG48" s="1">
        <f t="shared" si="97"/>
        <v>0</v>
      </c>
      <c r="LH48" s="1">
        <f t="shared" si="97"/>
        <v>0</v>
      </c>
      <c r="LI48" s="1">
        <f t="shared" si="97"/>
        <v>0</v>
      </c>
      <c r="LJ48" s="1">
        <f t="shared" si="97"/>
        <v>0</v>
      </c>
      <c r="LK48" s="1">
        <f t="shared" si="97"/>
        <v>0</v>
      </c>
      <c r="LL48" s="1">
        <f t="shared" si="97"/>
        <v>0</v>
      </c>
      <c r="LM48" s="1">
        <f t="shared" si="97"/>
        <v>0</v>
      </c>
      <c r="LN48" s="1">
        <f t="shared" si="97"/>
        <v>0</v>
      </c>
      <c r="LO48" s="1">
        <f t="shared" si="97"/>
        <v>0</v>
      </c>
      <c r="LP48" s="1">
        <f t="shared" si="97"/>
        <v>0</v>
      </c>
      <c r="LQ48" s="1">
        <f t="shared" si="97"/>
        <v>0</v>
      </c>
      <c r="LR48" s="1">
        <f t="shared" si="97"/>
        <v>0</v>
      </c>
      <c r="LS48" s="1">
        <f t="shared" si="97"/>
        <v>0</v>
      </c>
      <c r="LT48" s="1">
        <f t="shared" si="97"/>
        <v>0</v>
      </c>
      <c r="LU48" s="1">
        <f t="shared" si="97"/>
        <v>0</v>
      </c>
      <c r="LV48" s="1">
        <f t="shared" si="97"/>
        <v>0</v>
      </c>
      <c r="LW48" s="1">
        <f t="shared" si="97"/>
        <v>0</v>
      </c>
      <c r="LX48" s="1">
        <f t="shared" si="97"/>
        <v>0</v>
      </c>
      <c r="LY48" s="1">
        <f t="shared" si="97"/>
        <v>0</v>
      </c>
      <c r="LZ48" s="1">
        <f t="shared" si="97"/>
        <v>0</v>
      </c>
      <c r="MA48" s="1">
        <f t="shared" si="97"/>
        <v>0</v>
      </c>
      <c r="MB48" s="1">
        <f t="shared" si="97"/>
        <v>0</v>
      </c>
      <c r="MC48" s="1">
        <f t="shared" si="97"/>
        <v>0</v>
      </c>
      <c r="MD48" s="1">
        <f t="shared" si="97"/>
        <v>0</v>
      </c>
      <c r="ME48" s="1">
        <f t="shared" si="97"/>
        <v>0</v>
      </c>
      <c r="MF48" s="1">
        <f t="shared" si="97"/>
        <v>0</v>
      </c>
      <c r="MG48" s="1">
        <f t="shared" si="97"/>
        <v>0</v>
      </c>
      <c r="MH48" s="1">
        <f t="shared" si="97"/>
        <v>0</v>
      </c>
      <c r="MI48" s="1">
        <f t="shared" si="97"/>
        <v>0</v>
      </c>
      <c r="MJ48" s="1">
        <f t="shared" si="97"/>
        <v>0</v>
      </c>
      <c r="MK48" s="1">
        <f t="shared" si="97"/>
        <v>0</v>
      </c>
      <c r="ML48" s="1">
        <f t="shared" si="97"/>
        <v>0</v>
      </c>
      <c r="MM48" s="1">
        <f t="shared" si="97"/>
        <v>0</v>
      </c>
      <c r="MN48" s="1">
        <f t="shared" si="97"/>
        <v>0</v>
      </c>
      <c r="MO48" s="1">
        <f t="shared" si="97"/>
        <v>0</v>
      </c>
      <c r="MP48" s="1">
        <f t="shared" si="97"/>
        <v>0</v>
      </c>
      <c r="MQ48" s="1">
        <f t="shared" si="97"/>
        <v>0</v>
      </c>
      <c r="MR48" s="1">
        <f t="shared" si="97"/>
        <v>0</v>
      </c>
      <c r="MS48" s="1">
        <f t="shared" si="97"/>
        <v>0</v>
      </c>
      <c r="MT48" s="1">
        <f t="shared" si="97"/>
        <v>0</v>
      </c>
      <c r="MU48" s="1">
        <f t="shared" si="97"/>
        <v>0</v>
      </c>
      <c r="MV48" s="1">
        <f t="shared" si="97"/>
        <v>0</v>
      </c>
      <c r="MW48" s="1">
        <f t="shared" si="97"/>
        <v>0</v>
      </c>
      <c r="MX48" s="1">
        <f t="shared" si="97"/>
        <v>0</v>
      </c>
      <c r="MY48" s="1">
        <f t="shared" si="97"/>
        <v>0</v>
      </c>
      <c r="MZ48" s="1">
        <f t="shared" si="97"/>
        <v>0</v>
      </c>
      <c r="NA48" s="1">
        <f t="shared" si="97"/>
        <v>0</v>
      </c>
      <c r="NB48" s="1">
        <f t="shared" si="97"/>
        <v>0</v>
      </c>
    </row>
    <row r="49" spans="2:367" x14ac:dyDescent="0.15">
      <c r="B49" s="45" t="s">
        <v>113</v>
      </c>
      <c r="C49" s="45"/>
      <c r="F49" s="1">
        <f>IF(F$11=1,0,IF(F47&gt;F48,F47-F48,0))</f>
        <v>0</v>
      </c>
      <c r="G49" s="1">
        <f t="shared" ref="G49:BR49" si="98">IF(G$11=1,0,IF(G47&gt;G48,G47-G48,0))</f>
        <v>7358.44948534578</v>
      </c>
      <c r="H49" s="1">
        <f t="shared" si="98"/>
        <v>7392.1757121536139</v>
      </c>
      <c r="I49" s="1">
        <f t="shared" si="98"/>
        <v>7426.0565175009833</v>
      </c>
      <c r="J49" s="1">
        <f t="shared" si="98"/>
        <v>2140.3272270124435</v>
      </c>
      <c r="K49" s="1">
        <f t="shared" si="98"/>
        <v>2140.3272270124435</v>
      </c>
      <c r="L49" s="563">
        <f t="shared" si="98"/>
        <v>2140.3272270124435</v>
      </c>
      <c r="M49" s="1">
        <f t="shared" si="98"/>
        <v>2292.3787270124449</v>
      </c>
      <c r="N49" s="1">
        <f t="shared" si="98"/>
        <v>2292.3787270124449</v>
      </c>
      <c r="O49" s="1">
        <f t="shared" si="98"/>
        <v>2292.3787270124449</v>
      </c>
      <c r="P49" s="1">
        <f t="shared" si="98"/>
        <v>2292.3787270124449</v>
      </c>
      <c r="Q49" s="1">
        <f t="shared" si="98"/>
        <v>2292.3787270124449</v>
      </c>
      <c r="R49" s="1">
        <f t="shared" si="98"/>
        <v>2292.3787270124449</v>
      </c>
      <c r="S49" s="1">
        <f t="shared" si="98"/>
        <v>1432.5293951791173</v>
      </c>
      <c r="T49" s="1">
        <f t="shared" si="98"/>
        <v>1432.5293951791173</v>
      </c>
      <c r="U49" s="1">
        <f t="shared" si="98"/>
        <v>1432.5293951791173</v>
      </c>
      <c r="V49" s="1">
        <f t="shared" si="98"/>
        <v>1432.5293951791173</v>
      </c>
      <c r="W49" s="1">
        <f t="shared" si="98"/>
        <v>1432.5293951791173</v>
      </c>
      <c r="X49" s="1">
        <f t="shared" si="98"/>
        <v>1432.5293951791173</v>
      </c>
      <c r="Y49" s="1">
        <f t="shared" si="98"/>
        <v>1432.5293951791173</v>
      </c>
      <c r="Z49" s="1">
        <f t="shared" si="98"/>
        <v>1432.5293951791173</v>
      </c>
      <c r="AA49" s="1">
        <f t="shared" si="98"/>
        <v>1432.5293951791173</v>
      </c>
      <c r="AB49" s="1">
        <f t="shared" si="98"/>
        <v>1432.5293951791173</v>
      </c>
      <c r="AC49" s="1">
        <f t="shared" si="98"/>
        <v>1432.5293951791173</v>
      </c>
      <c r="AD49" s="56">
        <f t="shared" si="98"/>
        <v>1432.5293951791173</v>
      </c>
      <c r="AE49" s="1">
        <f t="shared" si="98"/>
        <v>545.65411004245107</v>
      </c>
      <c r="AF49" s="1">
        <f t="shared" si="98"/>
        <v>545.65411004245107</v>
      </c>
      <c r="AG49" s="1">
        <f t="shared" si="98"/>
        <v>545.65411004245107</v>
      </c>
      <c r="AH49" s="1">
        <f t="shared" si="98"/>
        <v>545.65411004245107</v>
      </c>
      <c r="AI49" s="1">
        <f t="shared" si="98"/>
        <v>545.65411004245107</v>
      </c>
      <c r="AJ49" s="1">
        <f t="shared" si="98"/>
        <v>545.65411004245107</v>
      </c>
      <c r="AK49" s="1">
        <f t="shared" si="98"/>
        <v>545.65411004245107</v>
      </c>
      <c r="AL49" s="1">
        <f t="shared" si="98"/>
        <v>545.65411004245107</v>
      </c>
      <c r="AM49" s="1">
        <f t="shared" si="98"/>
        <v>545.65411004245107</v>
      </c>
      <c r="AN49" s="1">
        <f t="shared" si="98"/>
        <v>545.65411004245107</v>
      </c>
      <c r="AO49" s="1">
        <f t="shared" si="98"/>
        <v>545.65411004245107</v>
      </c>
      <c r="AP49" s="1">
        <f t="shared" si="98"/>
        <v>545.65411004245107</v>
      </c>
      <c r="AQ49" s="1">
        <f t="shared" si="98"/>
        <v>0</v>
      </c>
      <c r="AR49" s="1">
        <f t="shared" si="98"/>
        <v>0</v>
      </c>
      <c r="AS49" s="1">
        <f t="shared" si="98"/>
        <v>0</v>
      </c>
      <c r="AT49" s="1">
        <f t="shared" si="98"/>
        <v>0</v>
      </c>
      <c r="AU49" s="1">
        <f t="shared" si="98"/>
        <v>0</v>
      </c>
      <c r="AV49" s="1">
        <f t="shared" si="98"/>
        <v>0</v>
      </c>
      <c r="AW49" s="1">
        <f t="shared" si="98"/>
        <v>0</v>
      </c>
      <c r="AX49" s="1">
        <f t="shared" si="98"/>
        <v>0</v>
      </c>
      <c r="AY49" s="1">
        <f t="shared" si="98"/>
        <v>0</v>
      </c>
      <c r="AZ49" s="1">
        <f t="shared" si="98"/>
        <v>0</v>
      </c>
      <c r="BA49" s="1">
        <f t="shared" si="98"/>
        <v>0</v>
      </c>
      <c r="BB49" s="1">
        <f t="shared" si="98"/>
        <v>0</v>
      </c>
      <c r="BC49" s="1">
        <f t="shared" si="98"/>
        <v>0</v>
      </c>
      <c r="BD49" s="1">
        <f t="shared" si="98"/>
        <v>0</v>
      </c>
      <c r="BE49" s="1">
        <f t="shared" si="98"/>
        <v>0</v>
      </c>
      <c r="BF49" s="1">
        <f t="shared" si="98"/>
        <v>0</v>
      </c>
      <c r="BG49" s="1">
        <f t="shared" si="98"/>
        <v>0</v>
      </c>
      <c r="BH49" s="1">
        <f t="shared" si="98"/>
        <v>0</v>
      </c>
      <c r="BI49" s="1">
        <f t="shared" si="98"/>
        <v>0</v>
      </c>
      <c r="BJ49" s="1">
        <f t="shared" si="98"/>
        <v>0</v>
      </c>
      <c r="BK49" s="1">
        <f t="shared" si="98"/>
        <v>0</v>
      </c>
      <c r="BL49" s="1">
        <f t="shared" si="98"/>
        <v>0</v>
      </c>
      <c r="BM49" s="1">
        <f t="shared" si="98"/>
        <v>0</v>
      </c>
      <c r="BN49" s="1">
        <f t="shared" si="98"/>
        <v>0</v>
      </c>
      <c r="BO49" s="1">
        <f t="shared" si="98"/>
        <v>0</v>
      </c>
      <c r="BP49" s="1">
        <f t="shared" si="98"/>
        <v>0</v>
      </c>
      <c r="BQ49" s="1">
        <f t="shared" si="98"/>
        <v>0</v>
      </c>
      <c r="BR49" s="1">
        <f t="shared" si="98"/>
        <v>0</v>
      </c>
      <c r="BS49" s="1">
        <f t="shared" ref="BS49:ED49" si="99">IF(BS$11=1,0,IF(BS47&gt;BS48,BS47-BS48,0))</f>
        <v>0</v>
      </c>
      <c r="BT49" s="1">
        <f t="shared" si="99"/>
        <v>0</v>
      </c>
      <c r="BU49" s="1">
        <f t="shared" si="99"/>
        <v>0</v>
      </c>
      <c r="BV49" s="1">
        <f t="shared" si="99"/>
        <v>0</v>
      </c>
      <c r="BW49" s="1">
        <f t="shared" si="99"/>
        <v>0</v>
      </c>
      <c r="BX49" s="1">
        <f t="shared" si="99"/>
        <v>0</v>
      </c>
      <c r="BY49" s="1">
        <f t="shared" si="99"/>
        <v>0</v>
      </c>
      <c r="BZ49" s="1">
        <f t="shared" si="99"/>
        <v>0</v>
      </c>
      <c r="CA49" s="1">
        <f t="shared" si="99"/>
        <v>0</v>
      </c>
      <c r="CB49" s="1">
        <f t="shared" si="99"/>
        <v>0</v>
      </c>
      <c r="CC49" s="1">
        <f t="shared" si="99"/>
        <v>0</v>
      </c>
      <c r="CD49" s="1">
        <f t="shared" si="99"/>
        <v>0</v>
      </c>
      <c r="CE49" s="1">
        <f t="shared" si="99"/>
        <v>0</v>
      </c>
      <c r="CF49" s="1">
        <f t="shared" si="99"/>
        <v>0</v>
      </c>
      <c r="CG49" s="1">
        <f t="shared" si="99"/>
        <v>0</v>
      </c>
      <c r="CH49" s="1">
        <f t="shared" si="99"/>
        <v>0</v>
      </c>
      <c r="CI49" s="1">
        <f t="shared" si="99"/>
        <v>0</v>
      </c>
      <c r="CJ49" s="1">
        <f t="shared" si="99"/>
        <v>0</v>
      </c>
      <c r="CK49" s="1">
        <f t="shared" si="99"/>
        <v>0</v>
      </c>
      <c r="CL49" s="1">
        <f t="shared" si="99"/>
        <v>0</v>
      </c>
      <c r="CM49" s="1">
        <f t="shared" si="99"/>
        <v>0</v>
      </c>
      <c r="CN49" s="1">
        <f t="shared" si="99"/>
        <v>0</v>
      </c>
      <c r="CO49" s="1">
        <f t="shared" si="99"/>
        <v>0</v>
      </c>
      <c r="CP49" s="1">
        <f t="shared" si="99"/>
        <v>0</v>
      </c>
      <c r="CQ49" s="1">
        <f t="shared" si="99"/>
        <v>0</v>
      </c>
      <c r="CR49" s="1">
        <f t="shared" si="99"/>
        <v>0</v>
      </c>
      <c r="CS49" s="1">
        <f t="shared" si="99"/>
        <v>0</v>
      </c>
      <c r="CT49" s="1">
        <f t="shared" si="99"/>
        <v>0</v>
      </c>
      <c r="CU49" s="1">
        <f t="shared" si="99"/>
        <v>0</v>
      </c>
      <c r="CV49" s="1">
        <f t="shared" si="99"/>
        <v>0</v>
      </c>
      <c r="CW49" s="1">
        <f t="shared" si="99"/>
        <v>0</v>
      </c>
      <c r="CX49" s="1">
        <f t="shared" si="99"/>
        <v>0</v>
      </c>
      <c r="CY49" s="1">
        <f t="shared" si="99"/>
        <v>0</v>
      </c>
      <c r="CZ49" s="1">
        <f t="shared" si="99"/>
        <v>0</v>
      </c>
      <c r="DA49" s="1">
        <f t="shared" si="99"/>
        <v>0</v>
      </c>
      <c r="DB49" s="1">
        <f t="shared" si="99"/>
        <v>0</v>
      </c>
      <c r="DC49" s="1">
        <f t="shared" si="99"/>
        <v>0</v>
      </c>
      <c r="DD49" s="1">
        <f t="shared" si="99"/>
        <v>0</v>
      </c>
      <c r="DE49" s="1">
        <f t="shared" si="99"/>
        <v>0</v>
      </c>
      <c r="DF49" s="1">
        <f t="shared" si="99"/>
        <v>0</v>
      </c>
      <c r="DG49" s="1">
        <f t="shared" si="99"/>
        <v>0</v>
      </c>
      <c r="DH49" s="1">
        <f t="shared" si="99"/>
        <v>0</v>
      </c>
      <c r="DI49" s="1">
        <f t="shared" si="99"/>
        <v>0</v>
      </c>
      <c r="DJ49" s="1">
        <f t="shared" si="99"/>
        <v>0</v>
      </c>
      <c r="DK49" s="1">
        <f t="shared" si="99"/>
        <v>0</v>
      </c>
      <c r="DL49" s="1">
        <f t="shared" si="99"/>
        <v>0</v>
      </c>
      <c r="DM49" s="1">
        <f t="shared" si="99"/>
        <v>0</v>
      </c>
      <c r="DN49" s="1">
        <f t="shared" si="99"/>
        <v>0</v>
      </c>
      <c r="DO49" s="1">
        <f t="shared" si="99"/>
        <v>0</v>
      </c>
      <c r="DP49" s="1">
        <f t="shared" si="99"/>
        <v>0</v>
      </c>
      <c r="DQ49" s="1">
        <f t="shared" si="99"/>
        <v>0</v>
      </c>
      <c r="DR49" s="1">
        <f t="shared" si="99"/>
        <v>0</v>
      </c>
      <c r="DS49" s="1">
        <f t="shared" si="99"/>
        <v>0</v>
      </c>
      <c r="DT49" s="1">
        <f t="shared" si="99"/>
        <v>0</v>
      </c>
      <c r="DU49" s="1">
        <f t="shared" si="99"/>
        <v>0</v>
      </c>
      <c r="DV49" s="1">
        <f t="shared" si="99"/>
        <v>0</v>
      </c>
      <c r="DW49" s="1">
        <f t="shared" si="99"/>
        <v>0</v>
      </c>
      <c r="DX49" s="1">
        <f t="shared" si="99"/>
        <v>0</v>
      </c>
      <c r="DY49" s="1">
        <f t="shared" si="99"/>
        <v>0</v>
      </c>
      <c r="DZ49" s="1">
        <f t="shared" si="99"/>
        <v>0</v>
      </c>
      <c r="EA49" s="1">
        <f t="shared" si="99"/>
        <v>0</v>
      </c>
      <c r="EB49" s="1">
        <f t="shared" si="99"/>
        <v>0</v>
      </c>
      <c r="EC49" s="1">
        <f t="shared" si="99"/>
        <v>0</v>
      </c>
      <c r="ED49" s="1">
        <f t="shared" si="99"/>
        <v>0</v>
      </c>
      <c r="EE49" s="1">
        <f t="shared" ref="EE49:GP49" si="100">IF(EE$11=1,0,IF(EE47&gt;EE48,EE47-EE48,0))</f>
        <v>0</v>
      </c>
      <c r="EF49" s="1">
        <f t="shared" si="100"/>
        <v>0</v>
      </c>
      <c r="EG49" s="1">
        <f t="shared" si="100"/>
        <v>0</v>
      </c>
      <c r="EH49" s="1">
        <f t="shared" si="100"/>
        <v>0</v>
      </c>
      <c r="EI49" s="1">
        <f t="shared" si="100"/>
        <v>0</v>
      </c>
      <c r="EJ49" s="1">
        <f t="shared" si="100"/>
        <v>0</v>
      </c>
      <c r="EK49" s="1">
        <f t="shared" si="100"/>
        <v>0</v>
      </c>
      <c r="EL49" s="1">
        <f t="shared" si="100"/>
        <v>0</v>
      </c>
      <c r="EM49" s="1">
        <f t="shared" si="100"/>
        <v>0</v>
      </c>
      <c r="EN49" s="1">
        <f t="shared" si="100"/>
        <v>0</v>
      </c>
      <c r="EO49" s="1">
        <f t="shared" si="100"/>
        <v>0</v>
      </c>
      <c r="EP49" s="1">
        <f t="shared" si="100"/>
        <v>0</v>
      </c>
      <c r="EQ49" s="1">
        <f t="shared" si="100"/>
        <v>0</v>
      </c>
      <c r="ER49" s="1">
        <f t="shared" si="100"/>
        <v>0</v>
      </c>
      <c r="ES49" s="1">
        <f t="shared" si="100"/>
        <v>0</v>
      </c>
      <c r="ET49" s="1">
        <f t="shared" si="100"/>
        <v>0</v>
      </c>
      <c r="EU49" s="1">
        <f t="shared" si="100"/>
        <v>0</v>
      </c>
      <c r="EV49" s="1">
        <f t="shared" si="100"/>
        <v>0</v>
      </c>
      <c r="EW49" s="1">
        <f t="shared" si="100"/>
        <v>0</v>
      </c>
      <c r="EX49" s="1">
        <f t="shared" si="100"/>
        <v>0</v>
      </c>
      <c r="EY49" s="1">
        <f t="shared" si="100"/>
        <v>0</v>
      </c>
      <c r="EZ49" s="1">
        <f t="shared" si="100"/>
        <v>0</v>
      </c>
      <c r="FA49" s="1">
        <f t="shared" si="100"/>
        <v>0</v>
      </c>
      <c r="FB49" s="1">
        <f t="shared" si="100"/>
        <v>0</v>
      </c>
      <c r="FC49" s="1">
        <f t="shared" si="100"/>
        <v>0</v>
      </c>
      <c r="FD49" s="1">
        <f t="shared" si="100"/>
        <v>0</v>
      </c>
      <c r="FE49" s="1">
        <f t="shared" si="100"/>
        <v>0</v>
      </c>
      <c r="FF49" s="1">
        <f t="shared" si="100"/>
        <v>0</v>
      </c>
      <c r="FG49" s="1">
        <f t="shared" si="100"/>
        <v>0</v>
      </c>
      <c r="FH49" s="1">
        <f t="shared" si="100"/>
        <v>0</v>
      </c>
      <c r="FI49" s="1">
        <f t="shared" si="100"/>
        <v>0</v>
      </c>
      <c r="FJ49" s="1">
        <f t="shared" si="100"/>
        <v>0</v>
      </c>
      <c r="FK49" s="1">
        <f t="shared" si="100"/>
        <v>0</v>
      </c>
      <c r="FL49" s="1">
        <f t="shared" si="100"/>
        <v>0</v>
      </c>
      <c r="FM49" s="1">
        <f t="shared" si="100"/>
        <v>0</v>
      </c>
      <c r="FN49" s="1">
        <f t="shared" si="100"/>
        <v>0</v>
      </c>
      <c r="FO49" s="1">
        <f t="shared" si="100"/>
        <v>0</v>
      </c>
      <c r="FP49" s="1">
        <f t="shared" si="100"/>
        <v>0</v>
      </c>
      <c r="FQ49" s="1">
        <f t="shared" si="100"/>
        <v>0</v>
      </c>
      <c r="FR49" s="1">
        <f t="shared" si="100"/>
        <v>0</v>
      </c>
      <c r="FS49" s="1">
        <f t="shared" si="100"/>
        <v>0</v>
      </c>
      <c r="FT49" s="1">
        <f t="shared" si="100"/>
        <v>0</v>
      </c>
      <c r="FU49" s="1">
        <f t="shared" si="100"/>
        <v>0</v>
      </c>
      <c r="FV49" s="1">
        <f t="shared" si="100"/>
        <v>0</v>
      </c>
      <c r="FW49" s="1">
        <f t="shared" si="100"/>
        <v>0</v>
      </c>
      <c r="FX49" s="1">
        <f t="shared" si="100"/>
        <v>0</v>
      </c>
      <c r="FY49" s="1">
        <f t="shared" si="100"/>
        <v>0</v>
      </c>
      <c r="FZ49" s="1">
        <f t="shared" si="100"/>
        <v>0</v>
      </c>
      <c r="GA49" s="1">
        <f t="shared" si="100"/>
        <v>16455.716550938632</v>
      </c>
      <c r="GB49" s="1">
        <f t="shared" si="100"/>
        <v>16531.138585130437</v>
      </c>
      <c r="GC49" s="1">
        <f t="shared" si="100"/>
        <v>16606.906303645614</v>
      </c>
      <c r="GD49" s="1">
        <f t="shared" si="100"/>
        <v>0</v>
      </c>
      <c r="GE49" s="1">
        <f t="shared" si="100"/>
        <v>0</v>
      </c>
      <c r="GF49" s="1">
        <f t="shared" si="100"/>
        <v>0</v>
      </c>
      <c r="GG49" s="1">
        <f t="shared" si="100"/>
        <v>0</v>
      </c>
      <c r="GH49" s="1">
        <f t="shared" si="100"/>
        <v>0</v>
      </c>
      <c r="GI49" s="1">
        <f t="shared" si="100"/>
        <v>0</v>
      </c>
      <c r="GJ49" s="1">
        <f t="shared" si="100"/>
        <v>0</v>
      </c>
      <c r="GK49" s="1">
        <f t="shared" si="100"/>
        <v>0</v>
      </c>
      <c r="GL49" s="1">
        <f t="shared" si="100"/>
        <v>0</v>
      </c>
      <c r="GM49" s="1">
        <f t="shared" si="100"/>
        <v>0</v>
      </c>
      <c r="GN49" s="1">
        <f t="shared" si="100"/>
        <v>0</v>
      </c>
      <c r="GO49" s="1">
        <f t="shared" si="100"/>
        <v>0</v>
      </c>
      <c r="GP49" s="1">
        <f t="shared" si="100"/>
        <v>0</v>
      </c>
      <c r="GQ49" s="1">
        <f t="shared" ref="GQ49:IL49" si="101">IF(GQ$11=1,0,IF(GQ47&gt;GQ48,GQ47-GQ48,0))</f>
        <v>0</v>
      </c>
      <c r="GR49" s="1">
        <f t="shared" si="101"/>
        <v>0</v>
      </c>
      <c r="GS49" s="1">
        <f t="shared" si="101"/>
        <v>0</v>
      </c>
      <c r="GT49" s="1">
        <f t="shared" si="101"/>
        <v>0</v>
      </c>
      <c r="GU49" s="1">
        <f t="shared" si="101"/>
        <v>0</v>
      </c>
      <c r="GV49" s="1">
        <f t="shared" si="101"/>
        <v>0</v>
      </c>
      <c r="GW49" s="1">
        <f t="shared" si="101"/>
        <v>0</v>
      </c>
      <c r="GX49" s="1">
        <f t="shared" si="101"/>
        <v>0</v>
      </c>
      <c r="GY49" s="1">
        <f t="shared" si="101"/>
        <v>0</v>
      </c>
      <c r="GZ49" s="1">
        <f t="shared" si="101"/>
        <v>0</v>
      </c>
      <c r="HA49" s="1">
        <f t="shared" si="101"/>
        <v>0</v>
      </c>
      <c r="HB49" s="1">
        <f t="shared" si="101"/>
        <v>0</v>
      </c>
      <c r="HC49" s="1">
        <f t="shared" si="101"/>
        <v>0</v>
      </c>
      <c r="HD49" s="1">
        <f t="shared" si="101"/>
        <v>0</v>
      </c>
      <c r="HE49" s="1">
        <f t="shared" si="101"/>
        <v>0</v>
      </c>
      <c r="HF49" s="1">
        <f t="shared" si="101"/>
        <v>0</v>
      </c>
      <c r="HG49" s="1">
        <f t="shared" si="101"/>
        <v>0</v>
      </c>
      <c r="HH49" s="1">
        <f t="shared" si="101"/>
        <v>0</v>
      </c>
      <c r="HI49" s="1">
        <f t="shared" si="101"/>
        <v>0</v>
      </c>
      <c r="HJ49" s="1">
        <f t="shared" si="101"/>
        <v>0</v>
      </c>
      <c r="HK49" s="1">
        <f t="shared" si="101"/>
        <v>0</v>
      </c>
      <c r="HL49" s="1">
        <f t="shared" si="101"/>
        <v>0</v>
      </c>
      <c r="HM49" s="1">
        <f t="shared" si="101"/>
        <v>0</v>
      </c>
      <c r="HN49" s="1">
        <f t="shared" si="101"/>
        <v>0</v>
      </c>
      <c r="HO49" s="1">
        <f t="shared" si="101"/>
        <v>0</v>
      </c>
      <c r="HP49" s="1">
        <f t="shared" si="101"/>
        <v>0</v>
      </c>
      <c r="HQ49" s="1">
        <f t="shared" si="101"/>
        <v>0</v>
      </c>
      <c r="HR49" s="1">
        <f t="shared" si="101"/>
        <v>0</v>
      </c>
      <c r="HS49" s="1">
        <f t="shared" si="101"/>
        <v>0</v>
      </c>
      <c r="HT49" s="1">
        <f t="shared" si="101"/>
        <v>0</v>
      </c>
      <c r="HU49" s="1">
        <f t="shared" si="101"/>
        <v>0</v>
      </c>
      <c r="HV49" s="1">
        <f t="shared" si="101"/>
        <v>0</v>
      </c>
      <c r="HW49" s="1">
        <f t="shared" si="101"/>
        <v>0</v>
      </c>
      <c r="HX49" s="1">
        <f t="shared" si="101"/>
        <v>0</v>
      </c>
      <c r="HY49" s="1">
        <f t="shared" si="101"/>
        <v>0</v>
      </c>
      <c r="HZ49" s="1">
        <f t="shared" si="101"/>
        <v>0</v>
      </c>
      <c r="IA49" s="1">
        <f t="shared" si="101"/>
        <v>0</v>
      </c>
      <c r="IB49" s="1">
        <f t="shared" si="101"/>
        <v>0</v>
      </c>
      <c r="IC49" s="1">
        <f t="shared" si="101"/>
        <v>0</v>
      </c>
      <c r="ID49" s="1">
        <f t="shared" si="101"/>
        <v>0</v>
      </c>
      <c r="IE49" s="1">
        <f t="shared" si="101"/>
        <v>0</v>
      </c>
      <c r="IF49" s="1">
        <f t="shared" si="101"/>
        <v>0</v>
      </c>
      <c r="IG49" s="1">
        <f t="shared" si="101"/>
        <v>0</v>
      </c>
      <c r="IH49" s="1">
        <f t="shared" si="101"/>
        <v>0</v>
      </c>
      <c r="II49" s="1">
        <f t="shared" si="101"/>
        <v>0</v>
      </c>
      <c r="IJ49" s="1">
        <f t="shared" si="101"/>
        <v>0</v>
      </c>
      <c r="IK49" s="1">
        <f t="shared" si="101"/>
        <v>0</v>
      </c>
      <c r="IL49" s="1">
        <f t="shared" si="101"/>
        <v>0</v>
      </c>
      <c r="IM49" s="1">
        <f t="shared" ref="IM49:KX49" si="102">IF(IM$11=1,0,IF(IM47&gt;IM48,IM47-IM48,0))</f>
        <v>0</v>
      </c>
      <c r="IN49" s="1">
        <f t="shared" si="102"/>
        <v>0</v>
      </c>
      <c r="IO49" s="1">
        <f t="shared" si="102"/>
        <v>0</v>
      </c>
      <c r="IP49" s="1">
        <f t="shared" si="102"/>
        <v>0</v>
      </c>
      <c r="IQ49" s="1">
        <f t="shared" si="102"/>
        <v>0</v>
      </c>
      <c r="IR49" s="1">
        <f t="shared" si="102"/>
        <v>0</v>
      </c>
      <c r="IS49" s="1">
        <f t="shared" si="102"/>
        <v>0</v>
      </c>
      <c r="IT49" s="1">
        <f t="shared" si="102"/>
        <v>0</v>
      </c>
      <c r="IU49" s="1">
        <f t="shared" si="102"/>
        <v>0</v>
      </c>
      <c r="IV49" s="1">
        <f t="shared" si="102"/>
        <v>0</v>
      </c>
      <c r="IW49" s="1">
        <f t="shared" si="102"/>
        <v>0</v>
      </c>
      <c r="IX49" s="1">
        <f t="shared" si="102"/>
        <v>0</v>
      </c>
      <c r="IY49" s="1">
        <f t="shared" si="102"/>
        <v>0</v>
      </c>
      <c r="IZ49" s="1">
        <f t="shared" si="102"/>
        <v>0</v>
      </c>
      <c r="JA49" s="1">
        <f t="shared" si="102"/>
        <v>0</v>
      </c>
      <c r="JB49" s="1">
        <f t="shared" si="102"/>
        <v>0</v>
      </c>
      <c r="JC49" s="1">
        <f t="shared" si="102"/>
        <v>0</v>
      </c>
      <c r="JD49" s="1">
        <f t="shared" si="102"/>
        <v>0</v>
      </c>
      <c r="JE49" s="1">
        <f t="shared" si="102"/>
        <v>0</v>
      </c>
      <c r="JF49" s="1">
        <f t="shared" si="102"/>
        <v>0</v>
      </c>
      <c r="JG49" s="1">
        <f t="shared" si="102"/>
        <v>0</v>
      </c>
      <c r="JH49" s="1">
        <f t="shared" si="102"/>
        <v>0</v>
      </c>
      <c r="JI49" s="1">
        <f t="shared" si="102"/>
        <v>0</v>
      </c>
      <c r="JJ49" s="1">
        <f t="shared" si="102"/>
        <v>0</v>
      </c>
      <c r="JK49" s="1">
        <f t="shared" si="102"/>
        <v>0</v>
      </c>
      <c r="JL49" s="1">
        <f t="shared" si="102"/>
        <v>0</v>
      </c>
      <c r="JM49" s="1">
        <f t="shared" si="102"/>
        <v>0</v>
      </c>
      <c r="JN49" s="1">
        <f t="shared" si="102"/>
        <v>0</v>
      </c>
      <c r="JO49" s="1">
        <f t="shared" si="102"/>
        <v>0</v>
      </c>
      <c r="JP49" s="1">
        <f t="shared" si="102"/>
        <v>0</v>
      </c>
      <c r="JQ49" s="1">
        <f t="shared" si="102"/>
        <v>0</v>
      </c>
      <c r="JR49" s="1">
        <f t="shared" si="102"/>
        <v>0</v>
      </c>
      <c r="JS49" s="1">
        <f t="shared" si="102"/>
        <v>0</v>
      </c>
      <c r="JT49" s="1">
        <f t="shared" si="102"/>
        <v>0</v>
      </c>
      <c r="JU49" s="1">
        <f t="shared" si="102"/>
        <v>0</v>
      </c>
      <c r="JV49" s="1">
        <f t="shared" si="102"/>
        <v>0</v>
      </c>
      <c r="JW49" s="1">
        <f t="shared" si="102"/>
        <v>0</v>
      </c>
      <c r="JX49" s="1">
        <f t="shared" si="102"/>
        <v>0</v>
      </c>
      <c r="JY49" s="1">
        <f t="shared" si="102"/>
        <v>0</v>
      </c>
      <c r="JZ49" s="1">
        <f t="shared" si="102"/>
        <v>0</v>
      </c>
      <c r="KA49" s="1">
        <f t="shared" si="102"/>
        <v>0</v>
      </c>
      <c r="KB49" s="1">
        <f t="shared" si="102"/>
        <v>0</v>
      </c>
      <c r="KC49" s="1">
        <f t="shared" si="102"/>
        <v>0</v>
      </c>
      <c r="KD49" s="1">
        <f t="shared" si="102"/>
        <v>0</v>
      </c>
      <c r="KE49" s="1">
        <f t="shared" si="102"/>
        <v>0</v>
      </c>
      <c r="KF49" s="1">
        <f t="shared" si="102"/>
        <v>0</v>
      </c>
      <c r="KG49" s="1">
        <f t="shared" si="102"/>
        <v>0</v>
      </c>
      <c r="KH49" s="1">
        <f t="shared" si="102"/>
        <v>0</v>
      </c>
      <c r="KI49" s="1">
        <f t="shared" si="102"/>
        <v>0</v>
      </c>
      <c r="KJ49" s="1">
        <f t="shared" si="102"/>
        <v>0</v>
      </c>
      <c r="KK49" s="1">
        <f t="shared" si="102"/>
        <v>0</v>
      </c>
      <c r="KL49" s="1">
        <f t="shared" si="102"/>
        <v>0</v>
      </c>
      <c r="KM49" s="1">
        <f t="shared" si="102"/>
        <v>0</v>
      </c>
      <c r="KN49" s="1">
        <f t="shared" si="102"/>
        <v>0</v>
      </c>
      <c r="KO49" s="1">
        <f t="shared" si="102"/>
        <v>0</v>
      </c>
      <c r="KP49" s="1">
        <f t="shared" si="102"/>
        <v>0</v>
      </c>
      <c r="KQ49" s="1">
        <f t="shared" si="102"/>
        <v>0</v>
      </c>
      <c r="KR49" s="1">
        <f t="shared" si="102"/>
        <v>0</v>
      </c>
      <c r="KS49" s="1">
        <f t="shared" si="102"/>
        <v>0</v>
      </c>
      <c r="KT49" s="1">
        <f t="shared" si="102"/>
        <v>0</v>
      </c>
      <c r="KU49" s="1">
        <f t="shared" si="102"/>
        <v>0</v>
      </c>
      <c r="KV49" s="1">
        <f t="shared" si="102"/>
        <v>0</v>
      </c>
      <c r="KW49" s="1">
        <f t="shared" si="102"/>
        <v>0</v>
      </c>
      <c r="KX49" s="1">
        <f t="shared" si="102"/>
        <v>0</v>
      </c>
      <c r="KY49" s="1">
        <f t="shared" ref="KY49:NB49" si="103">IF(KY$11=1,0,IF(KY47&gt;KY48,KY47-KY48,0))</f>
        <v>0</v>
      </c>
      <c r="KZ49" s="1">
        <f t="shared" si="103"/>
        <v>0</v>
      </c>
      <c r="LA49" s="1">
        <f t="shared" si="103"/>
        <v>0</v>
      </c>
      <c r="LB49" s="1">
        <f t="shared" si="103"/>
        <v>0</v>
      </c>
      <c r="LC49" s="1">
        <f t="shared" si="103"/>
        <v>0</v>
      </c>
      <c r="LD49" s="1">
        <f t="shared" si="103"/>
        <v>0</v>
      </c>
      <c r="LE49" s="1">
        <f t="shared" si="103"/>
        <v>0</v>
      </c>
      <c r="LF49" s="1">
        <f t="shared" si="103"/>
        <v>0</v>
      </c>
      <c r="LG49" s="1">
        <f t="shared" si="103"/>
        <v>0</v>
      </c>
      <c r="LH49" s="1">
        <f t="shared" si="103"/>
        <v>0</v>
      </c>
      <c r="LI49" s="1">
        <f t="shared" si="103"/>
        <v>0</v>
      </c>
      <c r="LJ49" s="1">
        <f t="shared" si="103"/>
        <v>0</v>
      </c>
      <c r="LK49" s="1">
        <f t="shared" si="103"/>
        <v>0</v>
      </c>
      <c r="LL49" s="1">
        <f t="shared" si="103"/>
        <v>0</v>
      </c>
      <c r="LM49" s="1">
        <f t="shared" si="103"/>
        <v>0</v>
      </c>
      <c r="LN49" s="1">
        <f t="shared" si="103"/>
        <v>0</v>
      </c>
      <c r="LO49" s="1">
        <f t="shared" si="103"/>
        <v>0</v>
      </c>
      <c r="LP49" s="1">
        <f t="shared" si="103"/>
        <v>0</v>
      </c>
      <c r="LQ49" s="1">
        <f t="shared" si="103"/>
        <v>0</v>
      </c>
      <c r="LR49" s="1">
        <f t="shared" si="103"/>
        <v>0</v>
      </c>
      <c r="LS49" s="1">
        <f t="shared" si="103"/>
        <v>0</v>
      </c>
      <c r="LT49" s="1">
        <f t="shared" si="103"/>
        <v>0</v>
      </c>
      <c r="LU49" s="1">
        <f t="shared" si="103"/>
        <v>0</v>
      </c>
      <c r="LV49" s="1">
        <f t="shared" si="103"/>
        <v>0</v>
      </c>
      <c r="LW49" s="1">
        <f t="shared" si="103"/>
        <v>0</v>
      </c>
      <c r="LX49" s="1">
        <f t="shared" si="103"/>
        <v>0</v>
      </c>
      <c r="LY49" s="1">
        <f t="shared" si="103"/>
        <v>0</v>
      </c>
      <c r="LZ49" s="1">
        <f t="shared" si="103"/>
        <v>0</v>
      </c>
      <c r="MA49" s="1">
        <f t="shared" si="103"/>
        <v>0</v>
      </c>
      <c r="MB49" s="1">
        <f t="shared" si="103"/>
        <v>0</v>
      </c>
      <c r="MC49" s="1">
        <f t="shared" si="103"/>
        <v>0</v>
      </c>
      <c r="MD49" s="1">
        <f t="shared" si="103"/>
        <v>0</v>
      </c>
      <c r="ME49" s="1">
        <f t="shared" si="103"/>
        <v>0</v>
      </c>
      <c r="MF49" s="1">
        <f t="shared" si="103"/>
        <v>0</v>
      </c>
      <c r="MG49" s="1">
        <f t="shared" si="103"/>
        <v>0</v>
      </c>
      <c r="MH49" s="1">
        <f t="shared" si="103"/>
        <v>0</v>
      </c>
      <c r="MI49" s="1">
        <f t="shared" si="103"/>
        <v>0</v>
      </c>
      <c r="MJ49" s="1">
        <f t="shared" si="103"/>
        <v>0</v>
      </c>
      <c r="MK49" s="1">
        <f t="shared" si="103"/>
        <v>0</v>
      </c>
      <c r="ML49" s="1">
        <f t="shared" si="103"/>
        <v>0</v>
      </c>
      <c r="MM49" s="1">
        <f t="shared" si="103"/>
        <v>0</v>
      </c>
      <c r="MN49" s="1">
        <f t="shared" si="103"/>
        <v>0</v>
      </c>
      <c r="MO49" s="1">
        <f t="shared" si="103"/>
        <v>0</v>
      </c>
      <c r="MP49" s="1">
        <f t="shared" si="103"/>
        <v>0</v>
      </c>
      <c r="MQ49" s="1">
        <f t="shared" si="103"/>
        <v>0</v>
      </c>
      <c r="MR49" s="1">
        <f t="shared" si="103"/>
        <v>0</v>
      </c>
      <c r="MS49" s="1">
        <f t="shared" si="103"/>
        <v>0</v>
      </c>
      <c r="MT49" s="1">
        <f t="shared" si="103"/>
        <v>0</v>
      </c>
      <c r="MU49" s="1">
        <f t="shared" si="103"/>
        <v>0</v>
      </c>
      <c r="MV49" s="1">
        <f t="shared" si="103"/>
        <v>0</v>
      </c>
      <c r="MW49" s="1">
        <f t="shared" si="103"/>
        <v>0</v>
      </c>
      <c r="MX49" s="1">
        <f t="shared" si="103"/>
        <v>0</v>
      </c>
      <c r="MY49" s="1">
        <f t="shared" si="103"/>
        <v>0</v>
      </c>
      <c r="MZ49" s="1">
        <f t="shared" si="103"/>
        <v>0</v>
      </c>
      <c r="NA49" s="1">
        <f t="shared" si="103"/>
        <v>0</v>
      </c>
      <c r="NB49" s="1">
        <f t="shared" si="103"/>
        <v>0</v>
      </c>
    </row>
    <row r="50" spans="2:367" x14ac:dyDescent="0.15">
      <c r="B50" s="45" t="s">
        <v>115</v>
      </c>
      <c r="C50" s="45"/>
      <c r="F50" s="40">
        <f>-F63</f>
        <v>0</v>
      </c>
      <c r="G50" s="40">
        <f t="shared" ref="G50:BR50" si="104">-G63</f>
        <v>0</v>
      </c>
      <c r="H50" s="40">
        <f t="shared" si="104"/>
        <v>0</v>
      </c>
      <c r="I50" s="40">
        <f t="shared" si="104"/>
        <v>0</v>
      </c>
      <c r="J50" s="40">
        <f t="shared" si="104"/>
        <v>0</v>
      </c>
      <c r="K50" s="40">
        <f t="shared" si="104"/>
        <v>0</v>
      </c>
      <c r="L50" s="431">
        <f t="shared" si="104"/>
        <v>0</v>
      </c>
      <c r="M50" s="40">
        <f t="shared" si="104"/>
        <v>0</v>
      </c>
      <c r="N50" s="40">
        <f t="shared" si="104"/>
        <v>0</v>
      </c>
      <c r="O50" s="40">
        <f t="shared" si="104"/>
        <v>0</v>
      </c>
      <c r="P50" s="40">
        <f t="shared" si="104"/>
        <v>0</v>
      </c>
      <c r="Q50" s="40">
        <f t="shared" si="104"/>
        <v>0</v>
      </c>
      <c r="R50" s="40">
        <f t="shared" si="104"/>
        <v>0</v>
      </c>
      <c r="S50" s="40">
        <f t="shared" si="104"/>
        <v>0</v>
      </c>
      <c r="T50" s="40">
        <f t="shared" si="104"/>
        <v>0</v>
      </c>
      <c r="U50" s="40">
        <f t="shared" si="104"/>
        <v>0</v>
      </c>
      <c r="V50" s="40">
        <f t="shared" si="104"/>
        <v>0</v>
      </c>
      <c r="W50" s="40">
        <f t="shared" si="104"/>
        <v>0</v>
      </c>
      <c r="X50" s="40">
        <f t="shared" si="104"/>
        <v>0</v>
      </c>
      <c r="Y50" s="40">
        <f t="shared" si="104"/>
        <v>0</v>
      </c>
      <c r="Z50" s="40">
        <f t="shared" si="104"/>
        <v>0</v>
      </c>
      <c r="AA50" s="40">
        <f t="shared" si="104"/>
        <v>0</v>
      </c>
      <c r="AB50" s="40">
        <f t="shared" si="104"/>
        <v>0</v>
      </c>
      <c r="AC50" s="40">
        <f t="shared" si="104"/>
        <v>0</v>
      </c>
      <c r="AD50" s="573">
        <f t="shared" si="104"/>
        <v>0</v>
      </c>
      <c r="AE50" s="40">
        <f t="shared" si="104"/>
        <v>0</v>
      </c>
      <c r="AF50" s="40">
        <f t="shared" si="104"/>
        <v>0</v>
      </c>
      <c r="AG50" s="40">
        <f t="shared" si="104"/>
        <v>0</v>
      </c>
      <c r="AH50" s="40">
        <f t="shared" si="104"/>
        <v>0</v>
      </c>
      <c r="AI50" s="40">
        <f t="shared" si="104"/>
        <v>0</v>
      </c>
      <c r="AJ50" s="40">
        <f t="shared" si="104"/>
        <v>0</v>
      </c>
      <c r="AK50" s="40">
        <f t="shared" si="104"/>
        <v>0</v>
      </c>
      <c r="AL50" s="40">
        <f t="shared" si="104"/>
        <v>0</v>
      </c>
      <c r="AM50" s="40">
        <f t="shared" si="104"/>
        <v>0</v>
      </c>
      <c r="AN50" s="40">
        <f t="shared" si="104"/>
        <v>0</v>
      </c>
      <c r="AO50" s="40">
        <f t="shared" si="104"/>
        <v>0</v>
      </c>
      <c r="AP50" s="40">
        <f t="shared" si="104"/>
        <v>0</v>
      </c>
      <c r="AQ50" s="40">
        <f t="shared" si="104"/>
        <v>0</v>
      </c>
      <c r="AR50" s="40">
        <f t="shared" si="104"/>
        <v>0</v>
      </c>
      <c r="AS50" s="40">
        <f t="shared" si="104"/>
        <v>0</v>
      </c>
      <c r="AT50" s="40">
        <f t="shared" si="104"/>
        <v>0</v>
      </c>
      <c r="AU50" s="40">
        <f t="shared" si="104"/>
        <v>0</v>
      </c>
      <c r="AV50" s="40">
        <f t="shared" si="104"/>
        <v>0</v>
      </c>
      <c r="AW50" s="40">
        <f t="shared" si="104"/>
        <v>0</v>
      </c>
      <c r="AX50" s="40">
        <f t="shared" si="104"/>
        <v>0</v>
      </c>
      <c r="AY50" s="40">
        <f t="shared" si="104"/>
        <v>0</v>
      </c>
      <c r="AZ50" s="40">
        <f t="shared" si="104"/>
        <v>0</v>
      </c>
      <c r="BA50" s="40">
        <f t="shared" si="104"/>
        <v>0</v>
      </c>
      <c r="BB50" s="40">
        <f t="shared" si="104"/>
        <v>0</v>
      </c>
      <c r="BC50" s="40">
        <f t="shared" si="104"/>
        <v>0</v>
      </c>
      <c r="BD50" s="40">
        <f t="shared" si="104"/>
        <v>0</v>
      </c>
      <c r="BE50" s="40">
        <f t="shared" si="104"/>
        <v>0</v>
      </c>
      <c r="BF50" s="40">
        <f t="shared" si="104"/>
        <v>0</v>
      </c>
      <c r="BG50" s="40">
        <f t="shared" si="104"/>
        <v>0</v>
      </c>
      <c r="BH50" s="40">
        <f t="shared" si="104"/>
        <v>0</v>
      </c>
      <c r="BI50" s="40">
        <f t="shared" si="104"/>
        <v>0</v>
      </c>
      <c r="BJ50" s="40">
        <f t="shared" si="104"/>
        <v>0</v>
      </c>
      <c r="BK50" s="40">
        <f t="shared" si="104"/>
        <v>0</v>
      </c>
      <c r="BL50" s="40">
        <f t="shared" si="104"/>
        <v>0</v>
      </c>
      <c r="BM50" s="40">
        <f t="shared" si="104"/>
        <v>0</v>
      </c>
      <c r="BN50" s="40">
        <f t="shared" si="104"/>
        <v>0</v>
      </c>
      <c r="BO50" s="40">
        <f t="shared" si="104"/>
        <v>0</v>
      </c>
      <c r="BP50" s="40">
        <f t="shared" si="104"/>
        <v>0</v>
      </c>
      <c r="BQ50" s="40">
        <f t="shared" si="104"/>
        <v>0</v>
      </c>
      <c r="BR50" s="40">
        <f t="shared" si="104"/>
        <v>0</v>
      </c>
      <c r="BS50" s="40">
        <f t="shared" ref="BS50:ED50" si="105">-BS63</f>
        <v>0</v>
      </c>
      <c r="BT50" s="40">
        <f t="shared" si="105"/>
        <v>0</v>
      </c>
      <c r="BU50" s="40">
        <f t="shared" si="105"/>
        <v>0</v>
      </c>
      <c r="BV50" s="40">
        <f t="shared" si="105"/>
        <v>0</v>
      </c>
      <c r="BW50" s="40">
        <f t="shared" si="105"/>
        <v>0</v>
      </c>
      <c r="BX50" s="40">
        <f t="shared" si="105"/>
        <v>0</v>
      </c>
      <c r="BY50" s="40">
        <f t="shared" si="105"/>
        <v>0</v>
      </c>
      <c r="BZ50" s="40">
        <f t="shared" si="105"/>
        <v>0</v>
      </c>
      <c r="CA50" s="40">
        <f t="shared" si="105"/>
        <v>0</v>
      </c>
      <c r="CB50" s="40">
        <f t="shared" si="105"/>
        <v>0</v>
      </c>
      <c r="CC50" s="40">
        <f t="shared" si="105"/>
        <v>0</v>
      </c>
      <c r="CD50" s="40">
        <f t="shared" si="105"/>
        <v>0</v>
      </c>
      <c r="CE50" s="40">
        <f t="shared" si="105"/>
        <v>0</v>
      </c>
      <c r="CF50" s="40">
        <f t="shared" si="105"/>
        <v>0</v>
      </c>
      <c r="CG50" s="40">
        <f t="shared" si="105"/>
        <v>0</v>
      </c>
      <c r="CH50" s="40">
        <f t="shared" si="105"/>
        <v>0</v>
      </c>
      <c r="CI50" s="40">
        <f t="shared" si="105"/>
        <v>0</v>
      </c>
      <c r="CJ50" s="40">
        <f t="shared" si="105"/>
        <v>0</v>
      </c>
      <c r="CK50" s="40">
        <f t="shared" si="105"/>
        <v>0</v>
      </c>
      <c r="CL50" s="40">
        <f t="shared" si="105"/>
        <v>0</v>
      </c>
      <c r="CM50" s="40">
        <f t="shared" si="105"/>
        <v>0</v>
      </c>
      <c r="CN50" s="40">
        <f t="shared" si="105"/>
        <v>0</v>
      </c>
      <c r="CO50" s="40">
        <f t="shared" si="105"/>
        <v>0</v>
      </c>
      <c r="CP50" s="40">
        <f t="shared" si="105"/>
        <v>0</v>
      </c>
      <c r="CQ50" s="40">
        <f t="shared" si="105"/>
        <v>0</v>
      </c>
      <c r="CR50" s="40">
        <f t="shared" si="105"/>
        <v>0</v>
      </c>
      <c r="CS50" s="40">
        <f t="shared" si="105"/>
        <v>0</v>
      </c>
      <c r="CT50" s="40">
        <f t="shared" si="105"/>
        <v>0</v>
      </c>
      <c r="CU50" s="40">
        <f t="shared" si="105"/>
        <v>0</v>
      </c>
      <c r="CV50" s="40">
        <f t="shared" si="105"/>
        <v>0</v>
      </c>
      <c r="CW50" s="40">
        <f t="shared" si="105"/>
        <v>0</v>
      </c>
      <c r="CX50" s="40">
        <f t="shared" si="105"/>
        <v>0</v>
      </c>
      <c r="CY50" s="40">
        <f t="shared" si="105"/>
        <v>0</v>
      </c>
      <c r="CZ50" s="40">
        <f t="shared" si="105"/>
        <v>0</v>
      </c>
      <c r="DA50" s="40">
        <f t="shared" si="105"/>
        <v>0</v>
      </c>
      <c r="DB50" s="40">
        <f t="shared" si="105"/>
        <v>0</v>
      </c>
      <c r="DC50" s="40">
        <f t="shared" si="105"/>
        <v>0</v>
      </c>
      <c r="DD50" s="40">
        <f t="shared" si="105"/>
        <v>0</v>
      </c>
      <c r="DE50" s="40">
        <f t="shared" si="105"/>
        <v>0</v>
      </c>
      <c r="DF50" s="40">
        <f t="shared" si="105"/>
        <v>0</v>
      </c>
      <c r="DG50" s="40">
        <f t="shared" si="105"/>
        <v>0</v>
      </c>
      <c r="DH50" s="40">
        <f t="shared" si="105"/>
        <v>0</v>
      </c>
      <c r="DI50" s="40">
        <f t="shared" si="105"/>
        <v>0</v>
      </c>
      <c r="DJ50" s="40">
        <f t="shared" si="105"/>
        <v>0</v>
      </c>
      <c r="DK50" s="40">
        <f t="shared" si="105"/>
        <v>0</v>
      </c>
      <c r="DL50" s="40">
        <f t="shared" si="105"/>
        <v>0</v>
      </c>
      <c r="DM50" s="40">
        <f t="shared" si="105"/>
        <v>0</v>
      </c>
      <c r="DN50" s="40">
        <f t="shared" si="105"/>
        <v>0</v>
      </c>
      <c r="DO50" s="40">
        <f t="shared" si="105"/>
        <v>0</v>
      </c>
      <c r="DP50" s="40">
        <f t="shared" si="105"/>
        <v>0</v>
      </c>
      <c r="DQ50" s="40">
        <f t="shared" si="105"/>
        <v>0</v>
      </c>
      <c r="DR50" s="40">
        <f t="shared" si="105"/>
        <v>0</v>
      </c>
      <c r="DS50" s="40">
        <f t="shared" si="105"/>
        <v>0</v>
      </c>
      <c r="DT50" s="40">
        <f t="shared" si="105"/>
        <v>0</v>
      </c>
      <c r="DU50" s="40">
        <f t="shared" si="105"/>
        <v>0</v>
      </c>
      <c r="DV50" s="40">
        <f t="shared" si="105"/>
        <v>0</v>
      </c>
      <c r="DW50" s="40">
        <f t="shared" si="105"/>
        <v>0</v>
      </c>
      <c r="DX50" s="40">
        <f t="shared" si="105"/>
        <v>0</v>
      </c>
      <c r="DY50" s="40">
        <f t="shared" si="105"/>
        <v>0</v>
      </c>
      <c r="DZ50" s="40">
        <f t="shared" si="105"/>
        <v>0</v>
      </c>
      <c r="EA50" s="40">
        <f t="shared" si="105"/>
        <v>0</v>
      </c>
      <c r="EB50" s="40">
        <f t="shared" si="105"/>
        <v>0</v>
      </c>
      <c r="EC50" s="40">
        <f t="shared" si="105"/>
        <v>0</v>
      </c>
      <c r="ED50" s="40">
        <f t="shared" si="105"/>
        <v>0</v>
      </c>
      <c r="EE50" s="40">
        <f t="shared" ref="EE50:GP50" si="106">-EE63</f>
        <v>0</v>
      </c>
      <c r="EF50" s="40">
        <f t="shared" si="106"/>
        <v>0</v>
      </c>
      <c r="EG50" s="40">
        <f t="shared" si="106"/>
        <v>0</v>
      </c>
      <c r="EH50" s="40">
        <f t="shared" si="106"/>
        <v>0</v>
      </c>
      <c r="EI50" s="40">
        <f t="shared" si="106"/>
        <v>0</v>
      </c>
      <c r="EJ50" s="40">
        <f t="shared" si="106"/>
        <v>0</v>
      </c>
      <c r="EK50" s="40">
        <f t="shared" si="106"/>
        <v>0</v>
      </c>
      <c r="EL50" s="40">
        <f t="shared" si="106"/>
        <v>0</v>
      </c>
      <c r="EM50" s="40">
        <f t="shared" si="106"/>
        <v>0</v>
      </c>
      <c r="EN50" s="40">
        <f t="shared" si="106"/>
        <v>0</v>
      </c>
      <c r="EO50" s="40">
        <f t="shared" si="106"/>
        <v>0</v>
      </c>
      <c r="EP50" s="40">
        <f t="shared" si="106"/>
        <v>0</v>
      </c>
      <c r="EQ50" s="40">
        <f t="shared" si="106"/>
        <v>0</v>
      </c>
      <c r="ER50" s="40">
        <f t="shared" si="106"/>
        <v>0</v>
      </c>
      <c r="ES50" s="40">
        <f t="shared" si="106"/>
        <v>0</v>
      </c>
      <c r="ET50" s="40">
        <f t="shared" si="106"/>
        <v>0</v>
      </c>
      <c r="EU50" s="40">
        <f t="shared" si="106"/>
        <v>0</v>
      </c>
      <c r="EV50" s="40">
        <f t="shared" si="106"/>
        <v>0</v>
      </c>
      <c r="EW50" s="40">
        <f t="shared" si="106"/>
        <v>0</v>
      </c>
      <c r="EX50" s="40">
        <f t="shared" si="106"/>
        <v>0</v>
      </c>
      <c r="EY50" s="40">
        <f t="shared" si="106"/>
        <v>0</v>
      </c>
      <c r="EZ50" s="40">
        <f t="shared" si="106"/>
        <v>0</v>
      </c>
      <c r="FA50" s="40">
        <f t="shared" si="106"/>
        <v>0</v>
      </c>
      <c r="FB50" s="40">
        <f t="shared" si="106"/>
        <v>0</v>
      </c>
      <c r="FC50" s="40">
        <f t="shared" si="106"/>
        <v>0</v>
      </c>
      <c r="FD50" s="40">
        <f t="shared" si="106"/>
        <v>0</v>
      </c>
      <c r="FE50" s="40">
        <f t="shared" si="106"/>
        <v>0</v>
      </c>
      <c r="FF50" s="40">
        <f t="shared" si="106"/>
        <v>0</v>
      </c>
      <c r="FG50" s="40">
        <f t="shared" si="106"/>
        <v>0</v>
      </c>
      <c r="FH50" s="40">
        <f t="shared" si="106"/>
        <v>0</v>
      </c>
      <c r="FI50" s="40">
        <f t="shared" si="106"/>
        <v>0</v>
      </c>
      <c r="FJ50" s="40">
        <f t="shared" si="106"/>
        <v>0</v>
      </c>
      <c r="FK50" s="40">
        <f t="shared" si="106"/>
        <v>0</v>
      </c>
      <c r="FL50" s="40">
        <f t="shared" si="106"/>
        <v>0</v>
      </c>
      <c r="FM50" s="40">
        <f t="shared" si="106"/>
        <v>0</v>
      </c>
      <c r="FN50" s="40">
        <f t="shared" si="106"/>
        <v>0</v>
      </c>
      <c r="FO50" s="40">
        <f t="shared" si="106"/>
        <v>0</v>
      </c>
      <c r="FP50" s="40">
        <f t="shared" si="106"/>
        <v>0</v>
      </c>
      <c r="FQ50" s="40">
        <f t="shared" si="106"/>
        <v>0</v>
      </c>
      <c r="FR50" s="40">
        <f t="shared" si="106"/>
        <v>0</v>
      </c>
      <c r="FS50" s="40">
        <f t="shared" si="106"/>
        <v>0</v>
      </c>
      <c r="FT50" s="40">
        <f t="shared" si="106"/>
        <v>0</v>
      </c>
      <c r="FU50" s="40">
        <f t="shared" si="106"/>
        <v>0</v>
      </c>
      <c r="FV50" s="40">
        <f t="shared" si="106"/>
        <v>0</v>
      </c>
      <c r="FW50" s="40">
        <f t="shared" si="106"/>
        <v>0</v>
      </c>
      <c r="FX50" s="40">
        <f t="shared" si="106"/>
        <v>0</v>
      </c>
      <c r="FY50" s="40">
        <f t="shared" si="106"/>
        <v>0</v>
      </c>
      <c r="FZ50" s="40">
        <f t="shared" si="106"/>
        <v>0</v>
      </c>
      <c r="GA50" s="40">
        <f t="shared" si="106"/>
        <v>0</v>
      </c>
      <c r="GB50" s="40">
        <f t="shared" si="106"/>
        <v>0</v>
      </c>
      <c r="GC50" s="40">
        <f t="shared" si="106"/>
        <v>0</v>
      </c>
      <c r="GD50" s="40">
        <f t="shared" ca="1" si="106"/>
        <v>2673264.9484128016</v>
      </c>
      <c r="GE50" s="40">
        <f t="shared" ca="1" si="106"/>
        <v>0</v>
      </c>
      <c r="GF50" s="40">
        <f t="shared" ca="1" si="106"/>
        <v>0</v>
      </c>
      <c r="GG50" s="40">
        <f t="shared" ca="1" si="106"/>
        <v>0</v>
      </c>
      <c r="GH50" s="40">
        <f t="shared" ca="1" si="106"/>
        <v>0</v>
      </c>
      <c r="GI50" s="40">
        <f t="shared" ca="1" si="106"/>
        <v>0</v>
      </c>
      <c r="GJ50" s="40">
        <f t="shared" ca="1" si="106"/>
        <v>0</v>
      </c>
      <c r="GK50" s="40">
        <f t="shared" ca="1" si="106"/>
        <v>0</v>
      </c>
      <c r="GL50" s="40">
        <f t="shared" ca="1" si="106"/>
        <v>0</v>
      </c>
      <c r="GM50" s="40">
        <f t="shared" ca="1" si="106"/>
        <v>0</v>
      </c>
      <c r="GN50" s="40">
        <f t="shared" ca="1" si="106"/>
        <v>0</v>
      </c>
      <c r="GO50" s="40">
        <f t="shared" ca="1" si="106"/>
        <v>0</v>
      </c>
      <c r="GP50" s="40">
        <f t="shared" ca="1" si="106"/>
        <v>0</v>
      </c>
      <c r="GQ50" s="40">
        <f t="shared" ref="GQ50:IL50" ca="1" si="107">-GQ63</f>
        <v>0</v>
      </c>
      <c r="GR50" s="40">
        <f t="shared" ca="1" si="107"/>
        <v>0</v>
      </c>
      <c r="GS50" s="40">
        <f t="shared" ca="1" si="107"/>
        <v>0</v>
      </c>
      <c r="GT50" s="40">
        <f t="shared" ca="1" si="107"/>
        <v>0</v>
      </c>
      <c r="GU50" s="40">
        <f t="shared" ca="1" si="107"/>
        <v>0</v>
      </c>
      <c r="GV50" s="40">
        <f t="shared" ca="1" si="107"/>
        <v>0</v>
      </c>
      <c r="GW50" s="40">
        <f t="shared" ca="1" si="107"/>
        <v>0</v>
      </c>
      <c r="GX50" s="40">
        <f t="shared" ca="1" si="107"/>
        <v>0</v>
      </c>
      <c r="GY50" s="40">
        <f t="shared" ca="1" si="107"/>
        <v>0</v>
      </c>
      <c r="GZ50" s="40">
        <f t="shared" ca="1" si="107"/>
        <v>0</v>
      </c>
      <c r="HA50" s="40">
        <f t="shared" ca="1" si="107"/>
        <v>0</v>
      </c>
      <c r="HB50" s="40">
        <f t="shared" ca="1" si="107"/>
        <v>0</v>
      </c>
      <c r="HC50" s="40">
        <f t="shared" ca="1" si="107"/>
        <v>0</v>
      </c>
      <c r="HD50" s="40">
        <f t="shared" ca="1" si="107"/>
        <v>0</v>
      </c>
      <c r="HE50" s="40">
        <f t="shared" ca="1" si="107"/>
        <v>0</v>
      </c>
      <c r="HF50" s="40">
        <f t="shared" ca="1" si="107"/>
        <v>0</v>
      </c>
      <c r="HG50" s="40">
        <f t="shared" ca="1" si="107"/>
        <v>0</v>
      </c>
      <c r="HH50" s="40">
        <f t="shared" ca="1" si="107"/>
        <v>0</v>
      </c>
      <c r="HI50" s="40">
        <f t="shared" ca="1" si="107"/>
        <v>0</v>
      </c>
      <c r="HJ50" s="40">
        <f t="shared" ca="1" si="107"/>
        <v>0</v>
      </c>
      <c r="HK50" s="40">
        <f t="shared" ca="1" si="107"/>
        <v>0</v>
      </c>
      <c r="HL50" s="40">
        <f t="shared" ca="1" si="107"/>
        <v>0</v>
      </c>
      <c r="HM50" s="40">
        <f t="shared" ca="1" si="107"/>
        <v>0</v>
      </c>
      <c r="HN50" s="40">
        <f t="shared" ca="1" si="107"/>
        <v>0</v>
      </c>
      <c r="HO50" s="40">
        <f t="shared" ca="1" si="107"/>
        <v>0</v>
      </c>
      <c r="HP50" s="40">
        <f t="shared" ca="1" si="107"/>
        <v>0</v>
      </c>
      <c r="HQ50" s="40">
        <f t="shared" ca="1" si="107"/>
        <v>0</v>
      </c>
      <c r="HR50" s="40">
        <f t="shared" ca="1" si="107"/>
        <v>0</v>
      </c>
      <c r="HS50" s="40">
        <f t="shared" ca="1" si="107"/>
        <v>0</v>
      </c>
      <c r="HT50" s="40">
        <f t="shared" ca="1" si="107"/>
        <v>0</v>
      </c>
      <c r="HU50" s="40">
        <f t="shared" ca="1" si="107"/>
        <v>0</v>
      </c>
      <c r="HV50" s="40">
        <f t="shared" ca="1" si="107"/>
        <v>0</v>
      </c>
      <c r="HW50" s="40">
        <f t="shared" ca="1" si="107"/>
        <v>0</v>
      </c>
      <c r="HX50" s="40">
        <f t="shared" ca="1" si="107"/>
        <v>0</v>
      </c>
      <c r="HY50" s="40">
        <f t="shared" ca="1" si="107"/>
        <v>0</v>
      </c>
      <c r="HZ50" s="40">
        <f t="shared" ca="1" si="107"/>
        <v>0</v>
      </c>
      <c r="IA50" s="40">
        <f t="shared" ca="1" si="107"/>
        <v>0</v>
      </c>
      <c r="IB50" s="40">
        <f t="shared" ca="1" si="107"/>
        <v>0</v>
      </c>
      <c r="IC50" s="40">
        <f t="shared" ca="1" si="107"/>
        <v>0</v>
      </c>
      <c r="ID50" s="40">
        <f t="shared" ca="1" si="107"/>
        <v>0</v>
      </c>
      <c r="IE50" s="40">
        <f t="shared" ca="1" si="107"/>
        <v>0</v>
      </c>
      <c r="IF50" s="40">
        <f t="shared" ca="1" si="107"/>
        <v>0</v>
      </c>
      <c r="IG50" s="40">
        <f t="shared" ca="1" si="107"/>
        <v>0</v>
      </c>
      <c r="IH50" s="40">
        <f t="shared" ca="1" si="107"/>
        <v>0</v>
      </c>
      <c r="II50" s="40">
        <f t="shared" ca="1" si="107"/>
        <v>0</v>
      </c>
      <c r="IJ50" s="40">
        <f t="shared" ca="1" si="107"/>
        <v>0</v>
      </c>
      <c r="IK50" s="40">
        <f t="shared" ca="1" si="107"/>
        <v>0</v>
      </c>
      <c r="IL50" s="40">
        <f t="shared" ca="1" si="107"/>
        <v>0</v>
      </c>
      <c r="IM50" s="40">
        <f t="shared" ref="IM50:KX50" ca="1" si="108">-IM63</f>
        <v>0</v>
      </c>
      <c r="IN50" s="40">
        <f t="shared" ca="1" si="108"/>
        <v>0</v>
      </c>
      <c r="IO50" s="40">
        <f t="shared" ca="1" si="108"/>
        <v>0</v>
      </c>
      <c r="IP50" s="40">
        <f t="shared" ca="1" si="108"/>
        <v>0</v>
      </c>
      <c r="IQ50" s="40">
        <f t="shared" ca="1" si="108"/>
        <v>0</v>
      </c>
      <c r="IR50" s="40">
        <f t="shared" ca="1" si="108"/>
        <v>0</v>
      </c>
      <c r="IS50" s="40">
        <f t="shared" ca="1" si="108"/>
        <v>0</v>
      </c>
      <c r="IT50" s="40">
        <f t="shared" ca="1" si="108"/>
        <v>0</v>
      </c>
      <c r="IU50" s="40">
        <f t="shared" ca="1" si="108"/>
        <v>0</v>
      </c>
      <c r="IV50" s="40">
        <f t="shared" ca="1" si="108"/>
        <v>0</v>
      </c>
      <c r="IW50" s="40">
        <f t="shared" ca="1" si="108"/>
        <v>0</v>
      </c>
      <c r="IX50" s="40">
        <f t="shared" ca="1" si="108"/>
        <v>0</v>
      </c>
      <c r="IY50" s="40">
        <f t="shared" ca="1" si="108"/>
        <v>0</v>
      </c>
      <c r="IZ50" s="40">
        <f t="shared" ca="1" si="108"/>
        <v>0</v>
      </c>
      <c r="JA50" s="40">
        <f t="shared" ca="1" si="108"/>
        <v>0</v>
      </c>
      <c r="JB50" s="40">
        <f t="shared" ca="1" si="108"/>
        <v>0</v>
      </c>
      <c r="JC50" s="40">
        <f t="shared" ca="1" si="108"/>
        <v>0</v>
      </c>
      <c r="JD50" s="40">
        <f t="shared" ca="1" si="108"/>
        <v>0</v>
      </c>
      <c r="JE50" s="40">
        <f t="shared" ca="1" si="108"/>
        <v>0</v>
      </c>
      <c r="JF50" s="40">
        <f t="shared" ca="1" si="108"/>
        <v>0</v>
      </c>
      <c r="JG50" s="40">
        <f t="shared" ca="1" si="108"/>
        <v>0</v>
      </c>
      <c r="JH50" s="40">
        <f t="shared" ca="1" si="108"/>
        <v>0</v>
      </c>
      <c r="JI50" s="40">
        <f t="shared" ca="1" si="108"/>
        <v>0</v>
      </c>
      <c r="JJ50" s="40">
        <f t="shared" ca="1" si="108"/>
        <v>0</v>
      </c>
      <c r="JK50" s="40">
        <f t="shared" ca="1" si="108"/>
        <v>0</v>
      </c>
      <c r="JL50" s="40">
        <f t="shared" ca="1" si="108"/>
        <v>0</v>
      </c>
      <c r="JM50" s="40">
        <f t="shared" ca="1" si="108"/>
        <v>0</v>
      </c>
      <c r="JN50" s="40">
        <f t="shared" ca="1" si="108"/>
        <v>0</v>
      </c>
      <c r="JO50" s="40">
        <f t="shared" ca="1" si="108"/>
        <v>0</v>
      </c>
      <c r="JP50" s="40">
        <f t="shared" ca="1" si="108"/>
        <v>0</v>
      </c>
      <c r="JQ50" s="40">
        <f t="shared" ca="1" si="108"/>
        <v>0</v>
      </c>
      <c r="JR50" s="40">
        <f t="shared" ca="1" si="108"/>
        <v>0</v>
      </c>
      <c r="JS50" s="40">
        <f t="shared" ca="1" si="108"/>
        <v>0</v>
      </c>
      <c r="JT50" s="40">
        <f t="shared" ca="1" si="108"/>
        <v>0</v>
      </c>
      <c r="JU50" s="40">
        <f t="shared" ca="1" si="108"/>
        <v>0</v>
      </c>
      <c r="JV50" s="40">
        <f t="shared" ca="1" si="108"/>
        <v>0</v>
      </c>
      <c r="JW50" s="40">
        <f t="shared" ca="1" si="108"/>
        <v>0</v>
      </c>
      <c r="JX50" s="40">
        <f t="shared" ca="1" si="108"/>
        <v>0</v>
      </c>
      <c r="JY50" s="40">
        <f t="shared" ca="1" si="108"/>
        <v>0</v>
      </c>
      <c r="JZ50" s="40">
        <f t="shared" ca="1" si="108"/>
        <v>0</v>
      </c>
      <c r="KA50" s="40">
        <f t="shared" ca="1" si="108"/>
        <v>0</v>
      </c>
      <c r="KB50" s="40">
        <f t="shared" ca="1" si="108"/>
        <v>0</v>
      </c>
      <c r="KC50" s="40">
        <f t="shared" ca="1" si="108"/>
        <v>0</v>
      </c>
      <c r="KD50" s="40">
        <f t="shared" ca="1" si="108"/>
        <v>0</v>
      </c>
      <c r="KE50" s="40">
        <f t="shared" ca="1" si="108"/>
        <v>0</v>
      </c>
      <c r="KF50" s="40">
        <f t="shared" ca="1" si="108"/>
        <v>0</v>
      </c>
      <c r="KG50" s="40">
        <f t="shared" ca="1" si="108"/>
        <v>0</v>
      </c>
      <c r="KH50" s="40">
        <f t="shared" ca="1" si="108"/>
        <v>0</v>
      </c>
      <c r="KI50" s="40">
        <f t="shared" ca="1" si="108"/>
        <v>0</v>
      </c>
      <c r="KJ50" s="40">
        <f t="shared" ca="1" si="108"/>
        <v>0</v>
      </c>
      <c r="KK50" s="40">
        <f t="shared" ca="1" si="108"/>
        <v>0</v>
      </c>
      <c r="KL50" s="40">
        <f t="shared" ca="1" si="108"/>
        <v>0</v>
      </c>
      <c r="KM50" s="40">
        <f t="shared" ca="1" si="108"/>
        <v>0</v>
      </c>
      <c r="KN50" s="40">
        <f t="shared" ca="1" si="108"/>
        <v>0</v>
      </c>
      <c r="KO50" s="40">
        <f t="shared" ca="1" si="108"/>
        <v>0</v>
      </c>
      <c r="KP50" s="40">
        <f t="shared" ca="1" si="108"/>
        <v>0</v>
      </c>
      <c r="KQ50" s="40">
        <f t="shared" ca="1" si="108"/>
        <v>0</v>
      </c>
      <c r="KR50" s="40">
        <f t="shared" ca="1" si="108"/>
        <v>0</v>
      </c>
      <c r="KS50" s="40">
        <f t="shared" ca="1" si="108"/>
        <v>0</v>
      </c>
      <c r="KT50" s="40">
        <f t="shared" ca="1" si="108"/>
        <v>0</v>
      </c>
      <c r="KU50" s="40">
        <f t="shared" ca="1" si="108"/>
        <v>0</v>
      </c>
      <c r="KV50" s="40">
        <f t="shared" ca="1" si="108"/>
        <v>0</v>
      </c>
      <c r="KW50" s="40">
        <f t="shared" ca="1" si="108"/>
        <v>0</v>
      </c>
      <c r="KX50" s="40">
        <f t="shared" ca="1" si="108"/>
        <v>0</v>
      </c>
      <c r="KY50" s="40">
        <f t="shared" ref="KY50:NA50" ca="1" si="109">-KY63</f>
        <v>0</v>
      </c>
      <c r="KZ50" s="40">
        <f t="shared" ca="1" si="109"/>
        <v>0</v>
      </c>
      <c r="LA50" s="40">
        <f t="shared" ca="1" si="109"/>
        <v>0</v>
      </c>
      <c r="LB50" s="40">
        <f t="shared" ca="1" si="109"/>
        <v>0</v>
      </c>
      <c r="LC50" s="40">
        <f t="shared" ca="1" si="109"/>
        <v>0</v>
      </c>
      <c r="LD50" s="40">
        <f t="shared" ca="1" si="109"/>
        <v>0</v>
      </c>
      <c r="LE50" s="40">
        <f t="shared" ca="1" si="109"/>
        <v>0</v>
      </c>
      <c r="LF50" s="40">
        <f t="shared" ca="1" si="109"/>
        <v>0</v>
      </c>
      <c r="LG50" s="40">
        <f t="shared" ca="1" si="109"/>
        <v>0</v>
      </c>
      <c r="LH50" s="40">
        <f t="shared" ca="1" si="109"/>
        <v>0</v>
      </c>
      <c r="LI50" s="40">
        <f t="shared" ca="1" si="109"/>
        <v>0</v>
      </c>
      <c r="LJ50" s="40">
        <f t="shared" ca="1" si="109"/>
        <v>0</v>
      </c>
      <c r="LK50" s="40">
        <f t="shared" ca="1" si="109"/>
        <v>0</v>
      </c>
      <c r="LL50" s="40">
        <f t="shared" ca="1" si="109"/>
        <v>0</v>
      </c>
      <c r="LM50" s="40">
        <f t="shared" ca="1" si="109"/>
        <v>0</v>
      </c>
      <c r="LN50" s="40">
        <f t="shared" ca="1" si="109"/>
        <v>0</v>
      </c>
      <c r="LO50" s="40">
        <f t="shared" ca="1" si="109"/>
        <v>0</v>
      </c>
      <c r="LP50" s="40">
        <f t="shared" ca="1" si="109"/>
        <v>0</v>
      </c>
      <c r="LQ50" s="40">
        <f t="shared" ca="1" si="109"/>
        <v>0</v>
      </c>
      <c r="LR50" s="40">
        <f t="shared" ca="1" si="109"/>
        <v>0</v>
      </c>
      <c r="LS50" s="40">
        <f t="shared" ca="1" si="109"/>
        <v>0</v>
      </c>
      <c r="LT50" s="40">
        <f t="shared" ca="1" si="109"/>
        <v>0</v>
      </c>
      <c r="LU50" s="40">
        <f t="shared" ca="1" si="109"/>
        <v>0</v>
      </c>
      <c r="LV50" s="40">
        <f t="shared" ca="1" si="109"/>
        <v>0</v>
      </c>
      <c r="LW50" s="40">
        <f t="shared" ca="1" si="109"/>
        <v>0</v>
      </c>
      <c r="LX50" s="40">
        <f t="shared" ca="1" si="109"/>
        <v>0</v>
      </c>
      <c r="LY50" s="40">
        <f t="shared" ca="1" si="109"/>
        <v>0</v>
      </c>
      <c r="LZ50" s="40">
        <f t="shared" ca="1" si="109"/>
        <v>0</v>
      </c>
      <c r="MA50" s="40">
        <f t="shared" ca="1" si="109"/>
        <v>0</v>
      </c>
      <c r="MB50" s="40">
        <f t="shared" ca="1" si="109"/>
        <v>0</v>
      </c>
      <c r="MC50" s="40">
        <f t="shared" ca="1" si="109"/>
        <v>0</v>
      </c>
      <c r="MD50" s="40">
        <f t="shared" ca="1" si="109"/>
        <v>0</v>
      </c>
      <c r="ME50" s="40">
        <f t="shared" ca="1" si="109"/>
        <v>0</v>
      </c>
      <c r="MF50" s="40">
        <f t="shared" ca="1" si="109"/>
        <v>0</v>
      </c>
      <c r="MG50" s="40">
        <f t="shared" ca="1" si="109"/>
        <v>0</v>
      </c>
      <c r="MH50" s="40">
        <f t="shared" ca="1" si="109"/>
        <v>0</v>
      </c>
      <c r="MI50" s="40">
        <f t="shared" ca="1" si="109"/>
        <v>0</v>
      </c>
      <c r="MJ50" s="40">
        <f t="shared" ca="1" si="109"/>
        <v>0</v>
      </c>
      <c r="MK50" s="40">
        <f t="shared" ca="1" si="109"/>
        <v>0</v>
      </c>
      <c r="ML50" s="40">
        <f t="shared" ca="1" si="109"/>
        <v>0</v>
      </c>
      <c r="MM50" s="40">
        <f t="shared" ca="1" si="109"/>
        <v>0</v>
      </c>
      <c r="MN50" s="40">
        <f t="shared" ca="1" si="109"/>
        <v>0</v>
      </c>
      <c r="MO50" s="40">
        <f t="shared" ca="1" si="109"/>
        <v>0</v>
      </c>
      <c r="MP50" s="40">
        <f t="shared" ca="1" si="109"/>
        <v>0</v>
      </c>
      <c r="MQ50" s="40">
        <f t="shared" ca="1" si="109"/>
        <v>0</v>
      </c>
      <c r="MR50" s="40">
        <f t="shared" ca="1" si="109"/>
        <v>0</v>
      </c>
      <c r="MS50" s="40">
        <f t="shared" ca="1" si="109"/>
        <v>0</v>
      </c>
      <c r="MT50" s="40">
        <f t="shared" ca="1" si="109"/>
        <v>0</v>
      </c>
      <c r="MU50" s="40">
        <f t="shared" ca="1" si="109"/>
        <v>0</v>
      </c>
      <c r="MV50" s="40">
        <f t="shared" ca="1" si="109"/>
        <v>0</v>
      </c>
      <c r="MW50" s="40">
        <f t="shared" ca="1" si="109"/>
        <v>0</v>
      </c>
      <c r="MX50" s="40">
        <f t="shared" ca="1" si="109"/>
        <v>0</v>
      </c>
      <c r="MY50" s="40">
        <f t="shared" ca="1" si="109"/>
        <v>0</v>
      </c>
      <c r="MZ50" s="40">
        <f t="shared" ca="1" si="109"/>
        <v>0</v>
      </c>
      <c r="NA50" s="40">
        <f t="shared" ca="1" si="109"/>
        <v>0</v>
      </c>
      <c r="NB50" s="40">
        <f ca="1">-NB63</f>
        <v>0</v>
      </c>
    </row>
    <row r="51" spans="2:367" x14ac:dyDescent="0.15">
      <c r="B51" s="45"/>
      <c r="C51" s="45"/>
      <c r="F51" s="40"/>
      <c r="G51" s="40"/>
      <c r="H51" s="40"/>
      <c r="I51" s="40"/>
      <c r="J51" s="40"/>
      <c r="K51" s="40"/>
      <c r="L51" s="431"/>
      <c r="M51" s="40"/>
      <c r="N51" s="40"/>
      <c r="O51" s="40"/>
      <c r="P51" s="40"/>
      <c r="Q51" s="40"/>
      <c r="R51" s="40"/>
      <c r="S51" s="40"/>
      <c r="T51" s="40"/>
      <c r="U51" s="40"/>
      <c r="V51" s="40"/>
      <c r="W51" s="40"/>
      <c r="X51" s="40"/>
      <c r="Y51" s="40"/>
      <c r="Z51" s="40"/>
      <c r="AA51" s="40"/>
      <c r="AB51" s="40"/>
      <c r="AC51" s="40"/>
      <c r="AD51" s="573"/>
      <c r="AE51" s="40"/>
      <c r="AF51" s="40"/>
      <c r="AG51" s="40"/>
      <c r="AH51" s="40"/>
      <c r="AI51" s="40"/>
      <c r="AJ51" s="40"/>
      <c r="AK51" s="40"/>
      <c r="AL51" s="40"/>
      <c r="AM51" s="40"/>
      <c r="AN51" s="40"/>
      <c r="AO51" s="40"/>
      <c r="AP51" s="40"/>
      <c r="AQ51" s="40"/>
      <c r="AR51" s="40"/>
      <c r="AS51" s="40"/>
      <c r="AT51" s="40"/>
      <c r="AU51" s="40"/>
      <c r="AV51" s="40"/>
      <c r="AW51" s="40"/>
      <c r="AX51" s="40"/>
      <c r="AY51" s="40"/>
      <c r="AZ51" s="40"/>
      <c r="BA51" s="40"/>
      <c r="BB51" s="40"/>
      <c r="BC51" s="40"/>
      <c r="BD51" s="40"/>
      <c r="BE51" s="40"/>
      <c r="BF51" s="40"/>
      <c r="BG51" s="40"/>
      <c r="BH51" s="40"/>
      <c r="BI51" s="40"/>
      <c r="BJ51" s="40"/>
      <c r="BK51" s="40"/>
      <c r="BL51" s="40"/>
      <c r="BM51" s="40"/>
      <c r="BN51" s="40"/>
      <c r="BO51" s="40"/>
      <c r="BP51" s="40"/>
      <c r="BQ51" s="40"/>
      <c r="BR51" s="40"/>
      <c r="BS51" s="40"/>
      <c r="BT51" s="40"/>
      <c r="BU51" s="40"/>
      <c r="BV51" s="40"/>
      <c r="BW51" s="40"/>
      <c r="BX51" s="40"/>
      <c r="BY51" s="40"/>
      <c r="BZ51" s="40"/>
      <c r="CA51" s="40"/>
      <c r="CB51" s="40"/>
      <c r="CC51" s="40"/>
      <c r="CD51" s="40"/>
      <c r="CE51" s="40"/>
      <c r="CF51" s="40"/>
      <c r="CG51" s="40"/>
      <c r="CH51" s="40"/>
      <c r="CI51" s="40"/>
      <c r="CJ51" s="40"/>
      <c r="CK51" s="40"/>
      <c r="CL51" s="40"/>
      <c r="CM51" s="40"/>
      <c r="CN51" s="40"/>
      <c r="CO51" s="40"/>
      <c r="CP51" s="40"/>
      <c r="CQ51" s="40"/>
      <c r="CR51" s="40"/>
      <c r="CS51" s="40"/>
      <c r="CT51" s="40"/>
      <c r="CU51" s="40"/>
      <c r="CV51" s="40"/>
      <c r="CW51" s="40"/>
      <c r="CX51" s="40"/>
      <c r="CY51" s="40"/>
      <c r="CZ51" s="40"/>
      <c r="DA51" s="40"/>
      <c r="DB51" s="40"/>
      <c r="DC51" s="40"/>
      <c r="DD51" s="40"/>
      <c r="DE51" s="40"/>
      <c r="DF51" s="40"/>
      <c r="DG51" s="40"/>
      <c r="DH51" s="40"/>
      <c r="DI51" s="40"/>
      <c r="DJ51" s="40"/>
      <c r="DK51" s="40"/>
      <c r="DL51" s="40"/>
      <c r="DM51" s="40"/>
      <c r="DN51" s="40"/>
      <c r="DO51" s="40"/>
      <c r="DP51" s="40"/>
      <c r="DQ51" s="40"/>
      <c r="DR51" s="40"/>
      <c r="DS51" s="40"/>
      <c r="DT51" s="40"/>
      <c r="DU51" s="40"/>
      <c r="DV51" s="40"/>
      <c r="DW51" s="40"/>
      <c r="DX51" s="40"/>
      <c r="DY51" s="40"/>
      <c r="DZ51" s="40"/>
      <c r="EA51" s="40"/>
      <c r="EB51" s="40"/>
      <c r="EC51" s="40"/>
      <c r="ED51" s="40"/>
      <c r="EE51" s="40"/>
      <c r="EF51" s="40"/>
      <c r="EG51" s="40"/>
      <c r="EH51" s="40"/>
      <c r="EI51" s="40"/>
      <c r="EJ51" s="40"/>
      <c r="EK51" s="40"/>
      <c r="EL51" s="40"/>
      <c r="EM51" s="40"/>
      <c r="EN51" s="40"/>
      <c r="EO51" s="40"/>
      <c r="EP51" s="40"/>
      <c r="EQ51" s="40"/>
      <c r="ER51" s="40"/>
      <c r="ES51" s="40"/>
      <c r="ET51" s="40"/>
      <c r="EU51" s="40"/>
      <c r="EV51" s="40"/>
      <c r="EW51" s="40"/>
      <c r="EX51" s="40"/>
      <c r="EY51" s="40"/>
      <c r="EZ51" s="40"/>
      <c r="FA51" s="40"/>
      <c r="FB51" s="40"/>
      <c r="FC51" s="40"/>
      <c r="FD51" s="40"/>
      <c r="FE51" s="40"/>
      <c r="FF51" s="40"/>
      <c r="FG51" s="40"/>
      <c r="FH51" s="40"/>
      <c r="FI51" s="40"/>
      <c r="FJ51" s="40"/>
      <c r="FK51" s="40"/>
      <c r="FL51" s="40"/>
      <c r="FM51" s="40"/>
      <c r="FN51" s="40"/>
      <c r="FO51" s="40"/>
      <c r="FP51" s="40"/>
      <c r="FQ51" s="40"/>
      <c r="FR51" s="40"/>
      <c r="FS51" s="40"/>
      <c r="FT51" s="40"/>
      <c r="FU51" s="40"/>
      <c r="FV51" s="40"/>
      <c r="FW51" s="40"/>
      <c r="FX51" s="40"/>
      <c r="FY51" s="40"/>
      <c r="FZ51" s="40"/>
      <c r="GA51" s="40"/>
      <c r="GB51" s="40"/>
      <c r="GC51" s="40"/>
      <c r="GD51" s="40"/>
      <c r="GE51" s="40"/>
      <c r="GF51" s="40"/>
      <c r="GG51" s="40"/>
      <c r="GH51" s="40"/>
      <c r="GI51" s="40"/>
      <c r="GJ51" s="40"/>
      <c r="GK51" s="40"/>
      <c r="GL51" s="40"/>
      <c r="GM51" s="40"/>
      <c r="GN51" s="40"/>
      <c r="GO51" s="40"/>
      <c r="GP51" s="40"/>
      <c r="GQ51" s="40"/>
      <c r="GR51" s="40"/>
      <c r="GS51" s="40"/>
      <c r="GT51" s="40"/>
      <c r="GU51" s="40"/>
      <c r="GV51" s="40"/>
      <c r="GW51" s="40"/>
      <c r="GX51" s="40"/>
      <c r="GY51" s="40"/>
      <c r="GZ51" s="40"/>
      <c r="HA51" s="40"/>
      <c r="HB51" s="40"/>
      <c r="HC51" s="40"/>
      <c r="HD51" s="40"/>
      <c r="HE51" s="40"/>
      <c r="HF51" s="40"/>
      <c r="HG51" s="40"/>
      <c r="HH51" s="40"/>
      <c r="HI51" s="40"/>
      <c r="HJ51" s="40"/>
      <c r="HK51" s="40"/>
      <c r="HL51" s="40"/>
      <c r="HM51" s="40"/>
      <c r="HN51" s="40"/>
      <c r="HO51" s="40"/>
      <c r="HP51" s="40"/>
      <c r="HQ51" s="40"/>
      <c r="HR51" s="40"/>
      <c r="HS51" s="40"/>
      <c r="HT51" s="40"/>
      <c r="HU51" s="40"/>
      <c r="HV51" s="40"/>
      <c r="HW51" s="40"/>
      <c r="HX51" s="40"/>
      <c r="HY51" s="40"/>
      <c r="HZ51" s="40"/>
      <c r="IA51" s="40"/>
      <c r="IB51" s="40"/>
      <c r="IC51" s="40"/>
      <c r="ID51" s="40"/>
      <c r="IE51" s="40"/>
      <c r="IF51" s="40"/>
      <c r="IG51" s="40"/>
      <c r="IH51" s="40"/>
      <c r="II51" s="40"/>
      <c r="IJ51" s="40"/>
      <c r="IK51" s="40"/>
      <c r="IL51" s="40"/>
      <c r="IM51" s="40"/>
      <c r="IN51" s="40"/>
      <c r="IO51" s="40"/>
      <c r="IP51" s="40"/>
      <c r="IQ51" s="40"/>
      <c r="IR51" s="40"/>
      <c r="IS51" s="40"/>
      <c r="IT51" s="40"/>
      <c r="IU51" s="40"/>
      <c r="IV51" s="40"/>
      <c r="IW51" s="40"/>
      <c r="IX51" s="40"/>
      <c r="IY51" s="40"/>
      <c r="IZ51" s="40"/>
      <c r="JA51" s="40"/>
      <c r="JB51" s="40"/>
      <c r="JC51" s="40"/>
      <c r="JD51" s="40"/>
      <c r="JE51" s="40"/>
      <c r="JF51" s="40"/>
      <c r="JG51" s="40"/>
      <c r="JH51" s="40"/>
      <c r="JI51" s="40"/>
      <c r="JJ51" s="40"/>
      <c r="JK51" s="40"/>
      <c r="JL51" s="40"/>
      <c r="JM51" s="40"/>
      <c r="JN51" s="40"/>
      <c r="JO51" s="40"/>
      <c r="JP51" s="40"/>
      <c r="JQ51" s="40"/>
      <c r="JR51" s="40"/>
      <c r="JS51" s="40"/>
      <c r="JT51" s="40"/>
      <c r="JU51" s="40"/>
      <c r="JV51" s="40"/>
      <c r="JW51" s="40"/>
      <c r="JX51" s="40"/>
      <c r="JY51" s="40"/>
      <c r="JZ51" s="40"/>
      <c r="KA51" s="40"/>
      <c r="KB51" s="40"/>
      <c r="KC51" s="40"/>
      <c r="KD51" s="40"/>
      <c r="KE51" s="40"/>
      <c r="KF51" s="40"/>
      <c r="KG51" s="40"/>
      <c r="KH51" s="40"/>
      <c r="KI51" s="40"/>
      <c r="KJ51" s="40"/>
      <c r="KK51" s="40"/>
      <c r="KL51" s="40"/>
      <c r="KM51" s="40"/>
      <c r="KN51" s="40"/>
      <c r="KO51" s="40"/>
      <c r="KP51" s="40"/>
      <c r="KQ51" s="40"/>
      <c r="KR51" s="40"/>
      <c r="KS51" s="40"/>
      <c r="KT51" s="40"/>
      <c r="KU51" s="40"/>
      <c r="KV51" s="40"/>
      <c r="KW51" s="40"/>
      <c r="KX51" s="40"/>
      <c r="KY51" s="40"/>
      <c r="KZ51" s="40"/>
      <c r="LA51" s="40"/>
      <c r="LB51" s="40"/>
      <c r="LC51" s="40"/>
      <c r="LD51" s="40"/>
      <c r="LE51" s="40"/>
      <c r="LF51" s="40"/>
      <c r="LG51" s="40"/>
      <c r="LH51" s="40"/>
      <c r="LI51" s="40"/>
      <c r="LJ51" s="40"/>
      <c r="LK51" s="40"/>
      <c r="LL51" s="40"/>
      <c r="LM51" s="40"/>
      <c r="LN51" s="40"/>
      <c r="LO51" s="40"/>
      <c r="LP51" s="40"/>
      <c r="LQ51" s="40"/>
      <c r="LR51" s="40"/>
      <c r="LS51" s="40"/>
      <c r="LT51" s="40"/>
      <c r="LU51" s="40"/>
      <c r="LV51" s="40"/>
      <c r="LW51" s="40"/>
      <c r="LX51" s="40"/>
      <c r="LY51" s="40"/>
      <c r="LZ51" s="40"/>
      <c r="MA51" s="40"/>
      <c r="MB51" s="40"/>
      <c r="MC51" s="40"/>
      <c r="MD51" s="40"/>
      <c r="ME51" s="40"/>
      <c r="MF51" s="40"/>
      <c r="MG51" s="40"/>
      <c r="MH51" s="40"/>
      <c r="MI51" s="40"/>
      <c r="MJ51" s="40"/>
      <c r="MK51" s="40"/>
      <c r="ML51" s="40"/>
      <c r="MM51" s="40"/>
      <c r="MN51" s="40"/>
      <c r="MO51" s="40"/>
      <c r="MP51" s="40"/>
      <c r="MQ51" s="40"/>
      <c r="MR51" s="40"/>
      <c r="MS51" s="40"/>
      <c r="MT51" s="40"/>
      <c r="MU51" s="40"/>
      <c r="MV51" s="40"/>
      <c r="MW51" s="40"/>
      <c r="MX51" s="40"/>
      <c r="MY51" s="40"/>
      <c r="MZ51" s="40"/>
      <c r="NA51" s="40"/>
      <c r="NB51" s="40"/>
    </row>
    <row r="52" spans="2:367" x14ac:dyDescent="0.15">
      <c r="B52" s="4" t="s">
        <v>337</v>
      </c>
      <c r="C52" s="45"/>
      <c r="F52" s="40"/>
      <c r="G52" s="40"/>
      <c r="H52" s="40"/>
      <c r="I52" s="40"/>
      <c r="J52" s="40"/>
      <c r="K52" s="40"/>
      <c r="L52" s="431"/>
      <c r="M52" s="40"/>
      <c r="N52" s="40"/>
      <c r="O52" s="40"/>
      <c r="P52" s="40"/>
      <c r="Q52" s="40"/>
      <c r="R52" s="40"/>
      <c r="S52" s="40"/>
      <c r="T52" s="40"/>
      <c r="U52" s="40"/>
      <c r="V52" s="40"/>
      <c r="W52" s="40"/>
      <c r="X52" s="40"/>
      <c r="Y52" s="40"/>
      <c r="Z52" s="40"/>
      <c r="AA52" s="40"/>
      <c r="AB52" s="40"/>
      <c r="AC52" s="40"/>
      <c r="AD52" s="573"/>
      <c r="AE52" s="40"/>
      <c r="AF52" s="40"/>
      <c r="AG52" s="40"/>
      <c r="AH52" s="40"/>
      <c r="AI52" s="40"/>
      <c r="AJ52" s="40"/>
      <c r="AK52" s="40"/>
      <c r="AL52" s="40"/>
      <c r="AM52" s="40"/>
      <c r="AN52" s="40"/>
      <c r="AO52" s="40"/>
      <c r="AP52" s="40"/>
      <c r="AQ52" s="40"/>
      <c r="AR52" s="40"/>
      <c r="AS52" s="40"/>
      <c r="AT52" s="40"/>
      <c r="AU52" s="40"/>
      <c r="AV52" s="40"/>
      <c r="AW52" s="40"/>
      <c r="AX52" s="40"/>
      <c r="AY52" s="40"/>
      <c r="AZ52" s="40"/>
      <c r="BA52" s="40"/>
      <c r="BB52" s="40"/>
      <c r="BC52" s="40"/>
      <c r="BD52" s="40"/>
      <c r="BE52" s="40"/>
      <c r="BF52" s="40"/>
      <c r="BG52" s="40"/>
      <c r="BH52" s="40"/>
      <c r="BI52" s="40"/>
      <c r="BJ52" s="40"/>
      <c r="BK52" s="40"/>
      <c r="BL52" s="40"/>
      <c r="BM52" s="40"/>
      <c r="BN52" s="40"/>
      <c r="BO52" s="40"/>
      <c r="BP52" s="40"/>
      <c r="BQ52" s="40"/>
      <c r="BR52" s="40"/>
      <c r="BS52" s="40"/>
      <c r="BT52" s="40"/>
      <c r="BU52" s="40"/>
      <c r="BV52" s="40"/>
      <c r="BW52" s="40"/>
      <c r="BX52" s="40"/>
      <c r="BY52" s="40"/>
      <c r="BZ52" s="40"/>
      <c r="CA52" s="40"/>
      <c r="CB52" s="40"/>
      <c r="CC52" s="40"/>
      <c r="CD52" s="40"/>
      <c r="CE52" s="40"/>
      <c r="CF52" s="40"/>
      <c r="CG52" s="40"/>
      <c r="CH52" s="40"/>
      <c r="CI52" s="40"/>
      <c r="CJ52" s="40"/>
      <c r="CK52" s="40"/>
      <c r="CL52" s="40"/>
      <c r="CM52" s="40"/>
      <c r="CN52" s="40"/>
      <c r="CO52" s="40"/>
      <c r="CP52" s="40"/>
      <c r="CQ52" s="40"/>
      <c r="CR52" s="40"/>
      <c r="CS52" s="40"/>
      <c r="CT52" s="40"/>
      <c r="CU52" s="40"/>
      <c r="CV52" s="40"/>
      <c r="CW52" s="40"/>
      <c r="CX52" s="40"/>
      <c r="CY52" s="40"/>
      <c r="CZ52" s="40"/>
      <c r="DA52" s="40"/>
      <c r="DB52" s="40"/>
      <c r="DC52" s="40"/>
      <c r="DD52" s="40"/>
      <c r="DE52" s="40"/>
      <c r="DF52" s="40"/>
      <c r="DG52" s="40"/>
      <c r="DH52" s="40"/>
      <c r="DI52" s="40"/>
      <c r="DJ52" s="40"/>
      <c r="DK52" s="40"/>
      <c r="DL52" s="40"/>
      <c r="DM52" s="40"/>
      <c r="DN52" s="40"/>
      <c r="DO52" s="40"/>
      <c r="DP52" s="40"/>
      <c r="DQ52" s="40"/>
      <c r="DR52" s="40"/>
      <c r="DS52" s="40"/>
      <c r="DT52" s="40"/>
      <c r="DU52" s="40"/>
      <c r="DV52" s="40"/>
      <c r="DW52" s="40"/>
      <c r="DX52" s="40"/>
      <c r="DY52" s="40"/>
      <c r="DZ52" s="40"/>
      <c r="EA52" s="40"/>
      <c r="EB52" s="40"/>
      <c r="EC52" s="40"/>
      <c r="ED52" s="40"/>
      <c r="EE52" s="40"/>
      <c r="EF52" s="40"/>
      <c r="EG52" s="40"/>
      <c r="EH52" s="40"/>
      <c r="EI52" s="40"/>
      <c r="EJ52" s="40"/>
      <c r="EK52" s="40"/>
      <c r="EL52" s="40"/>
      <c r="EM52" s="40"/>
      <c r="EN52" s="40"/>
      <c r="EO52" s="40"/>
      <c r="EP52" s="40"/>
      <c r="EQ52" s="40"/>
      <c r="ER52" s="40"/>
      <c r="ES52" s="40"/>
      <c r="ET52" s="40"/>
      <c r="EU52" s="40"/>
      <c r="EV52" s="40"/>
      <c r="EW52" s="40"/>
      <c r="EX52" s="40"/>
      <c r="EY52" s="40"/>
      <c r="EZ52" s="40"/>
      <c r="FA52" s="40"/>
      <c r="FB52" s="40"/>
      <c r="FC52" s="40"/>
      <c r="FD52" s="40"/>
      <c r="FE52" s="40"/>
      <c r="FF52" s="40"/>
      <c r="FG52" s="40"/>
      <c r="FH52" s="40"/>
      <c r="FI52" s="40"/>
      <c r="FJ52" s="40"/>
      <c r="FK52" s="40"/>
      <c r="FL52" s="40"/>
      <c r="FM52" s="40"/>
      <c r="FN52" s="40"/>
      <c r="FO52" s="40"/>
      <c r="FP52" s="40"/>
      <c r="FQ52" s="40"/>
      <c r="FR52" s="40"/>
      <c r="FS52" s="40"/>
      <c r="FT52" s="40"/>
      <c r="FU52" s="40"/>
      <c r="FV52" s="40"/>
      <c r="FW52" s="40"/>
      <c r="FX52" s="40"/>
      <c r="FY52" s="40"/>
      <c r="FZ52" s="40"/>
      <c r="GA52" s="40"/>
      <c r="GB52" s="40"/>
      <c r="GC52" s="40"/>
      <c r="GD52" s="40"/>
      <c r="GE52" s="40"/>
      <c r="GF52" s="40"/>
      <c r="GG52" s="40"/>
      <c r="GH52" s="40"/>
      <c r="GI52" s="40"/>
      <c r="GJ52" s="40"/>
      <c r="GK52" s="40"/>
      <c r="GL52" s="40"/>
      <c r="GM52" s="40"/>
      <c r="GN52" s="40"/>
      <c r="GO52" s="40"/>
      <c r="GP52" s="40"/>
      <c r="GQ52" s="40"/>
      <c r="GR52" s="40"/>
      <c r="GS52" s="40"/>
      <c r="GT52" s="40"/>
      <c r="GU52" s="40"/>
      <c r="GV52" s="40"/>
      <c r="GW52" s="40"/>
      <c r="GX52" s="40"/>
      <c r="GY52" s="40"/>
      <c r="GZ52" s="40"/>
      <c r="HA52" s="40"/>
      <c r="HB52" s="40"/>
      <c r="HC52" s="40"/>
      <c r="HD52" s="40"/>
      <c r="HE52" s="40"/>
      <c r="HF52" s="40"/>
      <c r="HG52" s="40"/>
      <c r="HH52" s="40"/>
      <c r="HI52" s="40"/>
      <c r="HJ52" s="40"/>
      <c r="HK52" s="40"/>
      <c r="HL52" s="40"/>
      <c r="HM52" s="40"/>
      <c r="HN52" s="40"/>
      <c r="HO52" s="40"/>
      <c r="HP52" s="40"/>
      <c r="HQ52" s="40"/>
      <c r="HR52" s="40"/>
      <c r="HS52" s="40"/>
      <c r="HT52" s="40"/>
      <c r="HU52" s="40"/>
      <c r="HV52" s="40"/>
      <c r="HW52" s="40"/>
      <c r="HX52" s="40"/>
      <c r="HY52" s="40"/>
      <c r="HZ52" s="40"/>
      <c r="IA52" s="40"/>
      <c r="IB52" s="40"/>
      <c r="IC52" s="40"/>
      <c r="ID52" s="40"/>
      <c r="IE52" s="40"/>
      <c r="IF52" s="40"/>
      <c r="IG52" s="40"/>
      <c r="IH52" s="40"/>
      <c r="II52" s="40"/>
      <c r="IJ52" s="40"/>
      <c r="IK52" s="40"/>
      <c r="IL52" s="40"/>
      <c r="IM52" s="40"/>
      <c r="IN52" s="40"/>
      <c r="IO52" s="40"/>
      <c r="IP52" s="40"/>
      <c r="IQ52" s="40"/>
      <c r="IR52" s="40"/>
      <c r="IS52" s="40"/>
      <c r="IT52" s="40"/>
      <c r="IU52" s="40"/>
      <c r="IV52" s="40"/>
      <c r="IW52" s="40"/>
      <c r="IX52" s="40"/>
      <c r="IY52" s="40"/>
      <c r="IZ52" s="40"/>
      <c r="JA52" s="40"/>
      <c r="JB52" s="40"/>
      <c r="JC52" s="40"/>
      <c r="JD52" s="40"/>
      <c r="JE52" s="40"/>
      <c r="JF52" s="40"/>
      <c r="JG52" s="40"/>
      <c r="JH52" s="40"/>
      <c r="JI52" s="40"/>
      <c r="JJ52" s="40"/>
      <c r="JK52" s="40"/>
      <c r="JL52" s="40"/>
      <c r="JM52" s="40"/>
      <c r="JN52" s="40"/>
      <c r="JO52" s="40"/>
      <c r="JP52" s="40"/>
      <c r="JQ52" s="40"/>
      <c r="JR52" s="40"/>
      <c r="JS52" s="40"/>
      <c r="JT52" s="40"/>
      <c r="JU52" s="40"/>
      <c r="JV52" s="40"/>
      <c r="JW52" s="40"/>
      <c r="JX52" s="40"/>
      <c r="JY52" s="40"/>
      <c r="JZ52" s="40"/>
      <c r="KA52" s="40"/>
      <c r="KB52" s="40"/>
      <c r="KC52" s="40"/>
      <c r="KD52" s="40"/>
      <c r="KE52" s="40"/>
      <c r="KF52" s="40"/>
      <c r="KG52" s="40"/>
      <c r="KH52" s="40"/>
      <c r="KI52" s="40"/>
      <c r="KJ52" s="40"/>
      <c r="KK52" s="40"/>
      <c r="KL52" s="40"/>
      <c r="KM52" s="40"/>
      <c r="KN52" s="40"/>
      <c r="KO52" s="40"/>
      <c r="KP52" s="40"/>
      <c r="KQ52" s="40"/>
      <c r="KR52" s="40"/>
      <c r="KS52" s="40"/>
      <c r="KT52" s="40"/>
      <c r="KU52" s="40"/>
      <c r="KV52" s="40"/>
      <c r="KW52" s="40"/>
      <c r="KX52" s="40"/>
      <c r="KY52" s="40"/>
      <c r="KZ52" s="40"/>
      <c r="LA52" s="40"/>
      <c r="LB52" s="40"/>
      <c r="LC52" s="40"/>
      <c r="LD52" s="40"/>
      <c r="LE52" s="40"/>
      <c r="LF52" s="40"/>
      <c r="LG52" s="40"/>
      <c r="LH52" s="40"/>
      <c r="LI52" s="40"/>
      <c r="LJ52" s="40"/>
      <c r="LK52" s="40"/>
      <c r="LL52" s="40"/>
      <c r="LM52" s="40"/>
      <c r="LN52" s="40"/>
      <c r="LO52" s="40"/>
      <c r="LP52" s="40"/>
      <c r="LQ52" s="40"/>
      <c r="LR52" s="40"/>
      <c r="LS52" s="40"/>
      <c r="LT52" s="40"/>
      <c r="LU52" s="40"/>
      <c r="LV52" s="40"/>
      <c r="LW52" s="40"/>
      <c r="LX52" s="40"/>
      <c r="LY52" s="40"/>
      <c r="LZ52" s="40"/>
      <c r="MA52" s="40"/>
      <c r="MB52" s="40"/>
      <c r="MC52" s="40"/>
      <c r="MD52" s="40"/>
      <c r="ME52" s="40"/>
      <c r="MF52" s="40"/>
      <c r="MG52" s="40"/>
      <c r="MH52" s="40"/>
      <c r="MI52" s="40"/>
      <c r="MJ52" s="40"/>
      <c r="MK52" s="40"/>
      <c r="ML52" s="40"/>
      <c r="MM52" s="40"/>
      <c r="MN52" s="40"/>
      <c r="MO52" s="40"/>
      <c r="MP52" s="40"/>
      <c r="MQ52" s="40"/>
      <c r="MR52" s="40"/>
      <c r="MS52" s="40"/>
      <c r="MT52" s="40"/>
      <c r="MU52" s="40"/>
      <c r="MV52" s="40"/>
      <c r="MW52" s="40"/>
      <c r="MX52" s="40"/>
      <c r="MY52" s="40"/>
      <c r="MZ52" s="40"/>
      <c r="NA52" s="40"/>
      <c r="NB52" s="40"/>
    </row>
    <row r="53" spans="2:367" x14ac:dyDescent="0.15">
      <c r="B53" s="45" t="s">
        <v>338</v>
      </c>
      <c r="F53" s="1">
        <f>'Main Assumptions'!M54</f>
        <v>519684</v>
      </c>
      <c r="G53" s="40">
        <f>IF(G$7&lt;=$F$5,F55,0)</f>
        <v>519684</v>
      </c>
      <c r="H53" s="40">
        <f t="shared" ref="H53:BS53" si="110">IF(H$7&lt;=$F$5,G55,0)</f>
        <v>490672.0505146542</v>
      </c>
      <c r="I53" s="40">
        <f t="shared" si="110"/>
        <v>461660.10102930845</v>
      </c>
      <c r="J53" s="40">
        <f t="shared" si="110"/>
        <v>432648.15154396265</v>
      </c>
      <c r="K53" s="40">
        <f t="shared" si="110"/>
        <v>430507.82431695022</v>
      </c>
      <c r="L53" s="431">
        <f t="shared" si="110"/>
        <v>428367.49708993779</v>
      </c>
      <c r="M53" s="40">
        <f t="shared" si="110"/>
        <v>426227.16986292537</v>
      </c>
      <c r="N53" s="40">
        <f t="shared" si="110"/>
        <v>423934.79113591294</v>
      </c>
      <c r="O53" s="40">
        <f t="shared" si="110"/>
        <v>421642.41240890051</v>
      </c>
      <c r="P53" s="40">
        <f t="shared" si="110"/>
        <v>419350.03368188808</v>
      </c>
      <c r="Q53" s="40">
        <f t="shared" si="110"/>
        <v>417057.65495487564</v>
      </c>
      <c r="R53" s="40">
        <f t="shared" si="110"/>
        <v>414765.27622786321</v>
      </c>
      <c r="S53" s="40">
        <f t="shared" si="110"/>
        <v>412472.89750085078</v>
      </c>
      <c r="T53" s="40">
        <f t="shared" si="110"/>
        <v>411040.36810567166</v>
      </c>
      <c r="U53" s="40">
        <f t="shared" si="110"/>
        <v>409607.83871049254</v>
      </c>
      <c r="V53" s="40">
        <f t="shared" si="110"/>
        <v>408175.30931531341</v>
      </c>
      <c r="W53" s="40">
        <f t="shared" si="110"/>
        <v>406742.77992013429</v>
      </c>
      <c r="X53" s="40">
        <f t="shared" si="110"/>
        <v>405310.25052495516</v>
      </c>
      <c r="Y53" s="40">
        <f t="shared" si="110"/>
        <v>403877.72112977604</v>
      </c>
      <c r="Z53" s="40">
        <f t="shared" si="110"/>
        <v>402445.19173459691</v>
      </c>
      <c r="AA53" s="40">
        <f t="shared" si="110"/>
        <v>401012.66233941779</v>
      </c>
      <c r="AB53" s="40">
        <f t="shared" si="110"/>
        <v>399580.13294423866</v>
      </c>
      <c r="AC53" s="40">
        <f t="shared" si="110"/>
        <v>398147.60354905954</v>
      </c>
      <c r="AD53" s="573">
        <f t="shared" si="110"/>
        <v>396715.07415388041</v>
      </c>
      <c r="AE53" s="40">
        <f t="shared" si="110"/>
        <v>395282.54475870129</v>
      </c>
      <c r="AF53" s="40">
        <f t="shared" si="110"/>
        <v>394736.89064865885</v>
      </c>
      <c r="AG53" s="40">
        <f t="shared" si="110"/>
        <v>394191.23653861642</v>
      </c>
      <c r="AH53" s="40">
        <f t="shared" si="110"/>
        <v>393645.58242857398</v>
      </c>
      <c r="AI53" s="40">
        <f t="shared" si="110"/>
        <v>393099.92831853154</v>
      </c>
      <c r="AJ53" s="40">
        <f t="shared" si="110"/>
        <v>392554.27420848911</v>
      </c>
      <c r="AK53" s="40">
        <f t="shared" si="110"/>
        <v>392008.62009844667</v>
      </c>
      <c r="AL53" s="40">
        <f t="shared" si="110"/>
        <v>391462.96598840423</v>
      </c>
      <c r="AM53" s="40">
        <f t="shared" si="110"/>
        <v>390917.3118783618</v>
      </c>
      <c r="AN53" s="40">
        <f t="shared" si="110"/>
        <v>390371.65776831936</v>
      </c>
      <c r="AO53" s="40">
        <f t="shared" si="110"/>
        <v>389826.00365827692</v>
      </c>
      <c r="AP53" s="40">
        <f t="shared" si="110"/>
        <v>389280.34954823449</v>
      </c>
      <c r="AQ53" s="40">
        <f t="shared" si="110"/>
        <v>388734.69543819205</v>
      </c>
      <c r="AR53" s="40">
        <f t="shared" si="110"/>
        <v>388734.69543819205</v>
      </c>
      <c r="AS53" s="40">
        <f t="shared" si="110"/>
        <v>388734.69543819205</v>
      </c>
      <c r="AT53" s="40">
        <f t="shared" si="110"/>
        <v>388734.69543819205</v>
      </c>
      <c r="AU53" s="40">
        <f t="shared" si="110"/>
        <v>388734.69543819205</v>
      </c>
      <c r="AV53" s="40">
        <f t="shared" si="110"/>
        <v>388734.69543819205</v>
      </c>
      <c r="AW53" s="40">
        <f t="shared" si="110"/>
        <v>388734.69543819205</v>
      </c>
      <c r="AX53" s="40">
        <f t="shared" si="110"/>
        <v>388734.69543819205</v>
      </c>
      <c r="AY53" s="40">
        <f t="shared" si="110"/>
        <v>388734.69543819205</v>
      </c>
      <c r="AZ53" s="40">
        <f t="shared" si="110"/>
        <v>388734.69543819205</v>
      </c>
      <c r="BA53" s="40">
        <f t="shared" si="110"/>
        <v>388734.69543819205</v>
      </c>
      <c r="BB53" s="40">
        <f t="shared" si="110"/>
        <v>388734.69543819205</v>
      </c>
      <c r="BC53" s="40">
        <f t="shared" si="110"/>
        <v>388734.69543819205</v>
      </c>
      <c r="BD53" s="40">
        <f t="shared" si="110"/>
        <v>388734.69543819205</v>
      </c>
      <c r="BE53" s="40">
        <f t="shared" si="110"/>
        <v>388734.69543819205</v>
      </c>
      <c r="BF53" s="40">
        <f t="shared" si="110"/>
        <v>388734.69543819205</v>
      </c>
      <c r="BG53" s="40">
        <f t="shared" si="110"/>
        <v>388734.69543819205</v>
      </c>
      <c r="BH53" s="40">
        <f t="shared" si="110"/>
        <v>388734.69543819205</v>
      </c>
      <c r="BI53" s="40">
        <f t="shared" si="110"/>
        <v>388734.69543819205</v>
      </c>
      <c r="BJ53" s="40">
        <f t="shared" si="110"/>
        <v>388734.69543819205</v>
      </c>
      <c r="BK53" s="40">
        <f t="shared" si="110"/>
        <v>388734.69543819205</v>
      </c>
      <c r="BL53" s="40">
        <f t="shared" si="110"/>
        <v>388734.69543819205</v>
      </c>
      <c r="BM53" s="40">
        <f t="shared" si="110"/>
        <v>388734.69543819205</v>
      </c>
      <c r="BN53" s="40">
        <f t="shared" si="110"/>
        <v>388734.69543819205</v>
      </c>
      <c r="BO53" s="40">
        <f t="shared" si="110"/>
        <v>388734.69543819205</v>
      </c>
      <c r="BP53" s="40">
        <f t="shared" si="110"/>
        <v>388734.69543819205</v>
      </c>
      <c r="BQ53" s="40">
        <f t="shared" si="110"/>
        <v>388734.69543819205</v>
      </c>
      <c r="BR53" s="40">
        <f t="shared" si="110"/>
        <v>388734.69543819205</v>
      </c>
      <c r="BS53" s="40">
        <f t="shared" si="110"/>
        <v>388734.69543819205</v>
      </c>
      <c r="BT53" s="40">
        <f t="shared" ref="BT53:EE53" si="111">IF(BT$7&lt;=$F$5,BS55,0)</f>
        <v>388734.69543819205</v>
      </c>
      <c r="BU53" s="40">
        <f t="shared" si="111"/>
        <v>388734.69543819205</v>
      </c>
      <c r="BV53" s="40">
        <f t="shared" si="111"/>
        <v>388734.69543819205</v>
      </c>
      <c r="BW53" s="40">
        <f t="shared" si="111"/>
        <v>388734.69543819205</v>
      </c>
      <c r="BX53" s="40">
        <f t="shared" si="111"/>
        <v>388734.69543819205</v>
      </c>
      <c r="BY53" s="40">
        <f t="shared" si="111"/>
        <v>388734.69543819205</v>
      </c>
      <c r="BZ53" s="40">
        <f t="shared" si="111"/>
        <v>388734.69543819205</v>
      </c>
      <c r="CA53" s="40">
        <f t="shared" si="111"/>
        <v>388734.69543819205</v>
      </c>
      <c r="CB53" s="40">
        <f t="shared" si="111"/>
        <v>388734.69543819205</v>
      </c>
      <c r="CC53" s="40">
        <f t="shared" si="111"/>
        <v>388734.69543819205</v>
      </c>
      <c r="CD53" s="40">
        <f t="shared" si="111"/>
        <v>388734.69543819205</v>
      </c>
      <c r="CE53" s="40">
        <f t="shared" si="111"/>
        <v>388734.69543819205</v>
      </c>
      <c r="CF53" s="40">
        <f t="shared" si="111"/>
        <v>388734.69543819205</v>
      </c>
      <c r="CG53" s="40">
        <f t="shared" si="111"/>
        <v>388734.69543819205</v>
      </c>
      <c r="CH53" s="40">
        <f t="shared" si="111"/>
        <v>388734.69543819205</v>
      </c>
      <c r="CI53" s="40">
        <f t="shared" si="111"/>
        <v>388734.69543819205</v>
      </c>
      <c r="CJ53" s="40">
        <f t="shared" si="111"/>
        <v>388734.69543819205</v>
      </c>
      <c r="CK53" s="40">
        <f t="shared" si="111"/>
        <v>388734.69543819205</v>
      </c>
      <c r="CL53" s="40">
        <f t="shared" si="111"/>
        <v>388734.69543819205</v>
      </c>
      <c r="CM53" s="40">
        <f t="shared" si="111"/>
        <v>388734.69543819205</v>
      </c>
      <c r="CN53" s="40">
        <f t="shared" si="111"/>
        <v>388734.69543819205</v>
      </c>
      <c r="CO53" s="40">
        <f t="shared" si="111"/>
        <v>388734.69543819205</v>
      </c>
      <c r="CP53" s="40">
        <f t="shared" si="111"/>
        <v>388734.69543819205</v>
      </c>
      <c r="CQ53" s="40">
        <f t="shared" si="111"/>
        <v>388734.69543819205</v>
      </c>
      <c r="CR53" s="40">
        <f t="shared" si="111"/>
        <v>388734.69543819205</v>
      </c>
      <c r="CS53" s="40">
        <f t="shared" si="111"/>
        <v>388734.69543819205</v>
      </c>
      <c r="CT53" s="40">
        <f t="shared" si="111"/>
        <v>388734.69543819205</v>
      </c>
      <c r="CU53" s="40">
        <f t="shared" si="111"/>
        <v>388734.69543819205</v>
      </c>
      <c r="CV53" s="40">
        <f t="shared" si="111"/>
        <v>388734.69543819205</v>
      </c>
      <c r="CW53" s="40">
        <f t="shared" si="111"/>
        <v>388734.69543819205</v>
      </c>
      <c r="CX53" s="40">
        <f t="shared" si="111"/>
        <v>388734.69543819205</v>
      </c>
      <c r="CY53" s="40">
        <f t="shared" si="111"/>
        <v>388734.69543819205</v>
      </c>
      <c r="CZ53" s="40">
        <f t="shared" si="111"/>
        <v>388734.69543819205</v>
      </c>
      <c r="DA53" s="40">
        <f t="shared" si="111"/>
        <v>388734.69543819205</v>
      </c>
      <c r="DB53" s="40">
        <f t="shared" si="111"/>
        <v>388734.69543819205</v>
      </c>
      <c r="DC53" s="40">
        <f t="shared" si="111"/>
        <v>388734.69543819205</v>
      </c>
      <c r="DD53" s="40">
        <f t="shared" si="111"/>
        <v>388734.69543819205</v>
      </c>
      <c r="DE53" s="40">
        <f t="shared" si="111"/>
        <v>388734.69543819205</v>
      </c>
      <c r="DF53" s="40">
        <f t="shared" si="111"/>
        <v>388734.69543819205</v>
      </c>
      <c r="DG53" s="40">
        <f t="shared" si="111"/>
        <v>388734.69543819205</v>
      </c>
      <c r="DH53" s="40">
        <f t="shared" si="111"/>
        <v>388734.69543819205</v>
      </c>
      <c r="DI53" s="40">
        <f t="shared" si="111"/>
        <v>388734.69543819205</v>
      </c>
      <c r="DJ53" s="40">
        <f t="shared" si="111"/>
        <v>388734.69543819205</v>
      </c>
      <c r="DK53" s="40">
        <f t="shared" si="111"/>
        <v>388734.69543819205</v>
      </c>
      <c r="DL53" s="40">
        <f t="shared" si="111"/>
        <v>388734.69543819205</v>
      </c>
      <c r="DM53" s="40">
        <f t="shared" si="111"/>
        <v>388734.69543819205</v>
      </c>
      <c r="DN53" s="40">
        <f t="shared" si="111"/>
        <v>388734.69543819205</v>
      </c>
      <c r="DO53" s="40">
        <f t="shared" si="111"/>
        <v>388734.69543819205</v>
      </c>
      <c r="DP53" s="40">
        <f t="shared" si="111"/>
        <v>388734.69543819205</v>
      </c>
      <c r="DQ53" s="40">
        <f t="shared" si="111"/>
        <v>388734.69543819205</v>
      </c>
      <c r="DR53" s="40">
        <f t="shared" si="111"/>
        <v>388734.69543819205</v>
      </c>
      <c r="DS53" s="40">
        <f t="shared" si="111"/>
        <v>388734.69543819205</v>
      </c>
      <c r="DT53" s="40">
        <f t="shared" si="111"/>
        <v>388734.69543819205</v>
      </c>
      <c r="DU53" s="40">
        <f t="shared" si="111"/>
        <v>388734.69543819205</v>
      </c>
      <c r="DV53" s="40">
        <f t="shared" si="111"/>
        <v>388734.69543819205</v>
      </c>
      <c r="DW53" s="40">
        <f t="shared" si="111"/>
        <v>388734.69543819205</v>
      </c>
      <c r="DX53" s="40">
        <f t="shared" si="111"/>
        <v>388734.69543819205</v>
      </c>
      <c r="DY53" s="40">
        <f t="shared" si="111"/>
        <v>388734.69543819205</v>
      </c>
      <c r="DZ53" s="40">
        <f t="shared" si="111"/>
        <v>388734.69543819205</v>
      </c>
      <c r="EA53" s="40">
        <f t="shared" si="111"/>
        <v>388734.69543819205</v>
      </c>
      <c r="EB53" s="40">
        <f t="shared" si="111"/>
        <v>388734.69543819205</v>
      </c>
      <c r="EC53" s="40">
        <f t="shared" si="111"/>
        <v>388734.69543819205</v>
      </c>
      <c r="ED53" s="40">
        <f t="shared" si="111"/>
        <v>388734.69543819205</v>
      </c>
      <c r="EE53" s="40">
        <f t="shared" si="111"/>
        <v>388734.69543819205</v>
      </c>
      <c r="EF53" s="40">
        <f t="shared" ref="EF53:GQ53" si="112">IF(EF$7&lt;=$F$5,EE55,0)</f>
        <v>388734.69543819205</v>
      </c>
      <c r="EG53" s="40">
        <f t="shared" si="112"/>
        <v>388734.69543819205</v>
      </c>
      <c r="EH53" s="40">
        <f t="shared" si="112"/>
        <v>388734.69543819205</v>
      </c>
      <c r="EI53" s="40">
        <f t="shared" si="112"/>
        <v>388734.69543819205</v>
      </c>
      <c r="EJ53" s="40">
        <f t="shared" si="112"/>
        <v>388734.69543819205</v>
      </c>
      <c r="EK53" s="40">
        <f t="shared" si="112"/>
        <v>388734.69543819205</v>
      </c>
      <c r="EL53" s="40">
        <f t="shared" si="112"/>
        <v>388734.69543819205</v>
      </c>
      <c r="EM53" s="40">
        <f t="shared" si="112"/>
        <v>388734.69543819205</v>
      </c>
      <c r="EN53" s="40">
        <f t="shared" si="112"/>
        <v>388734.69543819205</v>
      </c>
      <c r="EO53" s="40">
        <f t="shared" si="112"/>
        <v>388734.69543819205</v>
      </c>
      <c r="EP53" s="40">
        <f t="shared" si="112"/>
        <v>388734.69543819205</v>
      </c>
      <c r="EQ53" s="40">
        <f t="shared" si="112"/>
        <v>388734.69543819205</v>
      </c>
      <c r="ER53" s="40">
        <f t="shared" si="112"/>
        <v>388734.69543819205</v>
      </c>
      <c r="ES53" s="40">
        <f t="shared" si="112"/>
        <v>388734.69543819205</v>
      </c>
      <c r="ET53" s="40">
        <f t="shared" si="112"/>
        <v>388734.69543819205</v>
      </c>
      <c r="EU53" s="40">
        <f t="shared" si="112"/>
        <v>388734.69543819205</v>
      </c>
      <c r="EV53" s="40">
        <f t="shared" si="112"/>
        <v>388734.69543819205</v>
      </c>
      <c r="EW53" s="40">
        <f t="shared" si="112"/>
        <v>388734.69543819205</v>
      </c>
      <c r="EX53" s="40">
        <f t="shared" si="112"/>
        <v>388734.69543819205</v>
      </c>
      <c r="EY53" s="40">
        <f t="shared" si="112"/>
        <v>388734.69543819205</v>
      </c>
      <c r="EZ53" s="40">
        <f t="shared" si="112"/>
        <v>388734.69543819205</v>
      </c>
      <c r="FA53" s="40">
        <f t="shared" si="112"/>
        <v>388734.69543819205</v>
      </c>
      <c r="FB53" s="40">
        <f t="shared" si="112"/>
        <v>388734.69543819205</v>
      </c>
      <c r="FC53" s="40">
        <f t="shared" si="112"/>
        <v>388734.69543819205</v>
      </c>
      <c r="FD53" s="40">
        <f t="shared" si="112"/>
        <v>388734.69543819205</v>
      </c>
      <c r="FE53" s="40">
        <f t="shared" si="112"/>
        <v>388734.69543819205</v>
      </c>
      <c r="FF53" s="40">
        <f t="shared" si="112"/>
        <v>388734.69543819205</v>
      </c>
      <c r="FG53" s="40">
        <f t="shared" si="112"/>
        <v>388734.69543819205</v>
      </c>
      <c r="FH53" s="40">
        <f t="shared" si="112"/>
        <v>388734.69543819205</v>
      </c>
      <c r="FI53" s="40">
        <f t="shared" si="112"/>
        <v>388734.69543819205</v>
      </c>
      <c r="FJ53" s="40">
        <f t="shared" si="112"/>
        <v>388734.69543819205</v>
      </c>
      <c r="FK53" s="40">
        <f t="shared" si="112"/>
        <v>388734.69543819205</v>
      </c>
      <c r="FL53" s="40">
        <f t="shared" si="112"/>
        <v>388734.69543819205</v>
      </c>
      <c r="FM53" s="40">
        <f t="shared" si="112"/>
        <v>388734.69543819205</v>
      </c>
      <c r="FN53" s="40">
        <f t="shared" si="112"/>
        <v>388734.69543819205</v>
      </c>
      <c r="FO53" s="40">
        <f t="shared" si="112"/>
        <v>388734.69543819205</v>
      </c>
      <c r="FP53" s="40">
        <f t="shared" si="112"/>
        <v>388734.69543819205</v>
      </c>
      <c r="FQ53" s="40">
        <f t="shared" si="112"/>
        <v>388734.69543819205</v>
      </c>
      <c r="FR53" s="40">
        <f t="shared" si="112"/>
        <v>388734.69543819205</v>
      </c>
      <c r="FS53" s="40">
        <f t="shared" si="112"/>
        <v>388734.69543819205</v>
      </c>
      <c r="FT53" s="40">
        <f t="shared" si="112"/>
        <v>388734.69543819205</v>
      </c>
      <c r="FU53" s="40">
        <f t="shared" si="112"/>
        <v>388734.69543819205</v>
      </c>
      <c r="FV53" s="40">
        <f t="shared" si="112"/>
        <v>388734.69543819205</v>
      </c>
      <c r="FW53" s="40">
        <f t="shared" si="112"/>
        <v>388734.69543819205</v>
      </c>
      <c r="FX53" s="40">
        <f t="shared" si="112"/>
        <v>388734.69543819205</v>
      </c>
      <c r="FY53" s="40">
        <f t="shared" si="112"/>
        <v>388734.69543819205</v>
      </c>
      <c r="FZ53" s="40">
        <f t="shared" si="112"/>
        <v>388734.69543819205</v>
      </c>
      <c r="GA53" s="40">
        <f t="shared" si="112"/>
        <v>388734.69543819205</v>
      </c>
      <c r="GB53" s="40">
        <f t="shared" si="112"/>
        <v>367938.25307796831</v>
      </c>
      <c r="GC53" s="40">
        <f t="shared" si="112"/>
        <v>347141.81071774452</v>
      </c>
      <c r="GD53" s="40">
        <f t="shared" si="112"/>
        <v>326345.36835752073</v>
      </c>
      <c r="GE53" s="40">
        <f t="shared" si="112"/>
        <v>0</v>
      </c>
      <c r="GF53" s="40">
        <f t="shared" si="112"/>
        <v>0</v>
      </c>
      <c r="GG53" s="40">
        <f t="shared" si="112"/>
        <v>0</v>
      </c>
      <c r="GH53" s="40">
        <f t="shared" si="112"/>
        <v>0</v>
      </c>
      <c r="GI53" s="40">
        <f t="shared" si="112"/>
        <v>0</v>
      </c>
      <c r="GJ53" s="40">
        <f t="shared" si="112"/>
        <v>0</v>
      </c>
      <c r="GK53" s="40">
        <f t="shared" si="112"/>
        <v>0</v>
      </c>
      <c r="GL53" s="40">
        <f t="shared" si="112"/>
        <v>0</v>
      </c>
      <c r="GM53" s="40">
        <f t="shared" si="112"/>
        <v>0</v>
      </c>
      <c r="GN53" s="40">
        <f t="shared" si="112"/>
        <v>0</v>
      </c>
      <c r="GO53" s="40">
        <f t="shared" si="112"/>
        <v>0</v>
      </c>
      <c r="GP53" s="40">
        <f t="shared" si="112"/>
        <v>0</v>
      </c>
      <c r="GQ53" s="40">
        <f t="shared" si="112"/>
        <v>0</v>
      </c>
      <c r="GR53" s="40">
        <f t="shared" ref="GR53:JC53" si="113">IF(GR$7&lt;=$F$5,GQ55,0)</f>
        <v>0</v>
      </c>
      <c r="GS53" s="40">
        <f t="shared" si="113"/>
        <v>0</v>
      </c>
      <c r="GT53" s="40">
        <f t="shared" si="113"/>
        <v>0</v>
      </c>
      <c r="GU53" s="40">
        <f t="shared" si="113"/>
        <v>0</v>
      </c>
      <c r="GV53" s="40">
        <f t="shared" si="113"/>
        <v>0</v>
      </c>
      <c r="GW53" s="40">
        <f t="shared" si="113"/>
        <v>0</v>
      </c>
      <c r="GX53" s="40">
        <f t="shared" si="113"/>
        <v>0</v>
      </c>
      <c r="GY53" s="40">
        <f t="shared" si="113"/>
        <v>0</v>
      </c>
      <c r="GZ53" s="40">
        <f t="shared" si="113"/>
        <v>0</v>
      </c>
      <c r="HA53" s="40">
        <f t="shared" si="113"/>
        <v>0</v>
      </c>
      <c r="HB53" s="40">
        <f t="shared" si="113"/>
        <v>0</v>
      </c>
      <c r="HC53" s="40">
        <f t="shared" si="113"/>
        <v>0</v>
      </c>
      <c r="HD53" s="40">
        <f t="shared" si="113"/>
        <v>0</v>
      </c>
      <c r="HE53" s="40">
        <f t="shared" si="113"/>
        <v>0</v>
      </c>
      <c r="HF53" s="40">
        <f t="shared" si="113"/>
        <v>0</v>
      </c>
      <c r="HG53" s="40">
        <f t="shared" si="113"/>
        <v>0</v>
      </c>
      <c r="HH53" s="40">
        <f t="shared" si="113"/>
        <v>0</v>
      </c>
      <c r="HI53" s="40">
        <f t="shared" si="113"/>
        <v>0</v>
      </c>
      <c r="HJ53" s="40">
        <f t="shared" si="113"/>
        <v>0</v>
      </c>
      <c r="HK53" s="40">
        <f t="shared" si="113"/>
        <v>0</v>
      </c>
      <c r="HL53" s="40">
        <f t="shared" si="113"/>
        <v>0</v>
      </c>
      <c r="HM53" s="40">
        <f t="shared" si="113"/>
        <v>0</v>
      </c>
      <c r="HN53" s="40">
        <f t="shared" si="113"/>
        <v>0</v>
      </c>
      <c r="HO53" s="40">
        <f t="shared" si="113"/>
        <v>0</v>
      </c>
      <c r="HP53" s="40">
        <f t="shared" si="113"/>
        <v>0</v>
      </c>
      <c r="HQ53" s="40">
        <f t="shared" si="113"/>
        <v>0</v>
      </c>
      <c r="HR53" s="40">
        <f t="shared" si="113"/>
        <v>0</v>
      </c>
      <c r="HS53" s="40">
        <f t="shared" si="113"/>
        <v>0</v>
      </c>
      <c r="HT53" s="40">
        <f t="shared" si="113"/>
        <v>0</v>
      </c>
      <c r="HU53" s="40">
        <f t="shared" si="113"/>
        <v>0</v>
      </c>
      <c r="HV53" s="40">
        <f t="shared" si="113"/>
        <v>0</v>
      </c>
      <c r="HW53" s="40">
        <f t="shared" si="113"/>
        <v>0</v>
      </c>
      <c r="HX53" s="40">
        <f t="shared" si="113"/>
        <v>0</v>
      </c>
      <c r="HY53" s="40">
        <f t="shared" si="113"/>
        <v>0</v>
      </c>
      <c r="HZ53" s="40">
        <f t="shared" si="113"/>
        <v>0</v>
      </c>
      <c r="IA53" s="40">
        <f t="shared" si="113"/>
        <v>0</v>
      </c>
      <c r="IB53" s="40">
        <f t="shared" si="113"/>
        <v>0</v>
      </c>
      <c r="IC53" s="40">
        <f t="shared" si="113"/>
        <v>0</v>
      </c>
      <c r="ID53" s="40">
        <f t="shared" si="113"/>
        <v>0</v>
      </c>
      <c r="IE53" s="40">
        <f t="shared" si="113"/>
        <v>0</v>
      </c>
      <c r="IF53" s="40">
        <f t="shared" si="113"/>
        <v>0</v>
      </c>
      <c r="IG53" s="40">
        <f t="shared" si="113"/>
        <v>0</v>
      </c>
      <c r="IH53" s="40">
        <f t="shared" si="113"/>
        <v>0</v>
      </c>
      <c r="II53" s="40">
        <f t="shared" si="113"/>
        <v>0</v>
      </c>
      <c r="IJ53" s="40">
        <f t="shared" si="113"/>
        <v>0</v>
      </c>
      <c r="IK53" s="40">
        <f t="shared" si="113"/>
        <v>0</v>
      </c>
      <c r="IL53" s="40">
        <f t="shared" si="113"/>
        <v>0</v>
      </c>
      <c r="IM53" s="40">
        <f t="shared" si="113"/>
        <v>0</v>
      </c>
      <c r="IN53" s="40">
        <f t="shared" si="113"/>
        <v>0</v>
      </c>
      <c r="IO53" s="40">
        <f t="shared" si="113"/>
        <v>0</v>
      </c>
      <c r="IP53" s="40">
        <f t="shared" si="113"/>
        <v>0</v>
      </c>
      <c r="IQ53" s="40">
        <f t="shared" si="113"/>
        <v>0</v>
      </c>
      <c r="IR53" s="40">
        <f t="shared" si="113"/>
        <v>0</v>
      </c>
      <c r="IS53" s="40">
        <f t="shared" si="113"/>
        <v>0</v>
      </c>
      <c r="IT53" s="40">
        <f t="shared" si="113"/>
        <v>0</v>
      </c>
      <c r="IU53" s="40">
        <f t="shared" si="113"/>
        <v>0</v>
      </c>
      <c r="IV53" s="40">
        <f t="shared" si="113"/>
        <v>0</v>
      </c>
      <c r="IW53" s="40">
        <f t="shared" si="113"/>
        <v>0</v>
      </c>
      <c r="IX53" s="40">
        <f t="shared" si="113"/>
        <v>0</v>
      </c>
      <c r="IY53" s="40">
        <f t="shared" si="113"/>
        <v>0</v>
      </c>
      <c r="IZ53" s="40">
        <f t="shared" si="113"/>
        <v>0</v>
      </c>
      <c r="JA53" s="40">
        <f t="shared" si="113"/>
        <v>0</v>
      </c>
      <c r="JB53" s="40">
        <f t="shared" si="113"/>
        <v>0</v>
      </c>
      <c r="JC53" s="40">
        <f t="shared" si="113"/>
        <v>0</v>
      </c>
      <c r="JD53" s="40">
        <f t="shared" ref="JD53:LO53" si="114">IF(JD$7&lt;=$F$5,JC55,0)</f>
        <v>0</v>
      </c>
      <c r="JE53" s="40">
        <f t="shared" si="114"/>
        <v>0</v>
      </c>
      <c r="JF53" s="40">
        <f t="shared" si="114"/>
        <v>0</v>
      </c>
      <c r="JG53" s="40">
        <f t="shared" si="114"/>
        <v>0</v>
      </c>
      <c r="JH53" s="40">
        <f t="shared" si="114"/>
        <v>0</v>
      </c>
      <c r="JI53" s="40">
        <f t="shared" si="114"/>
        <v>0</v>
      </c>
      <c r="JJ53" s="40">
        <f t="shared" si="114"/>
        <v>0</v>
      </c>
      <c r="JK53" s="40">
        <f t="shared" si="114"/>
        <v>0</v>
      </c>
      <c r="JL53" s="40">
        <f t="shared" si="114"/>
        <v>0</v>
      </c>
      <c r="JM53" s="40">
        <f t="shared" si="114"/>
        <v>0</v>
      </c>
      <c r="JN53" s="40">
        <f t="shared" si="114"/>
        <v>0</v>
      </c>
      <c r="JO53" s="40">
        <f t="shared" si="114"/>
        <v>0</v>
      </c>
      <c r="JP53" s="40">
        <f t="shared" si="114"/>
        <v>0</v>
      </c>
      <c r="JQ53" s="40">
        <f t="shared" si="114"/>
        <v>0</v>
      </c>
      <c r="JR53" s="40">
        <f t="shared" si="114"/>
        <v>0</v>
      </c>
      <c r="JS53" s="40">
        <f t="shared" si="114"/>
        <v>0</v>
      </c>
      <c r="JT53" s="40">
        <f t="shared" si="114"/>
        <v>0</v>
      </c>
      <c r="JU53" s="40">
        <f t="shared" si="114"/>
        <v>0</v>
      </c>
      <c r="JV53" s="40">
        <f t="shared" si="114"/>
        <v>0</v>
      </c>
      <c r="JW53" s="40">
        <f t="shared" si="114"/>
        <v>0</v>
      </c>
      <c r="JX53" s="40">
        <f t="shared" si="114"/>
        <v>0</v>
      </c>
      <c r="JY53" s="40">
        <f t="shared" si="114"/>
        <v>0</v>
      </c>
      <c r="JZ53" s="40">
        <f t="shared" si="114"/>
        <v>0</v>
      </c>
      <c r="KA53" s="40">
        <f t="shared" si="114"/>
        <v>0</v>
      </c>
      <c r="KB53" s="40">
        <f t="shared" si="114"/>
        <v>0</v>
      </c>
      <c r="KC53" s="40">
        <f t="shared" si="114"/>
        <v>0</v>
      </c>
      <c r="KD53" s="40">
        <f t="shared" si="114"/>
        <v>0</v>
      </c>
      <c r="KE53" s="40">
        <f t="shared" si="114"/>
        <v>0</v>
      </c>
      <c r="KF53" s="40">
        <f t="shared" si="114"/>
        <v>0</v>
      </c>
      <c r="KG53" s="40">
        <f t="shared" si="114"/>
        <v>0</v>
      </c>
      <c r="KH53" s="40">
        <f t="shared" si="114"/>
        <v>0</v>
      </c>
      <c r="KI53" s="40">
        <f t="shared" si="114"/>
        <v>0</v>
      </c>
      <c r="KJ53" s="40">
        <f t="shared" si="114"/>
        <v>0</v>
      </c>
      <c r="KK53" s="40">
        <f t="shared" si="114"/>
        <v>0</v>
      </c>
      <c r="KL53" s="40">
        <f t="shared" si="114"/>
        <v>0</v>
      </c>
      <c r="KM53" s="40">
        <f t="shared" si="114"/>
        <v>0</v>
      </c>
      <c r="KN53" s="40">
        <f t="shared" si="114"/>
        <v>0</v>
      </c>
      <c r="KO53" s="40">
        <f t="shared" si="114"/>
        <v>0</v>
      </c>
      <c r="KP53" s="40">
        <f t="shared" si="114"/>
        <v>0</v>
      </c>
      <c r="KQ53" s="40">
        <f t="shared" si="114"/>
        <v>0</v>
      </c>
      <c r="KR53" s="40">
        <f t="shared" si="114"/>
        <v>0</v>
      </c>
      <c r="KS53" s="40">
        <f t="shared" si="114"/>
        <v>0</v>
      </c>
      <c r="KT53" s="40">
        <f t="shared" si="114"/>
        <v>0</v>
      </c>
      <c r="KU53" s="40">
        <f t="shared" si="114"/>
        <v>0</v>
      </c>
      <c r="KV53" s="40">
        <f t="shared" si="114"/>
        <v>0</v>
      </c>
      <c r="KW53" s="40">
        <f t="shared" si="114"/>
        <v>0</v>
      </c>
      <c r="KX53" s="40">
        <f t="shared" si="114"/>
        <v>0</v>
      </c>
      <c r="KY53" s="40">
        <f t="shared" si="114"/>
        <v>0</v>
      </c>
      <c r="KZ53" s="40">
        <f t="shared" si="114"/>
        <v>0</v>
      </c>
      <c r="LA53" s="40">
        <f t="shared" si="114"/>
        <v>0</v>
      </c>
      <c r="LB53" s="40">
        <f t="shared" si="114"/>
        <v>0</v>
      </c>
      <c r="LC53" s="40">
        <f t="shared" si="114"/>
        <v>0</v>
      </c>
      <c r="LD53" s="40">
        <f t="shared" si="114"/>
        <v>0</v>
      </c>
      <c r="LE53" s="40">
        <f t="shared" si="114"/>
        <v>0</v>
      </c>
      <c r="LF53" s="40">
        <f t="shared" si="114"/>
        <v>0</v>
      </c>
      <c r="LG53" s="40">
        <f t="shared" si="114"/>
        <v>0</v>
      </c>
      <c r="LH53" s="40">
        <f t="shared" si="114"/>
        <v>0</v>
      </c>
      <c r="LI53" s="40">
        <f t="shared" si="114"/>
        <v>0</v>
      </c>
      <c r="LJ53" s="40">
        <f t="shared" si="114"/>
        <v>0</v>
      </c>
      <c r="LK53" s="40">
        <f t="shared" si="114"/>
        <v>0</v>
      </c>
      <c r="LL53" s="40">
        <f t="shared" si="114"/>
        <v>0</v>
      </c>
      <c r="LM53" s="40">
        <f t="shared" si="114"/>
        <v>0</v>
      </c>
      <c r="LN53" s="40">
        <f t="shared" si="114"/>
        <v>0</v>
      </c>
      <c r="LO53" s="40">
        <f t="shared" si="114"/>
        <v>0</v>
      </c>
      <c r="LP53" s="40">
        <f t="shared" ref="LP53:NB53" si="115">IF(LP$7&lt;=$F$5,LO55,0)</f>
        <v>0</v>
      </c>
      <c r="LQ53" s="40">
        <f t="shared" si="115"/>
        <v>0</v>
      </c>
      <c r="LR53" s="40">
        <f t="shared" si="115"/>
        <v>0</v>
      </c>
      <c r="LS53" s="40">
        <f t="shared" si="115"/>
        <v>0</v>
      </c>
      <c r="LT53" s="40">
        <f t="shared" si="115"/>
        <v>0</v>
      </c>
      <c r="LU53" s="40">
        <f t="shared" si="115"/>
        <v>0</v>
      </c>
      <c r="LV53" s="40">
        <f t="shared" si="115"/>
        <v>0</v>
      </c>
      <c r="LW53" s="40">
        <f t="shared" si="115"/>
        <v>0</v>
      </c>
      <c r="LX53" s="40">
        <f t="shared" si="115"/>
        <v>0</v>
      </c>
      <c r="LY53" s="40">
        <f t="shared" si="115"/>
        <v>0</v>
      </c>
      <c r="LZ53" s="40">
        <f t="shared" si="115"/>
        <v>0</v>
      </c>
      <c r="MA53" s="40">
        <f t="shared" si="115"/>
        <v>0</v>
      </c>
      <c r="MB53" s="40">
        <f t="shared" si="115"/>
        <v>0</v>
      </c>
      <c r="MC53" s="40">
        <f t="shared" si="115"/>
        <v>0</v>
      </c>
      <c r="MD53" s="40">
        <f t="shared" si="115"/>
        <v>0</v>
      </c>
      <c r="ME53" s="40">
        <f t="shared" si="115"/>
        <v>0</v>
      </c>
      <c r="MF53" s="40">
        <f t="shared" si="115"/>
        <v>0</v>
      </c>
      <c r="MG53" s="40">
        <f t="shared" si="115"/>
        <v>0</v>
      </c>
      <c r="MH53" s="40">
        <f t="shared" si="115"/>
        <v>0</v>
      </c>
      <c r="MI53" s="40">
        <f t="shared" si="115"/>
        <v>0</v>
      </c>
      <c r="MJ53" s="40">
        <f t="shared" si="115"/>
        <v>0</v>
      </c>
      <c r="MK53" s="40">
        <f t="shared" si="115"/>
        <v>0</v>
      </c>
      <c r="ML53" s="40">
        <f t="shared" si="115"/>
        <v>0</v>
      </c>
      <c r="MM53" s="40">
        <f t="shared" si="115"/>
        <v>0</v>
      </c>
      <c r="MN53" s="40">
        <f t="shared" si="115"/>
        <v>0</v>
      </c>
      <c r="MO53" s="40">
        <f t="shared" si="115"/>
        <v>0</v>
      </c>
      <c r="MP53" s="40">
        <f t="shared" si="115"/>
        <v>0</v>
      </c>
      <c r="MQ53" s="40">
        <f t="shared" si="115"/>
        <v>0</v>
      </c>
      <c r="MR53" s="40">
        <f t="shared" si="115"/>
        <v>0</v>
      </c>
      <c r="MS53" s="40">
        <f t="shared" si="115"/>
        <v>0</v>
      </c>
      <c r="MT53" s="40">
        <f t="shared" si="115"/>
        <v>0</v>
      </c>
      <c r="MU53" s="40">
        <f t="shared" si="115"/>
        <v>0</v>
      </c>
      <c r="MV53" s="40">
        <f t="shared" si="115"/>
        <v>0</v>
      </c>
      <c r="MW53" s="40">
        <f t="shared" si="115"/>
        <v>0</v>
      </c>
      <c r="MX53" s="40">
        <f t="shared" si="115"/>
        <v>0</v>
      </c>
      <c r="MY53" s="40">
        <f t="shared" si="115"/>
        <v>0</v>
      </c>
      <c r="MZ53" s="40">
        <f t="shared" si="115"/>
        <v>0</v>
      </c>
      <c r="NA53" s="40">
        <f t="shared" si="115"/>
        <v>0</v>
      </c>
      <c r="NB53" s="40">
        <f t="shared" si="115"/>
        <v>0</v>
      </c>
      <c r="NC53" s="40"/>
    </row>
    <row r="54" spans="2:367" x14ac:dyDescent="0.15">
      <c r="B54" s="45" t="s">
        <v>336</v>
      </c>
      <c r="C54" s="45"/>
      <c r="F54" s="40">
        <f>MIN(F46+F49,F53)</f>
        <v>0</v>
      </c>
      <c r="G54" s="40">
        <f t="shared" ref="G54:BR54" si="116">MIN(G46+G49,G53)</f>
        <v>29011.94948534578</v>
      </c>
      <c r="H54" s="40">
        <f t="shared" si="116"/>
        <v>29011.94948534578</v>
      </c>
      <c r="I54" s="40">
        <f t="shared" si="116"/>
        <v>29011.94948534578</v>
      </c>
      <c r="J54" s="40">
        <f t="shared" si="116"/>
        <v>2140.3272270124435</v>
      </c>
      <c r="K54" s="40">
        <f t="shared" si="116"/>
        <v>2140.3272270124435</v>
      </c>
      <c r="L54" s="431">
        <f t="shared" si="116"/>
        <v>2140.3272270124435</v>
      </c>
      <c r="M54" s="40">
        <f t="shared" si="116"/>
        <v>2292.3787270124449</v>
      </c>
      <c r="N54" s="40">
        <f t="shared" si="116"/>
        <v>2292.3787270124449</v>
      </c>
      <c r="O54" s="40">
        <f t="shared" si="116"/>
        <v>2292.3787270124449</v>
      </c>
      <c r="P54" s="40">
        <f t="shared" si="116"/>
        <v>2292.3787270124449</v>
      </c>
      <c r="Q54" s="40">
        <f t="shared" si="116"/>
        <v>2292.3787270124449</v>
      </c>
      <c r="R54" s="40">
        <f t="shared" si="116"/>
        <v>2292.3787270124449</v>
      </c>
      <c r="S54" s="40">
        <f t="shared" si="116"/>
        <v>1432.5293951791173</v>
      </c>
      <c r="T54" s="40">
        <f t="shared" si="116"/>
        <v>1432.5293951791173</v>
      </c>
      <c r="U54" s="40">
        <f t="shared" si="116"/>
        <v>1432.5293951791173</v>
      </c>
      <c r="V54" s="40">
        <f t="shared" si="116"/>
        <v>1432.5293951791173</v>
      </c>
      <c r="W54" s="40">
        <f t="shared" si="116"/>
        <v>1432.5293951791173</v>
      </c>
      <c r="X54" s="40">
        <f t="shared" si="116"/>
        <v>1432.5293951791173</v>
      </c>
      <c r="Y54" s="40">
        <f t="shared" si="116"/>
        <v>1432.5293951791173</v>
      </c>
      <c r="Z54" s="40">
        <f t="shared" si="116"/>
        <v>1432.5293951791173</v>
      </c>
      <c r="AA54" s="40">
        <f t="shared" si="116"/>
        <v>1432.5293951791173</v>
      </c>
      <c r="AB54" s="40">
        <f t="shared" si="116"/>
        <v>1432.5293951791173</v>
      </c>
      <c r="AC54" s="40">
        <f t="shared" si="116"/>
        <v>1432.5293951791173</v>
      </c>
      <c r="AD54" s="573">
        <f t="shared" si="116"/>
        <v>1432.5293951791173</v>
      </c>
      <c r="AE54" s="40">
        <f t="shared" si="116"/>
        <v>545.65411004245107</v>
      </c>
      <c r="AF54" s="40">
        <f t="shared" si="116"/>
        <v>545.65411004245107</v>
      </c>
      <c r="AG54" s="40">
        <f t="shared" si="116"/>
        <v>545.65411004245107</v>
      </c>
      <c r="AH54" s="40">
        <f t="shared" si="116"/>
        <v>545.65411004245107</v>
      </c>
      <c r="AI54" s="40">
        <f t="shared" si="116"/>
        <v>545.65411004245107</v>
      </c>
      <c r="AJ54" s="40">
        <f t="shared" si="116"/>
        <v>545.65411004245107</v>
      </c>
      <c r="AK54" s="40">
        <f t="shared" si="116"/>
        <v>545.65411004245107</v>
      </c>
      <c r="AL54" s="40">
        <f t="shared" si="116"/>
        <v>545.65411004245107</v>
      </c>
      <c r="AM54" s="40">
        <f t="shared" si="116"/>
        <v>545.65411004245107</v>
      </c>
      <c r="AN54" s="40">
        <f t="shared" si="116"/>
        <v>545.65411004245107</v>
      </c>
      <c r="AO54" s="40">
        <f t="shared" si="116"/>
        <v>545.65411004245107</v>
      </c>
      <c r="AP54" s="40">
        <f t="shared" si="116"/>
        <v>545.65411004245107</v>
      </c>
      <c r="AQ54" s="40">
        <f t="shared" si="116"/>
        <v>0</v>
      </c>
      <c r="AR54" s="40">
        <f t="shared" si="116"/>
        <v>0</v>
      </c>
      <c r="AS54" s="40">
        <f t="shared" si="116"/>
        <v>0</v>
      </c>
      <c r="AT54" s="40">
        <f t="shared" si="116"/>
        <v>0</v>
      </c>
      <c r="AU54" s="40">
        <f t="shared" si="116"/>
        <v>0</v>
      </c>
      <c r="AV54" s="40">
        <f t="shared" si="116"/>
        <v>0</v>
      </c>
      <c r="AW54" s="40">
        <f t="shared" si="116"/>
        <v>0</v>
      </c>
      <c r="AX54" s="40">
        <f t="shared" si="116"/>
        <v>0</v>
      </c>
      <c r="AY54" s="40">
        <f t="shared" si="116"/>
        <v>0</v>
      </c>
      <c r="AZ54" s="40">
        <f t="shared" si="116"/>
        <v>0</v>
      </c>
      <c r="BA54" s="40">
        <f t="shared" si="116"/>
        <v>0</v>
      </c>
      <c r="BB54" s="40">
        <f t="shared" si="116"/>
        <v>0</v>
      </c>
      <c r="BC54" s="40">
        <f t="shared" si="116"/>
        <v>0</v>
      </c>
      <c r="BD54" s="40">
        <f t="shared" si="116"/>
        <v>0</v>
      </c>
      <c r="BE54" s="40">
        <f t="shared" si="116"/>
        <v>0</v>
      </c>
      <c r="BF54" s="40">
        <f t="shared" si="116"/>
        <v>0</v>
      </c>
      <c r="BG54" s="40">
        <f t="shared" si="116"/>
        <v>0</v>
      </c>
      <c r="BH54" s="40">
        <f t="shared" si="116"/>
        <v>0</v>
      </c>
      <c r="BI54" s="40">
        <f t="shared" si="116"/>
        <v>0</v>
      </c>
      <c r="BJ54" s="40">
        <f t="shared" si="116"/>
        <v>0</v>
      </c>
      <c r="BK54" s="40">
        <f t="shared" si="116"/>
        <v>0</v>
      </c>
      <c r="BL54" s="40">
        <f t="shared" si="116"/>
        <v>0</v>
      </c>
      <c r="BM54" s="40">
        <f t="shared" si="116"/>
        <v>0</v>
      </c>
      <c r="BN54" s="40">
        <f t="shared" si="116"/>
        <v>0</v>
      </c>
      <c r="BO54" s="40">
        <f t="shared" si="116"/>
        <v>0</v>
      </c>
      <c r="BP54" s="40">
        <f t="shared" si="116"/>
        <v>0</v>
      </c>
      <c r="BQ54" s="40">
        <f t="shared" si="116"/>
        <v>0</v>
      </c>
      <c r="BR54" s="40">
        <f t="shared" si="116"/>
        <v>0</v>
      </c>
      <c r="BS54" s="40">
        <f t="shared" ref="BS54:ED54" si="117">MIN(BS46+BS49,BS53)</f>
        <v>0</v>
      </c>
      <c r="BT54" s="40">
        <f t="shared" si="117"/>
        <v>0</v>
      </c>
      <c r="BU54" s="40">
        <f t="shared" si="117"/>
        <v>0</v>
      </c>
      <c r="BV54" s="40">
        <f t="shared" si="117"/>
        <v>0</v>
      </c>
      <c r="BW54" s="40">
        <f t="shared" si="117"/>
        <v>0</v>
      </c>
      <c r="BX54" s="40">
        <f t="shared" si="117"/>
        <v>0</v>
      </c>
      <c r="BY54" s="40">
        <f t="shared" si="117"/>
        <v>0</v>
      </c>
      <c r="BZ54" s="40">
        <f t="shared" si="117"/>
        <v>0</v>
      </c>
      <c r="CA54" s="40">
        <f t="shared" si="117"/>
        <v>0</v>
      </c>
      <c r="CB54" s="40">
        <f t="shared" si="117"/>
        <v>0</v>
      </c>
      <c r="CC54" s="40">
        <f t="shared" si="117"/>
        <v>0</v>
      </c>
      <c r="CD54" s="40">
        <f t="shared" si="117"/>
        <v>0</v>
      </c>
      <c r="CE54" s="40">
        <f t="shared" si="117"/>
        <v>0</v>
      </c>
      <c r="CF54" s="40">
        <f t="shared" si="117"/>
        <v>0</v>
      </c>
      <c r="CG54" s="40">
        <f t="shared" si="117"/>
        <v>0</v>
      </c>
      <c r="CH54" s="40">
        <f t="shared" si="117"/>
        <v>0</v>
      </c>
      <c r="CI54" s="40">
        <f t="shared" si="117"/>
        <v>0</v>
      </c>
      <c r="CJ54" s="40">
        <f t="shared" si="117"/>
        <v>0</v>
      </c>
      <c r="CK54" s="40">
        <f t="shared" si="117"/>
        <v>0</v>
      </c>
      <c r="CL54" s="40">
        <f t="shared" si="117"/>
        <v>0</v>
      </c>
      <c r="CM54" s="40">
        <f t="shared" si="117"/>
        <v>0</v>
      </c>
      <c r="CN54" s="40">
        <f t="shared" si="117"/>
        <v>0</v>
      </c>
      <c r="CO54" s="40">
        <f t="shared" si="117"/>
        <v>0</v>
      </c>
      <c r="CP54" s="40">
        <f t="shared" si="117"/>
        <v>0</v>
      </c>
      <c r="CQ54" s="40">
        <f t="shared" si="117"/>
        <v>0</v>
      </c>
      <c r="CR54" s="40">
        <f t="shared" si="117"/>
        <v>0</v>
      </c>
      <c r="CS54" s="40">
        <f t="shared" si="117"/>
        <v>0</v>
      </c>
      <c r="CT54" s="40">
        <f t="shared" si="117"/>
        <v>0</v>
      </c>
      <c r="CU54" s="40">
        <f t="shared" si="117"/>
        <v>0</v>
      </c>
      <c r="CV54" s="40">
        <f t="shared" si="117"/>
        <v>0</v>
      </c>
      <c r="CW54" s="40">
        <f t="shared" si="117"/>
        <v>0</v>
      </c>
      <c r="CX54" s="40">
        <f t="shared" si="117"/>
        <v>0</v>
      </c>
      <c r="CY54" s="40">
        <f t="shared" si="117"/>
        <v>0</v>
      </c>
      <c r="CZ54" s="40">
        <f t="shared" si="117"/>
        <v>0</v>
      </c>
      <c r="DA54" s="40">
        <f t="shared" si="117"/>
        <v>0</v>
      </c>
      <c r="DB54" s="40">
        <f t="shared" si="117"/>
        <v>0</v>
      </c>
      <c r="DC54" s="40">
        <f t="shared" si="117"/>
        <v>0</v>
      </c>
      <c r="DD54" s="40">
        <f t="shared" si="117"/>
        <v>0</v>
      </c>
      <c r="DE54" s="40">
        <f t="shared" si="117"/>
        <v>0</v>
      </c>
      <c r="DF54" s="40">
        <f t="shared" si="117"/>
        <v>0</v>
      </c>
      <c r="DG54" s="40">
        <f t="shared" si="117"/>
        <v>0</v>
      </c>
      <c r="DH54" s="40">
        <f t="shared" si="117"/>
        <v>0</v>
      </c>
      <c r="DI54" s="40">
        <f t="shared" si="117"/>
        <v>0</v>
      </c>
      <c r="DJ54" s="40">
        <f t="shared" si="117"/>
        <v>0</v>
      </c>
      <c r="DK54" s="40">
        <f t="shared" si="117"/>
        <v>0</v>
      </c>
      <c r="DL54" s="40">
        <f t="shared" si="117"/>
        <v>0</v>
      </c>
      <c r="DM54" s="40">
        <f t="shared" si="117"/>
        <v>0</v>
      </c>
      <c r="DN54" s="40">
        <f t="shared" si="117"/>
        <v>0</v>
      </c>
      <c r="DO54" s="40">
        <f t="shared" si="117"/>
        <v>0</v>
      </c>
      <c r="DP54" s="40">
        <f t="shared" si="117"/>
        <v>0</v>
      </c>
      <c r="DQ54" s="40">
        <f t="shared" si="117"/>
        <v>0</v>
      </c>
      <c r="DR54" s="40">
        <f t="shared" si="117"/>
        <v>0</v>
      </c>
      <c r="DS54" s="40">
        <f t="shared" si="117"/>
        <v>0</v>
      </c>
      <c r="DT54" s="40">
        <f t="shared" si="117"/>
        <v>0</v>
      </c>
      <c r="DU54" s="40">
        <f t="shared" si="117"/>
        <v>0</v>
      </c>
      <c r="DV54" s="40">
        <f t="shared" si="117"/>
        <v>0</v>
      </c>
      <c r="DW54" s="40">
        <f t="shared" si="117"/>
        <v>0</v>
      </c>
      <c r="DX54" s="40">
        <f t="shared" si="117"/>
        <v>0</v>
      </c>
      <c r="DY54" s="40">
        <f t="shared" si="117"/>
        <v>0</v>
      </c>
      <c r="DZ54" s="40">
        <f t="shared" si="117"/>
        <v>0</v>
      </c>
      <c r="EA54" s="40">
        <f t="shared" si="117"/>
        <v>0</v>
      </c>
      <c r="EB54" s="40">
        <f t="shared" si="117"/>
        <v>0</v>
      </c>
      <c r="EC54" s="40">
        <f t="shared" si="117"/>
        <v>0</v>
      </c>
      <c r="ED54" s="40">
        <f t="shared" si="117"/>
        <v>0</v>
      </c>
      <c r="EE54" s="40">
        <f t="shared" ref="EE54:GP54" si="118">MIN(EE46+EE49,EE53)</f>
        <v>0</v>
      </c>
      <c r="EF54" s="40">
        <f t="shared" si="118"/>
        <v>0</v>
      </c>
      <c r="EG54" s="40">
        <f t="shared" si="118"/>
        <v>0</v>
      </c>
      <c r="EH54" s="40">
        <f t="shared" si="118"/>
        <v>0</v>
      </c>
      <c r="EI54" s="40">
        <f t="shared" si="118"/>
        <v>0</v>
      </c>
      <c r="EJ54" s="40">
        <f t="shared" si="118"/>
        <v>0</v>
      </c>
      <c r="EK54" s="40">
        <f t="shared" si="118"/>
        <v>0</v>
      </c>
      <c r="EL54" s="40">
        <f t="shared" si="118"/>
        <v>0</v>
      </c>
      <c r="EM54" s="40">
        <f t="shared" si="118"/>
        <v>0</v>
      </c>
      <c r="EN54" s="40">
        <f t="shared" si="118"/>
        <v>0</v>
      </c>
      <c r="EO54" s="40">
        <f t="shared" si="118"/>
        <v>0</v>
      </c>
      <c r="EP54" s="40">
        <f t="shared" si="118"/>
        <v>0</v>
      </c>
      <c r="EQ54" s="40">
        <f t="shared" si="118"/>
        <v>0</v>
      </c>
      <c r="ER54" s="40">
        <f t="shared" si="118"/>
        <v>0</v>
      </c>
      <c r="ES54" s="40">
        <f t="shared" si="118"/>
        <v>0</v>
      </c>
      <c r="ET54" s="40">
        <f t="shared" si="118"/>
        <v>0</v>
      </c>
      <c r="EU54" s="40">
        <f t="shared" si="118"/>
        <v>0</v>
      </c>
      <c r="EV54" s="40">
        <f t="shared" si="118"/>
        <v>0</v>
      </c>
      <c r="EW54" s="40">
        <f t="shared" si="118"/>
        <v>0</v>
      </c>
      <c r="EX54" s="40">
        <f t="shared" si="118"/>
        <v>0</v>
      </c>
      <c r="EY54" s="40">
        <f t="shared" si="118"/>
        <v>0</v>
      </c>
      <c r="EZ54" s="40">
        <f t="shared" si="118"/>
        <v>0</v>
      </c>
      <c r="FA54" s="40">
        <f t="shared" si="118"/>
        <v>0</v>
      </c>
      <c r="FB54" s="40">
        <f t="shared" si="118"/>
        <v>0</v>
      </c>
      <c r="FC54" s="40">
        <f t="shared" si="118"/>
        <v>0</v>
      </c>
      <c r="FD54" s="40">
        <f t="shared" si="118"/>
        <v>0</v>
      </c>
      <c r="FE54" s="40">
        <f t="shared" si="118"/>
        <v>0</v>
      </c>
      <c r="FF54" s="40">
        <f t="shared" si="118"/>
        <v>0</v>
      </c>
      <c r="FG54" s="40">
        <f t="shared" si="118"/>
        <v>0</v>
      </c>
      <c r="FH54" s="40">
        <f t="shared" si="118"/>
        <v>0</v>
      </c>
      <c r="FI54" s="40">
        <f t="shared" si="118"/>
        <v>0</v>
      </c>
      <c r="FJ54" s="40">
        <f t="shared" si="118"/>
        <v>0</v>
      </c>
      <c r="FK54" s="40">
        <f t="shared" si="118"/>
        <v>0</v>
      </c>
      <c r="FL54" s="40">
        <f t="shared" si="118"/>
        <v>0</v>
      </c>
      <c r="FM54" s="40">
        <f t="shared" si="118"/>
        <v>0</v>
      </c>
      <c r="FN54" s="40">
        <f t="shared" si="118"/>
        <v>0</v>
      </c>
      <c r="FO54" s="40">
        <f t="shared" si="118"/>
        <v>0</v>
      </c>
      <c r="FP54" s="40">
        <f t="shared" si="118"/>
        <v>0</v>
      </c>
      <c r="FQ54" s="40">
        <f t="shared" si="118"/>
        <v>0</v>
      </c>
      <c r="FR54" s="40">
        <f t="shared" si="118"/>
        <v>0</v>
      </c>
      <c r="FS54" s="40">
        <f t="shared" si="118"/>
        <v>0</v>
      </c>
      <c r="FT54" s="40">
        <f t="shared" si="118"/>
        <v>0</v>
      </c>
      <c r="FU54" s="40">
        <f t="shared" si="118"/>
        <v>0</v>
      </c>
      <c r="FV54" s="40">
        <f t="shared" si="118"/>
        <v>0</v>
      </c>
      <c r="FW54" s="40">
        <f t="shared" si="118"/>
        <v>0</v>
      </c>
      <c r="FX54" s="40">
        <f t="shared" si="118"/>
        <v>0</v>
      </c>
      <c r="FY54" s="40">
        <f t="shared" si="118"/>
        <v>0</v>
      </c>
      <c r="FZ54" s="40">
        <f t="shared" si="118"/>
        <v>0</v>
      </c>
      <c r="GA54" s="40">
        <f t="shared" si="118"/>
        <v>20796.442360223766</v>
      </c>
      <c r="GB54" s="40">
        <f t="shared" si="118"/>
        <v>20796.442360223766</v>
      </c>
      <c r="GC54" s="40">
        <f t="shared" si="118"/>
        <v>20796.442360223766</v>
      </c>
      <c r="GD54" s="40">
        <f>MIN(GD46+GD49,GD53)</f>
        <v>0</v>
      </c>
      <c r="GE54" s="40">
        <f t="shared" si="118"/>
        <v>0</v>
      </c>
      <c r="GF54" s="40">
        <f t="shared" si="118"/>
        <v>0</v>
      </c>
      <c r="GG54" s="40">
        <f t="shared" si="118"/>
        <v>0</v>
      </c>
      <c r="GH54" s="40">
        <f t="shared" si="118"/>
        <v>0</v>
      </c>
      <c r="GI54" s="40">
        <f t="shared" si="118"/>
        <v>0</v>
      </c>
      <c r="GJ54" s="40">
        <f t="shared" si="118"/>
        <v>0</v>
      </c>
      <c r="GK54" s="40">
        <f t="shared" si="118"/>
        <v>0</v>
      </c>
      <c r="GL54" s="40">
        <f t="shared" si="118"/>
        <v>0</v>
      </c>
      <c r="GM54" s="40">
        <f t="shared" si="118"/>
        <v>0</v>
      </c>
      <c r="GN54" s="40">
        <f t="shared" si="118"/>
        <v>0</v>
      </c>
      <c r="GO54" s="40">
        <f t="shared" si="118"/>
        <v>0</v>
      </c>
      <c r="GP54" s="40">
        <f t="shared" si="118"/>
        <v>0</v>
      </c>
      <c r="GQ54" s="40">
        <f t="shared" ref="GQ54:JB54" si="119">MIN(GQ46+GQ49,GQ53)</f>
        <v>0</v>
      </c>
      <c r="GR54" s="40">
        <f t="shared" si="119"/>
        <v>0</v>
      </c>
      <c r="GS54" s="40">
        <f t="shared" si="119"/>
        <v>0</v>
      </c>
      <c r="GT54" s="40">
        <f t="shared" si="119"/>
        <v>0</v>
      </c>
      <c r="GU54" s="40">
        <f t="shared" si="119"/>
        <v>0</v>
      </c>
      <c r="GV54" s="40">
        <f t="shared" si="119"/>
        <v>0</v>
      </c>
      <c r="GW54" s="40">
        <f t="shared" si="119"/>
        <v>0</v>
      </c>
      <c r="GX54" s="40">
        <f t="shared" si="119"/>
        <v>0</v>
      </c>
      <c r="GY54" s="40">
        <f t="shared" si="119"/>
        <v>0</v>
      </c>
      <c r="GZ54" s="40">
        <f t="shared" si="119"/>
        <v>0</v>
      </c>
      <c r="HA54" s="40">
        <f t="shared" si="119"/>
        <v>0</v>
      </c>
      <c r="HB54" s="40">
        <f t="shared" si="119"/>
        <v>0</v>
      </c>
      <c r="HC54" s="40">
        <f t="shared" si="119"/>
        <v>0</v>
      </c>
      <c r="HD54" s="40">
        <f t="shared" si="119"/>
        <v>0</v>
      </c>
      <c r="HE54" s="40">
        <f t="shared" si="119"/>
        <v>0</v>
      </c>
      <c r="HF54" s="40">
        <f t="shared" si="119"/>
        <v>0</v>
      </c>
      <c r="HG54" s="40">
        <f t="shared" si="119"/>
        <v>0</v>
      </c>
      <c r="HH54" s="40">
        <f t="shared" si="119"/>
        <v>0</v>
      </c>
      <c r="HI54" s="40">
        <f t="shared" si="119"/>
        <v>0</v>
      </c>
      <c r="HJ54" s="40">
        <f t="shared" si="119"/>
        <v>0</v>
      </c>
      <c r="HK54" s="40">
        <f t="shared" si="119"/>
        <v>0</v>
      </c>
      <c r="HL54" s="40">
        <f t="shared" si="119"/>
        <v>0</v>
      </c>
      <c r="HM54" s="40">
        <f t="shared" si="119"/>
        <v>0</v>
      </c>
      <c r="HN54" s="40">
        <f t="shared" si="119"/>
        <v>0</v>
      </c>
      <c r="HO54" s="40">
        <f t="shared" si="119"/>
        <v>0</v>
      </c>
      <c r="HP54" s="40">
        <f t="shared" si="119"/>
        <v>0</v>
      </c>
      <c r="HQ54" s="40">
        <f t="shared" si="119"/>
        <v>0</v>
      </c>
      <c r="HR54" s="40">
        <f t="shared" si="119"/>
        <v>0</v>
      </c>
      <c r="HS54" s="40">
        <f t="shared" si="119"/>
        <v>0</v>
      </c>
      <c r="HT54" s="40">
        <f t="shared" si="119"/>
        <v>0</v>
      </c>
      <c r="HU54" s="40">
        <f t="shared" si="119"/>
        <v>0</v>
      </c>
      <c r="HV54" s="40">
        <f t="shared" si="119"/>
        <v>0</v>
      </c>
      <c r="HW54" s="40">
        <f t="shared" si="119"/>
        <v>0</v>
      </c>
      <c r="HX54" s="40">
        <f t="shared" si="119"/>
        <v>0</v>
      </c>
      <c r="HY54" s="40">
        <f t="shared" si="119"/>
        <v>0</v>
      </c>
      <c r="HZ54" s="40">
        <f t="shared" si="119"/>
        <v>0</v>
      </c>
      <c r="IA54" s="40">
        <f t="shared" si="119"/>
        <v>0</v>
      </c>
      <c r="IB54" s="40">
        <f t="shared" si="119"/>
        <v>0</v>
      </c>
      <c r="IC54" s="40">
        <f t="shared" si="119"/>
        <v>0</v>
      </c>
      <c r="ID54" s="40">
        <f t="shared" si="119"/>
        <v>0</v>
      </c>
      <c r="IE54" s="40">
        <f t="shared" si="119"/>
        <v>0</v>
      </c>
      <c r="IF54" s="40">
        <f t="shared" si="119"/>
        <v>0</v>
      </c>
      <c r="IG54" s="40">
        <f t="shared" si="119"/>
        <v>0</v>
      </c>
      <c r="IH54" s="40">
        <f t="shared" si="119"/>
        <v>0</v>
      </c>
      <c r="II54" s="40">
        <f t="shared" si="119"/>
        <v>0</v>
      </c>
      <c r="IJ54" s="40">
        <f t="shared" si="119"/>
        <v>0</v>
      </c>
      <c r="IK54" s="40">
        <f t="shared" si="119"/>
        <v>0</v>
      </c>
      <c r="IL54" s="40">
        <f t="shared" si="119"/>
        <v>0</v>
      </c>
      <c r="IM54" s="40">
        <f t="shared" si="119"/>
        <v>0</v>
      </c>
      <c r="IN54" s="40">
        <f t="shared" si="119"/>
        <v>0</v>
      </c>
      <c r="IO54" s="40">
        <f t="shared" si="119"/>
        <v>0</v>
      </c>
      <c r="IP54" s="40">
        <f t="shared" si="119"/>
        <v>0</v>
      </c>
      <c r="IQ54" s="40">
        <f t="shared" si="119"/>
        <v>0</v>
      </c>
      <c r="IR54" s="40">
        <f t="shared" si="119"/>
        <v>0</v>
      </c>
      <c r="IS54" s="40">
        <f t="shared" si="119"/>
        <v>0</v>
      </c>
      <c r="IT54" s="40">
        <f t="shared" si="119"/>
        <v>0</v>
      </c>
      <c r="IU54" s="40">
        <f t="shared" si="119"/>
        <v>0</v>
      </c>
      <c r="IV54" s="40">
        <f t="shared" si="119"/>
        <v>0</v>
      </c>
      <c r="IW54" s="40">
        <f t="shared" si="119"/>
        <v>0</v>
      </c>
      <c r="IX54" s="40">
        <f t="shared" si="119"/>
        <v>0</v>
      </c>
      <c r="IY54" s="40">
        <f t="shared" si="119"/>
        <v>0</v>
      </c>
      <c r="IZ54" s="40">
        <f t="shared" si="119"/>
        <v>0</v>
      </c>
      <c r="JA54" s="40">
        <f t="shared" si="119"/>
        <v>0</v>
      </c>
      <c r="JB54" s="40">
        <f t="shared" si="119"/>
        <v>0</v>
      </c>
      <c r="JC54" s="40">
        <f t="shared" ref="JC54:LN54" si="120">MIN(JC46+JC49,JC53)</f>
        <v>0</v>
      </c>
      <c r="JD54" s="40">
        <f t="shared" si="120"/>
        <v>0</v>
      </c>
      <c r="JE54" s="40">
        <f t="shared" si="120"/>
        <v>0</v>
      </c>
      <c r="JF54" s="40">
        <f t="shared" si="120"/>
        <v>0</v>
      </c>
      <c r="JG54" s="40">
        <f t="shared" si="120"/>
        <v>0</v>
      </c>
      <c r="JH54" s="40">
        <f t="shared" si="120"/>
        <v>0</v>
      </c>
      <c r="JI54" s="40">
        <f t="shared" si="120"/>
        <v>0</v>
      </c>
      <c r="JJ54" s="40">
        <f t="shared" si="120"/>
        <v>0</v>
      </c>
      <c r="JK54" s="40">
        <f t="shared" si="120"/>
        <v>0</v>
      </c>
      <c r="JL54" s="40">
        <f t="shared" si="120"/>
        <v>0</v>
      </c>
      <c r="JM54" s="40">
        <f t="shared" si="120"/>
        <v>0</v>
      </c>
      <c r="JN54" s="40">
        <f t="shared" si="120"/>
        <v>0</v>
      </c>
      <c r="JO54" s="40">
        <f t="shared" si="120"/>
        <v>0</v>
      </c>
      <c r="JP54" s="40">
        <f t="shared" si="120"/>
        <v>0</v>
      </c>
      <c r="JQ54" s="40">
        <f t="shared" si="120"/>
        <v>0</v>
      </c>
      <c r="JR54" s="40">
        <f t="shared" si="120"/>
        <v>0</v>
      </c>
      <c r="JS54" s="40">
        <f t="shared" si="120"/>
        <v>0</v>
      </c>
      <c r="JT54" s="40">
        <f t="shared" si="120"/>
        <v>0</v>
      </c>
      <c r="JU54" s="40">
        <f t="shared" si="120"/>
        <v>0</v>
      </c>
      <c r="JV54" s="40">
        <f t="shared" si="120"/>
        <v>0</v>
      </c>
      <c r="JW54" s="40">
        <f t="shared" si="120"/>
        <v>0</v>
      </c>
      <c r="JX54" s="40">
        <f t="shared" si="120"/>
        <v>0</v>
      </c>
      <c r="JY54" s="40">
        <f t="shared" si="120"/>
        <v>0</v>
      </c>
      <c r="JZ54" s="40">
        <f t="shared" si="120"/>
        <v>0</v>
      </c>
      <c r="KA54" s="40">
        <f t="shared" si="120"/>
        <v>0</v>
      </c>
      <c r="KB54" s="40">
        <f t="shared" si="120"/>
        <v>0</v>
      </c>
      <c r="KC54" s="40">
        <f t="shared" si="120"/>
        <v>0</v>
      </c>
      <c r="KD54" s="40">
        <f t="shared" si="120"/>
        <v>0</v>
      </c>
      <c r="KE54" s="40">
        <f t="shared" si="120"/>
        <v>0</v>
      </c>
      <c r="KF54" s="40">
        <f t="shared" si="120"/>
        <v>0</v>
      </c>
      <c r="KG54" s="40">
        <f t="shared" si="120"/>
        <v>0</v>
      </c>
      <c r="KH54" s="40">
        <f t="shared" si="120"/>
        <v>0</v>
      </c>
      <c r="KI54" s="40">
        <f t="shared" si="120"/>
        <v>0</v>
      </c>
      <c r="KJ54" s="40">
        <f t="shared" si="120"/>
        <v>0</v>
      </c>
      <c r="KK54" s="40">
        <f t="shared" si="120"/>
        <v>0</v>
      </c>
      <c r="KL54" s="40">
        <f t="shared" si="120"/>
        <v>0</v>
      </c>
      <c r="KM54" s="40">
        <f t="shared" si="120"/>
        <v>0</v>
      </c>
      <c r="KN54" s="40">
        <f t="shared" si="120"/>
        <v>0</v>
      </c>
      <c r="KO54" s="40">
        <f t="shared" si="120"/>
        <v>0</v>
      </c>
      <c r="KP54" s="40">
        <f t="shared" si="120"/>
        <v>0</v>
      </c>
      <c r="KQ54" s="40">
        <f t="shared" si="120"/>
        <v>0</v>
      </c>
      <c r="KR54" s="40">
        <f t="shared" si="120"/>
        <v>0</v>
      </c>
      <c r="KS54" s="40">
        <f t="shared" si="120"/>
        <v>0</v>
      </c>
      <c r="KT54" s="40">
        <f t="shared" si="120"/>
        <v>0</v>
      </c>
      <c r="KU54" s="40">
        <f t="shared" si="120"/>
        <v>0</v>
      </c>
      <c r="KV54" s="40">
        <f t="shared" si="120"/>
        <v>0</v>
      </c>
      <c r="KW54" s="40">
        <f t="shared" si="120"/>
        <v>0</v>
      </c>
      <c r="KX54" s="40">
        <f t="shared" si="120"/>
        <v>0</v>
      </c>
      <c r="KY54" s="40">
        <f t="shared" si="120"/>
        <v>0</v>
      </c>
      <c r="KZ54" s="40">
        <f t="shared" si="120"/>
        <v>0</v>
      </c>
      <c r="LA54" s="40">
        <f t="shared" si="120"/>
        <v>0</v>
      </c>
      <c r="LB54" s="40">
        <f t="shared" si="120"/>
        <v>0</v>
      </c>
      <c r="LC54" s="40">
        <f t="shared" si="120"/>
        <v>0</v>
      </c>
      <c r="LD54" s="40">
        <f t="shared" si="120"/>
        <v>0</v>
      </c>
      <c r="LE54" s="40">
        <f t="shared" si="120"/>
        <v>0</v>
      </c>
      <c r="LF54" s="40">
        <f t="shared" si="120"/>
        <v>0</v>
      </c>
      <c r="LG54" s="40">
        <f t="shared" si="120"/>
        <v>0</v>
      </c>
      <c r="LH54" s="40">
        <f t="shared" si="120"/>
        <v>0</v>
      </c>
      <c r="LI54" s="40">
        <f t="shared" si="120"/>
        <v>0</v>
      </c>
      <c r="LJ54" s="40">
        <f t="shared" si="120"/>
        <v>0</v>
      </c>
      <c r="LK54" s="40">
        <f t="shared" si="120"/>
        <v>0</v>
      </c>
      <c r="LL54" s="40">
        <f t="shared" si="120"/>
        <v>0</v>
      </c>
      <c r="LM54" s="40">
        <f t="shared" si="120"/>
        <v>0</v>
      </c>
      <c r="LN54" s="40">
        <f t="shared" si="120"/>
        <v>0</v>
      </c>
      <c r="LO54" s="40">
        <f t="shared" ref="LO54:NB54" si="121">MIN(LO46+LO49,LO53)</f>
        <v>0</v>
      </c>
      <c r="LP54" s="40">
        <f t="shared" si="121"/>
        <v>0</v>
      </c>
      <c r="LQ54" s="40">
        <f t="shared" si="121"/>
        <v>0</v>
      </c>
      <c r="LR54" s="40">
        <f t="shared" si="121"/>
        <v>0</v>
      </c>
      <c r="LS54" s="40">
        <f t="shared" si="121"/>
        <v>0</v>
      </c>
      <c r="LT54" s="40">
        <f t="shared" si="121"/>
        <v>0</v>
      </c>
      <c r="LU54" s="40">
        <f t="shared" si="121"/>
        <v>0</v>
      </c>
      <c r="LV54" s="40">
        <f t="shared" si="121"/>
        <v>0</v>
      </c>
      <c r="LW54" s="40">
        <f t="shared" si="121"/>
        <v>0</v>
      </c>
      <c r="LX54" s="40">
        <f t="shared" si="121"/>
        <v>0</v>
      </c>
      <c r="LY54" s="40">
        <f t="shared" si="121"/>
        <v>0</v>
      </c>
      <c r="LZ54" s="40">
        <f t="shared" si="121"/>
        <v>0</v>
      </c>
      <c r="MA54" s="40">
        <f t="shared" si="121"/>
        <v>0</v>
      </c>
      <c r="MB54" s="40">
        <f t="shared" si="121"/>
        <v>0</v>
      </c>
      <c r="MC54" s="40">
        <f t="shared" si="121"/>
        <v>0</v>
      </c>
      <c r="MD54" s="40">
        <f t="shared" si="121"/>
        <v>0</v>
      </c>
      <c r="ME54" s="40">
        <f t="shared" si="121"/>
        <v>0</v>
      </c>
      <c r="MF54" s="40">
        <f t="shared" si="121"/>
        <v>0</v>
      </c>
      <c r="MG54" s="40">
        <f t="shared" si="121"/>
        <v>0</v>
      </c>
      <c r="MH54" s="40">
        <f t="shared" si="121"/>
        <v>0</v>
      </c>
      <c r="MI54" s="40">
        <f t="shared" si="121"/>
        <v>0</v>
      </c>
      <c r="MJ54" s="40">
        <f t="shared" si="121"/>
        <v>0</v>
      </c>
      <c r="MK54" s="40">
        <f t="shared" si="121"/>
        <v>0</v>
      </c>
      <c r="ML54" s="40">
        <f t="shared" si="121"/>
        <v>0</v>
      </c>
      <c r="MM54" s="40">
        <f t="shared" si="121"/>
        <v>0</v>
      </c>
      <c r="MN54" s="40">
        <f t="shared" si="121"/>
        <v>0</v>
      </c>
      <c r="MO54" s="40">
        <f t="shared" si="121"/>
        <v>0</v>
      </c>
      <c r="MP54" s="40">
        <f t="shared" si="121"/>
        <v>0</v>
      </c>
      <c r="MQ54" s="40">
        <f t="shared" si="121"/>
        <v>0</v>
      </c>
      <c r="MR54" s="40">
        <f t="shared" si="121"/>
        <v>0</v>
      </c>
      <c r="MS54" s="40">
        <f t="shared" si="121"/>
        <v>0</v>
      </c>
      <c r="MT54" s="40">
        <f t="shared" si="121"/>
        <v>0</v>
      </c>
      <c r="MU54" s="40">
        <f t="shared" si="121"/>
        <v>0</v>
      </c>
      <c r="MV54" s="40">
        <f t="shared" si="121"/>
        <v>0</v>
      </c>
      <c r="MW54" s="40">
        <f t="shared" si="121"/>
        <v>0</v>
      </c>
      <c r="MX54" s="40">
        <f t="shared" si="121"/>
        <v>0</v>
      </c>
      <c r="MY54" s="40">
        <f t="shared" si="121"/>
        <v>0</v>
      </c>
      <c r="MZ54" s="40">
        <f t="shared" si="121"/>
        <v>0</v>
      </c>
      <c r="NA54" s="40">
        <f t="shared" si="121"/>
        <v>0</v>
      </c>
      <c r="NB54" s="40">
        <f t="shared" si="121"/>
        <v>0</v>
      </c>
    </row>
    <row r="55" spans="2:367" x14ac:dyDescent="0.15">
      <c r="B55" s="45" t="s">
        <v>339</v>
      </c>
      <c r="C55" s="45"/>
      <c r="F55" s="40">
        <f>F53-F54</f>
        <v>519684</v>
      </c>
      <c r="G55" s="40">
        <f t="shared" ref="G55:BR55" si="122">IF(G$7&lt;=$F$5,F$55-G$46-G$49,0)</f>
        <v>490672.0505146542</v>
      </c>
      <c r="H55" s="40">
        <f t="shared" si="122"/>
        <v>461660.10102930845</v>
      </c>
      <c r="I55" s="40">
        <f t="shared" si="122"/>
        <v>432648.15154396265</v>
      </c>
      <c r="J55" s="40">
        <f t="shared" si="122"/>
        <v>430507.82431695022</v>
      </c>
      <c r="K55" s="40">
        <f t="shared" si="122"/>
        <v>428367.49708993779</v>
      </c>
      <c r="L55" s="431">
        <f t="shared" si="122"/>
        <v>426227.16986292537</v>
      </c>
      <c r="M55" s="40">
        <f t="shared" si="122"/>
        <v>423934.79113591294</v>
      </c>
      <c r="N55" s="40">
        <f t="shared" si="122"/>
        <v>421642.41240890051</v>
      </c>
      <c r="O55" s="40">
        <f t="shared" si="122"/>
        <v>419350.03368188808</v>
      </c>
      <c r="P55" s="40">
        <f t="shared" si="122"/>
        <v>417057.65495487564</v>
      </c>
      <c r="Q55" s="40">
        <f t="shared" si="122"/>
        <v>414765.27622786321</v>
      </c>
      <c r="R55" s="40">
        <f t="shared" si="122"/>
        <v>412472.89750085078</v>
      </c>
      <c r="S55" s="40">
        <f t="shared" si="122"/>
        <v>411040.36810567166</v>
      </c>
      <c r="T55" s="40">
        <f t="shared" si="122"/>
        <v>409607.83871049254</v>
      </c>
      <c r="U55" s="40">
        <f t="shared" si="122"/>
        <v>408175.30931531341</v>
      </c>
      <c r="V55" s="40">
        <f t="shared" si="122"/>
        <v>406742.77992013429</v>
      </c>
      <c r="W55" s="40">
        <f t="shared" si="122"/>
        <v>405310.25052495516</v>
      </c>
      <c r="X55" s="40">
        <f t="shared" si="122"/>
        <v>403877.72112977604</v>
      </c>
      <c r="Y55" s="40">
        <f t="shared" si="122"/>
        <v>402445.19173459691</v>
      </c>
      <c r="Z55" s="40">
        <f t="shared" si="122"/>
        <v>401012.66233941779</v>
      </c>
      <c r="AA55" s="40">
        <f t="shared" si="122"/>
        <v>399580.13294423866</v>
      </c>
      <c r="AB55" s="40">
        <f t="shared" si="122"/>
        <v>398147.60354905954</v>
      </c>
      <c r="AC55" s="40">
        <f t="shared" si="122"/>
        <v>396715.07415388041</v>
      </c>
      <c r="AD55" s="573">
        <f t="shared" si="122"/>
        <v>395282.54475870129</v>
      </c>
      <c r="AE55" s="40">
        <f t="shared" si="122"/>
        <v>394736.89064865885</v>
      </c>
      <c r="AF55" s="40">
        <f t="shared" si="122"/>
        <v>394191.23653861642</v>
      </c>
      <c r="AG55" s="40">
        <f t="shared" si="122"/>
        <v>393645.58242857398</v>
      </c>
      <c r="AH55" s="40">
        <f t="shared" si="122"/>
        <v>393099.92831853154</v>
      </c>
      <c r="AI55" s="40">
        <f t="shared" si="122"/>
        <v>392554.27420848911</v>
      </c>
      <c r="AJ55" s="40">
        <f t="shared" si="122"/>
        <v>392008.62009844667</v>
      </c>
      <c r="AK55" s="40">
        <f t="shared" si="122"/>
        <v>391462.96598840423</v>
      </c>
      <c r="AL55" s="40">
        <f t="shared" si="122"/>
        <v>390917.3118783618</v>
      </c>
      <c r="AM55" s="40">
        <f t="shared" si="122"/>
        <v>390371.65776831936</v>
      </c>
      <c r="AN55" s="40">
        <f t="shared" si="122"/>
        <v>389826.00365827692</v>
      </c>
      <c r="AO55" s="40">
        <f t="shared" si="122"/>
        <v>389280.34954823449</v>
      </c>
      <c r="AP55" s="40">
        <f t="shared" si="122"/>
        <v>388734.69543819205</v>
      </c>
      <c r="AQ55" s="40">
        <f t="shared" si="122"/>
        <v>388734.69543819205</v>
      </c>
      <c r="AR55" s="40">
        <f t="shared" si="122"/>
        <v>388734.69543819205</v>
      </c>
      <c r="AS55" s="40">
        <f t="shared" si="122"/>
        <v>388734.69543819205</v>
      </c>
      <c r="AT55" s="40">
        <f t="shared" si="122"/>
        <v>388734.69543819205</v>
      </c>
      <c r="AU55" s="40">
        <f t="shared" si="122"/>
        <v>388734.69543819205</v>
      </c>
      <c r="AV55" s="40">
        <f t="shared" si="122"/>
        <v>388734.69543819205</v>
      </c>
      <c r="AW55" s="40">
        <f t="shared" si="122"/>
        <v>388734.69543819205</v>
      </c>
      <c r="AX55" s="40">
        <f t="shared" si="122"/>
        <v>388734.69543819205</v>
      </c>
      <c r="AY55" s="40">
        <f t="shared" si="122"/>
        <v>388734.69543819205</v>
      </c>
      <c r="AZ55" s="40">
        <f t="shared" si="122"/>
        <v>388734.69543819205</v>
      </c>
      <c r="BA55" s="40">
        <f t="shared" si="122"/>
        <v>388734.69543819205</v>
      </c>
      <c r="BB55" s="40">
        <f t="shared" si="122"/>
        <v>388734.69543819205</v>
      </c>
      <c r="BC55" s="40">
        <f t="shared" si="122"/>
        <v>388734.69543819205</v>
      </c>
      <c r="BD55" s="40">
        <f t="shared" si="122"/>
        <v>388734.69543819205</v>
      </c>
      <c r="BE55" s="40">
        <f t="shared" si="122"/>
        <v>388734.69543819205</v>
      </c>
      <c r="BF55" s="40">
        <f t="shared" si="122"/>
        <v>388734.69543819205</v>
      </c>
      <c r="BG55" s="40">
        <f t="shared" si="122"/>
        <v>388734.69543819205</v>
      </c>
      <c r="BH55" s="40">
        <f t="shared" si="122"/>
        <v>388734.69543819205</v>
      </c>
      <c r="BI55" s="40">
        <f t="shared" si="122"/>
        <v>388734.69543819205</v>
      </c>
      <c r="BJ55" s="40">
        <f t="shared" si="122"/>
        <v>388734.69543819205</v>
      </c>
      <c r="BK55" s="40">
        <f t="shared" si="122"/>
        <v>388734.69543819205</v>
      </c>
      <c r="BL55" s="40">
        <f t="shared" si="122"/>
        <v>388734.69543819205</v>
      </c>
      <c r="BM55" s="40">
        <f t="shared" si="122"/>
        <v>388734.69543819205</v>
      </c>
      <c r="BN55" s="40">
        <f t="shared" si="122"/>
        <v>388734.69543819205</v>
      </c>
      <c r="BO55" s="40">
        <f t="shared" si="122"/>
        <v>388734.69543819205</v>
      </c>
      <c r="BP55" s="40">
        <f t="shared" si="122"/>
        <v>388734.69543819205</v>
      </c>
      <c r="BQ55" s="40">
        <f t="shared" si="122"/>
        <v>388734.69543819205</v>
      </c>
      <c r="BR55" s="40">
        <f t="shared" si="122"/>
        <v>388734.69543819205</v>
      </c>
      <c r="BS55" s="40">
        <f t="shared" ref="BS55:ED55" si="123">IF(BS$7&lt;=$F$5,BR$55-BS$46-BS$49,0)</f>
        <v>388734.69543819205</v>
      </c>
      <c r="BT55" s="40">
        <f t="shared" si="123"/>
        <v>388734.69543819205</v>
      </c>
      <c r="BU55" s="40">
        <f t="shared" si="123"/>
        <v>388734.69543819205</v>
      </c>
      <c r="BV55" s="40">
        <f t="shared" si="123"/>
        <v>388734.69543819205</v>
      </c>
      <c r="BW55" s="40">
        <f t="shared" si="123"/>
        <v>388734.69543819205</v>
      </c>
      <c r="BX55" s="40">
        <f t="shared" si="123"/>
        <v>388734.69543819205</v>
      </c>
      <c r="BY55" s="40">
        <f t="shared" si="123"/>
        <v>388734.69543819205</v>
      </c>
      <c r="BZ55" s="40">
        <f t="shared" si="123"/>
        <v>388734.69543819205</v>
      </c>
      <c r="CA55" s="40">
        <f t="shared" si="123"/>
        <v>388734.69543819205</v>
      </c>
      <c r="CB55" s="40">
        <f t="shared" si="123"/>
        <v>388734.69543819205</v>
      </c>
      <c r="CC55" s="40">
        <f t="shared" si="123"/>
        <v>388734.69543819205</v>
      </c>
      <c r="CD55" s="40">
        <f t="shared" si="123"/>
        <v>388734.69543819205</v>
      </c>
      <c r="CE55" s="40">
        <f t="shared" si="123"/>
        <v>388734.69543819205</v>
      </c>
      <c r="CF55" s="40">
        <f t="shared" si="123"/>
        <v>388734.69543819205</v>
      </c>
      <c r="CG55" s="40">
        <f t="shared" si="123"/>
        <v>388734.69543819205</v>
      </c>
      <c r="CH55" s="40">
        <f t="shared" si="123"/>
        <v>388734.69543819205</v>
      </c>
      <c r="CI55" s="40">
        <f t="shared" si="123"/>
        <v>388734.69543819205</v>
      </c>
      <c r="CJ55" s="40">
        <f t="shared" si="123"/>
        <v>388734.69543819205</v>
      </c>
      <c r="CK55" s="40">
        <f t="shared" si="123"/>
        <v>388734.69543819205</v>
      </c>
      <c r="CL55" s="40">
        <f t="shared" si="123"/>
        <v>388734.69543819205</v>
      </c>
      <c r="CM55" s="40">
        <f t="shared" si="123"/>
        <v>388734.69543819205</v>
      </c>
      <c r="CN55" s="40">
        <f t="shared" si="123"/>
        <v>388734.69543819205</v>
      </c>
      <c r="CO55" s="40">
        <f t="shared" si="123"/>
        <v>388734.69543819205</v>
      </c>
      <c r="CP55" s="40">
        <f t="shared" si="123"/>
        <v>388734.69543819205</v>
      </c>
      <c r="CQ55" s="40">
        <f t="shared" si="123"/>
        <v>388734.69543819205</v>
      </c>
      <c r="CR55" s="40">
        <f t="shared" si="123"/>
        <v>388734.69543819205</v>
      </c>
      <c r="CS55" s="40">
        <f t="shared" si="123"/>
        <v>388734.69543819205</v>
      </c>
      <c r="CT55" s="40">
        <f t="shared" si="123"/>
        <v>388734.69543819205</v>
      </c>
      <c r="CU55" s="40">
        <f t="shared" si="123"/>
        <v>388734.69543819205</v>
      </c>
      <c r="CV55" s="40">
        <f t="shared" si="123"/>
        <v>388734.69543819205</v>
      </c>
      <c r="CW55" s="40">
        <f t="shared" si="123"/>
        <v>388734.69543819205</v>
      </c>
      <c r="CX55" s="40">
        <f t="shared" si="123"/>
        <v>388734.69543819205</v>
      </c>
      <c r="CY55" s="40">
        <f t="shared" si="123"/>
        <v>388734.69543819205</v>
      </c>
      <c r="CZ55" s="40">
        <f t="shared" si="123"/>
        <v>388734.69543819205</v>
      </c>
      <c r="DA55" s="40">
        <f t="shared" si="123"/>
        <v>388734.69543819205</v>
      </c>
      <c r="DB55" s="40">
        <f t="shared" si="123"/>
        <v>388734.69543819205</v>
      </c>
      <c r="DC55" s="40">
        <f t="shared" si="123"/>
        <v>388734.69543819205</v>
      </c>
      <c r="DD55" s="40">
        <f t="shared" si="123"/>
        <v>388734.69543819205</v>
      </c>
      <c r="DE55" s="40">
        <f t="shared" si="123"/>
        <v>388734.69543819205</v>
      </c>
      <c r="DF55" s="40">
        <f t="shared" si="123"/>
        <v>388734.69543819205</v>
      </c>
      <c r="DG55" s="40">
        <f t="shared" si="123"/>
        <v>388734.69543819205</v>
      </c>
      <c r="DH55" s="40">
        <f t="shared" si="123"/>
        <v>388734.69543819205</v>
      </c>
      <c r="DI55" s="40">
        <f t="shared" si="123"/>
        <v>388734.69543819205</v>
      </c>
      <c r="DJ55" s="40">
        <f t="shared" si="123"/>
        <v>388734.69543819205</v>
      </c>
      <c r="DK55" s="40">
        <f t="shared" si="123"/>
        <v>388734.69543819205</v>
      </c>
      <c r="DL55" s="40">
        <f t="shared" si="123"/>
        <v>388734.69543819205</v>
      </c>
      <c r="DM55" s="40">
        <f t="shared" si="123"/>
        <v>388734.69543819205</v>
      </c>
      <c r="DN55" s="40">
        <f t="shared" si="123"/>
        <v>388734.69543819205</v>
      </c>
      <c r="DO55" s="40">
        <f t="shared" si="123"/>
        <v>388734.69543819205</v>
      </c>
      <c r="DP55" s="40">
        <f t="shared" si="123"/>
        <v>388734.69543819205</v>
      </c>
      <c r="DQ55" s="40">
        <f t="shared" si="123"/>
        <v>388734.69543819205</v>
      </c>
      <c r="DR55" s="40">
        <f t="shared" si="123"/>
        <v>388734.69543819205</v>
      </c>
      <c r="DS55" s="40">
        <f t="shared" si="123"/>
        <v>388734.69543819205</v>
      </c>
      <c r="DT55" s="40">
        <f t="shared" si="123"/>
        <v>388734.69543819205</v>
      </c>
      <c r="DU55" s="40">
        <f t="shared" si="123"/>
        <v>388734.69543819205</v>
      </c>
      <c r="DV55" s="40">
        <f t="shared" si="123"/>
        <v>388734.69543819205</v>
      </c>
      <c r="DW55" s="40">
        <f t="shared" si="123"/>
        <v>388734.69543819205</v>
      </c>
      <c r="DX55" s="40">
        <f t="shared" si="123"/>
        <v>388734.69543819205</v>
      </c>
      <c r="DY55" s="40">
        <f t="shared" si="123"/>
        <v>388734.69543819205</v>
      </c>
      <c r="DZ55" s="40">
        <f t="shared" si="123"/>
        <v>388734.69543819205</v>
      </c>
      <c r="EA55" s="40">
        <f t="shared" si="123"/>
        <v>388734.69543819205</v>
      </c>
      <c r="EB55" s="40">
        <f t="shared" si="123"/>
        <v>388734.69543819205</v>
      </c>
      <c r="EC55" s="40">
        <f t="shared" si="123"/>
        <v>388734.69543819205</v>
      </c>
      <c r="ED55" s="40">
        <f t="shared" si="123"/>
        <v>388734.69543819205</v>
      </c>
      <c r="EE55" s="40">
        <f t="shared" ref="EE55:GP55" si="124">IF(EE$7&lt;=$F$5,ED$55-EE$46-EE$49,0)</f>
        <v>388734.69543819205</v>
      </c>
      <c r="EF55" s="40">
        <f t="shared" si="124"/>
        <v>388734.69543819205</v>
      </c>
      <c r="EG55" s="40">
        <f t="shared" si="124"/>
        <v>388734.69543819205</v>
      </c>
      <c r="EH55" s="40">
        <f t="shared" si="124"/>
        <v>388734.69543819205</v>
      </c>
      <c r="EI55" s="40">
        <f t="shared" si="124"/>
        <v>388734.69543819205</v>
      </c>
      <c r="EJ55" s="40">
        <f t="shared" si="124"/>
        <v>388734.69543819205</v>
      </c>
      <c r="EK55" s="40">
        <f t="shared" si="124"/>
        <v>388734.69543819205</v>
      </c>
      <c r="EL55" s="40">
        <f t="shared" si="124"/>
        <v>388734.69543819205</v>
      </c>
      <c r="EM55" s="40">
        <f t="shared" si="124"/>
        <v>388734.69543819205</v>
      </c>
      <c r="EN55" s="40">
        <f t="shared" si="124"/>
        <v>388734.69543819205</v>
      </c>
      <c r="EO55" s="40">
        <f t="shared" si="124"/>
        <v>388734.69543819205</v>
      </c>
      <c r="EP55" s="40">
        <f t="shared" si="124"/>
        <v>388734.69543819205</v>
      </c>
      <c r="EQ55" s="40">
        <f t="shared" si="124"/>
        <v>388734.69543819205</v>
      </c>
      <c r="ER55" s="40">
        <f t="shared" si="124"/>
        <v>388734.69543819205</v>
      </c>
      <c r="ES55" s="40">
        <f t="shared" si="124"/>
        <v>388734.69543819205</v>
      </c>
      <c r="ET55" s="40">
        <f t="shared" si="124"/>
        <v>388734.69543819205</v>
      </c>
      <c r="EU55" s="40">
        <f t="shared" si="124"/>
        <v>388734.69543819205</v>
      </c>
      <c r="EV55" s="40">
        <f t="shared" si="124"/>
        <v>388734.69543819205</v>
      </c>
      <c r="EW55" s="40">
        <f t="shared" si="124"/>
        <v>388734.69543819205</v>
      </c>
      <c r="EX55" s="40">
        <f t="shared" si="124"/>
        <v>388734.69543819205</v>
      </c>
      <c r="EY55" s="40">
        <f t="shared" si="124"/>
        <v>388734.69543819205</v>
      </c>
      <c r="EZ55" s="40">
        <f t="shared" si="124"/>
        <v>388734.69543819205</v>
      </c>
      <c r="FA55" s="40">
        <f t="shared" si="124"/>
        <v>388734.69543819205</v>
      </c>
      <c r="FB55" s="40">
        <f t="shared" si="124"/>
        <v>388734.69543819205</v>
      </c>
      <c r="FC55" s="40">
        <f t="shared" si="124"/>
        <v>388734.69543819205</v>
      </c>
      <c r="FD55" s="40">
        <f t="shared" si="124"/>
        <v>388734.69543819205</v>
      </c>
      <c r="FE55" s="40">
        <f t="shared" si="124"/>
        <v>388734.69543819205</v>
      </c>
      <c r="FF55" s="40">
        <f t="shared" si="124"/>
        <v>388734.69543819205</v>
      </c>
      <c r="FG55" s="40">
        <f t="shared" si="124"/>
        <v>388734.69543819205</v>
      </c>
      <c r="FH55" s="40">
        <f t="shared" si="124"/>
        <v>388734.69543819205</v>
      </c>
      <c r="FI55" s="40">
        <f t="shared" si="124"/>
        <v>388734.69543819205</v>
      </c>
      <c r="FJ55" s="40">
        <f t="shared" si="124"/>
        <v>388734.69543819205</v>
      </c>
      <c r="FK55" s="40">
        <f t="shared" si="124"/>
        <v>388734.69543819205</v>
      </c>
      <c r="FL55" s="40">
        <f t="shared" si="124"/>
        <v>388734.69543819205</v>
      </c>
      <c r="FM55" s="40">
        <f t="shared" si="124"/>
        <v>388734.69543819205</v>
      </c>
      <c r="FN55" s="40">
        <f t="shared" si="124"/>
        <v>388734.69543819205</v>
      </c>
      <c r="FO55" s="40">
        <f t="shared" si="124"/>
        <v>388734.69543819205</v>
      </c>
      <c r="FP55" s="40">
        <f t="shared" si="124"/>
        <v>388734.69543819205</v>
      </c>
      <c r="FQ55" s="40">
        <f t="shared" si="124"/>
        <v>388734.69543819205</v>
      </c>
      <c r="FR55" s="40">
        <f t="shared" si="124"/>
        <v>388734.69543819205</v>
      </c>
      <c r="FS55" s="40">
        <f t="shared" si="124"/>
        <v>388734.69543819205</v>
      </c>
      <c r="FT55" s="40">
        <f t="shared" si="124"/>
        <v>388734.69543819205</v>
      </c>
      <c r="FU55" s="40">
        <f t="shared" si="124"/>
        <v>388734.69543819205</v>
      </c>
      <c r="FV55" s="40">
        <f t="shared" si="124"/>
        <v>388734.69543819205</v>
      </c>
      <c r="FW55" s="40">
        <f t="shared" si="124"/>
        <v>388734.69543819205</v>
      </c>
      <c r="FX55" s="40">
        <f t="shared" si="124"/>
        <v>388734.69543819205</v>
      </c>
      <c r="FY55" s="40">
        <f t="shared" si="124"/>
        <v>388734.69543819205</v>
      </c>
      <c r="FZ55" s="40">
        <f t="shared" si="124"/>
        <v>388734.69543819205</v>
      </c>
      <c r="GA55" s="40">
        <f t="shared" si="124"/>
        <v>367938.25307796831</v>
      </c>
      <c r="GB55" s="40">
        <f t="shared" si="124"/>
        <v>347141.81071774452</v>
      </c>
      <c r="GC55" s="40">
        <f t="shared" si="124"/>
        <v>326345.36835752073</v>
      </c>
      <c r="GD55" s="40">
        <f t="shared" si="124"/>
        <v>326345.36835752073</v>
      </c>
      <c r="GE55" s="40">
        <f t="shared" si="124"/>
        <v>0</v>
      </c>
      <c r="GF55" s="40">
        <f t="shared" si="124"/>
        <v>0</v>
      </c>
      <c r="GG55" s="40">
        <f t="shared" si="124"/>
        <v>0</v>
      </c>
      <c r="GH55" s="40">
        <f t="shared" si="124"/>
        <v>0</v>
      </c>
      <c r="GI55" s="40">
        <f t="shared" si="124"/>
        <v>0</v>
      </c>
      <c r="GJ55" s="40">
        <f t="shared" si="124"/>
        <v>0</v>
      </c>
      <c r="GK55" s="40">
        <f t="shared" si="124"/>
        <v>0</v>
      </c>
      <c r="GL55" s="40">
        <f t="shared" si="124"/>
        <v>0</v>
      </c>
      <c r="GM55" s="40">
        <f t="shared" si="124"/>
        <v>0</v>
      </c>
      <c r="GN55" s="40">
        <f t="shared" si="124"/>
        <v>0</v>
      </c>
      <c r="GO55" s="40">
        <f t="shared" si="124"/>
        <v>0</v>
      </c>
      <c r="GP55" s="40">
        <f t="shared" si="124"/>
        <v>0</v>
      </c>
      <c r="GQ55" s="40">
        <f t="shared" ref="GQ55:JB55" si="125">IF(GQ$7&lt;=$F$5,GP$55-GQ$46-GQ$49,0)</f>
        <v>0</v>
      </c>
      <c r="GR55" s="40">
        <f t="shared" si="125"/>
        <v>0</v>
      </c>
      <c r="GS55" s="40">
        <f t="shared" si="125"/>
        <v>0</v>
      </c>
      <c r="GT55" s="40">
        <f t="shared" si="125"/>
        <v>0</v>
      </c>
      <c r="GU55" s="40">
        <f t="shared" si="125"/>
        <v>0</v>
      </c>
      <c r="GV55" s="40">
        <f t="shared" si="125"/>
        <v>0</v>
      </c>
      <c r="GW55" s="40">
        <f t="shared" si="125"/>
        <v>0</v>
      </c>
      <c r="GX55" s="40">
        <f t="shared" si="125"/>
        <v>0</v>
      </c>
      <c r="GY55" s="40">
        <f t="shared" si="125"/>
        <v>0</v>
      </c>
      <c r="GZ55" s="40">
        <f t="shared" si="125"/>
        <v>0</v>
      </c>
      <c r="HA55" s="40">
        <f t="shared" si="125"/>
        <v>0</v>
      </c>
      <c r="HB55" s="40">
        <f t="shared" si="125"/>
        <v>0</v>
      </c>
      <c r="HC55" s="40">
        <f t="shared" si="125"/>
        <v>0</v>
      </c>
      <c r="HD55" s="40">
        <f t="shared" si="125"/>
        <v>0</v>
      </c>
      <c r="HE55" s="40">
        <f t="shared" si="125"/>
        <v>0</v>
      </c>
      <c r="HF55" s="40">
        <f t="shared" si="125"/>
        <v>0</v>
      </c>
      <c r="HG55" s="40">
        <f t="shared" si="125"/>
        <v>0</v>
      </c>
      <c r="HH55" s="40">
        <f t="shared" si="125"/>
        <v>0</v>
      </c>
      <c r="HI55" s="40">
        <f t="shared" si="125"/>
        <v>0</v>
      </c>
      <c r="HJ55" s="40">
        <f t="shared" si="125"/>
        <v>0</v>
      </c>
      <c r="HK55" s="40">
        <f t="shared" si="125"/>
        <v>0</v>
      </c>
      <c r="HL55" s="40">
        <f t="shared" si="125"/>
        <v>0</v>
      </c>
      <c r="HM55" s="40">
        <f t="shared" si="125"/>
        <v>0</v>
      </c>
      <c r="HN55" s="40">
        <f t="shared" si="125"/>
        <v>0</v>
      </c>
      <c r="HO55" s="40">
        <f t="shared" si="125"/>
        <v>0</v>
      </c>
      <c r="HP55" s="40">
        <f t="shared" si="125"/>
        <v>0</v>
      </c>
      <c r="HQ55" s="40">
        <f t="shared" si="125"/>
        <v>0</v>
      </c>
      <c r="HR55" s="40">
        <f t="shared" si="125"/>
        <v>0</v>
      </c>
      <c r="HS55" s="40">
        <f t="shared" si="125"/>
        <v>0</v>
      </c>
      <c r="HT55" s="40">
        <f t="shared" si="125"/>
        <v>0</v>
      </c>
      <c r="HU55" s="40">
        <f t="shared" si="125"/>
        <v>0</v>
      </c>
      <c r="HV55" s="40">
        <f t="shared" si="125"/>
        <v>0</v>
      </c>
      <c r="HW55" s="40">
        <f t="shared" si="125"/>
        <v>0</v>
      </c>
      <c r="HX55" s="40">
        <f t="shared" si="125"/>
        <v>0</v>
      </c>
      <c r="HY55" s="40">
        <f t="shared" si="125"/>
        <v>0</v>
      </c>
      <c r="HZ55" s="40">
        <f t="shared" si="125"/>
        <v>0</v>
      </c>
      <c r="IA55" s="40">
        <f t="shared" si="125"/>
        <v>0</v>
      </c>
      <c r="IB55" s="40">
        <f t="shared" si="125"/>
        <v>0</v>
      </c>
      <c r="IC55" s="40">
        <f t="shared" si="125"/>
        <v>0</v>
      </c>
      <c r="ID55" s="40">
        <f t="shared" si="125"/>
        <v>0</v>
      </c>
      <c r="IE55" s="40">
        <f t="shared" si="125"/>
        <v>0</v>
      </c>
      <c r="IF55" s="40">
        <f t="shared" si="125"/>
        <v>0</v>
      </c>
      <c r="IG55" s="40">
        <f t="shared" si="125"/>
        <v>0</v>
      </c>
      <c r="IH55" s="40">
        <f t="shared" si="125"/>
        <v>0</v>
      </c>
      <c r="II55" s="40">
        <f t="shared" si="125"/>
        <v>0</v>
      </c>
      <c r="IJ55" s="40">
        <f t="shared" si="125"/>
        <v>0</v>
      </c>
      <c r="IK55" s="40">
        <f t="shared" si="125"/>
        <v>0</v>
      </c>
      <c r="IL55" s="40">
        <f t="shared" si="125"/>
        <v>0</v>
      </c>
      <c r="IM55" s="40">
        <f t="shared" si="125"/>
        <v>0</v>
      </c>
      <c r="IN55" s="40">
        <f t="shared" si="125"/>
        <v>0</v>
      </c>
      <c r="IO55" s="40">
        <f t="shared" si="125"/>
        <v>0</v>
      </c>
      <c r="IP55" s="40">
        <f t="shared" si="125"/>
        <v>0</v>
      </c>
      <c r="IQ55" s="40">
        <f t="shared" si="125"/>
        <v>0</v>
      </c>
      <c r="IR55" s="40">
        <f t="shared" si="125"/>
        <v>0</v>
      </c>
      <c r="IS55" s="40">
        <f t="shared" si="125"/>
        <v>0</v>
      </c>
      <c r="IT55" s="40">
        <f t="shared" si="125"/>
        <v>0</v>
      </c>
      <c r="IU55" s="40">
        <f t="shared" si="125"/>
        <v>0</v>
      </c>
      <c r="IV55" s="40">
        <f t="shared" si="125"/>
        <v>0</v>
      </c>
      <c r="IW55" s="40">
        <f t="shared" si="125"/>
        <v>0</v>
      </c>
      <c r="IX55" s="40">
        <f t="shared" si="125"/>
        <v>0</v>
      </c>
      <c r="IY55" s="40">
        <f t="shared" si="125"/>
        <v>0</v>
      </c>
      <c r="IZ55" s="40">
        <f t="shared" si="125"/>
        <v>0</v>
      </c>
      <c r="JA55" s="40">
        <f t="shared" si="125"/>
        <v>0</v>
      </c>
      <c r="JB55" s="40">
        <f t="shared" si="125"/>
        <v>0</v>
      </c>
      <c r="JC55" s="40">
        <f t="shared" ref="JC55:LN55" si="126">IF(JC$7&lt;=$F$5,JB$55-JC$46-JC$49,0)</f>
        <v>0</v>
      </c>
      <c r="JD55" s="40">
        <f t="shared" si="126"/>
        <v>0</v>
      </c>
      <c r="JE55" s="40">
        <f t="shared" si="126"/>
        <v>0</v>
      </c>
      <c r="JF55" s="40">
        <f t="shared" si="126"/>
        <v>0</v>
      </c>
      <c r="JG55" s="40">
        <f t="shared" si="126"/>
        <v>0</v>
      </c>
      <c r="JH55" s="40">
        <f t="shared" si="126"/>
        <v>0</v>
      </c>
      <c r="JI55" s="40">
        <f t="shared" si="126"/>
        <v>0</v>
      </c>
      <c r="JJ55" s="40">
        <f t="shared" si="126"/>
        <v>0</v>
      </c>
      <c r="JK55" s="40">
        <f t="shared" si="126"/>
        <v>0</v>
      </c>
      <c r="JL55" s="40">
        <f t="shared" si="126"/>
        <v>0</v>
      </c>
      <c r="JM55" s="40">
        <f t="shared" si="126"/>
        <v>0</v>
      </c>
      <c r="JN55" s="40">
        <f t="shared" si="126"/>
        <v>0</v>
      </c>
      <c r="JO55" s="40">
        <f t="shared" si="126"/>
        <v>0</v>
      </c>
      <c r="JP55" s="40">
        <f t="shared" si="126"/>
        <v>0</v>
      </c>
      <c r="JQ55" s="40">
        <f t="shared" si="126"/>
        <v>0</v>
      </c>
      <c r="JR55" s="40">
        <f t="shared" si="126"/>
        <v>0</v>
      </c>
      <c r="JS55" s="40">
        <f t="shared" si="126"/>
        <v>0</v>
      </c>
      <c r="JT55" s="40">
        <f t="shared" si="126"/>
        <v>0</v>
      </c>
      <c r="JU55" s="40">
        <f t="shared" si="126"/>
        <v>0</v>
      </c>
      <c r="JV55" s="40">
        <f t="shared" si="126"/>
        <v>0</v>
      </c>
      <c r="JW55" s="40">
        <f t="shared" si="126"/>
        <v>0</v>
      </c>
      <c r="JX55" s="40">
        <f t="shared" si="126"/>
        <v>0</v>
      </c>
      <c r="JY55" s="40">
        <f t="shared" si="126"/>
        <v>0</v>
      </c>
      <c r="JZ55" s="40">
        <f t="shared" si="126"/>
        <v>0</v>
      </c>
      <c r="KA55" s="40">
        <f t="shared" si="126"/>
        <v>0</v>
      </c>
      <c r="KB55" s="40">
        <f t="shared" si="126"/>
        <v>0</v>
      </c>
      <c r="KC55" s="40">
        <f t="shared" si="126"/>
        <v>0</v>
      </c>
      <c r="KD55" s="40">
        <f t="shared" si="126"/>
        <v>0</v>
      </c>
      <c r="KE55" s="40">
        <f t="shared" si="126"/>
        <v>0</v>
      </c>
      <c r="KF55" s="40">
        <f t="shared" si="126"/>
        <v>0</v>
      </c>
      <c r="KG55" s="40">
        <f t="shared" si="126"/>
        <v>0</v>
      </c>
      <c r="KH55" s="40">
        <f t="shared" si="126"/>
        <v>0</v>
      </c>
      <c r="KI55" s="40">
        <f t="shared" si="126"/>
        <v>0</v>
      </c>
      <c r="KJ55" s="40">
        <f t="shared" si="126"/>
        <v>0</v>
      </c>
      <c r="KK55" s="40">
        <f t="shared" si="126"/>
        <v>0</v>
      </c>
      <c r="KL55" s="40">
        <f t="shared" si="126"/>
        <v>0</v>
      </c>
      <c r="KM55" s="40">
        <f t="shared" si="126"/>
        <v>0</v>
      </c>
      <c r="KN55" s="40">
        <f t="shared" si="126"/>
        <v>0</v>
      </c>
      <c r="KO55" s="40">
        <f t="shared" si="126"/>
        <v>0</v>
      </c>
      <c r="KP55" s="40">
        <f t="shared" si="126"/>
        <v>0</v>
      </c>
      <c r="KQ55" s="40">
        <f t="shared" si="126"/>
        <v>0</v>
      </c>
      <c r="KR55" s="40">
        <f t="shared" si="126"/>
        <v>0</v>
      </c>
      <c r="KS55" s="40">
        <f t="shared" si="126"/>
        <v>0</v>
      </c>
      <c r="KT55" s="40">
        <f t="shared" si="126"/>
        <v>0</v>
      </c>
      <c r="KU55" s="40">
        <f t="shared" si="126"/>
        <v>0</v>
      </c>
      <c r="KV55" s="40">
        <f t="shared" si="126"/>
        <v>0</v>
      </c>
      <c r="KW55" s="40">
        <f t="shared" si="126"/>
        <v>0</v>
      </c>
      <c r="KX55" s="40">
        <f t="shared" si="126"/>
        <v>0</v>
      </c>
      <c r="KY55" s="40">
        <f t="shared" si="126"/>
        <v>0</v>
      </c>
      <c r="KZ55" s="40">
        <f t="shared" si="126"/>
        <v>0</v>
      </c>
      <c r="LA55" s="40">
        <f t="shared" si="126"/>
        <v>0</v>
      </c>
      <c r="LB55" s="40">
        <f t="shared" si="126"/>
        <v>0</v>
      </c>
      <c r="LC55" s="40">
        <f t="shared" si="126"/>
        <v>0</v>
      </c>
      <c r="LD55" s="40">
        <f t="shared" si="126"/>
        <v>0</v>
      </c>
      <c r="LE55" s="40">
        <f t="shared" si="126"/>
        <v>0</v>
      </c>
      <c r="LF55" s="40">
        <f t="shared" si="126"/>
        <v>0</v>
      </c>
      <c r="LG55" s="40">
        <f t="shared" si="126"/>
        <v>0</v>
      </c>
      <c r="LH55" s="40">
        <f t="shared" si="126"/>
        <v>0</v>
      </c>
      <c r="LI55" s="40">
        <f t="shared" si="126"/>
        <v>0</v>
      </c>
      <c r="LJ55" s="40">
        <f t="shared" si="126"/>
        <v>0</v>
      </c>
      <c r="LK55" s="40">
        <f t="shared" si="126"/>
        <v>0</v>
      </c>
      <c r="LL55" s="40">
        <f t="shared" si="126"/>
        <v>0</v>
      </c>
      <c r="LM55" s="40">
        <f t="shared" si="126"/>
        <v>0</v>
      </c>
      <c r="LN55" s="40">
        <f t="shared" si="126"/>
        <v>0</v>
      </c>
      <c r="LO55" s="40">
        <f t="shared" ref="LO55:NB55" si="127">IF(LO$7&lt;=$F$5,LN$55-LO$46-LO$49,0)</f>
        <v>0</v>
      </c>
      <c r="LP55" s="40">
        <f t="shared" si="127"/>
        <v>0</v>
      </c>
      <c r="LQ55" s="40">
        <f t="shared" si="127"/>
        <v>0</v>
      </c>
      <c r="LR55" s="40">
        <f t="shared" si="127"/>
        <v>0</v>
      </c>
      <c r="LS55" s="40">
        <f t="shared" si="127"/>
        <v>0</v>
      </c>
      <c r="LT55" s="40">
        <f t="shared" si="127"/>
        <v>0</v>
      </c>
      <c r="LU55" s="40">
        <f t="shared" si="127"/>
        <v>0</v>
      </c>
      <c r="LV55" s="40">
        <f t="shared" si="127"/>
        <v>0</v>
      </c>
      <c r="LW55" s="40">
        <f t="shared" si="127"/>
        <v>0</v>
      </c>
      <c r="LX55" s="40">
        <f t="shared" si="127"/>
        <v>0</v>
      </c>
      <c r="LY55" s="40">
        <f t="shared" si="127"/>
        <v>0</v>
      </c>
      <c r="LZ55" s="40">
        <f t="shared" si="127"/>
        <v>0</v>
      </c>
      <c r="MA55" s="40">
        <f t="shared" si="127"/>
        <v>0</v>
      </c>
      <c r="MB55" s="40">
        <f t="shared" si="127"/>
        <v>0</v>
      </c>
      <c r="MC55" s="40">
        <f t="shared" si="127"/>
        <v>0</v>
      </c>
      <c r="MD55" s="40">
        <f t="shared" si="127"/>
        <v>0</v>
      </c>
      <c r="ME55" s="40">
        <f t="shared" si="127"/>
        <v>0</v>
      </c>
      <c r="MF55" s="40">
        <f t="shared" si="127"/>
        <v>0</v>
      </c>
      <c r="MG55" s="40">
        <f t="shared" si="127"/>
        <v>0</v>
      </c>
      <c r="MH55" s="40">
        <f t="shared" si="127"/>
        <v>0</v>
      </c>
      <c r="MI55" s="40">
        <f t="shared" si="127"/>
        <v>0</v>
      </c>
      <c r="MJ55" s="40">
        <f t="shared" si="127"/>
        <v>0</v>
      </c>
      <c r="MK55" s="40">
        <f t="shared" si="127"/>
        <v>0</v>
      </c>
      <c r="ML55" s="40">
        <f t="shared" si="127"/>
        <v>0</v>
      </c>
      <c r="MM55" s="40">
        <f t="shared" si="127"/>
        <v>0</v>
      </c>
      <c r="MN55" s="40">
        <f t="shared" si="127"/>
        <v>0</v>
      </c>
      <c r="MO55" s="40">
        <f t="shared" si="127"/>
        <v>0</v>
      </c>
      <c r="MP55" s="40">
        <f t="shared" si="127"/>
        <v>0</v>
      </c>
      <c r="MQ55" s="40">
        <f t="shared" si="127"/>
        <v>0</v>
      </c>
      <c r="MR55" s="40">
        <f t="shared" si="127"/>
        <v>0</v>
      </c>
      <c r="MS55" s="40">
        <f t="shared" si="127"/>
        <v>0</v>
      </c>
      <c r="MT55" s="40">
        <f t="shared" si="127"/>
        <v>0</v>
      </c>
      <c r="MU55" s="40">
        <f t="shared" si="127"/>
        <v>0</v>
      </c>
      <c r="MV55" s="40">
        <f t="shared" si="127"/>
        <v>0</v>
      </c>
      <c r="MW55" s="40">
        <f t="shared" si="127"/>
        <v>0</v>
      </c>
      <c r="MX55" s="40">
        <f t="shared" si="127"/>
        <v>0</v>
      </c>
      <c r="MY55" s="40">
        <f t="shared" si="127"/>
        <v>0</v>
      </c>
      <c r="MZ55" s="40">
        <f t="shared" si="127"/>
        <v>0</v>
      </c>
      <c r="NA55" s="40">
        <f t="shared" si="127"/>
        <v>0</v>
      </c>
      <c r="NB55" s="40">
        <f t="shared" si="127"/>
        <v>0</v>
      </c>
    </row>
    <row r="56" spans="2:367" x14ac:dyDescent="0.15">
      <c r="B56" s="45" t="s">
        <v>411</v>
      </c>
      <c r="C56" s="45"/>
      <c r="F56" s="40">
        <f t="shared" ref="F56:BQ56" si="128">IF(F55&lt;0,F55,IF(F$7=$F$5,F$55,0))</f>
        <v>0</v>
      </c>
      <c r="G56" s="40">
        <f t="shared" si="128"/>
        <v>0</v>
      </c>
      <c r="H56" s="40">
        <f t="shared" si="128"/>
        <v>0</v>
      </c>
      <c r="I56" s="40">
        <f t="shared" si="128"/>
        <v>0</v>
      </c>
      <c r="J56" s="40">
        <f t="shared" si="128"/>
        <v>0</v>
      </c>
      <c r="K56" s="40">
        <f t="shared" si="128"/>
        <v>0</v>
      </c>
      <c r="L56" s="431">
        <f t="shared" si="128"/>
        <v>0</v>
      </c>
      <c r="M56" s="40">
        <f t="shared" si="128"/>
        <v>0</v>
      </c>
      <c r="N56" s="40">
        <f t="shared" si="128"/>
        <v>0</v>
      </c>
      <c r="O56" s="40">
        <f t="shared" si="128"/>
        <v>0</v>
      </c>
      <c r="P56" s="40">
        <f t="shared" si="128"/>
        <v>0</v>
      </c>
      <c r="Q56" s="40">
        <f t="shared" si="128"/>
        <v>0</v>
      </c>
      <c r="R56" s="40">
        <f t="shared" si="128"/>
        <v>0</v>
      </c>
      <c r="S56" s="40">
        <f t="shared" si="128"/>
        <v>0</v>
      </c>
      <c r="T56" s="40">
        <f t="shared" si="128"/>
        <v>0</v>
      </c>
      <c r="U56" s="40">
        <f t="shared" si="128"/>
        <v>0</v>
      </c>
      <c r="V56" s="40">
        <f t="shared" si="128"/>
        <v>0</v>
      </c>
      <c r="W56" s="40">
        <f t="shared" si="128"/>
        <v>0</v>
      </c>
      <c r="X56" s="40">
        <f t="shared" si="128"/>
        <v>0</v>
      </c>
      <c r="Y56" s="40">
        <f t="shared" si="128"/>
        <v>0</v>
      </c>
      <c r="Z56" s="40">
        <f t="shared" si="128"/>
        <v>0</v>
      </c>
      <c r="AA56" s="40">
        <f t="shared" si="128"/>
        <v>0</v>
      </c>
      <c r="AB56" s="40">
        <f t="shared" si="128"/>
        <v>0</v>
      </c>
      <c r="AC56" s="40">
        <f t="shared" si="128"/>
        <v>0</v>
      </c>
      <c r="AD56" s="573">
        <f t="shared" si="128"/>
        <v>0</v>
      </c>
      <c r="AE56" s="40">
        <f t="shared" si="128"/>
        <v>0</v>
      </c>
      <c r="AF56" s="40">
        <f t="shared" si="128"/>
        <v>0</v>
      </c>
      <c r="AG56" s="40">
        <f t="shared" si="128"/>
        <v>0</v>
      </c>
      <c r="AH56" s="40">
        <f t="shared" si="128"/>
        <v>0</v>
      </c>
      <c r="AI56" s="40">
        <f t="shared" si="128"/>
        <v>0</v>
      </c>
      <c r="AJ56" s="40">
        <f t="shared" si="128"/>
        <v>0</v>
      </c>
      <c r="AK56" s="40">
        <f t="shared" si="128"/>
        <v>0</v>
      </c>
      <c r="AL56" s="40">
        <f t="shared" si="128"/>
        <v>0</v>
      </c>
      <c r="AM56" s="40">
        <f t="shared" si="128"/>
        <v>0</v>
      </c>
      <c r="AN56" s="40">
        <f t="shared" si="128"/>
        <v>0</v>
      </c>
      <c r="AO56" s="40">
        <f t="shared" si="128"/>
        <v>0</v>
      </c>
      <c r="AP56" s="40">
        <f t="shared" si="128"/>
        <v>0</v>
      </c>
      <c r="AQ56" s="40">
        <f t="shared" si="128"/>
        <v>0</v>
      </c>
      <c r="AR56" s="40">
        <f t="shared" si="128"/>
        <v>0</v>
      </c>
      <c r="AS56" s="40">
        <f t="shared" si="128"/>
        <v>0</v>
      </c>
      <c r="AT56" s="40">
        <f t="shared" si="128"/>
        <v>0</v>
      </c>
      <c r="AU56" s="40">
        <f t="shared" si="128"/>
        <v>0</v>
      </c>
      <c r="AV56" s="40">
        <f t="shared" si="128"/>
        <v>0</v>
      </c>
      <c r="AW56" s="40">
        <f t="shared" si="128"/>
        <v>0</v>
      </c>
      <c r="AX56" s="40">
        <f t="shared" si="128"/>
        <v>0</v>
      </c>
      <c r="AY56" s="40">
        <f t="shared" si="128"/>
        <v>0</v>
      </c>
      <c r="AZ56" s="40">
        <f t="shared" si="128"/>
        <v>0</v>
      </c>
      <c r="BA56" s="40">
        <f t="shared" si="128"/>
        <v>0</v>
      </c>
      <c r="BB56" s="40">
        <f t="shared" si="128"/>
        <v>0</v>
      </c>
      <c r="BC56" s="40">
        <f t="shared" si="128"/>
        <v>0</v>
      </c>
      <c r="BD56" s="40">
        <f t="shared" si="128"/>
        <v>0</v>
      </c>
      <c r="BE56" s="40">
        <f t="shared" si="128"/>
        <v>0</v>
      </c>
      <c r="BF56" s="40">
        <f t="shared" si="128"/>
        <v>0</v>
      </c>
      <c r="BG56" s="40">
        <f t="shared" si="128"/>
        <v>0</v>
      </c>
      <c r="BH56" s="40">
        <f t="shared" si="128"/>
        <v>0</v>
      </c>
      <c r="BI56" s="40">
        <f t="shared" si="128"/>
        <v>0</v>
      </c>
      <c r="BJ56" s="40">
        <f t="shared" si="128"/>
        <v>0</v>
      </c>
      <c r="BK56" s="40">
        <f t="shared" si="128"/>
        <v>0</v>
      </c>
      <c r="BL56" s="40">
        <f t="shared" si="128"/>
        <v>0</v>
      </c>
      <c r="BM56" s="40">
        <f t="shared" si="128"/>
        <v>0</v>
      </c>
      <c r="BN56" s="40">
        <f t="shared" si="128"/>
        <v>0</v>
      </c>
      <c r="BO56" s="40">
        <f t="shared" si="128"/>
        <v>0</v>
      </c>
      <c r="BP56" s="40">
        <f t="shared" si="128"/>
        <v>0</v>
      </c>
      <c r="BQ56" s="40">
        <f t="shared" si="128"/>
        <v>0</v>
      </c>
      <c r="BR56" s="40">
        <f t="shared" ref="BR56:EC56" si="129">IF(BR55&lt;0,BR55,IF(BR$7=$F$5,BR$55,0))</f>
        <v>0</v>
      </c>
      <c r="BS56" s="40">
        <f t="shared" si="129"/>
        <v>0</v>
      </c>
      <c r="BT56" s="40">
        <f t="shared" si="129"/>
        <v>0</v>
      </c>
      <c r="BU56" s="40">
        <f t="shared" si="129"/>
        <v>0</v>
      </c>
      <c r="BV56" s="40">
        <f t="shared" si="129"/>
        <v>0</v>
      </c>
      <c r="BW56" s="40">
        <f t="shared" si="129"/>
        <v>0</v>
      </c>
      <c r="BX56" s="40">
        <f t="shared" si="129"/>
        <v>0</v>
      </c>
      <c r="BY56" s="40">
        <f t="shared" si="129"/>
        <v>0</v>
      </c>
      <c r="BZ56" s="40">
        <f t="shared" si="129"/>
        <v>0</v>
      </c>
      <c r="CA56" s="40">
        <f t="shared" si="129"/>
        <v>0</v>
      </c>
      <c r="CB56" s="40">
        <f t="shared" si="129"/>
        <v>0</v>
      </c>
      <c r="CC56" s="40">
        <f t="shared" si="129"/>
        <v>0</v>
      </c>
      <c r="CD56" s="40">
        <f t="shared" si="129"/>
        <v>0</v>
      </c>
      <c r="CE56" s="40">
        <f t="shared" si="129"/>
        <v>0</v>
      </c>
      <c r="CF56" s="40">
        <f t="shared" si="129"/>
        <v>0</v>
      </c>
      <c r="CG56" s="40">
        <f t="shared" si="129"/>
        <v>0</v>
      </c>
      <c r="CH56" s="40">
        <f t="shared" si="129"/>
        <v>0</v>
      </c>
      <c r="CI56" s="40">
        <f t="shared" si="129"/>
        <v>0</v>
      </c>
      <c r="CJ56" s="40">
        <f t="shared" si="129"/>
        <v>0</v>
      </c>
      <c r="CK56" s="40">
        <f t="shared" si="129"/>
        <v>0</v>
      </c>
      <c r="CL56" s="40">
        <f t="shared" si="129"/>
        <v>0</v>
      </c>
      <c r="CM56" s="40">
        <f t="shared" si="129"/>
        <v>0</v>
      </c>
      <c r="CN56" s="40">
        <f t="shared" si="129"/>
        <v>0</v>
      </c>
      <c r="CO56" s="40">
        <f t="shared" si="129"/>
        <v>0</v>
      </c>
      <c r="CP56" s="40">
        <f t="shared" si="129"/>
        <v>0</v>
      </c>
      <c r="CQ56" s="40">
        <f t="shared" si="129"/>
        <v>0</v>
      </c>
      <c r="CR56" s="40">
        <f t="shared" si="129"/>
        <v>0</v>
      </c>
      <c r="CS56" s="40">
        <f t="shared" si="129"/>
        <v>0</v>
      </c>
      <c r="CT56" s="40">
        <f t="shared" si="129"/>
        <v>0</v>
      </c>
      <c r="CU56" s="40">
        <f t="shared" si="129"/>
        <v>0</v>
      </c>
      <c r="CV56" s="40">
        <f t="shared" si="129"/>
        <v>0</v>
      </c>
      <c r="CW56" s="40">
        <f t="shared" si="129"/>
        <v>0</v>
      </c>
      <c r="CX56" s="40">
        <f t="shared" si="129"/>
        <v>0</v>
      </c>
      <c r="CY56" s="40">
        <f t="shared" si="129"/>
        <v>0</v>
      </c>
      <c r="CZ56" s="40">
        <f t="shared" si="129"/>
        <v>0</v>
      </c>
      <c r="DA56" s="40">
        <f t="shared" si="129"/>
        <v>0</v>
      </c>
      <c r="DB56" s="40">
        <f t="shared" si="129"/>
        <v>0</v>
      </c>
      <c r="DC56" s="40">
        <f t="shared" si="129"/>
        <v>0</v>
      </c>
      <c r="DD56" s="40">
        <f t="shared" si="129"/>
        <v>0</v>
      </c>
      <c r="DE56" s="40">
        <f t="shared" si="129"/>
        <v>0</v>
      </c>
      <c r="DF56" s="40">
        <f t="shared" si="129"/>
        <v>0</v>
      </c>
      <c r="DG56" s="40">
        <f t="shared" si="129"/>
        <v>0</v>
      </c>
      <c r="DH56" s="40">
        <f t="shared" si="129"/>
        <v>0</v>
      </c>
      <c r="DI56" s="40">
        <f t="shared" si="129"/>
        <v>0</v>
      </c>
      <c r="DJ56" s="40">
        <f t="shared" si="129"/>
        <v>0</v>
      </c>
      <c r="DK56" s="40">
        <f t="shared" si="129"/>
        <v>0</v>
      </c>
      <c r="DL56" s="40">
        <f t="shared" si="129"/>
        <v>0</v>
      </c>
      <c r="DM56" s="40">
        <f t="shared" si="129"/>
        <v>0</v>
      </c>
      <c r="DN56" s="40">
        <f t="shared" si="129"/>
        <v>0</v>
      </c>
      <c r="DO56" s="40">
        <f t="shared" si="129"/>
        <v>0</v>
      </c>
      <c r="DP56" s="40">
        <f t="shared" si="129"/>
        <v>0</v>
      </c>
      <c r="DQ56" s="40">
        <f t="shared" si="129"/>
        <v>0</v>
      </c>
      <c r="DR56" s="40">
        <f t="shared" si="129"/>
        <v>0</v>
      </c>
      <c r="DS56" s="40">
        <f t="shared" si="129"/>
        <v>0</v>
      </c>
      <c r="DT56" s="40">
        <f t="shared" si="129"/>
        <v>0</v>
      </c>
      <c r="DU56" s="40">
        <f t="shared" si="129"/>
        <v>0</v>
      </c>
      <c r="DV56" s="40">
        <f t="shared" si="129"/>
        <v>0</v>
      </c>
      <c r="DW56" s="40">
        <f t="shared" si="129"/>
        <v>0</v>
      </c>
      <c r="DX56" s="40">
        <f t="shared" si="129"/>
        <v>0</v>
      </c>
      <c r="DY56" s="40">
        <f t="shared" si="129"/>
        <v>0</v>
      </c>
      <c r="DZ56" s="40">
        <f t="shared" si="129"/>
        <v>0</v>
      </c>
      <c r="EA56" s="40">
        <f t="shared" si="129"/>
        <v>0</v>
      </c>
      <c r="EB56" s="40">
        <f t="shared" si="129"/>
        <v>0</v>
      </c>
      <c r="EC56" s="40">
        <f t="shared" si="129"/>
        <v>0</v>
      </c>
      <c r="ED56" s="40">
        <f t="shared" ref="ED56:GO56" si="130">IF(ED55&lt;0,ED55,IF(ED$7=$F$5,ED$55,0))</f>
        <v>0</v>
      </c>
      <c r="EE56" s="40">
        <f t="shared" si="130"/>
        <v>0</v>
      </c>
      <c r="EF56" s="40">
        <f t="shared" si="130"/>
        <v>0</v>
      </c>
      <c r="EG56" s="40">
        <f t="shared" si="130"/>
        <v>0</v>
      </c>
      <c r="EH56" s="40">
        <f t="shared" si="130"/>
        <v>0</v>
      </c>
      <c r="EI56" s="40">
        <f t="shared" si="130"/>
        <v>0</v>
      </c>
      <c r="EJ56" s="40">
        <f t="shared" si="130"/>
        <v>0</v>
      </c>
      <c r="EK56" s="40">
        <f t="shared" si="130"/>
        <v>0</v>
      </c>
      <c r="EL56" s="40">
        <f t="shared" si="130"/>
        <v>0</v>
      </c>
      <c r="EM56" s="40">
        <f t="shared" si="130"/>
        <v>0</v>
      </c>
      <c r="EN56" s="40">
        <f t="shared" si="130"/>
        <v>0</v>
      </c>
      <c r="EO56" s="40">
        <f t="shared" si="130"/>
        <v>0</v>
      </c>
      <c r="EP56" s="40">
        <f t="shared" si="130"/>
        <v>0</v>
      </c>
      <c r="EQ56" s="40">
        <f t="shared" si="130"/>
        <v>0</v>
      </c>
      <c r="ER56" s="40">
        <f t="shared" si="130"/>
        <v>0</v>
      </c>
      <c r="ES56" s="40">
        <f t="shared" si="130"/>
        <v>0</v>
      </c>
      <c r="ET56" s="40">
        <f t="shared" si="130"/>
        <v>0</v>
      </c>
      <c r="EU56" s="40">
        <f t="shared" si="130"/>
        <v>0</v>
      </c>
      <c r="EV56" s="40">
        <f t="shared" si="130"/>
        <v>0</v>
      </c>
      <c r="EW56" s="40">
        <f t="shared" si="130"/>
        <v>0</v>
      </c>
      <c r="EX56" s="40">
        <f t="shared" si="130"/>
        <v>0</v>
      </c>
      <c r="EY56" s="40">
        <f t="shared" si="130"/>
        <v>0</v>
      </c>
      <c r="EZ56" s="40">
        <f t="shared" si="130"/>
        <v>0</v>
      </c>
      <c r="FA56" s="40">
        <f t="shared" si="130"/>
        <v>0</v>
      </c>
      <c r="FB56" s="40">
        <f t="shared" si="130"/>
        <v>0</v>
      </c>
      <c r="FC56" s="40">
        <f t="shared" si="130"/>
        <v>0</v>
      </c>
      <c r="FD56" s="40">
        <f t="shared" si="130"/>
        <v>0</v>
      </c>
      <c r="FE56" s="40">
        <f t="shared" si="130"/>
        <v>0</v>
      </c>
      <c r="FF56" s="40">
        <f t="shared" si="130"/>
        <v>0</v>
      </c>
      <c r="FG56" s="40">
        <f t="shared" si="130"/>
        <v>0</v>
      </c>
      <c r="FH56" s="40">
        <f t="shared" si="130"/>
        <v>0</v>
      </c>
      <c r="FI56" s="40">
        <f t="shared" si="130"/>
        <v>0</v>
      </c>
      <c r="FJ56" s="40">
        <f t="shared" si="130"/>
        <v>0</v>
      </c>
      <c r="FK56" s="40">
        <f t="shared" si="130"/>
        <v>0</v>
      </c>
      <c r="FL56" s="40">
        <f t="shared" si="130"/>
        <v>0</v>
      </c>
      <c r="FM56" s="40">
        <f t="shared" si="130"/>
        <v>0</v>
      </c>
      <c r="FN56" s="40">
        <f t="shared" si="130"/>
        <v>0</v>
      </c>
      <c r="FO56" s="40">
        <f t="shared" si="130"/>
        <v>0</v>
      </c>
      <c r="FP56" s="40">
        <f t="shared" si="130"/>
        <v>0</v>
      </c>
      <c r="FQ56" s="40">
        <f t="shared" si="130"/>
        <v>0</v>
      </c>
      <c r="FR56" s="40">
        <f t="shared" si="130"/>
        <v>0</v>
      </c>
      <c r="FS56" s="40">
        <f t="shared" si="130"/>
        <v>0</v>
      </c>
      <c r="FT56" s="40">
        <f t="shared" si="130"/>
        <v>0</v>
      </c>
      <c r="FU56" s="40">
        <f t="shared" si="130"/>
        <v>0</v>
      </c>
      <c r="FV56" s="40">
        <f t="shared" si="130"/>
        <v>0</v>
      </c>
      <c r="FW56" s="40">
        <f t="shared" si="130"/>
        <v>0</v>
      </c>
      <c r="FX56" s="40">
        <f t="shared" si="130"/>
        <v>0</v>
      </c>
      <c r="FY56" s="40">
        <f t="shared" si="130"/>
        <v>0</v>
      </c>
      <c r="FZ56" s="40">
        <f t="shared" si="130"/>
        <v>0</v>
      </c>
      <c r="GA56" s="40">
        <f t="shared" si="130"/>
        <v>0</v>
      </c>
      <c r="GB56" s="40">
        <f t="shared" si="130"/>
        <v>0</v>
      </c>
      <c r="GC56" s="40">
        <f t="shared" si="130"/>
        <v>0</v>
      </c>
      <c r="GD56" s="40">
        <f t="shared" si="130"/>
        <v>326345.36835752073</v>
      </c>
      <c r="GE56" s="40">
        <f t="shared" si="130"/>
        <v>0</v>
      </c>
      <c r="GF56" s="40">
        <f t="shared" si="130"/>
        <v>0</v>
      </c>
      <c r="GG56" s="40">
        <f t="shared" si="130"/>
        <v>0</v>
      </c>
      <c r="GH56" s="40">
        <f t="shared" si="130"/>
        <v>0</v>
      </c>
      <c r="GI56" s="40">
        <f t="shared" si="130"/>
        <v>0</v>
      </c>
      <c r="GJ56" s="40">
        <f t="shared" si="130"/>
        <v>0</v>
      </c>
      <c r="GK56" s="40">
        <f t="shared" si="130"/>
        <v>0</v>
      </c>
      <c r="GL56" s="40">
        <f t="shared" si="130"/>
        <v>0</v>
      </c>
      <c r="GM56" s="40">
        <f t="shared" si="130"/>
        <v>0</v>
      </c>
      <c r="GN56" s="40">
        <f t="shared" si="130"/>
        <v>0</v>
      </c>
      <c r="GO56" s="40">
        <f t="shared" si="130"/>
        <v>0</v>
      </c>
      <c r="GP56" s="40">
        <f t="shared" ref="GP56:JA56" si="131">IF(GP55&lt;0,GP55,IF(GP$7=$F$5,GP$55,0))</f>
        <v>0</v>
      </c>
      <c r="GQ56" s="40">
        <f t="shared" si="131"/>
        <v>0</v>
      </c>
      <c r="GR56" s="40">
        <f t="shared" si="131"/>
        <v>0</v>
      </c>
      <c r="GS56" s="40">
        <f t="shared" si="131"/>
        <v>0</v>
      </c>
      <c r="GT56" s="40">
        <f t="shared" si="131"/>
        <v>0</v>
      </c>
      <c r="GU56" s="40">
        <f t="shared" si="131"/>
        <v>0</v>
      </c>
      <c r="GV56" s="40">
        <f t="shared" si="131"/>
        <v>0</v>
      </c>
      <c r="GW56" s="40">
        <f t="shared" si="131"/>
        <v>0</v>
      </c>
      <c r="GX56" s="40">
        <f t="shared" si="131"/>
        <v>0</v>
      </c>
      <c r="GY56" s="40">
        <f t="shared" si="131"/>
        <v>0</v>
      </c>
      <c r="GZ56" s="40">
        <f t="shared" si="131"/>
        <v>0</v>
      </c>
      <c r="HA56" s="40">
        <f t="shared" si="131"/>
        <v>0</v>
      </c>
      <c r="HB56" s="40">
        <f t="shared" si="131"/>
        <v>0</v>
      </c>
      <c r="HC56" s="40">
        <f t="shared" si="131"/>
        <v>0</v>
      </c>
      <c r="HD56" s="40">
        <f t="shared" si="131"/>
        <v>0</v>
      </c>
      <c r="HE56" s="40">
        <f t="shared" si="131"/>
        <v>0</v>
      </c>
      <c r="HF56" s="40">
        <f t="shared" si="131"/>
        <v>0</v>
      </c>
      <c r="HG56" s="40">
        <f t="shared" si="131"/>
        <v>0</v>
      </c>
      <c r="HH56" s="40">
        <f t="shared" si="131"/>
        <v>0</v>
      </c>
      <c r="HI56" s="40">
        <f t="shared" si="131"/>
        <v>0</v>
      </c>
      <c r="HJ56" s="40">
        <f t="shared" si="131"/>
        <v>0</v>
      </c>
      <c r="HK56" s="40">
        <f t="shared" si="131"/>
        <v>0</v>
      </c>
      <c r="HL56" s="40">
        <f t="shared" si="131"/>
        <v>0</v>
      </c>
      <c r="HM56" s="40">
        <f t="shared" si="131"/>
        <v>0</v>
      </c>
      <c r="HN56" s="40">
        <f t="shared" si="131"/>
        <v>0</v>
      </c>
      <c r="HO56" s="40">
        <f t="shared" si="131"/>
        <v>0</v>
      </c>
      <c r="HP56" s="40">
        <f t="shared" si="131"/>
        <v>0</v>
      </c>
      <c r="HQ56" s="40">
        <f t="shared" si="131"/>
        <v>0</v>
      </c>
      <c r="HR56" s="40">
        <f t="shared" si="131"/>
        <v>0</v>
      </c>
      <c r="HS56" s="40">
        <f t="shared" si="131"/>
        <v>0</v>
      </c>
      <c r="HT56" s="40">
        <f t="shared" si="131"/>
        <v>0</v>
      </c>
      <c r="HU56" s="40">
        <f t="shared" si="131"/>
        <v>0</v>
      </c>
      <c r="HV56" s="40">
        <f t="shared" si="131"/>
        <v>0</v>
      </c>
      <c r="HW56" s="40">
        <f t="shared" si="131"/>
        <v>0</v>
      </c>
      <c r="HX56" s="40">
        <f t="shared" si="131"/>
        <v>0</v>
      </c>
      <c r="HY56" s="40">
        <f t="shared" si="131"/>
        <v>0</v>
      </c>
      <c r="HZ56" s="40">
        <f t="shared" si="131"/>
        <v>0</v>
      </c>
      <c r="IA56" s="40">
        <f t="shared" si="131"/>
        <v>0</v>
      </c>
      <c r="IB56" s="40">
        <f t="shared" si="131"/>
        <v>0</v>
      </c>
      <c r="IC56" s="40">
        <f t="shared" si="131"/>
        <v>0</v>
      </c>
      <c r="ID56" s="40">
        <f t="shared" si="131"/>
        <v>0</v>
      </c>
      <c r="IE56" s="40">
        <f t="shared" si="131"/>
        <v>0</v>
      </c>
      <c r="IF56" s="40">
        <f t="shared" si="131"/>
        <v>0</v>
      </c>
      <c r="IG56" s="40">
        <f t="shared" si="131"/>
        <v>0</v>
      </c>
      <c r="IH56" s="40">
        <f t="shared" si="131"/>
        <v>0</v>
      </c>
      <c r="II56" s="40">
        <f t="shared" si="131"/>
        <v>0</v>
      </c>
      <c r="IJ56" s="40">
        <f t="shared" si="131"/>
        <v>0</v>
      </c>
      <c r="IK56" s="40">
        <f t="shared" si="131"/>
        <v>0</v>
      </c>
      <c r="IL56" s="40">
        <f t="shared" si="131"/>
        <v>0</v>
      </c>
      <c r="IM56" s="40">
        <f t="shared" si="131"/>
        <v>0</v>
      </c>
      <c r="IN56" s="40">
        <f t="shared" si="131"/>
        <v>0</v>
      </c>
      <c r="IO56" s="40">
        <f t="shared" si="131"/>
        <v>0</v>
      </c>
      <c r="IP56" s="40">
        <f t="shared" si="131"/>
        <v>0</v>
      </c>
      <c r="IQ56" s="40">
        <f t="shared" si="131"/>
        <v>0</v>
      </c>
      <c r="IR56" s="40">
        <f t="shared" si="131"/>
        <v>0</v>
      </c>
      <c r="IS56" s="40">
        <f t="shared" si="131"/>
        <v>0</v>
      </c>
      <c r="IT56" s="40">
        <f t="shared" si="131"/>
        <v>0</v>
      </c>
      <c r="IU56" s="40">
        <f t="shared" si="131"/>
        <v>0</v>
      </c>
      <c r="IV56" s="40">
        <f t="shared" si="131"/>
        <v>0</v>
      </c>
      <c r="IW56" s="40">
        <f t="shared" si="131"/>
        <v>0</v>
      </c>
      <c r="IX56" s="40">
        <f t="shared" si="131"/>
        <v>0</v>
      </c>
      <c r="IY56" s="40">
        <f t="shared" si="131"/>
        <v>0</v>
      </c>
      <c r="IZ56" s="40">
        <f t="shared" si="131"/>
        <v>0</v>
      </c>
      <c r="JA56" s="40">
        <f t="shared" si="131"/>
        <v>0</v>
      </c>
      <c r="JB56" s="40">
        <f t="shared" ref="JB56:LM56" si="132">IF(JB55&lt;0,JB55,IF(JB$7=$F$5,JB$55,0))</f>
        <v>0</v>
      </c>
      <c r="JC56" s="40">
        <f t="shared" si="132"/>
        <v>0</v>
      </c>
      <c r="JD56" s="40">
        <f t="shared" si="132"/>
        <v>0</v>
      </c>
      <c r="JE56" s="40">
        <f t="shared" si="132"/>
        <v>0</v>
      </c>
      <c r="JF56" s="40">
        <f t="shared" si="132"/>
        <v>0</v>
      </c>
      <c r="JG56" s="40">
        <f t="shared" si="132"/>
        <v>0</v>
      </c>
      <c r="JH56" s="40">
        <f t="shared" si="132"/>
        <v>0</v>
      </c>
      <c r="JI56" s="40">
        <f t="shared" si="132"/>
        <v>0</v>
      </c>
      <c r="JJ56" s="40">
        <f t="shared" si="132"/>
        <v>0</v>
      </c>
      <c r="JK56" s="40">
        <f t="shared" si="132"/>
        <v>0</v>
      </c>
      <c r="JL56" s="40">
        <f t="shared" si="132"/>
        <v>0</v>
      </c>
      <c r="JM56" s="40">
        <f t="shared" si="132"/>
        <v>0</v>
      </c>
      <c r="JN56" s="40">
        <f t="shared" si="132"/>
        <v>0</v>
      </c>
      <c r="JO56" s="40">
        <f t="shared" si="132"/>
        <v>0</v>
      </c>
      <c r="JP56" s="40">
        <f t="shared" si="132"/>
        <v>0</v>
      </c>
      <c r="JQ56" s="40">
        <f t="shared" si="132"/>
        <v>0</v>
      </c>
      <c r="JR56" s="40">
        <f t="shared" si="132"/>
        <v>0</v>
      </c>
      <c r="JS56" s="40">
        <f t="shared" si="132"/>
        <v>0</v>
      </c>
      <c r="JT56" s="40">
        <f t="shared" si="132"/>
        <v>0</v>
      </c>
      <c r="JU56" s="40">
        <f t="shared" si="132"/>
        <v>0</v>
      </c>
      <c r="JV56" s="40">
        <f t="shared" si="132"/>
        <v>0</v>
      </c>
      <c r="JW56" s="40">
        <f t="shared" si="132"/>
        <v>0</v>
      </c>
      <c r="JX56" s="40">
        <f t="shared" si="132"/>
        <v>0</v>
      </c>
      <c r="JY56" s="40">
        <f t="shared" si="132"/>
        <v>0</v>
      </c>
      <c r="JZ56" s="40">
        <f t="shared" si="132"/>
        <v>0</v>
      </c>
      <c r="KA56" s="40">
        <f t="shared" si="132"/>
        <v>0</v>
      </c>
      <c r="KB56" s="40">
        <f t="shared" si="132"/>
        <v>0</v>
      </c>
      <c r="KC56" s="40">
        <f t="shared" si="132"/>
        <v>0</v>
      </c>
      <c r="KD56" s="40">
        <f t="shared" si="132"/>
        <v>0</v>
      </c>
      <c r="KE56" s="40">
        <f t="shared" si="132"/>
        <v>0</v>
      </c>
      <c r="KF56" s="40">
        <f t="shared" si="132"/>
        <v>0</v>
      </c>
      <c r="KG56" s="40">
        <f t="shared" si="132"/>
        <v>0</v>
      </c>
      <c r="KH56" s="40">
        <f t="shared" si="132"/>
        <v>0</v>
      </c>
      <c r="KI56" s="40">
        <f t="shared" si="132"/>
        <v>0</v>
      </c>
      <c r="KJ56" s="40">
        <f t="shared" si="132"/>
        <v>0</v>
      </c>
      <c r="KK56" s="40">
        <f t="shared" si="132"/>
        <v>0</v>
      </c>
      <c r="KL56" s="40">
        <f t="shared" si="132"/>
        <v>0</v>
      </c>
      <c r="KM56" s="40">
        <f t="shared" si="132"/>
        <v>0</v>
      </c>
      <c r="KN56" s="40">
        <f t="shared" si="132"/>
        <v>0</v>
      </c>
      <c r="KO56" s="40">
        <f t="shared" si="132"/>
        <v>0</v>
      </c>
      <c r="KP56" s="40">
        <f t="shared" si="132"/>
        <v>0</v>
      </c>
      <c r="KQ56" s="40">
        <f t="shared" si="132"/>
        <v>0</v>
      </c>
      <c r="KR56" s="40">
        <f t="shared" si="132"/>
        <v>0</v>
      </c>
      <c r="KS56" s="40">
        <f t="shared" si="132"/>
        <v>0</v>
      </c>
      <c r="KT56" s="40">
        <f t="shared" si="132"/>
        <v>0</v>
      </c>
      <c r="KU56" s="40">
        <f t="shared" si="132"/>
        <v>0</v>
      </c>
      <c r="KV56" s="40">
        <f t="shared" si="132"/>
        <v>0</v>
      </c>
      <c r="KW56" s="40">
        <f t="shared" si="132"/>
        <v>0</v>
      </c>
      <c r="KX56" s="40">
        <f t="shared" si="132"/>
        <v>0</v>
      </c>
      <c r="KY56" s="40">
        <f t="shared" si="132"/>
        <v>0</v>
      </c>
      <c r="KZ56" s="40">
        <f t="shared" si="132"/>
        <v>0</v>
      </c>
      <c r="LA56" s="40">
        <f t="shared" si="132"/>
        <v>0</v>
      </c>
      <c r="LB56" s="40">
        <f t="shared" si="132"/>
        <v>0</v>
      </c>
      <c r="LC56" s="40">
        <f t="shared" si="132"/>
        <v>0</v>
      </c>
      <c r="LD56" s="40">
        <f t="shared" si="132"/>
        <v>0</v>
      </c>
      <c r="LE56" s="40">
        <f t="shared" si="132"/>
        <v>0</v>
      </c>
      <c r="LF56" s="40">
        <f t="shared" si="132"/>
        <v>0</v>
      </c>
      <c r="LG56" s="40">
        <f t="shared" si="132"/>
        <v>0</v>
      </c>
      <c r="LH56" s="40">
        <f t="shared" si="132"/>
        <v>0</v>
      </c>
      <c r="LI56" s="40">
        <f t="shared" si="132"/>
        <v>0</v>
      </c>
      <c r="LJ56" s="40">
        <f t="shared" si="132"/>
        <v>0</v>
      </c>
      <c r="LK56" s="40">
        <f t="shared" si="132"/>
        <v>0</v>
      </c>
      <c r="LL56" s="40">
        <f t="shared" si="132"/>
        <v>0</v>
      </c>
      <c r="LM56" s="40">
        <f t="shared" si="132"/>
        <v>0</v>
      </c>
      <c r="LN56" s="40">
        <f t="shared" ref="LN56:NB56" si="133">IF(LN55&lt;0,LN55,IF(LN$7=$F$5,LN$55,0))</f>
        <v>0</v>
      </c>
      <c r="LO56" s="40">
        <f t="shared" si="133"/>
        <v>0</v>
      </c>
      <c r="LP56" s="40">
        <f t="shared" si="133"/>
        <v>0</v>
      </c>
      <c r="LQ56" s="40">
        <f t="shared" si="133"/>
        <v>0</v>
      </c>
      <c r="LR56" s="40">
        <f t="shared" si="133"/>
        <v>0</v>
      </c>
      <c r="LS56" s="40">
        <f t="shared" si="133"/>
        <v>0</v>
      </c>
      <c r="LT56" s="40">
        <f t="shared" si="133"/>
        <v>0</v>
      </c>
      <c r="LU56" s="40">
        <f t="shared" si="133"/>
        <v>0</v>
      </c>
      <c r="LV56" s="40">
        <f t="shared" si="133"/>
        <v>0</v>
      </c>
      <c r="LW56" s="40">
        <f t="shared" si="133"/>
        <v>0</v>
      </c>
      <c r="LX56" s="40">
        <f t="shared" si="133"/>
        <v>0</v>
      </c>
      <c r="LY56" s="40">
        <f t="shared" si="133"/>
        <v>0</v>
      </c>
      <c r="LZ56" s="40">
        <f t="shared" si="133"/>
        <v>0</v>
      </c>
      <c r="MA56" s="40">
        <f t="shared" si="133"/>
        <v>0</v>
      </c>
      <c r="MB56" s="40">
        <f t="shared" si="133"/>
        <v>0</v>
      </c>
      <c r="MC56" s="40">
        <f t="shared" si="133"/>
        <v>0</v>
      </c>
      <c r="MD56" s="40">
        <f t="shared" si="133"/>
        <v>0</v>
      </c>
      <c r="ME56" s="40">
        <f t="shared" si="133"/>
        <v>0</v>
      </c>
      <c r="MF56" s="40">
        <f t="shared" si="133"/>
        <v>0</v>
      </c>
      <c r="MG56" s="40">
        <f t="shared" si="133"/>
        <v>0</v>
      </c>
      <c r="MH56" s="40">
        <f t="shared" si="133"/>
        <v>0</v>
      </c>
      <c r="MI56" s="40">
        <f t="shared" si="133"/>
        <v>0</v>
      </c>
      <c r="MJ56" s="40">
        <f t="shared" si="133"/>
        <v>0</v>
      </c>
      <c r="MK56" s="40">
        <f t="shared" si="133"/>
        <v>0</v>
      </c>
      <c r="ML56" s="40">
        <f t="shared" si="133"/>
        <v>0</v>
      </c>
      <c r="MM56" s="40">
        <f t="shared" si="133"/>
        <v>0</v>
      </c>
      <c r="MN56" s="40">
        <f t="shared" si="133"/>
        <v>0</v>
      </c>
      <c r="MO56" s="40">
        <f t="shared" si="133"/>
        <v>0</v>
      </c>
      <c r="MP56" s="40">
        <f t="shared" si="133"/>
        <v>0</v>
      </c>
      <c r="MQ56" s="40">
        <f t="shared" si="133"/>
        <v>0</v>
      </c>
      <c r="MR56" s="40">
        <f t="shared" si="133"/>
        <v>0</v>
      </c>
      <c r="MS56" s="40">
        <f t="shared" si="133"/>
        <v>0</v>
      </c>
      <c r="MT56" s="40">
        <f t="shared" si="133"/>
        <v>0</v>
      </c>
      <c r="MU56" s="40">
        <f t="shared" si="133"/>
        <v>0</v>
      </c>
      <c r="MV56" s="40">
        <f t="shared" si="133"/>
        <v>0</v>
      </c>
      <c r="MW56" s="40">
        <f t="shared" si="133"/>
        <v>0</v>
      </c>
      <c r="MX56" s="40">
        <f t="shared" si="133"/>
        <v>0</v>
      </c>
      <c r="MY56" s="40">
        <f t="shared" si="133"/>
        <v>0</v>
      </c>
      <c r="MZ56" s="40">
        <f t="shared" si="133"/>
        <v>0</v>
      </c>
      <c r="NA56" s="40">
        <f t="shared" si="133"/>
        <v>0</v>
      </c>
      <c r="NB56" s="40">
        <f t="shared" si="133"/>
        <v>0</v>
      </c>
    </row>
    <row r="57" spans="2:367" x14ac:dyDescent="0.15">
      <c r="B57" s="65"/>
      <c r="C57" s="65"/>
      <c r="D57" s="6"/>
      <c r="E57" s="34"/>
      <c r="F57" s="15"/>
      <c r="G57" s="15"/>
      <c r="H57" s="15"/>
      <c r="I57" s="15"/>
      <c r="J57" s="15"/>
      <c r="K57" s="15"/>
      <c r="L57" s="383"/>
      <c r="M57" s="15"/>
      <c r="N57" s="15"/>
      <c r="O57" s="15"/>
      <c r="P57" s="15"/>
      <c r="Q57" s="15"/>
      <c r="R57" s="15"/>
      <c r="S57" s="15"/>
      <c r="T57" s="15"/>
      <c r="U57" s="15"/>
      <c r="V57" s="15"/>
      <c r="W57" s="15"/>
      <c r="X57" s="15"/>
      <c r="Y57" s="15"/>
      <c r="Z57" s="15"/>
      <c r="AA57" s="15"/>
      <c r="AB57" s="15"/>
      <c r="AC57" s="15"/>
      <c r="AD57" s="15"/>
      <c r="AE57" s="15"/>
      <c r="AF57" s="15"/>
      <c r="AG57" s="15"/>
      <c r="AH57" s="15"/>
      <c r="AI57" s="15"/>
      <c r="AJ57" s="15"/>
      <c r="AK57" s="15"/>
      <c r="AL57" s="15"/>
      <c r="AM57" s="15"/>
      <c r="AN57" s="15"/>
      <c r="AO57" s="15"/>
      <c r="AP57" s="15"/>
      <c r="AQ57" s="15"/>
      <c r="AR57" s="15"/>
      <c r="AS57" s="15"/>
      <c r="AT57" s="15"/>
      <c r="AU57" s="15"/>
      <c r="AV57" s="15"/>
      <c r="AW57" s="15"/>
      <c r="AX57" s="15"/>
      <c r="AY57" s="15"/>
      <c r="AZ57" s="15"/>
      <c r="BA57" s="15"/>
      <c r="BB57" s="15"/>
      <c r="BC57" s="15"/>
      <c r="BD57" s="15"/>
      <c r="BE57" s="15"/>
      <c r="BF57" s="15"/>
      <c r="BG57" s="15"/>
      <c r="BH57" s="15"/>
      <c r="BI57" s="15"/>
      <c r="BJ57" s="15"/>
      <c r="BK57" s="15"/>
      <c r="BL57" s="15"/>
      <c r="BM57" s="15"/>
      <c r="BN57" s="15"/>
      <c r="BO57" s="15"/>
      <c r="BP57" s="15"/>
      <c r="BQ57" s="15"/>
      <c r="BR57" s="15"/>
      <c r="BS57" s="15"/>
      <c r="BT57" s="15"/>
      <c r="BU57" s="15"/>
      <c r="BV57" s="15"/>
      <c r="BW57" s="15"/>
      <c r="BX57" s="15"/>
      <c r="BY57" s="15"/>
      <c r="BZ57" s="15"/>
      <c r="CA57" s="15"/>
      <c r="CB57" s="15"/>
      <c r="CC57" s="15"/>
      <c r="CD57" s="15"/>
      <c r="CE57" s="15"/>
      <c r="CF57" s="15"/>
      <c r="CG57" s="15"/>
      <c r="CH57" s="15"/>
      <c r="CI57" s="15"/>
      <c r="CJ57" s="15"/>
      <c r="CK57" s="15"/>
      <c r="CL57" s="15"/>
      <c r="CM57" s="15"/>
      <c r="CN57" s="15"/>
      <c r="CO57" s="15"/>
      <c r="CP57" s="15"/>
      <c r="CQ57" s="15"/>
      <c r="CR57" s="15"/>
      <c r="CS57" s="15"/>
      <c r="CT57" s="15"/>
      <c r="CU57" s="15"/>
      <c r="CV57" s="15"/>
      <c r="CW57" s="15"/>
      <c r="CX57" s="15"/>
      <c r="CY57" s="15"/>
      <c r="CZ57" s="15"/>
      <c r="DA57" s="15"/>
      <c r="DB57" s="15"/>
      <c r="DC57" s="15"/>
      <c r="DD57" s="15"/>
      <c r="DE57" s="15"/>
      <c r="DF57" s="15"/>
      <c r="DG57" s="15"/>
      <c r="DH57" s="15"/>
      <c r="DI57" s="15"/>
      <c r="DJ57" s="15"/>
      <c r="DK57" s="15"/>
      <c r="DL57" s="15"/>
      <c r="DM57" s="15"/>
      <c r="DN57" s="15"/>
      <c r="DO57" s="15"/>
      <c r="DP57" s="15"/>
      <c r="DQ57" s="15"/>
      <c r="DR57" s="15"/>
      <c r="DS57" s="15"/>
      <c r="DT57" s="15"/>
      <c r="DU57" s="15"/>
      <c r="DV57" s="15"/>
      <c r="DW57" s="15"/>
      <c r="DX57" s="15"/>
      <c r="DY57" s="15"/>
      <c r="DZ57" s="15"/>
      <c r="EA57" s="15"/>
      <c r="EB57" s="15"/>
      <c r="EC57" s="15"/>
      <c r="ED57" s="15"/>
      <c r="EE57" s="15"/>
      <c r="EF57" s="15"/>
      <c r="EG57" s="15"/>
      <c r="EH57" s="15"/>
      <c r="EI57" s="15"/>
      <c r="EJ57" s="15"/>
      <c r="EK57" s="15"/>
      <c r="EL57" s="15"/>
      <c r="EM57" s="15"/>
      <c r="EN57" s="15"/>
      <c r="EO57" s="15"/>
      <c r="EP57" s="15"/>
      <c r="EQ57" s="15"/>
      <c r="ER57" s="15"/>
      <c r="ES57" s="15"/>
      <c r="ET57" s="15"/>
      <c r="EU57" s="15"/>
      <c r="EV57" s="15"/>
      <c r="EW57" s="15"/>
      <c r="EX57" s="15"/>
      <c r="EY57" s="15"/>
      <c r="EZ57" s="15"/>
      <c r="FA57" s="15"/>
      <c r="FB57" s="15"/>
      <c r="FC57" s="15"/>
      <c r="FD57" s="15"/>
      <c r="FE57" s="15"/>
      <c r="FF57" s="15"/>
      <c r="FG57" s="15"/>
      <c r="FH57" s="15"/>
      <c r="FI57" s="15"/>
      <c r="FJ57" s="15"/>
      <c r="FK57" s="15"/>
      <c r="FL57" s="15"/>
      <c r="FM57" s="15"/>
      <c r="FN57" s="15"/>
      <c r="FO57" s="15"/>
      <c r="FP57" s="15"/>
      <c r="FQ57" s="15"/>
      <c r="FR57" s="15"/>
      <c r="FS57" s="15"/>
      <c r="FT57" s="15"/>
      <c r="FU57" s="15"/>
      <c r="FV57" s="15"/>
      <c r="FW57" s="15"/>
      <c r="FX57" s="15"/>
      <c r="FY57" s="15"/>
      <c r="FZ57" s="15"/>
      <c r="GA57" s="15"/>
      <c r="GB57" s="15"/>
      <c r="GC57" s="15"/>
      <c r="GD57" s="15"/>
      <c r="GE57" s="15"/>
      <c r="GF57" s="15"/>
      <c r="GG57" s="15"/>
      <c r="GH57" s="15"/>
      <c r="GI57" s="15"/>
      <c r="GJ57" s="15"/>
      <c r="GK57" s="15"/>
      <c r="GL57" s="15"/>
      <c r="GM57" s="15"/>
      <c r="GN57" s="15"/>
      <c r="GO57" s="15"/>
      <c r="GP57" s="15"/>
      <c r="GQ57" s="15"/>
      <c r="GR57" s="15"/>
      <c r="GS57" s="15"/>
      <c r="GT57" s="15"/>
      <c r="GU57" s="15"/>
      <c r="GV57" s="15"/>
      <c r="GW57" s="15"/>
      <c r="GX57" s="15"/>
      <c r="GY57" s="15"/>
      <c r="GZ57" s="15"/>
      <c r="HA57" s="15"/>
      <c r="HB57" s="15"/>
      <c r="HC57" s="15"/>
      <c r="HD57" s="15"/>
      <c r="HE57" s="15"/>
      <c r="HF57" s="15"/>
      <c r="HG57" s="15"/>
      <c r="HH57" s="15"/>
      <c r="HI57" s="15"/>
      <c r="HJ57" s="15"/>
      <c r="HK57" s="15"/>
      <c r="HL57" s="15"/>
      <c r="HM57" s="15"/>
      <c r="HN57" s="15"/>
      <c r="HO57" s="15"/>
      <c r="HP57" s="15"/>
      <c r="HQ57" s="15"/>
      <c r="HR57" s="15"/>
      <c r="HS57" s="15"/>
      <c r="HT57" s="15"/>
      <c r="HU57" s="15"/>
      <c r="HV57" s="15"/>
      <c r="HW57" s="15"/>
      <c r="HX57" s="15"/>
      <c r="HY57" s="15"/>
      <c r="HZ57" s="15"/>
      <c r="IA57" s="15"/>
      <c r="IB57" s="15"/>
      <c r="IC57" s="15"/>
      <c r="ID57" s="15"/>
      <c r="IE57" s="15"/>
      <c r="IF57" s="15"/>
      <c r="IG57" s="15"/>
      <c r="IH57" s="15"/>
      <c r="II57" s="15"/>
      <c r="IJ57" s="15"/>
      <c r="IK57" s="15"/>
      <c r="IL57" s="15"/>
      <c r="IM57" s="15"/>
      <c r="IN57" s="15"/>
      <c r="IO57" s="15"/>
      <c r="IP57" s="15"/>
      <c r="IQ57" s="15"/>
      <c r="IR57" s="15"/>
      <c r="IS57" s="15"/>
      <c r="IT57" s="15"/>
      <c r="IU57" s="15"/>
      <c r="IV57" s="15"/>
      <c r="IW57" s="15"/>
      <c r="IX57" s="15"/>
      <c r="IY57" s="15"/>
      <c r="IZ57" s="15"/>
      <c r="JA57" s="15"/>
      <c r="JB57" s="15"/>
      <c r="JC57" s="15"/>
      <c r="JD57" s="15"/>
      <c r="JE57" s="15"/>
      <c r="JF57" s="15"/>
      <c r="JG57" s="15"/>
      <c r="JH57" s="15"/>
      <c r="JI57" s="15"/>
      <c r="JJ57" s="15"/>
      <c r="JK57" s="15"/>
      <c r="JL57" s="15"/>
      <c r="JM57" s="15"/>
      <c r="JN57" s="15"/>
      <c r="JO57" s="15"/>
      <c r="JP57" s="15"/>
      <c r="JQ57" s="15"/>
      <c r="JR57" s="15"/>
      <c r="JS57" s="15"/>
      <c r="JT57" s="15"/>
      <c r="JU57" s="15"/>
      <c r="JV57" s="15"/>
      <c r="JW57" s="15"/>
      <c r="JX57" s="15"/>
      <c r="JY57" s="15"/>
      <c r="JZ57" s="15"/>
      <c r="KA57" s="15"/>
      <c r="KB57" s="15"/>
      <c r="KC57" s="15"/>
      <c r="KD57" s="15"/>
      <c r="KE57" s="15"/>
      <c r="KF57" s="15"/>
      <c r="KG57" s="15"/>
      <c r="KH57" s="15"/>
      <c r="KI57" s="15"/>
      <c r="KJ57" s="15"/>
      <c r="KK57" s="15"/>
      <c r="KL57" s="15"/>
      <c r="KM57" s="15"/>
      <c r="KN57" s="15"/>
      <c r="KO57" s="15"/>
      <c r="KP57" s="15"/>
      <c r="KQ57" s="15"/>
      <c r="KR57" s="15"/>
      <c r="KS57" s="15"/>
      <c r="KT57" s="15"/>
      <c r="KU57" s="15"/>
      <c r="KV57" s="15"/>
      <c r="KW57" s="15"/>
      <c r="KX57" s="15"/>
      <c r="KY57" s="15"/>
      <c r="KZ57" s="15"/>
      <c r="LA57" s="15"/>
      <c r="LB57" s="15"/>
      <c r="LC57" s="15"/>
      <c r="LD57" s="15"/>
      <c r="LE57" s="15"/>
      <c r="LF57" s="15"/>
      <c r="LG57" s="15"/>
      <c r="LH57" s="15"/>
      <c r="LI57" s="15"/>
      <c r="LJ57" s="15"/>
      <c r="LK57" s="15"/>
      <c r="LL57" s="15"/>
      <c r="LM57" s="15"/>
      <c r="LN57" s="15"/>
      <c r="LO57" s="15"/>
      <c r="LP57" s="15"/>
      <c r="LQ57" s="15"/>
      <c r="LR57" s="15"/>
      <c r="LS57" s="15"/>
      <c r="LT57" s="15"/>
      <c r="LU57" s="15"/>
      <c r="LV57" s="15"/>
      <c r="LW57" s="15"/>
      <c r="LX57" s="15"/>
      <c r="LY57" s="15"/>
      <c r="LZ57" s="15"/>
      <c r="MA57" s="15"/>
      <c r="MB57" s="15"/>
      <c r="MC57" s="15"/>
      <c r="MD57" s="15"/>
      <c r="ME57" s="15"/>
      <c r="MF57" s="15"/>
      <c r="MG57" s="15"/>
      <c r="MH57" s="15"/>
      <c r="MI57" s="15"/>
      <c r="MJ57" s="15"/>
      <c r="MK57" s="15"/>
      <c r="ML57" s="15"/>
      <c r="MM57" s="15"/>
      <c r="MN57" s="15"/>
      <c r="MO57" s="15"/>
      <c r="MP57" s="15"/>
      <c r="MQ57" s="15"/>
      <c r="MR57" s="15"/>
      <c r="MS57" s="15"/>
      <c r="MT57" s="15"/>
      <c r="MU57" s="15"/>
      <c r="MV57" s="15"/>
      <c r="MW57" s="15"/>
      <c r="MX57" s="15"/>
      <c r="MY57" s="15"/>
      <c r="MZ57" s="15"/>
      <c r="NA57" s="15"/>
      <c r="NB57" s="15"/>
    </row>
    <row r="58" spans="2:367" x14ac:dyDescent="0.15">
      <c r="B58" s="4" t="s">
        <v>126</v>
      </c>
      <c r="C58" s="4"/>
      <c r="F58" s="40">
        <f>F40-F45-F48+F56</f>
        <v>0</v>
      </c>
      <c r="G58" s="40">
        <f t="shared" ref="G58:BR58" si="134">G40-G45-G48+G56</f>
        <v>-106461.711075</v>
      </c>
      <c r="H58" s="40">
        <f t="shared" si="134"/>
        <v>-106461.711075</v>
      </c>
      <c r="I58" s="40">
        <f t="shared" si="134"/>
        <v>-106461.711075</v>
      </c>
      <c r="J58" s="40">
        <f t="shared" si="134"/>
        <v>0</v>
      </c>
      <c r="K58" s="40">
        <f t="shared" si="134"/>
        <v>0</v>
      </c>
      <c r="L58" s="431">
        <f t="shared" si="134"/>
        <v>0</v>
      </c>
      <c r="M58" s="40">
        <f t="shared" si="134"/>
        <v>0</v>
      </c>
      <c r="N58" s="40">
        <f t="shared" si="134"/>
        <v>0</v>
      </c>
      <c r="O58" s="40">
        <f t="shared" si="134"/>
        <v>0</v>
      </c>
      <c r="P58" s="40">
        <f t="shared" si="134"/>
        <v>0</v>
      </c>
      <c r="Q58" s="40">
        <f t="shared" si="134"/>
        <v>0</v>
      </c>
      <c r="R58" s="40">
        <f t="shared" si="134"/>
        <v>0</v>
      </c>
      <c r="S58" s="40">
        <f t="shared" si="134"/>
        <v>0</v>
      </c>
      <c r="T58" s="40">
        <f t="shared" si="134"/>
        <v>0</v>
      </c>
      <c r="U58" s="40">
        <f t="shared" si="134"/>
        <v>0</v>
      </c>
      <c r="V58" s="40">
        <f t="shared" si="134"/>
        <v>0</v>
      </c>
      <c r="W58" s="40">
        <f t="shared" si="134"/>
        <v>0</v>
      </c>
      <c r="X58" s="40">
        <f t="shared" si="134"/>
        <v>0</v>
      </c>
      <c r="Y58" s="40">
        <f t="shared" si="134"/>
        <v>0</v>
      </c>
      <c r="Z58" s="40">
        <f t="shared" si="134"/>
        <v>0</v>
      </c>
      <c r="AA58" s="40">
        <f t="shared" si="134"/>
        <v>0</v>
      </c>
      <c r="AB58" s="40">
        <f t="shared" si="134"/>
        <v>0</v>
      </c>
      <c r="AC58" s="40">
        <f t="shared" si="134"/>
        <v>0</v>
      </c>
      <c r="AD58" s="573">
        <f t="shared" si="134"/>
        <v>0</v>
      </c>
      <c r="AE58" s="40">
        <f t="shared" si="134"/>
        <v>0</v>
      </c>
      <c r="AF58" s="40">
        <f t="shared" si="134"/>
        <v>0</v>
      </c>
      <c r="AG58" s="40">
        <f t="shared" si="134"/>
        <v>0</v>
      </c>
      <c r="AH58" s="40">
        <f t="shared" si="134"/>
        <v>0</v>
      </c>
      <c r="AI58" s="40">
        <f t="shared" si="134"/>
        <v>0</v>
      </c>
      <c r="AJ58" s="40">
        <f t="shared" si="134"/>
        <v>0</v>
      </c>
      <c r="AK58" s="40">
        <f t="shared" si="134"/>
        <v>0</v>
      </c>
      <c r="AL58" s="40">
        <f t="shared" si="134"/>
        <v>0</v>
      </c>
      <c r="AM58" s="40">
        <f t="shared" si="134"/>
        <v>0</v>
      </c>
      <c r="AN58" s="40">
        <f t="shared" si="134"/>
        <v>0</v>
      </c>
      <c r="AO58" s="40">
        <f t="shared" si="134"/>
        <v>0</v>
      </c>
      <c r="AP58" s="40">
        <f t="shared" si="134"/>
        <v>0</v>
      </c>
      <c r="AQ58" s="40">
        <f t="shared" si="134"/>
        <v>369.08414719279244</v>
      </c>
      <c r="AR58" s="40">
        <f t="shared" si="134"/>
        <v>369.08414719279244</v>
      </c>
      <c r="AS58" s="40">
        <f t="shared" si="134"/>
        <v>369.08414719279244</v>
      </c>
      <c r="AT58" s="40">
        <f t="shared" si="134"/>
        <v>369.08414719279244</v>
      </c>
      <c r="AU58" s="40">
        <f t="shared" si="134"/>
        <v>369.08414719279244</v>
      </c>
      <c r="AV58" s="40">
        <f t="shared" si="134"/>
        <v>369.08414719279244</v>
      </c>
      <c r="AW58" s="40">
        <f t="shared" si="134"/>
        <v>369.08414719279244</v>
      </c>
      <c r="AX58" s="40">
        <f t="shared" si="134"/>
        <v>369.08414719279244</v>
      </c>
      <c r="AY58" s="40">
        <f t="shared" si="134"/>
        <v>369.08414719279244</v>
      </c>
      <c r="AZ58" s="40">
        <f t="shared" si="134"/>
        <v>369.08414719279244</v>
      </c>
      <c r="BA58" s="40">
        <f t="shared" si="134"/>
        <v>369.08414719279244</v>
      </c>
      <c r="BB58" s="40">
        <f t="shared" si="134"/>
        <v>369.08414719279244</v>
      </c>
      <c r="BC58" s="40">
        <f t="shared" si="134"/>
        <v>1312.5480714578298</v>
      </c>
      <c r="BD58" s="40">
        <f t="shared" si="134"/>
        <v>1312.5480714578298</v>
      </c>
      <c r="BE58" s="40">
        <f t="shared" si="134"/>
        <v>1312.5480714578298</v>
      </c>
      <c r="BF58" s="40">
        <f t="shared" si="134"/>
        <v>1312.5480714578298</v>
      </c>
      <c r="BG58" s="40">
        <f t="shared" si="134"/>
        <v>1312.5480714578298</v>
      </c>
      <c r="BH58" s="40">
        <f t="shared" si="134"/>
        <v>1312.5480714578298</v>
      </c>
      <c r="BI58" s="40">
        <f t="shared" si="134"/>
        <v>1312.5480714578298</v>
      </c>
      <c r="BJ58" s="40">
        <f t="shared" si="134"/>
        <v>1312.5480714578298</v>
      </c>
      <c r="BK58" s="40">
        <f t="shared" si="134"/>
        <v>1312.5480714578298</v>
      </c>
      <c r="BL58" s="40">
        <f t="shared" si="134"/>
        <v>1312.5480714578298</v>
      </c>
      <c r="BM58" s="40">
        <f t="shared" si="134"/>
        <v>1312.5480714578298</v>
      </c>
      <c r="BN58" s="40">
        <f t="shared" si="134"/>
        <v>1312.5480714578298</v>
      </c>
      <c r="BO58" s="40">
        <f t="shared" si="134"/>
        <v>2285.626816434662</v>
      </c>
      <c r="BP58" s="40">
        <f t="shared" si="134"/>
        <v>2285.626816434662</v>
      </c>
      <c r="BQ58" s="40">
        <f t="shared" si="134"/>
        <v>2285.626816434662</v>
      </c>
      <c r="BR58" s="40">
        <f t="shared" si="134"/>
        <v>2285.626816434662</v>
      </c>
      <c r="BS58" s="40">
        <f t="shared" ref="BS58:ED58" si="135">BS40-BS45-BS48+BS56</f>
        <v>2285.626816434662</v>
      </c>
      <c r="BT58" s="40">
        <f t="shared" si="135"/>
        <v>2285.626816434662</v>
      </c>
      <c r="BU58" s="40">
        <f t="shared" si="135"/>
        <v>2285.626816434662</v>
      </c>
      <c r="BV58" s="40">
        <f t="shared" si="135"/>
        <v>2285.626816434662</v>
      </c>
      <c r="BW58" s="40">
        <f t="shared" si="135"/>
        <v>2285.626816434662</v>
      </c>
      <c r="BX58" s="40">
        <f t="shared" si="135"/>
        <v>2285.626816434662</v>
      </c>
      <c r="BY58" s="40">
        <f t="shared" si="135"/>
        <v>2285.626816434662</v>
      </c>
      <c r="BZ58" s="40">
        <f t="shared" si="135"/>
        <v>2285.626816434662</v>
      </c>
      <c r="CA58" s="40">
        <f t="shared" si="135"/>
        <v>3289.2368009212696</v>
      </c>
      <c r="CB58" s="40">
        <f t="shared" si="135"/>
        <v>3289.2368009212696</v>
      </c>
      <c r="CC58" s="40">
        <f t="shared" si="135"/>
        <v>3289.2368009212696</v>
      </c>
      <c r="CD58" s="40">
        <f t="shared" si="135"/>
        <v>3289.2368009212696</v>
      </c>
      <c r="CE58" s="40">
        <f t="shared" si="135"/>
        <v>3289.2368009212696</v>
      </c>
      <c r="CF58" s="40">
        <f t="shared" si="135"/>
        <v>3289.2368009212696</v>
      </c>
      <c r="CG58" s="40">
        <f t="shared" si="135"/>
        <v>3289.2368009212696</v>
      </c>
      <c r="CH58" s="40">
        <f t="shared" si="135"/>
        <v>3289.2368009212696</v>
      </c>
      <c r="CI58" s="40">
        <f t="shared" si="135"/>
        <v>3289.2368009212696</v>
      </c>
      <c r="CJ58" s="40">
        <f t="shared" si="135"/>
        <v>3289.2368009212696</v>
      </c>
      <c r="CK58" s="40">
        <f t="shared" si="135"/>
        <v>3289.2368009212696</v>
      </c>
      <c r="CL58" s="40">
        <f t="shared" si="135"/>
        <v>3289.2368009212696</v>
      </c>
      <c r="CM58" s="40">
        <f t="shared" si="135"/>
        <v>4324.3225396660127</v>
      </c>
      <c r="CN58" s="40">
        <f t="shared" si="135"/>
        <v>4324.3225396660127</v>
      </c>
      <c r="CO58" s="40">
        <f t="shared" si="135"/>
        <v>4324.3225396660127</v>
      </c>
      <c r="CP58" s="40">
        <f t="shared" si="135"/>
        <v>4324.3225396660127</v>
      </c>
      <c r="CQ58" s="40">
        <f t="shared" si="135"/>
        <v>4324.3225396660127</v>
      </c>
      <c r="CR58" s="40">
        <f t="shared" si="135"/>
        <v>4324.3225396660127</v>
      </c>
      <c r="CS58" s="40">
        <f t="shared" si="135"/>
        <v>4324.3225396660127</v>
      </c>
      <c r="CT58" s="40">
        <f t="shared" si="135"/>
        <v>4324.3225396660127</v>
      </c>
      <c r="CU58" s="40">
        <f t="shared" si="135"/>
        <v>4324.3225396660127</v>
      </c>
      <c r="CV58" s="40">
        <f t="shared" si="135"/>
        <v>4324.3225396660127</v>
      </c>
      <c r="CW58" s="40">
        <f t="shared" si="135"/>
        <v>4324.3225396660127</v>
      </c>
      <c r="CX58" s="40">
        <f t="shared" si="135"/>
        <v>4324.3225396660127</v>
      </c>
      <c r="CY58" s="40">
        <f t="shared" si="135"/>
        <v>5391.8574994115043</v>
      </c>
      <c r="CZ58" s="40">
        <f t="shared" si="135"/>
        <v>5391.8574994115043</v>
      </c>
      <c r="DA58" s="40">
        <f t="shared" si="135"/>
        <v>5391.8574994115043</v>
      </c>
      <c r="DB58" s="40">
        <f t="shared" si="135"/>
        <v>5391.8574994115043</v>
      </c>
      <c r="DC58" s="40">
        <f t="shared" si="135"/>
        <v>5391.8574994115043</v>
      </c>
      <c r="DD58" s="40">
        <f t="shared" si="135"/>
        <v>5391.8574994115043</v>
      </c>
      <c r="DE58" s="40">
        <f t="shared" si="135"/>
        <v>5391.8574994115043</v>
      </c>
      <c r="DF58" s="40">
        <f t="shared" si="135"/>
        <v>5391.8574994115043</v>
      </c>
      <c r="DG58" s="40">
        <f t="shared" si="135"/>
        <v>5391.8574994115043</v>
      </c>
      <c r="DH58" s="40">
        <f t="shared" si="135"/>
        <v>5391.8574994115043</v>
      </c>
      <c r="DI58" s="40">
        <f t="shared" si="135"/>
        <v>5391.8574994115043</v>
      </c>
      <c r="DJ58" s="40">
        <f t="shared" si="135"/>
        <v>5391.8574994115043</v>
      </c>
      <c r="DK58" s="40">
        <f>DK40-DK45-DK48+DK56</f>
        <v>6492.8449809103913</v>
      </c>
      <c r="DL58" s="40">
        <f t="shared" si="135"/>
        <v>6492.8449809103913</v>
      </c>
      <c r="DM58" s="40">
        <f t="shared" si="135"/>
        <v>6492.8449809103913</v>
      </c>
      <c r="DN58" s="40">
        <f t="shared" si="135"/>
        <v>6492.8449809103913</v>
      </c>
      <c r="DO58" s="40">
        <f t="shared" si="135"/>
        <v>6492.8449809103913</v>
      </c>
      <c r="DP58" s="40">
        <f t="shared" si="135"/>
        <v>6492.8449809103913</v>
      </c>
      <c r="DQ58" s="40">
        <f t="shared" si="135"/>
        <v>6492.8449809103913</v>
      </c>
      <c r="DR58" s="40">
        <f t="shared" si="135"/>
        <v>6492.8449809103913</v>
      </c>
      <c r="DS58" s="40">
        <f t="shared" si="135"/>
        <v>6492.8449809103913</v>
      </c>
      <c r="DT58" s="40">
        <f t="shared" si="135"/>
        <v>6492.8449809103913</v>
      </c>
      <c r="DU58" s="40">
        <f t="shared" si="135"/>
        <v>6492.8449809103913</v>
      </c>
      <c r="DV58" s="40">
        <f t="shared" si="135"/>
        <v>6492.8449809103931</v>
      </c>
      <c r="DW58" s="40">
        <f t="shared" si="135"/>
        <v>7628.3190276990499</v>
      </c>
      <c r="DX58" s="40">
        <f t="shared" si="135"/>
        <v>7628.3190276990481</v>
      </c>
      <c r="DY58" s="40">
        <f t="shared" si="135"/>
        <v>7628.3190276990499</v>
      </c>
      <c r="DZ58" s="40">
        <f t="shared" si="135"/>
        <v>7628.3190276990499</v>
      </c>
      <c r="EA58" s="40">
        <f t="shared" si="135"/>
        <v>7628.3190276990499</v>
      </c>
      <c r="EB58" s="40">
        <f t="shared" si="135"/>
        <v>7628.3190276990517</v>
      </c>
      <c r="EC58" s="40">
        <f t="shared" si="135"/>
        <v>7628.3190276990499</v>
      </c>
      <c r="ED58" s="40">
        <f t="shared" si="135"/>
        <v>7628.3190276990499</v>
      </c>
      <c r="EE58" s="40">
        <f t="shared" ref="EE58:GP58" si="136">EE40-EE45-EE48+EE56</f>
        <v>7628.3190276990499</v>
      </c>
      <c r="EF58" s="40">
        <f t="shared" si="136"/>
        <v>7628.3190276990499</v>
      </c>
      <c r="EG58" s="40">
        <f t="shared" si="136"/>
        <v>7628.3190276990499</v>
      </c>
      <c r="EH58" s="40">
        <f t="shared" si="136"/>
        <v>7628.3190276990499</v>
      </c>
      <c r="EI58" s="40">
        <f t="shared" si="136"/>
        <v>8799.3453624382018</v>
      </c>
      <c r="EJ58" s="40">
        <f t="shared" si="136"/>
        <v>8799.3453624382</v>
      </c>
      <c r="EK58" s="40">
        <f t="shared" si="136"/>
        <v>8799.3453624382037</v>
      </c>
      <c r="EL58" s="40">
        <f t="shared" si="136"/>
        <v>8799.3453624382018</v>
      </c>
      <c r="EM58" s="40">
        <f t="shared" si="136"/>
        <v>8799.3453624382018</v>
      </c>
      <c r="EN58" s="40">
        <f t="shared" si="136"/>
        <v>8799.3453624382018</v>
      </c>
      <c r="EO58" s="40">
        <f t="shared" si="136"/>
        <v>8799.3453624382037</v>
      </c>
      <c r="EP58" s="40">
        <f t="shared" si="136"/>
        <v>8799.3453624382037</v>
      </c>
      <c r="EQ58" s="40">
        <f t="shared" si="136"/>
        <v>8799.3453624382018</v>
      </c>
      <c r="ER58" s="40">
        <f t="shared" si="136"/>
        <v>8799.3453624382018</v>
      </c>
      <c r="ES58" s="40">
        <f t="shared" si="136"/>
        <v>8799.3453624382018</v>
      </c>
      <c r="ET58" s="40">
        <f t="shared" si="136"/>
        <v>8799.3453624382</v>
      </c>
      <c r="EU58" s="40">
        <f t="shared" si="136"/>
        <v>10007.022351654545</v>
      </c>
      <c r="EV58" s="40">
        <f t="shared" si="136"/>
        <v>10007.022351654545</v>
      </c>
      <c r="EW58" s="40">
        <f t="shared" si="136"/>
        <v>10007.022351654543</v>
      </c>
      <c r="EX58" s="40">
        <f t="shared" si="136"/>
        <v>10007.022351654543</v>
      </c>
      <c r="EY58" s="40">
        <f t="shared" si="136"/>
        <v>10007.022351654545</v>
      </c>
      <c r="EZ58" s="40">
        <f t="shared" si="136"/>
        <v>10007.022351654545</v>
      </c>
      <c r="FA58" s="40">
        <f t="shared" si="136"/>
        <v>10007.022351654543</v>
      </c>
      <c r="FB58" s="40">
        <f t="shared" si="136"/>
        <v>10007.022351654545</v>
      </c>
      <c r="FC58" s="40">
        <f t="shared" si="136"/>
        <v>10007.022351654545</v>
      </c>
      <c r="FD58" s="40">
        <f t="shared" si="136"/>
        <v>10007.022351654547</v>
      </c>
      <c r="FE58" s="40">
        <f t="shared" si="136"/>
        <v>10007.022351654543</v>
      </c>
      <c r="FF58" s="40">
        <f t="shared" si="136"/>
        <v>10007.022351654545</v>
      </c>
      <c r="FG58" s="40">
        <f t="shared" si="136"/>
        <v>11252.481999742327</v>
      </c>
      <c r="FH58" s="40">
        <f t="shared" si="136"/>
        <v>11252.481999742326</v>
      </c>
      <c r="FI58" s="40">
        <f t="shared" si="136"/>
        <v>11252.481999742326</v>
      </c>
      <c r="FJ58" s="40">
        <f t="shared" si="136"/>
        <v>11252.481999742326</v>
      </c>
      <c r="FK58" s="40">
        <f t="shared" si="136"/>
        <v>11252.481999742327</v>
      </c>
      <c r="FL58" s="40">
        <f t="shared" si="136"/>
        <v>11252.481999742326</v>
      </c>
      <c r="FM58" s="40">
        <f t="shared" si="136"/>
        <v>11252.481999742324</v>
      </c>
      <c r="FN58" s="40">
        <f t="shared" si="136"/>
        <v>11252.481999742327</v>
      </c>
      <c r="FO58" s="40">
        <f t="shared" si="136"/>
        <v>11252.481999742326</v>
      </c>
      <c r="FP58" s="40">
        <f t="shared" si="136"/>
        <v>11252.481999742324</v>
      </c>
      <c r="FQ58" s="40">
        <f t="shared" si="136"/>
        <v>11252.481999742326</v>
      </c>
      <c r="FR58" s="40">
        <f t="shared" si="136"/>
        <v>11252.481999742326</v>
      </c>
      <c r="FS58" s="40">
        <f t="shared" si="136"/>
        <v>12536.89097310957</v>
      </c>
      <c r="FT58" s="40">
        <f t="shared" si="136"/>
        <v>12536.89097310957</v>
      </c>
      <c r="FU58" s="40">
        <f t="shared" si="136"/>
        <v>12536.890973109572</v>
      </c>
      <c r="FV58" s="40">
        <f t="shared" si="136"/>
        <v>12536.89097310957</v>
      </c>
      <c r="FW58" s="40">
        <f t="shared" si="136"/>
        <v>12536.890973109572</v>
      </c>
      <c r="FX58" s="40">
        <f t="shared" si="136"/>
        <v>12536.89097310957</v>
      </c>
      <c r="FY58" s="40">
        <f t="shared" si="136"/>
        <v>12536.890973109568</v>
      </c>
      <c r="FZ58" s="40">
        <f t="shared" si="136"/>
        <v>12536.89097310957</v>
      </c>
      <c r="GA58" s="40">
        <f t="shared" si="136"/>
        <v>0</v>
      </c>
      <c r="GB58" s="40">
        <f t="shared" si="136"/>
        <v>0</v>
      </c>
      <c r="GC58" s="40">
        <f t="shared" si="136"/>
        <v>0</v>
      </c>
      <c r="GD58" s="40">
        <f>GD40-GD45-GD48+GD56</f>
        <v>338882.2593306303</v>
      </c>
      <c r="GE58" s="40">
        <f t="shared" si="136"/>
        <v>0</v>
      </c>
      <c r="GF58" s="40">
        <f t="shared" si="136"/>
        <v>0</v>
      </c>
      <c r="GG58" s="40">
        <f t="shared" si="136"/>
        <v>0</v>
      </c>
      <c r="GH58" s="40">
        <f t="shared" si="136"/>
        <v>0</v>
      </c>
      <c r="GI58" s="40">
        <f t="shared" si="136"/>
        <v>0</v>
      </c>
      <c r="GJ58" s="40">
        <f t="shared" si="136"/>
        <v>0</v>
      </c>
      <c r="GK58" s="40">
        <f t="shared" si="136"/>
        <v>0</v>
      </c>
      <c r="GL58" s="40">
        <f t="shared" si="136"/>
        <v>0</v>
      </c>
      <c r="GM58" s="40">
        <f t="shared" si="136"/>
        <v>0</v>
      </c>
      <c r="GN58" s="40">
        <f t="shared" si="136"/>
        <v>0</v>
      </c>
      <c r="GO58" s="40">
        <f t="shared" si="136"/>
        <v>0</v>
      </c>
      <c r="GP58" s="40">
        <f t="shared" si="136"/>
        <v>0</v>
      </c>
      <c r="GQ58" s="40">
        <f t="shared" ref="GQ58:JB58" si="137">GQ40-GQ45-GQ48+GQ56</f>
        <v>0</v>
      </c>
      <c r="GR58" s="40">
        <f t="shared" si="137"/>
        <v>0</v>
      </c>
      <c r="GS58" s="40">
        <f t="shared" si="137"/>
        <v>0</v>
      </c>
      <c r="GT58" s="40">
        <f t="shared" si="137"/>
        <v>0</v>
      </c>
      <c r="GU58" s="40">
        <f t="shared" si="137"/>
        <v>0</v>
      </c>
      <c r="GV58" s="40">
        <f t="shared" si="137"/>
        <v>0</v>
      </c>
      <c r="GW58" s="40">
        <f t="shared" si="137"/>
        <v>0</v>
      </c>
      <c r="GX58" s="40">
        <f t="shared" si="137"/>
        <v>0</v>
      </c>
      <c r="GY58" s="40">
        <f t="shared" si="137"/>
        <v>0</v>
      </c>
      <c r="GZ58" s="40">
        <f t="shared" si="137"/>
        <v>0</v>
      </c>
      <c r="HA58" s="40">
        <f t="shared" si="137"/>
        <v>0</v>
      </c>
      <c r="HB58" s="40">
        <f t="shared" si="137"/>
        <v>0</v>
      </c>
      <c r="HC58" s="40">
        <f t="shared" si="137"/>
        <v>0</v>
      </c>
      <c r="HD58" s="40">
        <f t="shared" si="137"/>
        <v>0</v>
      </c>
      <c r="HE58" s="40">
        <f t="shared" si="137"/>
        <v>0</v>
      </c>
      <c r="HF58" s="40">
        <f t="shared" si="137"/>
        <v>0</v>
      </c>
      <c r="HG58" s="40">
        <f t="shared" si="137"/>
        <v>0</v>
      </c>
      <c r="HH58" s="40">
        <f t="shared" si="137"/>
        <v>0</v>
      </c>
      <c r="HI58" s="40">
        <f t="shared" si="137"/>
        <v>0</v>
      </c>
      <c r="HJ58" s="40">
        <f t="shared" si="137"/>
        <v>0</v>
      </c>
      <c r="HK58" s="40">
        <f t="shared" si="137"/>
        <v>0</v>
      </c>
      <c r="HL58" s="40">
        <f t="shared" si="137"/>
        <v>0</v>
      </c>
      <c r="HM58" s="40">
        <f t="shared" si="137"/>
        <v>0</v>
      </c>
      <c r="HN58" s="40">
        <f t="shared" si="137"/>
        <v>0</v>
      </c>
      <c r="HO58" s="40">
        <f t="shared" si="137"/>
        <v>0</v>
      </c>
      <c r="HP58" s="40">
        <f t="shared" si="137"/>
        <v>0</v>
      </c>
      <c r="HQ58" s="40">
        <f t="shared" si="137"/>
        <v>0</v>
      </c>
      <c r="HR58" s="40">
        <f t="shared" si="137"/>
        <v>0</v>
      </c>
      <c r="HS58" s="40">
        <f t="shared" si="137"/>
        <v>0</v>
      </c>
      <c r="HT58" s="40">
        <f t="shared" si="137"/>
        <v>0</v>
      </c>
      <c r="HU58" s="40">
        <f t="shared" si="137"/>
        <v>0</v>
      </c>
      <c r="HV58" s="40">
        <f t="shared" si="137"/>
        <v>0</v>
      </c>
      <c r="HW58" s="40">
        <f t="shared" si="137"/>
        <v>0</v>
      </c>
      <c r="HX58" s="40">
        <f t="shared" si="137"/>
        <v>0</v>
      </c>
      <c r="HY58" s="40">
        <f t="shared" si="137"/>
        <v>0</v>
      </c>
      <c r="HZ58" s="40">
        <f t="shared" si="137"/>
        <v>0</v>
      </c>
      <c r="IA58" s="40">
        <f t="shared" si="137"/>
        <v>0</v>
      </c>
      <c r="IB58" s="40">
        <f t="shared" si="137"/>
        <v>0</v>
      </c>
      <c r="IC58" s="40">
        <f t="shared" si="137"/>
        <v>0</v>
      </c>
      <c r="ID58" s="40">
        <f t="shared" si="137"/>
        <v>0</v>
      </c>
      <c r="IE58" s="40">
        <f t="shared" si="137"/>
        <v>0</v>
      </c>
      <c r="IF58" s="40">
        <f t="shared" si="137"/>
        <v>0</v>
      </c>
      <c r="IG58" s="40">
        <f t="shared" si="137"/>
        <v>0</v>
      </c>
      <c r="IH58" s="40">
        <f t="shared" si="137"/>
        <v>0</v>
      </c>
      <c r="II58" s="40">
        <f t="shared" si="137"/>
        <v>0</v>
      </c>
      <c r="IJ58" s="40">
        <f t="shared" si="137"/>
        <v>0</v>
      </c>
      <c r="IK58" s="40">
        <f t="shared" si="137"/>
        <v>0</v>
      </c>
      <c r="IL58" s="40">
        <f t="shared" si="137"/>
        <v>0</v>
      </c>
      <c r="IM58" s="40">
        <f t="shared" si="137"/>
        <v>0</v>
      </c>
      <c r="IN58" s="40">
        <f t="shared" si="137"/>
        <v>0</v>
      </c>
      <c r="IO58" s="40">
        <f t="shared" si="137"/>
        <v>0</v>
      </c>
      <c r="IP58" s="40">
        <f t="shared" si="137"/>
        <v>0</v>
      </c>
      <c r="IQ58" s="40">
        <f t="shared" si="137"/>
        <v>0</v>
      </c>
      <c r="IR58" s="40">
        <f t="shared" si="137"/>
        <v>0</v>
      </c>
      <c r="IS58" s="40">
        <f t="shared" si="137"/>
        <v>0</v>
      </c>
      <c r="IT58" s="40">
        <f t="shared" si="137"/>
        <v>0</v>
      </c>
      <c r="IU58" s="40">
        <f t="shared" si="137"/>
        <v>0</v>
      </c>
      <c r="IV58" s="40">
        <f t="shared" si="137"/>
        <v>0</v>
      </c>
      <c r="IW58" s="40">
        <f t="shared" si="137"/>
        <v>0</v>
      </c>
      <c r="IX58" s="40">
        <f t="shared" si="137"/>
        <v>0</v>
      </c>
      <c r="IY58" s="40">
        <f t="shared" si="137"/>
        <v>0</v>
      </c>
      <c r="IZ58" s="40">
        <f t="shared" si="137"/>
        <v>0</v>
      </c>
      <c r="JA58" s="40">
        <f t="shared" si="137"/>
        <v>0</v>
      </c>
      <c r="JB58" s="40">
        <f t="shared" si="137"/>
        <v>0</v>
      </c>
      <c r="JC58" s="40">
        <f t="shared" ref="JC58:LN58" si="138">JC40-JC45-JC48+JC56</f>
        <v>0</v>
      </c>
      <c r="JD58" s="40">
        <f t="shared" si="138"/>
        <v>0</v>
      </c>
      <c r="JE58" s="40">
        <f t="shared" si="138"/>
        <v>0</v>
      </c>
      <c r="JF58" s="40">
        <f t="shared" si="138"/>
        <v>0</v>
      </c>
      <c r="JG58" s="40">
        <f t="shared" si="138"/>
        <v>0</v>
      </c>
      <c r="JH58" s="40">
        <f t="shared" si="138"/>
        <v>0</v>
      </c>
      <c r="JI58" s="40">
        <f t="shared" si="138"/>
        <v>0</v>
      </c>
      <c r="JJ58" s="40">
        <f t="shared" si="138"/>
        <v>0</v>
      </c>
      <c r="JK58" s="40">
        <f t="shared" si="138"/>
        <v>0</v>
      </c>
      <c r="JL58" s="40">
        <f t="shared" si="138"/>
        <v>0</v>
      </c>
      <c r="JM58" s="40">
        <f t="shared" si="138"/>
        <v>0</v>
      </c>
      <c r="JN58" s="40">
        <f t="shared" si="138"/>
        <v>0</v>
      </c>
      <c r="JO58" s="40">
        <f t="shared" si="138"/>
        <v>0</v>
      </c>
      <c r="JP58" s="40">
        <f t="shared" si="138"/>
        <v>0</v>
      </c>
      <c r="JQ58" s="40">
        <f t="shared" si="138"/>
        <v>0</v>
      </c>
      <c r="JR58" s="40">
        <f t="shared" si="138"/>
        <v>0</v>
      </c>
      <c r="JS58" s="40">
        <f t="shared" si="138"/>
        <v>0</v>
      </c>
      <c r="JT58" s="40">
        <f t="shared" si="138"/>
        <v>0</v>
      </c>
      <c r="JU58" s="40">
        <f t="shared" si="138"/>
        <v>0</v>
      </c>
      <c r="JV58" s="40">
        <f t="shared" si="138"/>
        <v>0</v>
      </c>
      <c r="JW58" s="40">
        <f t="shared" si="138"/>
        <v>0</v>
      </c>
      <c r="JX58" s="40">
        <f t="shared" si="138"/>
        <v>0</v>
      </c>
      <c r="JY58" s="40">
        <f t="shared" si="138"/>
        <v>0</v>
      </c>
      <c r="JZ58" s="40">
        <f t="shared" si="138"/>
        <v>0</v>
      </c>
      <c r="KA58" s="40">
        <f t="shared" si="138"/>
        <v>0</v>
      </c>
      <c r="KB58" s="40">
        <f t="shared" si="138"/>
        <v>0</v>
      </c>
      <c r="KC58" s="40">
        <f t="shared" si="138"/>
        <v>0</v>
      </c>
      <c r="KD58" s="40">
        <f t="shared" si="138"/>
        <v>0</v>
      </c>
      <c r="KE58" s="40">
        <f t="shared" si="138"/>
        <v>0</v>
      </c>
      <c r="KF58" s="40">
        <f t="shared" si="138"/>
        <v>0</v>
      </c>
      <c r="KG58" s="40">
        <f t="shared" si="138"/>
        <v>0</v>
      </c>
      <c r="KH58" s="40">
        <f t="shared" si="138"/>
        <v>0</v>
      </c>
      <c r="KI58" s="40">
        <f t="shared" si="138"/>
        <v>0</v>
      </c>
      <c r="KJ58" s="40">
        <f t="shared" si="138"/>
        <v>0</v>
      </c>
      <c r="KK58" s="40">
        <f t="shared" si="138"/>
        <v>0</v>
      </c>
      <c r="KL58" s="40">
        <f t="shared" si="138"/>
        <v>0</v>
      </c>
      <c r="KM58" s="40">
        <f t="shared" si="138"/>
        <v>0</v>
      </c>
      <c r="KN58" s="40">
        <f t="shared" si="138"/>
        <v>0</v>
      </c>
      <c r="KO58" s="40">
        <f t="shared" si="138"/>
        <v>0</v>
      </c>
      <c r="KP58" s="40">
        <f t="shared" si="138"/>
        <v>0</v>
      </c>
      <c r="KQ58" s="40">
        <f t="shared" si="138"/>
        <v>0</v>
      </c>
      <c r="KR58" s="40">
        <f t="shared" si="138"/>
        <v>0</v>
      </c>
      <c r="KS58" s="40">
        <f t="shared" si="138"/>
        <v>0</v>
      </c>
      <c r="KT58" s="40">
        <f t="shared" si="138"/>
        <v>0</v>
      </c>
      <c r="KU58" s="40">
        <f t="shared" si="138"/>
        <v>0</v>
      </c>
      <c r="KV58" s="40">
        <f t="shared" si="138"/>
        <v>0</v>
      </c>
      <c r="KW58" s="40">
        <f t="shared" si="138"/>
        <v>0</v>
      </c>
      <c r="KX58" s="40">
        <f t="shared" si="138"/>
        <v>0</v>
      </c>
      <c r="KY58" s="40">
        <f t="shared" si="138"/>
        <v>0</v>
      </c>
      <c r="KZ58" s="40">
        <f t="shared" si="138"/>
        <v>0</v>
      </c>
      <c r="LA58" s="40">
        <f t="shared" si="138"/>
        <v>0</v>
      </c>
      <c r="LB58" s="40">
        <f t="shared" si="138"/>
        <v>0</v>
      </c>
      <c r="LC58" s="40">
        <f t="shared" si="138"/>
        <v>0</v>
      </c>
      <c r="LD58" s="40">
        <f t="shared" si="138"/>
        <v>0</v>
      </c>
      <c r="LE58" s="40">
        <f t="shared" si="138"/>
        <v>0</v>
      </c>
      <c r="LF58" s="40">
        <f t="shared" si="138"/>
        <v>0</v>
      </c>
      <c r="LG58" s="40">
        <f t="shared" si="138"/>
        <v>0</v>
      </c>
      <c r="LH58" s="40">
        <f t="shared" si="138"/>
        <v>0</v>
      </c>
      <c r="LI58" s="40">
        <f t="shared" si="138"/>
        <v>0</v>
      </c>
      <c r="LJ58" s="40">
        <f t="shared" si="138"/>
        <v>0</v>
      </c>
      <c r="LK58" s="40">
        <f t="shared" si="138"/>
        <v>0</v>
      </c>
      <c r="LL58" s="40">
        <f t="shared" si="138"/>
        <v>0</v>
      </c>
      <c r="LM58" s="40">
        <f t="shared" si="138"/>
        <v>0</v>
      </c>
      <c r="LN58" s="40">
        <f t="shared" si="138"/>
        <v>0</v>
      </c>
      <c r="LO58" s="40">
        <f t="shared" ref="LO58:NB58" si="139">LO40-LO45-LO48+LO56</f>
        <v>0</v>
      </c>
      <c r="LP58" s="40">
        <f t="shared" si="139"/>
        <v>0</v>
      </c>
      <c r="LQ58" s="40">
        <f t="shared" si="139"/>
        <v>0</v>
      </c>
      <c r="LR58" s="40">
        <f t="shared" si="139"/>
        <v>0</v>
      </c>
      <c r="LS58" s="40">
        <f t="shared" si="139"/>
        <v>0</v>
      </c>
      <c r="LT58" s="40">
        <f t="shared" si="139"/>
        <v>0</v>
      </c>
      <c r="LU58" s="40">
        <f t="shared" si="139"/>
        <v>0</v>
      </c>
      <c r="LV58" s="40">
        <f t="shared" si="139"/>
        <v>0</v>
      </c>
      <c r="LW58" s="40">
        <f t="shared" si="139"/>
        <v>0</v>
      </c>
      <c r="LX58" s="40">
        <f t="shared" si="139"/>
        <v>0</v>
      </c>
      <c r="LY58" s="40">
        <f t="shared" si="139"/>
        <v>0</v>
      </c>
      <c r="LZ58" s="40">
        <f t="shared" si="139"/>
        <v>0</v>
      </c>
      <c r="MA58" s="40">
        <f t="shared" si="139"/>
        <v>0</v>
      </c>
      <c r="MB58" s="40">
        <f t="shared" si="139"/>
        <v>0</v>
      </c>
      <c r="MC58" s="40">
        <f t="shared" si="139"/>
        <v>0</v>
      </c>
      <c r="MD58" s="40">
        <f t="shared" si="139"/>
        <v>0</v>
      </c>
      <c r="ME58" s="40">
        <f t="shared" si="139"/>
        <v>0</v>
      </c>
      <c r="MF58" s="40">
        <f t="shared" si="139"/>
        <v>0</v>
      </c>
      <c r="MG58" s="40">
        <f t="shared" si="139"/>
        <v>0</v>
      </c>
      <c r="MH58" s="40">
        <f t="shared" si="139"/>
        <v>0</v>
      </c>
      <c r="MI58" s="40">
        <f t="shared" si="139"/>
        <v>0</v>
      </c>
      <c r="MJ58" s="40">
        <f t="shared" si="139"/>
        <v>0</v>
      </c>
      <c r="MK58" s="40">
        <f t="shared" si="139"/>
        <v>0</v>
      </c>
      <c r="ML58" s="40">
        <f t="shared" si="139"/>
        <v>0</v>
      </c>
      <c r="MM58" s="40">
        <f t="shared" si="139"/>
        <v>0</v>
      </c>
      <c r="MN58" s="40">
        <f t="shared" si="139"/>
        <v>0</v>
      </c>
      <c r="MO58" s="40">
        <f t="shared" si="139"/>
        <v>0</v>
      </c>
      <c r="MP58" s="40">
        <f t="shared" si="139"/>
        <v>0</v>
      </c>
      <c r="MQ58" s="40">
        <f t="shared" si="139"/>
        <v>0</v>
      </c>
      <c r="MR58" s="40">
        <f t="shared" si="139"/>
        <v>0</v>
      </c>
      <c r="MS58" s="40">
        <f t="shared" si="139"/>
        <v>0</v>
      </c>
      <c r="MT58" s="40">
        <f t="shared" si="139"/>
        <v>0</v>
      </c>
      <c r="MU58" s="40">
        <f t="shared" si="139"/>
        <v>0</v>
      </c>
      <c r="MV58" s="40">
        <f t="shared" si="139"/>
        <v>0</v>
      </c>
      <c r="MW58" s="40">
        <f t="shared" si="139"/>
        <v>0</v>
      </c>
      <c r="MX58" s="40">
        <f t="shared" si="139"/>
        <v>0</v>
      </c>
      <c r="MY58" s="40">
        <f t="shared" si="139"/>
        <v>0</v>
      </c>
      <c r="MZ58" s="40">
        <f t="shared" si="139"/>
        <v>0</v>
      </c>
      <c r="NA58" s="40">
        <f t="shared" si="139"/>
        <v>0</v>
      </c>
      <c r="NB58" s="40">
        <f t="shared" si="139"/>
        <v>0</v>
      </c>
    </row>
    <row r="59" spans="2:367" x14ac:dyDescent="0.15">
      <c r="G59" s="40"/>
    </row>
    <row r="60" spans="2:367" x14ac:dyDescent="0.15">
      <c r="B60" s="4" t="s">
        <v>116</v>
      </c>
      <c r="C60" s="4"/>
      <c r="D60" s="4"/>
      <c r="E60" s="198"/>
      <c r="CL60" s="46"/>
      <c r="CP60" s="46"/>
      <c r="CT60" s="46"/>
      <c r="IL60" s="40"/>
      <c r="IM60" s="40"/>
      <c r="IN60" s="40"/>
      <c r="IO60" s="40"/>
      <c r="IP60" s="40"/>
      <c r="IQ60" s="40"/>
      <c r="IR60" s="40"/>
      <c r="IS60" s="40"/>
      <c r="IT60" s="40"/>
      <c r="IU60" s="40"/>
      <c r="IV60" s="40"/>
      <c r="IW60" s="40"/>
      <c r="IX60" s="40"/>
      <c r="IY60" s="40"/>
      <c r="IZ60" s="40"/>
      <c r="JA60" s="40"/>
      <c r="JB60" s="40"/>
      <c r="JC60" s="40"/>
      <c r="JD60" s="40"/>
      <c r="JE60" s="40"/>
      <c r="JF60" s="40"/>
      <c r="JG60" s="40"/>
      <c r="JH60" s="40"/>
      <c r="JI60" s="40"/>
      <c r="JJ60" s="40"/>
      <c r="JK60" s="40"/>
      <c r="JL60" s="40"/>
      <c r="JM60" s="40"/>
      <c r="JN60" s="40"/>
      <c r="JO60" s="40"/>
      <c r="JP60" s="40"/>
      <c r="JQ60" s="40"/>
      <c r="JR60" s="40"/>
      <c r="JS60" s="40"/>
      <c r="JT60" s="40"/>
      <c r="JU60" s="40"/>
      <c r="JV60" s="40"/>
      <c r="JW60" s="40"/>
      <c r="JX60" s="40"/>
      <c r="JY60" s="40"/>
      <c r="JZ60" s="40"/>
      <c r="KA60" s="40"/>
      <c r="KB60" s="40"/>
      <c r="KC60" s="40"/>
      <c r="KD60" s="40"/>
      <c r="KE60" s="40"/>
      <c r="KF60" s="40"/>
      <c r="KG60" s="40"/>
      <c r="KH60" s="40"/>
      <c r="KI60" s="40"/>
      <c r="KJ60" s="40"/>
      <c r="KK60" s="40"/>
      <c r="KL60" s="40"/>
      <c r="KM60" s="40"/>
      <c r="KN60" s="40"/>
      <c r="KO60" s="40"/>
      <c r="KP60" s="40"/>
      <c r="KQ60" s="40"/>
      <c r="KR60" s="40"/>
      <c r="KS60" s="40"/>
      <c r="KT60" s="40"/>
      <c r="KU60" s="40"/>
      <c r="KV60" s="40"/>
      <c r="KW60" s="40"/>
      <c r="KX60" s="40"/>
      <c r="KY60" s="40"/>
      <c r="KZ60" s="40"/>
      <c r="LA60" s="40"/>
      <c r="LB60" s="40"/>
      <c r="LC60" s="40"/>
      <c r="LD60" s="40"/>
      <c r="LE60" s="40"/>
      <c r="LF60" s="40"/>
      <c r="LG60" s="40"/>
      <c r="LH60" s="40"/>
      <c r="LI60" s="40"/>
      <c r="LJ60" s="40"/>
      <c r="LK60" s="40"/>
      <c r="LL60" s="40"/>
      <c r="LM60" s="40"/>
      <c r="LN60" s="40"/>
      <c r="LO60" s="40"/>
      <c r="LP60" s="40"/>
      <c r="LQ60" s="40"/>
      <c r="LR60" s="40"/>
      <c r="LS60" s="40"/>
      <c r="LT60" s="40"/>
      <c r="LU60" s="40"/>
      <c r="LV60" s="40"/>
      <c r="LW60" s="40"/>
      <c r="LX60" s="40"/>
      <c r="LY60" s="40"/>
      <c r="LZ60" s="40"/>
      <c r="MA60" s="40"/>
      <c r="MB60" s="40"/>
      <c r="MC60" s="40"/>
      <c r="MD60" s="40"/>
      <c r="ME60" s="40"/>
      <c r="MF60" s="40"/>
      <c r="MG60" s="40"/>
      <c r="MH60" s="40"/>
      <c r="MI60" s="40"/>
      <c r="MJ60" s="40"/>
      <c r="MK60" s="40"/>
      <c r="ML60" s="40"/>
      <c r="MM60" s="40"/>
      <c r="MN60" s="40"/>
      <c r="MO60" s="40"/>
      <c r="MP60" s="40"/>
      <c r="MQ60" s="40"/>
      <c r="MR60" s="40"/>
      <c r="MS60" s="40"/>
      <c r="MT60" s="40"/>
      <c r="MU60" s="40"/>
      <c r="MV60" s="40"/>
      <c r="MW60" s="40"/>
      <c r="MX60" s="40"/>
      <c r="MY60" s="40"/>
      <c r="MZ60" s="40"/>
      <c r="NA60" s="40"/>
      <c r="NB60" s="40"/>
    </row>
    <row r="61" spans="2:367" x14ac:dyDescent="0.15">
      <c r="B61" t="s">
        <v>95</v>
      </c>
      <c r="F61" s="46">
        <f t="shared" ref="F61:BQ61" si="140">IF(F$11=1,sale_price,0)</f>
        <v>0</v>
      </c>
      <c r="G61" s="46">
        <f t="shared" si="140"/>
        <v>0</v>
      </c>
      <c r="H61" s="46">
        <f t="shared" si="140"/>
        <v>0</v>
      </c>
      <c r="I61" s="46">
        <f t="shared" si="140"/>
        <v>0</v>
      </c>
      <c r="J61" s="46">
        <f t="shared" si="140"/>
        <v>0</v>
      </c>
      <c r="K61" s="46">
        <f t="shared" si="140"/>
        <v>0</v>
      </c>
      <c r="L61" s="565">
        <f t="shared" si="140"/>
        <v>0</v>
      </c>
      <c r="M61" s="46">
        <f t="shared" si="140"/>
        <v>0</v>
      </c>
      <c r="N61" s="46">
        <f t="shared" si="140"/>
        <v>0</v>
      </c>
      <c r="O61" s="46">
        <f t="shared" si="140"/>
        <v>0</v>
      </c>
      <c r="P61" s="46">
        <f t="shared" si="140"/>
        <v>0</v>
      </c>
      <c r="Q61" s="46">
        <f t="shared" si="140"/>
        <v>0</v>
      </c>
      <c r="R61" s="46">
        <f t="shared" si="140"/>
        <v>0</v>
      </c>
      <c r="S61" s="46">
        <f t="shared" si="140"/>
        <v>0</v>
      </c>
      <c r="T61" s="46">
        <f t="shared" si="140"/>
        <v>0</v>
      </c>
      <c r="U61" s="46">
        <f t="shared" si="140"/>
        <v>0</v>
      </c>
      <c r="V61" s="46">
        <f t="shared" si="140"/>
        <v>0</v>
      </c>
      <c r="W61" s="46">
        <f t="shared" si="140"/>
        <v>0</v>
      </c>
      <c r="X61" s="46">
        <f t="shared" si="140"/>
        <v>0</v>
      </c>
      <c r="Y61" s="46">
        <f t="shared" si="140"/>
        <v>0</v>
      </c>
      <c r="Z61" s="46">
        <f t="shared" si="140"/>
        <v>0</v>
      </c>
      <c r="AA61" s="46">
        <f t="shared" si="140"/>
        <v>0</v>
      </c>
      <c r="AB61" s="46">
        <f t="shared" si="140"/>
        <v>0</v>
      </c>
      <c r="AC61" s="46">
        <f t="shared" si="140"/>
        <v>0</v>
      </c>
      <c r="AD61" s="574">
        <f t="shared" si="140"/>
        <v>0</v>
      </c>
      <c r="AE61" s="46">
        <f t="shared" si="140"/>
        <v>0</v>
      </c>
      <c r="AF61" s="46">
        <f t="shared" si="140"/>
        <v>0</v>
      </c>
      <c r="AG61" s="46">
        <f t="shared" si="140"/>
        <v>0</v>
      </c>
      <c r="AH61" s="46">
        <f t="shared" si="140"/>
        <v>0</v>
      </c>
      <c r="AI61" s="46">
        <f t="shared" si="140"/>
        <v>0</v>
      </c>
      <c r="AJ61" s="46">
        <f t="shared" si="140"/>
        <v>0</v>
      </c>
      <c r="AK61" s="46">
        <f t="shared" si="140"/>
        <v>0</v>
      </c>
      <c r="AL61" s="46">
        <f t="shared" si="140"/>
        <v>0</v>
      </c>
      <c r="AM61" s="46">
        <f t="shared" si="140"/>
        <v>0</v>
      </c>
      <c r="AN61" s="46">
        <f t="shared" si="140"/>
        <v>0</v>
      </c>
      <c r="AO61" s="46">
        <f t="shared" si="140"/>
        <v>0</v>
      </c>
      <c r="AP61" s="46">
        <f t="shared" si="140"/>
        <v>0</v>
      </c>
      <c r="AQ61" s="46">
        <f t="shared" si="140"/>
        <v>0</v>
      </c>
      <c r="AR61" s="46">
        <f t="shared" si="140"/>
        <v>0</v>
      </c>
      <c r="AS61" s="46">
        <f t="shared" si="140"/>
        <v>0</v>
      </c>
      <c r="AT61" s="46">
        <f t="shared" si="140"/>
        <v>0</v>
      </c>
      <c r="AU61" s="46">
        <f t="shared" si="140"/>
        <v>0</v>
      </c>
      <c r="AV61" s="46">
        <f t="shared" si="140"/>
        <v>0</v>
      </c>
      <c r="AW61" s="46">
        <f t="shared" si="140"/>
        <v>0</v>
      </c>
      <c r="AX61" s="46">
        <f t="shared" si="140"/>
        <v>0</v>
      </c>
      <c r="AY61" s="46">
        <f t="shared" si="140"/>
        <v>0</v>
      </c>
      <c r="AZ61" s="46">
        <f t="shared" si="140"/>
        <v>0</v>
      </c>
      <c r="BA61" s="46">
        <f t="shared" si="140"/>
        <v>0</v>
      </c>
      <c r="BB61" s="46">
        <f t="shared" si="140"/>
        <v>0</v>
      </c>
      <c r="BC61" s="46">
        <f t="shared" si="140"/>
        <v>0</v>
      </c>
      <c r="BD61" s="46">
        <f t="shared" si="140"/>
        <v>0</v>
      </c>
      <c r="BE61" s="46">
        <f t="shared" si="140"/>
        <v>0</v>
      </c>
      <c r="BF61" s="46">
        <f t="shared" si="140"/>
        <v>0</v>
      </c>
      <c r="BG61" s="46">
        <f t="shared" si="140"/>
        <v>0</v>
      </c>
      <c r="BH61" s="46">
        <f t="shared" si="140"/>
        <v>0</v>
      </c>
      <c r="BI61" s="46">
        <f t="shared" si="140"/>
        <v>0</v>
      </c>
      <c r="BJ61" s="46">
        <f t="shared" si="140"/>
        <v>0</v>
      </c>
      <c r="BK61" s="46">
        <f t="shared" si="140"/>
        <v>0</v>
      </c>
      <c r="BL61" s="46">
        <f t="shared" si="140"/>
        <v>0</v>
      </c>
      <c r="BM61" s="46">
        <f t="shared" si="140"/>
        <v>0</v>
      </c>
      <c r="BN61" s="46">
        <f t="shared" si="140"/>
        <v>0</v>
      </c>
      <c r="BO61" s="46">
        <f t="shared" si="140"/>
        <v>0</v>
      </c>
      <c r="BP61" s="46">
        <f t="shared" si="140"/>
        <v>0</v>
      </c>
      <c r="BQ61" s="46">
        <f t="shared" si="140"/>
        <v>0</v>
      </c>
      <c r="BR61" s="46">
        <f t="shared" ref="BR61:EC61" si="141">IF(BR$11=1,sale_price,0)</f>
        <v>0</v>
      </c>
      <c r="BS61" s="46">
        <f t="shared" si="141"/>
        <v>0</v>
      </c>
      <c r="BT61" s="46">
        <f t="shared" si="141"/>
        <v>0</v>
      </c>
      <c r="BU61" s="46">
        <f t="shared" si="141"/>
        <v>0</v>
      </c>
      <c r="BV61" s="46">
        <f t="shared" si="141"/>
        <v>0</v>
      </c>
      <c r="BW61" s="46">
        <f t="shared" si="141"/>
        <v>0</v>
      </c>
      <c r="BX61" s="46">
        <f t="shared" si="141"/>
        <v>0</v>
      </c>
      <c r="BY61" s="46">
        <f t="shared" si="141"/>
        <v>0</v>
      </c>
      <c r="BZ61" s="46">
        <f t="shared" si="141"/>
        <v>0</v>
      </c>
      <c r="CA61" s="46">
        <f t="shared" si="141"/>
        <v>0</v>
      </c>
      <c r="CB61" s="46">
        <f t="shared" si="141"/>
        <v>0</v>
      </c>
      <c r="CC61" s="46">
        <f t="shared" si="141"/>
        <v>0</v>
      </c>
      <c r="CD61" s="46">
        <f t="shared" si="141"/>
        <v>0</v>
      </c>
      <c r="CE61" s="46">
        <f t="shared" si="141"/>
        <v>0</v>
      </c>
      <c r="CF61" s="46">
        <f t="shared" si="141"/>
        <v>0</v>
      </c>
      <c r="CG61" s="46">
        <f t="shared" si="141"/>
        <v>0</v>
      </c>
      <c r="CH61" s="46">
        <f t="shared" si="141"/>
        <v>0</v>
      </c>
      <c r="CI61" s="46">
        <f t="shared" si="141"/>
        <v>0</v>
      </c>
      <c r="CJ61" s="46">
        <f t="shared" si="141"/>
        <v>0</v>
      </c>
      <c r="CK61" s="46">
        <f t="shared" si="141"/>
        <v>0</v>
      </c>
      <c r="CL61" s="46">
        <f t="shared" si="141"/>
        <v>0</v>
      </c>
      <c r="CM61" s="46">
        <f t="shared" si="141"/>
        <v>0</v>
      </c>
      <c r="CN61" s="46">
        <f t="shared" si="141"/>
        <v>0</v>
      </c>
      <c r="CO61" s="46">
        <f t="shared" si="141"/>
        <v>0</v>
      </c>
      <c r="CP61" s="46">
        <f t="shared" si="141"/>
        <v>0</v>
      </c>
      <c r="CQ61" s="46">
        <f t="shared" si="141"/>
        <v>0</v>
      </c>
      <c r="CR61" s="46">
        <f t="shared" si="141"/>
        <v>0</v>
      </c>
      <c r="CS61" s="46">
        <f t="shared" si="141"/>
        <v>0</v>
      </c>
      <c r="CT61" s="46">
        <f t="shared" si="141"/>
        <v>0</v>
      </c>
      <c r="CU61" s="46">
        <f t="shared" si="141"/>
        <v>0</v>
      </c>
      <c r="CV61" s="46">
        <f t="shared" si="141"/>
        <v>0</v>
      </c>
      <c r="CW61" s="46">
        <f t="shared" si="141"/>
        <v>0</v>
      </c>
      <c r="CX61" s="46">
        <f t="shared" si="141"/>
        <v>0</v>
      </c>
      <c r="CY61" s="46">
        <f t="shared" si="141"/>
        <v>0</v>
      </c>
      <c r="CZ61" s="46">
        <f t="shared" si="141"/>
        <v>0</v>
      </c>
      <c r="DA61" s="46">
        <f t="shared" si="141"/>
        <v>0</v>
      </c>
      <c r="DB61" s="46">
        <f t="shared" si="141"/>
        <v>0</v>
      </c>
      <c r="DC61" s="46">
        <f t="shared" si="141"/>
        <v>0</v>
      </c>
      <c r="DD61" s="46">
        <f t="shared" si="141"/>
        <v>0</v>
      </c>
      <c r="DE61" s="46">
        <f t="shared" si="141"/>
        <v>0</v>
      </c>
      <c r="DF61" s="46">
        <f t="shared" si="141"/>
        <v>0</v>
      </c>
      <c r="DG61" s="46">
        <f t="shared" si="141"/>
        <v>0</v>
      </c>
      <c r="DH61" s="46">
        <f t="shared" si="141"/>
        <v>0</v>
      </c>
      <c r="DI61" s="46">
        <f t="shared" si="141"/>
        <v>0</v>
      </c>
      <c r="DJ61" s="46">
        <f t="shared" si="141"/>
        <v>0</v>
      </c>
      <c r="DK61" s="46">
        <f t="shared" si="141"/>
        <v>0</v>
      </c>
      <c r="DL61" s="46">
        <f t="shared" si="141"/>
        <v>0</v>
      </c>
      <c r="DM61" s="46">
        <f t="shared" si="141"/>
        <v>0</v>
      </c>
      <c r="DN61" s="46">
        <f t="shared" si="141"/>
        <v>0</v>
      </c>
      <c r="DO61" s="46">
        <f t="shared" si="141"/>
        <v>0</v>
      </c>
      <c r="DP61" s="46">
        <f t="shared" si="141"/>
        <v>0</v>
      </c>
      <c r="DQ61" s="46">
        <f t="shared" si="141"/>
        <v>0</v>
      </c>
      <c r="DR61" s="46">
        <f t="shared" si="141"/>
        <v>0</v>
      </c>
      <c r="DS61" s="46">
        <f t="shared" si="141"/>
        <v>0</v>
      </c>
      <c r="DT61" s="46">
        <f t="shared" si="141"/>
        <v>0</v>
      </c>
      <c r="DU61" s="46">
        <f t="shared" si="141"/>
        <v>0</v>
      </c>
      <c r="DV61" s="46">
        <f t="shared" si="141"/>
        <v>0</v>
      </c>
      <c r="DW61" s="46">
        <f t="shared" si="141"/>
        <v>0</v>
      </c>
      <c r="DX61" s="46">
        <f t="shared" si="141"/>
        <v>0</v>
      </c>
      <c r="DY61" s="46">
        <f t="shared" si="141"/>
        <v>0</v>
      </c>
      <c r="DZ61" s="46">
        <f t="shared" si="141"/>
        <v>0</v>
      </c>
      <c r="EA61" s="46">
        <f t="shared" si="141"/>
        <v>0</v>
      </c>
      <c r="EB61" s="46">
        <f t="shared" si="141"/>
        <v>0</v>
      </c>
      <c r="EC61" s="46">
        <f t="shared" si="141"/>
        <v>0</v>
      </c>
      <c r="ED61" s="46">
        <f t="shared" ref="ED61:GO61" si="142">IF(ED$11=1,sale_price,0)</f>
        <v>0</v>
      </c>
      <c r="EE61" s="46">
        <f t="shared" si="142"/>
        <v>0</v>
      </c>
      <c r="EF61" s="46">
        <f t="shared" si="142"/>
        <v>0</v>
      </c>
      <c r="EG61" s="46">
        <f t="shared" si="142"/>
        <v>0</v>
      </c>
      <c r="EH61" s="46">
        <f t="shared" si="142"/>
        <v>0</v>
      </c>
      <c r="EI61" s="46">
        <f t="shared" si="142"/>
        <v>0</v>
      </c>
      <c r="EJ61" s="46">
        <f t="shared" si="142"/>
        <v>0</v>
      </c>
      <c r="EK61" s="46">
        <f t="shared" si="142"/>
        <v>0</v>
      </c>
      <c r="EL61" s="46">
        <f t="shared" si="142"/>
        <v>0</v>
      </c>
      <c r="EM61" s="46">
        <f t="shared" si="142"/>
        <v>0</v>
      </c>
      <c r="EN61" s="46">
        <f t="shared" si="142"/>
        <v>0</v>
      </c>
      <c r="EO61" s="46">
        <f t="shared" si="142"/>
        <v>0</v>
      </c>
      <c r="EP61" s="46">
        <f t="shared" si="142"/>
        <v>0</v>
      </c>
      <c r="EQ61" s="46">
        <f t="shared" si="142"/>
        <v>0</v>
      </c>
      <c r="ER61" s="46">
        <f t="shared" si="142"/>
        <v>0</v>
      </c>
      <c r="ES61" s="46">
        <f t="shared" si="142"/>
        <v>0</v>
      </c>
      <c r="ET61" s="46">
        <f t="shared" si="142"/>
        <v>0</v>
      </c>
      <c r="EU61" s="46">
        <f t="shared" si="142"/>
        <v>0</v>
      </c>
      <c r="EV61" s="46">
        <f t="shared" si="142"/>
        <v>0</v>
      </c>
      <c r="EW61" s="46">
        <f t="shared" si="142"/>
        <v>0</v>
      </c>
      <c r="EX61" s="46">
        <f t="shared" si="142"/>
        <v>0</v>
      </c>
      <c r="EY61" s="46">
        <f t="shared" si="142"/>
        <v>0</v>
      </c>
      <c r="EZ61" s="46">
        <f t="shared" si="142"/>
        <v>0</v>
      </c>
      <c r="FA61" s="46">
        <f t="shared" si="142"/>
        <v>0</v>
      </c>
      <c r="FB61" s="46">
        <f t="shared" si="142"/>
        <v>0</v>
      </c>
      <c r="FC61" s="46">
        <f t="shared" si="142"/>
        <v>0</v>
      </c>
      <c r="FD61" s="46">
        <f t="shared" si="142"/>
        <v>0</v>
      </c>
      <c r="FE61" s="46">
        <f t="shared" si="142"/>
        <v>0</v>
      </c>
      <c r="FF61" s="46">
        <f t="shared" si="142"/>
        <v>0</v>
      </c>
      <c r="FG61" s="46">
        <f t="shared" si="142"/>
        <v>0</v>
      </c>
      <c r="FH61" s="46">
        <f t="shared" si="142"/>
        <v>0</v>
      </c>
      <c r="FI61" s="46">
        <f t="shared" si="142"/>
        <v>0</v>
      </c>
      <c r="FJ61" s="46">
        <f t="shared" si="142"/>
        <v>0</v>
      </c>
      <c r="FK61" s="46">
        <f t="shared" si="142"/>
        <v>0</v>
      </c>
      <c r="FL61" s="46">
        <f t="shared" si="142"/>
        <v>0</v>
      </c>
      <c r="FM61" s="46">
        <f t="shared" si="142"/>
        <v>0</v>
      </c>
      <c r="FN61" s="46">
        <f t="shared" si="142"/>
        <v>0</v>
      </c>
      <c r="FO61" s="46">
        <f t="shared" si="142"/>
        <v>0</v>
      </c>
      <c r="FP61" s="46">
        <f t="shared" si="142"/>
        <v>0</v>
      </c>
      <c r="FQ61" s="46">
        <f t="shared" si="142"/>
        <v>0</v>
      </c>
      <c r="FR61" s="46">
        <f t="shared" si="142"/>
        <v>0</v>
      </c>
      <c r="FS61" s="46">
        <f t="shared" si="142"/>
        <v>0</v>
      </c>
      <c r="FT61" s="46">
        <f t="shared" si="142"/>
        <v>0</v>
      </c>
      <c r="FU61" s="46">
        <f t="shared" si="142"/>
        <v>0</v>
      </c>
      <c r="FV61" s="46">
        <f t="shared" si="142"/>
        <v>0</v>
      </c>
      <c r="FW61" s="46">
        <f t="shared" si="142"/>
        <v>0</v>
      </c>
      <c r="FX61" s="46">
        <f t="shared" si="142"/>
        <v>0</v>
      </c>
      <c r="FY61" s="46">
        <f t="shared" si="142"/>
        <v>0</v>
      </c>
      <c r="FZ61" s="46">
        <f t="shared" si="142"/>
        <v>0</v>
      </c>
      <c r="GA61" s="46">
        <f t="shared" si="142"/>
        <v>0</v>
      </c>
      <c r="GB61" s="46">
        <f t="shared" si="142"/>
        <v>0</v>
      </c>
      <c r="GC61" s="46">
        <f t="shared" si="142"/>
        <v>0</v>
      </c>
      <c r="GD61" s="46">
        <f t="shared" ca="1" si="142"/>
        <v>9971721.7100292817</v>
      </c>
      <c r="GE61" s="46">
        <f t="shared" si="142"/>
        <v>0</v>
      </c>
      <c r="GF61" s="46">
        <f t="shared" si="142"/>
        <v>0</v>
      </c>
      <c r="GG61" s="46">
        <f t="shared" si="142"/>
        <v>0</v>
      </c>
      <c r="GH61" s="46">
        <f t="shared" si="142"/>
        <v>0</v>
      </c>
      <c r="GI61" s="46">
        <f t="shared" si="142"/>
        <v>0</v>
      </c>
      <c r="GJ61" s="46">
        <f t="shared" si="142"/>
        <v>0</v>
      </c>
      <c r="GK61" s="46">
        <f t="shared" si="142"/>
        <v>0</v>
      </c>
      <c r="GL61" s="46">
        <f t="shared" si="142"/>
        <v>0</v>
      </c>
      <c r="GM61" s="46">
        <f t="shared" si="142"/>
        <v>0</v>
      </c>
      <c r="GN61" s="46">
        <f t="shared" si="142"/>
        <v>0</v>
      </c>
      <c r="GO61" s="46">
        <f t="shared" si="142"/>
        <v>0</v>
      </c>
      <c r="GP61" s="46">
        <f t="shared" ref="GP61:IK61" si="143">IF(GP$11=1,sale_price,0)</f>
        <v>0</v>
      </c>
      <c r="GQ61" s="46">
        <f t="shared" si="143"/>
        <v>0</v>
      </c>
      <c r="GR61" s="46">
        <f t="shared" si="143"/>
        <v>0</v>
      </c>
      <c r="GS61" s="46">
        <f t="shared" si="143"/>
        <v>0</v>
      </c>
      <c r="GT61" s="46">
        <f t="shared" si="143"/>
        <v>0</v>
      </c>
      <c r="GU61" s="46">
        <f t="shared" si="143"/>
        <v>0</v>
      </c>
      <c r="GV61" s="46">
        <f t="shared" si="143"/>
        <v>0</v>
      </c>
      <c r="GW61" s="46">
        <f t="shared" si="143"/>
        <v>0</v>
      </c>
      <c r="GX61" s="46">
        <f t="shared" si="143"/>
        <v>0</v>
      </c>
      <c r="GY61" s="46">
        <f t="shared" si="143"/>
        <v>0</v>
      </c>
      <c r="GZ61" s="46">
        <f t="shared" si="143"/>
        <v>0</v>
      </c>
      <c r="HA61" s="46">
        <f t="shared" si="143"/>
        <v>0</v>
      </c>
      <c r="HB61" s="46">
        <f t="shared" si="143"/>
        <v>0</v>
      </c>
      <c r="HC61" s="46">
        <f t="shared" si="143"/>
        <v>0</v>
      </c>
      <c r="HD61" s="46">
        <f t="shared" si="143"/>
        <v>0</v>
      </c>
      <c r="HE61" s="46">
        <f t="shared" si="143"/>
        <v>0</v>
      </c>
      <c r="HF61" s="46">
        <f t="shared" si="143"/>
        <v>0</v>
      </c>
      <c r="HG61" s="46">
        <f t="shared" si="143"/>
        <v>0</v>
      </c>
      <c r="HH61" s="46">
        <f t="shared" si="143"/>
        <v>0</v>
      </c>
      <c r="HI61" s="46">
        <f t="shared" si="143"/>
        <v>0</v>
      </c>
      <c r="HJ61" s="46">
        <f t="shared" si="143"/>
        <v>0</v>
      </c>
      <c r="HK61" s="46">
        <f t="shared" si="143"/>
        <v>0</v>
      </c>
      <c r="HL61" s="46">
        <f t="shared" si="143"/>
        <v>0</v>
      </c>
      <c r="HM61" s="46">
        <f t="shared" si="143"/>
        <v>0</v>
      </c>
      <c r="HN61" s="46">
        <f t="shared" si="143"/>
        <v>0</v>
      </c>
      <c r="HO61" s="46">
        <f t="shared" si="143"/>
        <v>0</v>
      </c>
      <c r="HP61" s="46">
        <f t="shared" si="143"/>
        <v>0</v>
      </c>
      <c r="HQ61" s="46">
        <f t="shared" si="143"/>
        <v>0</v>
      </c>
      <c r="HR61" s="46">
        <f t="shared" si="143"/>
        <v>0</v>
      </c>
      <c r="HS61" s="46">
        <f t="shared" si="143"/>
        <v>0</v>
      </c>
      <c r="HT61" s="46">
        <f t="shared" si="143"/>
        <v>0</v>
      </c>
      <c r="HU61" s="46">
        <f t="shared" si="143"/>
        <v>0</v>
      </c>
      <c r="HV61" s="46">
        <f t="shared" si="143"/>
        <v>0</v>
      </c>
      <c r="HW61" s="46">
        <f t="shared" si="143"/>
        <v>0</v>
      </c>
      <c r="HX61" s="46">
        <f t="shared" si="143"/>
        <v>0</v>
      </c>
      <c r="HY61" s="46">
        <f t="shared" si="143"/>
        <v>0</v>
      </c>
      <c r="HZ61" s="46">
        <f t="shared" si="143"/>
        <v>0</v>
      </c>
      <c r="IA61" s="46">
        <f t="shared" si="143"/>
        <v>0</v>
      </c>
      <c r="IB61" s="46">
        <f t="shared" si="143"/>
        <v>0</v>
      </c>
      <c r="IC61" s="46">
        <f t="shared" si="143"/>
        <v>0</v>
      </c>
      <c r="ID61" s="46">
        <f t="shared" si="143"/>
        <v>0</v>
      </c>
      <c r="IE61" s="46">
        <f t="shared" si="143"/>
        <v>0</v>
      </c>
      <c r="IF61" s="46">
        <f t="shared" si="143"/>
        <v>0</v>
      </c>
      <c r="IG61" s="46">
        <f t="shared" si="143"/>
        <v>0</v>
      </c>
      <c r="IH61" s="46">
        <f t="shared" si="143"/>
        <v>0</v>
      </c>
      <c r="II61" s="46">
        <f t="shared" si="143"/>
        <v>0</v>
      </c>
      <c r="IJ61" s="46">
        <f t="shared" si="143"/>
        <v>0</v>
      </c>
      <c r="IK61" s="46">
        <f t="shared" si="143"/>
        <v>0</v>
      </c>
      <c r="IL61" s="46">
        <f t="shared" ref="IL61:JQ61" si="144">IF(IL$11=1,sale_price,0)</f>
        <v>0</v>
      </c>
      <c r="IM61" s="46">
        <f t="shared" si="144"/>
        <v>0</v>
      </c>
      <c r="IN61" s="46">
        <f t="shared" si="144"/>
        <v>0</v>
      </c>
      <c r="IO61" s="46">
        <f t="shared" si="144"/>
        <v>0</v>
      </c>
      <c r="IP61" s="46">
        <f t="shared" si="144"/>
        <v>0</v>
      </c>
      <c r="IQ61" s="46">
        <f t="shared" si="144"/>
        <v>0</v>
      </c>
      <c r="IR61" s="46">
        <f t="shared" si="144"/>
        <v>0</v>
      </c>
      <c r="IS61" s="46">
        <f t="shared" si="144"/>
        <v>0</v>
      </c>
      <c r="IT61" s="46">
        <f t="shared" si="144"/>
        <v>0</v>
      </c>
      <c r="IU61" s="46">
        <f t="shared" si="144"/>
        <v>0</v>
      </c>
      <c r="IV61" s="46">
        <f t="shared" si="144"/>
        <v>0</v>
      </c>
      <c r="IW61" s="46">
        <f t="shared" si="144"/>
        <v>0</v>
      </c>
      <c r="IX61" s="46">
        <f t="shared" si="144"/>
        <v>0</v>
      </c>
      <c r="IY61" s="46">
        <f t="shared" si="144"/>
        <v>0</v>
      </c>
      <c r="IZ61" s="46">
        <f t="shared" si="144"/>
        <v>0</v>
      </c>
      <c r="JA61" s="46">
        <f t="shared" si="144"/>
        <v>0</v>
      </c>
      <c r="JB61" s="46">
        <f t="shared" si="144"/>
        <v>0</v>
      </c>
      <c r="JC61" s="46">
        <f t="shared" si="144"/>
        <v>0</v>
      </c>
      <c r="JD61" s="46">
        <f t="shared" si="144"/>
        <v>0</v>
      </c>
      <c r="JE61" s="46">
        <f t="shared" si="144"/>
        <v>0</v>
      </c>
      <c r="JF61" s="46">
        <f t="shared" si="144"/>
        <v>0</v>
      </c>
      <c r="JG61" s="46">
        <f t="shared" si="144"/>
        <v>0</v>
      </c>
      <c r="JH61" s="46">
        <f t="shared" si="144"/>
        <v>0</v>
      </c>
      <c r="JI61" s="46">
        <f t="shared" si="144"/>
        <v>0</v>
      </c>
      <c r="JJ61" s="46">
        <f t="shared" si="144"/>
        <v>0</v>
      </c>
      <c r="JK61" s="46">
        <f t="shared" si="144"/>
        <v>0</v>
      </c>
      <c r="JL61" s="46">
        <f t="shared" si="144"/>
        <v>0</v>
      </c>
      <c r="JM61" s="46">
        <f t="shared" si="144"/>
        <v>0</v>
      </c>
      <c r="JN61" s="46">
        <f t="shared" si="144"/>
        <v>0</v>
      </c>
      <c r="JO61" s="46">
        <f t="shared" si="144"/>
        <v>0</v>
      </c>
      <c r="JP61" s="46">
        <f t="shared" si="144"/>
        <v>0</v>
      </c>
      <c r="JQ61" s="46">
        <f t="shared" si="144"/>
        <v>0</v>
      </c>
      <c r="JR61" s="46">
        <f t="shared" ref="JR61:KW61" si="145">IF(JR$11=1,sale_price,0)</f>
        <v>0</v>
      </c>
      <c r="JS61" s="46">
        <f t="shared" si="145"/>
        <v>0</v>
      </c>
      <c r="JT61" s="46">
        <f t="shared" si="145"/>
        <v>0</v>
      </c>
      <c r="JU61" s="46">
        <f t="shared" si="145"/>
        <v>0</v>
      </c>
      <c r="JV61" s="46">
        <f t="shared" si="145"/>
        <v>0</v>
      </c>
      <c r="JW61" s="46">
        <f t="shared" si="145"/>
        <v>0</v>
      </c>
      <c r="JX61" s="46">
        <f t="shared" si="145"/>
        <v>0</v>
      </c>
      <c r="JY61" s="46">
        <f t="shared" si="145"/>
        <v>0</v>
      </c>
      <c r="JZ61" s="46">
        <f t="shared" si="145"/>
        <v>0</v>
      </c>
      <c r="KA61" s="46">
        <f t="shared" si="145"/>
        <v>0</v>
      </c>
      <c r="KB61" s="46">
        <f t="shared" si="145"/>
        <v>0</v>
      </c>
      <c r="KC61" s="46">
        <f t="shared" si="145"/>
        <v>0</v>
      </c>
      <c r="KD61" s="46">
        <f t="shared" si="145"/>
        <v>0</v>
      </c>
      <c r="KE61" s="46">
        <f t="shared" si="145"/>
        <v>0</v>
      </c>
      <c r="KF61" s="46">
        <f t="shared" si="145"/>
        <v>0</v>
      </c>
      <c r="KG61" s="46">
        <f t="shared" si="145"/>
        <v>0</v>
      </c>
      <c r="KH61" s="46">
        <f t="shared" si="145"/>
        <v>0</v>
      </c>
      <c r="KI61" s="46">
        <f t="shared" si="145"/>
        <v>0</v>
      </c>
      <c r="KJ61" s="46">
        <f t="shared" si="145"/>
        <v>0</v>
      </c>
      <c r="KK61" s="46">
        <f t="shared" si="145"/>
        <v>0</v>
      </c>
      <c r="KL61" s="46">
        <f t="shared" si="145"/>
        <v>0</v>
      </c>
      <c r="KM61" s="46">
        <f t="shared" si="145"/>
        <v>0</v>
      </c>
      <c r="KN61" s="46">
        <f t="shared" si="145"/>
        <v>0</v>
      </c>
      <c r="KO61" s="46">
        <f t="shared" si="145"/>
        <v>0</v>
      </c>
      <c r="KP61" s="46">
        <f t="shared" si="145"/>
        <v>0</v>
      </c>
      <c r="KQ61" s="46">
        <f t="shared" si="145"/>
        <v>0</v>
      </c>
      <c r="KR61" s="46">
        <f t="shared" si="145"/>
        <v>0</v>
      </c>
      <c r="KS61" s="46">
        <f t="shared" si="145"/>
        <v>0</v>
      </c>
      <c r="KT61" s="46">
        <f t="shared" si="145"/>
        <v>0</v>
      </c>
      <c r="KU61" s="46">
        <f t="shared" si="145"/>
        <v>0</v>
      </c>
      <c r="KV61" s="46">
        <f t="shared" si="145"/>
        <v>0</v>
      </c>
      <c r="KW61" s="46">
        <f t="shared" si="145"/>
        <v>0</v>
      </c>
      <c r="KX61" s="46">
        <f t="shared" ref="KX61:MC61" si="146">IF(KX$11=1,sale_price,0)</f>
        <v>0</v>
      </c>
      <c r="KY61" s="46">
        <f t="shared" si="146"/>
        <v>0</v>
      </c>
      <c r="KZ61" s="46">
        <f t="shared" si="146"/>
        <v>0</v>
      </c>
      <c r="LA61" s="46">
        <f t="shared" si="146"/>
        <v>0</v>
      </c>
      <c r="LB61" s="46">
        <f t="shared" si="146"/>
        <v>0</v>
      </c>
      <c r="LC61" s="46">
        <f t="shared" si="146"/>
        <v>0</v>
      </c>
      <c r="LD61" s="46">
        <f t="shared" si="146"/>
        <v>0</v>
      </c>
      <c r="LE61" s="46">
        <f t="shared" si="146"/>
        <v>0</v>
      </c>
      <c r="LF61" s="46">
        <f t="shared" si="146"/>
        <v>0</v>
      </c>
      <c r="LG61" s="46">
        <f t="shared" si="146"/>
        <v>0</v>
      </c>
      <c r="LH61" s="46">
        <f t="shared" si="146"/>
        <v>0</v>
      </c>
      <c r="LI61" s="46">
        <f t="shared" si="146"/>
        <v>0</v>
      </c>
      <c r="LJ61" s="46">
        <f t="shared" si="146"/>
        <v>0</v>
      </c>
      <c r="LK61" s="46">
        <f t="shared" si="146"/>
        <v>0</v>
      </c>
      <c r="LL61" s="46">
        <f t="shared" si="146"/>
        <v>0</v>
      </c>
      <c r="LM61" s="46">
        <f t="shared" si="146"/>
        <v>0</v>
      </c>
      <c r="LN61" s="46">
        <f t="shared" si="146"/>
        <v>0</v>
      </c>
      <c r="LO61" s="46">
        <f t="shared" si="146"/>
        <v>0</v>
      </c>
      <c r="LP61" s="46">
        <f t="shared" si="146"/>
        <v>0</v>
      </c>
      <c r="LQ61" s="46">
        <f t="shared" si="146"/>
        <v>0</v>
      </c>
      <c r="LR61" s="46">
        <f t="shared" si="146"/>
        <v>0</v>
      </c>
      <c r="LS61" s="46">
        <f t="shared" si="146"/>
        <v>0</v>
      </c>
      <c r="LT61" s="46">
        <f t="shared" si="146"/>
        <v>0</v>
      </c>
      <c r="LU61" s="46">
        <f t="shared" si="146"/>
        <v>0</v>
      </c>
      <c r="LV61" s="46">
        <f t="shared" si="146"/>
        <v>0</v>
      </c>
      <c r="LW61" s="46">
        <f t="shared" si="146"/>
        <v>0</v>
      </c>
      <c r="LX61" s="46">
        <f t="shared" si="146"/>
        <v>0</v>
      </c>
      <c r="LY61" s="46">
        <f t="shared" si="146"/>
        <v>0</v>
      </c>
      <c r="LZ61" s="46">
        <f t="shared" si="146"/>
        <v>0</v>
      </c>
      <c r="MA61" s="46">
        <f t="shared" si="146"/>
        <v>0</v>
      </c>
      <c r="MB61" s="46">
        <f t="shared" si="146"/>
        <v>0</v>
      </c>
      <c r="MC61" s="46">
        <f t="shared" si="146"/>
        <v>0</v>
      </c>
      <c r="MD61" s="46">
        <f t="shared" ref="MD61:NB61" si="147">IF(MD$11=1,sale_price,0)</f>
        <v>0</v>
      </c>
      <c r="ME61" s="46">
        <f t="shared" si="147"/>
        <v>0</v>
      </c>
      <c r="MF61" s="46">
        <f t="shared" si="147"/>
        <v>0</v>
      </c>
      <c r="MG61" s="46">
        <f t="shared" si="147"/>
        <v>0</v>
      </c>
      <c r="MH61" s="46">
        <f t="shared" si="147"/>
        <v>0</v>
      </c>
      <c r="MI61" s="46">
        <f t="shared" si="147"/>
        <v>0</v>
      </c>
      <c r="MJ61" s="46">
        <f t="shared" si="147"/>
        <v>0</v>
      </c>
      <c r="MK61" s="46">
        <f t="shared" si="147"/>
        <v>0</v>
      </c>
      <c r="ML61" s="46">
        <f t="shared" si="147"/>
        <v>0</v>
      </c>
      <c r="MM61" s="46">
        <f t="shared" si="147"/>
        <v>0</v>
      </c>
      <c r="MN61" s="46">
        <f t="shared" si="147"/>
        <v>0</v>
      </c>
      <c r="MO61" s="46">
        <f t="shared" si="147"/>
        <v>0</v>
      </c>
      <c r="MP61" s="46">
        <f t="shared" si="147"/>
        <v>0</v>
      </c>
      <c r="MQ61" s="46">
        <f t="shared" si="147"/>
        <v>0</v>
      </c>
      <c r="MR61" s="46">
        <f t="shared" si="147"/>
        <v>0</v>
      </c>
      <c r="MS61" s="46">
        <f t="shared" si="147"/>
        <v>0</v>
      </c>
      <c r="MT61" s="46">
        <f t="shared" si="147"/>
        <v>0</v>
      </c>
      <c r="MU61" s="46">
        <f t="shared" si="147"/>
        <v>0</v>
      </c>
      <c r="MV61" s="46">
        <f t="shared" si="147"/>
        <v>0</v>
      </c>
      <c r="MW61" s="46">
        <f t="shared" si="147"/>
        <v>0</v>
      </c>
      <c r="MX61" s="46">
        <f t="shared" si="147"/>
        <v>0</v>
      </c>
      <c r="MY61" s="46">
        <f t="shared" si="147"/>
        <v>0</v>
      </c>
      <c r="MZ61" s="46">
        <f t="shared" si="147"/>
        <v>0</v>
      </c>
      <c r="NA61" s="46">
        <f t="shared" si="147"/>
        <v>0</v>
      </c>
      <c r="NB61" s="46">
        <f t="shared" si="147"/>
        <v>0</v>
      </c>
    </row>
    <row r="62" spans="2:367" x14ac:dyDescent="0.15">
      <c r="B62" t="s">
        <v>117</v>
      </c>
      <c r="D62" s="53">
        <f>cost_sale</f>
        <v>0.05</v>
      </c>
      <c r="F62" s="56">
        <f t="shared" ref="F62:BQ62" si="148">-IF(F$11=1,$D$62*F61,0)</f>
        <v>0</v>
      </c>
      <c r="G62" s="56">
        <f t="shared" si="148"/>
        <v>0</v>
      </c>
      <c r="H62" s="56">
        <f t="shared" si="148"/>
        <v>0</v>
      </c>
      <c r="I62" s="56">
        <f t="shared" si="148"/>
        <v>0</v>
      </c>
      <c r="J62" s="56">
        <f t="shared" si="148"/>
        <v>0</v>
      </c>
      <c r="K62" s="56">
        <f t="shared" si="148"/>
        <v>0</v>
      </c>
      <c r="L62" s="563">
        <f t="shared" si="148"/>
        <v>0</v>
      </c>
      <c r="M62" s="56">
        <f t="shared" si="148"/>
        <v>0</v>
      </c>
      <c r="N62" s="56">
        <f t="shared" si="148"/>
        <v>0</v>
      </c>
      <c r="O62" s="56">
        <f t="shared" si="148"/>
        <v>0</v>
      </c>
      <c r="P62" s="56">
        <f t="shared" si="148"/>
        <v>0</v>
      </c>
      <c r="Q62" s="56">
        <f t="shared" si="148"/>
        <v>0</v>
      </c>
      <c r="R62" s="56">
        <f t="shared" si="148"/>
        <v>0</v>
      </c>
      <c r="S62" s="56">
        <f t="shared" si="148"/>
        <v>0</v>
      </c>
      <c r="T62" s="56">
        <f t="shared" si="148"/>
        <v>0</v>
      </c>
      <c r="U62" s="56">
        <f t="shared" si="148"/>
        <v>0</v>
      </c>
      <c r="V62" s="56">
        <f t="shared" si="148"/>
        <v>0</v>
      </c>
      <c r="W62" s="56">
        <f t="shared" si="148"/>
        <v>0</v>
      </c>
      <c r="X62" s="56">
        <f t="shared" si="148"/>
        <v>0</v>
      </c>
      <c r="Y62" s="56">
        <f t="shared" si="148"/>
        <v>0</v>
      </c>
      <c r="Z62" s="56">
        <f t="shared" si="148"/>
        <v>0</v>
      </c>
      <c r="AA62" s="56">
        <f t="shared" si="148"/>
        <v>0</v>
      </c>
      <c r="AB62" s="56">
        <f t="shared" si="148"/>
        <v>0</v>
      </c>
      <c r="AC62" s="56">
        <f t="shared" si="148"/>
        <v>0</v>
      </c>
      <c r="AD62" s="56">
        <f t="shared" si="148"/>
        <v>0</v>
      </c>
      <c r="AE62" s="56">
        <f t="shared" si="148"/>
        <v>0</v>
      </c>
      <c r="AF62" s="56">
        <f t="shared" si="148"/>
        <v>0</v>
      </c>
      <c r="AG62" s="56">
        <f t="shared" si="148"/>
        <v>0</v>
      </c>
      <c r="AH62" s="56">
        <f t="shared" si="148"/>
        <v>0</v>
      </c>
      <c r="AI62" s="56">
        <f t="shared" si="148"/>
        <v>0</v>
      </c>
      <c r="AJ62" s="56">
        <f t="shared" si="148"/>
        <v>0</v>
      </c>
      <c r="AK62" s="56">
        <f t="shared" si="148"/>
        <v>0</v>
      </c>
      <c r="AL62" s="56">
        <f t="shared" si="148"/>
        <v>0</v>
      </c>
      <c r="AM62" s="56">
        <f t="shared" si="148"/>
        <v>0</v>
      </c>
      <c r="AN62" s="56">
        <f t="shared" si="148"/>
        <v>0</v>
      </c>
      <c r="AO62" s="56">
        <f t="shared" si="148"/>
        <v>0</v>
      </c>
      <c r="AP62" s="56">
        <f t="shared" si="148"/>
        <v>0</v>
      </c>
      <c r="AQ62" s="56">
        <f t="shared" si="148"/>
        <v>0</v>
      </c>
      <c r="AR62" s="56">
        <f t="shared" si="148"/>
        <v>0</v>
      </c>
      <c r="AS62" s="56">
        <f t="shared" si="148"/>
        <v>0</v>
      </c>
      <c r="AT62" s="56">
        <f t="shared" si="148"/>
        <v>0</v>
      </c>
      <c r="AU62" s="56">
        <f t="shared" si="148"/>
        <v>0</v>
      </c>
      <c r="AV62" s="56">
        <f t="shared" si="148"/>
        <v>0</v>
      </c>
      <c r="AW62" s="56">
        <f t="shared" si="148"/>
        <v>0</v>
      </c>
      <c r="AX62" s="56">
        <f t="shared" si="148"/>
        <v>0</v>
      </c>
      <c r="AY62" s="56">
        <f t="shared" si="148"/>
        <v>0</v>
      </c>
      <c r="AZ62" s="56">
        <f t="shared" si="148"/>
        <v>0</v>
      </c>
      <c r="BA62" s="56">
        <f t="shared" si="148"/>
        <v>0</v>
      </c>
      <c r="BB62" s="56">
        <f t="shared" si="148"/>
        <v>0</v>
      </c>
      <c r="BC62" s="56">
        <f t="shared" si="148"/>
        <v>0</v>
      </c>
      <c r="BD62" s="56">
        <f t="shared" si="148"/>
        <v>0</v>
      </c>
      <c r="BE62" s="56">
        <f t="shared" si="148"/>
        <v>0</v>
      </c>
      <c r="BF62" s="56">
        <f t="shared" si="148"/>
        <v>0</v>
      </c>
      <c r="BG62" s="56">
        <f t="shared" si="148"/>
        <v>0</v>
      </c>
      <c r="BH62" s="56">
        <f t="shared" si="148"/>
        <v>0</v>
      </c>
      <c r="BI62" s="56">
        <f t="shared" si="148"/>
        <v>0</v>
      </c>
      <c r="BJ62" s="56">
        <f t="shared" si="148"/>
        <v>0</v>
      </c>
      <c r="BK62" s="56">
        <f t="shared" si="148"/>
        <v>0</v>
      </c>
      <c r="BL62" s="56">
        <f t="shared" si="148"/>
        <v>0</v>
      </c>
      <c r="BM62" s="56">
        <f t="shared" si="148"/>
        <v>0</v>
      </c>
      <c r="BN62" s="56">
        <f t="shared" si="148"/>
        <v>0</v>
      </c>
      <c r="BO62" s="56">
        <f t="shared" si="148"/>
        <v>0</v>
      </c>
      <c r="BP62" s="56">
        <f t="shared" si="148"/>
        <v>0</v>
      </c>
      <c r="BQ62" s="56">
        <f t="shared" si="148"/>
        <v>0</v>
      </c>
      <c r="BR62" s="56">
        <f t="shared" ref="BR62:EC62" si="149">-IF(BR$11=1,$D$62*BR61,0)</f>
        <v>0</v>
      </c>
      <c r="BS62" s="56">
        <f t="shared" si="149"/>
        <v>0</v>
      </c>
      <c r="BT62" s="56">
        <f t="shared" si="149"/>
        <v>0</v>
      </c>
      <c r="BU62" s="56">
        <f t="shared" si="149"/>
        <v>0</v>
      </c>
      <c r="BV62" s="56">
        <f t="shared" si="149"/>
        <v>0</v>
      </c>
      <c r="BW62" s="56">
        <f t="shared" si="149"/>
        <v>0</v>
      </c>
      <c r="BX62" s="56">
        <f t="shared" si="149"/>
        <v>0</v>
      </c>
      <c r="BY62" s="56">
        <f t="shared" si="149"/>
        <v>0</v>
      </c>
      <c r="BZ62" s="56">
        <f t="shared" si="149"/>
        <v>0</v>
      </c>
      <c r="CA62" s="56">
        <f t="shared" si="149"/>
        <v>0</v>
      </c>
      <c r="CB62" s="56">
        <f t="shared" si="149"/>
        <v>0</v>
      </c>
      <c r="CC62" s="56">
        <f t="shared" si="149"/>
        <v>0</v>
      </c>
      <c r="CD62" s="56">
        <f t="shared" si="149"/>
        <v>0</v>
      </c>
      <c r="CE62" s="56">
        <f t="shared" si="149"/>
        <v>0</v>
      </c>
      <c r="CF62" s="56">
        <f t="shared" si="149"/>
        <v>0</v>
      </c>
      <c r="CG62" s="56">
        <f t="shared" si="149"/>
        <v>0</v>
      </c>
      <c r="CH62" s="56">
        <f t="shared" si="149"/>
        <v>0</v>
      </c>
      <c r="CI62" s="56">
        <f t="shared" si="149"/>
        <v>0</v>
      </c>
      <c r="CJ62" s="56">
        <f t="shared" si="149"/>
        <v>0</v>
      </c>
      <c r="CK62" s="56">
        <f t="shared" si="149"/>
        <v>0</v>
      </c>
      <c r="CL62" s="56">
        <f t="shared" si="149"/>
        <v>0</v>
      </c>
      <c r="CM62" s="56">
        <f t="shared" si="149"/>
        <v>0</v>
      </c>
      <c r="CN62" s="56">
        <f t="shared" si="149"/>
        <v>0</v>
      </c>
      <c r="CO62" s="56">
        <f t="shared" si="149"/>
        <v>0</v>
      </c>
      <c r="CP62" s="56">
        <f t="shared" si="149"/>
        <v>0</v>
      </c>
      <c r="CQ62" s="56">
        <f t="shared" si="149"/>
        <v>0</v>
      </c>
      <c r="CR62" s="56">
        <f t="shared" si="149"/>
        <v>0</v>
      </c>
      <c r="CS62" s="56">
        <f t="shared" si="149"/>
        <v>0</v>
      </c>
      <c r="CT62" s="56">
        <f t="shared" si="149"/>
        <v>0</v>
      </c>
      <c r="CU62" s="56">
        <f t="shared" si="149"/>
        <v>0</v>
      </c>
      <c r="CV62" s="56">
        <f t="shared" si="149"/>
        <v>0</v>
      </c>
      <c r="CW62" s="56">
        <f t="shared" si="149"/>
        <v>0</v>
      </c>
      <c r="CX62" s="56">
        <f t="shared" si="149"/>
        <v>0</v>
      </c>
      <c r="CY62" s="56">
        <f t="shared" si="149"/>
        <v>0</v>
      </c>
      <c r="CZ62" s="56">
        <f t="shared" si="149"/>
        <v>0</v>
      </c>
      <c r="DA62" s="56">
        <f t="shared" si="149"/>
        <v>0</v>
      </c>
      <c r="DB62" s="56">
        <f t="shared" si="149"/>
        <v>0</v>
      </c>
      <c r="DC62" s="56">
        <f t="shared" si="149"/>
        <v>0</v>
      </c>
      <c r="DD62" s="56">
        <f t="shared" si="149"/>
        <v>0</v>
      </c>
      <c r="DE62" s="56">
        <f t="shared" si="149"/>
        <v>0</v>
      </c>
      <c r="DF62" s="56">
        <f t="shared" si="149"/>
        <v>0</v>
      </c>
      <c r="DG62" s="56">
        <f t="shared" si="149"/>
        <v>0</v>
      </c>
      <c r="DH62" s="56">
        <f t="shared" si="149"/>
        <v>0</v>
      </c>
      <c r="DI62" s="56">
        <f t="shared" si="149"/>
        <v>0</v>
      </c>
      <c r="DJ62" s="56">
        <f t="shared" si="149"/>
        <v>0</v>
      </c>
      <c r="DK62" s="56">
        <f t="shared" si="149"/>
        <v>0</v>
      </c>
      <c r="DL62" s="56">
        <f t="shared" si="149"/>
        <v>0</v>
      </c>
      <c r="DM62" s="56">
        <f t="shared" si="149"/>
        <v>0</v>
      </c>
      <c r="DN62" s="56">
        <f t="shared" si="149"/>
        <v>0</v>
      </c>
      <c r="DO62" s="56">
        <f t="shared" si="149"/>
        <v>0</v>
      </c>
      <c r="DP62" s="56">
        <f t="shared" si="149"/>
        <v>0</v>
      </c>
      <c r="DQ62" s="56">
        <f t="shared" si="149"/>
        <v>0</v>
      </c>
      <c r="DR62" s="56">
        <f t="shared" si="149"/>
        <v>0</v>
      </c>
      <c r="DS62" s="56">
        <f t="shared" si="149"/>
        <v>0</v>
      </c>
      <c r="DT62" s="56">
        <f t="shared" si="149"/>
        <v>0</v>
      </c>
      <c r="DU62" s="56">
        <f t="shared" si="149"/>
        <v>0</v>
      </c>
      <c r="DV62" s="56">
        <f t="shared" si="149"/>
        <v>0</v>
      </c>
      <c r="DW62" s="56">
        <f t="shared" si="149"/>
        <v>0</v>
      </c>
      <c r="DX62" s="56">
        <f t="shared" si="149"/>
        <v>0</v>
      </c>
      <c r="DY62" s="56">
        <f t="shared" si="149"/>
        <v>0</v>
      </c>
      <c r="DZ62" s="56">
        <f t="shared" si="149"/>
        <v>0</v>
      </c>
      <c r="EA62" s="56">
        <f t="shared" si="149"/>
        <v>0</v>
      </c>
      <c r="EB62" s="56">
        <f t="shared" si="149"/>
        <v>0</v>
      </c>
      <c r="EC62" s="56">
        <f t="shared" si="149"/>
        <v>0</v>
      </c>
      <c r="ED62" s="56">
        <f t="shared" ref="ED62:GO62" si="150">-IF(ED$11=1,$D$62*ED61,0)</f>
        <v>0</v>
      </c>
      <c r="EE62" s="56">
        <f t="shared" si="150"/>
        <v>0</v>
      </c>
      <c r="EF62" s="56">
        <f t="shared" si="150"/>
        <v>0</v>
      </c>
      <c r="EG62" s="56">
        <f t="shared" si="150"/>
        <v>0</v>
      </c>
      <c r="EH62" s="56">
        <f t="shared" si="150"/>
        <v>0</v>
      </c>
      <c r="EI62" s="56">
        <f t="shared" si="150"/>
        <v>0</v>
      </c>
      <c r="EJ62" s="56">
        <f t="shared" si="150"/>
        <v>0</v>
      </c>
      <c r="EK62" s="56">
        <f t="shared" si="150"/>
        <v>0</v>
      </c>
      <c r="EL62" s="56">
        <f t="shared" si="150"/>
        <v>0</v>
      </c>
      <c r="EM62" s="56">
        <f t="shared" si="150"/>
        <v>0</v>
      </c>
      <c r="EN62" s="56">
        <f t="shared" si="150"/>
        <v>0</v>
      </c>
      <c r="EO62" s="56">
        <f t="shared" si="150"/>
        <v>0</v>
      </c>
      <c r="EP62" s="56">
        <f t="shared" si="150"/>
        <v>0</v>
      </c>
      <c r="EQ62" s="56">
        <f t="shared" si="150"/>
        <v>0</v>
      </c>
      <c r="ER62" s="56">
        <f t="shared" si="150"/>
        <v>0</v>
      </c>
      <c r="ES62" s="56">
        <f t="shared" si="150"/>
        <v>0</v>
      </c>
      <c r="ET62" s="56">
        <f t="shared" si="150"/>
        <v>0</v>
      </c>
      <c r="EU62" s="56">
        <f t="shared" si="150"/>
        <v>0</v>
      </c>
      <c r="EV62" s="56">
        <f t="shared" si="150"/>
        <v>0</v>
      </c>
      <c r="EW62" s="56">
        <f t="shared" si="150"/>
        <v>0</v>
      </c>
      <c r="EX62" s="56">
        <f t="shared" si="150"/>
        <v>0</v>
      </c>
      <c r="EY62" s="56">
        <f t="shared" si="150"/>
        <v>0</v>
      </c>
      <c r="EZ62" s="56">
        <f t="shared" si="150"/>
        <v>0</v>
      </c>
      <c r="FA62" s="56">
        <f t="shared" si="150"/>
        <v>0</v>
      </c>
      <c r="FB62" s="56">
        <f t="shared" si="150"/>
        <v>0</v>
      </c>
      <c r="FC62" s="56">
        <f t="shared" si="150"/>
        <v>0</v>
      </c>
      <c r="FD62" s="56">
        <f t="shared" si="150"/>
        <v>0</v>
      </c>
      <c r="FE62" s="56">
        <f t="shared" si="150"/>
        <v>0</v>
      </c>
      <c r="FF62" s="56">
        <f t="shared" si="150"/>
        <v>0</v>
      </c>
      <c r="FG62" s="56">
        <f t="shared" si="150"/>
        <v>0</v>
      </c>
      <c r="FH62" s="56">
        <f t="shared" si="150"/>
        <v>0</v>
      </c>
      <c r="FI62" s="56">
        <f t="shared" si="150"/>
        <v>0</v>
      </c>
      <c r="FJ62" s="56">
        <f t="shared" si="150"/>
        <v>0</v>
      </c>
      <c r="FK62" s="56">
        <f t="shared" si="150"/>
        <v>0</v>
      </c>
      <c r="FL62" s="56">
        <f t="shared" si="150"/>
        <v>0</v>
      </c>
      <c r="FM62" s="56">
        <f t="shared" si="150"/>
        <v>0</v>
      </c>
      <c r="FN62" s="56">
        <f t="shared" si="150"/>
        <v>0</v>
      </c>
      <c r="FO62" s="56">
        <f t="shared" si="150"/>
        <v>0</v>
      </c>
      <c r="FP62" s="56">
        <f t="shared" si="150"/>
        <v>0</v>
      </c>
      <c r="FQ62" s="56">
        <f t="shared" si="150"/>
        <v>0</v>
      </c>
      <c r="FR62" s="56">
        <f t="shared" si="150"/>
        <v>0</v>
      </c>
      <c r="FS62" s="56">
        <f t="shared" si="150"/>
        <v>0</v>
      </c>
      <c r="FT62" s="56">
        <f t="shared" si="150"/>
        <v>0</v>
      </c>
      <c r="FU62" s="56">
        <f t="shared" si="150"/>
        <v>0</v>
      </c>
      <c r="FV62" s="56">
        <f t="shared" si="150"/>
        <v>0</v>
      </c>
      <c r="FW62" s="56">
        <f t="shared" si="150"/>
        <v>0</v>
      </c>
      <c r="FX62" s="56">
        <f t="shared" si="150"/>
        <v>0</v>
      </c>
      <c r="FY62" s="56">
        <f t="shared" si="150"/>
        <v>0</v>
      </c>
      <c r="FZ62" s="56">
        <f t="shared" si="150"/>
        <v>0</v>
      </c>
      <c r="GA62" s="56">
        <f t="shared" si="150"/>
        <v>0</v>
      </c>
      <c r="GB62" s="56">
        <f t="shared" si="150"/>
        <v>0</v>
      </c>
      <c r="GC62" s="56">
        <f t="shared" si="150"/>
        <v>0</v>
      </c>
      <c r="GD62" s="56">
        <f t="shared" ca="1" si="150"/>
        <v>-498586.08550146408</v>
      </c>
      <c r="GE62" s="56">
        <f t="shared" si="150"/>
        <v>0</v>
      </c>
      <c r="GF62" s="56">
        <f t="shared" si="150"/>
        <v>0</v>
      </c>
      <c r="GG62" s="56">
        <f t="shared" si="150"/>
        <v>0</v>
      </c>
      <c r="GH62" s="56">
        <f t="shared" si="150"/>
        <v>0</v>
      </c>
      <c r="GI62" s="56">
        <f t="shared" si="150"/>
        <v>0</v>
      </c>
      <c r="GJ62" s="56">
        <f t="shared" si="150"/>
        <v>0</v>
      </c>
      <c r="GK62" s="56">
        <f t="shared" si="150"/>
        <v>0</v>
      </c>
      <c r="GL62" s="56">
        <f t="shared" si="150"/>
        <v>0</v>
      </c>
      <c r="GM62" s="56">
        <f t="shared" si="150"/>
        <v>0</v>
      </c>
      <c r="GN62" s="56">
        <f t="shared" si="150"/>
        <v>0</v>
      </c>
      <c r="GO62" s="56">
        <f t="shared" si="150"/>
        <v>0</v>
      </c>
      <c r="GP62" s="56">
        <f t="shared" ref="GP62:JA62" si="151">-IF(GP$11=1,$D$62*GP61,0)</f>
        <v>0</v>
      </c>
      <c r="GQ62" s="56">
        <f t="shared" si="151"/>
        <v>0</v>
      </c>
      <c r="GR62" s="56">
        <f t="shared" si="151"/>
        <v>0</v>
      </c>
      <c r="GS62" s="56">
        <f t="shared" si="151"/>
        <v>0</v>
      </c>
      <c r="GT62" s="56">
        <f t="shared" si="151"/>
        <v>0</v>
      </c>
      <c r="GU62" s="56">
        <f t="shared" si="151"/>
        <v>0</v>
      </c>
      <c r="GV62" s="56">
        <f t="shared" si="151"/>
        <v>0</v>
      </c>
      <c r="GW62" s="56">
        <f t="shared" si="151"/>
        <v>0</v>
      </c>
      <c r="GX62" s="56">
        <f t="shared" si="151"/>
        <v>0</v>
      </c>
      <c r="GY62" s="56">
        <f t="shared" si="151"/>
        <v>0</v>
      </c>
      <c r="GZ62" s="56">
        <f t="shared" si="151"/>
        <v>0</v>
      </c>
      <c r="HA62" s="56">
        <f t="shared" si="151"/>
        <v>0</v>
      </c>
      <c r="HB62" s="56">
        <f t="shared" si="151"/>
        <v>0</v>
      </c>
      <c r="HC62" s="56">
        <f t="shared" si="151"/>
        <v>0</v>
      </c>
      <c r="HD62" s="56">
        <f t="shared" si="151"/>
        <v>0</v>
      </c>
      <c r="HE62" s="56">
        <f t="shared" si="151"/>
        <v>0</v>
      </c>
      <c r="HF62" s="56">
        <f t="shared" si="151"/>
        <v>0</v>
      </c>
      <c r="HG62" s="56">
        <f t="shared" si="151"/>
        <v>0</v>
      </c>
      <c r="HH62" s="56">
        <f t="shared" si="151"/>
        <v>0</v>
      </c>
      <c r="HI62" s="56">
        <f t="shared" si="151"/>
        <v>0</v>
      </c>
      <c r="HJ62" s="56">
        <f t="shared" si="151"/>
        <v>0</v>
      </c>
      <c r="HK62" s="56">
        <f t="shared" si="151"/>
        <v>0</v>
      </c>
      <c r="HL62" s="56">
        <f t="shared" si="151"/>
        <v>0</v>
      </c>
      <c r="HM62" s="56">
        <f t="shared" si="151"/>
        <v>0</v>
      </c>
      <c r="HN62" s="56">
        <f t="shared" si="151"/>
        <v>0</v>
      </c>
      <c r="HO62" s="56">
        <f t="shared" si="151"/>
        <v>0</v>
      </c>
      <c r="HP62" s="56">
        <f t="shared" si="151"/>
        <v>0</v>
      </c>
      <c r="HQ62" s="56">
        <f t="shared" si="151"/>
        <v>0</v>
      </c>
      <c r="HR62" s="56">
        <f t="shared" si="151"/>
        <v>0</v>
      </c>
      <c r="HS62" s="56">
        <f t="shared" si="151"/>
        <v>0</v>
      </c>
      <c r="HT62" s="56">
        <f t="shared" si="151"/>
        <v>0</v>
      </c>
      <c r="HU62" s="56">
        <f t="shared" si="151"/>
        <v>0</v>
      </c>
      <c r="HV62" s="56">
        <f t="shared" si="151"/>
        <v>0</v>
      </c>
      <c r="HW62" s="56">
        <f t="shared" si="151"/>
        <v>0</v>
      </c>
      <c r="HX62" s="56">
        <f t="shared" si="151"/>
        <v>0</v>
      </c>
      <c r="HY62" s="56">
        <f t="shared" si="151"/>
        <v>0</v>
      </c>
      <c r="HZ62" s="56">
        <f t="shared" si="151"/>
        <v>0</v>
      </c>
      <c r="IA62" s="56">
        <f t="shared" si="151"/>
        <v>0</v>
      </c>
      <c r="IB62" s="56">
        <f t="shared" si="151"/>
        <v>0</v>
      </c>
      <c r="IC62" s="56">
        <f t="shared" si="151"/>
        <v>0</v>
      </c>
      <c r="ID62" s="56">
        <f t="shared" si="151"/>
        <v>0</v>
      </c>
      <c r="IE62" s="56">
        <f t="shared" si="151"/>
        <v>0</v>
      </c>
      <c r="IF62" s="56">
        <f t="shared" si="151"/>
        <v>0</v>
      </c>
      <c r="IG62" s="56">
        <f t="shared" si="151"/>
        <v>0</v>
      </c>
      <c r="IH62" s="56">
        <f t="shared" si="151"/>
        <v>0</v>
      </c>
      <c r="II62" s="56">
        <f t="shared" si="151"/>
        <v>0</v>
      </c>
      <c r="IJ62" s="56">
        <f t="shared" si="151"/>
        <v>0</v>
      </c>
      <c r="IK62" s="56">
        <f t="shared" si="151"/>
        <v>0</v>
      </c>
      <c r="IL62" s="56">
        <f t="shared" si="151"/>
        <v>0</v>
      </c>
      <c r="IM62" s="56">
        <f t="shared" si="151"/>
        <v>0</v>
      </c>
      <c r="IN62" s="56">
        <f t="shared" si="151"/>
        <v>0</v>
      </c>
      <c r="IO62" s="56">
        <f t="shared" si="151"/>
        <v>0</v>
      </c>
      <c r="IP62" s="56">
        <f t="shared" si="151"/>
        <v>0</v>
      </c>
      <c r="IQ62" s="56">
        <f t="shared" si="151"/>
        <v>0</v>
      </c>
      <c r="IR62" s="56">
        <f t="shared" si="151"/>
        <v>0</v>
      </c>
      <c r="IS62" s="56">
        <f t="shared" si="151"/>
        <v>0</v>
      </c>
      <c r="IT62" s="56">
        <f t="shared" si="151"/>
        <v>0</v>
      </c>
      <c r="IU62" s="56">
        <f t="shared" si="151"/>
        <v>0</v>
      </c>
      <c r="IV62" s="56">
        <f t="shared" si="151"/>
        <v>0</v>
      </c>
      <c r="IW62" s="56">
        <f t="shared" si="151"/>
        <v>0</v>
      </c>
      <c r="IX62" s="56">
        <f t="shared" si="151"/>
        <v>0</v>
      </c>
      <c r="IY62" s="56">
        <f t="shared" si="151"/>
        <v>0</v>
      </c>
      <c r="IZ62" s="56">
        <f t="shared" si="151"/>
        <v>0</v>
      </c>
      <c r="JA62" s="56">
        <f t="shared" si="151"/>
        <v>0</v>
      </c>
      <c r="JB62" s="56">
        <f t="shared" ref="JB62:LM62" si="152">-IF(JB$11=1,$D$62*JB61,0)</f>
        <v>0</v>
      </c>
      <c r="JC62" s="56">
        <f t="shared" si="152"/>
        <v>0</v>
      </c>
      <c r="JD62" s="56">
        <f t="shared" si="152"/>
        <v>0</v>
      </c>
      <c r="JE62" s="56">
        <f t="shared" si="152"/>
        <v>0</v>
      </c>
      <c r="JF62" s="56">
        <f t="shared" si="152"/>
        <v>0</v>
      </c>
      <c r="JG62" s="56">
        <f t="shared" si="152"/>
        <v>0</v>
      </c>
      <c r="JH62" s="56">
        <f t="shared" si="152"/>
        <v>0</v>
      </c>
      <c r="JI62" s="56">
        <f t="shared" si="152"/>
        <v>0</v>
      </c>
      <c r="JJ62" s="56">
        <f t="shared" si="152"/>
        <v>0</v>
      </c>
      <c r="JK62" s="56">
        <f t="shared" si="152"/>
        <v>0</v>
      </c>
      <c r="JL62" s="56">
        <f t="shared" si="152"/>
        <v>0</v>
      </c>
      <c r="JM62" s="56">
        <f t="shared" si="152"/>
        <v>0</v>
      </c>
      <c r="JN62" s="56">
        <f t="shared" si="152"/>
        <v>0</v>
      </c>
      <c r="JO62" s="56">
        <f t="shared" si="152"/>
        <v>0</v>
      </c>
      <c r="JP62" s="56">
        <f t="shared" si="152"/>
        <v>0</v>
      </c>
      <c r="JQ62" s="56">
        <f t="shared" si="152"/>
        <v>0</v>
      </c>
      <c r="JR62" s="56">
        <f t="shared" si="152"/>
        <v>0</v>
      </c>
      <c r="JS62" s="56">
        <f t="shared" si="152"/>
        <v>0</v>
      </c>
      <c r="JT62" s="56">
        <f t="shared" si="152"/>
        <v>0</v>
      </c>
      <c r="JU62" s="56">
        <f t="shared" si="152"/>
        <v>0</v>
      </c>
      <c r="JV62" s="56">
        <f t="shared" si="152"/>
        <v>0</v>
      </c>
      <c r="JW62" s="56">
        <f t="shared" si="152"/>
        <v>0</v>
      </c>
      <c r="JX62" s="56">
        <f t="shared" si="152"/>
        <v>0</v>
      </c>
      <c r="JY62" s="56">
        <f t="shared" si="152"/>
        <v>0</v>
      </c>
      <c r="JZ62" s="56">
        <f t="shared" si="152"/>
        <v>0</v>
      </c>
      <c r="KA62" s="56">
        <f t="shared" si="152"/>
        <v>0</v>
      </c>
      <c r="KB62" s="56">
        <f t="shared" si="152"/>
        <v>0</v>
      </c>
      <c r="KC62" s="56">
        <f t="shared" si="152"/>
        <v>0</v>
      </c>
      <c r="KD62" s="56">
        <f t="shared" si="152"/>
        <v>0</v>
      </c>
      <c r="KE62" s="56">
        <f t="shared" si="152"/>
        <v>0</v>
      </c>
      <c r="KF62" s="56">
        <f t="shared" si="152"/>
        <v>0</v>
      </c>
      <c r="KG62" s="56">
        <f t="shared" si="152"/>
        <v>0</v>
      </c>
      <c r="KH62" s="56">
        <f t="shared" si="152"/>
        <v>0</v>
      </c>
      <c r="KI62" s="56">
        <f t="shared" si="152"/>
        <v>0</v>
      </c>
      <c r="KJ62" s="56">
        <f t="shared" si="152"/>
        <v>0</v>
      </c>
      <c r="KK62" s="56">
        <f t="shared" si="152"/>
        <v>0</v>
      </c>
      <c r="KL62" s="56">
        <f t="shared" si="152"/>
        <v>0</v>
      </c>
      <c r="KM62" s="56">
        <f t="shared" si="152"/>
        <v>0</v>
      </c>
      <c r="KN62" s="56">
        <f t="shared" si="152"/>
        <v>0</v>
      </c>
      <c r="KO62" s="56">
        <f t="shared" si="152"/>
        <v>0</v>
      </c>
      <c r="KP62" s="56">
        <f t="shared" si="152"/>
        <v>0</v>
      </c>
      <c r="KQ62" s="56">
        <f t="shared" si="152"/>
        <v>0</v>
      </c>
      <c r="KR62" s="56">
        <f t="shared" si="152"/>
        <v>0</v>
      </c>
      <c r="KS62" s="56">
        <f t="shared" si="152"/>
        <v>0</v>
      </c>
      <c r="KT62" s="56">
        <f t="shared" si="152"/>
        <v>0</v>
      </c>
      <c r="KU62" s="56">
        <f t="shared" si="152"/>
        <v>0</v>
      </c>
      <c r="KV62" s="56">
        <f t="shared" si="152"/>
        <v>0</v>
      </c>
      <c r="KW62" s="56">
        <f t="shared" si="152"/>
        <v>0</v>
      </c>
      <c r="KX62" s="56">
        <f t="shared" si="152"/>
        <v>0</v>
      </c>
      <c r="KY62" s="56">
        <f t="shared" si="152"/>
        <v>0</v>
      </c>
      <c r="KZ62" s="56">
        <f t="shared" si="152"/>
        <v>0</v>
      </c>
      <c r="LA62" s="56">
        <f t="shared" si="152"/>
        <v>0</v>
      </c>
      <c r="LB62" s="56">
        <f t="shared" si="152"/>
        <v>0</v>
      </c>
      <c r="LC62" s="56">
        <f t="shared" si="152"/>
        <v>0</v>
      </c>
      <c r="LD62" s="56">
        <f t="shared" si="152"/>
        <v>0</v>
      </c>
      <c r="LE62" s="56">
        <f t="shared" si="152"/>
        <v>0</v>
      </c>
      <c r="LF62" s="56">
        <f t="shared" si="152"/>
        <v>0</v>
      </c>
      <c r="LG62" s="56">
        <f t="shared" si="152"/>
        <v>0</v>
      </c>
      <c r="LH62" s="56">
        <f t="shared" si="152"/>
        <v>0</v>
      </c>
      <c r="LI62" s="56">
        <f t="shared" si="152"/>
        <v>0</v>
      </c>
      <c r="LJ62" s="56">
        <f t="shared" si="152"/>
        <v>0</v>
      </c>
      <c r="LK62" s="56">
        <f t="shared" si="152"/>
        <v>0</v>
      </c>
      <c r="LL62" s="56">
        <f t="shared" si="152"/>
        <v>0</v>
      </c>
      <c r="LM62" s="56">
        <f t="shared" si="152"/>
        <v>0</v>
      </c>
      <c r="LN62" s="56">
        <f t="shared" ref="LN62:NB62" si="153">-IF(LN$11=1,$D$62*LN61,0)</f>
        <v>0</v>
      </c>
      <c r="LO62" s="56">
        <f t="shared" si="153"/>
        <v>0</v>
      </c>
      <c r="LP62" s="56">
        <f t="shared" si="153"/>
        <v>0</v>
      </c>
      <c r="LQ62" s="56">
        <f t="shared" si="153"/>
        <v>0</v>
      </c>
      <c r="LR62" s="56">
        <f t="shared" si="153"/>
        <v>0</v>
      </c>
      <c r="LS62" s="56">
        <f t="shared" si="153"/>
        <v>0</v>
      </c>
      <c r="LT62" s="56">
        <f t="shared" si="153"/>
        <v>0</v>
      </c>
      <c r="LU62" s="56">
        <f t="shared" si="153"/>
        <v>0</v>
      </c>
      <c r="LV62" s="56">
        <f t="shared" si="153"/>
        <v>0</v>
      </c>
      <c r="LW62" s="56">
        <f t="shared" si="153"/>
        <v>0</v>
      </c>
      <c r="LX62" s="56">
        <f t="shared" si="153"/>
        <v>0</v>
      </c>
      <c r="LY62" s="56">
        <f t="shared" si="153"/>
        <v>0</v>
      </c>
      <c r="LZ62" s="56">
        <f t="shared" si="153"/>
        <v>0</v>
      </c>
      <c r="MA62" s="56">
        <f t="shared" si="153"/>
        <v>0</v>
      </c>
      <c r="MB62" s="56">
        <f t="shared" si="153"/>
        <v>0</v>
      </c>
      <c r="MC62" s="56">
        <f t="shared" si="153"/>
        <v>0</v>
      </c>
      <c r="MD62" s="56">
        <f t="shared" si="153"/>
        <v>0</v>
      </c>
      <c r="ME62" s="56">
        <f t="shared" si="153"/>
        <v>0</v>
      </c>
      <c r="MF62" s="56">
        <f t="shared" si="153"/>
        <v>0</v>
      </c>
      <c r="MG62" s="56">
        <f t="shared" si="153"/>
        <v>0</v>
      </c>
      <c r="MH62" s="56">
        <f t="shared" si="153"/>
        <v>0</v>
      </c>
      <c r="MI62" s="56">
        <f t="shared" si="153"/>
        <v>0</v>
      </c>
      <c r="MJ62" s="56">
        <f t="shared" si="153"/>
        <v>0</v>
      </c>
      <c r="MK62" s="56">
        <f t="shared" si="153"/>
        <v>0</v>
      </c>
      <c r="ML62" s="56">
        <f t="shared" si="153"/>
        <v>0</v>
      </c>
      <c r="MM62" s="56">
        <f t="shared" si="153"/>
        <v>0</v>
      </c>
      <c r="MN62" s="56">
        <f t="shared" si="153"/>
        <v>0</v>
      </c>
      <c r="MO62" s="56">
        <f t="shared" si="153"/>
        <v>0</v>
      </c>
      <c r="MP62" s="56">
        <f t="shared" si="153"/>
        <v>0</v>
      </c>
      <c r="MQ62" s="56">
        <f t="shared" si="153"/>
        <v>0</v>
      </c>
      <c r="MR62" s="56">
        <f t="shared" si="153"/>
        <v>0</v>
      </c>
      <c r="MS62" s="56">
        <f t="shared" si="153"/>
        <v>0</v>
      </c>
      <c r="MT62" s="56">
        <f t="shared" si="153"/>
        <v>0</v>
      </c>
      <c r="MU62" s="56">
        <f t="shared" si="153"/>
        <v>0</v>
      </c>
      <c r="MV62" s="56">
        <f t="shared" si="153"/>
        <v>0</v>
      </c>
      <c r="MW62" s="56">
        <f t="shared" si="153"/>
        <v>0</v>
      </c>
      <c r="MX62" s="56">
        <f t="shared" si="153"/>
        <v>0</v>
      </c>
      <c r="MY62" s="56">
        <f t="shared" si="153"/>
        <v>0</v>
      </c>
      <c r="MZ62" s="56">
        <f t="shared" si="153"/>
        <v>0</v>
      </c>
      <c r="NA62" s="56">
        <f t="shared" si="153"/>
        <v>0</v>
      </c>
      <c r="NB62" s="56">
        <f t="shared" si="153"/>
        <v>0</v>
      </c>
    </row>
    <row r="63" spans="2:367" x14ac:dyDescent="0.15">
      <c r="B63" s="6" t="s">
        <v>96</v>
      </c>
      <c r="C63" s="6"/>
      <c r="D63" s="57"/>
      <c r="E63" s="34"/>
      <c r="F63" s="15">
        <f>-MIN(F$61+F$62,F43+F44-F45-F46-F48-F49)</f>
        <v>0</v>
      </c>
      <c r="G63" s="15">
        <f t="shared" ref="G63:BR63" si="154">-MIN(G$61+G$62,G43+G44-G45-G46-G48-G49)</f>
        <v>0</v>
      </c>
      <c r="H63" s="15">
        <f t="shared" si="154"/>
        <v>0</v>
      </c>
      <c r="I63" s="15">
        <f t="shared" si="154"/>
        <v>0</v>
      </c>
      <c r="J63" s="15">
        <f t="shared" si="154"/>
        <v>0</v>
      </c>
      <c r="K63" s="15">
        <f t="shared" si="154"/>
        <v>0</v>
      </c>
      <c r="L63" s="383">
        <f t="shared" si="154"/>
        <v>0</v>
      </c>
      <c r="M63" s="15">
        <f t="shared" si="154"/>
        <v>0</v>
      </c>
      <c r="N63" s="15">
        <f t="shared" si="154"/>
        <v>0</v>
      </c>
      <c r="O63" s="15">
        <f t="shared" si="154"/>
        <v>0</v>
      </c>
      <c r="P63" s="15">
        <f t="shared" si="154"/>
        <v>0</v>
      </c>
      <c r="Q63" s="15">
        <f t="shared" si="154"/>
        <v>0</v>
      </c>
      <c r="R63" s="15">
        <f t="shared" si="154"/>
        <v>0</v>
      </c>
      <c r="S63" s="15">
        <f t="shared" si="154"/>
        <v>0</v>
      </c>
      <c r="T63" s="15">
        <f t="shared" si="154"/>
        <v>0</v>
      </c>
      <c r="U63" s="15">
        <f t="shared" si="154"/>
        <v>0</v>
      </c>
      <c r="V63" s="15">
        <f t="shared" si="154"/>
        <v>0</v>
      </c>
      <c r="W63" s="15">
        <f t="shared" si="154"/>
        <v>0</v>
      </c>
      <c r="X63" s="15">
        <f t="shared" si="154"/>
        <v>0</v>
      </c>
      <c r="Y63" s="15">
        <f t="shared" si="154"/>
        <v>0</v>
      </c>
      <c r="Z63" s="15">
        <f t="shared" si="154"/>
        <v>0</v>
      </c>
      <c r="AA63" s="15">
        <f t="shared" si="154"/>
        <v>0</v>
      </c>
      <c r="AB63" s="15">
        <f t="shared" si="154"/>
        <v>0</v>
      </c>
      <c r="AC63" s="15">
        <f t="shared" si="154"/>
        <v>0</v>
      </c>
      <c r="AD63" s="15">
        <f t="shared" si="154"/>
        <v>0</v>
      </c>
      <c r="AE63" s="15">
        <f t="shared" si="154"/>
        <v>0</v>
      </c>
      <c r="AF63" s="15">
        <f t="shared" si="154"/>
        <v>0</v>
      </c>
      <c r="AG63" s="15">
        <f t="shared" si="154"/>
        <v>0</v>
      </c>
      <c r="AH63" s="15">
        <f t="shared" si="154"/>
        <v>0</v>
      </c>
      <c r="AI63" s="15">
        <f t="shared" si="154"/>
        <v>0</v>
      </c>
      <c r="AJ63" s="15">
        <f t="shared" si="154"/>
        <v>0</v>
      </c>
      <c r="AK63" s="15">
        <f t="shared" si="154"/>
        <v>0</v>
      </c>
      <c r="AL63" s="15">
        <f t="shared" si="154"/>
        <v>0</v>
      </c>
      <c r="AM63" s="15">
        <f t="shared" si="154"/>
        <v>0</v>
      </c>
      <c r="AN63" s="15">
        <f t="shared" si="154"/>
        <v>0</v>
      </c>
      <c r="AO63" s="15">
        <f t="shared" si="154"/>
        <v>0</v>
      </c>
      <c r="AP63" s="15">
        <f t="shared" si="154"/>
        <v>0</v>
      </c>
      <c r="AQ63" s="15">
        <f t="shared" si="154"/>
        <v>0</v>
      </c>
      <c r="AR63" s="15">
        <f t="shared" si="154"/>
        <v>0</v>
      </c>
      <c r="AS63" s="15">
        <f t="shared" si="154"/>
        <v>0</v>
      </c>
      <c r="AT63" s="15">
        <f t="shared" si="154"/>
        <v>0</v>
      </c>
      <c r="AU63" s="15">
        <f t="shared" si="154"/>
        <v>0</v>
      </c>
      <c r="AV63" s="15">
        <f t="shared" si="154"/>
        <v>0</v>
      </c>
      <c r="AW63" s="15">
        <f t="shared" si="154"/>
        <v>0</v>
      </c>
      <c r="AX63" s="15">
        <f t="shared" si="154"/>
        <v>0</v>
      </c>
      <c r="AY63" s="15">
        <f t="shared" si="154"/>
        <v>0</v>
      </c>
      <c r="AZ63" s="15">
        <f t="shared" si="154"/>
        <v>0</v>
      </c>
      <c r="BA63" s="15">
        <f t="shared" si="154"/>
        <v>0</v>
      </c>
      <c r="BB63" s="15">
        <f t="shared" si="154"/>
        <v>0</v>
      </c>
      <c r="BC63" s="15">
        <f t="shared" si="154"/>
        <v>0</v>
      </c>
      <c r="BD63" s="15">
        <f t="shared" si="154"/>
        <v>0</v>
      </c>
      <c r="BE63" s="15">
        <f t="shared" si="154"/>
        <v>0</v>
      </c>
      <c r="BF63" s="15">
        <f t="shared" si="154"/>
        <v>0</v>
      </c>
      <c r="BG63" s="15">
        <f t="shared" si="154"/>
        <v>0</v>
      </c>
      <c r="BH63" s="15">
        <f t="shared" si="154"/>
        <v>0</v>
      </c>
      <c r="BI63" s="15">
        <f t="shared" si="154"/>
        <v>0</v>
      </c>
      <c r="BJ63" s="15">
        <f t="shared" si="154"/>
        <v>0</v>
      </c>
      <c r="BK63" s="15">
        <f t="shared" si="154"/>
        <v>0</v>
      </c>
      <c r="BL63" s="15">
        <f t="shared" si="154"/>
        <v>0</v>
      </c>
      <c r="BM63" s="15">
        <f t="shared" si="154"/>
        <v>0</v>
      </c>
      <c r="BN63" s="15">
        <f t="shared" si="154"/>
        <v>0</v>
      </c>
      <c r="BO63" s="15">
        <f t="shared" si="154"/>
        <v>0</v>
      </c>
      <c r="BP63" s="15">
        <f t="shared" si="154"/>
        <v>0</v>
      </c>
      <c r="BQ63" s="15">
        <f t="shared" si="154"/>
        <v>0</v>
      </c>
      <c r="BR63" s="15">
        <f t="shared" si="154"/>
        <v>0</v>
      </c>
      <c r="BS63" s="15">
        <f t="shared" ref="BS63:ED63" si="155">-MIN(BS$61+BS$62,BS43+BS44-BS45-BS46-BS48-BS49)</f>
        <v>0</v>
      </c>
      <c r="BT63" s="15">
        <f t="shared" si="155"/>
        <v>0</v>
      </c>
      <c r="BU63" s="15">
        <f t="shared" si="155"/>
        <v>0</v>
      </c>
      <c r="BV63" s="15">
        <f t="shared" si="155"/>
        <v>0</v>
      </c>
      <c r="BW63" s="15">
        <f t="shared" si="155"/>
        <v>0</v>
      </c>
      <c r="BX63" s="15">
        <f t="shared" si="155"/>
        <v>0</v>
      </c>
      <c r="BY63" s="15">
        <f t="shared" si="155"/>
        <v>0</v>
      </c>
      <c r="BZ63" s="15">
        <f t="shared" si="155"/>
        <v>0</v>
      </c>
      <c r="CA63" s="15">
        <f t="shared" si="155"/>
        <v>0</v>
      </c>
      <c r="CB63" s="15">
        <f t="shared" si="155"/>
        <v>0</v>
      </c>
      <c r="CC63" s="15">
        <f t="shared" si="155"/>
        <v>0</v>
      </c>
      <c r="CD63" s="15">
        <f t="shared" si="155"/>
        <v>0</v>
      </c>
      <c r="CE63" s="15">
        <f t="shared" si="155"/>
        <v>0</v>
      </c>
      <c r="CF63" s="15">
        <f t="shared" si="155"/>
        <v>0</v>
      </c>
      <c r="CG63" s="15">
        <f t="shared" si="155"/>
        <v>0</v>
      </c>
      <c r="CH63" s="15">
        <f t="shared" si="155"/>
        <v>0</v>
      </c>
      <c r="CI63" s="15">
        <f t="shared" si="155"/>
        <v>0</v>
      </c>
      <c r="CJ63" s="15">
        <f t="shared" si="155"/>
        <v>0</v>
      </c>
      <c r="CK63" s="15">
        <f t="shared" si="155"/>
        <v>0</v>
      </c>
      <c r="CL63" s="15">
        <f t="shared" si="155"/>
        <v>0</v>
      </c>
      <c r="CM63" s="15">
        <f t="shared" si="155"/>
        <v>0</v>
      </c>
      <c r="CN63" s="15">
        <f t="shared" si="155"/>
        <v>0</v>
      </c>
      <c r="CO63" s="15">
        <f t="shared" si="155"/>
        <v>0</v>
      </c>
      <c r="CP63" s="15">
        <f t="shared" si="155"/>
        <v>0</v>
      </c>
      <c r="CQ63" s="15">
        <f t="shared" si="155"/>
        <v>0</v>
      </c>
      <c r="CR63" s="15">
        <f t="shared" si="155"/>
        <v>0</v>
      </c>
      <c r="CS63" s="15">
        <f t="shared" si="155"/>
        <v>0</v>
      </c>
      <c r="CT63" s="15">
        <f t="shared" si="155"/>
        <v>0</v>
      </c>
      <c r="CU63" s="15">
        <f t="shared" si="155"/>
        <v>0</v>
      </c>
      <c r="CV63" s="15">
        <f t="shared" si="155"/>
        <v>0</v>
      </c>
      <c r="CW63" s="15">
        <f t="shared" si="155"/>
        <v>0</v>
      </c>
      <c r="CX63" s="15">
        <f t="shared" si="155"/>
        <v>0</v>
      </c>
      <c r="CY63" s="15">
        <f t="shared" si="155"/>
        <v>0</v>
      </c>
      <c r="CZ63" s="15">
        <f t="shared" si="155"/>
        <v>0</v>
      </c>
      <c r="DA63" s="15">
        <f t="shared" si="155"/>
        <v>0</v>
      </c>
      <c r="DB63" s="15">
        <f t="shared" si="155"/>
        <v>0</v>
      </c>
      <c r="DC63" s="15">
        <f t="shared" si="155"/>
        <v>0</v>
      </c>
      <c r="DD63" s="15">
        <f t="shared" si="155"/>
        <v>0</v>
      </c>
      <c r="DE63" s="15">
        <f t="shared" si="155"/>
        <v>0</v>
      </c>
      <c r="DF63" s="15">
        <f t="shared" si="155"/>
        <v>0</v>
      </c>
      <c r="DG63" s="15">
        <f t="shared" si="155"/>
        <v>0</v>
      </c>
      <c r="DH63" s="15">
        <f t="shared" si="155"/>
        <v>0</v>
      </c>
      <c r="DI63" s="15">
        <f t="shared" si="155"/>
        <v>0</v>
      </c>
      <c r="DJ63" s="15">
        <f t="shared" si="155"/>
        <v>0</v>
      </c>
      <c r="DK63" s="15">
        <f t="shared" si="155"/>
        <v>0</v>
      </c>
      <c r="DL63" s="15">
        <f t="shared" si="155"/>
        <v>0</v>
      </c>
      <c r="DM63" s="15">
        <f t="shared" si="155"/>
        <v>0</v>
      </c>
      <c r="DN63" s="15">
        <f t="shared" si="155"/>
        <v>0</v>
      </c>
      <c r="DO63" s="15">
        <f t="shared" si="155"/>
        <v>0</v>
      </c>
      <c r="DP63" s="15">
        <f t="shared" si="155"/>
        <v>0</v>
      </c>
      <c r="DQ63" s="15">
        <f t="shared" si="155"/>
        <v>0</v>
      </c>
      <c r="DR63" s="15">
        <f t="shared" si="155"/>
        <v>0</v>
      </c>
      <c r="DS63" s="15">
        <f t="shared" si="155"/>
        <v>0</v>
      </c>
      <c r="DT63" s="15">
        <f t="shared" si="155"/>
        <v>0</v>
      </c>
      <c r="DU63" s="15">
        <f t="shared" si="155"/>
        <v>0</v>
      </c>
      <c r="DV63" s="15">
        <f t="shared" si="155"/>
        <v>0</v>
      </c>
      <c r="DW63" s="15">
        <f t="shared" si="155"/>
        <v>0</v>
      </c>
      <c r="DX63" s="15">
        <f t="shared" si="155"/>
        <v>0</v>
      </c>
      <c r="DY63" s="15">
        <f t="shared" si="155"/>
        <v>0</v>
      </c>
      <c r="DZ63" s="15">
        <f t="shared" si="155"/>
        <v>0</v>
      </c>
      <c r="EA63" s="15">
        <f t="shared" si="155"/>
        <v>0</v>
      </c>
      <c r="EB63" s="15">
        <f t="shared" si="155"/>
        <v>0</v>
      </c>
      <c r="EC63" s="15">
        <f t="shared" si="155"/>
        <v>0</v>
      </c>
      <c r="ED63" s="15">
        <f t="shared" si="155"/>
        <v>0</v>
      </c>
      <c r="EE63" s="15">
        <f t="shared" ref="EE63:GP63" si="156">-MIN(EE$61+EE$62,EE43+EE44-EE45-EE46-EE48-EE49)</f>
        <v>0</v>
      </c>
      <c r="EF63" s="15">
        <f t="shared" si="156"/>
        <v>0</v>
      </c>
      <c r="EG63" s="15">
        <f t="shared" si="156"/>
        <v>0</v>
      </c>
      <c r="EH63" s="15">
        <f t="shared" si="156"/>
        <v>0</v>
      </c>
      <c r="EI63" s="15">
        <f t="shared" si="156"/>
        <v>0</v>
      </c>
      <c r="EJ63" s="15">
        <f t="shared" si="156"/>
        <v>0</v>
      </c>
      <c r="EK63" s="15">
        <f t="shared" si="156"/>
        <v>0</v>
      </c>
      <c r="EL63" s="15">
        <f t="shared" si="156"/>
        <v>0</v>
      </c>
      <c r="EM63" s="15">
        <f t="shared" si="156"/>
        <v>0</v>
      </c>
      <c r="EN63" s="15">
        <f t="shared" si="156"/>
        <v>0</v>
      </c>
      <c r="EO63" s="15">
        <f t="shared" si="156"/>
        <v>0</v>
      </c>
      <c r="EP63" s="15">
        <f t="shared" si="156"/>
        <v>0</v>
      </c>
      <c r="EQ63" s="15">
        <f t="shared" si="156"/>
        <v>0</v>
      </c>
      <c r="ER63" s="15">
        <f t="shared" si="156"/>
        <v>0</v>
      </c>
      <c r="ES63" s="15">
        <f t="shared" si="156"/>
        <v>0</v>
      </c>
      <c r="ET63" s="15">
        <f t="shared" si="156"/>
        <v>0</v>
      </c>
      <c r="EU63" s="15">
        <f t="shared" si="156"/>
        <v>0</v>
      </c>
      <c r="EV63" s="15">
        <f t="shared" si="156"/>
        <v>0</v>
      </c>
      <c r="EW63" s="15">
        <f t="shared" si="156"/>
        <v>0</v>
      </c>
      <c r="EX63" s="15">
        <f t="shared" si="156"/>
        <v>0</v>
      </c>
      <c r="EY63" s="15">
        <f t="shared" si="156"/>
        <v>0</v>
      </c>
      <c r="EZ63" s="15">
        <f t="shared" si="156"/>
        <v>0</v>
      </c>
      <c r="FA63" s="15">
        <f t="shared" si="156"/>
        <v>0</v>
      </c>
      <c r="FB63" s="15">
        <f t="shared" si="156"/>
        <v>0</v>
      </c>
      <c r="FC63" s="15">
        <f t="shared" si="156"/>
        <v>0</v>
      </c>
      <c r="FD63" s="15">
        <f t="shared" si="156"/>
        <v>0</v>
      </c>
      <c r="FE63" s="15">
        <f t="shared" si="156"/>
        <v>0</v>
      </c>
      <c r="FF63" s="15">
        <f t="shared" si="156"/>
        <v>0</v>
      </c>
      <c r="FG63" s="15">
        <f t="shared" si="156"/>
        <v>0</v>
      </c>
      <c r="FH63" s="15">
        <f t="shared" si="156"/>
        <v>0</v>
      </c>
      <c r="FI63" s="15">
        <f t="shared" si="156"/>
        <v>0</v>
      </c>
      <c r="FJ63" s="15">
        <f t="shared" si="156"/>
        <v>0</v>
      </c>
      <c r="FK63" s="15">
        <f t="shared" si="156"/>
        <v>0</v>
      </c>
      <c r="FL63" s="15">
        <f t="shared" si="156"/>
        <v>0</v>
      </c>
      <c r="FM63" s="15">
        <f t="shared" si="156"/>
        <v>0</v>
      </c>
      <c r="FN63" s="15">
        <f t="shared" si="156"/>
        <v>0</v>
      </c>
      <c r="FO63" s="15">
        <f t="shared" si="156"/>
        <v>0</v>
      </c>
      <c r="FP63" s="15">
        <f t="shared" si="156"/>
        <v>0</v>
      </c>
      <c r="FQ63" s="15">
        <f t="shared" si="156"/>
        <v>0</v>
      </c>
      <c r="FR63" s="15">
        <f t="shared" si="156"/>
        <v>0</v>
      </c>
      <c r="FS63" s="15">
        <f t="shared" si="156"/>
        <v>0</v>
      </c>
      <c r="FT63" s="15">
        <f t="shared" si="156"/>
        <v>0</v>
      </c>
      <c r="FU63" s="15">
        <f t="shared" si="156"/>
        <v>0</v>
      </c>
      <c r="FV63" s="15">
        <f t="shared" si="156"/>
        <v>0</v>
      </c>
      <c r="FW63" s="15">
        <f t="shared" si="156"/>
        <v>0</v>
      </c>
      <c r="FX63" s="15">
        <f t="shared" si="156"/>
        <v>0</v>
      </c>
      <c r="FY63" s="15">
        <f t="shared" si="156"/>
        <v>0</v>
      </c>
      <c r="FZ63" s="15">
        <f t="shared" si="156"/>
        <v>0</v>
      </c>
      <c r="GA63" s="15">
        <f t="shared" si="156"/>
        <v>0</v>
      </c>
      <c r="GB63" s="15">
        <f t="shared" si="156"/>
        <v>0</v>
      </c>
      <c r="GC63" s="15">
        <f t="shared" si="156"/>
        <v>0</v>
      </c>
      <c r="GD63" s="15">
        <f t="shared" ca="1" si="156"/>
        <v>-2673264.9484128016</v>
      </c>
      <c r="GE63" s="15">
        <f t="shared" ca="1" si="156"/>
        <v>0</v>
      </c>
      <c r="GF63" s="15">
        <f t="shared" ca="1" si="156"/>
        <v>0</v>
      </c>
      <c r="GG63" s="15">
        <f t="shared" ca="1" si="156"/>
        <v>0</v>
      </c>
      <c r="GH63" s="15">
        <f t="shared" ca="1" si="156"/>
        <v>0</v>
      </c>
      <c r="GI63" s="15">
        <f t="shared" ca="1" si="156"/>
        <v>0</v>
      </c>
      <c r="GJ63" s="15">
        <f t="shared" ca="1" si="156"/>
        <v>0</v>
      </c>
      <c r="GK63" s="15">
        <f t="shared" ca="1" si="156"/>
        <v>0</v>
      </c>
      <c r="GL63" s="15">
        <f t="shared" ca="1" si="156"/>
        <v>0</v>
      </c>
      <c r="GM63" s="15">
        <f t="shared" ca="1" si="156"/>
        <v>0</v>
      </c>
      <c r="GN63" s="15">
        <f t="shared" ca="1" si="156"/>
        <v>0</v>
      </c>
      <c r="GO63" s="15">
        <f t="shared" ca="1" si="156"/>
        <v>0</v>
      </c>
      <c r="GP63" s="15">
        <f t="shared" ca="1" si="156"/>
        <v>0</v>
      </c>
      <c r="GQ63" s="15">
        <f t="shared" ref="GQ63:JB63" ca="1" si="157">-MIN(GQ$61+GQ$62,GQ43+GQ44-GQ45-GQ46-GQ48-GQ49)</f>
        <v>0</v>
      </c>
      <c r="GR63" s="15">
        <f t="shared" ca="1" si="157"/>
        <v>0</v>
      </c>
      <c r="GS63" s="15">
        <f t="shared" ca="1" si="157"/>
        <v>0</v>
      </c>
      <c r="GT63" s="15">
        <f t="shared" ca="1" si="157"/>
        <v>0</v>
      </c>
      <c r="GU63" s="15">
        <f t="shared" ca="1" si="157"/>
        <v>0</v>
      </c>
      <c r="GV63" s="15">
        <f t="shared" ca="1" si="157"/>
        <v>0</v>
      </c>
      <c r="GW63" s="15">
        <f t="shared" ca="1" si="157"/>
        <v>0</v>
      </c>
      <c r="GX63" s="15">
        <f t="shared" ca="1" si="157"/>
        <v>0</v>
      </c>
      <c r="GY63" s="15">
        <f t="shared" ca="1" si="157"/>
        <v>0</v>
      </c>
      <c r="GZ63" s="15">
        <f t="shared" ca="1" si="157"/>
        <v>0</v>
      </c>
      <c r="HA63" s="15">
        <f t="shared" ca="1" si="157"/>
        <v>0</v>
      </c>
      <c r="HB63" s="15">
        <f t="shared" ca="1" si="157"/>
        <v>0</v>
      </c>
      <c r="HC63" s="15">
        <f t="shared" ca="1" si="157"/>
        <v>0</v>
      </c>
      <c r="HD63" s="15">
        <f t="shared" ca="1" si="157"/>
        <v>0</v>
      </c>
      <c r="HE63" s="15">
        <f t="shared" ca="1" si="157"/>
        <v>0</v>
      </c>
      <c r="HF63" s="15">
        <f t="shared" ca="1" si="157"/>
        <v>0</v>
      </c>
      <c r="HG63" s="15">
        <f t="shared" ca="1" si="157"/>
        <v>0</v>
      </c>
      <c r="HH63" s="15">
        <f t="shared" ca="1" si="157"/>
        <v>0</v>
      </c>
      <c r="HI63" s="15">
        <f t="shared" ca="1" si="157"/>
        <v>0</v>
      </c>
      <c r="HJ63" s="15">
        <f t="shared" ca="1" si="157"/>
        <v>0</v>
      </c>
      <c r="HK63" s="15">
        <f t="shared" ca="1" si="157"/>
        <v>0</v>
      </c>
      <c r="HL63" s="15">
        <f t="shared" ca="1" si="157"/>
        <v>0</v>
      </c>
      <c r="HM63" s="15">
        <f t="shared" ca="1" si="157"/>
        <v>0</v>
      </c>
      <c r="HN63" s="15">
        <f t="shared" ca="1" si="157"/>
        <v>0</v>
      </c>
      <c r="HO63" s="15">
        <f t="shared" ca="1" si="157"/>
        <v>0</v>
      </c>
      <c r="HP63" s="15">
        <f t="shared" ca="1" si="157"/>
        <v>0</v>
      </c>
      <c r="HQ63" s="15">
        <f t="shared" ca="1" si="157"/>
        <v>0</v>
      </c>
      <c r="HR63" s="15">
        <f t="shared" ca="1" si="157"/>
        <v>0</v>
      </c>
      <c r="HS63" s="15">
        <f t="shared" ca="1" si="157"/>
        <v>0</v>
      </c>
      <c r="HT63" s="15">
        <f t="shared" ca="1" si="157"/>
        <v>0</v>
      </c>
      <c r="HU63" s="15">
        <f t="shared" ca="1" si="157"/>
        <v>0</v>
      </c>
      <c r="HV63" s="15">
        <f t="shared" ca="1" si="157"/>
        <v>0</v>
      </c>
      <c r="HW63" s="15">
        <f t="shared" ca="1" si="157"/>
        <v>0</v>
      </c>
      <c r="HX63" s="15">
        <f t="shared" ca="1" si="157"/>
        <v>0</v>
      </c>
      <c r="HY63" s="15">
        <f t="shared" ca="1" si="157"/>
        <v>0</v>
      </c>
      <c r="HZ63" s="15">
        <f t="shared" ca="1" si="157"/>
        <v>0</v>
      </c>
      <c r="IA63" s="15">
        <f t="shared" ca="1" si="157"/>
        <v>0</v>
      </c>
      <c r="IB63" s="15">
        <f t="shared" ca="1" si="157"/>
        <v>0</v>
      </c>
      <c r="IC63" s="15">
        <f t="shared" ca="1" si="157"/>
        <v>0</v>
      </c>
      <c r="ID63" s="15">
        <f t="shared" ca="1" si="157"/>
        <v>0</v>
      </c>
      <c r="IE63" s="15">
        <f t="shared" ca="1" si="157"/>
        <v>0</v>
      </c>
      <c r="IF63" s="15">
        <f t="shared" ca="1" si="157"/>
        <v>0</v>
      </c>
      <c r="IG63" s="15">
        <f t="shared" ca="1" si="157"/>
        <v>0</v>
      </c>
      <c r="IH63" s="15">
        <f t="shared" ca="1" si="157"/>
        <v>0</v>
      </c>
      <c r="II63" s="15">
        <f t="shared" ca="1" si="157"/>
        <v>0</v>
      </c>
      <c r="IJ63" s="15">
        <f t="shared" ca="1" si="157"/>
        <v>0</v>
      </c>
      <c r="IK63" s="15">
        <f t="shared" ca="1" si="157"/>
        <v>0</v>
      </c>
      <c r="IL63" s="15">
        <f t="shared" ca="1" si="157"/>
        <v>0</v>
      </c>
      <c r="IM63" s="15">
        <f t="shared" ca="1" si="157"/>
        <v>0</v>
      </c>
      <c r="IN63" s="15">
        <f t="shared" ca="1" si="157"/>
        <v>0</v>
      </c>
      <c r="IO63" s="15">
        <f t="shared" ca="1" si="157"/>
        <v>0</v>
      </c>
      <c r="IP63" s="15">
        <f t="shared" ca="1" si="157"/>
        <v>0</v>
      </c>
      <c r="IQ63" s="15">
        <f t="shared" ca="1" si="157"/>
        <v>0</v>
      </c>
      <c r="IR63" s="15">
        <f t="shared" ca="1" si="157"/>
        <v>0</v>
      </c>
      <c r="IS63" s="15">
        <f t="shared" ca="1" si="157"/>
        <v>0</v>
      </c>
      <c r="IT63" s="15">
        <f t="shared" ca="1" si="157"/>
        <v>0</v>
      </c>
      <c r="IU63" s="15">
        <f t="shared" ca="1" si="157"/>
        <v>0</v>
      </c>
      <c r="IV63" s="15">
        <f t="shared" ca="1" si="157"/>
        <v>0</v>
      </c>
      <c r="IW63" s="15">
        <f t="shared" ca="1" si="157"/>
        <v>0</v>
      </c>
      <c r="IX63" s="15">
        <f t="shared" ca="1" si="157"/>
        <v>0</v>
      </c>
      <c r="IY63" s="15">
        <f t="shared" ca="1" si="157"/>
        <v>0</v>
      </c>
      <c r="IZ63" s="15">
        <f t="shared" ca="1" si="157"/>
        <v>0</v>
      </c>
      <c r="JA63" s="15">
        <f t="shared" ca="1" si="157"/>
        <v>0</v>
      </c>
      <c r="JB63" s="15">
        <f t="shared" ca="1" si="157"/>
        <v>0</v>
      </c>
      <c r="JC63" s="15">
        <f t="shared" ref="JC63:LN63" ca="1" si="158">-MIN(JC$61+JC$62,JC43+JC44-JC45-JC46-JC48-JC49)</f>
        <v>0</v>
      </c>
      <c r="JD63" s="15">
        <f t="shared" ca="1" si="158"/>
        <v>0</v>
      </c>
      <c r="JE63" s="15">
        <f t="shared" ca="1" si="158"/>
        <v>0</v>
      </c>
      <c r="JF63" s="15">
        <f t="shared" ca="1" si="158"/>
        <v>0</v>
      </c>
      <c r="JG63" s="15">
        <f t="shared" ca="1" si="158"/>
        <v>0</v>
      </c>
      <c r="JH63" s="15">
        <f t="shared" ca="1" si="158"/>
        <v>0</v>
      </c>
      <c r="JI63" s="15">
        <f t="shared" ca="1" si="158"/>
        <v>0</v>
      </c>
      <c r="JJ63" s="15">
        <f t="shared" ca="1" si="158"/>
        <v>0</v>
      </c>
      <c r="JK63" s="15">
        <f t="shared" ca="1" si="158"/>
        <v>0</v>
      </c>
      <c r="JL63" s="15">
        <f t="shared" ca="1" si="158"/>
        <v>0</v>
      </c>
      <c r="JM63" s="15">
        <f t="shared" ca="1" si="158"/>
        <v>0</v>
      </c>
      <c r="JN63" s="15">
        <f t="shared" ca="1" si="158"/>
        <v>0</v>
      </c>
      <c r="JO63" s="15">
        <f t="shared" ca="1" si="158"/>
        <v>0</v>
      </c>
      <c r="JP63" s="15">
        <f t="shared" ca="1" si="158"/>
        <v>0</v>
      </c>
      <c r="JQ63" s="15">
        <f t="shared" ca="1" si="158"/>
        <v>0</v>
      </c>
      <c r="JR63" s="15">
        <f t="shared" ca="1" si="158"/>
        <v>0</v>
      </c>
      <c r="JS63" s="15">
        <f t="shared" ca="1" si="158"/>
        <v>0</v>
      </c>
      <c r="JT63" s="15">
        <f t="shared" ca="1" si="158"/>
        <v>0</v>
      </c>
      <c r="JU63" s="15">
        <f t="shared" ca="1" si="158"/>
        <v>0</v>
      </c>
      <c r="JV63" s="15">
        <f t="shared" ca="1" si="158"/>
        <v>0</v>
      </c>
      <c r="JW63" s="15">
        <f t="shared" ca="1" si="158"/>
        <v>0</v>
      </c>
      <c r="JX63" s="15">
        <f t="shared" ca="1" si="158"/>
        <v>0</v>
      </c>
      <c r="JY63" s="15">
        <f t="shared" ca="1" si="158"/>
        <v>0</v>
      </c>
      <c r="JZ63" s="15">
        <f t="shared" ca="1" si="158"/>
        <v>0</v>
      </c>
      <c r="KA63" s="15">
        <f t="shared" ca="1" si="158"/>
        <v>0</v>
      </c>
      <c r="KB63" s="15">
        <f t="shared" ca="1" si="158"/>
        <v>0</v>
      </c>
      <c r="KC63" s="15">
        <f t="shared" ca="1" si="158"/>
        <v>0</v>
      </c>
      <c r="KD63" s="15">
        <f t="shared" ca="1" si="158"/>
        <v>0</v>
      </c>
      <c r="KE63" s="15">
        <f t="shared" ca="1" si="158"/>
        <v>0</v>
      </c>
      <c r="KF63" s="15">
        <f t="shared" ca="1" si="158"/>
        <v>0</v>
      </c>
      <c r="KG63" s="15">
        <f t="shared" ca="1" si="158"/>
        <v>0</v>
      </c>
      <c r="KH63" s="15">
        <f t="shared" ca="1" si="158"/>
        <v>0</v>
      </c>
      <c r="KI63" s="15">
        <f t="shared" ca="1" si="158"/>
        <v>0</v>
      </c>
      <c r="KJ63" s="15">
        <f t="shared" ca="1" si="158"/>
        <v>0</v>
      </c>
      <c r="KK63" s="15">
        <f t="shared" ca="1" si="158"/>
        <v>0</v>
      </c>
      <c r="KL63" s="15">
        <f t="shared" ca="1" si="158"/>
        <v>0</v>
      </c>
      <c r="KM63" s="15">
        <f t="shared" ca="1" si="158"/>
        <v>0</v>
      </c>
      <c r="KN63" s="15">
        <f t="shared" ca="1" si="158"/>
        <v>0</v>
      </c>
      <c r="KO63" s="15">
        <f t="shared" ca="1" si="158"/>
        <v>0</v>
      </c>
      <c r="KP63" s="15">
        <f t="shared" ca="1" si="158"/>
        <v>0</v>
      </c>
      <c r="KQ63" s="15">
        <f t="shared" ca="1" si="158"/>
        <v>0</v>
      </c>
      <c r="KR63" s="15">
        <f t="shared" ca="1" si="158"/>
        <v>0</v>
      </c>
      <c r="KS63" s="15">
        <f t="shared" ca="1" si="158"/>
        <v>0</v>
      </c>
      <c r="KT63" s="15">
        <f t="shared" ca="1" si="158"/>
        <v>0</v>
      </c>
      <c r="KU63" s="15">
        <f t="shared" ca="1" si="158"/>
        <v>0</v>
      </c>
      <c r="KV63" s="15">
        <f t="shared" ca="1" si="158"/>
        <v>0</v>
      </c>
      <c r="KW63" s="15">
        <f t="shared" ca="1" si="158"/>
        <v>0</v>
      </c>
      <c r="KX63" s="15">
        <f t="shared" ca="1" si="158"/>
        <v>0</v>
      </c>
      <c r="KY63" s="15">
        <f t="shared" ca="1" si="158"/>
        <v>0</v>
      </c>
      <c r="KZ63" s="15">
        <f t="shared" ca="1" si="158"/>
        <v>0</v>
      </c>
      <c r="LA63" s="15">
        <f t="shared" ca="1" si="158"/>
        <v>0</v>
      </c>
      <c r="LB63" s="15">
        <f t="shared" ca="1" si="158"/>
        <v>0</v>
      </c>
      <c r="LC63" s="15">
        <f t="shared" ca="1" si="158"/>
        <v>0</v>
      </c>
      <c r="LD63" s="15">
        <f t="shared" ca="1" si="158"/>
        <v>0</v>
      </c>
      <c r="LE63" s="15">
        <f t="shared" ca="1" si="158"/>
        <v>0</v>
      </c>
      <c r="LF63" s="15">
        <f t="shared" ca="1" si="158"/>
        <v>0</v>
      </c>
      <c r="LG63" s="15">
        <f t="shared" ca="1" si="158"/>
        <v>0</v>
      </c>
      <c r="LH63" s="15">
        <f t="shared" ca="1" si="158"/>
        <v>0</v>
      </c>
      <c r="LI63" s="15">
        <f t="shared" ca="1" si="158"/>
        <v>0</v>
      </c>
      <c r="LJ63" s="15">
        <f t="shared" ca="1" si="158"/>
        <v>0</v>
      </c>
      <c r="LK63" s="15">
        <f t="shared" ca="1" si="158"/>
        <v>0</v>
      </c>
      <c r="LL63" s="15">
        <f t="shared" ca="1" si="158"/>
        <v>0</v>
      </c>
      <c r="LM63" s="15">
        <f t="shared" ca="1" si="158"/>
        <v>0</v>
      </c>
      <c r="LN63" s="15">
        <f t="shared" ca="1" si="158"/>
        <v>0</v>
      </c>
      <c r="LO63" s="15">
        <f t="shared" ref="LO63:NB63" ca="1" si="159">-MIN(LO$61+LO$62,LO43+LO44-LO45-LO46-LO48-LO49)</f>
        <v>0</v>
      </c>
      <c r="LP63" s="15">
        <f t="shared" ca="1" si="159"/>
        <v>0</v>
      </c>
      <c r="LQ63" s="15">
        <f t="shared" ca="1" si="159"/>
        <v>0</v>
      </c>
      <c r="LR63" s="15">
        <f t="shared" ca="1" si="159"/>
        <v>0</v>
      </c>
      <c r="LS63" s="15">
        <f t="shared" ca="1" si="159"/>
        <v>0</v>
      </c>
      <c r="LT63" s="15">
        <f t="shared" ca="1" si="159"/>
        <v>0</v>
      </c>
      <c r="LU63" s="15">
        <f t="shared" ca="1" si="159"/>
        <v>0</v>
      </c>
      <c r="LV63" s="15">
        <f t="shared" ca="1" si="159"/>
        <v>0</v>
      </c>
      <c r="LW63" s="15">
        <f t="shared" ca="1" si="159"/>
        <v>0</v>
      </c>
      <c r="LX63" s="15">
        <f t="shared" ca="1" si="159"/>
        <v>0</v>
      </c>
      <c r="LY63" s="15">
        <f t="shared" ca="1" si="159"/>
        <v>0</v>
      </c>
      <c r="LZ63" s="15">
        <f t="shared" ca="1" si="159"/>
        <v>0</v>
      </c>
      <c r="MA63" s="15">
        <f t="shared" ca="1" si="159"/>
        <v>0</v>
      </c>
      <c r="MB63" s="15">
        <f t="shared" ca="1" si="159"/>
        <v>0</v>
      </c>
      <c r="MC63" s="15">
        <f t="shared" ca="1" si="159"/>
        <v>0</v>
      </c>
      <c r="MD63" s="15">
        <f t="shared" ca="1" si="159"/>
        <v>0</v>
      </c>
      <c r="ME63" s="15">
        <f t="shared" ca="1" si="159"/>
        <v>0</v>
      </c>
      <c r="MF63" s="15">
        <f t="shared" ca="1" si="159"/>
        <v>0</v>
      </c>
      <c r="MG63" s="15">
        <f t="shared" ca="1" si="159"/>
        <v>0</v>
      </c>
      <c r="MH63" s="15">
        <f t="shared" ca="1" si="159"/>
        <v>0</v>
      </c>
      <c r="MI63" s="15">
        <f t="shared" ca="1" si="159"/>
        <v>0</v>
      </c>
      <c r="MJ63" s="15">
        <f t="shared" ca="1" si="159"/>
        <v>0</v>
      </c>
      <c r="MK63" s="15">
        <f t="shared" ca="1" si="159"/>
        <v>0</v>
      </c>
      <c r="ML63" s="15">
        <f t="shared" ca="1" si="159"/>
        <v>0</v>
      </c>
      <c r="MM63" s="15">
        <f t="shared" ca="1" si="159"/>
        <v>0</v>
      </c>
      <c r="MN63" s="15">
        <f t="shared" ca="1" si="159"/>
        <v>0</v>
      </c>
      <c r="MO63" s="15">
        <f t="shared" ca="1" si="159"/>
        <v>0</v>
      </c>
      <c r="MP63" s="15">
        <f t="shared" ca="1" si="159"/>
        <v>0</v>
      </c>
      <c r="MQ63" s="15">
        <f t="shared" ca="1" si="159"/>
        <v>0</v>
      </c>
      <c r="MR63" s="15">
        <f t="shared" ca="1" si="159"/>
        <v>0</v>
      </c>
      <c r="MS63" s="15">
        <f t="shared" ca="1" si="159"/>
        <v>0</v>
      </c>
      <c r="MT63" s="15">
        <f t="shared" ca="1" si="159"/>
        <v>0</v>
      </c>
      <c r="MU63" s="15">
        <f t="shared" ca="1" si="159"/>
        <v>0</v>
      </c>
      <c r="MV63" s="15">
        <f t="shared" ca="1" si="159"/>
        <v>0</v>
      </c>
      <c r="MW63" s="15">
        <f t="shared" ca="1" si="159"/>
        <v>0</v>
      </c>
      <c r="MX63" s="15">
        <f t="shared" ca="1" si="159"/>
        <v>0</v>
      </c>
      <c r="MY63" s="15">
        <f t="shared" ca="1" si="159"/>
        <v>0</v>
      </c>
      <c r="MZ63" s="15">
        <f t="shared" ca="1" si="159"/>
        <v>0</v>
      </c>
      <c r="NA63" s="15">
        <f t="shared" ca="1" si="159"/>
        <v>0</v>
      </c>
      <c r="NB63" s="15">
        <f t="shared" ca="1" si="159"/>
        <v>0</v>
      </c>
    </row>
    <row r="64" spans="2:367" x14ac:dyDescent="0.15">
      <c r="B64" t="s">
        <v>97</v>
      </c>
      <c r="F64" s="40">
        <f>SUM(F61:F63)</f>
        <v>0</v>
      </c>
      <c r="G64" s="40">
        <f t="shared" ref="G64:BR64" si="160">SUM(G61:G63)</f>
        <v>0</v>
      </c>
      <c r="H64" s="40">
        <f t="shared" si="160"/>
        <v>0</v>
      </c>
      <c r="I64" s="40">
        <f t="shared" si="160"/>
        <v>0</v>
      </c>
      <c r="J64" s="40">
        <f t="shared" si="160"/>
        <v>0</v>
      </c>
      <c r="K64" s="40">
        <f t="shared" si="160"/>
        <v>0</v>
      </c>
      <c r="L64" s="431">
        <f t="shared" si="160"/>
        <v>0</v>
      </c>
      <c r="M64" s="40">
        <f t="shared" si="160"/>
        <v>0</v>
      </c>
      <c r="N64" s="40">
        <f t="shared" si="160"/>
        <v>0</v>
      </c>
      <c r="O64" s="40">
        <f t="shared" si="160"/>
        <v>0</v>
      </c>
      <c r="P64" s="40">
        <f t="shared" si="160"/>
        <v>0</v>
      </c>
      <c r="Q64" s="40">
        <f t="shared" si="160"/>
        <v>0</v>
      </c>
      <c r="R64" s="40">
        <f t="shared" si="160"/>
        <v>0</v>
      </c>
      <c r="S64" s="40">
        <f t="shared" si="160"/>
        <v>0</v>
      </c>
      <c r="T64" s="40">
        <f t="shared" si="160"/>
        <v>0</v>
      </c>
      <c r="U64" s="40">
        <f t="shared" si="160"/>
        <v>0</v>
      </c>
      <c r="V64" s="40">
        <f t="shared" si="160"/>
        <v>0</v>
      </c>
      <c r="W64" s="40">
        <f t="shared" si="160"/>
        <v>0</v>
      </c>
      <c r="X64" s="40">
        <f t="shared" si="160"/>
        <v>0</v>
      </c>
      <c r="Y64" s="40">
        <f t="shared" si="160"/>
        <v>0</v>
      </c>
      <c r="Z64" s="40">
        <f t="shared" si="160"/>
        <v>0</v>
      </c>
      <c r="AA64" s="40">
        <f t="shared" si="160"/>
        <v>0</v>
      </c>
      <c r="AB64" s="40">
        <f t="shared" si="160"/>
        <v>0</v>
      </c>
      <c r="AC64" s="40">
        <f t="shared" si="160"/>
        <v>0</v>
      </c>
      <c r="AD64" s="573">
        <f t="shared" si="160"/>
        <v>0</v>
      </c>
      <c r="AE64" s="40">
        <f t="shared" si="160"/>
        <v>0</v>
      </c>
      <c r="AF64" s="40">
        <f t="shared" si="160"/>
        <v>0</v>
      </c>
      <c r="AG64" s="40">
        <f t="shared" si="160"/>
        <v>0</v>
      </c>
      <c r="AH64" s="40">
        <f t="shared" si="160"/>
        <v>0</v>
      </c>
      <c r="AI64" s="40">
        <f t="shared" si="160"/>
        <v>0</v>
      </c>
      <c r="AJ64" s="40">
        <f t="shared" si="160"/>
        <v>0</v>
      </c>
      <c r="AK64" s="40">
        <f t="shared" si="160"/>
        <v>0</v>
      </c>
      <c r="AL64" s="40">
        <f t="shared" si="160"/>
        <v>0</v>
      </c>
      <c r="AM64" s="40">
        <f t="shared" si="160"/>
        <v>0</v>
      </c>
      <c r="AN64" s="40">
        <f t="shared" si="160"/>
        <v>0</v>
      </c>
      <c r="AO64" s="40">
        <f t="shared" si="160"/>
        <v>0</v>
      </c>
      <c r="AP64" s="40">
        <f t="shared" si="160"/>
        <v>0</v>
      </c>
      <c r="AQ64" s="40">
        <f t="shared" si="160"/>
        <v>0</v>
      </c>
      <c r="AR64" s="40">
        <f t="shared" si="160"/>
        <v>0</v>
      </c>
      <c r="AS64" s="40">
        <f t="shared" si="160"/>
        <v>0</v>
      </c>
      <c r="AT64" s="40">
        <f t="shared" si="160"/>
        <v>0</v>
      </c>
      <c r="AU64" s="40">
        <f t="shared" si="160"/>
        <v>0</v>
      </c>
      <c r="AV64" s="40">
        <f t="shared" si="160"/>
        <v>0</v>
      </c>
      <c r="AW64" s="40">
        <f t="shared" si="160"/>
        <v>0</v>
      </c>
      <c r="AX64" s="40">
        <f t="shared" si="160"/>
        <v>0</v>
      </c>
      <c r="AY64" s="40">
        <f t="shared" si="160"/>
        <v>0</v>
      </c>
      <c r="AZ64" s="40">
        <f t="shared" si="160"/>
        <v>0</v>
      </c>
      <c r="BA64" s="40">
        <f t="shared" si="160"/>
        <v>0</v>
      </c>
      <c r="BB64" s="40">
        <f t="shared" si="160"/>
        <v>0</v>
      </c>
      <c r="BC64" s="40">
        <f t="shared" si="160"/>
        <v>0</v>
      </c>
      <c r="BD64" s="40">
        <f t="shared" si="160"/>
        <v>0</v>
      </c>
      <c r="BE64" s="40">
        <f t="shared" si="160"/>
        <v>0</v>
      </c>
      <c r="BF64" s="40">
        <f t="shared" si="160"/>
        <v>0</v>
      </c>
      <c r="BG64" s="40">
        <f t="shared" si="160"/>
        <v>0</v>
      </c>
      <c r="BH64" s="40">
        <f t="shared" si="160"/>
        <v>0</v>
      </c>
      <c r="BI64" s="40">
        <f t="shared" si="160"/>
        <v>0</v>
      </c>
      <c r="BJ64" s="40">
        <f t="shared" si="160"/>
        <v>0</v>
      </c>
      <c r="BK64" s="40">
        <f t="shared" si="160"/>
        <v>0</v>
      </c>
      <c r="BL64" s="40">
        <f t="shared" si="160"/>
        <v>0</v>
      </c>
      <c r="BM64" s="40">
        <f t="shared" si="160"/>
        <v>0</v>
      </c>
      <c r="BN64" s="40">
        <f t="shared" si="160"/>
        <v>0</v>
      </c>
      <c r="BO64" s="40">
        <f t="shared" si="160"/>
        <v>0</v>
      </c>
      <c r="BP64" s="40">
        <f t="shared" si="160"/>
        <v>0</v>
      </c>
      <c r="BQ64" s="40">
        <f t="shared" si="160"/>
        <v>0</v>
      </c>
      <c r="BR64" s="40">
        <f t="shared" si="160"/>
        <v>0</v>
      </c>
      <c r="BS64" s="40">
        <f t="shared" ref="BS64:ED64" si="161">SUM(BS61:BS63)</f>
        <v>0</v>
      </c>
      <c r="BT64" s="40">
        <f t="shared" si="161"/>
        <v>0</v>
      </c>
      <c r="BU64" s="40">
        <f t="shared" si="161"/>
        <v>0</v>
      </c>
      <c r="BV64" s="40">
        <f t="shared" si="161"/>
        <v>0</v>
      </c>
      <c r="BW64" s="40">
        <f t="shared" si="161"/>
        <v>0</v>
      </c>
      <c r="BX64" s="40">
        <f t="shared" si="161"/>
        <v>0</v>
      </c>
      <c r="BY64" s="40">
        <f t="shared" si="161"/>
        <v>0</v>
      </c>
      <c r="BZ64" s="40">
        <f t="shared" si="161"/>
        <v>0</v>
      </c>
      <c r="CA64" s="40">
        <f t="shared" si="161"/>
        <v>0</v>
      </c>
      <c r="CB64" s="40">
        <f t="shared" si="161"/>
        <v>0</v>
      </c>
      <c r="CC64" s="40">
        <f t="shared" si="161"/>
        <v>0</v>
      </c>
      <c r="CD64" s="40">
        <f t="shared" si="161"/>
        <v>0</v>
      </c>
      <c r="CE64" s="40">
        <f t="shared" si="161"/>
        <v>0</v>
      </c>
      <c r="CF64" s="40">
        <f t="shared" si="161"/>
        <v>0</v>
      </c>
      <c r="CG64" s="40">
        <f t="shared" si="161"/>
        <v>0</v>
      </c>
      <c r="CH64" s="40">
        <f t="shared" si="161"/>
        <v>0</v>
      </c>
      <c r="CI64" s="40">
        <f t="shared" si="161"/>
        <v>0</v>
      </c>
      <c r="CJ64" s="40">
        <f t="shared" si="161"/>
        <v>0</v>
      </c>
      <c r="CK64" s="40">
        <f t="shared" si="161"/>
        <v>0</v>
      </c>
      <c r="CL64" s="40">
        <f t="shared" si="161"/>
        <v>0</v>
      </c>
      <c r="CM64" s="40">
        <f t="shared" si="161"/>
        <v>0</v>
      </c>
      <c r="CN64" s="40">
        <f t="shared" si="161"/>
        <v>0</v>
      </c>
      <c r="CO64" s="40">
        <f t="shared" si="161"/>
        <v>0</v>
      </c>
      <c r="CP64" s="40">
        <f t="shared" si="161"/>
        <v>0</v>
      </c>
      <c r="CQ64" s="40">
        <f t="shared" si="161"/>
        <v>0</v>
      </c>
      <c r="CR64" s="40">
        <f t="shared" si="161"/>
        <v>0</v>
      </c>
      <c r="CS64" s="40">
        <f t="shared" si="161"/>
        <v>0</v>
      </c>
      <c r="CT64" s="40">
        <f t="shared" si="161"/>
        <v>0</v>
      </c>
      <c r="CU64" s="40">
        <f t="shared" si="161"/>
        <v>0</v>
      </c>
      <c r="CV64" s="40">
        <f t="shared" si="161"/>
        <v>0</v>
      </c>
      <c r="CW64" s="40">
        <f t="shared" si="161"/>
        <v>0</v>
      </c>
      <c r="CX64" s="40">
        <f t="shared" si="161"/>
        <v>0</v>
      </c>
      <c r="CY64" s="40">
        <f t="shared" si="161"/>
        <v>0</v>
      </c>
      <c r="CZ64" s="40">
        <f t="shared" si="161"/>
        <v>0</v>
      </c>
      <c r="DA64" s="40">
        <f t="shared" si="161"/>
        <v>0</v>
      </c>
      <c r="DB64" s="40">
        <f t="shared" si="161"/>
        <v>0</v>
      </c>
      <c r="DC64" s="40">
        <f t="shared" si="161"/>
        <v>0</v>
      </c>
      <c r="DD64" s="40">
        <f t="shared" si="161"/>
        <v>0</v>
      </c>
      <c r="DE64" s="40">
        <f t="shared" si="161"/>
        <v>0</v>
      </c>
      <c r="DF64" s="40">
        <f t="shared" si="161"/>
        <v>0</v>
      </c>
      <c r="DG64" s="40">
        <f t="shared" si="161"/>
        <v>0</v>
      </c>
      <c r="DH64" s="40">
        <f t="shared" si="161"/>
        <v>0</v>
      </c>
      <c r="DI64" s="40">
        <f t="shared" si="161"/>
        <v>0</v>
      </c>
      <c r="DJ64" s="40">
        <f t="shared" si="161"/>
        <v>0</v>
      </c>
      <c r="DK64" s="40">
        <f t="shared" si="161"/>
        <v>0</v>
      </c>
      <c r="DL64" s="40">
        <f t="shared" si="161"/>
        <v>0</v>
      </c>
      <c r="DM64" s="40">
        <f t="shared" si="161"/>
        <v>0</v>
      </c>
      <c r="DN64" s="40">
        <f t="shared" si="161"/>
        <v>0</v>
      </c>
      <c r="DO64" s="40">
        <f t="shared" si="161"/>
        <v>0</v>
      </c>
      <c r="DP64" s="40">
        <f t="shared" si="161"/>
        <v>0</v>
      </c>
      <c r="DQ64" s="40">
        <f t="shared" si="161"/>
        <v>0</v>
      </c>
      <c r="DR64" s="40">
        <f t="shared" si="161"/>
        <v>0</v>
      </c>
      <c r="DS64" s="40">
        <f t="shared" si="161"/>
        <v>0</v>
      </c>
      <c r="DT64" s="40">
        <f t="shared" si="161"/>
        <v>0</v>
      </c>
      <c r="DU64" s="40">
        <f t="shared" si="161"/>
        <v>0</v>
      </c>
      <c r="DV64" s="40">
        <f t="shared" si="161"/>
        <v>0</v>
      </c>
      <c r="DW64" s="40">
        <f t="shared" si="161"/>
        <v>0</v>
      </c>
      <c r="DX64" s="40">
        <f t="shared" si="161"/>
        <v>0</v>
      </c>
      <c r="DY64" s="40">
        <f t="shared" si="161"/>
        <v>0</v>
      </c>
      <c r="DZ64" s="40">
        <f t="shared" si="161"/>
        <v>0</v>
      </c>
      <c r="EA64" s="40">
        <f t="shared" si="161"/>
        <v>0</v>
      </c>
      <c r="EB64" s="40">
        <f t="shared" si="161"/>
        <v>0</v>
      </c>
      <c r="EC64" s="40">
        <f t="shared" si="161"/>
        <v>0</v>
      </c>
      <c r="ED64" s="40">
        <f t="shared" si="161"/>
        <v>0</v>
      </c>
      <c r="EE64" s="40">
        <f t="shared" ref="EE64:GP64" si="162">SUM(EE61:EE63)</f>
        <v>0</v>
      </c>
      <c r="EF64" s="40">
        <f t="shared" si="162"/>
        <v>0</v>
      </c>
      <c r="EG64" s="40">
        <f t="shared" si="162"/>
        <v>0</v>
      </c>
      <c r="EH64" s="40">
        <f t="shared" si="162"/>
        <v>0</v>
      </c>
      <c r="EI64" s="40">
        <f t="shared" si="162"/>
        <v>0</v>
      </c>
      <c r="EJ64" s="40">
        <f t="shared" si="162"/>
        <v>0</v>
      </c>
      <c r="EK64" s="40">
        <f t="shared" si="162"/>
        <v>0</v>
      </c>
      <c r="EL64" s="40">
        <f t="shared" si="162"/>
        <v>0</v>
      </c>
      <c r="EM64" s="40">
        <f t="shared" si="162"/>
        <v>0</v>
      </c>
      <c r="EN64" s="40">
        <f t="shared" si="162"/>
        <v>0</v>
      </c>
      <c r="EO64" s="40">
        <f t="shared" si="162"/>
        <v>0</v>
      </c>
      <c r="EP64" s="40">
        <f t="shared" si="162"/>
        <v>0</v>
      </c>
      <c r="EQ64" s="40">
        <f t="shared" si="162"/>
        <v>0</v>
      </c>
      <c r="ER64" s="40">
        <f t="shared" si="162"/>
        <v>0</v>
      </c>
      <c r="ES64" s="40">
        <f t="shared" si="162"/>
        <v>0</v>
      </c>
      <c r="ET64" s="40">
        <f t="shared" si="162"/>
        <v>0</v>
      </c>
      <c r="EU64" s="40">
        <f t="shared" si="162"/>
        <v>0</v>
      </c>
      <c r="EV64" s="40">
        <f t="shared" si="162"/>
        <v>0</v>
      </c>
      <c r="EW64" s="40">
        <f t="shared" si="162"/>
        <v>0</v>
      </c>
      <c r="EX64" s="40">
        <f t="shared" si="162"/>
        <v>0</v>
      </c>
      <c r="EY64" s="40">
        <f t="shared" si="162"/>
        <v>0</v>
      </c>
      <c r="EZ64" s="40">
        <f t="shared" si="162"/>
        <v>0</v>
      </c>
      <c r="FA64" s="40">
        <f t="shared" si="162"/>
        <v>0</v>
      </c>
      <c r="FB64" s="40">
        <f t="shared" si="162"/>
        <v>0</v>
      </c>
      <c r="FC64" s="40">
        <f t="shared" si="162"/>
        <v>0</v>
      </c>
      <c r="FD64" s="40">
        <f t="shared" si="162"/>
        <v>0</v>
      </c>
      <c r="FE64" s="40">
        <f t="shared" si="162"/>
        <v>0</v>
      </c>
      <c r="FF64" s="40">
        <f t="shared" si="162"/>
        <v>0</v>
      </c>
      <c r="FG64" s="40">
        <f t="shared" si="162"/>
        <v>0</v>
      </c>
      <c r="FH64" s="40">
        <f t="shared" si="162"/>
        <v>0</v>
      </c>
      <c r="FI64" s="40">
        <f t="shared" si="162"/>
        <v>0</v>
      </c>
      <c r="FJ64" s="40">
        <f t="shared" si="162"/>
        <v>0</v>
      </c>
      <c r="FK64" s="40">
        <f t="shared" si="162"/>
        <v>0</v>
      </c>
      <c r="FL64" s="40">
        <f t="shared" si="162"/>
        <v>0</v>
      </c>
      <c r="FM64" s="40">
        <f t="shared" si="162"/>
        <v>0</v>
      </c>
      <c r="FN64" s="40">
        <f t="shared" si="162"/>
        <v>0</v>
      </c>
      <c r="FO64" s="40">
        <f t="shared" si="162"/>
        <v>0</v>
      </c>
      <c r="FP64" s="40">
        <f t="shared" si="162"/>
        <v>0</v>
      </c>
      <c r="FQ64" s="40">
        <f t="shared" si="162"/>
        <v>0</v>
      </c>
      <c r="FR64" s="40">
        <f t="shared" si="162"/>
        <v>0</v>
      </c>
      <c r="FS64" s="40">
        <f t="shared" si="162"/>
        <v>0</v>
      </c>
      <c r="FT64" s="40">
        <f t="shared" si="162"/>
        <v>0</v>
      </c>
      <c r="FU64" s="40">
        <f t="shared" si="162"/>
        <v>0</v>
      </c>
      <c r="FV64" s="40">
        <f t="shared" si="162"/>
        <v>0</v>
      </c>
      <c r="FW64" s="40">
        <f t="shared" si="162"/>
        <v>0</v>
      </c>
      <c r="FX64" s="40">
        <f t="shared" si="162"/>
        <v>0</v>
      </c>
      <c r="FY64" s="40">
        <f t="shared" si="162"/>
        <v>0</v>
      </c>
      <c r="FZ64" s="40">
        <f t="shared" si="162"/>
        <v>0</v>
      </c>
      <c r="GA64" s="40">
        <f t="shared" si="162"/>
        <v>0</v>
      </c>
      <c r="GB64" s="40">
        <f t="shared" si="162"/>
        <v>0</v>
      </c>
      <c r="GC64" s="40">
        <f t="shared" si="162"/>
        <v>0</v>
      </c>
      <c r="GD64" s="40">
        <f ca="1">SUM(GD61:GD63)</f>
        <v>6799870.6761150155</v>
      </c>
      <c r="GE64" s="40">
        <f t="shared" ca="1" si="162"/>
        <v>0</v>
      </c>
      <c r="GF64" s="40">
        <f t="shared" ca="1" si="162"/>
        <v>0</v>
      </c>
      <c r="GG64" s="40">
        <f t="shared" ca="1" si="162"/>
        <v>0</v>
      </c>
      <c r="GH64" s="40">
        <f t="shared" ca="1" si="162"/>
        <v>0</v>
      </c>
      <c r="GI64" s="40">
        <f t="shared" ca="1" si="162"/>
        <v>0</v>
      </c>
      <c r="GJ64" s="40">
        <f t="shared" ca="1" si="162"/>
        <v>0</v>
      </c>
      <c r="GK64" s="40">
        <f t="shared" ca="1" si="162"/>
        <v>0</v>
      </c>
      <c r="GL64" s="40">
        <f t="shared" ca="1" si="162"/>
        <v>0</v>
      </c>
      <c r="GM64" s="40">
        <f t="shared" ca="1" si="162"/>
        <v>0</v>
      </c>
      <c r="GN64" s="40">
        <f t="shared" ca="1" si="162"/>
        <v>0</v>
      </c>
      <c r="GO64" s="40">
        <f t="shared" ca="1" si="162"/>
        <v>0</v>
      </c>
      <c r="GP64" s="40">
        <f t="shared" ca="1" si="162"/>
        <v>0</v>
      </c>
      <c r="GQ64" s="40">
        <f t="shared" ref="GQ64:IL64" ca="1" si="163">SUM(GQ61:GQ63)</f>
        <v>0</v>
      </c>
      <c r="GR64" s="40">
        <f t="shared" ca="1" si="163"/>
        <v>0</v>
      </c>
      <c r="GS64" s="40">
        <f t="shared" ca="1" si="163"/>
        <v>0</v>
      </c>
      <c r="GT64" s="40">
        <f t="shared" ca="1" si="163"/>
        <v>0</v>
      </c>
      <c r="GU64" s="40">
        <f t="shared" ca="1" si="163"/>
        <v>0</v>
      </c>
      <c r="GV64" s="40">
        <f t="shared" ca="1" si="163"/>
        <v>0</v>
      </c>
      <c r="GW64" s="40">
        <f t="shared" ca="1" si="163"/>
        <v>0</v>
      </c>
      <c r="GX64" s="40">
        <f t="shared" ca="1" si="163"/>
        <v>0</v>
      </c>
      <c r="GY64" s="40">
        <f t="shared" ca="1" si="163"/>
        <v>0</v>
      </c>
      <c r="GZ64" s="40">
        <f t="shared" ca="1" si="163"/>
        <v>0</v>
      </c>
      <c r="HA64" s="40">
        <f t="shared" ca="1" si="163"/>
        <v>0</v>
      </c>
      <c r="HB64" s="40">
        <f t="shared" ca="1" si="163"/>
        <v>0</v>
      </c>
      <c r="HC64" s="40">
        <f t="shared" ca="1" si="163"/>
        <v>0</v>
      </c>
      <c r="HD64" s="40">
        <f t="shared" ca="1" si="163"/>
        <v>0</v>
      </c>
      <c r="HE64" s="40">
        <f t="shared" ca="1" si="163"/>
        <v>0</v>
      </c>
      <c r="HF64" s="40">
        <f t="shared" ca="1" si="163"/>
        <v>0</v>
      </c>
      <c r="HG64" s="40">
        <f t="shared" ca="1" si="163"/>
        <v>0</v>
      </c>
      <c r="HH64" s="40">
        <f t="shared" ca="1" si="163"/>
        <v>0</v>
      </c>
      <c r="HI64" s="40">
        <f t="shared" ca="1" si="163"/>
        <v>0</v>
      </c>
      <c r="HJ64" s="40">
        <f t="shared" ca="1" si="163"/>
        <v>0</v>
      </c>
      <c r="HK64" s="40">
        <f t="shared" ca="1" si="163"/>
        <v>0</v>
      </c>
      <c r="HL64" s="40">
        <f t="shared" ca="1" si="163"/>
        <v>0</v>
      </c>
      <c r="HM64" s="40">
        <f t="shared" ca="1" si="163"/>
        <v>0</v>
      </c>
      <c r="HN64" s="40">
        <f t="shared" ca="1" si="163"/>
        <v>0</v>
      </c>
      <c r="HO64" s="40">
        <f t="shared" ca="1" si="163"/>
        <v>0</v>
      </c>
      <c r="HP64" s="40">
        <f t="shared" ca="1" si="163"/>
        <v>0</v>
      </c>
      <c r="HQ64" s="40">
        <f t="shared" ca="1" si="163"/>
        <v>0</v>
      </c>
      <c r="HR64" s="40">
        <f t="shared" ca="1" si="163"/>
        <v>0</v>
      </c>
      <c r="HS64" s="40">
        <f t="shared" ca="1" si="163"/>
        <v>0</v>
      </c>
      <c r="HT64" s="40">
        <f t="shared" ca="1" si="163"/>
        <v>0</v>
      </c>
      <c r="HU64" s="40">
        <f t="shared" ca="1" si="163"/>
        <v>0</v>
      </c>
      <c r="HV64" s="40">
        <f t="shared" ca="1" si="163"/>
        <v>0</v>
      </c>
      <c r="HW64" s="40">
        <f t="shared" ca="1" si="163"/>
        <v>0</v>
      </c>
      <c r="HX64" s="40">
        <f t="shared" ca="1" si="163"/>
        <v>0</v>
      </c>
      <c r="HY64" s="40">
        <f t="shared" ca="1" si="163"/>
        <v>0</v>
      </c>
      <c r="HZ64" s="40">
        <f t="shared" ca="1" si="163"/>
        <v>0</v>
      </c>
      <c r="IA64" s="40">
        <f t="shared" ca="1" si="163"/>
        <v>0</v>
      </c>
      <c r="IB64" s="40">
        <f t="shared" ca="1" si="163"/>
        <v>0</v>
      </c>
      <c r="IC64" s="40">
        <f t="shared" ca="1" si="163"/>
        <v>0</v>
      </c>
      <c r="ID64" s="40">
        <f t="shared" ca="1" si="163"/>
        <v>0</v>
      </c>
      <c r="IE64" s="40">
        <f t="shared" ca="1" si="163"/>
        <v>0</v>
      </c>
      <c r="IF64" s="40">
        <f t="shared" ca="1" si="163"/>
        <v>0</v>
      </c>
      <c r="IG64" s="40">
        <f t="shared" ca="1" si="163"/>
        <v>0</v>
      </c>
      <c r="IH64" s="40">
        <f t="shared" ca="1" si="163"/>
        <v>0</v>
      </c>
      <c r="II64" s="40">
        <f t="shared" ca="1" si="163"/>
        <v>0</v>
      </c>
      <c r="IJ64" s="40">
        <f t="shared" ca="1" si="163"/>
        <v>0</v>
      </c>
      <c r="IK64" s="40">
        <f t="shared" ca="1" si="163"/>
        <v>0</v>
      </c>
      <c r="IL64" s="40">
        <f t="shared" ca="1" si="163"/>
        <v>0</v>
      </c>
      <c r="IM64" s="40">
        <f t="shared" ref="IM64:KX64" ca="1" si="164">SUM(IM61:IM63)</f>
        <v>0</v>
      </c>
      <c r="IN64" s="40">
        <f t="shared" ca="1" si="164"/>
        <v>0</v>
      </c>
      <c r="IO64" s="40">
        <f t="shared" ca="1" si="164"/>
        <v>0</v>
      </c>
      <c r="IP64" s="40">
        <f t="shared" ca="1" si="164"/>
        <v>0</v>
      </c>
      <c r="IQ64" s="40">
        <f t="shared" ca="1" si="164"/>
        <v>0</v>
      </c>
      <c r="IR64" s="40">
        <f t="shared" ca="1" si="164"/>
        <v>0</v>
      </c>
      <c r="IS64" s="40">
        <f t="shared" ca="1" si="164"/>
        <v>0</v>
      </c>
      <c r="IT64" s="40">
        <f t="shared" ca="1" si="164"/>
        <v>0</v>
      </c>
      <c r="IU64" s="40">
        <f t="shared" ca="1" si="164"/>
        <v>0</v>
      </c>
      <c r="IV64" s="40">
        <f t="shared" ca="1" si="164"/>
        <v>0</v>
      </c>
      <c r="IW64" s="40">
        <f t="shared" ca="1" si="164"/>
        <v>0</v>
      </c>
      <c r="IX64" s="40">
        <f t="shared" ca="1" si="164"/>
        <v>0</v>
      </c>
      <c r="IY64" s="40">
        <f t="shared" ca="1" si="164"/>
        <v>0</v>
      </c>
      <c r="IZ64" s="40">
        <f t="shared" ca="1" si="164"/>
        <v>0</v>
      </c>
      <c r="JA64" s="40">
        <f t="shared" ca="1" si="164"/>
        <v>0</v>
      </c>
      <c r="JB64" s="40">
        <f t="shared" ca="1" si="164"/>
        <v>0</v>
      </c>
      <c r="JC64" s="40">
        <f t="shared" ca="1" si="164"/>
        <v>0</v>
      </c>
      <c r="JD64" s="40">
        <f t="shared" ca="1" si="164"/>
        <v>0</v>
      </c>
      <c r="JE64" s="40">
        <f t="shared" ca="1" si="164"/>
        <v>0</v>
      </c>
      <c r="JF64" s="40">
        <f t="shared" ca="1" si="164"/>
        <v>0</v>
      </c>
      <c r="JG64" s="40">
        <f t="shared" ca="1" si="164"/>
        <v>0</v>
      </c>
      <c r="JH64" s="40">
        <f t="shared" ca="1" si="164"/>
        <v>0</v>
      </c>
      <c r="JI64" s="40">
        <f t="shared" ca="1" si="164"/>
        <v>0</v>
      </c>
      <c r="JJ64" s="40">
        <f t="shared" ca="1" si="164"/>
        <v>0</v>
      </c>
      <c r="JK64" s="40">
        <f t="shared" ca="1" si="164"/>
        <v>0</v>
      </c>
      <c r="JL64" s="40">
        <f t="shared" ca="1" si="164"/>
        <v>0</v>
      </c>
      <c r="JM64" s="40">
        <f t="shared" ca="1" si="164"/>
        <v>0</v>
      </c>
      <c r="JN64" s="40">
        <f t="shared" ca="1" si="164"/>
        <v>0</v>
      </c>
      <c r="JO64" s="40">
        <f t="shared" ca="1" si="164"/>
        <v>0</v>
      </c>
      <c r="JP64" s="40">
        <f t="shared" ca="1" si="164"/>
        <v>0</v>
      </c>
      <c r="JQ64" s="40">
        <f t="shared" ca="1" si="164"/>
        <v>0</v>
      </c>
      <c r="JR64" s="40">
        <f t="shared" ca="1" si="164"/>
        <v>0</v>
      </c>
      <c r="JS64" s="40">
        <f t="shared" ca="1" si="164"/>
        <v>0</v>
      </c>
      <c r="JT64" s="40">
        <f t="shared" ca="1" si="164"/>
        <v>0</v>
      </c>
      <c r="JU64" s="40">
        <f t="shared" ca="1" si="164"/>
        <v>0</v>
      </c>
      <c r="JV64" s="40">
        <f t="shared" ca="1" si="164"/>
        <v>0</v>
      </c>
      <c r="JW64" s="40">
        <f t="shared" ca="1" si="164"/>
        <v>0</v>
      </c>
      <c r="JX64" s="40">
        <f t="shared" ca="1" si="164"/>
        <v>0</v>
      </c>
      <c r="JY64" s="40">
        <f t="shared" ca="1" si="164"/>
        <v>0</v>
      </c>
      <c r="JZ64" s="40">
        <f t="shared" ca="1" si="164"/>
        <v>0</v>
      </c>
      <c r="KA64" s="40">
        <f t="shared" ca="1" si="164"/>
        <v>0</v>
      </c>
      <c r="KB64" s="40">
        <f t="shared" ca="1" si="164"/>
        <v>0</v>
      </c>
      <c r="KC64" s="40">
        <f t="shared" ca="1" si="164"/>
        <v>0</v>
      </c>
      <c r="KD64" s="40">
        <f t="shared" ca="1" si="164"/>
        <v>0</v>
      </c>
      <c r="KE64" s="40">
        <f t="shared" ca="1" si="164"/>
        <v>0</v>
      </c>
      <c r="KF64" s="40">
        <f t="shared" ca="1" si="164"/>
        <v>0</v>
      </c>
      <c r="KG64" s="40">
        <f t="shared" ca="1" si="164"/>
        <v>0</v>
      </c>
      <c r="KH64" s="40">
        <f t="shared" ca="1" si="164"/>
        <v>0</v>
      </c>
      <c r="KI64" s="40">
        <f t="shared" ca="1" si="164"/>
        <v>0</v>
      </c>
      <c r="KJ64" s="40">
        <f t="shared" ca="1" si="164"/>
        <v>0</v>
      </c>
      <c r="KK64" s="40">
        <f t="shared" ca="1" si="164"/>
        <v>0</v>
      </c>
      <c r="KL64" s="40">
        <f t="shared" ca="1" si="164"/>
        <v>0</v>
      </c>
      <c r="KM64" s="40">
        <f t="shared" ca="1" si="164"/>
        <v>0</v>
      </c>
      <c r="KN64" s="40">
        <f t="shared" ca="1" si="164"/>
        <v>0</v>
      </c>
      <c r="KO64" s="40">
        <f t="shared" ca="1" si="164"/>
        <v>0</v>
      </c>
      <c r="KP64" s="40">
        <f t="shared" ca="1" si="164"/>
        <v>0</v>
      </c>
      <c r="KQ64" s="40">
        <f t="shared" ca="1" si="164"/>
        <v>0</v>
      </c>
      <c r="KR64" s="40">
        <f t="shared" ca="1" si="164"/>
        <v>0</v>
      </c>
      <c r="KS64" s="40">
        <f t="shared" ca="1" si="164"/>
        <v>0</v>
      </c>
      <c r="KT64" s="40">
        <f t="shared" ca="1" si="164"/>
        <v>0</v>
      </c>
      <c r="KU64" s="40">
        <f t="shared" ca="1" si="164"/>
        <v>0</v>
      </c>
      <c r="KV64" s="40">
        <f t="shared" ca="1" si="164"/>
        <v>0</v>
      </c>
      <c r="KW64" s="40">
        <f t="shared" ca="1" si="164"/>
        <v>0</v>
      </c>
      <c r="KX64" s="40">
        <f t="shared" ca="1" si="164"/>
        <v>0</v>
      </c>
      <c r="KY64" s="40">
        <f t="shared" ref="KY64:NB64" ca="1" si="165">SUM(KY61:KY63)</f>
        <v>0</v>
      </c>
      <c r="KZ64" s="40">
        <f t="shared" ca="1" si="165"/>
        <v>0</v>
      </c>
      <c r="LA64" s="40">
        <f t="shared" ca="1" si="165"/>
        <v>0</v>
      </c>
      <c r="LB64" s="40">
        <f t="shared" ca="1" si="165"/>
        <v>0</v>
      </c>
      <c r="LC64" s="40">
        <f t="shared" ca="1" si="165"/>
        <v>0</v>
      </c>
      <c r="LD64" s="40">
        <f t="shared" ca="1" si="165"/>
        <v>0</v>
      </c>
      <c r="LE64" s="40">
        <f t="shared" ca="1" si="165"/>
        <v>0</v>
      </c>
      <c r="LF64" s="40">
        <f t="shared" ca="1" si="165"/>
        <v>0</v>
      </c>
      <c r="LG64" s="40">
        <f t="shared" ca="1" si="165"/>
        <v>0</v>
      </c>
      <c r="LH64" s="40">
        <f t="shared" ca="1" si="165"/>
        <v>0</v>
      </c>
      <c r="LI64" s="40">
        <f t="shared" ca="1" si="165"/>
        <v>0</v>
      </c>
      <c r="LJ64" s="40">
        <f t="shared" ca="1" si="165"/>
        <v>0</v>
      </c>
      <c r="LK64" s="40">
        <f t="shared" ca="1" si="165"/>
        <v>0</v>
      </c>
      <c r="LL64" s="40">
        <f t="shared" ca="1" si="165"/>
        <v>0</v>
      </c>
      <c r="LM64" s="40">
        <f t="shared" ca="1" si="165"/>
        <v>0</v>
      </c>
      <c r="LN64" s="40">
        <f t="shared" ca="1" si="165"/>
        <v>0</v>
      </c>
      <c r="LO64" s="40">
        <f t="shared" ca="1" si="165"/>
        <v>0</v>
      </c>
      <c r="LP64" s="40">
        <f t="shared" ca="1" si="165"/>
        <v>0</v>
      </c>
      <c r="LQ64" s="40">
        <f t="shared" ca="1" si="165"/>
        <v>0</v>
      </c>
      <c r="LR64" s="40">
        <f t="shared" ca="1" si="165"/>
        <v>0</v>
      </c>
      <c r="LS64" s="40">
        <f t="shared" ca="1" si="165"/>
        <v>0</v>
      </c>
      <c r="LT64" s="40">
        <f t="shared" ca="1" si="165"/>
        <v>0</v>
      </c>
      <c r="LU64" s="40">
        <f t="shared" ca="1" si="165"/>
        <v>0</v>
      </c>
      <c r="LV64" s="40">
        <f t="shared" ca="1" si="165"/>
        <v>0</v>
      </c>
      <c r="LW64" s="40">
        <f t="shared" ca="1" si="165"/>
        <v>0</v>
      </c>
      <c r="LX64" s="40">
        <f t="shared" ca="1" si="165"/>
        <v>0</v>
      </c>
      <c r="LY64" s="40">
        <f t="shared" ca="1" si="165"/>
        <v>0</v>
      </c>
      <c r="LZ64" s="40">
        <f t="shared" ca="1" si="165"/>
        <v>0</v>
      </c>
      <c r="MA64" s="40">
        <f t="shared" ca="1" si="165"/>
        <v>0</v>
      </c>
      <c r="MB64" s="40">
        <f t="shared" ca="1" si="165"/>
        <v>0</v>
      </c>
      <c r="MC64" s="40">
        <f t="shared" ca="1" si="165"/>
        <v>0</v>
      </c>
      <c r="MD64" s="40">
        <f t="shared" ca="1" si="165"/>
        <v>0</v>
      </c>
      <c r="ME64" s="40">
        <f t="shared" ca="1" si="165"/>
        <v>0</v>
      </c>
      <c r="MF64" s="40">
        <f t="shared" ca="1" si="165"/>
        <v>0</v>
      </c>
      <c r="MG64" s="40">
        <f t="shared" ca="1" si="165"/>
        <v>0</v>
      </c>
      <c r="MH64" s="40">
        <f t="shared" ca="1" si="165"/>
        <v>0</v>
      </c>
      <c r="MI64" s="40">
        <f t="shared" ca="1" si="165"/>
        <v>0</v>
      </c>
      <c r="MJ64" s="40">
        <f t="shared" ca="1" si="165"/>
        <v>0</v>
      </c>
      <c r="MK64" s="40">
        <f t="shared" ca="1" si="165"/>
        <v>0</v>
      </c>
      <c r="ML64" s="40">
        <f t="shared" ca="1" si="165"/>
        <v>0</v>
      </c>
      <c r="MM64" s="40">
        <f t="shared" ca="1" si="165"/>
        <v>0</v>
      </c>
      <c r="MN64" s="40">
        <f t="shared" ca="1" si="165"/>
        <v>0</v>
      </c>
      <c r="MO64" s="40">
        <f t="shared" ca="1" si="165"/>
        <v>0</v>
      </c>
      <c r="MP64" s="40">
        <f t="shared" ca="1" si="165"/>
        <v>0</v>
      </c>
      <c r="MQ64" s="40">
        <f t="shared" ca="1" si="165"/>
        <v>0</v>
      </c>
      <c r="MR64" s="40">
        <f t="shared" ca="1" si="165"/>
        <v>0</v>
      </c>
      <c r="MS64" s="40">
        <f t="shared" ca="1" si="165"/>
        <v>0</v>
      </c>
      <c r="MT64" s="40">
        <f t="shared" ca="1" si="165"/>
        <v>0</v>
      </c>
      <c r="MU64" s="40">
        <f t="shared" ca="1" si="165"/>
        <v>0</v>
      </c>
      <c r="MV64" s="40">
        <f t="shared" ca="1" si="165"/>
        <v>0</v>
      </c>
      <c r="MW64" s="40">
        <f t="shared" ca="1" si="165"/>
        <v>0</v>
      </c>
      <c r="MX64" s="40">
        <f t="shared" ca="1" si="165"/>
        <v>0</v>
      </c>
      <c r="MY64" s="40">
        <f t="shared" ca="1" si="165"/>
        <v>0</v>
      </c>
      <c r="MZ64" s="40">
        <f t="shared" ca="1" si="165"/>
        <v>0</v>
      </c>
      <c r="NA64" s="40">
        <f t="shared" ca="1" si="165"/>
        <v>0</v>
      </c>
      <c r="NB64" s="40">
        <f t="shared" ca="1" si="165"/>
        <v>0</v>
      </c>
    </row>
    <row r="65" spans="2:366" x14ac:dyDescent="0.15">
      <c r="F65" s="40"/>
      <c r="G65" s="40"/>
      <c r="H65" s="40"/>
      <c r="I65" s="40"/>
      <c r="J65" s="40"/>
      <c r="K65" s="40"/>
      <c r="L65" s="431"/>
      <c r="M65" s="40"/>
      <c r="N65" s="40"/>
      <c r="O65" s="40"/>
      <c r="P65" s="40"/>
      <c r="Q65" s="40"/>
      <c r="R65" s="40"/>
      <c r="S65" s="40"/>
      <c r="T65" s="40"/>
      <c r="U65" s="40"/>
      <c r="V65" s="40"/>
      <c r="W65" s="40"/>
      <c r="X65" s="40"/>
      <c r="Y65" s="40"/>
      <c r="Z65" s="40"/>
      <c r="AA65" s="40"/>
      <c r="AB65" s="40"/>
      <c r="AC65" s="40"/>
      <c r="AD65" s="573"/>
      <c r="AE65" s="40"/>
      <c r="AF65" s="40"/>
      <c r="AG65" s="40"/>
      <c r="AH65" s="40"/>
      <c r="AI65" s="40"/>
      <c r="AJ65" s="40"/>
      <c r="AK65" s="40"/>
      <c r="AL65" s="40"/>
      <c r="AM65" s="40"/>
      <c r="AN65" s="40"/>
      <c r="AO65" s="40"/>
      <c r="AP65" s="40"/>
      <c r="AQ65" s="40"/>
      <c r="AR65" s="40"/>
      <c r="AS65" s="40"/>
      <c r="AT65" s="40"/>
      <c r="AU65" s="40"/>
      <c r="AV65" s="40"/>
      <c r="AW65" s="40"/>
      <c r="AX65" s="40"/>
      <c r="AY65" s="40"/>
      <c r="AZ65" s="40"/>
      <c r="BA65" s="40"/>
      <c r="BB65" s="40"/>
      <c r="BC65" s="40"/>
      <c r="BD65" s="40"/>
      <c r="BE65" s="40"/>
      <c r="BF65" s="40"/>
      <c r="BG65" s="40"/>
      <c r="BH65" s="40"/>
      <c r="BI65" s="40"/>
      <c r="BJ65" s="40"/>
      <c r="BK65" s="40"/>
      <c r="BL65" s="40"/>
      <c r="BM65" s="40"/>
      <c r="BN65" s="40"/>
      <c r="BO65" s="40"/>
      <c r="BP65" s="40"/>
      <c r="BQ65" s="40"/>
      <c r="BR65" s="40"/>
      <c r="BS65" s="40"/>
      <c r="BT65" s="40"/>
      <c r="BU65" s="40"/>
      <c r="BV65" s="40"/>
      <c r="BW65" s="40"/>
      <c r="BX65" s="40"/>
      <c r="BY65" s="40"/>
      <c r="BZ65" s="40"/>
      <c r="CA65" s="40"/>
      <c r="CB65" s="40"/>
      <c r="CC65" s="40"/>
      <c r="CD65" s="40"/>
      <c r="CE65" s="40"/>
      <c r="CF65" s="40"/>
      <c r="CG65" s="40"/>
      <c r="CH65" s="40"/>
      <c r="CI65" s="40"/>
      <c r="CJ65" s="40"/>
      <c r="CK65" s="40"/>
    </row>
    <row r="66" spans="2:366" x14ac:dyDescent="0.15">
      <c r="B66" s="45" t="s">
        <v>123</v>
      </c>
      <c r="C66" s="45"/>
      <c r="D66" s="56">
        <f>'Main Assumptions'!M47</f>
        <v>7244084</v>
      </c>
      <c r="F66" s="40"/>
      <c r="G66" s="40"/>
      <c r="H66" s="40"/>
      <c r="I66" s="40"/>
      <c r="J66" s="40"/>
      <c r="K66" s="40"/>
      <c r="L66" s="431"/>
      <c r="M66" s="40"/>
      <c r="N66" s="40"/>
      <c r="O66" s="40"/>
      <c r="P66" s="40"/>
      <c r="Q66" s="40"/>
      <c r="R66" s="40"/>
      <c r="S66" s="40"/>
      <c r="T66" s="40"/>
      <c r="U66" s="40"/>
      <c r="V66" s="40"/>
      <c r="W66" s="40"/>
      <c r="X66" s="40"/>
      <c r="Y66" s="40"/>
      <c r="Z66" s="40"/>
      <c r="AA66" s="40"/>
      <c r="AB66" s="40"/>
      <c r="AC66" s="40"/>
      <c r="AD66" s="573"/>
      <c r="AE66" s="40"/>
      <c r="AF66" s="40"/>
      <c r="AG66" s="40"/>
      <c r="AH66" s="40"/>
      <c r="AI66" s="40"/>
      <c r="AJ66" s="40"/>
      <c r="AK66" s="40"/>
      <c r="AL66" s="40"/>
      <c r="AM66" s="40"/>
      <c r="AN66" s="40"/>
      <c r="AO66" s="40"/>
      <c r="AP66" s="40"/>
      <c r="AQ66" s="40"/>
      <c r="AR66" s="40"/>
      <c r="AS66" s="40"/>
      <c r="AT66" s="40"/>
      <c r="AU66" s="40"/>
      <c r="AV66" s="40"/>
      <c r="AW66" s="40"/>
      <c r="AX66" s="40"/>
      <c r="AY66" s="40"/>
      <c r="AZ66" s="40"/>
      <c r="BA66" s="40"/>
      <c r="BB66" s="40"/>
      <c r="BC66" s="40"/>
      <c r="BD66" s="40"/>
      <c r="BE66" s="40"/>
      <c r="BF66" s="40"/>
      <c r="BG66" s="40"/>
      <c r="BH66" s="40"/>
      <c r="BI66" s="40"/>
      <c r="BJ66" s="40"/>
      <c r="BK66" s="40"/>
      <c r="BL66" s="40"/>
      <c r="BM66" s="40"/>
      <c r="BN66" s="40"/>
      <c r="BO66" s="40"/>
      <c r="BP66" s="40"/>
      <c r="BQ66" s="40"/>
      <c r="BR66" s="40"/>
      <c r="BS66" s="40"/>
      <c r="BT66" s="40"/>
      <c r="BU66" s="40"/>
      <c r="BV66" s="40"/>
      <c r="BW66" s="40"/>
      <c r="BX66" s="40"/>
      <c r="BY66" s="40"/>
      <c r="BZ66" s="40"/>
      <c r="CA66" s="40"/>
      <c r="CB66" s="40"/>
      <c r="CC66" s="40"/>
      <c r="CD66" s="40"/>
      <c r="CE66" s="40"/>
      <c r="CF66" s="40"/>
      <c r="CG66" s="40"/>
      <c r="CH66" s="40"/>
      <c r="CI66" s="40"/>
      <c r="CJ66" s="40"/>
      <c r="CK66" s="40"/>
    </row>
    <row r="67" spans="2:366" x14ac:dyDescent="0.15">
      <c r="B67" s="45"/>
      <c r="C67" s="45"/>
      <c r="D67" s="56"/>
      <c r="F67" s="40"/>
      <c r="G67" s="40"/>
      <c r="H67" s="40"/>
      <c r="I67" s="40"/>
      <c r="J67" s="40"/>
      <c r="K67" s="40"/>
      <c r="L67" s="431"/>
      <c r="M67" s="40"/>
      <c r="N67" s="40"/>
      <c r="O67" s="40"/>
      <c r="P67" s="40"/>
      <c r="Q67" s="40"/>
      <c r="R67" s="40"/>
      <c r="S67" s="40"/>
      <c r="T67" s="40"/>
      <c r="U67" s="40"/>
      <c r="V67" s="40"/>
      <c r="W67" s="40"/>
      <c r="X67" s="40"/>
      <c r="Y67" s="40"/>
      <c r="Z67" s="40"/>
      <c r="AA67" s="40"/>
      <c r="AB67" s="40"/>
      <c r="AC67" s="40"/>
      <c r="AD67" s="573"/>
      <c r="AE67" s="40"/>
      <c r="AF67" s="40"/>
      <c r="AG67" s="40"/>
      <c r="AH67" s="40"/>
      <c r="AI67" s="40"/>
      <c r="AJ67" s="40"/>
      <c r="AK67" s="40"/>
      <c r="AL67" s="40"/>
      <c r="AM67" s="40"/>
      <c r="AN67" s="40"/>
      <c r="AO67" s="40"/>
      <c r="AP67" s="40"/>
      <c r="AQ67" s="40"/>
      <c r="AR67" s="40"/>
      <c r="AS67" s="40"/>
      <c r="AT67" s="40"/>
      <c r="AU67" s="40"/>
      <c r="AV67" s="40"/>
      <c r="AW67" s="40"/>
      <c r="AX67" s="40"/>
      <c r="AY67" s="40"/>
      <c r="AZ67" s="40"/>
      <c r="BA67" s="40"/>
      <c r="BB67" s="40"/>
      <c r="BC67" s="40"/>
      <c r="BD67" s="40"/>
      <c r="BE67" s="40"/>
      <c r="BF67" s="40"/>
      <c r="BG67" s="40"/>
      <c r="BH67" s="40"/>
      <c r="BI67" s="40"/>
      <c r="BJ67" s="40"/>
      <c r="BK67" s="40"/>
      <c r="BL67" s="40"/>
      <c r="BM67" s="40"/>
      <c r="BN67" s="40"/>
      <c r="BO67" s="40"/>
      <c r="BP67" s="40"/>
      <c r="BQ67" s="40"/>
      <c r="BR67" s="40"/>
      <c r="BS67" s="40"/>
      <c r="BT67" s="40"/>
      <c r="BU67" s="40"/>
      <c r="BV67" s="40"/>
      <c r="BW67" s="40"/>
      <c r="BX67" s="40"/>
      <c r="BY67" s="40"/>
      <c r="BZ67" s="40"/>
      <c r="CA67" s="40"/>
      <c r="CB67" s="40"/>
      <c r="CC67" s="40"/>
      <c r="CD67" s="40"/>
      <c r="CE67" s="40"/>
      <c r="CF67" s="40"/>
      <c r="CG67" s="40"/>
      <c r="CH67" s="40"/>
      <c r="CI67" s="40"/>
      <c r="CJ67" s="40"/>
      <c r="CK67" s="40"/>
    </row>
    <row r="68" spans="2:366" x14ac:dyDescent="0.15">
      <c r="B68" s="45" t="s">
        <v>229</v>
      </c>
      <c r="C68" s="45"/>
      <c r="D68" s="56"/>
      <c r="F68" s="40">
        <f>IFERROR(F36/(F44+F47),0)</f>
        <v>0</v>
      </c>
      <c r="G68" s="209">
        <f>IFERROR(G36/(G44+G47),0)</f>
        <v>0.92622601152350881</v>
      </c>
      <c r="H68" s="209">
        <f t="shared" ref="H68:BR68" si="166">IFERROR(H36/(H44+H47),0)</f>
        <v>0.92622601152350881</v>
      </c>
      <c r="I68" s="209">
        <f t="shared" si="166"/>
        <v>0.92622601152350881</v>
      </c>
      <c r="J68" s="209">
        <f t="shared" si="166"/>
        <v>0.92622601152350881</v>
      </c>
      <c r="K68" s="209">
        <f t="shared" si="166"/>
        <v>0.92622601152350881</v>
      </c>
      <c r="L68" s="566">
        <f t="shared" si="166"/>
        <v>0.92622601152350881</v>
      </c>
      <c r="M68" s="209">
        <f t="shared" si="166"/>
        <v>0.92098501590972548</v>
      </c>
      <c r="N68" s="209">
        <f t="shared" si="166"/>
        <v>0.92098501590972548</v>
      </c>
      <c r="O68" s="209">
        <f t="shared" si="166"/>
        <v>0.92098501590972548</v>
      </c>
      <c r="P68" s="209">
        <f t="shared" si="166"/>
        <v>0.92098501590972548</v>
      </c>
      <c r="Q68" s="209">
        <f t="shared" si="166"/>
        <v>0.92098501590972548</v>
      </c>
      <c r="R68" s="209">
        <f t="shared" si="166"/>
        <v>0.92098501590972548</v>
      </c>
      <c r="S68" s="209">
        <f t="shared" si="166"/>
        <v>0.95062278059243477</v>
      </c>
      <c r="T68" s="209">
        <f t="shared" si="166"/>
        <v>0.95062278059243477</v>
      </c>
      <c r="U68" s="209">
        <f t="shared" si="166"/>
        <v>0.95062278059243477</v>
      </c>
      <c r="V68" s="209">
        <f t="shared" si="166"/>
        <v>0.95062278059243477</v>
      </c>
      <c r="W68" s="209">
        <f t="shared" si="166"/>
        <v>0.95062278059243477</v>
      </c>
      <c r="X68" s="209">
        <f t="shared" si="166"/>
        <v>0.95062278059243477</v>
      </c>
      <c r="Y68" s="209">
        <f t="shared" si="166"/>
        <v>0.95062278059243477</v>
      </c>
      <c r="Z68" s="209">
        <f t="shared" si="166"/>
        <v>0.95062278059243477</v>
      </c>
      <c r="AA68" s="209">
        <f t="shared" si="166"/>
        <v>0.95062278059243477</v>
      </c>
      <c r="AB68" s="209">
        <f t="shared" si="166"/>
        <v>0.95062278059243477</v>
      </c>
      <c r="AC68" s="209">
        <f t="shared" si="166"/>
        <v>0.95062278059243477</v>
      </c>
      <c r="AD68" s="575">
        <f t="shared" si="166"/>
        <v>0.95062278059243477</v>
      </c>
      <c r="AE68" s="209">
        <f t="shared" si="166"/>
        <v>0.98119209085490566</v>
      </c>
      <c r="AF68" s="209">
        <f t="shared" si="166"/>
        <v>0.98119209085490566</v>
      </c>
      <c r="AG68" s="209">
        <f t="shared" si="166"/>
        <v>0.98119209085490566</v>
      </c>
      <c r="AH68" s="209">
        <f t="shared" si="166"/>
        <v>0.98119209085490566</v>
      </c>
      <c r="AI68" s="209">
        <f t="shared" si="166"/>
        <v>0.98119209085490566</v>
      </c>
      <c r="AJ68" s="209">
        <f t="shared" si="166"/>
        <v>0.98119209085490566</v>
      </c>
      <c r="AK68" s="209">
        <f t="shared" si="166"/>
        <v>0.98119209085490566</v>
      </c>
      <c r="AL68" s="209">
        <f t="shared" si="166"/>
        <v>0.98119209085490566</v>
      </c>
      <c r="AM68" s="209">
        <f t="shared" si="166"/>
        <v>0.98119209085490566</v>
      </c>
      <c r="AN68" s="209">
        <f t="shared" si="166"/>
        <v>0.98119209085490566</v>
      </c>
      <c r="AO68" s="209">
        <f t="shared" si="166"/>
        <v>0.98119209085490566</v>
      </c>
      <c r="AP68" s="209">
        <f t="shared" si="166"/>
        <v>0.98119209085490566</v>
      </c>
      <c r="AQ68" s="209">
        <f t="shared" si="166"/>
        <v>1.012721797526196</v>
      </c>
      <c r="AR68" s="209">
        <f t="shared" si="166"/>
        <v>1.012721797526196</v>
      </c>
      <c r="AS68" s="209">
        <f t="shared" si="166"/>
        <v>1.012721797526196</v>
      </c>
      <c r="AT68" s="209">
        <f t="shared" si="166"/>
        <v>1.012721797526196</v>
      </c>
      <c r="AU68" s="209">
        <f t="shared" si="166"/>
        <v>1.012721797526196</v>
      </c>
      <c r="AV68" s="209">
        <f t="shared" si="166"/>
        <v>1.012721797526196</v>
      </c>
      <c r="AW68" s="209">
        <f t="shared" si="166"/>
        <v>1.012721797526196</v>
      </c>
      <c r="AX68" s="209">
        <f t="shared" si="166"/>
        <v>1.012721797526196</v>
      </c>
      <c r="AY68" s="209">
        <f t="shared" si="166"/>
        <v>1.012721797526196</v>
      </c>
      <c r="AZ68" s="209">
        <f t="shared" si="166"/>
        <v>1.012721797526196</v>
      </c>
      <c r="BA68" s="209">
        <f t="shared" si="166"/>
        <v>1.012721797526196</v>
      </c>
      <c r="BB68" s="209">
        <f t="shared" si="166"/>
        <v>1.012721797526196</v>
      </c>
      <c r="BC68" s="209">
        <f t="shared" si="166"/>
        <v>1.0452416364546895</v>
      </c>
      <c r="BD68" s="209">
        <f t="shared" si="166"/>
        <v>1.0452416364546895</v>
      </c>
      <c r="BE68" s="209">
        <f t="shared" si="166"/>
        <v>1.0452416364546895</v>
      </c>
      <c r="BF68" s="209">
        <f t="shared" si="166"/>
        <v>1.0452416364546895</v>
      </c>
      <c r="BG68" s="209">
        <f t="shared" si="166"/>
        <v>1.0452416364546895</v>
      </c>
      <c r="BH68" s="209">
        <f t="shared" si="166"/>
        <v>1.0452416364546895</v>
      </c>
      <c r="BI68" s="209">
        <f t="shared" si="166"/>
        <v>1.0452416364546895</v>
      </c>
      <c r="BJ68" s="209">
        <f t="shared" si="166"/>
        <v>1.0452416364546895</v>
      </c>
      <c r="BK68" s="209">
        <f t="shared" si="166"/>
        <v>1.0452416364546895</v>
      </c>
      <c r="BL68" s="209">
        <f t="shared" si="166"/>
        <v>1.0452416364546895</v>
      </c>
      <c r="BM68" s="209">
        <f t="shared" si="166"/>
        <v>1.0452416364546895</v>
      </c>
      <c r="BN68" s="209">
        <f t="shared" si="166"/>
        <v>1.0452416364546895</v>
      </c>
      <c r="BO68" s="209">
        <f t="shared" si="166"/>
        <v>1.0787822554836983</v>
      </c>
      <c r="BP68" s="209">
        <f t="shared" si="166"/>
        <v>1.0787822554836983</v>
      </c>
      <c r="BQ68" s="209">
        <f t="shared" si="166"/>
        <v>1.0787822554836983</v>
      </c>
      <c r="BR68" s="209">
        <f t="shared" si="166"/>
        <v>1.0787822554836983</v>
      </c>
      <c r="BS68" s="209">
        <f t="shared" ref="BS68:ED68" si="167">IFERROR(BS36/(BS44+BS47),0)</f>
        <v>1.0787822554836983</v>
      </c>
      <c r="BT68" s="209">
        <f t="shared" si="167"/>
        <v>1.0787822554836983</v>
      </c>
      <c r="BU68" s="209">
        <f t="shared" si="167"/>
        <v>1.0787822554836983</v>
      </c>
      <c r="BV68" s="209">
        <f t="shared" si="167"/>
        <v>1.0787822554836983</v>
      </c>
      <c r="BW68" s="209">
        <f t="shared" si="167"/>
        <v>1.0787822554836983</v>
      </c>
      <c r="BX68" s="209">
        <f t="shared" si="167"/>
        <v>1.0787822554836983</v>
      </c>
      <c r="BY68" s="209">
        <f t="shared" si="167"/>
        <v>1.0787822554836983</v>
      </c>
      <c r="BZ68" s="209">
        <f t="shared" si="167"/>
        <v>1.0787822554836983</v>
      </c>
      <c r="CA68" s="209">
        <f t="shared" si="167"/>
        <v>1.1133752422457062</v>
      </c>
      <c r="CB68" s="209">
        <f t="shared" si="167"/>
        <v>1.1133752422457062</v>
      </c>
      <c r="CC68" s="209">
        <f t="shared" si="167"/>
        <v>1.1133752422457062</v>
      </c>
      <c r="CD68" s="209">
        <f t="shared" si="167"/>
        <v>1.1133752422457062</v>
      </c>
      <c r="CE68" s="209">
        <f t="shared" si="167"/>
        <v>1.1133752422457062</v>
      </c>
      <c r="CF68" s="209">
        <f t="shared" si="167"/>
        <v>1.1133752422457062</v>
      </c>
      <c r="CG68" s="209">
        <f t="shared" si="167"/>
        <v>1.1133752422457062</v>
      </c>
      <c r="CH68" s="209">
        <f t="shared" si="167"/>
        <v>1.1133752422457062</v>
      </c>
      <c r="CI68" s="209">
        <f t="shared" si="167"/>
        <v>1.1133752422457062</v>
      </c>
      <c r="CJ68" s="209">
        <f t="shared" si="167"/>
        <v>1.1133752422457062</v>
      </c>
      <c r="CK68" s="209">
        <f t="shared" si="167"/>
        <v>1.1133752422457062</v>
      </c>
      <c r="CL68" s="209">
        <f t="shared" si="167"/>
        <v>1.1133752422457062</v>
      </c>
      <c r="CM68" s="209">
        <f t="shared" si="167"/>
        <v>1.1490531528000305</v>
      </c>
      <c r="CN68" s="209">
        <f t="shared" si="167"/>
        <v>1.1490531528000305</v>
      </c>
      <c r="CO68" s="209">
        <f t="shared" si="167"/>
        <v>1.1490531528000305</v>
      </c>
      <c r="CP68" s="209">
        <f t="shared" si="167"/>
        <v>1.1490531528000305</v>
      </c>
      <c r="CQ68" s="209">
        <f t="shared" si="167"/>
        <v>1.1490531528000305</v>
      </c>
      <c r="CR68" s="209">
        <f t="shared" si="167"/>
        <v>1.1490531528000305</v>
      </c>
      <c r="CS68" s="209">
        <f t="shared" si="167"/>
        <v>1.1490531528000305</v>
      </c>
      <c r="CT68" s="209">
        <f t="shared" si="167"/>
        <v>1.1490531528000305</v>
      </c>
      <c r="CU68" s="209">
        <f t="shared" si="167"/>
        <v>1.1490531528000305</v>
      </c>
      <c r="CV68" s="209">
        <f t="shared" si="167"/>
        <v>1.1490531528000305</v>
      </c>
      <c r="CW68" s="209">
        <f t="shared" si="167"/>
        <v>1.1490531528000305</v>
      </c>
      <c r="CX68" s="209">
        <f t="shared" si="167"/>
        <v>1.1490531528000305</v>
      </c>
      <c r="CY68" s="209">
        <f t="shared" si="167"/>
        <v>1.1858495411394185</v>
      </c>
      <c r="CZ68" s="209">
        <f t="shared" si="167"/>
        <v>1.1858495411394185</v>
      </c>
      <c r="DA68" s="209">
        <f t="shared" si="167"/>
        <v>1.1858495411394185</v>
      </c>
      <c r="DB68" s="209">
        <f t="shared" si="167"/>
        <v>1.1858495411394185</v>
      </c>
      <c r="DC68" s="209">
        <f t="shared" si="167"/>
        <v>1.1858495411394185</v>
      </c>
      <c r="DD68" s="209">
        <f t="shared" si="167"/>
        <v>1.1858495411394185</v>
      </c>
      <c r="DE68" s="209">
        <f t="shared" si="167"/>
        <v>1.1858495411394185</v>
      </c>
      <c r="DF68" s="209">
        <f t="shared" si="167"/>
        <v>1.1858495411394185</v>
      </c>
      <c r="DG68" s="209">
        <f t="shared" si="167"/>
        <v>1.1858495411394185</v>
      </c>
      <c r="DH68" s="209">
        <f t="shared" si="167"/>
        <v>1.1858495411394185</v>
      </c>
      <c r="DI68" s="209">
        <f t="shared" si="167"/>
        <v>1.1858495411394185</v>
      </c>
      <c r="DJ68" s="209">
        <f t="shared" si="167"/>
        <v>1.1858495411394185</v>
      </c>
      <c r="DK68" s="209">
        <f t="shared" si="167"/>
        <v>1.2237989895918573</v>
      </c>
      <c r="DL68" s="209">
        <f t="shared" si="167"/>
        <v>1.2237989895918573</v>
      </c>
      <c r="DM68" s="209">
        <f t="shared" si="167"/>
        <v>1.2237989895918573</v>
      </c>
      <c r="DN68" s="209">
        <f t="shared" si="167"/>
        <v>1.2237989895918573</v>
      </c>
      <c r="DO68" s="209">
        <f t="shared" si="167"/>
        <v>1.2237989895918573</v>
      </c>
      <c r="DP68" s="209">
        <f t="shared" si="167"/>
        <v>1.2237989895918573</v>
      </c>
      <c r="DQ68" s="209">
        <f t="shared" si="167"/>
        <v>1.2237989895918573</v>
      </c>
      <c r="DR68" s="209">
        <f t="shared" si="167"/>
        <v>1.2237989895918573</v>
      </c>
      <c r="DS68" s="209">
        <f t="shared" si="167"/>
        <v>1.2237989895918573</v>
      </c>
      <c r="DT68" s="209">
        <f t="shared" si="167"/>
        <v>1.2237989895918573</v>
      </c>
      <c r="DU68" s="209">
        <f t="shared" si="167"/>
        <v>1.2237989895918573</v>
      </c>
      <c r="DV68" s="209">
        <f t="shared" si="167"/>
        <v>1.2237989895918573</v>
      </c>
      <c r="DW68" s="209">
        <f t="shared" si="167"/>
        <v>1.2629371401446907</v>
      </c>
      <c r="DX68" s="209">
        <f t="shared" si="167"/>
        <v>1.2629371401446907</v>
      </c>
      <c r="DY68" s="209">
        <f t="shared" si="167"/>
        <v>1.2629371401446907</v>
      </c>
      <c r="DZ68" s="209">
        <f t="shared" si="167"/>
        <v>1.2629371401446907</v>
      </c>
      <c r="EA68" s="209">
        <f t="shared" si="167"/>
        <v>1.2629371401446907</v>
      </c>
      <c r="EB68" s="209">
        <f t="shared" si="167"/>
        <v>1.2629371401446907</v>
      </c>
      <c r="EC68" s="209">
        <f t="shared" si="167"/>
        <v>1.2629371401446907</v>
      </c>
      <c r="ED68" s="209">
        <f t="shared" si="167"/>
        <v>1.2629371401446907</v>
      </c>
      <c r="EE68" s="209">
        <f t="shared" ref="EE68:GP68" si="168">IFERROR(EE36/(EE44+EE47),0)</f>
        <v>1.2629371401446907</v>
      </c>
      <c r="EF68" s="209">
        <f t="shared" si="168"/>
        <v>1.2629371401446907</v>
      </c>
      <c r="EG68" s="209">
        <f t="shared" si="168"/>
        <v>1.2629371401446907</v>
      </c>
      <c r="EH68" s="209">
        <f t="shared" si="168"/>
        <v>1.2629371401446907</v>
      </c>
      <c r="EI68" s="209">
        <f t="shared" si="168"/>
        <v>1.3033007267189278</v>
      </c>
      <c r="EJ68" s="209">
        <f t="shared" si="168"/>
        <v>1.3033007267189278</v>
      </c>
      <c r="EK68" s="209">
        <f t="shared" si="168"/>
        <v>1.3033007267189278</v>
      </c>
      <c r="EL68" s="209">
        <f t="shared" si="168"/>
        <v>1.3033007267189278</v>
      </c>
      <c r="EM68" s="209">
        <f t="shared" si="168"/>
        <v>1.3033007267189278</v>
      </c>
      <c r="EN68" s="209">
        <f t="shared" si="168"/>
        <v>1.3033007267189278</v>
      </c>
      <c r="EO68" s="209">
        <f t="shared" si="168"/>
        <v>1.3033007267189278</v>
      </c>
      <c r="EP68" s="209">
        <f t="shared" si="168"/>
        <v>1.3033007267189278</v>
      </c>
      <c r="EQ68" s="209">
        <f t="shared" si="168"/>
        <v>1.3033007267189278</v>
      </c>
      <c r="ER68" s="209">
        <f t="shared" si="168"/>
        <v>1.3033007267189278</v>
      </c>
      <c r="ES68" s="209">
        <f t="shared" si="168"/>
        <v>1.3033007267189278</v>
      </c>
      <c r="ET68" s="209">
        <f t="shared" si="168"/>
        <v>1.3033007267189278</v>
      </c>
      <c r="EU68" s="209">
        <f t="shared" si="168"/>
        <v>1.3449276084224946</v>
      </c>
      <c r="EV68" s="209">
        <f t="shared" si="168"/>
        <v>1.3449276084224946</v>
      </c>
      <c r="EW68" s="209">
        <f t="shared" si="168"/>
        <v>1.3449276084224946</v>
      </c>
      <c r="EX68" s="209">
        <f t="shared" si="168"/>
        <v>1.3449276084224946</v>
      </c>
      <c r="EY68" s="209">
        <f t="shared" si="168"/>
        <v>1.3449276084224946</v>
      </c>
      <c r="EZ68" s="209">
        <f t="shared" si="168"/>
        <v>1.3449276084224946</v>
      </c>
      <c r="FA68" s="209">
        <f t="shared" si="168"/>
        <v>1.3449276084224946</v>
      </c>
      <c r="FB68" s="209">
        <f t="shared" si="168"/>
        <v>1.3449276084224946</v>
      </c>
      <c r="FC68" s="209">
        <f t="shared" si="168"/>
        <v>1.3449276084224946</v>
      </c>
      <c r="FD68" s="209">
        <f t="shared" si="168"/>
        <v>1.3449276084224946</v>
      </c>
      <c r="FE68" s="209">
        <f t="shared" si="168"/>
        <v>1.3449276084224946</v>
      </c>
      <c r="FF68" s="209">
        <f t="shared" si="168"/>
        <v>1.3449276084224946</v>
      </c>
      <c r="FG68" s="209">
        <f t="shared" si="168"/>
        <v>1.3878568038120316</v>
      </c>
      <c r="FH68" s="209">
        <f t="shared" si="168"/>
        <v>1.3878568038120316</v>
      </c>
      <c r="FI68" s="209">
        <f t="shared" si="168"/>
        <v>1.3878568038120316</v>
      </c>
      <c r="FJ68" s="209">
        <f t="shared" si="168"/>
        <v>1.3878568038120316</v>
      </c>
      <c r="FK68" s="209">
        <f t="shared" si="168"/>
        <v>1.3878568038120316</v>
      </c>
      <c r="FL68" s="209">
        <f t="shared" si="168"/>
        <v>1.3878568038120316</v>
      </c>
      <c r="FM68" s="209">
        <f t="shared" si="168"/>
        <v>1.3878568038120316</v>
      </c>
      <c r="FN68" s="209">
        <f t="shared" si="168"/>
        <v>1.3878568038120316</v>
      </c>
      <c r="FO68" s="209">
        <f t="shared" si="168"/>
        <v>1.3878568038120316</v>
      </c>
      <c r="FP68" s="209">
        <f t="shared" si="168"/>
        <v>1.3878568038120316</v>
      </c>
      <c r="FQ68" s="209">
        <f t="shared" si="168"/>
        <v>1.3878568038120316</v>
      </c>
      <c r="FR68" s="209">
        <f t="shared" si="168"/>
        <v>1.3878568038120316</v>
      </c>
      <c r="FS68" s="209">
        <f t="shared" si="168"/>
        <v>1.4321285261937353</v>
      </c>
      <c r="FT68" s="209">
        <f t="shared" si="168"/>
        <v>1.4321285261937353</v>
      </c>
      <c r="FU68" s="209">
        <f t="shared" si="168"/>
        <v>1.4321285261937353</v>
      </c>
      <c r="FV68" s="209">
        <f t="shared" si="168"/>
        <v>1.4321285261937353</v>
      </c>
      <c r="FW68" s="209">
        <f t="shared" si="168"/>
        <v>1.4321285261937353</v>
      </c>
      <c r="FX68" s="209">
        <f t="shared" si="168"/>
        <v>1.4321285261937353</v>
      </c>
      <c r="FY68" s="209">
        <f t="shared" si="168"/>
        <v>1.4321285261937353</v>
      </c>
      <c r="FZ68" s="209">
        <f t="shared" si="168"/>
        <v>1.4321285261937353</v>
      </c>
      <c r="GA68" s="209">
        <f t="shared" si="168"/>
        <v>1.4321285261937353</v>
      </c>
      <c r="GB68" s="209">
        <f t="shared" si="168"/>
        <v>1.4321285261937353</v>
      </c>
      <c r="GC68" s="209">
        <f t="shared" si="168"/>
        <v>1.4321285261937353</v>
      </c>
      <c r="GD68" s="209">
        <f t="shared" si="168"/>
        <v>1.4321285261937353</v>
      </c>
      <c r="GE68" s="209">
        <f t="shared" si="168"/>
        <v>0</v>
      </c>
      <c r="GF68" s="209">
        <f t="shared" si="168"/>
        <v>0</v>
      </c>
      <c r="GG68" s="209">
        <f t="shared" si="168"/>
        <v>0</v>
      </c>
      <c r="GH68" s="209">
        <f t="shared" si="168"/>
        <v>0</v>
      </c>
      <c r="GI68" s="209">
        <f t="shared" si="168"/>
        <v>0</v>
      </c>
      <c r="GJ68" s="209">
        <f t="shared" si="168"/>
        <v>0</v>
      </c>
      <c r="GK68" s="209">
        <f t="shared" si="168"/>
        <v>0</v>
      </c>
      <c r="GL68" s="209">
        <f t="shared" si="168"/>
        <v>0</v>
      </c>
      <c r="GM68" s="209">
        <f t="shared" si="168"/>
        <v>0</v>
      </c>
      <c r="GN68" s="209">
        <f t="shared" si="168"/>
        <v>0</v>
      </c>
      <c r="GO68" s="209">
        <f t="shared" si="168"/>
        <v>0</v>
      </c>
      <c r="GP68" s="209">
        <f t="shared" si="168"/>
        <v>0</v>
      </c>
      <c r="GQ68" s="209">
        <f t="shared" ref="GQ68:IL68" si="169">IFERROR(GQ36/(GQ44+GQ47),0)</f>
        <v>0</v>
      </c>
      <c r="GR68" s="209">
        <f t="shared" si="169"/>
        <v>0</v>
      </c>
      <c r="GS68" s="209">
        <f t="shared" si="169"/>
        <v>0</v>
      </c>
      <c r="GT68" s="209">
        <f t="shared" si="169"/>
        <v>0</v>
      </c>
      <c r="GU68" s="209">
        <f t="shared" si="169"/>
        <v>0</v>
      </c>
      <c r="GV68" s="209">
        <f t="shared" si="169"/>
        <v>0</v>
      </c>
      <c r="GW68" s="209">
        <f t="shared" si="169"/>
        <v>0</v>
      </c>
      <c r="GX68" s="209">
        <f t="shared" si="169"/>
        <v>0</v>
      </c>
      <c r="GY68" s="209">
        <f t="shared" si="169"/>
        <v>0</v>
      </c>
      <c r="GZ68" s="209">
        <f t="shared" si="169"/>
        <v>0</v>
      </c>
      <c r="HA68" s="209">
        <f t="shared" si="169"/>
        <v>0</v>
      </c>
      <c r="HB68" s="209">
        <f t="shared" si="169"/>
        <v>0</v>
      </c>
      <c r="HC68" s="209">
        <f t="shared" si="169"/>
        <v>0</v>
      </c>
      <c r="HD68" s="209">
        <f t="shared" si="169"/>
        <v>0</v>
      </c>
      <c r="HE68" s="209">
        <f t="shared" si="169"/>
        <v>0</v>
      </c>
      <c r="HF68" s="209">
        <f t="shared" si="169"/>
        <v>0</v>
      </c>
      <c r="HG68" s="209">
        <f t="shared" si="169"/>
        <v>0</v>
      </c>
      <c r="HH68" s="209">
        <f t="shared" si="169"/>
        <v>0</v>
      </c>
      <c r="HI68" s="209">
        <f t="shared" si="169"/>
        <v>0</v>
      </c>
      <c r="HJ68" s="209">
        <f t="shared" si="169"/>
        <v>0</v>
      </c>
      <c r="HK68" s="209">
        <f t="shared" si="169"/>
        <v>0</v>
      </c>
      <c r="HL68" s="209">
        <f t="shared" si="169"/>
        <v>0</v>
      </c>
      <c r="HM68" s="209">
        <f t="shared" si="169"/>
        <v>0</v>
      </c>
      <c r="HN68" s="209">
        <f t="shared" si="169"/>
        <v>0</v>
      </c>
      <c r="HO68" s="209">
        <f t="shared" si="169"/>
        <v>0</v>
      </c>
      <c r="HP68" s="209">
        <f t="shared" si="169"/>
        <v>0</v>
      </c>
      <c r="HQ68" s="209">
        <f t="shared" si="169"/>
        <v>0</v>
      </c>
      <c r="HR68" s="209">
        <f t="shared" si="169"/>
        <v>0</v>
      </c>
      <c r="HS68" s="209">
        <f t="shared" si="169"/>
        <v>0</v>
      </c>
      <c r="HT68" s="209">
        <f t="shared" si="169"/>
        <v>0</v>
      </c>
      <c r="HU68" s="209">
        <f t="shared" si="169"/>
        <v>0</v>
      </c>
      <c r="HV68" s="209">
        <f t="shared" si="169"/>
        <v>0</v>
      </c>
      <c r="HW68" s="209">
        <f t="shared" si="169"/>
        <v>0</v>
      </c>
      <c r="HX68" s="209">
        <f t="shared" si="169"/>
        <v>0</v>
      </c>
      <c r="HY68" s="209">
        <f t="shared" si="169"/>
        <v>0</v>
      </c>
      <c r="HZ68" s="209">
        <f t="shared" si="169"/>
        <v>0</v>
      </c>
      <c r="IA68" s="209">
        <f t="shared" si="169"/>
        <v>0</v>
      </c>
      <c r="IB68" s="209">
        <f t="shared" si="169"/>
        <v>0</v>
      </c>
      <c r="IC68" s="209">
        <f t="shared" si="169"/>
        <v>0</v>
      </c>
      <c r="ID68" s="209">
        <f t="shared" si="169"/>
        <v>0</v>
      </c>
      <c r="IE68" s="209">
        <f t="shared" si="169"/>
        <v>0</v>
      </c>
      <c r="IF68" s="209">
        <f t="shared" si="169"/>
        <v>0</v>
      </c>
      <c r="IG68" s="209">
        <f t="shared" si="169"/>
        <v>0</v>
      </c>
      <c r="IH68" s="209">
        <f t="shared" si="169"/>
        <v>0</v>
      </c>
      <c r="II68" s="209">
        <f t="shared" si="169"/>
        <v>0</v>
      </c>
      <c r="IJ68" s="209">
        <f t="shared" si="169"/>
        <v>0</v>
      </c>
      <c r="IK68" s="209">
        <f t="shared" si="169"/>
        <v>0</v>
      </c>
      <c r="IL68" s="209">
        <f t="shared" si="169"/>
        <v>0</v>
      </c>
      <c r="IM68" s="209">
        <f t="shared" ref="IM68:KX68" si="170">IFERROR(IM36/(IM44+IM47),0)</f>
        <v>0</v>
      </c>
      <c r="IN68" s="209">
        <f t="shared" si="170"/>
        <v>0</v>
      </c>
      <c r="IO68" s="209">
        <f t="shared" si="170"/>
        <v>0</v>
      </c>
      <c r="IP68" s="209">
        <f t="shared" si="170"/>
        <v>0</v>
      </c>
      <c r="IQ68" s="209">
        <f t="shared" si="170"/>
        <v>0</v>
      </c>
      <c r="IR68" s="209">
        <f t="shared" si="170"/>
        <v>0</v>
      </c>
      <c r="IS68" s="209">
        <f t="shared" si="170"/>
        <v>0</v>
      </c>
      <c r="IT68" s="209">
        <f t="shared" si="170"/>
        <v>0</v>
      </c>
      <c r="IU68" s="209">
        <f t="shared" si="170"/>
        <v>0</v>
      </c>
      <c r="IV68" s="209">
        <f t="shared" si="170"/>
        <v>0</v>
      </c>
      <c r="IW68" s="209">
        <f t="shared" si="170"/>
        <v>0</v>
      </c>
      <c r="IX68" s="209">
        <f t="shared" si="170"/>
        <v>0</v>
      </c>
      <c r="IY68" s="209">
        <f t="shared" si="170"/>
        <v>0</v>
      </c>
      <c r="IZ68" s="209">
        <f t="shared" si="170"/>
        <v>0</v>
      </c>
      <c r="JA68" s="209">
        <f t="shared" si="170"/>
        <v>0</v>
      </c>
      <c r="JB68" s="209">
        <f t="shared" si="170"/>
        <v>0</v>
      </c>
      <c r="JC68" s="209">
        <f t="shared" si="170"/>
        <v>0</v>
      </c>
      <c r="JD68" s="209">
        <f t="shared" si="170"/>
        <v>0</v>
      </c>
      <c r="JE68" s="209">
        <f t="shared" si="170"/>
        <v>0</v>
      </c>
      <c r="JF68" s="209">
        <f t="shared" si="170"/>
        <v>0</v>
      </c>
      <c r="JG68" s="209">
        <f t="shared" si="170"/>
        <v>0</v>
      </c>
      <c r="JH68" s="209">
        <f t="shared" si="170"/>
        <v>0</v>
      </c>
      <c r="JI68" s="209">
        <f t="shared" si="170"/>
        <v>0</v>
      </c>
      <c r="JJ68" s="209">
        <f t="shared" si="170"/>
        <v>0</v>
      </c>
      <c r="JK68" s="209">
        <f t="shared" si="170"/>
        <v>0</v>
      </c>
      <c r="JL68" s="209">
        <f t="shared" si="170"/>
        <v>0</v>
      </c>
      <c r="JM68" s="209">
        <f t="shared" si="170"/>
        <v>0</v>
      </c>
      <c r="JN68" s="209">
        <f t="shared" si="170"/>
        <v>0</v>
      </c>
      <c r="JO68" s="209">
        <f t="shared" si="170"/>
        <v>0</v>
      </c>
      <c r="JP68" s="209">
        <f t="shared" si="170"/>
        <v>0</v>
      </c>
      <c r="JQ68" s="209">
        <f t="shared" si="170"/>
        <v>0</v>
      </c>
      <c r="JR68" s="209">
        <f t="shared" si="170"/>
        <v>0</v>
      </c>
      <c r="JS68" s="209">
        <f t="shared" si="170"/>
        <v>0</v>
      </c>
      <c r="JT68" s="209">
        <f t="shared" si="170"/>
        <v>0</v>
      </c>
      <c r="JU68" s="209">
        <f t="shared" si="170"/>
        <v>0</v>
      </c>
      <c r="JV68" s="209">
        <f t="shared" si="170"/>
        <v>0</v>
      </c>
      <c r="JW68" s="209">
        <f t="shared" si="170"/>
        <v>0</v>
      </c>
      <c r="JX68" s="209">
        <f t="shared" si="170"/>
        <v>0</v>
      </c>
      <c r="JY68" s="209">
        <f t="shared" si="170"/>
        <v>0</v>
      </c>
      <c r="JZ68" s="209">
        <f t="shared" si="170"/>
        <v>0</v>
      </c>
      <c r="KA68" s="209">
        <f t="shared" si="170"/>
        <v>0</v>
      </c>
      <c r="KB68" s="209">
        <f t="shared" si="170"/>
        <v>0</v>
      </c>
      <c r="KC68" s="209">
        <f t="shared" si="170"/>
        <v>0</v>
      </c>
      <c r="KD68" s="209">
        <f t="shared" si="170"/>
        <v>0</v>
      </c>
      <c r="KE68" s="209">
        <f t="shared" si="170"/>
        <v>0</v>
      </c>
      <c r="KF68" s="209">
        <f t="shared" si="170"/>
        <v>0</v>
      </c>
      <c r="KG68" s="209">
        <f t="shared" si="170"/>
        <v>0</v>
      </c>
      <c r="KH68" s="209">
        <f t="shared" si="170"/>
        <v>0</v>
      </c>
      <c r="KI68" s="209">
        <f t="shared" si="170"/>
        <v>0</v>
      </c>
      <c r="KJ68" s="209">
        <f t="shared" si="170"/>
        <v>0</v>
      </c>
      <c r="KK68" s="209">
        <f t="shared" si="170"/>
        <v>0</v>
      </c>
      <c r="KL68" s="209">
        <f t="shared" si="170"/>
        <v>0</v>
      </c>
      <c r="KM68" s="209">
        <f t="shared" si="170"/>
        <v>0</v>
      </c>
      <c r="KN68" s="209">
        <f t="shared" si="170"/>
        <v>0</v>
      </c>
      <c r="KO68" s="209">
        <f t="shared" si="170"/>
        <v>0</v>
      </c>
      <c r="KP68" s="209">
        <f t="shared" si="170"/>
        <v>0</v>
      </c>
      <c r="KQ68" s="209">
        <f t="shared" si="170"/>
        <v>0</v>
      </c>
      <c r="KR68" s="209">
        <f t="shared" si="170"/>
        <v>0</v>
      </c>
      <c r="KS68" s="209">
        <f t="shared" si="170"/>
        <v>0</v>
      </c>
      <c r="KT68" s="209">
        <f t="shared" si="170"/>
        <v>0</v>
      </c>
      <c r="KU68" s="209">
        <f t="shared" si="170"/>
        <v>0</v>
      </c>
      <c r="KV68" s="209">
        <f t="shared" si="170"/>
        <v>0</v>
      </c>
      <c r="KW68" s="209">
        <f t="shared" si="170"/>
        <v>0</v>
      </c>
      <c r="KX68" s="209">
        <f t="shared" si="170"/>
        <v>0</v>
      </c>
      <c r="KY68" s="209">
        <f t="shared" ref="KY68:NB68" si="171">IFERROR(KY36/(KY44+KY47),0)</f>
        <v>0</v>
      </c>
      <c r="KZ68" s="209">
        <f t="shared" si="171"/>
        <v>0</v>
      </c>
      <c r="LA68" s="209">
        <f t="shared" si="171"/>
        <v>0</v>
      </c>
      <c r="LB68" s="209">
        <f t="shared" si="171"/>
        <v>0</v>
      </c>
      <c r="LC68" s="209">
        <f t="shared" si="171"/>
        <v>0</v>
      </c>
      <c r="LD68" s="209">
        <f t="shared" si="171"/>
        <v>0</v>
      </c>
      <c r="LE68" s="209">
        <f t="shared" si="171"/>
        <v>0</v>
      </c>
      <c r="LF68" s="209">
        <f t="shared" si="171"/>
        <v>0</v>
      </c>
      <c r="LG68" s="209">
        <f t="shared" si="171"/>
        <v>0</v>
      </c>
      <c r="LH68" s="209">
        <f t="shared" si="171"/>
        <v>0</v>
      </c>
      <c r="LI68" s="209">
        <f t="shared" si="171"/>
        <v>0</v>
      </c>
      <c r="LJ68" s="209">
        <f t="shared" si="171"/>
        <v>0</v>
      </c>
      <c r="LK68" s="209">
        <f t="shared" si="171"/>
        <v>0</v>
      </c>
      <c r="LL68" s="209">
        <f t="shared" si="171"/>
        <v>0</v>
      </c>
      <c r="LM68" s="209">
        <f t="shared" si="171"/>
        <v>0</v>
      </c>
      <c r="LN68" s="209">
        <f t="shared" si="171"/>
        <v>0</v>
      </c>
      <c r="LO68" s="209">
        <f t="shared" si="171"/>
        <v>0</v>
      </c>
      <c r="LP68" s="209">
        <f t="shared" si="171"/>
        <v>0</v>
      </c>
      <c r="LQ68" s="209">
        <f t="shared" si="171"/>
        <v>0</v>
      </c>
      <c r="LR68" s="209">
        <f t="shared" si="171"/>
        <v>0</v>
      </c>
      <c r="LS68" s="209">
        <f t="shared" si="171"/>
        <v>0</v>
      </c>
      <c r="LT68" s="209">
        <f t="shared" si="171"/>
        <v>0</v>
      </c>
      <c r="LU68" s="209">
        <f t="shared" si="171"/>
        <v>0</v>
      </c>
      <c r="LV68" s="209">
        <f t="shared" si="171"/>
        <v>0</v>
      </c>
      <c r="LW68" s="209">
        <f t="shared" si="171"/>
        <v>0</v>
      </c>
      <c r="LX68" s="209">
        <f t="shared" si="171"/>
        <v>0</v>
      </c>
      <c r="LY68" s="209">
        <f t="shared" si="171"/>
        <v>0</v>
      </c>
      <c r="LZ68" s="209">
        <f t="shared" si="171"/>
        <v>0</v>
      </c>
      <c r="MA68" s="209">
        <f t="shared" si="171"/>
        <v>0</v>
      </c>
      <c r="MB68" s="209">
        <f t="shared" si="171"/>
        <v>0</v>
      </c>
      <c r="MC68" s="209">
        <f t="shared" si="171"/>
        <v>0</v>
      </c>
      <c r="MD68" s="209">
        <f t="shared" si="171"/>
        <v>0</v>
      </c>
      <c r="ME68" s="209">
        <f t="shared" si="171"/>
        <v>0</v>
      </c>
      <c r="MF68" s="209">
        <f t="shared" si="171"/>
        <v>0</v>
      </c>
      <c r="MG68" s="209">
        <f t="shared" si="171"/>
        <v>0</v>
      </c>
      <c r="MH68" s="209">
        <f t="shared" si="171"/>
        <v>0</v>
      </c>
      <c r="MI68" s="209">
        <f t="shared" si="171"/>
        <v>0</v>
      </c>
      <c r="MJ68" s="209">
        <f t="shared" si="171"/>
        <v>0</v>
      </c>
      <c r="MK68" s="209">
        <f t="shared" si="171"/>
        <v>0</v>
      </c>
      <c r="ML68" s="209">
        <f t="shared" si="171"/>
        <v>0</v>
      </c>
      <c r="MM68" s="209">
        <f t="shared" si="171"/>
        <v>0</v>
      </c>
      <c r="MN68" s="209">
        <f t="shared" si="171"/>
        <v>0</v>
      </c>
      <c r="MO68" s="209">
        <f t="shared" si="171"/>
        <v>0</v>
      </c>
      <c r="MP68" s="209">
        <f t="shared" si="171"/>
        <v>0</v>
      </c>
      <c r="MQ68" s="209">
        <f t="shared" si="171"/>
        <v>0</v>
      </c>
      <c r="MR68" s="209">
        <f t="shared" si="171"/>
        <v>0</v>
      </c>
      <c r="MS68" s="209">
        <f t="shared" si="171"/>
        <v>0</v>
      </c>
      <c r="MT68" s="209">
        <f t="shared" si="171"/>
        <v>0</v>
      </c>
      <c r="MU68" s="209">
        <f t="shared" si="171"/>
        <v>0</v>
      </c>
      <c r="MV68" s="209">
        <f t="shared" si="171"/>
        <v>0</v>
      </c>
      <c r="MW68" s="209">
        <f t="shared" si="171"/>
        <v>0</v>
      </c>
      <c r="MX68" s="209">
        <f t="shared" si="171"/>
        <v>0</v>
      </c>
      <c r="MY68" s="209">
        <f t="shared" si="171"/>
        <v>0</v>
      </c>
      <c r="MZ68" s="209">
        <f t="shared" si="171"/>
        <v>0</v>
      </c>
      <c r="NA68" s="209">
        <f t="shared" si="171"/>
        <v>0</v>
      </c>
      <c r="NB68" s="209">
        <f t="shared" si="171"/>
        <v>0</v>
      </c>
    </row>
    <row r="69" spans="2:366" x14ac:dyDescent="0.15">
      <c r="F69" s="40"/>
      <c r="G69" s="40"/>
      <c r="H69" s="40"/>
      <c r="I69" s="40"/>
      <c r="J69" s="40"/>
      <c r="K69" s="40"/>
      <c r="L69" s="431"/>
      <c r="M69" s="40"/>
      <c r="N69" s="40"/>
      <c r="O69" s="40"/>
      <c r="P69" s="40"/>
      <c r="Q69" s="40"/>
      <c r="R69" s="40"/>
      <c r="S69" s="40"/>
      <c r="T69" s="40"/>
      <c r="U69" s="40"/>
      <c r="V69" s="40"/>
      <c r="W69" s="40"/>
      <c r="X69" s="40"/>
      <c r="Y69" s="40"/>
      <c r="Z69" s="40"/>
      <c r="AA69" s="40"/>
      <c r="AB69" s="40"/>
      <c r="AC69" s="40"/>
      <c r="AD69" s="15"/>
      <c r="AE69" s="40"/>
      <c r="AF69" s="40"/>
      <c r="AG69" s="40"/>
      <c r="AH69" s="40"/>
      <c r="AI69" s="40"/>
      <c r="AJ69" s="40"/>
      <c r="AK69" s="40"/>
      <c r="AL69" s="40"/>
      <c r="AM69" s="40"/>
      <c r="AN69" s="40"/>
      <c r="AO69" s="40"/>
      <c r="AP69" s="40"/>
      <c r="AQ69" s="40"/>
      <c r="AR69" s="40"/>
      <c r="AS69" s="40"/>
      <c r="AT69" s="40"/>
      <c r="AU69" s="40"/>
      <c r="AV69" s="40"/>
      <c r="AW69" s="40"/>
      <c r="AX69" s="40"/>
      <c r="AY69" s="40"/>
      <c r="AZ69" s="40"/>
      <c r="BA69" s="40"/>
      <c r="BB69" s="40"/>
      <c r="BC69" s="40"/>
      <c r="BD69" s="40"/>
      <c r="BE69" s="40"/>
      <c r="BF69" s="40"/>
      <c r="BG69" s="40"/>
      <c r="BH69" s="40"/>
      <c r="BI69" s="40"/>
      <c r="BJ69" s="40"/>
      <c r="BK69" s="40"/>
      <c r="BL69" s="40"/>
      <c r="BM69" s="40"/>
      <c r="BN69" s="40"/>
      <c r="BO69" s="40"/>
      <c r="BP69" s="40"/>
      <c r="BQ69" s="40"/>
      <c r="BR69" s="40"/>
      <c r="BS69" s="40"/>
      <c r="BT69" s="40"/>
      <c r="BU69" s="40"/>
      <c r="BV69" s="40"/>
      <c r="BW69" s="40"/>
      <c r="BX69" s="40"/>
      <c r="BY69" s="40"/>
      <c r="BZ69" s="40"/>
      <c r="CA69" s="40"/>
      <c r="CB69" s="40"/>
      <c r="CC69" s="40"/>
      <c r="CD69" s="40"/>
      <c r="CE69" s="40"/>
      <c r="CF69" s="40"/>
      <c r="CG69" s="40"/>
      <c r="CH69" s="40"/>
      <c r="CI69" s="40"/>
      <c r="CJ69" s="40"/>
      <c r="CK69" s="40"/>
      <c r="CL69" s="40"/>
      <c r="CM69" s="40"/>
      <c r="CN69" s="40"/>
      <c r="CO69" s="40"/>
      <c r="CP69" s="40"/>
      <c r="CQ69" s="40"/>
      <c r="CR69" s="40"/>
      <c r="CS69" s="40"/>
      <c r="CT69" s="40"/>
      <c r="CU69" s="40"/>
      <c r="CV69" s="40"/>
      <c r="CW69" s="40"/>
      <c r="CX69" s="40"/>
      <c r="CY69" s="40"/>
      <c r="CZ69" s="40"/>
      <c r="DA69" s="40"/>
      <c r="DB69" s="40"/>
      <c r="DC69" s="40"/>
      <c r="DD69" s="40"/>
      <c r="DE69" s="40"/>
      <c r="DF69" s="40"/>
      <c r="DG69" s="40"/>
      <c r="DH69" s="40"/>
      <c r="DI69" s="40"/>
      <c r="DJ69" s="40"/>
      <c r="DK69" s="40"/>
      <c r="DL69" s="40"/>
      <c r="DM69" s="40"/>
      <c r="DN69" s="40"/>
      <c r="DO69" s="40"/>
      <c r="DP69" s="40"/>
      <c r="DQ69" s="40"/>
      <c r="DR69" s="40"/>
      <c r="DS69" s="40"/>
      <c r="DT69" s="40"/>
      <c r="DU69" s="40"/>
      <c r="DV69" s="40"/>
      <c r="DW69" s="40"/>
      <c r="DX69" s="40"/>
      <c r="DY69" s="40"/>
      <c r="DZ69" s="40"/>
      <c r="EA69" s="40"/>
      <c r="EB69" s="40"/>
      <c r="EC69" s="40"/>
      <c r="ED69" s="40"/>
      <c r="EE69" s="40"/>
      <c r="EF69" s="40"/>
      <c r="EG69" s="40"/>
      <c r="EH69" s="40"/>
      <c r="EI69" s="40"/>
      <c r="EJ69" s="40"/>
      <c r="EK69" s="40"/>
      <c r="EL69" s="40"/>
      <c r="EM69" s="40"/>
      <c r="EN69" s="40"/>
      <c r="EO69" s="40"/>
      <c r="EP69" s="40"/>
      <c r="EQ69" s="40"/>
      <c r="ER69" s="40"/>
      <c r="ES69" s="40"/>
      <c r="ET69" s="40"/>
      <c r="EU69" s="40"/>
      <c r="EV69" s="40"/>
      <c r="EW69" s="40"/>
      <c r="EX69" s="40"/>
      <c r="EY69" s="40"/>
      <c r="EZ69" s="40"/>
      <c r="FA69" s="40"/>
      <c r="FB69" s="40"/>
      <c r="FC69" s="40"/>
      <c r="FD69" s="40"/>
      <c r="FE69" s="40"/>
      <c r="FF69" s="40"/>
      <c r="FG69" s="40"/>
      <c r="FH69" s="40"/>
      <c r="FI69" s="40"/>
      <c r="FJ69" s="40"/>
      <c r="FK69" s="40"/>
      <c r="FL69" s="40"/>
      <c r="FM69" s="40"/>
      <c r="FN69" s="40"/>
      <c r="FO69" s="40"/>
      <c r="FP69" s="40"/>
      <c r="FQ69" s="40"/>
      <c r="FR69" s="40"/>
      <c r="FS69" s="40"/>
      <c r="FT69" s="40"/>
      <c r="FU69" s="40"/>
      <c r="FV69" s="40"/>
      <c r="FW69" s="40"/>
      <c r="FX69" s="40"/>
      <c r="FY69" s="40"/>
      <c r="FZ69" s="40"/>
      <c r="GA69" s="40"/>
      <c r="GB69" s="40"/>
      <c r="GC69" s="40"/>
      <c r="GD69" s="40"/>
      <c r="GE69" s="40"/>
      <c r="GF69" s="40"/>
      <c r="GG69" s="40"/>
      <c r="GH69" s="40"/>
      <c r="GI69" s="40"/>
      <c r="GJ69" s="40"/>
      <c r="GK69" s="40"/>
      <c r="GL69" s="40"/>
      <c r="GM69" s="40"/>
      <c r="GN69" s="40"/>
      <c r="GO69" s="40"/>
      <c r="GP69" s="40"/>
      <c r="GQ69" s="40"/>
      <c r="GR69" s="40"/>
      <c r="GS69" s="40"/>
      <c r="GT69" s="40"/>
      <c r="GU69" s="40"/>
      <c r="GV69" s="40"/>
      <c r="GW69" s="40"/>
      <c r="GX69" s="40"/>
      <c r="GY69" s="40"/>
      <c r="GZ69" s="40"/>
      <c r="HA69" s="40"/>
      <c r="HB69" s="40"/>
      <c r="HC69" s="40"/>
      <c r="HD69" s="40"/>
      <c r="HE69" s="40"/>
      <c r="HF69" s="40"/>
      <c r="HG69" s="40"/>
      <c r="HH69" s="40"/>
      <c r="HI69" s="40"/>
      <c r="HJ69" s="40"/>
      <c r="HK69" s="40"/>
      <c r="HL69" s="40"/>
      <c r="HM69" s="40"/>
      <c r="HN69" s="40"/>
      <c r="HO69" s="40"/>
      <c r="HP69" s="40"/>
      <c r="HQ69" s="40"/>
      <c r="HR69" s="40"/>
      <c r="HS69" s="40"/>
      <c r="HT69" s="40"/>
      <c r="HU69" s="40"/>
      <c r="HV69" s="40"/>
      <c r="HW69" s="40"/>
      <c r="HX69" s="40"/>
      <c r="HY69" s="40"/>
      <c r="HZ69" s="40"/>
      <c r="IA69" s="40"/>
      <c r="IB69" s="40"/>
      <c r="IC69" s="40"/>
      <c r="ID69" s="40"/>
      <c r="IE69" s="40"/>
      <c r="IF69" s="40"/>
      <c r="IG69" s="40"/>
      <c r="IH69" s="40"/>
      <c r="II69" s="40"/>
      <c r="IJ69" s="40"/>
      <c r="IK69" s="40"/>
      <c r="IL69" s="40"/>
      <c r="IM69" s="40"/>
      <c r="IN69" s="40"/>
      <c r="IO69" s="40"/>
      <c r="IP69" s="40"/>
      <c r="IQ69" s="40"/>
      <c r="IR69" s="40"/>
      <c r="IS69" s="40"/>
      <c r="IT69" s="40"/>
      <c r="IU69" s="40"/>
      <c r="IV69" s="40"/>
      <c r="IW69" s="40"/>
      <c r="IX69" s="40"/>
      <c r="IY69" s="40"/>
      <c r="IZ69" s="40"/>
      <c r="JA69" s="40"/>
      <c r="JB69" s="40"/>
      <c r="JC69" s="40"/>
      <c r="JD69" s="40"/>
      <c r="JE69" s="40"/>
      <c r="JF69" s="40"/>
      <c r="JG69" s="40"/>
      <c r="JH69" s="40"/>
      <c r="JI69" s="40"/>
      <c r="JJ69" s="40"/>
      <c r="JK69" s="40"/>
      <c r="JL69" s="40"/>
      <c r="JM69" s="40"/>
      <c r="JN69" s="40"/>
      <c r="JO69" s="40"/>
      <c r="JP69" s="40"/>
      <c r="JQ69" s="40"/>
      <c r="JR69" s="40"/>
      <c r="JS69" s="40"/>
      <c r="JT69" s="40"/>
      <c r="JU69" s="40"/>
      <c r="JV69" s="40"/>
      <c r="JW69" s="40"/>
      <c r="JX69" s="40"/>
      <c r="JY69" s="40"/>
      <c r="JZ69" s="40"/>
      <c r="KA69" s="40"/>
      <c r="KB69" s="40"/>
      <c r="KC69" s="40"/>
      <c r="KD69" s="40"/>
      <c r="KE69" s="40"/>
      <c r="KF69" s="40"/>
      <c r="KG69" s="40"/>
      <c r="KH69" s="40"/>
      <c r="KI69" s="40"/>
      <c r="KJ69" s="40"/>
      <c r="KK69" s="40"/>
      <c r="KL69" s="40"/>
      <c r="KM69" s="40"/>
      <c r="KN69" s="40"/>
      <c r="KO69" s="40"/>
      <c r="KP69" s="40"/>
      <c r="KQ69" s="40"/>
      <c r="KR69" s="40"/>
      <c r="KS69" s="40"/>
      <c r="KT69" s="40"/>
      <c r="KU69" s="40"/>
      <c r="KV69" s="40"/>
      <c r="KW69" s="40"/>
      <c r="KX69" s="40"/>
      <c r="KY69" s="40"/>
      <c r="KZ69" s="40"/>
      <c r="LA69" s="40"/>
      <c r="LB69" s="40"/>
      <c r="LC69" s="40"/>
      <c r="LD69" s="40"/>
      <c r="LE69" s="40"/>
      <c r="LF69" s="40"/>
      <c r="LG69" s="40"/>
      <c r="LH69" s="40"/>
      <c r="LI69" s="40"/>
      <c r="LJ69" s="40"/>
      <c r="LK69" s="40"/>
      <c r="LL69" s="40"/>
      <c r="LM69" s="40"/>
      <c r="LN69" s="40"/>
      <c r="LO69" s="40"/>
      <c r="LP69" s="40"/>
      <c r="LQ69" s="40"/>
      <c r="LR69" s="40"/>
      <c r="LS69" s="40"/>
      <c r="LT69" s="40"/>
      <c r="LU69" s="40"/>
      <c r="LV69" s="40"/>
      <c r="LW69" s="40"/>
      <c r="LX69" s="40"/>
      <c r="LY69" s="40"/>
      <c r="LZ69" s="40"/>
      <c r="MA69" s="40"/>
      <c r="MB69" s="40"/>
      <c r="MC69" s="40"/>
      <c r="MD69" s="40"/>
      <c r="ME69" s="40"/>
      <c r="MF69" s="40"/>
      <c r="MG69" s="40"/>
      <c r="MH69" s="40"/>
      <c r="MI69" s="40"/>
      <c r="MJ69" s="40"/>
      <c r="MK69" s="40"/>
      <c r="ML69" s="40"/>
      <c r="MM69" s="40"/>
      <c r="MN69" s="40"/>
      <c r="MO69" s="40"/>
      <c r="MP69" s="40"/>
      <c r="MQ69" s="40"/>
      <c r="MR69" s="40"/>
      <c r="MS69" s="40"/>
      <c r="MT69" s="40"/>
      <c r="MU69" s="40"/>
      <c r="MV69" s="40"/>
      <c r="MW69" s="40"/>
      <c r="MX69" s="40"/>
      <c r="MY69" s="40"/>
      <c r="MZ69" s="40"/>
      <c r="NA69" s="40"/>
      <c r="NB69" s="40"/>
    </row>
    <row r="70" spans="2:366" x14ac:dyDescent="0.15">
      <c r="B70" s="11" t="s">
        <v>118</v>
      </c>
      <c r="C70" s="11"/>
      <c r="D70" s="70"/>
      <c r="E70" s="199"/>
      <c r="F70" s="71">
        <f>F16+F40+F61+F62</f>
        <v>-6224400</v>
      </c>
      <c r="G70" s="71">
        <f>G16+G40+G61+G62</f>
        <v>-106461.711075</v>
      </c>
      <c r="H70" s="71">
        <f t="shared" ref="H70:BQ70" si="172">H16+H40+H61+H62</f>
        <v>-106461.711075</v>
      </c>
      <c r="I70" s="71">
        <f t="shared" si="172"/>
        <v>-106461.711075</v>
      </c>
      <c r="J70" s="71">
        <f t="shared" si="172"/>
        <v>26871.622258333337</v>
      </c>
      <c r="K70" s="71">
        <f t="shared" si="172"/>
        <v>26871.622258333337</v>
      </c>
      <c r="L70" s="390">
        <f t="shared" si="172"/>
        <v>26871.622258333337</v>
      </c>
      <c r="M70" s="71">
        <f t="shared" si="172"/>
        <v>26719.570758333335</v>
      </c>
      <c r="N70" s="71">
        <f t="shared" si="172"/>
        <v>26719.570758333335</v>
      </c>
      <c r="O70" s="71">
        <f t="shared" si="172"/>
        <v>26719.570758333335</v>
      </c>
      <c r="P70" s="71">
        <f t="shared" si="172"/>
        <v>26719.570758333335</v>
      </c>
      <c r="Q70" s="71">
        <f t="shared" si="172"/>
        <v>26719.570758333335</v>
      </c>
      <c r="R70" s="71">
        <f t="shared" si="172"/>
        <v>26719.570758333335</v>
      </c>
      <c r="S70" s="71">
        <f t="shared" si="172"/>
        <v>27579.420090166663</v>
      </c>
      <c r="T70" s="71">
        <f t="shared" si="172"/>
        <v>27579.420090166663</v>
      </c>
      <c r="U70" s="71">
        <f t="shared" si="172"/>
        <v>27579.420090166663</v>
      </c>
      <c r="V70" s="71">
        <f t="shared" si="172"/>
        <v>27579.420090166663</v>
      </c>
      <c r="W70" s="71">
        <f t="shared" si="172"/>
        <v>27579.420090166663</v>
      </c>
      <c r="X70" s="71">
        <f t="shared" si="172"/>
        <v>27579.420090166663</v>
      </c>
      <c r="Y70" s="71">
        <f t="shared" si="172"/>
        <v>27579.420090166663</v>
      </c>
      <c r="Z70" s="71">
        <f t="shared" si="172"/>
        <v>27579.420090166663</v>
      </c>
      <c r="AA70" s="71">
        <f t="shared" si="172"/>
        <v>27579.420090166663</v>
      </c>
      <c r="AB70" s="71">
        <f t="shared" si="172"/>
        <v>27579.420090166663</v>
      </c>
      <c r="AC70" s="71">
        <f t="shared" si="172"/>
        <v>27579.420090166663</v>
      </c>
      <c r="AD70" s="15">
        <f t="shared" si="172"/>
        <v>27579.420090166663</v>
      </c>
      <c r="AE70" s="71">
        <f t="shared" si="172"/>
        <v>28466.295375303329</v>
      </c>
      <c r="AF70" s="71">
        <f t="shared" si="172"/>
        <v>28466.295375303329</v>
      </c>
      <c r="AG70" s="71">
        <f t="shared" si="172"/>
        <v>28466.295375303329</v>
      </c>
      <c r="AH70" s="71">
        <f t="shared" si="172"/>
        <v>28466.295375303329</v>
      </c>
      <c r="AI70" s="71">
        <f t="shared" si="172"/>
        <v>28466.295375303329</v>
      </c>
      <c r="AJ70" s="71">
        <f t="shared" si="172"/>
        <v>28466.295375303329</v>
      </c>
      <c r="AK70" s="71">
        <f t="shared" si="172"/>
        <v>28466.295375303329</v>
      </c>
      <c r="AL70" s="71">
        <f t="shared" si="172"/>
        <v>28466.295375303329</v>
      </c>
      <c r="AM70" s="71">
        <f t="shared" si="172"/>
        <v>28466.295375303329</v>
      </c>
      <c r="AN70" s="71">
        <f t="shared" si="172"/>
        <v>28466.295375303329</v>
      </c>
      <c r="AO70" s="71">
        <f t="shared" si="172"/>
        <v>28466.295375303329</v>
      </c>
      <c r="AP70" s="71">
        <f t="shared" si="172"/>
        <v>28466.295375303329</v>
      </c>
      <c r="AQ70" s="71">
        <f t="shared" si="172"/>
        <v>29381.033632538572</v>
      </c>
      <c r="AR70" s="71">
        <f t="shared" si="172"/>
        <v>29381.033632538572</v>
      </c>
      <c r="AS70" s="71">
        <f t="shared" si="172"/>
        <v>29381.033632538572</v>
      </c>
      <c r="AT70" s="71">
        <f t="shared" si="172"/>
        <v>29381.033632538572</v>
      </c>
      <c r="AU70" s="71">
        <f t="shared" si="172"/>
        <v>29381.033632538572</v>
      </c>
      <c r="AV70" s="71">
        <f t="shared" si="172"/>
        <v>29381.033632538572</v>
      </c>
      <c r="AW70" s="71">
        <f t="shared" si="172"/>
        <v>29381.033632538572</v>
      </c>
      <c r="AX70" s="71">
        <f t="shared" si="172"/>
        <v>29381.033632538572</v>
      </c>
      <c r="AY70" s="71">
        <f t="shared" si="172"/>
        <v>29381.033632538572</v>
      </c>
      <c r="AZ70" s="71">
        <f t="shared" si="172"/>
        <v>29381.033632538572</v>
      </c>
      <c r="BA70" s="71">
        <f t="shared" si="172"/>
        <v>29381.033632538572</v>
      </c>
      <c r="BB70" s="71">
        <f t="shared" si="172"/>
        <v>29381.033632538572</v>
      </c>
      <c r="BC70" s="71">
        <f t="shared" si="172"/>
        <v>30324.49755680361</v>
      </c>
      <c r="BD70" s="71">
        <f t="shared" si="172"/>
        <v>30324.49755680361</v>
      </c>
      <c r="BE70" s="71">
        <f t="shared" si="172"/>
        <v>30324.49755680361</v>
      </c>
      <c r="BF70" s="71">
        <f t="shared" si="172"/>
        <v>30324.49755680361</v>
      </c>
      <c r="BG70" s="71">
        <f t="shared" si="172"/>
        <v>30324.49755680361</v>
      </c>
      <c r="BH70" s="71">
        <f t="shared" si="172"/>
        <v>30324.49755680361</v>
      </c>
      <c r="BI70" s="71">
        <f t="shared" si="172"/>
        <v>30324.49755680361</v>
      </c>
      <c r="BJ70" s="71">
        <f t="shared" si="172"/>
        <v>30324.49755680361</v>
      </c>
      <c r="BK70" s="71">
        <f t="shared" si="172"/>
        <v>30324.49755680361</v>
      </c>
      <c r="BL70" s="71">
        <f t="shared" si="172"/>
        <v>30324.49755680361</v>
      </c>
      <c r="BM70" s="71">
        <f t="shared" si="172"/>
        <v>30324.49755680361</v>
      </c>
      <c r="BN70" s="71">
        <f t="shared" si="172"/>
        <v>30324.49755680361</v>
      </c>
      <c r="BO70" s="71">
        <f t="shared" si="172"/>
        <v>31297.576301780442</v>
      </c>
      <c r="BP70" s="71">
        <f t="shared" si="172"/>
        <v>31297.576301780442</v>
      </c>
      <c r="BQ70" s="71">
        <f t="shared" si="172"/>
        <v>31297.576301780442</v>
      </c>
      <c r="BR70" s="71">
        <f t="shared" ref="BR70:EC70" si="173">BR16+BR40+BR61+BR62</f>
        <v>31297.576301780442</v>
      </c>
      <c r="BS70" s="71">
        <f t="shared" si="173"/>
        <v>31297.576301780442</v>
      </c>
      <c r="BT70" s="71">
        <f t="shared" si="173"/>
        <v>31297.576301780442</v>
      </c>
      <c r="BU70" s="71">
        <f t="shared" si="173"/>
        <v>31297.576301780442</v>
      </c>
      <c r="BV70" s="71">
        <f t="shared" si="173"/>
        <v>31297.576301780442</v>
      </c>
      <c r="BW70" s="71">
        <f t="shared" si="173"/>
        <v>31297.576301780442</v>
      </c>
      <c r="BX70" s="71">
        <f t="shared" si="173"/>
        <v>31297.576301780442</v>
      </c>
      <c r="BY70" s="71">
        <f t="shared" si="173"/>
        <v>31297.576301780442</v>
      </c>
      <c r="BZ70" s="71">
        <f t="shared" si="173"/>
        <v>31297.576301780442</v>
      </c>
      <c r="CA70" s="71">
        <f t="shared" si="173"/>
        <v>32301.18628626705</v>
      </c>
      <c r="CB70" s="71">
        <f t="shared" si="173"/>
        <v>32301.18628626705</v>
      </c>
      <c r="CC70" s="71">
        <f t="shared" si="173"/>
        <v>32301.18628626705</v>
      </c>
      <c r="CD70" s="71">
        <f t="shared" si="173"/>
        <v>32301.18628626705</v>
      </c>
      <c r="CE70" s="71">
        <f t="shared" si="173"/>
        <v>32301.18628626705</v>
      </c>
      <c r="CF70" s="71">
        <f t="shared" si="173"/>
        <v>32301.18628626705</v>
      </c>
      <c r="CG70" s="71">
        <f t="shared" si="173"/>
        <v>32301.18628626705</v>
      </c>
      <c r="CH70" s="71">
        <f t="shared" si="173"/>
        <v>32301.18628626705</v>
      </c>
      <c r="CI70" s="71">
        <f t="shared" si="173"/>
        <v>32301.18628626705</v>
      </c>
      <c r="CJ70" s="71">
        <f t="shared" si="173"/>
        <v>32301.18628626705</v>
      </c>
      <c r="CK70" s="71">
        <f t="shared" si="173"/>
        <v>32301.18628626705</v>
      </c>
      <c r="CL70" s="71">
        <f t="shared" si="173"/>
        <v>32301.18628626705</v>
      </c>
      <c r="CM70" s="71">
        <f t="shared" si="173"/>
        <v>33336.272025011793</v>
      </c>
      <c r="CN70" s="71">
        <f t="shared" si="173"/>
        <v>33336.272025011793</v>
      </c>
      <c r="CO70" s="71">
        <f t="shared" si="173"/>
        <v>33336.272025011793</v>
      </c>
      <c r="CP70" s="71">
        <f t="shared" si="173"/>
        <v>33336.272025011793</v>
      </c>
      <c r="CQ70" s="71">
        <f t="shared" si="173"/>
        <v>33336.272025011793</v>
      </c>
      <c r="CR70" s="71">
        <f t="shared" si="173"/>
        <v>33336.272025011793</v>
      </c>
      <c r="CS70" s="71">
        <f t="shared" si="173"/>
        <v>33336.272025011793</v>
      </c>
      <c r="CT70" s="71">
        <f t="shared" si="173"/>
        <v>33336.272025011793</v>
      </c>
      <c r="CU70" s="71">
        <f t="shared" si="173"/>
        <v>33336.272025011793</v>
      </c>
      <c r="CV70" s="71">
        <f t="shared" si="173"/>
        <v>33336.272025011793</v>
      </c>
      <c r="CW70" s="71">
        <f t="shared" si="173"/>
        <v>33336.272025011793</v>
      </c>
      <c r="CX70" s="71">
        <f t="shared" si="173"/>
        <v>33336.272025011793</v>
      </c>
      <c r="CY70" s="71">
        <f t="shared" si="173"/>
        <v>34403.806984757284</v>
      </c>
      <c r="CZ70" s="71">
        <f t="shared" si="173"/>
        <v>34403.806984757284</v>
      </c>
      <c r="DA70" s="71">
        <f t="shared" si="173"/>
        <v>34403.806984757284</v>
      </c>
      <c r="DB70" s="71">
        <f t="shared" si="173"/>
        <v>34403.806984757284</v>
      </c>
      <c r="DC70" s="71">
        <f t="shared" si="173"/>
        <v>34403.806984757284</v>
      </c>
      <c r="DD70" s="71">
        <f t="shared" si="173"/>
        <v>34403.806984757284</v>
      </c>
      <c r="DE70" s="71">
        <f t="shared" si="173"/>
        <v>34403.806984757284</v>
      </c>
      <c r="DF70" s="71">
        <f t="shared" si="173"/>
        <v>34403.806984757284</v>
      </c>
      <c r="DG70" s="71">
        <f t="shared" si="173"/>
        <v>34403.806984757284</v>
      </c>
      <c r="DH70" s="71">
        <f t="shared" si="173"/>
        <v>34403.806984757284</v>
      </c>
      <c r="DI70" s="71">
        <f t="shared" si="173"/>
        <v>34403.806984757284</v>
      </c>
      <c r="DJ70" s="71">
        <f t="shared" si="173"/>
        <v>34403.806984757284</v>
      </c>
      <c r="DK70" s="71">
        <f t="shared" si="173"/>
        <v>35504.794466256171</v>
      </c>
      <c r="DL70" s="71">
        <f t="shared" si="173"/>
        <v>35504.794466256171</v>
      </c>
      <c r="DM70" s="71">
        <f t="shared" si="173"/>
        <v>35504.794466256171</v>
      </c>
      <c r="DN70" s="71">
        <f t="shared" si="173"/>
        <v>35504.794466256171</v>
      </c>
      <c r="DO70" s="71">
        <f t="shared" si="173"/>
        <v>35504.794466256171</v>
      </c>
      <c r="DP70" s="71">
        <f t="shared" si="173"/>
        <v>35504.794466256171</v>
      </c>
      <c r="DQ70" s="71">
        <f t="shared" si="173"/>
        <v>35504.794466256171</v>
      </c>
      <c r="DR70" s="71">
        <f t="shared" si="173"/>
        <v>35504.794466256171</v>
      </c>
      <c r="DS70" s="71">
        <f t="shared" si="173"/>
        <v>35504.794466256171</v>
      </c>
      <c r="DT70" s="71">
        <f t="shared" si="173"/>
        <v>35504.794466256171</v>
      </c>
      <c r="DU70" s="71">
        <f t="shared" si="173"/>
        <v>35504.794466256171</v>
      </c>
      <c r="DV70" s="71">
        <f t="shared" si="173"/>
        <v>35504.794466256171</v>
      </c>
      <c r="DW70" s="71">
        <f t="shared" si="173"/>
        <v>36640.26851304483</v>
      </c>
      <c r="DX70" s="71">
        <f t="shared" si="173"/>
        <v>36640.26851304483</v>
      </c>
      <c r="DY70" s="71">
        <f t="shared" si="173"/>
        <v>36640.26851304483</v>
      </c>
      <c r="DZ70" s="71">
        <f t="shared" si="173"/>
        <v>36640.26851304483</v>
      </c>
      <c r="EA70" s="71">
        <f t="shared" si="173"/>
        <v>36640.26851304483</v>
      </c>
      <c r="EB70" s="71">
        <f t="shared" si="173"/>
        <v>36640.26851304483</v>
      </c>
      <c r="EC70" s="71">
        <f t="shared" si="173"/>
        <v>36640.26851304483</v>
      </c>
      <c r="ED70" s="71">
        <f t="shared" ref="ED70:GO70" si="174">ED16+ED40+ED61+ED62</f>
        <v>36640.26851304483</v>
      </c>
      <c r="EE70" s="71">
        <f t="shared" si="174"/>
        <v>36640.26851304483</v>
      </c>
      <c r="EF70" s="71">
        <f t="shared" si="174"/>
        <v>36640.26851304483</v>
      </c>
      <c r="EG70" s="71">
        <f t="shared" si="174"/>
        <v>36640.26851304483</v>
      </c>
      <c r="EH70" s="71">
        <f t="shared" si="174"/>
        <v>36640.26851304483</v>
      </c>
      <c r="EI70" s="71">
        <f t="shared" si="174"/>
        <v>37811.294847783982</v>
      </c>
      <c r="EJ70" s="71">
        <f t="shared" si="174"/>
        <v>37811.294847783982</v>
      </c>
      <c r="EK70" s="71">
        <f t="shared" si="174"/>
        <v>37811.294847783982</v>
      </c>
      <c r="EL70" s="71">
        <f t="shared" si="174"/>
        <v>37811.294847783982</v>
      </c>
      <c r="EM70" s="71">
        <f t="shared" si="174"/>
        <v>37811.294847783982</v>
      </c>
      <c r="EN70" s="71">
        <f t="shared" si="174"/>
        <v>37811.294847783982</v>
      </c>
      <c r="EO70" s="71">
        <f t="shared" si="174"/>
        <v>37811.294847783982</v>
      </c>
      <c r="EP70" s="71">
        <f t="shared" si="174"/>
        <v>37811.294847783982</v>
      </c>
      <c r="EQ70" s="71">
        <f t="shared" si="174"/>
        <v>37811.294847783982</v>
      </c>
      <c r="ER70" s="71">
        <f t="shared" si="174"/>
        <v>37811.294847783982</v>
      </c>
      <c r="ES70" s="71">
        <f t="shared" si="174"/>
        <v>37811.294847783982</v>
      </c>
      <c r="ET70" s="71">
        <f t="shared" si="174"/>
        <v>37811.294847783982</v>
      </c>
      <c r="EU70" s="71">
        <f t="shared" si="174"/>
        <v>39018.971837000325</v>
      </c>
      <c r="EV70" s="71">
        <f t="shared" si="174"/>
        <v>39018.971837000325</v>
      </c>
      <c r="EW70" s="71">
        <f t="shared" si="174"/>
        <v>39018.971837000325</v>
      </c>
      <c r="EX70" s="71">
        <f t="shared" si="174"/>
        <v>39018.971837000325</v>
      </c>
      <c r="EY70" s="71">
        <f t="shared" si="174"/>
        <v>39018.971837000325</v>
      </c>
      <c r="EZ70" s="71">
        <f t="shared" si="174"/>
        <v>39018.971837000325</v>
      </c>
      <c r="FA70" s="71">
        <f t="shared" si="174"/>
        <v>39018.971837000325</v>
      </c>
      <c r="FB70" s="71">
        <f t="shared" si="174"/>
        <v>39018.971837000325</v>
      </c>
      <c r="FC70" s="71">
        <f t="shared" si="174"/>
        <v>39018.971837000325</v>
      </c>
      <c r="FD70" s="71">
        <f t="shared" si="174"/>
        <v>39018.971837000325</v>
      </c>
      <c r="FE70" s="71">
        <f t="shared" si="174"/>
        <v>39018.971837000325</v>
      </c>
      <c r="FF70" s="71">
        <f t="shared" si="174"/>
        <v>39018.971837000325</v>
      </c>
      <c r="FG70" s="71">
        <f t="shared" si="174"/>
        <v>40264.431485088106</v>
      </c>
      <c r="FH70" s="71">
        <f t="shared" si="174"/>
        <v>40264.431485088106</v>
      </c>
      <c r="FI70" s="71">
        <f t="shared" si="174"/>
        <v>40264.431485088106</v>
      </c>
      <c r="FJ70" s="71">
        <f t="shared" si="174"/>
        <v>40264.431485088106</v>
      </c>
      <c r="FK70" s="71">
        <f t="shared" si="174"/>
        <v>40264.431485088106</v>
      </c>
      <c r="FL70" s="71">
        <f t="shared" si="174"/>
        <v>40264.431485088106</v>
      </c>
      <c r="FM70" s="71">
        <f t="shared" si="174"/>
        <v>40264.431485088106</v>
      </c>
      <c r="FN70" s="71">
        <f t="shared" si="174"/>
        <v>40264.431485088106</v>
      </c>
      <c r="FO70" s="71">
        <f t="shared" si="174"/>
        <v>40264.431485088106</v>
      </c>
      <c r="FP70" s="71">
        <f t="shared" si="174"/>
        <v>40264.431485088106</v>
      </c>
      <c r="FQ70" s="71">
        <f t="shared" si="174"/>
        <v>40264.431485088106</v>
      </c>
      <c r="FR70" s="71">
        <f t="shared" si="174"/>
        <v>40264.431485088106</v>
      </c>
      <c r="FS70" s="71">
        <f t="shared" si="174"/>
        <v>41548.84045845535</v>
      </c>
      <c r="FT70" s="71">
        <f t="shared" si="174"/>
        <v>41548.84045845535</v>
      </c>
      <c r="FU70" s="71">
        <f t="shared" si="174"/>
        <v>41548.84045845535</v>
      </c>
      <c r="FV70" s="71">
        <f t="shared" si="174"/>
        <v>41548.84045845535</v>
      </c>
      <c r="FW70" s="71">
        <f t="shared" si="174"/>
        <v>41548.84045845535</v>
      </c>
      <c r="FX70" s="71">
        <f t="shared" si="174"/>
        <v>41548.84045845535</v>
      </c>
      <c r="FY70" s="71">
        <f t="shared" si="174"/>
        <v>41548.84045845535</v>
      </c>
      <c r="FZ70" s="71">
        <f t="shared" si="174"/>
        <v>41548.84045845535</v>
      </c>
      <c r="GA70" s="71">
        <f t="shared" si="174"/>
        <v>8215.5071251220143</v>
      </c>
      <c r="GB70" s="71">
        <f t="shared" si="174"/>
        <v>8215.5071251220143</v>
      </c>
      <c r="GC70" s="71">
        <f t="shared" si="174"/>
        <v>8215.5071251220143</v>
      </c>
      <c r="GD70" s="71">
        <f ca="1">GD16+GD40+GD61+GD62</f>
        <v>9514684.4649862722</v>
      </c>
      <c r="GE70" s="71">
        <f t="shared" si="174"/>
        <v>0</v>
      </c>
      <c r="GF70" s="71">
        <f t="shared" si="174"/>
        <v>0</v>
      </c>
      <c r="GG70" s="71">
        <f t="shared" si="174"/>
        <v>0</v>
      </c>
      <c r="GH70" s="71">
        <f t="shared" si="174"/>
        <v>0</v>
      </c>
      <c r="GI70" s="71">
        <f t="shared" si="174"/>
        <v>0</v>
      </c>
      <c r="GJ70" s="71">
        <f t="shared" si="174"/>
        <v>0</v>
      </c>
      <c r="GK70" s="71">
        <f t="shared" si="174"/>
        <v>0</v>
      </c>
      <c r="GL70" s="71">
        <f t="shared" si="174"/>
        <v>0</v>
      </c>
      <c r="GM70" s="71">
        <f t="shared" si="174"/>
        <v>0</v>
      </c>
      <c r="GN70" s="71">
        <f t="shared" si="174"/>
        <v>0</v>
      </c>
      <c r="GO70" s="71">
        <f t="shared" si="174"/>
        <v>0</v>
      </c>
      <c r="GP70" s="71">
        <f t="shared" ref="GP70:JA70" si="175">GP16+GP40+GP61+GP62</f>
        <v>0</v>
      </c>
      <c r="GQ70" s="71">
        <f t="shared" si="175"/>
        <v>0</v>
      </c>
      <c r="GR70" s="71">
        <f t="shared" si="175"/>
        <v>0</v>
      </c>
      <c r="GS70" s="71">
        <f t="shared" si="175"/>
        <v>0</v>
      </c>
      <c r="GT70" s="71">
        <f t="shared" si="175"/>
        <v>0</v>
      </c>
      <c r="GU70" s="71">
        <f t="shared" si="175"/>
        <v>0</v>
      </c>
      <c r="GV70" s="71">
        <f t="shared" si="175"/>
        <v>0</v>
      </c>
      <c r="GW70" s="71">
        <f t="shared" si="175"/>
        <v>0</v>
      </c>
      <c r="GX70" s="71">
        <f t="shared" si="175"/>
        <v>0</v>
      </c>
      <c r="GY70" s="71">
        <f t="shared" si="175"/>
        <v>0</v>
      </c>
      <c r="GZ70" s="71">
        <f t="shared" si="175"/>
        <v>0</v>
      </c>
      <c r="HA70" s="71">
        <f t="shared" si="175"/>
        <v>0</v>
      </c>
      <c r="HB70" s="71">
        <f t="shared" si="175"/>
        <v>0</v>
      </c>
      <c r="HC70" s="71">
        <f t="shared" si="175"/>
        <v>0</v>
      </c>
      <c r="HD70" s="71">
        <f t="shared" si="175"/>
        <v>0</v>
      </c>
      <c r="HE70" s="71">
        <f t="shared" si="175"/>
        <v>0</v>
      </c>
      <c r="HF70" s="71">
        <f t="shared" si="175"/>
        <v>0</v>
      </c>
      <c r="HG70" s="71">
        <f t="shared" si="175"/>
        <v>0</v>
      </c>
      <c r="HH70" s="71">
        <f t="shared" si="175"/>
        <v>0</v>
      </c>
      <c r="HI70" s="71">
        <f t="shared" si="175"/>
        <v>0</v>
      </c>
      <c r="HJ70" s="71">
        <f t="shared" si="175"/>
        <v>0</v>
      </c>
      <c r="HK70" s="71">
        <f t="shared" si="175"/>
        <v>0</v>
      </c>
      <c r="HL70" s="71">
        <f t="shared" si="175"/>
        <v>0</v>
      </c>
      <c r="HM70" s="71">
        <f t="shared" si="175"/>
        <v>0</v>
      </c>
      <c r="HN70" s="71">
        <f t="shared" si="175"/>
        <v>0</v>
      </c>
      <c r="HO70" s="71">
        <f t="shared" si="175"/>
        <v>0</v>
      </c>
      <c r="HP70" s="71">
        <f t="shared" si="175"/>
        <v>0</v>
      </c>
      <c r="HQ70" s="71">
        <f t="shared" si="175"/>
        <v>0</v>
      </c>
      <c r="HR70" s="71">
        <f t="shared" si="175"/>
        <v>0</v>
      </c>
      <c r="HS70" s="71">
        <f t="shared" si="175"/>
        <v>0</v>
      </c>
      <c r="HT70" s="71">
        <f t="shared" si="175"/>
        <v>0</v>
      </c>
      <c r="HU70" s="71">
        <f t="shared" si="175"/>
        <v>0</v>
      </c>
      <c r="HV70" s="71">
        <f t="shared" si="175"/>
        <v>0</v>
      </c>
      <c r="HW70" s="71">
        <f t="shared" si="175"/>
        <v>0</v>
      </c>
      <c r="HX70" s="71">
        <f t="shared" si="175"/>
        <v>0</v>
      </c>
      <c r="HY70" s="71">
        <f t="shared" si="175"/>
        <v>0</v>
      </c>
      <c r="HZ70" s="71">
        <f t="shared" si="175"/>
        <v>0</v>
      </c>
      <c r="IA70" s="71">
        <f t="shared" si="175"/>
        <v>0</v>
      </c>
      <c r="IB70" s="71">
        <f t="shared" si="175"/>
        <v>0</v>
      </c>
      <c r="IC70" s="71">
        <f t="shared" si="175"/>
        <v>0</v>
      </c>
      <c r="ID70" s="71">
        <f t="shared" si="175"/>
        <v>0</v>
      </c>
      <c r="IE70" s="71">
        <f t="shared" si="175"/>
        <v>0</v>
      </c>
      <c r="IF70" s="71">
        <f t="shared" si="175"/>
        <v>0</v>
      </c>
      <c r="IG70" s="71">
        <f t="shared" si="175"/>
        <v>0</v>
      </c>
      <c r="IH70" s="71">
        <f t="shared" si="175"/>
        <v>0</v>
      </c>
      <c r="II70" s="71">
        <f t="shared" si="175"/>
        <v>0</v>
      </c>
      <c r="IJ70" s="71">
        <f t="shared" si="175"/>
        <v>0</v>
      </c>
      <c r="IK70" s="71">
        <f t="shared" si="175"/>
        <v>0</v>
      </c>
      <c r="IL70" s="71">
        <f t="shared" si="175"/>
        <v>0</v>
      </c>
      <c r="IM70" s="71">
        <f t="shared" si="175"/>
        <v>0</v>
      </c>
      <c r="IN70" s="71">
        <f t="shared" si="175"/>
        <v>0</v>
      </c>
      <c r="IO70" s="71">
        <f t="shared" si="175"/>
        <v>0</v>
      </c>
      <c r="IP70" s="71">
        <f t="shared" si="175"/>
        <v>0</v>
      </c>
      <c r="IQ70" s="71">
        <f t="shared" si="175"/>
        <v>0</v>
      </c>
      <c r="IR70" s="71">
        <f t="shared" si="175"/>
        <v>0</v>
      </c>
      <c r="IS70" s="71">
        <f t="shared" si="175"/>
        <v>0</v>
      </c>
      <c r="IT70" s="71">
        <f t="shared" si="175"/>
        <v>0</v>
      </c>
      <c r="IU70" s="71">
        <f t="shared" si="175"/>
        <v>0</v>
      </c>
      <c r="IV70" s="71">
        <f t="shared" si="175"/>
        <v>0</v>
      </c>
      <c r="IW70" s="71">
        <f t="shared" si="175"/>
        <v>0</v>
      </c>
      <c r="IX70" s="71">
        <f t="shared" si="175"/>
        <v>0</v>
      </c>
      <c r="IY70" s="71">
        <f t="shared" si="175"/>
        <v>0</v>
      </c>
      <c r="IZ70" s="71">
        <f t="shared" si="175"/>
        <v>0</v>
      </c>
      <c r="JA70" s="71">
        <f t="shared" si="175"/>
        <v>0</v>
      </c>
      <c r="JB70" s="71">
        <f t="shared" ref="JB70:LM70" si="176">JB16+JB40+JB61+JB62</f>
        <v>0</v>
      </c>
      <c r="JC70" s="71">
        <f t="shared" si="176"/>
        <v>0</v>
      </c>
      <c r="JD70" s="71">
        <f t="shared" si="176"/>
        <v>0</v>
      </c>
      <c r="JE70" s="71">
        <f t="shared" si="176"/>
        <v>0</v>
      </c>
      <c r="JF70" s="71">
        <f t="shared" si="176"/>
        <v>0</v>
      </c>
      <c r="JG70" s="71">
        <f t="shared" si="176"/>
        <v>0</v>
      </c>
      <c r="JH70" s="71">
        <f t="shared" si="176"/>
        <v>0</v>
      </c>
      <c r="JI70" s="71">
        <f t="shared" si="176"/>
        <v>0</v>
      </c>
      <c r="JJ70" s="71">
        <f t="shared" si="176"/>
        <v>0</v>
      </c>
      <c r="JK70" s="71">
        <f t="shared" si="176"/>
        <v>0</v>
      </c>
      <c r="JL70" s="71">
        <f t="shared" si="176"/>
        <v>0</v>
      </c>
      <c r="JM70" s="71">
        <f t="shared" si="176"/>
        <v>0</v>
      </c>
      <c r="JN70" s="71">
        <f t="shared" si="176"/>
        <v>0</v>
      </c>
      <c r="JO70" s="71">
        <f t="shared" si="176"/>
        <v>0</v>
      </c>
      <c r="JP70" s="71">
        <f t="shared" si="176"/>
        <v>0</v>
      </c>
      <c r="JQ70" s="71">
        <f t="shared" si="176"/>
        <v>0</v>
      </c>
      <c r="JR70" s="71">
        <f t="shared" si="176"/>
        <v>0</v>
      </c>
      <c r="JS70" s="71">
        <f t="shared" si="176"/>
        <v>0</v>
      </c>
      <c r="JT70" s="71">
        <f t="shared" si="176"/>
        <v>0</v>
      </c>
      <c r="JU70" s="71">
        <f t="shared" si="176"/>
        <v>0</v>
      </c>
      <c r="JV70" s="71">
        <f t="shared" si="176"/>
        <v>0</v>
      </c>
      <c r="JW70" s="71">
        <f t="shared" si="176"/>
        <v>0</v>
      </c>
      <c r="JX70" s="71">
        <f t="shared" si="176"/>
        <v>0</v>
      </c>
      <c r="JY70" s="71">
        <f t="shared" si="176"/>
        <v>0</v>
      </c>
      <c r="JZ70" s="71">
        <f t="shared" si="176"/>
        <v>0</v>
      </c>
      <c r="KA70" s="71">
        <f t="shared" si="176"/>
        <v>0</v>
      </c>
      <c r="KB70" s="71">
        <f t="shared" si="176"/>
        <v>0</v>
      </c>
      <c r="KC70" s="71">
        <f t="shared" si="176"/>
        <v>0</v>
      </c>
      <c r="KD70" s="71">
        <f t="shared" si="176"/>
        <v>0</v>
      </c>
      <c r="KE70" s="71">
        <f t="shared" si="176"/>
        <v>0</v>
      </c>
      <c r="KF70" s="71">
        <f t="shared" si="176"/>
        <v>0</v>
      </c>
      <c r="KG70" s="71">
        <f t="shared" si="176"/>
        <v>0</v>
      </c>
      <c r="KH70" s="71">
        <f t="shared" si="176"/>
        <v>0</v>
      </c>
      <c r="KI70" s="71">
        <f t="shared" si="176"/>
        <v>0</v>
      </c>
      <c r="KJ70" s="71">
        <f t="shared" si="176"/>
        <v>0</v>
      </c>
      <c r="KK70" s="71">
        <f t="shared" si="176"/>
        <v>0</v>
      </c>
      <c r="KL70" s="71">
        <f t="shared" si="176"/>
        <v>0</v>
      </c>
      <c r="KM70" s="71">
        <f t="shared" si="176"/>
        <v>0</v>
      </c>
      <c r="KN70" s="71">
        <f t="shared" si="176"/>
        <v>0</v>
      </c>
      <c r="KO70" s="71">
        <f t="shared" si="176"/>
        <v>0</v>
      </c>
      <c r="KP70" s="71">
        <f t="shared" si="176"/>
        <v>0</v>
      </c>
      <c r="KQ70" s="71">
        <f t="shared" si="176"/>
        <v>0</v>
      </c>
      <c r="KR70" s="71">
        <f t="shared" si="176"/>
        <v>0</v>
      </c>
      <c r="KS70" s="71">
        <f t="shared" si="176"/>
        <v>0</v>
      </c>
      <c r="KT70" s="71">
        <f t="shared" si="176"/>
        <v>0</v>
      </c>
      <c r="KU70" s="71">
        <f t="shared" si="176"/>
        <v>0</v>
      </c>
      <c r="KV70" s="71">
        <f t="shared" si="176"/>
        <v>0</v>
      </c>
      <c r="KW70" s="71">
        <f t="shared" si="176"/>
        <v>0</v>
      </c>
      <c r="KX70" s="71">
        <f t="shared" si="176"/>
        <v>0</v>
      </c>
      <c r="KY70" s="71">
        <f t="shared" si="176"/>
        <v>0</v>
      </c>
      <c r="KZ70" s="71">
        <f t="shared" si="176"/>
        <v>0</v>
      </c>
      <c r="LA70" s="71">
        <f t="shared" si="176"/>
        <v>0</v>
      </c>
      <c r="LB70" s="71">
        <f t="shared" si="176"/>
        <v>0</v>
      </c>
      <c r="LC70" s="71">
        <f t="shared" si="176"/>
        <v>0</v>
      </c>
      <c r="LD70" s="71">
        <f t="shared" si="176"/>
        <v>0</v>
      </c>
      <c r="LE70" s="71">
        <f t="shared" si="176"/>
        <v>0</v>
      </c>
      <c r="LF70" s="71">
        <f t="shared" si="176"/>
        <v>0</v>
      </c>
      <c r="LG70" s="71">
        <f t="shared" si="176"/>
        <v>0</v>
      </c>
      <c r="LH70" s="71">
        <f t="shared" si="176"/>
        <v>0</v>
      </c>
      <c r="LI70" s="71">
        <f t="shared" si="176"/>
        <v>0</v>
      </c>
      <c r="LJ70" s="71">
        <f t="shared" si="176"/>
        <v>0</v>
      </c>
      <c r="LK70" s="71">
        <f t="shared" si="176"/>
        <v>0</v>
      </c>
      <c r="LL70" s="71">
        <f t="shared" si="176"/>
        <v>0</v>
      </c>
      <c r="LM70" s="71">
        <f t="shared" si="176"/>
        <v>0</v>
      </c>
      <c r="LN70" s="71">
        <f t="shared" ref="LN70:NB70" si="177">LN16+LN40+LN61+LN62</f>
        <v>0</v>
      </c>
      <c r="LO70" s="71">
        <f t="shared" si="177"/>
        <v>0</v>
      </c>
      <c r="LP70" s="71">
        <f t="shared" si="177"/>
        <v>0</v>
      </c>
      <c r="LQ70" s="71">
        <f t="shared" si="177"/>
        <v>0</v>
      </c>
      <c r="LR70" s="71">
        <f t="shared" si="177"/>
        <v>0</v>
      </c>
      <c r="LS70" s="71">
        <f t="shared" si="177"/>
        <v>0</v>
      </c>
      <c r="LT70" s="71">
        <f t="shared" si="177"/>
        <v>0</v>
      </c>
      <c r="LU70" s="71">
        <f t="shared" si="177"/>
        <v>0</v>
      </c>
      <c r="LV70" s="71">
        <f t="shared" si="177"/>
        <v>0</v>
      </c>
      <c r="LW70" s="71">
        <f t="shared" si="177"/>
        <v>0</v>
      </c>
      <c r="LX70" s="71">
        <f t="shared" si="177"/>
        <v>0</v>
      </c>
      <c r="LY70" s="71">
        <f t="shared" si="177"/>
        <v>0</v>
      </c>
      <c r="LZ70" s="71">
        <f t="shared" si="177"/>
        <v>0</v>
      </c>
      <c r="MA70" s="71">
        <f t="shared" si="177"/>
        <v>0</v>
      </c>
      <c r="MB70" s="71">
        <f t="shared" si="177"/>
        <v>0</v>
      </c>
      <c r="MC70" s="71">
        <f t="shared" si="177"/>
        <v>0</v>
      </c>
      <c r="MD70" s="71">
        <f t="shared" si="177"/>
        <v>0</v>
      </c>
      <c r="ME70" s="71">
        <f t="shared" si="177"/>
        <v>0</v>
      </c>
      <c r="MF70" s="71">
        <f t="shared" si="177"/>
        <v>0</v>
      </c>
      <c r="MG70" s="71">
        <f t="shared" si="177"/>
        <v>0</v>
      </c>
      <c r="MH70" s="71">
        <f t="shared" si="177"/>
        <v>0</v>
      </c>
      <c r="MI70" s="71">
        <f t="shared" si="177"/>
        <v>0</v>
      </c>
      <c r="MJ70" s="71">
        <f t="shared" si="177"/>
        <v>0</v>
      </c>
      <c r="MK70" s="71">
        <f t="shared" si="177"/>
        <v>0</v>
      </c>
      <c r="ML70" s="71">
        <f t="shared" si="177"/>
        <v>0</v>
      </c>
      <c r="MM70" s="71">
        <f t="shared" si="177"/>
        <v>0</v>
      </c>
      <c r="MN70" s="71">
        <f t="shared" si="177"/>
        <v>0</v>
      </c>
      <c r="MO70" s="71">
        <f t="shared" si="177"/>
        <v>0</v>
      </c>
      <c r="MP70" s="71">
        <f t="shared" si="177"/>
        <v>0</v>
      </c>
      <c r="MQ70" s="71">
        <f t="shared" si="177"/>
        <v>0</v>
      </c>
      <c r="MR70" s="71">
        <f t="shared" si="177"/>
        <v>0</v>
      </c>
      <c r="MS70" s="71">
        <f t="shared" si="177"/>
        <v>0</v>
      </c>
      <c r="MT70" s="71">
        <f t="shared" si="177"/>
        <v>0</v>
      </c>
      <c r="MU70" s="71">
        <f t="shared" si="177"/>
        <v>0</v>
      </c>
      <c r="MV70" s="71">
        <f t="shared" si="177"/>
        <v>0</v>
      </c>
      <c r="MW70" s="71">
        <f t="shared" si="177"/>
        <v>0</v>
      </c>
      <c r="MX70" s="71">
        <f t="shared" si="177"/>
        <v>0</v>
      </c>
      <c r="MY70" s="71">
        <f t="shared" si="177"/>
        <v>0</v>
      </c>
      <c r="MZ70" s="71">
        <f t="shared" si="177"/>
        <v>0</v>
      </c>
      <c r="NA70" s="71">
        <f t="shared" si="177"/>
        <v>0</v>
      </c>
      <c r="NB70" s="71">
        <f t="shared" si="177"/>
        <v>0</v>
      </c>
    </row>
    <row r="71" spans="2:366" x14ac:dyDescent="0.15">
      <c r="B71" s="10" t="s">
        <v>119</v>
      </c>
      <c r="C71" s="10"/>
      <c r="D71" s="9"/>
    </row>
    <row r="72" spans="2:366" x14ac:dyDescent="0.15">
      <c r="B72" t="s">
        <v>120</v>
      </c>
      <c r="D72" s="67">
        <f ca="1">XIRR(F70:NB70,F8:NB8)</f>
        <v>7.6174494624137862E-2</v>
      </c>
      <c r="F72" s="40"/>
      <c r="G72" s="40"/>
      <c r="BN72" s="40"/>
      <c r="GD72" s="40"/>
    </row>
    <row r="73" spans="2:366" x14ac:dyDescent="0.15">
      <c r="B73" t="s">
        <v>121</v>
      </c>
      <c r="D73" s="68">
        <f ca="1">(SUM(F70:NB70)+'Main Assumptions'!M47)/'Main Assumptions'!M47</f>
        <v>2.2154507127403416</v>
      </c>
      <c r="F73" s="209"/>
      <c r="G73" s="40"/>
      <c r="FR73" s="40"/>
      <c r="GD73" s="40"/>
    </row>
    <row r="74" spans="2:366" x14ac:dyDescent="0.15">
      <c r="B74" s="6" t="s">
        <v>35</v>
      </c>
      <c r="C74" s="6"/>
      <c r="D74" s="54">
        <f ca="1">XNPV('Deal Summary'!$E$63,G70:NB70,G8:NB8)+F70</f>
        <v>457766.26516234316</v>
      </c>
      <c r="F74" s="55"/>
    </row>
    <row r="75" spans="2:366" x14ac:dyDescent="0.15">
      <c r="D75" s="53"/>
      <c r="F75" s="40"/>
      <c r="G75" s="56"/>
      <c r="H75" s="56"/>
      <c r="I75" s="56"/>
      <c r="J75" s="56"/>
      <c r="K75" s="56"/>
      <c r="L75" s="563"/>
      <c r="M75" s="56"/>
      <c r="N75" s="56"/>
      <c r="O75" s="56"/>
      <c r="P75" s="56"/>
      <c r="Q75" s="56"/>
      <c r="R75" s="56"/>
      <c r="S75" s="56"/>
      <c r="T75" s="56"/>
      <c r="U75" s="56"/>
      <c r="V75" s="56"/>
      <c r="W75" s="56"/>
      <c r="X75" s="56"/>
      <c r="Y75" s="56"/>
      <c r="Z75" s="56"/>
      <c r="AA75" s="56"/>
      <c r="AB75" s="56"/>
      <c r="AC75" s="56"/>
      <c r="AD75" s="56"/>
      <c r="AE75" s="56"/>
      <c r="AF75" s="56"/>
      <c r="AG75" s="56"/>
      <c r="AH75" s="56"/>
      <c r="AI75" s="56"/>
      <c r="AJ75" s="56"/>
      <c r="AK75" s="56"/>
      <c r="AL75" s="56"/>
      <c r="AM75" s="56"/>
      <c r="AN75" s="56"/>
      <c r="AO75" s="56"/>
      <c r="AP75" s="56"/>
      <c r="AQ75" s="56"/>
      <c r="AR75" s="56"/>
      <c r="AS75" s="56"/>
      <c r="AT75" s="56"/>
      <c r="AU75" s="56"/>
      <c r="AV75" s="56"/>
      <c r="AW75" s="56"/>
      <c r="AX75" s="56"/>
      <c r="AY75" s="56"/>
      <c r="AZ75" s="56"/>
      <c r="BA75" s="56"/>
      <c r="BB75" s="56"/>
      <c r="BC75" s="56"/>
      <c r="BD75" s="56"/>
      <c r="BE75" s="56"/>
      <c r="BF75" s="56"/>
      <c r="BG75" s="56"/>
      <c r="BH75" s="56"/>
      <c r="BI75" s="56"/>
      <c r="BJ75" s="56"/>
      <c r="BK75" s="56"/>
      <c r="BL75" s="56"/>
      <c r="BM75" s="56"/>
      <c r="BN75" s="56"/>
      <c r="BO75" s="56"/>
      <c r="BP75" s="56"/>
      <c r="BQ75" s="56"/>
      <c r="BR75" s="56"/>
      <c r="BS75" s="56"/>
      <c r="BT75" s="56"/>
      <c r="BU75" s="56"/>
      <c r="BV75" s="56"/>
      <c r="BW75" s="56"/>
      <c r="BX75" s="56"/>
      <c r="BY75" s="56"/>
      <c r="BZ75" s="56"/>
      <c r="CA75" s="56"/>
      <c r="CB75" s="56"/>
      <c r="CC75" s="56"/>
      <c r="CD75" s="56"/>
      <c r="CE75" s="56"/>
      <c r="CF75" s="56"/>
      <c r="CG75" s="56"/>
      <c r="CH75" s="56"/>
      <c r="CI75" s="56"/>
      <c r="CJ75" s="56"/>
      <c r="CK75" s="56"/>
    </row>
    <row r="76" spans="2:366" x14ac:dyDescent="0.15">
      <c r="B76" t="s">
        <v>124</v>
      </c>
      <c r="D76" s="69">
        <f>equity_invested</f>
        <v>2519684</v>
      </c>
    </row>
    <row r="77" spans="2:366" x14ac:dyDescent="0.15">
      <c r="D77" s="56"/>
    </row>
    <row r="78" spans="2:366" x14ac:dyDescent="0.15">
      <c r="B78" s="11" t="s">
        <v>125</v>
      </c>
      <c r="C78" s="11"/>
      <c r="D78" s="70"/>
      <c r="E78" s="199"/>
      <c r="F78" s="71">
        <f>IF('Main Assumptions'!$E$45=1,'Monthly P&amp;L'!F70,-'Monthly P&amp;L'!D76+F58)</f>
        <v>-2519684</v>
      </c>
      <c r="G78" s="71">
        <f>IF('Main Assumptions'!$E$45=1,'Monthly P&amp;L'!G$70,'Monthly P&amp;L'!G58+'Monthly P&amp;L'!G64)</f>
        <v>-106461.711075</v>
      </c>
      <c r="H78" s="71">
        <f>IF('Main Assumptions'!$E$45=1,'Monthly P&amp;L'!H$70,'Monthly P&amp;L'!H58+'Monthly P&amp;L'!H64)</f>
        <v>-106461.711075</v>
      </c>
      <c r="I78" s="71">
        <f>IF('Main Assumptions'!$E$45=1,'Monthly P&amp;L'!I$70,'Monthly P&amp;L'!I58+'Monthly P&amp;L'!I64)</f>
        <v>-106461.711075</v>
      </c>
      <c r="J78" s="71">
        <f>IF('Main Assumptions'!$E$45=1,'Monthly P&amp;L'!J$70,'Monthly P&amp;L'!J58+'Monthly P&amp;L'!J64)</f>
        <v>0</v>
      </c>
      <c r="K78" s="71">
        <f>IF('Main Assumptions'!$E$45=1,'Monthly P&amp;L'!K$70,'Monthly P&amp;L'!K58+'Monthly P&amp;L'!K64)</f>
        <v>0</v>
      </c>
      <c r="L78" s="390">
        <f>IF('Main Assumptions'!$E$45=1,'Monthly P&amp;L'!L$70,'Monthly P&amp;L'!L58+'Monthly P&amp;L'!L64)</f>
        <v>0</v>
      </c>
      <c r="M78" s="71">
        <f>IF('Main Assumptions'!$E$45=1,'Monthly P&amp;L'!M$70,'Monthly P&amp;L'!M58+'Monthly P&amp;L'!M64)</f>
        <v>0</v>
      </c>
      <c r="N78" s="71">
        <f>IF('Main Assumptions'!$E$45=1,'Monthly P&amp;L'!N$70,'Monthly P&amp;L'!N58+'Monthly P&amp;L'!N64)</f>
        <v>0</v>
      </c>
      <c r="O78" s="71">
        <f>IF('Main Assumptions'!$E$45=1,'Monthly P&amp;L'!O$70,'Monthly P&amp;L'!O58+'Monthly P&amp;L'!O64)</f>
        <v>0</v>
      </c>
      <c r="P78" s="71">
        <f>IF('Main Assumptions'!$E$45=1,'Monthly P&amp;L'!P$70,'Monthly P&amp;L'!P58+'Monthly P&amp;L'!P64)</f>
        <v>0</v>
      </c>
      <c r="Q78" s="71">
        <f>IF('Main Assumptions'!$E$45=1,'Monthly P&amp;L'!Q$70,'Monthly P&amp;L'!Q58+'Monthly P&amp;L'!Q64)</f>
        <v>0</v>
      </c>
      <c r="R78" s="71">
        <f>IF('Main Assumptions'!$E$45=1,'Monthly P&amp;L'!R$70,'Monthly P&amp;L'!R58+'Monthly P&amp;L'!R64)</f>
        <v>0</v>
      </c>
      <c r="S78" s="71">
        <f>IF('Main Assumptions'!$E$45=1,'Monthly P&amp;L'!S$70,'Monthly P&amp;L'!S58+'Monthly P&amp;L'!S64)</f>
        <v>0</v>
      </c>
      <c r="T78" s="71">
        <f>IF('Main Assumptions'!$E$45=1,'Monthly P&amp;L'!T$70,'Monthly P&amp;L'!T58+'Monthly P&amp;L'!T64)</f>
        <v>0</v>
      </c>
      <c r="U78" s="71">
        <f>IF('Main Assumptions'!$E$45=1,'Monthly P&amp;L'!U$70,'Monthly P&amp;L'!U58+'Monthly P&amp;L'!U64)</f>
        <v>0</v>
      </c>
      <c r="V78" s="71">
        <f>IF('Main Assumptions'!$E$45=1,'Monthly P&amp;L'!V$70,'Monthly P&amp;L'!V58+'Monthly P&amp;L'!V64)</f>
        <v>0</v>
      </c>
      <c r="W78" s="71">
        <f>IF('Main Assumptions'!$E$45=1,'Monthly P&amp;L'!W$70,'Monthly P&amp;L'!W58+'Monthly P&amp;L'!W64)</f>
        <v>0</v>
      </c>
      <c r="X78" s="71">
        <f>IF('Main Assumptions'!$E$45=1,'Monthly P&amp;L'!X$70,'Monthly P&amp;L'!X58+'Monthly P&amp;L'!X64)</f>
        <v>0</v>
      </c>
      <c r="Y78" s="71">
        <f>IF('Main Assumptions'!$E$45=1,'Monthly P&amp;L'!Y$70,'Monthly P&amp;L'!Y58+'Monthly P&amp;L'!Y64)</f>
        <v>0</v>
      </c>
      <c r="Z78" s="71">
        <f>IF('Main Assumptions'!$E$45=1,'Monthly P&amp;L'!Z$70,'Monthly P&amp;L'!Z58+'Monthly P&amp;L'!Z64)</f>
        <v>0</v>
      </c>
      <c r="AA78" s="71">
        <f>IF('Main Assumptions'!$E$45=1,'Monthly P&amp;L'!AA$70,'Monthly P&amp;L'!AA58+'Monthly P&amp;L'!AA64)</f>
        <v>0</v>
      </c>
      <c r="AB78" s="71">
        <f>IF('Main Assumptions'!$E$45=1,'Monthly P&amp;L'!AB$70,'Monthly P&amp;L'!AB58+'Monthly P&amp;L'!AB64)</f>
        <v>0</v>
      </c>
      <c r="AC78" s="71">
        <f>IF('Main Assumptions'!$E$45=1,'Monthly P&amp;L'!AC$70,'Monthly P&amp;L'!AC58+'Monthly P&amp;L'!AC64)</f>
        <v>0</v>
      </c>
      <c r="AD78" s="153">
        <f>IF('Main Assumptions'!$E$45=1,'Monthly P&amp;L'!AD$70,'Monthly P&amp;L'!AD58+'Monthly P&amp;L'!AD64)</f>
        <v>0</v>
      </c>
      <c r="AE78" s="71">
        <f>IF('Main Assumptions'!$E$45=1,'Monthly P&amp;L'!AE$70,'Monthly P&amp;L'!AE58+'Monthly P&amp;L'!AE64)</f>
        <v>0</v>
      </c>
      <c r="AF78" s="71">
        <f>IF('Main Assumptions'!$E$45=1,'Monthly P&amp;L'!AF$70,'Monthly P&amp;L'!AF58+'Monthly P&amp;L'!AF64)</f>
        <v>0</v>
      </c>
      <c r="AG78" s="71">
        <f>IF('Main Assumptions'!$E$45=1,'Monthly P&amp;L'!AG$70,'Monthly P&amp;L'!AG58+'Monthly P&amp;L'!AG64)</f>
        <v>0</v>
      </c>
      <c r="AH78" s="71">
        <f>IF('Main Assumptions'!$E$45=1,'Monthly P&amp;L'!AH$70,'Monthly P&amp;L'!AH58+'Monthly P&amp;L'!AH64)</f>
        <v>0</v>
      </c>
      <c r="AI78" s="71">
        <f>IF('Main Assumptions'!$E$45=1,'Monthly P&amp;L'!AI$70,'Monthly P&amp;L'!AI58+'Monthly P&amp;L'!AI64)</f>
        <v>0</v>
      </c>
      <c r="AJ78" s="71">
        <f>IF('Main Assumptions'!$E$45=1,'Monthly P&amp;L'!AJ$70,'Monthly P&amp;L'!AJ58+'Monthly P&amp;L'!AJ64)</f>
        <v>0</v>
      </c>
      <c r="AK78" s="71">
        <f>IF('Main Assumptions'!$E$45=1,'Monthly P&amp;L'!AK$70,'Monthly P&amp;L'!AK58+'Monthly P&amp;L'!AK64)</f>
        <v>0</v>
      </c>
      <c r="AL78" s="71">
        <f>IF('Main Assumptions'!$E$45=1,'Monthly P&amp;L'!AL$70,'Monthly P&amp;L'!AL58+'Monthly P&amp;L'!AL64)</f>
        <v>0</v>
      </c>
      <c r="AM78" s="71">
        <f>IF('Main Assumptions'!$E$45=1,'Monthly P&amp;L'!AM$70,'Monthly P&amp;L'!AM58+'Monthly P&amp;L'!AM64)</f>
        <v>0</v>
      </c>
      <c r="AN78" s="71">
        <f>IF('Main Assumptions'!$E$45=1,'Monthly P&amp;L'!AN$70,'Monthly P&amp;L'!AN58+'Monthly P&amp;L'!AN64)</f>
        <v>0</v>
      </c>
      <c r="AO78" s="71">
        <f>IF('Main Assumptions'!$E$45=1,'Monthly P&amp;L'!AO$70,'Monthly P&amp;L'!AO58+'Monthly P&amp;L'!AO64)</f>
        <v>0</v>
      </c>
      <c r="AP78" s="71">
        <f>IF('Main Assumptions'!$E$45=1,'Monthly P&amp;L'!AP$70,'Monthly P&amp;L'!AP58+'Monthly P&amp;L'!AP64)</f>
        <v>0</v>
      </c>
      <c r="AQ78" s="71">
        <f>IF('Main Assumptions'!$E$45=1,'Monthly P&amp;L'!AQ$70,'Monthly P&amp;L'!AQ58+'Monthly P&amp;L'!AQ64)</f>
        <v>369.08414719279244</v>
      </c>
      <c r="AR78" s="71">
        <f>IF('Main Assumptions'!$E$45=1,'Monthly P&amp;L'!AR$70,'Monthly P&amp;L'!AR58+'Monthly P&amp;L'!AR64)</f>
        <v>369.08414719279244</v>
      </c>
      <c r="AS78" s="71">
        <f>IF('Main Assumptions'!$E$45=1,'Monthly P&amp;L'!AS$70,'Monthly P&amp;L'!AS58+'Monthly P&amp;L'!AS64)</f>
        <v>369.08414719279244</v>
      </c>
      <c r="AT78" s="71">
        <f>IF('Main Assumptions'!$E$45=1,'Monthly P&amp;L'!AT$70,'Monthly P&amp;L'!AT58+'Monthly P&amp;L'!AT64)</f>
        <v>369.08414719279244</v>
      </c>
      <c r="AU78" s="71">
        <f>IF('Main Assumptions'!$E$45=1,'Monthly P&amp;L'!AU$70,'Monthly P&amp;L'!AU58+'Monthly P&amp;L'!AU64)</f>
        <v>369.08414719279244</v>
      </c>
      <c r="AV78" s="71">
        <f>IF('Main Assumptions'!$E$45=1,'Monthly P&amp;L'!AV$70,'Monthly P&amp;L'!AV58+'Monthly P&amp;L'!AV64)</f>
        <v>369.08414719279244</v>
      </c>
      <c r="AW78" s="71">
        <f>IF('Main Assumptions'!$E$45=1,'Monthly P&amp;L'!AW$70,'Monthly P&amp;L'!AW58+'Monthly P&amp;L'!AW64)</f>
        <v>369.08414719279244</v>
      </c>
      <c r="AX78" s="71">
        <f>IF('Main Assumptions'!$E$45=1,'Monthly P&amp;L'!AX$70,'Monthly P&amp;L'!AX58+'Monthly P&amp;L'!AX64)</f>
        <v>369.08414719279244</v>
      </c>
      <c r="AY78" s="71">
        <f>IF('Main Assumptions'!$E$45=1,'Monthly P&amp;L'!AY$70,'Monthly P&amp;L'!AY58+'Monthly P&amp;L'!AY64)</f>
        <v>369.08414719279244</v>
      </c>
      <c r="AZ78" s="71">
        <f>IF('Main Assumptions'!$E$45=1,'Monthly P&amp;L'!AZ$70,'Monthly P&amp;L'!AZ58+'Monthly P&amp;L'!AZ64)</f>
        <v>369.08414719279244</v>
      </c>
      <c r="BA78" s="71">
        <f>IF('Main Assumptions'!$E$45=1,'Monthly P&amp;L'!BA$70,'Monthly P&amp;L'!BA58+'Monthly P&amp;L'!BA64)</f>
        <v>369.08414719279244</v>
      </c>
      <c r="BB78" s="71">
        <f>IF('Main Assumptions'!$E$45=1,'Monthly P&amp;L'!BB$70,'Monthly P&amp;L'!BB58+'Monthly P&amp;L'!BB64)</f>
        <v>369.08414719279244</v>
      </c>
      <c r="BC78" s="71">
        <f>IF('Main Assumptions'!$E$45=1,'Monthly P&amp;L'!BC$70,'Monthly P&amp;L'!BC58+'Monthly P&amp;L'!BC64)</f>
        <v>1312.5480714578298</v>
      </c>
      <c r="BD78" s="71">
        <f>IF('Main Assumptions'!$E$45=1,'Monthly P&amp;L'!BD$70,'Monthly P&amp;L'!BD58+'Monthly P&amp;L'!BD64)</f>
        <v>1312.5480714578298</v>
      </c>
      <c r="BE78" s="71">
        <f>IF('Main Assumptions'!$E$45=1,'Monthly P&amp;L'!BE$70,'Monthly P&amp;L'!BE58+'Monthly P&amp;L'!BE64)</f>
        <v>1312.5480714578298</v>
      </c>
      <c r="BF78" s="71">
        <f>IF('Main Assumptions'!$E$45=1,'Monthly P&amp;L'!BF$70,'Monthly P&amp;L'!BF58+'Monthly P&amp;L'!BF64)</f>
        <v>1312.5480714578298</v>
      </c>
      <c r="BG78" s="71">
        <f>IF('Main Assumptions'!$E$45=1,'Monthly P&amp;L'!BG$70,'Monthly P&amp;L'!BG58+'Monthly P&amp;L'!BG64)</f>
        <v>1312.5480714578298</v>
      </c>
      <c r="BH78" s="71">
        <f>IF('Main Assumptions'!$E$45=1,'Monthly P&amp;L'!BH$70,'Monthly P&amp;L'!BH58+'Monthly P&amp;L'!BH64)</f>
        <v>1312.5480714578298</v>
      </c>
      <c r="BI78" s="71">
        <f>IF('Main Assumptions'!$E$45=1,'Monthly P&amp;L'!BI$70,'Monthly P&amp;L'!BI58+'Monthly P&amp;L'!BI64)</f>
        <v>1312.5480714578298</v>
      </c>
      <c r="BJ78" s="71">
        <f>IF('Main Assumptions'!$E$45=1,'Monthly P&amp;L'!BJ$70,'Monthly P&amp;L'!BJ58+'Monthly P&amp;L'!BJ64)</f>
        <v>1312.5480714578298</v>
      </c>
      <c r="BK78" s="71">
        <f>IF('Main Assumptions'!$E$45=1,'Monthly P&amp;L'!BK$70,'Monthly P&amp;L'!BK58+'Monthly P&amp;L'!BK64)</f>
        <v>1312.5480714578298</v>
      </c>
      <c r="BL78" s="71">
        <f>IF('Main Assumptions'!$E$45=1,'Monthly P&amp;L'!BL$70,'Monthly P&amp;L'!BL58+'Monthly P&amp;L'!BL64)</f>
        <v>1312.5480714578298</v>
      </c>
      <c r="BM78" s="71">
        <f>IF('Main Assumptions'!$E$45=1,'Monthly P&amp;L'!BM$70,'Monthly P&amp;L'!BM58+'Monthly P&amp;L'!BM64)</f>
        <v>1312.5480714578298</v>
      </c>
      <c r="BN78" s="71">
        <f>IF('Main Assumptions'!$E$45=1,'Monthly P&amp;L'!BN$70,'Monthly P&amp;L'!BN58+'Monthly P&amp;L'!BN64)</f>
        <v>1312.5480714578298</v>
      </c>
      <c r="BO78" s="71">
        <f>IF('Main Assumptions'!$E$45=1,'Monthly P&amp;L'!BO$70,'Monthly P&amp;L'!BO58+'Monthly P&amp;L'!BO64)</f>
        <v>2285.626816434662</v>
      </c>
      <c r="BP78" s="71">
        <f>IF('Main Assumptions'!$E$45=1,'Monthly P&amp;L'!BP$70,'Monthly P&amp;L'!BP58+'Monthly P&amp;L'!BP64)</f>
        <v>2285.626816434662</v>
      </c>
      <c r="BQ78" s="71">
        <f>IF('Main Assumptions'!$E$45=1,'Monthly P&amp;L'!BQ$70,'Monthly P&amp;L'!BQ58+'Monthly P&amp;L'!BQ64)</f>
        <v>2285.626816434662</v>
      </c>
      <c r="BR78" s="71">
        <f>IF('Main Assumptions'!$E$45=1,'Monthly P&amp;L'!BR$70,'Monthly P&amp;L'!BR58+'Monthly P&amp;L'!BR64)</f>
        <v>2285.626816434662</v>
      </c>
      <c r="BS78" s="71">
        <f>IF('Main Assumptions'!$E$45=1,'Monthly P&amp;L'!BS$70,'Monthly P&amp;L'!BS58+'Monthly P&amp;L'!BS64)</f>
        <v>2285.626816434662</v>
      </c>
      <c r="BT78" s="71">
        <f>IF('Main Assumptions'!$E$45=1,'Monthly P&amp;L'!BT$70,'Monthly P&amp;L'!BT58+'Monthly P&amp;L'!BT64)</f>
        <v>2285.626816434662</v>
      </c>
      <c r="BU78" s="71">
        <f>IF('Main Assumptions'!$E$45=1,'Monthly P&amp;L'!BU$70,'Monthly P&amp;L'!BU58+'Monthly P&amp;L'!BU64)</f>
        <v>2285.626816434662</v>
      </c>
      <c r="BV78" s="71">
        <f>IF('Main Assumptions'!$E$45=1,'Monthly P&amp;L'!BV$70,'Monthly P&amp;L'!BV58+'Monthly P&amp;L'!BV64)</f>
        <v>2285.626816434662</v>
      </c>
      <c r="BW78" s="71">
        <f>IF('Main Assumptions'!$E$45=1,'Monthly P&amp;L'!BW$70,'Monthly P&amp;L'!BW58+'Monthly P&amp;L'!BW64)</f>
        <v>2285.626816434662</v>
      </c>
      <c r="BX78" s="71">
        <f>IF('Main Assumptions'!$E$45=1,'Monthly P&amp;L'!BX$70,'Monthly P&amp;L'!BX58+'Monthly P&amp;L'!BX64)</f>
        <v>2285.626816434662</v>
      </c>
      <c r="BY78" s="71">
        <f>IF('Main Assumptions'!$E$45=1,'Monthly P&amp;L'!BY$70,'Monthly P&amp;L'!BY58+'Monthly P&amp;L'!BY64)</f>
        <v>2285.626816434662</v>
      </c>
      <c r="BZ78" s="71">
        <f>IF('Main Assumptions'!$E$45=1,'Monthly P&amp;L'!BZ$70,'Monthly P&amp;L'!BZ58+'Monthly P&amp;L'!BZ64)</f>
        <v>2285.626816434662</v>
      </c>
      <c r="CA78" s="71">
        <f>IF('Main Assumptions'!$E$45=1,'Monthly P&amp;L'!CA$70,'Monthly P&amp;L'!CA58+'Monthly P&amp;L'!CA64)</f>
        <v>3289.2368009212696</v>
      </c>
      <c r="CB78" s="71">
        <f>IF('Main Assumptions'!$E$45=1,'Monthly P&amp;L'!CB$70,'Monthly P&amp;L'!CB58+'Monthly P&amp;L'!CB64)</f>
        <v>3289.2368009212696</v>
      </c>
      <c r="CC78" s="71">
        <f>IF('Main Assumptions'!$E$45=1,'Monthly P&amp;L'!CC$70,'Monthly P&amp;L'!CC58+'Monthly P&amp;L'!CC64)</f>
        <v>3289.2368009212696</v>
      </c>
      <c r="CD78" s="71">
        <f>IF('Main Assumptions'!$E$45=1,'Monthly P&amp;L'!CD$70,'Monthly P&amp;L'!CD58+'Monthly P&amp;L'!CD64)</f>
        <v>3289.2368009212696</v>
      </c>
      <c r="CE78" s="71">
        <f>IF('Main Assumptions'!$E$45=1,'Monthly P&amp;L'!CE$70,'Monthly P&amp;L'!CE58+'Monthly P&amp;L'!CE64)</f>
        <v>3289.2368009212696</v>
      </c>
      <c r="CF78" s="71">
        <f>IF('Main Assumptions'!$E$45=1,'Monthly P&amp;L'!CF$70,'Monthly P&amp;L'!CF58+'Monthly P&amp;L'!CF64)</f>
        <v>3289.2368009212696</v>
      </c>
      <c r="CG78" s="71">
        <f>IF('Main Assumptions'!$E$45=1,'Monthly P&amp;L'!CG$70,'Monthly P&amp;L'!CG58+'Monthly P&amp;L'!CG64)</f>
        <v>3289.2368009212696</v>
      </c>
      <c r="CH78" s="71">
        <f>IF('Main Assumptions'!$E$45=1,'Monthly P&amp;L'!CH$70,'Monthly P&amp;L'!CH58+'Monthly P&amp;L'!CH64)</f>
        <v>3289.2368009212696</v>
      </c>
      <c r="CI78" s="71">
        <f>IF('Main Assumptions'!$E$45=1,'Monthly P&amp;L'!CI$70,'Monthly P&amp;L'!CI58+'Monthly P&amp;L'!CI64)</f>
        <v>3289.2368009212696</v>
      </c>
      <c r="CJ78" s="71">
        <f>IF('Main Assumptions'!$E$45=1,'Monthly P&amp;L'!CJ$70,'Monthly P&amp;L'!CJ58+'Monthly P&amp;L'!CJ64)</f>
        <v>3289.2368009212696</v>
      </c>
      <c r="CK78" s="71">
        <f>IF('Main Assumptions'!$E$45=1,'Monthly P&amp;L'!CK$70,'Monthly P&amp;L'!CK58+'Monthly P&amp;L'!CK64)</f>
        <v>3289.2368009212696</v>
      </c>
      <c r="CL78" s="71">
        <f>IF('Main Assumptions'!$E$45=1,'Monthly P&amp;L'!CL$70,'Monthly P&amp;L'!CL58+'Monthly P&amp;L'!CL64)</f>
        <v>3289.2368009212696</v>
      </c>
      <c r="CM78" s="71">
        <f>IF('Main Assumptions'!$E$45=1,'Monthly P&amp;L'!CM$70,'Monthly P&amp;L'!CM58+'Monthly P&amp;L'!CM64)</f>
        <v>4324.3225396660127</v>
      </c>
      <c r="CN78" s="71">
        <f>IF('Main Assumptions'!$E$45=1,'Monthly P&amp;L'!CN$70,'Monthly P&amp;L'!CN58+'Monthly P&amp;L'!CN64)</f>
        <v>4324.3225396660127</v>
      </c>
      <c r="CO78" s="71">
        <f>IF('Main Assumptions'!$E$45=1,'Monthly P&amp;L'!CO$70,'Monthly P&amp;L'!CO58+'Monthly P&amp;L'!CO64)</f>
        <v>4324.3225396660127</v>
      </c>
      <c r="CP78" s="71">
        <f>IF('Main Assumptions'!$E$45=1,'Monthly P&amp;L'!CP$70,'Monthly P&amp;L'!CP58+'Monthly P&amp;L'!CP64)</f>
        <v>4324.3225396660127</v>
      </c>
      <c r="CQ78" s="71">
        <f>IF('Main Assumptions'!$E$45=1,'Monthly P&amp;L'!CQ$70,'Monthly P&amp;L'!CQ58+'Monthly P&amp;L'!CQ64)</f>
        <v>4324.3225396660127</v>
      </c>
      <c r="CR78" s="71">
        <f>IF('Main Assumptions'!$E$45=1,'Monthly P&amp;L'!CR$70,'Monthly P&amp;L'!CR58+'Monthly P&amp;L'!CR64)</f>
        <v>4324.3225396660127</v>
      </c>
      <c r="CS78" s="71">
        <f>IF('Main Assumptions'!$E$45=1,'Monthly P&amp;L'!CS$70,'Monthly P&amp;L'!CS58+'Monthly P&amp;L'!CS64)</f>
        <v>4324.3225396660127</v>
      </c>
      <c r="CT78" s="71">
        <f>IF('Main Assumptions'!$E$45=1,'Monthly P&amp;L'!CT$70,'Monthly P&amp;L'!CT58+'Monthly P&amp;L'!CT64)</f>
        <v>4324.3225396660127</v>
      </c>
      <c r="CU78" s="71">
        <f>IF('Main Assumptions'!$E$45=1,'Monthly P&amp;L'!CU$70,'Monthly P&amp;L'!CU58+'Monthly P&amp;L'!CU64)</f>
        <v>4324.3225396660127</v>
      </c>
      <c r="CV78" s="71">
        <f>IF('Main Assumptions'!$E$45=1,'Monthly P&amp;L'!CV$70,'Monthly P&amp;L'!CV58+'Monthly P&amp;L'!CV64)</f>
        <v>4324.3225396660127</v>
      </c>
      <c r="CW78" s="71">
        <f>IF('Main Assumptions'!$E$45=1,'Monthly P&amp;L'!CW$70,'Monthly P&amp;L'!CW58+'Monthly P&amp;L'!CW64)</f>
        <v>4324.3225396660127</v>
      </c>
      <c r="CX78" s="71">
        <f>IF('Main Assumptions'!$E$45=1,'Monthly P&amp;L'!CX$70,'Monthly P&amp;L'!CX58+'Monthly P&amp;L'!CX64)</f>
        <v>4324.3225396660127</v>
      </c>
      <c r="CY78" s="71">
        <f>IF('Main Assumptions'!$E$45=1,'Monthly P&amp;L'!CY$70,'Monthly P&amp;L'!CY58+'Monthly P&amp;L'!CY64)</f>
        <v>5391.8574994115043</v>
      </c>
      <c r="CZ78" s="71">
        <f>IF('Main Assumptions'!$E$45=1,'Monthly P&amp;L'!CZ$70,'Monthly P&amp;L'!CZ58+'Monthly P&amp;L'!CZ64)</f>
        <v>5391.8574994115043</v>
      </c>
      <c r="DA78" s="71">
        <f>IF('Main Assumptions'!$E$45=1,'Monthly P&amp;L'!DA$70,'Monthly P&amp;L'!DA58+'Monthly P&amp;L'!DA64)</f>
        <v>5391.8574994115043</v>
      </c>
      <c r="DB78" s="71">
        <f>IF('Main Assumptions'!$E$45=1,'Monthly P&amp;L'!DB$70,'Monthly P&amp;L'!DB58+'Monthly P&amp;L'!DB64)</f>
        <v>5391.8574994115043</v>
      </c>
      <c r="DC78" s="71">
        <f>IF('Main Assumptions'!$E$45=1,'Monthly P&amp;L'!DC$70,'Monthly P&amp;L'!DC58+'Monthly P&amp;L'!DC64)</f>
        <v>5391.8574994115043</v>
      </c>
      <c r="DD78" s="71">
        <f>IF('Main Assumptions'!$E$45=1,'Monthly P&amp;L'!DD$70,'Monthly P&amp;L'!DD58+'Monthly P&amp;L'!DD64)</f>
        <v>5391.8574994115043</v>
      </c>
      <c r="DE78" s="71">
        <f>IF('Main Assumptions'!$E$45=1,'Monthly P&amp;L'!DE$70,'Monthly P&amp;L'!DE58+'Monthly P&amp;L'!DE64)</f>
        <v>5391.8574994115043</v>
      </c>
      <c r="DF78" s="71">
        <f>IF('Main Assumptions'!$E$45=1,'Monthly P&amp;L'!DF$70,'Monthly P&amp;L'!DF58+'Monthly P&amp;L'!DF64)</f>
        <v>5391.8574994115043</v>
      </c>
      <c r="DG78" s="71">
        <f>IF('Main Assumptions'!$E$45=1,'Monthly P&amp;L'!DG$70,'Monthly P&amp;L'!DG58+'Monthly P&amp;L'!DG64)</f>
        <v>5391.8574994115043</v>
      </c>
      <c r="DH78" s="71">
        <f>IF('Main Assumptions'!$E$45=1,'Monthly P&amp;L'!DH$70,'Monthly P&amp;L'!DH58+'Monthly P&amp;L'!DH64)</f>
        <v>5391.8574994115043</v>
      </c>
      <c r="DI78" s="71">
        <f>IF('Main Assumptions'!$E$45=1,'Monthly P&amp;L'!DI$70,'Monthly P&amp;L'!DI58+'Monthly P&amp;L'!DI64)</f>
        <v>5391.8574994115043</v>
      </c>
      <c r="DJ78" s="71">
        <f>IF('Main Assumptions'!$E$45=1,'Monthly P&amp;L'!DJ$70,'Monthly P&amp;L'!DJ58+'Monthly P&amp;L'!DJ64)</f>
        <v>5391.8574994115043</v>
      </c>
      <c r="DK78" s="71">
        <f>IF('Main Assumptions'!$E$45=1,'Monthly P&amp;L'!DK$70,'Monthly P&amp;L'!DK58+'Monthly P&amp;L'!DK64)</f>
        <v>6492.8449809103913</v>
      </c>
      <c r="DL78" s="71">
        <f>IF('Main Assumptions'!$E$45=1,'Monthly P&amp;L'!DL$70,'Monthly P&amp;L'!DL58+'Monthly P&amp;L'!DL64)</f>
        <v>6492.8449809103913</v>
      </c>
      <c r="DM78" s="71">
        <f>IF('Main Assumptions'!$E$45=1,'Monthly P&amp;L'!DM$70,'Monthly P&amp;L'!DM58+'Monthly P&amp;L'!DM64)</f>
        <v>6492.8449809103913</v>
      </c>
      <c r="DN78" s="71">
        <f>IF('Main Assumptions'!$E$45=1,'Monthly P&amp;L'!DN$70,'Monthly P&amp;L'!DN58+'Monthly P&amp;L'!DN64)</f>
        <v>6492.8449809103913</v>
      </c>
      <c r="DO78" s="71">
        <f>IF('Main Assumptions'!$E$45=1,'Monthly P&amp;L'!DO$70,'Monthly P&amp;L'!DO58+'Monthly P&amp;L'!DO64)</f>
        <v>6492.8449809103913</v>
      </c>
      <c r="DP78" s="71">
        <f>IF('Main Assumptions'!$E$45=1,'Monthly P&amp;L'!DP$70,'Monthly P&amp;L'!DP58+'Monthly P&amp;L'!DP64)</f>
        <v>6492.8449809103913</v>
      </c>
      <c r="DQ78" s="71">
        <f>IF('Main Assumptions'!$E$45=1,'Monthly P&amp;L'!DQ$70,'Monthly P&amp;L'!DQ58+'Monthly P&amp;L'!DQ64)</f>
        <v>6492.8449809103913</v>
      </c>
      <c r="DR78" s="71">
        <f>IF('Main Assumptions'!$E$45=1,'Monthly P&amp;L'!DR$70,'Monthly P&amp;L'!DR58+'Monthly P&amp;L'!DR64)</f>
        <v>6492.8449809103913</v>
      </c>
      <c r="DS78" s="71">
        <f>IF('Main Assumptions'!$E$45=1,'Monthly P&amp;L'!DS$70,'Monthly P&amp;L'!DS58+'Monthly P&amp;L'!DS64)</f>
        <v>6492.8449809103913</v>
      </c>
      <c r="DT78" s="71">
        <f>IF('Main Assumptions'!$E$45=1,'Monthly P&amp;L'!DT$70,'Monthly P&amp;L'!DT58+'Monthly P&amp;L'!DT64)</f>
        <v>6492.8449809103913</v>
      </c>
      <c r="DU78" s="71">
        <f>IF('Main Assumptions'!$E$45=1,'Monthly P&amp;L'!DU$70,'Monthly P&amp;L'!DU58+'Monthly P&amp;L'!DU64)</f>
        <v>6492.8449809103913</v>
      </c>
      <c r="DV78" s="71">
        <f>IF('Main Assumptions'!$E$45=1,'Monthly P&amp;L'!DV$70,'Monthly P&amp;L'!DV58+'Monthly P&amp;L'!DV64)</f>
        <v>6492.8449809103931</v>
      </c>
      <c r="DW78" s="71">
        <f>IF('Main Assumptions'!$E$45=1,'Monthly P&amp;L'!DW$70,'Monthly P&amp;L'!DW58+'Monthly P&amp;L'!DW64)</f>
        <v>7628.3190276990499</v>
      </c>
      <c r="DX78" s="71">
        <f>IF('Main Assumptions'!$E$45=1,'Monthly P&amp;L'!DX$70,'Monthly P&amp;L'!DX58+'Monthly P&amp;L'!DX64)</f>
        <v>7628.3190276990481</v>
      </c>
      <c r="DY78" s="71">
        <f>IF('Main Assumptions'!$E$45=1,'Monthly P&amp;L'!DY$70,'Monthly P&amp;L'!DY58+'Monthly P&amp;L'!DY64)</f>
        <v>7628.3190276990499</v>
      </c>
      <c r="DZ78" s="71">
        <f>IF('Main Assumptions'!$E$45=1,'Monthly P&amp;L'!DZ$70,'Monthly P&amp;L'!DZ58+'Monthly P&amp;L'!DZ64)</f>
        <v>7628.3190276990499</v>
      </c>
      <c r="EA78" s="71">
        <f>IF('Main Assumptions'!$E$45=1,'Monthly P&amp;L'!EA$70,'Monthly P&amp;L'!EA58+'Monthly P&amp;L'!EA64)</f>
        <v>7628.3190276990499</v>
      </c>
      <c r="EB78" s="71">
        <f>IF('Main Assumptions'!$E$45=1,'Monthly P&amp;L'!EB$70,'Monthly P&amp;L'!EB58+'Monthly P&amp;L'!EB64)</f>
        <v>7628.3190276990517</v>
      </c>
      <c r="EC78" s="71">
        <f>IF('Main Assumptions'!$E$45=1,'Monthly P&amp;L'!EC$70,'Monthly P&amp;L'!EC58+'Monthly P&amp;L'!EC64)</f>
        <v>7628.3190276990499</v>
      </c>
      <c r="ED78" s="71">
        <f>IF('Main Assumptions'!$E$45=1,'Monthly P&amp;L'!ED$70,'Monthly P&amp;L'!ED58+'Monthly P&amp;L'!ED64)</f>
        <v>7628.3190276990499</v>
      </c>
      <c r="EE78" s="71">
        <f>IF('Main Assumptions'!$E$45=1,'Monthly P&amp;L'!EE$70,'Monthly P&amp;L'!EE58+'Monthly P&amp;L'!EE64)</f>
        <v>7628.3190276990499</v>
      </c>
      <c r="EF78" s="71">
        <f>IF('Main Assumptions'!$E$45=1,'Monthly P&amp;L'!EF$70,'Monthly P&amp;L'!EF58+'Monthly P&amp;L'!EF64)</f>
        <v>7628.3190276990499</v>
      </c>
      <c r="EG78" s="71">
        <f>IF('Main Assumptions'!$E$45=1,'Monthly P&amp;L'!EG$70,'Monthly P&amp;L'!EG58+'Monthly P&amp;L'!EG64)</f>
        <v>7628.3190276990499</v>
      </c>
      <c r="EH78" s="71">
        <f>IF('Main Assumptions'!$E$45=1,'Monthly P&amp;L'!EH$70,'Monthly P&amp;L'!EH58+'Monthly P&amp;L'!EH64)</f>
        <v>7628.3190276990499</v>
      </c>
      <c r="EI78" s="71">
        <f>IF('Main Assumptions'!$E$45=1,'Monthly P&amp;L'!EI$70,'Monthly P&amp;L'!EI58+'Monthly P&amp;L'!EI64)</f>
        <v>8799.3453624382018</v>
      </c>
      <c r="EJ78" s="71">
        <f>IF('Main Assumptions'!$E$45=1,'Monthly P&amp;L'!EJ$70,'Monthly P&amp;L'!EJ58+'Monthly P&amp;L'!EJ64)</f>
        <v>8799.3453624382</v>
      </c>
      <c r="EK78" s="71">
        <f>IF('Main Assumptions'!$E$45=1,'Monthly P&amp;L'!EK$70,'Monthly P&amp;L'!EK58+'Monthly P&amp;L'!EK64)</f>
        <v>8799.3453624382037</v>
      </c>
      <c r="EL78" s="71">
        <f>IF('Main Assumptions'!$E$45=1,'Monthly P&amp;L'!EL$70,'Monthly P&amp;L'!EL58+'Monthly P&amp;L'!EL64)</f>
        <v>8799.3453624382018</v>
      </c>
      <c r="EM78" s="71">
        <f>IF('Main Assumptions'!$E$45=1,'Monthly P&amp;L'!EM$70,'Monthly P&amp;L'!EM58+'Monthly P&amp;L'!EM64)</f>
        <v>8799.3453624382018</v>
      </c>
      <c r="EN78" s="71">
        <f>IF('Main Assumptions'!$E$45=1,'Monthly P&amp;L'!EN$70,'Monthly P&amp;L'!EN58+'Monthly P&amp;L'!EN64)</f>
        <v>8799.3453624382018</v>
      </c>
      <c r="EO78" s="71">
        <f>IF('Main Assumptions'!$E$45=1,'Monthly P&amp;L'!EO$70,'Monthly P&amp;L'!EO58+'Monthly P&amp;L'!EO64)</f>
        <v>8799.3453624382037</v>
      </c>
      <c r="EP78" s="71">
        <f>IF('Main Assumptions'!$E$45=1,'Monthly P&amp;L'!EP$70,'Monthly P&amp;L'!EP58+'Monthly P&amp;L'!EP64)</f>
        <v>8799.3453624382037</v>
      </c>
      <c r="EQ78" s="71">
        <f>IF('Main Assumptions'!$E$45=1,'Monthly P&amp;L'!EQ$70,'Monthly P&amp;L'!EQ58+'Monthly P&amp;L'!EQ64)</f>
        <v>8799.3453624382018</v>
      </c>
      <c r="ER78" s="71">
        <f>IF('Main Assumptions'!$E$45=1,'Monthly P&amp;L'!ER$70,'Monthly P&amp;L'!ER58+'Monthly P&amp;L'!ER64)</f>
        <v>8799.3453624382018</v>
      </c>
      <c r="ES78" s="71">
        <f>IF('Main Assumptions'!$E$45=1,'Monthly P&amp;L'!ES$70,'Monthly P&amp;L'!ES58+'Monthly P&amp;L'!ES64)</f>
        <v>8799.3453624382018</v>
      </c>
      <c r="ET78" s="71">
        <f>IF('Main Assumptions'!$E$45=1,'Monthly P&amp;L'!ET$70,'Monthly P&amp;L'!ET58+'Monthly P&amp;L'!ET64)</f>
        <v>8799.3453624382</v>
      </c>
      <c r="EU78" s="71">
        <f>IF('Main Assumptions'!$E$45=1,'Monthly P&amp;L'!EU$70,'Monthly P&amp;L'!EU58+'Monthly P&amp;L'!EU64)</f>
        <v>10007.022351654545</v>
      </c>
      <c r="EV78" s="71">
        <f>IF('Main Assumptions'!$E$45=1,'Monthly P&amp;L'!EV$70,'Monthly P&amp;L'!EV58+'Monthly P&amp;L'!EV64)</f>
        <v>10007.022351654545</v>
      </c>
      <c r="EW78" s="71">
        <f>IF('Main Assumptions'!$E$45=1,'Monthly P&amp;L'!EW$70,'Monthly P&amp;L'!EW58+'Monthly P&amp;L'!EW64)</f>
        <v>10007.022351654543</v>
      </c>
      <c r="EX78" s="71">
        <f>IF('Main Assumptions'!$E$45=1,'Monthly P&amp;L'!EX$70,'Monthly P&amp;L'!EX58+'Monthly P&amp;L'!EX64)</f>
        <v>10007.022351654543</v>
      </c>
      <c r="EY78" s="71">
        <f>IF('Main Assumptions'!$E$45=1,'Monthly P&amp;L'!EY$70,'Monthly P&amp;L'!EY58+'Monthly P&amp;L'!EY64)</f>
        <v>10007.022351654545</v>
      </c>
      <c r="EZ78" s="71">
        <f>IF('Main Assumptions'!$E$45=1,'Monthly P&amp;L'!EZ$70,'Monthly P&amp;L'!EZ58+'Monthly P&amp;L'!EZ64)</f>
        <v>10007.022351654545</v>
      </c>
      <c r="FA78" s="71">
        <f>IF('Main Assumptions'!$E$45=1,'Monthly P&amp;L'!FA$70,'Monthly P&amp;L'!FA58+'Monthly P&amp;L'!FA64)</f>
        <v>10007.022351654543</v>
      </c>
      <c r="FB78" s="71">
        <f>IF('Main Assumptions'!$E$45=1,'Monthly P&amp;L'!FB$70,'Monthly P&amp;L'!FB58+'Monthly P&amp;L'!FB64)</f>
        <v>10007.022351654545</v>
      </c>
      <c r="FC78" s="71">
        <f>IF('Main Assumptions'!$E$45=1,'Monthly P&amp;L'!FC$70,'Monthly P&amp;L'!FC58+'Monthly P&amp;L'!FC64)</f>
        <v>10007.022351654545</v>
      </c>
      <c r="FD78" s="71">
        <f>IF('Main Assumptions'!$E$45=1,'Monthly P&amp;L'!FD$70,'Monthly P&amp;L'!FD58+'Monthly P&amp;L'!FD64)</f>
        <v>10007.022351654547</v>
      </c>
      <c r="FE78" s="71">
        <f>IF('Main Assumptions'!$E$45=1,'Monthly P&amp;L'!FE$70,'Monthly P&amp;L'!FE58+'Monthly P&amp;L'!FE64)</f>
        <v>10007.022351654543</v>
      </c>
      <c r="FF78" s="71">
        <f>IF('Main Assumptions'!$E$45=1,'Monthly P&amp;L'!FF$70,'Monthly P&amp;L'!FF58+'Monthly P&amp;L'!FF64)</f>
        <v>10007.022351654545</v>
      </c>
      <c r="FG78" s="71">
        <f>IF('Main Assumptions'!$E$45=1,'Monthly P&amp;L'!FG$70,'Monthly P&amp;L'!FG58+'Monthly P&amp;L'!FG64)</f>
        <v>11252.481999742327</v>
      </c>
      <c r="FH78" s="71">
        <f>IF('Main Assumptions'!$E$45=1,'Monthly P&amp;L'!FH$70,'Monthly P&amp;L'!FH58+'Monthly P&amp;L'!FH64)</f>
        <v>11252.481999742326</v>
      </c>
      <c r="FI78" s="71">
        <f>IF('Main Assumptions'!$E$45=1,'Monthly P&amp;L'!FI$70,'Monthly P&amp;L'!FI58+'Monthly P&amp;L'!FI64)</f>
        <v>11252.481999742326</v>
      </c>
      <c r="FJ78" s="71">
        <f>IF('Main Assumptions'!$E$45=1,'Monthly P&amp;L'!FJ$70,'Monthly P&amp;L'!FJ58+'Monthly P&amp;L'!FJ64)</f>
        <v>11252.481999742326</v>
      </c>
      <c r="FK78" s="71">
        <f>IF('Main Assumptions'!$E$45=1,'Monthly P&amp;L'!FK$70,'Monthly P&amp;L'!FK58+'Monthly P&amp;L'!FK64)</f>
        <v>11252.481999742327</v>
      </c>
      <c r="FL78" s="71">
        <f>IF('Main Assumptions'!$E$45=1,'Monthly P&amp;L'!FL$70,'Monthly P&amp;L'!FL58+'Monthly P&amp;L'!FL64)</f>
        <v>11252.481999742326</v>
      </c>
      <c r="FM78" s="71">
        <f>IF('Main Assumptions'!$E$45=1,'Monthly P&amp;L'!FM$70,'Monthly P&amp;L'!FM58+'Monthly P&amp;L'!FM64)</f>
        <v>11252.481999742324</v>
      </c>
      <c r="FN78" s="71">
        <f>IF('Main Assumptions'!$E$45=1,'Monthly P&amp;L'!FN$70,'Monthly P&amp;L'!FN58+'Monthly P&amp;L'!FN64)</f>
        <v>11252.481999742327</v>
      </c>
      <c r="FO78" s="71">
        <f>IF('Main Assumptions'!$E$45=1,'Monthly P&amp;L'!FO$70,'Monthly P&amp;L'!FO58+'Monthly P&amp;L'!FO64)</f>
        <v>11252.481999742326</v>
      </c>
      <c r="FP78" s="71">
        <f>IF('Main Assumptions'!$E$45=1,'Monthly P&amp;L'!FP$70,'Monthly P&amp;L'!FP58+'Monthly P&amp;L'!FP64)</f>
        <v>11252.481999742324</v>
      </c>
      <c r="FQ78" s="71">
        <f>IF('Main Assumptions'!$E$45=1,'Monthly P&amp;L'!FQ$70,'Monthly P&amp;L'!FQ58+'Monthly P&amp;L'!FQ64)</f>
        <v>11252.481999742326</v>
      </c>
      <c r="FR78" s="71">
        <f>IF('Main Assumptions'!$E$45=1,'Monthly P&amp;L'!FR$70,'Monthly P&amp;L'!FR58+'Monthly P&amp;L'!FR64)</f>
        <v>11252.481999742326</v>
      </c>
      <c r="FS78" s="71">
        <f>IF('Main Assumptions'!$E$45=1,'Monthly P&amp;L'!FS$70,'Monthly P&amp;L'!FS58+'Monthly P&amp;L'!FS64)</f>
        <v>12536.89097310957</v>
      </c>
      <c r="FT78" s="71">
        <f>IF('Main Assumptions'!$E$45=1,'Monthly P&amp;L'!FT$70,'Monthly P&amp;L'!FT58+'Monthly P&amp;L'!FT64)</f>
        <v>12536.89097310957</v>
      </c>
      <c r="FU78" s="71">
        <f>IF('Main Assumptions'!$E$45=1,'Monthly P&amp;L'!FU$70,'Monthly P&amp;L'!FU58+'Monthly P&amp;L'!FU64)</f>
        <v>12536.890973109572</v>
      </c>
      <c r="FV78" s="71">
        <f>IF('Main Assumptions'!$E$45=1,'Monthly P&amp;L'!FV$70,'Monthly P&amp;L'!FV58+'Monthly P&amp;L'!FV64)</f>
        <v>12536.89097310957</v>
      </c>
      <c r="FW78" s="71">
        <f>IF('Main Assumptions'!$E$45=1,'Monthly P&amp;L'!FW$70,'Monthly P&amp;L'!FW58+'Monthly P&amp;L'!FW64)</f>
        <v>12536.890973109572</v>
      </c>
      <c r="FX78" s="71">
        <f>IF('Main Assumptions'!$E$45=1,'Monthly P&amp;L'!FX$70,'Monthly P&amp;L'!FX58+'Monthly P&amp;L'!FX64)</f>
        <v>12536.89097310957</v>
      </c>
      <c r="FY78" s="71">
        <f>IF('Main Assumptions'!$E$45=1,'Monthly P&amp;L'!FY$70,'Monthly P&amp;L'!FY58+'Monthly P&amp;L'!FY64)</f>
        <v>12536.890973109568</v>
      </c>
      <c r="FZ78" s="71">
        <f>IF('Main Assumptions'!$E$45=1,'Monthly P&amp;L'!FZ$70,'Monthly P&amp;L'!FZ58+'Monthly P&amp;L'!FZ64)</f>
        <v>12536.89097310957</v>
      </c>
      <c r="GA78" s="71">
        <f>IF('Main Assumptions'!$E$45=1,'Monthly P&amp;L'!GA$70,'Monthly P&amp;L'!GA58+'Monthly P&amp;L'!GA64)</f>
        <v>0</v>
      </c>
      <c r="GB78" s="71">
        <f>IF('Main Assumptions'!$E$45=1,'Monthly P&amp;L'!GB$70,'Monthly P&amp;L'!GB58+'Monthly P&amp;L'!GB64)</f>
        <v>0</v>
      </c>
      <c r="GC78" s="71">
        <f>IF('Main Assumptions'!$E$45=1,'Monthly P&amp;L'!GC$70,'Monthly P&amp;L'!GC58+'Monthly P&amp;L'!GC64)</f>
        <v>0</v>
      </c>
      <c r="GD78" s="71">
        <f ca="1">IF('Main Assumptions'!$E$45=1,'Monthly P&amp;L'!GD$70,'Monthly P&amp;L'!GD58+'Monthly P&amp;L'!GD64)</f>
        <v>7138752.9354456458</v>
      </c>
      <c r="GE78" s="71">
        <f ca="1">IF('Main Assumptions'!$E$45=1,'Monthly P&amp;L'!GE$70,'Monthly P&amp;L'!GE58+'Monthly P&amp;L'!GE64)</f>
        <v>0</v>
      </c>
      <c r="GF78" s="71">
        <f ca="1">IF('Main Assumptions'!$E$45=1,'Monthly P&amp;L'!GF$70,'Monthly P&amp;L'!GF58+'Monthly P&amp;L'!GF64)</f>
        <v>0</v>
      </c>
      <c r="GG78" s="71">
        <f ca="1">IF('Main Assumptions'!$E$45=1,'Monthly P&amp;L'!GG$70,'Monthly P&amp;L'!GG58+'Monthly P&amp;L'!GG64)</f>
        <v>0</v>
      </c>
      <c r="GH78" s="71">
        <f ca="1">IF('Main Assumptions'!$E$45=1,'Monthly P&amp;L'!GH$70,'Monthly P&amp;L'!GH58+'Monthly P&amp;L'!GH64)</f>
        <v>0</v>
      </c>
      <c r="GI78" s="71">
        <f ca="1">IF('Main Assumptions'!$E$45=1,'Monthly P&amp;L'!GI$70,'Monthly P&amp;L'!GI58+'Monthly P&amp;L'!GI64)</f>
        <v>0</v>
      </c>
      <c r="GJ78" s="71">
        <f ca="1">IF('Main Assumptions'!$E$45=1,'Monthly P&amp;L'!GJ$70,'Monthly P&amp;L'!GJ58+'Monthly P&amp;L'!GJ64)</f>
        <v>0</v>
      </c>
      <c r="GK78" s="71">
        <f ca="1">IF('Main Assumptions'!$E$45=1,'Monthly P&amp;L'!GK$70,'Monthly P&amp;L'!GK58+'Monthly P&amp;L'!GK64)</f>
        <v>0</v>
      </c>
      <c r="GL78" s="71">
        <f ca="1">IF('Main Assumptions'!$E$45=1,'Monthly P&amp;L'!GL$70,'Monthly P&amp;L'!GL58+'Monthly P&amp;L'!GL64)</f>
        <v>0</v>
      </c>
      <c r="GM78" s="71">
        <f ca="1">IF('Main Assumptions'!$E$45=1,'Monthly P&amp;L'!GM$70,'Monthly P&amp;L'!GM58+'Monthly P&amp;L'!GM64)</f>
        <v>0</v>
      </c>
      <c r="GN78" s="71">
        <f ca="1">IF('Main Assumptions'!$E$45=1,'Monthly P&amp;L'!GN$70,'Monthly P&amp;L'!GN58+'Monthly P&amp;L'!GN64)</f>
        <v>0</v>
      </c>
      <c r="GO78" s="71">
        <f ca="1">IF('Main Assumptions'!$E$45=1,'Monthly P&amp;L'!GO$70,'Monthly P&amp;L'!GO58+'Monthly P&amp;L'!GO64)</f>
        <v>0</v>
      </c>
      <c r="GP78" s="71">
        <f ca="1">IF('Main Assumptions'!$E$45=1,'Monthly P&amp;L'!GP$70,'Monthly P&amp;L'!GP58+'Monthly P&amp;L'!GP64)</f>
        <v>0</v>
      </c>
      <c r="GQ78" s="71">
        <f ca="1">IF('Main Assumptions'!$E$45=1,'Monthly P&amp;L'!GQ$70,'Monthly P&amp;L'!GQ58+'Monthly P&amp;L'!GQ64)</f>
        <v>0</v>
      </c>
      <c r="GR78" s="71">
        <f ca="1">IF('Main Assumptions'!$E$45=1,'Monthly P&amp;L'!GR$70,'Monthly P&amp;L'!GR58+'Monthly P&amp;L'!GR64)</f>
        <v>0</v>
      </c>
      <c r="GS78" s="71">
        <f ca="1">IF('Main Assumptions'!$E$45=1,'Monthly P&amp;L'!GS$70,'Monthly P&amp;L'!GS58+'Monthly P&amp;L'!GS64)</f>
        <v>0</v>
      </c>
      <c r="GT78" s="71">
        <f ca="1">IF('Main Assumptions'!$E$45=1,'Monthly P&amp;L'!GT$70,'Monthly P&amp;L'!GT58+'Monthly P&amp;L'!GT64)</f>
        <v>0</v>
      </c>
      <c r="GU78" s="71">
        <f ca="1">IF('Main Assumptions'!$E$45=1,'Monthly P&amp;L'!GU$70,'Monthly P&amp;L'!GU58+'Monthly P&amp;L'!GU64)</f>
        <v>0</v>
      </c>
      <c r="GV78" s="71">
        <f ca="1">IF('Main Assumptions'!$E$45=1,'Monthly P&amp;L'!GV$70,'Monthly P&amp;L'!GV58+'Monthly P&amp;L'!GV64)</f>
        <v>0</v>
      </c>
      <c r="GW78" s="71">
        <f ca="1">IF('Main Assumptions'!$E$45=1,'Monthly P&amp;L'!GW$70,'Monthly P&amp;L'!GW58+'Monthly P&amp;L'!GW64)</f>
        <v>0</v>
      </c>
      <c r="GX78" s="71">
        <f ca="1">IF('Main Assumptions'!$E$45=1,'Monthly P&amp;L'!GX$70,'Monthly P&amp;L'!GX58+'Monthly P&amp;L'!GX64)</f>
        <v>0</v>
      </c>
      <c r="GY78" s="71">
        <f ca="1">IF('Main Assumptions'!$E$45=1,'Monthly P&amp;L'!GY$70,'Monthly P&amp;L'!GY58+'Monthly P&amp;L'!GY64)</f>
        <v>0</v>
      </c>
      <c r="GZ78" s="71">
        <f ca="1">IF('Main Assumptions'!$E$45=1,'Monthly P&amp;L'!GZ$70,'Monthly P&amp;L'!GZ58+'Monthly P&amp;L'!GZ64)</f>
        <v>0</v>
      </c>
      <c r="HA78" s="71">
        <f ca="1">IF('Main Assumptions'!$E$45=1,'Monthly P&amp;L'!HA$70,'Monthly P&amp;L'!HA58+'Monthly P&amp;L'!HA64)</f>
        <v>0</v>
      </c>
      <c r="HB78" s="71">
        <f ca="1">IF('Main Assumptions'!$E$45=1,'Monthly P&amp;L'!HB$70,'Monthly P&amp;L'!HB58+'Monthly P&amp;L'!HB64)</f>
        <v>0</v>
      </c>
      <c r="HC78" s="71">
        <f ca="1">IF('Main Assumptions'!$E$45=1,'Monthly P&amp;L'!HC$70,'Monthly P&amp;L'!HC58+'Monthly P&amp;L'!HC64)</f>
        <v>0</v>
      </c>
      <c r="HD78" s="71">
        <f ca="1">IF('Main Assumptions'!$E$45=1,'Monthly P&amp;L'!HD$70,'Monthly P&amp;L'!HD58+'Monthly P&amp;L'!HD64)</f>
        <v>0</v>
      </c>
      <c r="HE78" s="71">
        <f ca="1">IF('Main Assumptions'!$E$45=1,'Monthly P&amp;L'!HE$70,'Monthly P&amp;L'!HE58+'Monthly P&amp;L'!HE64)</f>
        <v>0</v>
      </c>
      <c r="HF78" s="71">
        <f ca="1">IF('Main Assumptions'!$E$45=1,'Monthly P&amp;L'!HF$70,'Monthly P&amp;L'!HF58+'Monthly P&amp;L'!HF64)</f>
        <v>0</v>
      </c>
      <c r="HG78" s="71">
        <f ca="1">IF('Main Assumptions'!$E$45=1,'Monthly P&amp;L'!HG$70,'Monthly P&amp;L'!HG58+'Monthly P&amp;L'!HG64)</f>
        <v>0</v>
      </c>
      <c r="HH78" s="71">
        <f ca="1">IF('Main Assumptions'!$E$45=1,'Monthly P&amp;L'!HH$70,'Monthly P&amp;L'!HH58+'Monthly P&amp;L'!HH64)</f>
        <v>0</v>
      </c>
      <c r="HI78" s="71">
        <f ca="1">IF('Main Assumptions'!$E$45=1,'Monthly P&amp;L'!HI$70,'Monthly P&amp;L'!HI58+'Monthly P&amp;L'!HI64)</f>
        <v>0</v>
      </c>
      <c r="HJ78" s="71">
        <f ca="1">IF('Main Assumptions'!$E$45=1,'Monthly P&amp;L'!HJ$70,'Monthly P&amp;L'!HJ58+'Monthly P&amp;L'!HJ64)</f>
        <v>0</v>
      </c>
      <c r="HK78" s="71">
        <f ca="1">IF('Main Assumptions'!$E$45=1,'Monthly P&amp;L'!HK$70,'Monthly P&amp;L'!HK58+'Monthly P&amp;L'!HK64)</f>
        <v>0</v>
      </c>
      <c r="HL78" s="71">
        <f ca="1">IF('Main Assumptions'!$E$45=1,'Monthly P&amp;L'!HL$70,'Monthly P&amp;L'!HL58+'Monthly P&amp;L'!HL64)</f>
        <v>0</v>
      </c>
      <c r="HM78" s="71">
        <f ca="1">IF('Main Assumptions'!$E$45=1,'Monthly P&amp;L'!HM$70,'Monthly P&amp;L'!HM58+'Monthly P&amp;L'!HM64)</f>
        <v>0</v>
      </c>
      <c r="HN78" s="71">
        <f ca="1">IF('Main Assumptions'!$E$45=1,'Monthly P&amp;L'!HN$70,'Monthly P&amp;L'!HN58+'Monthly P&amp;L'!HN64)</f>
        <v>0</v>
      </c>
      <c r="HO78" s="71">
        <f ca="1">IF('Main Assumptions'!$E$45=1,'Monthly P&amp;L'!HO$70,'Monthly P&amp;L'!HO58+'Monthly P&amp;L'!HO64)</f>
        <v>0</v>
      </c>
      <c r="HP78" s="71">
        <f ca="1">IF('Main Assumptions'!$E$45=1,'Monthly P&amp;L'!HP$70,'Monthly P&amp;L'!HP58+'Monthly P&amp;L'!HP64)</f>
        <v>0</v>
      </c>
      <c r="HQ78" s="71">
        <f ca="1">IF('Main Assumptions'!$E$45=1,'Monthly P&amp;L'!HQ$70,'Monthly P&amp;L'!HQ58+'Monthly P&amp;L'!HQ64)</f>
        <v>0</v>
      </c>
      <c r="HR78" s="71">
        <f ca="1">IF('Main Assumptions'!$E$45=1,'Monthly P&amp;L'!HR$70,'Monthly P&amp;L'!HR58+'Monthly P&amp;L'!HR64)</f>
        <v>0</v>
      </c>
      <c r="HS78" s="71">
        <f ca="1">IF('Main Assumptions'!$E$45=1,'Monthly P&amp;L'!HS$70,'Monthly P&amp;L'!HS58+'Monthly P&amp;L'!HS64)</f>
        <v>0</v>
      </c>
      <c r="HT78" s="71">
        <f ca="1">IF('Main Assumptions'!$E$45=1,'Monthly P&amp;L'!HT$70,'Monthly P&amp;L'!HT58+'Monthly P&amp;L'!HT64)</f>
        <v>0</v>
      </c>
      <c r="HU78" s="71">
        <f ca="1">IF('Main Assumptions'!$E$45=1,'Monthly P&amp;L'!HU$70,'Monthly P&amp;L'!HU58+'Monthly P&amp;L'!HU64)</f>
        <v>0</v>
      </c>
      <c r="HV78" s="71">
        <f ca="1">IF('Main Assumptions'!$E$45=1,'Monthly P&amp;L'!HV$70,'Monthly P&amp;L'!HV58+'Monthly P&amp;L'!HV64)</f>
        <v>0</v>
      </c>
      <c r="HW78" s="71">
        <f ca="1">IF('Main Assumptions'!$E$45=1,'Monthly P&amp;L'!HW$70,'Monthly P&amp;L'!HW58+'Monthly P&amp;L'!HW64)</f>
        <v>0</v>
      </c>
      <c r="HX78" s="71">
        <f ca="1">IF('Main Assumptions'!$E$45=1,'Monthly P&amp;L'!HX$70,'Monthly P&amp;L'!HX58+'Monthly P&amp;L'!HX64)</f>
        <v>0</v>
      </c>
      <c r="HY78" s="71">
        <f ca="1">IF('Main Assumptions'!$E$45=1,'Monthly P&amp;L'!HY$70,'Monthly P&amp;L'!HY58+'Monthly P&amp;L'!HY64)</f>
        <v>0</v>
      </c>
      <c r="HZ78" s="71">
        <f ca="1">IF('Main Assumptions'!$E$45=1,'Monthly P&amp;L'!HZ$70,'Monthly P&amp;L'!HZ58+'Monthly P&amp;L'!HZ64)</f>
        <v>0</v>
      </c>
      <c r="IA78" s="71">
        <f ca="1">IF('Main Assumptions'!$E$45=1,'Monthly P&amp;L'!IA$70,'Monthly P&amp;L'!IA58+'Monthly P&amp;L'!IA64)</f>
        <v>0</v>
      </c>
      <c r="IB78" s="71">
        <f ca="1">IF('Main Assumptions'!$E$45=1,'Monthly P&amp;L'!IB$70,'Monthly P&amp;L'!IB58+'Monthly P&amp;L'!IB64)</f>
        <v>0</v>
      </c>
      <c r="IC78" s="71">
        <f ca="1">IF('Main Assumptions'!$E$45=1,'Monthly P&amp;L'!IC$70,'Monthly P&amp;L'!IC58+'Monthly P&amp;L'!IC64)</f>
        <v>0</v>
      </c>
      <c r="ID78" s="71">
        <f ca="1">IF('Main Assumptions'!$E$45=1,'Monthly P&amp;L'!ID$70,'Monthly P&amp;L'!ID58+'Monthly P&amp;L'!ID64)</f>
        <v>0</v>
      </c>
      <c r="IE78" s="71">
        <f ca="1">IF('Main Assumptions'!$E$45=1,'Monthly P&amp;L'!IE$70,'Monthly P&amp;L'!IE58+'Monthly P&amp;L'!IE64)</f>
        <v>0</v>
      </c>
      <c r="IF78" s="71">
        <f ca="1">IF('Main Assumptions'!$E$45=1,'Monthly P&amp;L'!IF$70,'Monthly P&amp;L'!IF58+'Monthly P&amp;L'!IF64)</f>
        <v>0</v>
      </c>
      <c r="IG78" s="71">
        <f ca="1">IF('Main Assumptions'!$E$45=1,'Monthly P&amp;L'!IG$70,'Monthly P&amp;L'!IG58+'Monthly P&amp;L'!IG64)</f>
        <v>0</v>
      </c>
      <c r="IH78" s="71">
        <f ca="1">IF('Main Assumptions'!$E$45=1,'Monthly P&amp;L'!IH$70,'Monthly P&amp;L'!IH58+'Monthly P&amp;L'!IH64)</f>
        <v>0</v>
      </c>
      <c r="II78" s="71">
        <f ca="1">IF('Main Assumptions'!$E$45=1,'Monthly P&amp;L'!II$70,'Monthly P&amp;L'!II58+'Monthly P&amp;L'!II64)</f>
        <v>0</v>
      </c>
      <c r="IJ78" s="71">
        <f ca="1">IF('Main Assumptions'!$E$45=1,'Monthly P&amp;L'!IJ$70,'Monthly P&amp;L'!IJ58+'Monthly P&amp;L'!IJ64)</f>
        <v>0</v>
      </c>
      <c r="IK78" s="71">
        <f ca="1">IF('Main Assumptions'!$E$45=1,'Monthly P&amp;L'!IK$70,'Monthly P&amp;L'!IK58+'Monthly P&amp;L'!IK64)</f>
        <v>0</v>
      </c>
      <c r="IL78" s="71">
        <f ca="1">IF('Main Assumptions'!$E$45=1,'Monthly P&amp;L'!IL$70,'Monthly P&amp;L'!IL58+'Monthly P&amp;L'!IL64)</f>
        <v>0</v>
      </c>
      <c r="IM78" s="71">
        <f ca="1">IF('Main Assumptions'!$E$45=1,'Monthly P&amp;L'!IM$70,'Monthly P&amp;L'!IM58+'Monthly P&amp;L'!IM64)</f>
        <v>0</v>
      </c>
      <c r="IN78" s="71">
        <f ca="1">IF('Main Assumptions'!$E$45=1,'Monthly P&amp;L'!IN$70,'Monthly P&amp;L'!IN58+'Monthly P&amp;L'!IN64)</f>
        <v>0</v>
      </c>
      <c r="IO78" s="71">
        <f ca="1">IF('Main Assumptions'!$E$45=1,'Monthly P&amp;L'!IO$70,'Monthly P&amp;L'!IO58+'Monthly P&amp;L'!IO64)</f>
        <v>0</v>
      </c>
      <c r="IP78" s="71">
        <f ca="1">IF('Main Assumptions'!$E$45=1,'Monthly P&amp;L'!IP$70,'Monthly P&amp;L'!IP58+'Monthly P&amp;L'!IP64)</f>
        <v>0</v>
      </c>
      <c r="IQ78" s="71">
        <f ca="1">IF('Main Assumptions'!$E$45=1,'Monthly P&amp;L'!IQ$70,'Monthly P&amp;L'!IQ58+'Monthly P&amp;L'!IQ64)</f>
        <v>0</v>
      </c>
      <c r="IR78" s="71">
        <f ca="1">IF('Main Assumptions'!$E$45=1,'Monthly P&amp;L'!IR$70,'Monthly P&amp;L'!IR58+'Monthly P&amp;L'!IR64)</f>
        <v>0</v>
      </c>
      <c r="IS78" s="71">
        <f ca="1">IF('Main Assumptions'!$E$45=1,'Monthly P&amp;L'!IS$70,'Monthly P&amp;L'!IS58+'Monthly P&amp;L'!IS64)</f>
        <v>0</v>
      </c>
      <c r="IT78" s="71">
        <f ca="1">IF('Main Assumptions'!$E$45=1,'Monthly P&amp;L'!IT$70,'Monthly P&amp;L'!IT58+'Monthly P&amp;L'!IT64)</f>
        <v>0</v>
      </c>
      <c r="IU78" s="71">
        <f ca="1">IF('Main Assumptions'!$E$45=1,'Monthly P&amp;L'!IU$70,'Monthly P&amp;L'!IU58+'Monthly P&amp;L'!IU64)</f>
        <v>0</v>
      </c>
      <c r="IV78" s="71">
        <f ca="1">IF('Main Assumptions'!$E$45=1,'Monthly P&amp;L'!IV$70,'Monthly P&amp;L'!IV58+'Monthly P&amp;L'!IV64)</f>
        <v>0</v>
      </c>
      <c r="IW78" s="71">
        <f ca="1">IF('Main Assumptions'!$E$45=1,'Monthly P&amp;L'!IW$70,'Monthly P&amp;L'!IW58+'Monthly P&amp;L'!IW64)</f>
        <v>0</v>
      </c>
      <c r="IX78" s="71">
        <f ca="1">IF('Main Assumptions'!$E$45=1,'Monthly P&amp;L'!IX$70,'Monthly P&amp;L'!IX58+'Monthly P&amp;L'!IX64)</f>
        <v>0</v>
      </c>
      <c r="IY78" s="71">
        <f ca="1">IF('Main Assumptions'!$E$45=1,'Monthly P&amp;L'!IY$70,'Monthly P&amp;L'!IY58+'Monthly P&amp;L'!IY64)</f>
        <v>0</v>
      </c>
      <c r="IZ78" s="71">
        <f ca="1">IF('Main Assumptions'!$E$45=1,'Monthly P&amp;L'!IZ$70,'Monthly P&amp;L'!IZ58+'Monthly P&amp;L'!IZ64)</f>
        <v>0</v>
      </c>
      <c r="JA78" s="71">
        <f ca="1">IF('Main Assumptions'!$E$45=1,'Monthly P&amp;L'!JA$70,'Monthly P&amp;L'!JA58+'Monthly P&amp;L'!JA64)</f>
        <v>0</v>
      </c>
      <c r="JB78" s="71">
        <f ca="1">IF('Main Assumptions'!$E$45=1,'Monthly P&amp;L'!JB$70,'Monthly P&amp;L'!JB58+'Monthly P&amp;L'!JB64)</f>
        <v>0</v>
      </c>
      <c r="JC78" s="71">
        <f ca="1">IF('Main Assumptions'!$E$45=1,'Monthly P&amp;L'!JC$70,'Monthly P&amp;L'!JC58+'Monthly P&amp;L'!JC64)</f>
        <v>0</v>
      </c>
      <c r="JD78" s="71">
        <f ca="1">IF('Main Assumptions'!$E$45=1,'Monthly P&amp;L'!JD$70,'Monthly P&amp;L'!JD58+'Monthly P&amp;L'!JD64)</f>
        <v>0</v>
      </c>
      <c r="JE78" s="71">
        <f ca="1">IF('Main Assumptions'!$E$45=1,'Monthly P&amp;L'!JE$70,'Monthly P&amp;L'!JE58+'Monthly P&amp;L'!JE64)</f>
        <v>0</v>
      </c>
      <c r="JF78" s="71">
        <f ca="1">IF('Main Assumptions'!$E$45=1,'Monthly P&amp;L'!JF$70,'Monthly P&amp;L'!JF58+'Monthly P&amp;L'!JF64)</f>
        <v>0</v>
      </c>
      <c r="JG78" s="71">
        <f ca="1">IF('Main Assumptions'!$E$45=1,'Monthly P&amp;L'!JG$70,'Monthly P&amp;L'!JG58+'Monthly P&amp;L'!JG64)</f>
        <v>0</v>
      </c>
      <c r="JH78" s="71">
        <f ca="1">IF('Main Assumptions'!$E$45=1,'Monthly P&amp;L'!JH$70,'Monthly P&amp;L'!JH58+'Monthly P&amp;L'!JH64)</f>
        <v>0</v>
      </c>
      <c r="JI78" s="71">
        <f ca="1">IF('Main Assumptions'!$E$45=1,'Monthly P&amp;L'!JI$70,'Monthly P&amp;L'!JI58+'Monthly P&amp;L'!JI64)</f>
        <v>0</v>
      </c>
      <c r="JJ78" s="71">
        <f ca="1">IF('Main Assumptions'!$E$45=1,'Monthly P&amp;L'!JJ$70,'Monthly P&amp;L'!JJ58+'Monthly P&amp;L'!JJ64)</f>
        <v>0</v>
      </c>
      <c r="JK78" s="71">
        <f ca="1">IF('Main Assumptions'!$E$45=1,'Monthly P&amp;L'!JK$70,'Monthly P&amp;L'!JK58+'Monthly P&amp;L'!JK64)</f>
        <v>0</v>
      </c>
      <c r="JL78" s="71">
        <f ca="1">IF('Main Assumptions'!$E$45=1,'Monthly P&amp;L'!JL$70,'Monthly P&amp;L'!JL58+'Monthly P&amp;L'!JL64)</f>
        <v>0</v>
      </c>
      <c r="JM78" s="71">
        <f ca="1">IF('Main Assumptions'!$E$45=1,'Monthly P&amp;L'!JM$70,'Monthly P&amp;L'!JM58+'Monthly P&amp;L'!JM64)</f>
        <v>0</v>
      </c>
      <c r="JN78" s="71">
        <f ca="1">IF('Main Assumptions'!$E$45=1,'Monthly P&amp;L'!JN$70,'Monthly P&amp;L'!JN58+'Monthly P&amp;L'!JN64)</f>
        <v>0</v>
      </c>
      <c r="JO78" s="71">
        <f ca="1">IF('Main Assumptions'!$E$45=1,'Monthly P&amp;L'!JO$70,'Monthly P&amp;L'!JO58+'Monthly P&amp;L'!JO64)</f>
        <v>0</v>
      </c>
      <c r="JP78" s="71">
        <f ca="1">IF('Main Assumptions'!$E$45=1,'Monthly P&amp;L'!JP$70,'Monthly P&amp;L'!JP58+'Monthly P&amp;L'!JP64)</f>
        <v>0</v>
      </c>
      <c r="JQ78" s="71">
        <f ca="1">IF('Main Assumptions'!$E$45=1,'Monthly P&amp;L'!JQ$70,'Monthly P&amp;L'!JQ58+'Monthly P&amp;L'!JQ64)</f>
        <v>0</v>
      </c>
      <c r="JR78" s="71">
        <f ca="1">IF('Main Assumptions'!$E$45=1,'Monthly P&amp;L'!JR$70,'Monthly P&amp;L'!JR58+'Monthly P&amp;L'!JR64)</f>
        <v>0</v>
      </c>
      <c r="JS78" s="71">
        <f ca="1">IF('Main Assumptions'!$E$45=1,'Monthly P&amp;L'!JS$70,'Monthly P&amp;L'!JS58+'Monthly P&amp;L'!JS64)</f>
        <v>0</v>
      </c>
      <c r="JT78" s="71">
        <f ca="1">IF('Main Assumptions'!$E$45=1,'Monthly P&amp;L'!JT$70,'Monthly P&amp;L'!JT58+'Monthly P&amp;L'!JT64)</f>
        <v>0</v>
      </c>
      <c r="JU78" s="71">
        <f ca="1">IF('Main Assumptions'!$E$45=1,'Monthly P&amp;L'!JU$70,'Monthly P&amp;L'!JU58+'Monthly P&amp;L'!JU64)</f>
        <v>0</v>
      </c>
      <c r="JV78" s="71">
        <f ca="1">IF('Main Assumptions'!$E$45=1,'Monthly P&amp;L'!JV$70,'Monthly P&amp;L'!JV58+'Monthly P&amp;L'!JV64)</f>
        <v>0</v>
      </c>
      <c r="JW78" s="71">
        <f ca="1">IF('Main Assumptions'!$E$45=1,'Monthly P&amp;L'!JW$70,'Monthly P&amp;L'!JW58+'Monthly P&amp;L'!JW64)</f>
        <v>0</v>
      </c>
      <c r="JX78" s="71">
        <f ca="1">IF('Main Assumptions'!$E$45=1,'Monthly P&amp;L'!JX$70,'Monthly P&amp;L'!JX58+'Monthly P&amp;L'!JX64)</f>
        <v>0</v>
      </c>
      <c r="JY78" s="71">
        <f ca="1">IF('Main Assumptions'!$E$45=1,'Monthly P&amp;L'!JY$70,'Monthly P&amp;L'!JY58+'Monthly P&amp;L'!JY64)</f>
        <v>0</v>
      </c>
      <c r="JZ78" s="71">
        <f ca="1">IF('Main Assumptions'!$E$45=1,'Monthly P&amp;L'!JZ$70,'Monthly P&amp;L'!JZ58+'Monthly P&amp;L'!JZ64)</f>
        <v>0</v>
      </c>
      <c r="KA78" s="71">
        <f ca="1">IF('Main Assumptions'!$E$45=1,'Monthly P&amp;L'!KA$70,'Monthly P&amp;L'!KA58+'Monthly P&amp;L'!KA64)</f>
        <v>0</v>
      </c>
      <c r="KB78" s="71">
        <f ca="1">IF('Main Assumptions'!$E$45=1,'Monthly P&amp;L'!KB$70,'Monthly P&amp;L'!KB58+'Monthly P&amp;L'!KB64)</f>
        <v>0</v>
      </c>
      <c r="KC78" s="71">
        <f ca="1">IF('Main Assumptions'!$E$45=1,'Monthly P&amp;L'!KC$70,'Monthly P&amp;L'!KC58+'Monthly P&amp;L'!KC64)</f>
        <v>0</v>
      </c>
      <c r="KD78" s="71">
        <f ca="1">IF('Main Assumptions'!$E$45=1,'Monthly P&amp;L'!KD$70,'Monthly P&amp;L'!KD58+'Monthly P&amp;L'!KD64)</f>
        <v>0</v>
      </c>
      <c r="KE78" s="71">
        <f ca="1">IF('Main Assumptions'!$E$45=1,'Monthly P&amp;L'!KE$70,'Monthly P&amp;L'!KE58+'Monthly P&amp;L'!KE64)</f>
        <v>0</v>
      </c>
      <c r="KF78" s="71">
        <f ca="1">IF('Main Assumptions'!$E$45=1,'Monthly P&amp;L'!KF$70,'Monthly P&amp;L'!KF58+'Monthly P&amp;L'!KF64)</f>
        <v>0</v>
      </c>
      <c r="KG78" s="71">
        <f ca="1">IF('Main Assumptions'!$E$45=1,'Monthly P&amp;L'!KG$70,'Monthly P&amp;L'!KG58+'Monthly P&amp;L'!KG64)</f>
        <v>0</v>
      </c>
      <c r="KH78" s="71">
        <f ca="1">IF('Main Assumptions'!$E$45=1,'Monthly P&amp;L'!KH$70,'Monthly P&amp;L'!KH58+'Monthly P&amp;L'!KH64)</f>
        <v>0</v>
      </c>
      <c r="KI78" s="71">
        <f ca="1">IF('Main Assumptions'!$E$45=1,'Monthly P&amp;L'!KI$70,'Monthly P&amp;L'!KI58+'Monthly P&amp;L'!KI64)</f>
        <v>0</v>
      </c>
      <c r="KJ78" s="71">
        <f ca="1">IF('Main Assumptions'!$E$45=1,'Monthly P&amp;L'!KJ$70,'Monthly P&amp;L'!KJ58+'Monthly P&amp;L'!KJ64)</f>
        <v>0</v>
      </c>
      <c r="KK78" s="71">
        <f ca="1">IF('Main Assumptions'!$E$45=1,'Monthly P&amp;L'!KK$70,'Monthly P&amp;L'!KK58+'Monthly P&amp;L'!KK64)</f>
        <v>0</v>
      </c>
      <c r="KL78" s="71">
        <f ca="1">IF('Main Assumptions'!$E$45=1,'Monthly P&amp;L'!KL$70,'Monthly P&amp;L'!KL58+'Monthly P&amp;L'!KL64)</f>
        <v>0</v>
      </c>
      <c r="KM78" s="71">
        <f ca="1">IF('Main Assumptions'!$E$45=1,'Monthly P&amp;L'!KM$70,'Monthly P&amp;L'!KM58+'Monthly P&amp;L'!KM64)</f>
        <v>0</v>
      </c>
      <c r="KN78" s="71">
        <f ca="1">IF('Main Assumptions'!$E$45=1,'Monthly P&amp;L'!KN$70,'Monthly P&amp;L'!KN58+'Monthly P&amp;L'!KN64)</f>
        <v>0</v>
      </c>
      <c r="KO78" s="71">
        <f ca="1">IF('Main Assumptions'!$E$45=1,'Monthly P&amp;L'!KO$70,'Monthly P&amp;L'!KO58+'Monthly P&amp;L'!KO64)</f>
        <v>0</v>
      </c>
      <c r="KP78" s="71">
        <f ca="1">IF('Main Assumptions'!$E$45=1,'Monthly P&amp;L'!KP$70,'Monthly P&amp;L'!KP58+'Monthly P&amp;L'!KP64)</f>
        <v>0</v>
      </c>
      <c r="KQ78" s="71">
        <f ca="1">IF('Main Assumptions'!$E$45=1,'Monthly P&amp;L'!KQ$70,'Monthly P&amp;L'!KQ58+'Monthly P&amp;L'!KQ64)</f>
        <v>0</v>
      </c>
      <c r="KR78" s="71">
        <f ca="1">IF('Main Assumptions'!$E$45=1,'Monthly P&amp;L'!KR$70,'Monthly P&amp;L'!KR58+'Monthly P&amp;L'!KR64)</f>
        <v>0</v>
      </c>
      <c r="KS78" s="71">
        <f ca="1">IF('Main Assumptions'!$E$45=1,'Monthly P&amp;L'!KS$70,'Monthly P&amp;L'!KS58+'Monthly P&amp;L'!KS64)</f>
        <v>0</v>
      </c>
      <c r="KT78" s="71">
        <f ca="1">IF('Main Assumptions'!$E$45=1,'Monthly P&amp;L'!KT$70,'Monthly P&amp;L'!KT58+'Monthly P&amp;L'!KT64)</f>
        <v>0</v>
      </c>
      <c r="KU78" s="71">
        <f ca="1">IF('Main Assumptions'!$E$45=1,'Monthly P&amp;L'!KU$70,'Monthly P&amp;L'!KU58+'Monthly P&amp;L'!KU64)</f>
        <v>0</v>
      </c>
      <c r="KV78" s="71">
        <f ca="1">IF('Main Assumptions'!$E$45=1,'Monthly P&amp;L'!KV$70,'Monthly P&amp;L'!KV58+'Monthly P&amp;L'!KV64)</f>
        <v>0</v>
      </c>
      <c r="KW78" s="71">
        <f ca="1">IF('Main Assumptions'!$E$45=1,'Monthly P&amp;L'!KW$70,'Monthly P&amp;L'!KW58+'Monthly P&amp;L'!KW64)</f>
        <v>0</v>
      </c>
      <c r="KX78" s="71">
        <f ca="1">IF('Main Assumptions'!$E$45=1,'Monthly P&amp;L'!KX$70,'Monthly P&amp;L'!KX58+'Monthly P&amp;L'!KX64)</f>
        <v>0</v>
      </c>
      <c r="KY78" s="71">
        <f ca="1">IF('Main Assumptions'!$E$45=1,'Monthly P&amp;L'!KY$70,'Monthly P&amp;L'!KY58+'Monthly P&amp;L'!KY64)</f>
        <v>0</v>
      </c>
      <c r="KZ78" s="71">
        <f ca="1">IF('Main Assumptions'!$E$45=1,'Monthly P&amp;L'!KZ$70,'Monthly P&amp;L'!KZ58+'Monthly P&amp;L'!KZ64)</f>
        <v>0</v>
      </c>
      <c r="LA78" s="71">
        <f ca="1">IF('Main Assumptions'!$E$45=1,'Monthly P&amp;L'!LA$70,'Monthly P&amp;L'!LA58+'Monthly P&amp;L'!LA64)</f>
        <v>0</v>
      </c>
      <c r="LB78" s="71">
        <f ca="1">IF('Main Assumptions'!$E$45=1,'Monthly P&amp;L'!LB$70,'Monthly P&amp;L'!LB58+'Monthly P&amp;L'!LB64)</f>
        <v>0</v>
      </c>
      <c r="LC78" s="71">
        <f ca="1">IF('Main Assumptions'!$E$45=1,'Monthly P&amp;L'!LC$70,'Monthly P&amp;L'!LC58+'Monthly P&amp;L'!LC64)</f>
        <v>0</v>
      </c>
      <c r="LD78" s="71">
        <f ca="1">IF('Main Assumptions'!$E$45=1,'Monthly P&amp;L'!LD$70,'Monthly P&amp;L'!LD58+'Monthly P&amp;L'!LD64)</f>
        <v>0</v>
      </c>
      <c r="LE78" s="71">
        <f ca="1">IF('Main Assumptions'!$E$45=1,'Monthly P&amp;L'!LE$70,'Monthly P&amp;L'!LE58+'Monthly P&amp;L'!LE64)</f>
        <v>0</v>
      </c>
      <c r="LF78" s="71">
        <f ca="1">IF('Main Assumptions'!$E$45=1,'Monthly P&amp;L'!LF$70,'Monthly P&amp;L'!LF58+'Monthly P&amp;L'!LF64)</f>
        <v>0</v>
      </c>
      <c r="LG78" s="71">
        <f ca="1">IF('Main Assumptions'!$E$45=1,'Monthly P&amp;L'!LG$70,'Monthly P&amp;L'!LG58+'Monthly P&amp;L'!LG64)</f>
        <v>0</v>
      </c>
      <c r="LH78" s="71">
        <f ca="1">IF('Main Assumptions'!$E$45=1,'Monthly P&amp;L'!LH$70,'Monthly P&amp;L'!LH58+'Monthly P&amp;L'!LH64)</f>
        <v>0</v>
      </c>
      <c r="LI78" s="71">
        <f ca="1">IF('Main Assumptions'!$E$45=1,'Monthly P&amp;L'!LI$70,'Monthly P&amp;L'!LI58+'Monthly P&amp;L'!LI64)</f>
        <v>0</v>
      </c>
      <c r="LJ78" s="71">
        <f ca="1">IF('Main Assumptions'!$E$45=1,'Monthly P&amp;L'!LJ$70,'Monthly P&amp;L'!LJ58+'Monthly P&amp;L'!LJ64)</f>
        <v>0</v>
      </c>
      <c r="LK78" s="71">
        <f ca="1">IF('Main Assumptions'!$E$45=1,'Monthly P&amp;L'!LK$70,'Monthly P&amp;L'!LK58+'Monthly P&amp;L'!LK64)</f>
        <v>0</v>
      </c>
      <c r="LL78" s="71">
        <f ca="1">IF('Main Assumptions'!$E$45=1,'Monthly P&amp;L'!LL$70,'Monthly P&amp;L'!LL58+'Monthly P&amp;L'!LL64)</f>
        <v>0</v>
      </c>
      <c r="LM78" s="71">
        <f ca="1">IF('Main Assumptions'!$E$45=1,'Monthly P&amp;L'!LM$70,'Monthly P&amp;L'!LM58+'Monthly P&amp;L'!LM64)</f>
        <v>0</v>
      </c>
      <c r="LN78" s="71">
        <f ca="1">IF('Main Assumptions'!$E$45=1,'Monthly P&amp;L'!LN$70,'Monthly P&amp;L'!LN58+'Monthly P&amp;L'!LN64)</f>
        <v>0</v>
      </c>
      <c r="LO78" s="71">
        <f ca="1">IF('Main Assumptions'!$E$45=1,'Monthly P&amp;L'!LO$70,'Monthly P&amp;L'!LO58+'Monthly P&amp;L'!LO64)</f>
        <v>0</v>
      </c>
      <c r="LP78" s="71">
        <f ca="1">IF('Main Assumptions'!$E$45=1,'Monthly P&amp;L'!LP$70,'Monthly P&amp;L'!LP58+'Monthly P&amp;L'!LP64)</f>
        <v>0</v>
      </c>
      <c r="LQ78" s="71">
        <f ca="1">IF('Main Assumptions'!$E$45=1,'Monthly P&amp;L'!LQ$70,'Monthly P&amp;L'!LQ58+'Monthly P&amp;L'!LQ64)</f>
        <v>0</v>
      </c>
      <c r="LR78" s="71">
        <f ca="1">IF('Main Assumptions'!$E$45=1,'Monthly P&amp;L'!LR$70,'Monthly P&amp;L'!LR58+'Monthly P&amp;L'!LR64)</f>
        <v>0</v>
      </c>
      <c r="LS78" s="71">
        <f ca="1">IF('Main Assumptions'!$E$45=1,'Monthly P&amp;L'!LS$70,'Monthly P&amp;L'!LS58+'Monthly P&amp;L'!LS64)</f>
        <v>0</v>
      </c>
      <c r="LT78" s="71">
        <f ca="1">IF('Main Assumptions'!$E$45=1,'Monthly P&amp;L'!LT$70,'Monthly P&amp;L'!LT58+'Monthly P&amp;L'!LT64)</f>
        <v>0</v>
      </c>
      <c r="LU78" s="71">
        <f ca="1">IF('Main Assumptions'!$E$45=1,'Monthly P&amp;L'!LU$70,'Monthly P&amp;L'!LU58+'Monthly P&amp;L'!LU64)</f>
        <v>0</v>
      </c>
      <c r="LV78" s="71">
        <f ca="1">IF('Main Assumptions'!$E$45=1,'Monthly P&amp;L'!LV$70,'Monthly P&amp;L'!LV58+'Monthly P&amp;L'!LV64)</f>
        <v>0</v>
      </c>
      <c r="LW78" s="71">
        <f ca="1">IF('Main Assumptions'!$E$45=1,'Monthly P&amp;L'!LW$70,'Monthly P&amp;L'!LW58+'Monthly P&amp;L'!LW64)</f>
        <v>0</v>
      </c>
      <c r="LX78" s="71">
        <f ca="1">IF('Main Assumptions'!$E$45=1,'Monthly P&amp;L'!LX$70,'Monthly P&amp;L'!LX58+'Monthly P&amp;L'!LX64)</f>
        <v>0</v>
      </c>
      <c r="LY78" s="71">
        <f ca="1">IF('Main Assumptions'!$E$45=1,'Monthly P&amp;L'!LY$70,'Monthly P&amp;L'!LY58+'Monthly P&amp;L'!LY64)</f>
        <v>0</v>
      </c>
      <c r="LZ78" s="71">
        <f ca="1">IF('Main Assumptions'!$E$45=1,'Monthly P&amp;L'!LZ$70,'Monthly P&amp;L'!LZ58+'Monthly P&amp;L'!LZ64)</f>
        <v>0</v>
      </c>
      <c r="MA78" s="71">
        <f ca="1">IF('Main Assumptions'!$E$45=1,'Monthly P&amp;L'!MA$70,'Monthly P&amp;L'!MA58+'Monthly P&amp;L'!MA64)</f>
        <v>0</v>
      </c>
      <c r="MB78" s="71">
        <f ca="1">IF('Main Assumptions'!$E$45=1,'Monthly P&amp;L'!MB$70,'Monthly P&amp;L'!MB58+'Monthly P&amp;L'!MB64)</f>
        <v>0</v>
      </c>
      <c r="MC78" s="71">
        <f ca="1">IF('Main Assumptions'!$E$45=1,'Monthly P&amp;L'!MC$70,'Monthly P&amp;L'!MC58+'Monthly P&amp;L'!MC64)</f>
        <v>0</v>
      </c>
      <c r="MD78" s="71">
        <f ca="1">IF('Main Assumptions'!$E$45=1,'Monthly P&amp;L'!MD$70,'Monthly P&amp;L'!MD58+'Monthly P&amp;L'!MD64)</f>
        <v>0</v>
      </c>
      <c r="ME78" s="71">
        <f ca="1">IF('Main Assumptions'!$E$45=1,'Monthly P&amp;L'!ME$70,'Monthly P&amp;L'!ME58+'Monthly P&amp;L'!ME64)</f>
        <v>0</v>
      </c>
      <c r="MF78" s="71">
        <f ca="1">IF('Main Assumptions'!$E$45=1,'Monthly P&amp;L'!MF$70,'Monthly P&amp;L'!MF58+'Monthly P&amp;L'!MF64)</f>
        <v>0</v>
      </c>
      <c r="MG78" s="71">
        <f ca="1">IF('Main Assumptions'!$E$45=1,'Monthly P&amp;L'!MG$70,'Monthly P&amp;L'!MG58+'Monthly P&amp;L'!MG64)</f>
        <v>0</v>
      </c>
      <c r="MH78" s="71">
        <f ca="1">IF('Main Assumptions'!$E$45=1,'Monthly P&amp;L'!MH$70,'Monthly P&amp;L'!MH58+'Monthly P&amp;L'!MH64)</f>
        <v>0</v>
      </c>
      <c r="MI78" s="71">
        <f ca="1">IF('Main Assumptions'!$E$45=1,'Monthly P&amp;L'!MI$70,'Monthly P&amp;L'!MI58+'Monthly P&amp;L'!MI64)</f>
        <v>0</v>
      </c>
      <c r="MJ78" s="71">
        <f ca="1">IF('Main Assumptions'!$E$45=1,'Monthly P&amp;L'!MJ$70,'Monthly P&amp;L'!MJ58+'Monthly P&amp;L'!MJ64)</f>
        <v>0</v>
      </c>
      <c r="MK78" s="71">
        <f ca="1">IF('Main Assumptions'!$E$45=1,'Monthly P&amp;L'!MK$70,'Monthly P&amp;L'!MK58+'Monthly P&amp;L'!MK64)</f>
        <v>0</v>
      </c>
      <c r="ML78" s="71">
        <f ca="1">IF('Main Assumptions'!$E$45=1,'Monthly P&amp;L'!ML$70,'Monthly P&amp;L'!ML58+'Monthly P&amp;L'!ML64)</f>
        <v>0</v>
      </c>
      <c r="MM78" s="71">
        <f ca="1">IF('Main Assumptions'!$E$45=1,'Monthly P&amp;L'!MM$70,'Monthly P&amp;L'!MM58+'Monthly P&amp;L'!MM64)</f>
        <v>0</v>
      </c>
      <c r="MN78" s="71">
        <f ca="1">IF('Main Assumptions'!$E$45=1,'Monthly P&amp;L'!MN$70,'Monthly P&amp;L'!MN58+'Monthly P&amp;L'!MN64)</f>
        <v>0</v>
      </c>
      <c r="MO78" s="71">
        <f ca="1">IF('Main Assumptions'!$E$45=1,'Monthly P&amp;L'!MO$70,'Monthly P&amp;L'!MO58+'Monthly P&amp;L'!MO64)</f>
        <v>0</v>
      </c>
      <c r="MP78" s="71">
        <f ca="1">IF('Main Assumptions'!$E$45=1,'Monthly P&amp;L'!MP$70,'Monthly P&amp;L'!MP58+'Monthly P&amp;L'!MP64)</f>
        <v>0</v>
      </c>
      <c r="MQ78" s="71">
        <f ca="1">IF('Main Assumptions'!$E$45=1,'Monthly P&amp;L'!MQ$70,'Monthly P&amp;L'!MQ58+'Monthly P&amp;L'!MQ64)</f>
        <v>0</v>
      </c>
      <c r="MR78" s="71">
        <f ca="1">IF('Main Assumptions'!$E$45=1,'Monthly P&amp;L'!MR$70,'Monthly P&amp;L'!MR58+'Monthly P&amp;L'!MR64)</f>
        <v>0</v>
      </c>
      <c r="MS78" s="71">
        <f ca="1">IF('Main Assumptions'!$E$45=1,'Monthly P&amp;L'!MS$70,'Monthly P&amp;L'!MS58+'Monthly P&amp;L'!MS64)</f>
        <v>0</v>
      </c>
      <c r="MT78" s="71">
        <f ca="1">IF('Main Assumptions'!$E$45=1,'Monthly P&amp;L'!MT$70,'Monthly P&amp;L'!MT58+'Monthly P&amp;L'!MT64)</f>
        <v>0</v>
      </c>
      <c r="MU78" s="71">
        <f ca="1">IF('Main Assumptions'!$E$45=1,'Monthly P&amp;L'!MU$70,'Monthly P&amp;L'!MU58+'Monthly P&amp;L'!MU64)</f>
        <v>0</v>
      </c>
      <c r="MV78" s="71">
        <f ca="1">IF('Main Assumptions'!$E$45=1,'Monthly P&amp;L'!MV$70,'Monthly P&amp;L'!MV58+'Monthly P&amp;L'!MV64)</f>
        <v>0</v>
      </c>
      <c r="MW78" s="71">
        <f ca="1">IF('Main Assumptions'!$E$45=1,'Monthly P&amp;L'!MW$70,'Monthly P&amp;L'!MW58+'Monthly P&amp;L'!MW64)</f>
        <v>0</v>
      </c>
      <c r="MX78" s="71">
        <f ca="1">IF('Main Assumptions'!$E$45=1,'Monthly P&amp;L'!MX$70,'Monthly P&amp;L'!MX58+'Monthly P&amp;L'!MX64)</f>
        <v>0</v>
      </c>
      <c r="MY78" s="71">
        <f ca="1">IF('Main Assumptions'!$E$45=1,'Monthly P&amp;L'!MY$70,'Monthly P&amp;L'!MY58+'Monthly P&amp;L'!MY64)</f>
        <v>0</v>
      </c>
      <c r="MZ78" s="71">
        <f ca="1">IF('Main Assumptions'!$E$45=1,'Monthly P&amp;L'!MZ$70,'Monthly P&amp;L'!MZ58+'Monthly P&amp;L'!MZ64)</f>
        <v>0</v>
      </c>
      <c r="NA78" s="71">
        <f ca="1">IF('Main Assumptions'!$E$45=1,'Monthly P&amp;L'!NA$70,'Monthly P&amp;L'!NA58+'Monthly P&amp;L'!NA64)</f>
        <v>0</v>
      </c>
      <c r="NB78" s="71">
        <f ca="1">IF('Main Assumptions'!$E$45=1,'Monthly P&amp;L'!NB$70,'Monthly P&amp;L'!NB58+'Monthly P&amp;L'!NB64)</f>
        <v>0</v>
      </c>
    </row>
    <row r="79" spans="2:366" x14ac:dyDescent="0.15">
      <c r="B79" s="64" t="s">
        <v>122</v>
      </c>
      <c r="C79" s="64"/>
      <c r="D79" s="50"/>
      <c r="AD79" s="154"/>
    </row>
    <row r="80" spans="2:366" x14ac:dyDescent="0.15">
      <c r="B80" t="s">
        <v>128</v>
      </c>
      <c r="D80" s="38">
        <f ca="1">XIRR(F78:NB78,F8:NB8)</f>
        <v>7.3946443200111414E-2</v>
      </c>
      <c r="G80" s="40"/>
      <c r="H80" s="48"/>
    </row>
    <row r="81" spans="2:19" x14ac:dyDescent="0.15">
      <c r="B81" t="s">
        <v>129</v>
      </c>
      <c r="D81" s="68">
        <f ca="1">(SUM(F78:NB78)+equity_invested)/equity_invested</f>
        <v>3.0374821625155675</v>
      </c>
      <c r="F81" s="55"/>
      <c r="G81" s="40"/>
      <c r="S81" s="40"/>
    </row>
    <row r="82" spans="2:19" x14ac:dyDescent="0.15">
      <c r="B82" s="6" t="s">
        <v>98</v>
      </c>
      <c r="C82" s="6"/>
      <c r="D82" s="54">
        <f ca="1">XNPV('Deal Summary'!$E$63,G78:NB78,G8:NB8)+F78</f>
        <v>168947.22704712953</v>
      </c>
      <c r="G82" s="40"/>
      <c r="H82" s="40"/>
      <c r="I82" s="40"/>
    </row>
    <row r="83" spans="2:19" x14ac:dyDescent="0.15">
      <c r="G83" s="40"/>
    </row>
  </sheetData>
  <conditionalFormatting sqref="F7:NB7">
    <cfRule type="cellIs" dxfId="5" priority="2" operator="lessThanOrEqual">
      <formula>$F$5</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BF529-448D-3346-B485-71D57C6F8395}">
  <dimension ref="A2:NX26"/>
  <sheetViews>
    <sheetView showGridLines="0" workbookViewId="0">
      <pane xSplit="5" ySplit="8" topLeftCell="G11" activePane="bottomRight" state="frozen"/>
      <selection pane="topRight" activeCell="F1" sqref="F1"/>
      <selection pane="bottomLeft" activeCell="A9" sqref="A9"/>
      <selection pane="bottomRight" activeCell="I24" sqref="I24"/>
    </sheetView>
  </sheetViews>
  <sheetFormatPr baseColWidth="10" defaultColWidth="0" defaultRowHeight="11" x14ac:dyDescent="0.15"/>
  <cols>
    <col min="1" max="1" width="4.75" customWidth="1"/>
    <col min="2" max="2" width="25.75" bestFit="1" customWidth="1"/>
    <col min="3" max="3" width="14.25" customWidth="1"/>
    <col min="4" max="4" width="10.25" customWidth="1"/>
    <col min="5" max="5" width="10.75" customWidth="1"/>
    <col min="6" max="6" width="17.75" customWidth="1"/>
    <col min="7" max="367" width="10.75" customWidth="1"/>
    <col min="368" max="368" width="0" style="12" hidden="1" customWidth="1"/>
    <col min="369" max="388" width="0" hidden="1" customWidth="1"/>
    <col min="389" max="16384" width="10.75" hidden="1"/>
  </cols>
  <sheetData>
    <row r="2" spans="2:388" ht="16" x14ac:dyDescent="0.2">
      <c r="B2" s="26" t="s">
        <v>130</v>
      </c>
      <c r="C2" s="26"/>
    </row>
    <row r="4" spans="2:388" x14ac:dyDescent="0.15">
      <c r="B4" t="s">
        <v>132</v>
      </c>
      <c r="F4">
        <f>hold_length</f>
        <v>15</v>
      </c>
      <c r="J4" s="41" t="s">
        <v>92</v>
      </c>
      <c r="K4" s="41" t="str">
        <f>SUBSTITUTE(ADDRESS(1,$F$6+4,4),"1","")</f>
        <v>D</v>
      </c>
    </row>
    <row r="5" spans="2:388" x14ac:dyDescent="0.15">
      <c r="B5" t="s">
        <v>63</v>
      </c>
      <c r="F5">
        <f>F4*12</f>
        <v>180</v>
      </c>
    </row>
    <row r="7" spans="2:388" x14ac:dyDescent="0.15">
      <c r="B7" s="72" t="s">
        <v>65</v>
      </c>
      <c r="C7" s="72"/>
      <c r="D7" s="72"/>
      <c r="E7" s="72"/>
      <c r="F7" s="73">
        <v>0</v>
      </c>
      <c r="G7" s="73">
        <f>IF(F$7&lt;$F$5,F$7+1," ")</f>
        <v>1</v>
      </c>
      <c r="H7" s="73">
        <f t="shared" ref="H7:BS7" si="0">IF(G$7&lt;$F$5,G$7+1," ")</f>
        <v>2</v>
      </c>
      <c r="I7" s="73">
        <f t="shared" si="0"/>
        <v>3</v>
      </c>
      <c r="J7" s="73">
        <f t="shared" si="0"/>
        <v>4</v>
      </c>
      <c r="K7" s="73">
        <f t="shared" si="0"/>
        <v>5</v>
      </c>
      <c r="L7" s="73">
        <f t="shared" si="0"/>
        <v>6</v>
      </c>
      <c r="M7" s="73">
        <f t="shared" si="0"/>
        <v>7</v>
      </c>
      <c r="N7" s="73">
        <f t="shared" si="0"/>
        <v>8</v>
      </c>
      <c r="O7" s="73">
        <f t="shared" si="0"/>
        <v>9</v>
      </c>
      <c r="P7" s="73">
        <f t="shared" si="0"/>
        <v>10</v>
      </c>
      <c r="Q7" s="73">
        <f t="shared" si="0"/>
        <v>11</v>
      </c>
      <c r="R7" s="73">
        <f t="shared" si="0"/>
        <v>12</v>
      </c>
      <c r="S7" s="73">
        <f t="shared" si="0"/>
        <v>13</v>
      </c>
      <c r="T7" s="73">
        <f t="shared" si="0"/>
        <v>14</v>
      </c>
      <c r="U7" s="73">
        <f t="shared" si="0"/>
        <v>15</v>
      </c>
      <c r="V7" s="73">
        <f t="shared" si="0"/>
        <v>16</v>
      </c>
      <c r="W7" s="73">
        <f t="shared" si="0"/>
        <v>17</v>
      </c>
      <c r="X7" s="73">
        <f t="shared" si="0"/>
        <v>18</v>
      </c>
      <c r="Y7" s="73">
        <f t="shared" si="0"/>
        <v>19</v>
      </c>
      <c r="Z7" s="73">
        <f t="shared" si="0"/>
        <v>20</v>
      </c>
      <c r="AA7" s="73">
        <f t="shared" si="0"/>
        <v>21</v>
      </c>
      <c r="AB7" s="73">
        <f t="shared" si="0"/>
        <v>22</v>
      </c>
      <c r="AC7" s="73">
        <f t="shared" si="0"/>
        <v>23</v>
      </c>
      <c r="AD7" s="73">
        <f t="shared" si="0"/>
        <v>24</v>
      </c>
      <c r="AE7" s="73">
        <f t="shared" si="0"/>
        <v>25</v>
      </c>
      <c r="AF7" s="73">
        <f t="shared" si="0"/>
        <v>26</v>
      </c>
      <c r="AG7" s="73">
        <f t="shared" si="0"/>
        <v>27</v>
      </c>
      <c r="AH7" s="73">
        <f t="shared" si="0"/>
        <v>28</v>
      </c>
      <c r="AI7" s="73">
        <f t="shared" si="0"/>
        <v>29</v>
      </c>
      <c r="AJ7" s="73">
        <f t="shared" si="0"/>
        <v>30</v>
      </c>
      <c r="AK7" s="73">
        <f t="shared" si="0"/>
        <v>31</v>
      </c>
      <c r="AL7" s="73">
        <f t="shared" si="0"/>
        <v>32</v>
      </c>
      <c r="AM7" s="73">
        <f t="shared" si="0"/>
        <v>33</v>
      </c>
      <c r="AN7" s="73">
        <f t="shared" si="0"/>
        <v>34</v>
      </c>
      <c r="AO7" s="73">
        <f t="shared" si="0"/>
        <v>35</v>
      </c>
      <c r="AP7" s="73">
        <f t="shared" si="0"/>
        <v>36</v>
      </c>
      <c r="AQ7" s="73">
        <f t="shared" si="0"/>
        <v>37</v>
      </c>
      <c r="AR7" s="73">
        <f t="shared" si="0"/>
        <v>38</v>
      </c>
      <c r="AS7" s="73">
        <f t="shared" si="0"/>
        <v>39</v>
      </c>
      <c r="AT7" s="73">
        <f t="shared" si="0"/>
        <v>40</v>
      </c>
      <c r="AU7" s="73">
        <f t="shared" si="0"/>
        <v>41</v>
      </c>
      <c r="AV7" s="73">
        <f t="shared" si="0"/>
        <v>42</v>
      </c>
      <c r="AW7" s="73">
        <f t="shared" si="0"/>
        <v>43</v>
      </c>
      <c r="AX7" s="73">
        <f t="shared" si="0"/>
        <v>44</v>
      </c>
      <c r="AY7" s="73">
        <f t="shared" si="0"/>
        <v>45</v>
      </c>
      <c r="AZ7" s="73">
        <f t="shared" si="0"/>
        <v>46</v>
      </c>
      <c r="BA7" s="73">
        <f t="shared" si="0"/>
        <v>47</v>
      </c>
      <c r="BB7" s="73">
        <f t="shared" si="0"/>
        <v>48</v>
      </c>
      <c r="BC7" s="73">
        <f t="shared" si="0"/>
        <v>49</v>
      </c>
      <c r="BD7" s="73">
        <f t="shared" si="0"/>
        <v>50</v>
      </c>
      <c r="BE7" s="73">
        <f t="shared" si="0"/>
        <v>51</v>
      </c>
      <c r="BF7" s="73">
        <f t="shared" si="0"/>
        <v>52</v>
      </c>
      <c r="BG7" s="73">
        <f t="shared" si="0"/>
        <v>53</v>
      </c>
      <c r="BH7" s="73">
        <f t="shared" si="0"/>
        <v>54</v>
      </c>
      <c r="BI7" s="73">
        <f t="shared" si="0"/>
        <v>55</v>
      </c>
      <c r="BJ7" s="73">
        <f t="shared" si="0"/>
        <v>56</v>
      </c>
      <c r="BK7" s="73">
        <f t="shared" si="0"/>
        <v>57</v>
      </c>
      <c r="BL7" s="73">
        <f t="shared" si="0"/>
        <v>58</v>
      </c>
      <c r="BM7" s="73">
        <f t="shared" si="0"/>
        <v>59</v>
      </c>
      <c r="BN7" s="73">
        <f t="shared" si="0"/>
        <v>60</v>
      </c>
      <c r="BO7" s="73">
        <f t="shared" si="0"/>
        <v>61</v>
      </c>
      <c r="BP7" s="73">
        <f t="shared" si="0"/>
        <v>62</v>
      </c>
      <c r="BQ7" s="73">
        <f t="shared" si="0"/>
        <v>63</v>
      </c>
      <c r="BR7" s="73">
        <f t="shared" si="0"/>
        <v>64</v>
      </c>
      <c r="BS7" s="73">
        <f t="shared" si="0"/>
        <v>65</v>
      </c>
      <c r="BT7" s="73">
        <f t="shared" ref="BT7:EE7" si="1">IF(BS$7&lt;$F$5,BS$7+1," ")</f>
        <v>66</v>
      </c>
      <c r="BU7" s="73">
        <f t="shared" si="1"/>
        <v>67</v>
      </c>
      <c r="BV7" s="73">
        <f t="shared" si="1"/>
        <v>68</v>
      </c>
      <c r="BW7" s="73">
        <f t="shared" si="1"/>
        <v>69</v>
      </c>
      <c r="BX7" s="73">
        <f t="shared" si="1"/>
        <v>70</v>
      </c>
      <c r="BY7" s="73">
        <f t="shared" si="1"/>
        <v>71</v>
      </c>
      <c r="BZ7" s="73">
        <f t="shared" si="1"/>
        <v>72</v>
      </c>
      <c r="CA7" s="73">
        <f t="shared" si="1"/>
        <v>73</v>
      </c>
      <c r="CB7" s="73">
        <f t="shared" si="1"/>
        <v>74</v>
      </c>
      <c r="CC7" s="73">
        <f t="shared" si="1"/>
        <v>75</v>
      </c>
      <c r="CD7" s="73">
        <f t="shared" si="1"/>
        <v>76</v>
      </c>
      <c r="CE7" s="73">
        <f t="shared" si="1"/>
        <v>77</v>
      </c>
      <c r="CF7" s="73">
        <f t="shared" si="1"/>
        <v>78</v>
      </c>
      <c r="CG7" s="73">
        <f t="shared" si="1"/>
        <v>79</v>
      </c>
      <c r="CH7" s="73">
        <f t="shared" si="1"/>
        <v>80</v>
      </c>
      <c r="CI7" s="73">
        <f t="shared" si="1"/>
        <v>81</v>
      </c>
      <c r="CJ7" s="73">
        <f t="shared" si="1"/>
        <v>82</v>
      </c>
      <c r="CK7" s="73">
        <f t="shared" si="1"/>
        <v>83</v>
      </c>
      <c r="CL7" s="73">
        <f t="shared" si="1"/>
        <v>84</v>
      </c>
      <c r="CM7" s="73">
        <f t="shared" si="1"/>
        <v>85</v>
      </c>
      <c r="CN7" s="73">
        <f t="shared" si="1"/>
        <v>86</v>
      </c>
      <c r="CO7" s="73">
        <f t="shared" si="1"/>
        <v>87</v>
      </c>
      <c r="CP7" s="73">
        <f t="shared" si="1"/>
        <v>88</v>
      </c>
      <c r="CQ7" s="73">
        <f t="shared" si="1"/>
        <v>89</v>
      </c>
      <c r="CR7" s="73">
        <f t="shared" si="1"/>
        <v>90</v>
      </c>
      <c r="CS7" s="73">
        <f t="shared" si="1"/>
        <v>91</v>
      </c>
      <c r="CT7" s="73">
        <f t="shared" si="1"/>
        <v>92</v>
      </c>
      <c r="CU7" s="73">
        <f t="shared" si="1"/>
        <v>93</v>
      </c>
      <c r="CV7" s="73">
        <f t="shared" si="1"/>
        <v>94</v>
      </c>
      <c r="CW7" s="73">
        <f t="shared" si="1"/>
        <v>95</v>
      </c>
      <c r="CX7" s="73">
        <f t="shared" si="1"/>
        <v>96</v>
      </c>
      <c r="CY7" s="73">
        <f t="shared" si="1"/>
        <v>97</v>
      </c>
      <c r="CZ7" s="73">
        <f t="shared" si="1"/>
        <v>98</v>
      </c>
      <c r="DA7" s="73">
        <f t="shared" si="1"/>
        <v>99</v>
      </c>
      <c r="DB7" s="73">
        <f t="shared" si="1"/>
        <v>100</v>
      </c>
      <c r="DC7" s="73">
        <f t="shared" si="1"/>
        <v>101</v>
      </c>
      <c r="DD7" s="73">
        <f t="shared" si="1"/>
        <v>102</v>
      </c>
      <c r="DE7" s="73">
        <f t="shared" si="1"/>
        <v>103</v>
      </c>
      <c r="DF7" s="73">
        <f t="shared" si="1"/>
        <v>104</v>
      </c>
      <c r="DG7" s="73">
        <f t="shared" si="1"/>
        <v>105</v>
      </c>
      <c r="DH7" s="73">
        <f t="shared" si="1"/>
        <v>106</v>
      </c>
      <c r="DI7" s="73">
        <f t="shared" si="1"/>
        <v>107</v>
      </c>
      <c r="DJ7" s="73">
        <f t="shared" si="1"/>
        <v>108</v>
      </c>
      <c r="DK7" s="73">
        <f t="shared" si="1"/>
        <v>109</v>
      </c>
      <c r="DL7" s="73">
        <f t="shared" si="1"/>
        <v>110</v>
      </c>
      <c r="DM7" s="73">
        <f t="shared" si="1"/>
        <v>111</v>
      </c>
      <c r="DN7" s="73">
        <f t="shared" si="1"/>
        <v>112</v>
      </c>
      <c r="DO7" s="73">
        <f t="shared" si="1"/>
        <v>113</v>
      </c>
      <c r="DP7" s="73">
        <f t="shared" si="1"/>
        <v>114</v>
      </c>
      <c r="DQ7" s="73">
        <f t="shared" si="1"/>
        <v>115</v>
      </c>
      <c r="DR7" s="73">
        <f t="shared" si="1"/>
        <v>116</v>
      </c>
      <c r="DS7" s="73">
        <f t="shared" si="1"/>
        <v>117</v>
      </c>
      <c r="DT7" s="73">
        <f t="shared" si="1"/>
        <v>118</v>
      </c>
      <c r="DU7" s="73">
        <f t="shared" si="1"/>
        <v>119</v>
      </c>
      <c r="DV7" s="73">
        <f t="shared" si="1"/>
        <v>120</v>
      </c>
      <c r="DW7" s="73">
        <f t="shared" si="1"/>
        <v>121</v>
      </c>
      <c r="DX7" s="73">
        <f t="shared" si="1"/>
        <v>122</v>
      </c>
      <c r="DY7" s="73">
        <f t="shared" si="1"/>
        <v>123</v>
      </c>
      <c r="DZ7" s="73">
        <f t="shared" si="1"/>
        <v>124</v>
      </c>
      <c r="EA7" s="73">
        <f t="shared" si="1"/>
        <v>125</v>
      </c>
      <c r="EB7" s="73">
        <f t="shared" si="1"/>
        <v>126</v>
      </c>
      <c r="EC7" s="73">
        <f t="shared" si="1"/>
        <v>127</v>
      </c>
      <c r="ED7" s="73">
        <f t="shared" si="1"/>
        <v>128</v>
      </c>
      <c r="EE7" s="73">
        <f t="shared" si="1"/>
        <v>129</v>
      </c>
      <c r="EF7" s="73">
        <f t="shared" ref="EF7:GQ7" si="2">IF(EE$7&lt;$F$5,EE$7+1," ")</f>
        <v>130</v>
      </c>
      <c r="EG7" s="73">
        <f t="shared" si="2"/>
        <v>131</v>
      </c>
      <c r="EH7" s="73">
        <f t="shared" si="2"/>
        <v>132</v>
      </c>
      <c r="EI7" s="73">
        <f t="shared" si="2"/>
        <v>133</v>
      </c>
      <c r="EJ7" s="73">
        <f t="shared" si="2"/>
        <v>134</v>
      </c>
      <c r="EK7" s="73">
        <f t="shared" si="2"/>
        <v>135</v>
      </c>
      <c r="EL7" s="73">
        <f t="shared" si="2"/>
        <v>136</v>
      </c>
      <c r="EM7" s="73">
        <f t="shared" si="2"/>
        <v>137</v>
      </c>
      <c r="EN7" s="73">
        <f t="shared" si="2"/>
        <v>138</v>
      </c>
      <c r="EO7" s="73">
        <f t="shared" si="2"/>
        <v>139</v>
      </c>
      <c r="EP7" s="73">
        <f t="shared" si="2"/>
        <v>140</v>
      </c>
      <c r="EQ7" s="73">
        <f t="shared" si="2"/>
        <v>141</v>
      </c>
      <c r="ER7" s="73">
        <f t="shared" si="2"/>
        <v>142</v>
      </c>
      <c r="ES7" s="73">
        <f t="shared" si="2"/>
        <v>143</v>
      </c>
      <c r="ET7" s="73">
        <f t="shared" si="2"/>
        <v>144</v>
      </c>
      <c r="EU7" s="73">
        <f t="shared" si="2"/>
        <v>145</v>
      </c>
      <c r="EV7" s="73">
        <f t="shared" si="2"/>
        <v>146</v>
      </c>
      <c r="EW7" s="73">
        <f t="shared" si="2"/>
        <v>147</v>
      </c>
      <c r="EX7" s="73">
        <f t="shared" si="2"/>
        <v>148</v>
      </c>
      <c r="EY7" s="73">
        <f t="shared" si="2"/>
        <v>149</v>
      </c>
      <c r="EZ7" s="73">
        <f t="shared" si="2"/>
        <v>150</v>
      </c>
      <c r="FA7" s="73">
        <f t="shared" si="2"/>
        <v>151</v>
      </c>
      <c r="FB7" s="73">
        <f t="shared" si="2"/>
        <v>152</v>
      </c>
      <c r="FC7" s="73">
        <f t="shared" si="2"/>
        <v>153</v>
      </c>
      <c r="FD7" s="73">
        <f t="shared" si="2"/>
        <v>154</v>
      </c>
      <c r="FE7" s="73">
        <f t="shared" si="2"/>
        <v>155</v>
      </c>
      <c r="FF7" s="73">
        <f t="shared" si="2"/>
        <v>156</v>
      </c>
      <c r="FG7" s="73">
        <f t="shared" si="2"/>
        <v>157</v>
      </c>
      <c r="FH7" s="73">
        <f t="shared" si="2"/>
        <v>158</v>
      </c>
      <c r="FI7" s="73">
        <f t="shared" si="2"/>
        <v>159</v>
      </c>
      <c r="FJ7" s="73">
        <f t="shared" si="2"/>
        <v>160</v>
      </c>
      <c r="FK7" s="73">
        <f t="shared" si="2"/>
        <v>161</v>
      </c>
      <c r="FL7" s="73">
        <f t="shared" si="2"/>
        <v>162</v>
      </c>
      <c r="FM7" s="73">
        <f t="shared" si="2"/>
        <v>163</v>
      </c>
      <c r="FN7" s="73">
        <f t="shared" si="2"/>
        <v>164</v>
      </c>
      <c r="FO7" s="73">
        <f t="shared" si="2"/>
        <v>165</v>
      </c>
      <c r="FP7" s="73">
        <f t="shared" si="2"/>
        <v>166</v>
      </c>
      <c r="FQ7" s="73">
        <f t="shared" si="2"/>
        <v>167</v>
      </c>
      <c r="FR7" s="73">
        <f t="shared" si="2"/>
        <v>168</v>
      </c>
      <c r="FS7" s="73">
        <f t="shared" si="2"/>
        <v>169</v>
      </c>
      <c r="FT7" s="73">
        <f t="shared" si="2"/>
        <v>170</v>
      </c>
      <c r="FU7" s="73">
        <f t="shared" si="2"/>
        <v>171</v>
      </c>
      <c r="FV7" s="73">
        <f t="shared" si="2"/>
        <v>172</v>
      </c>
      <c r="FW7" s="73">
        <f t="shared" si="2"/>
        <v>173</v>
      </c>
      <c r="FX7" s="73">
        <f t="shared" si="2"/>
        <v>174</v>
      </c>
      <c r="FY7" s="73">
        <f t="shared" si="2"/>
        <v>175</v>
      </c>
      <c r="FZ7" s="73">
        <f t="shared" si="2"/>
        <v>176</v>
      </c>
      <c r="GA7" s="73">
        <f t="shared" si="2"/>
        <v>177</v>
      </c>
      <c r="GB7" s="73">
        <f t="shared" si="2"/>
        <v>178</v>
      </c>
      <c r="GC7" s="73">
        <f t="shared" si="2"/>
        <v>179</v>
      </c>
      <c r="GD7" s="73">
        <f t="shared" si="2"/>
        <v>180</v>
      </c>
      <c r="GE7" s="73" t="str">
        <f t="shared" si="2"/>
        <v xml:space="preserve"> </v>
      </c>
      <c r="GF7" s="73" t="str">
        <f t="shared" si="2"/>
        <v xml:space="preserve"> </v>
      </c>
      <c r="GG7" s="73" t="str">
        <f t="shared" si="2"/>
        <v xml:space="preserve"> </v>
      </c>
      <c r="GH7" s="73" t="str">
        <f t="shared" si="2"/>
        <v xml:space="preserve"> </v>
      </c>
      <c r="GI7" s="73" t="str">
        <f t="shared" si="2"/>
        <v xml:space="preserve"> </v>
      </c>
      <c r="GJ7" s="73" t="str">
        <f t="shared" si="2"/>
        <v xml:space="preserve"> </v>
      </c>
      <c r="GK7" s="73" t="str">
        <f t="shared" si="2"/>
        <v xml:space="preserve"> </v>
      </c>
      <c r="GL7" s="73" t="str">
        <f t="shared" si="2"/>
        <v xml:space="preserve"> </v>
      </c>
      <c r="GM7" s="73" t="str">
        <f t="shared" si="2"/>
        <v xml:space="preserve"> </v>
      </c>
      <c r="GN7" s="73" t="str">
        <f t="shared" si="2"/>
        <v xml:space="preserve"> </v>
      </c>
      <c r="GO7" s="73" t="str">
        <f t="shared" si="2"/>
        <v xml:space="preserve"> </v>
      </c>
      <c r="GP7" s="73" t="str">
        <f t="shared" si="2"/>
        <v xml:space="preserve"> </v>
      </c>
      <c r="GQ7" s="73" t="str">
        <f t="shared" si="2"/>
        <v xml:space="preserve"> </v>
      </c>
      <c r="GR7" s="73" t="str">
        <f t="shared" ref="GR7:IL7" si="3">IF(GQ$7&lt;$F$5,GQ$7+1," ")</f>
        <v xml:space="preserve"> </v>
      </c>
      <c r="GS7" s="73" t="str">
        <f t="shared" si="3"/>
        <v xml:space="preserve"> </v>
      </c>
      <c r="GT7" s="73" t="str">
        <f t="shared" si="3"/>
        <v xml:space="preserve"> </v>
      </c>
      <c r="GU7" s="73" t="str">
        <f t="shared" si="3"/>
        <v xml:space="preserve"> </v>
      </c>
      <c r="GV7" s="73" t="str">
        <f t="shared" si="3"/>
        <v xml:space="preserve"> </v>
      </c>
      <c r="GW7" s="73" t="str">
        <f t="shared" si="3"/>
        <v xml:space="preserve"> </v>
      </c>
      <c r="GX7" s="73" t="str">
        <f t="shared" si="3"/>
        <v xml:space="preserve"> </v>
      </c>
      <c r="GY7" s="73" t="str">
        <f t="shared" si="3"/>
        <v xml:space="preserve"> </v>
      </c>
      <c r="GZ7" s="73" t="str">
        <f t="shared" si="3"/>
        <v xml:space="preserve"> </v>
      </c>
      <c r="HA7" s="73" t="str">
        <f t="shared" si="3"/>
        <v xml:space="preserve"> </v>
      </c>
      <c r="HB7" s="73" t="str">
        <f t="shared" si="3"/>
        <v xml:space="preserve"> </v>
      </c>
      <c r="HC7" s="73" t="str">
        <f t="shared" si="3"/>
        <v xml:space="preserve"> </v>
      </c>
      <c r="HD7" s="73" t="str">
        <f t="shared" si="3"/>
        <v xml:space="preserve"> </v>
      </c>
      <c r="HE7" s="73" t="str">
        <f t="shared" si="3"/>
        <v xml:space="preserve"> </v>
      </c>
      <c r="HF7" s="73" t="str">
        <f t="shared" si="3"/>
        <v xml:space="preserve"> </v>
      </c>
      <c r="HG7" s="73" t="str">
        <f t="shared" si="3"/>
        <v xml:space="preserve"> </v>
      </c>
      <c r="HH7" s="73" t="str">
        <f t="shared" si="3"/>
        <v xml:space="preserve"> </v>
      </c>
      <c r="HI7" s="73" t="str">
        <f t="shared" si="3"/>
        <v xml:space="preserve"> </v>
      </c>
      <c r="HJ7" s="73" t="str">
        <f t="shared" si="3"/>
        <v xml:space="preserve"> </v>
      </c>
      <c r="HK7" s="73" t="str">
        <f t="shared" si="3"/>
        <v xml:space="preserve"> </v>
      </c>
      <c r="HL7" s="73" t="str">
        <f t="shared" si="3"/>
        <v xml:space="preserve"> </v>
      </c>
      <c r="HM7" s="73" t="str">
        <f t="shared" si="3"/>
        <v xml:space="preserve"> </v>
      </c>
      <c r="HN7" s="73" t="str">
        <f t="shared" si="3"/>
        <v xml:space="preserve"> </v>
      </c>
      <c r="HO7" s="73" t="str">
        <f t="shared" si="3"/>
        <v xml:space="preserve"> </v>
      </c>
      <c r="HP7" s="73" t="str">
        <f t="shared" si="3"/>
        <v xml:space="preserve"> </v>
      </c>
      <c r="HQ7" s="73" t="str">
        <f t="shared" si="3"/>
        <v xml:space="preserve"> </v>
      </c>
      <c r="HR7" s="73" t="str">
        <f t="shared" si="3"/>
        <v xml:space="preserve"> </v>
      </c>
      <c r="HS7" s="73" t="str">
        <f t="shared" si="3"/>
        <v xml:space="preserve"> </v>
      </c>
      <c r="HT7" s="73" t="str">
        <f t="shared" si="3"/>
        <v xml:space="preserve"> </v>
      </c>
      <c r="HU7" s="73" t="str">
        <f t="shared" si="3"/>
        <v xml:space="preserve"> </v>
      </c>
      <c r="HV7" s="73" t="str">
        <f t="shared" si="3"/>
        <v xml:space="preserve"> </v>
      </c>
      <c r="HW7" s="73" t="str">
        <f t="shared" si="3"/>
        <v xml:space="preserve"> </v>
      </c>
      <c r="HX7" s="73" t="str">
        <f t="shared" si="3"/>
        <v xml:space="preserve"> </v>
      </c>
      <c r="HY7" s="73" t="str">
        <f t="shared" si="3"/>
        <v xml:space="preserve"> </v>
      </c>
      <c r="HZ7" s="73" t="str">
        <f t="shared" si="3"/>
        <v xml:space="preserve"> </v>
      </c>
      <c r="IA7" s="73" t="str">
        <f t="shared" si="3"/>
        <v xml:space="preserve"> </v>
      </c>
      <c r="IB7" s="73" t="str">
        <f t="shared" si="3"/>
        <v xml:space="preserve"> </v>
      </c>
      <c r="IC7" s="73" t="str">
        <f t="shared" si="3"/>
        <v xml:space="preserve"> </v>
      </c>
      <c r="ID7" s="73" t="str">
        <f t="shared" si="3"/>
        <v xml:space="preserve"> </v>
      </c>
      <c r="IE7" s="73" t="str">
        <f t="shared" si="3"/>
        <v xml:space="preserve"> </v>
      </c>
      <c r="IF7" s="73" t="str">
        <f t="shared" si="3"/>
        <v xml:space="preserve"> </v>
      </c>
      <c r="IG7" s="73" t="str">
        <f t="shared" si="3"/>
        <v xml:space="preserve"> </v>
      </c>
      <c r="IH7" s="73" t="str">
        <f t="shared" si="3"/>
        <v xml:space="preserve"> </v>
      </c>
      <c r="II7" s="73" t="str">
        <f t="shared" si="3"/>
        <v xml:space="preserve"> </v>
      </c>
      <c r="IJ7" s="73" t="str">
        <f t="shared" si="3"/>
        <v xml:space="preserve"> </v>
      </c>
      <c r="IK7" s="73" t="str">
        <f t="shared" si="3"/>
        <v xml:space="preserve"> </v>
      </c>
      <c r="IL7" s="73" t="str">
        <f t="shared" si="3"/>
        <v xml:space="preserve"> </v>
      </c>
      <c r="IM7" s="73" t="str">
        <f t="shared" ref="IM7" si="4">IF(IL$7&lt;$F$5,IL$7+1," ")</f>
        <v xml:space="preserve"> </v>
      </c>
      <c r="IN7" s="73" t="str">
        <f t="shared" ref="IN7" si="5">IF(IM$7&lt;$F$5,IM$7+1," ")</f>
        <v xml:space="preserve"> </v>
      </c>
      <c r="IO7" s="73" t="str">
        <f t="shared" ref="IO7" si="6">IF(IN$7&lt;$F$5,IN$7+1," ")</f>
        <v xml:space="preserve"> </v>
      </c>
      <c r="IP7" s="73" t="str">
        <f t="shared" ref="IP7" si="7">IF(IO$7&lt;$F$5,IO$7+1," ")</f>
        <v xml:space="preserve"> </v>
      </c>
      <c r="IQ7" s="73" t="str">
        <f t="shared" ref="IQ7" si="8">IF(IP$7&lt;$F$5,IP$7+1," ")</f>
        <v xml:space="preserve"> </v>
      </c>
      <c r="IR7" s="73" t="str">
        <f t="shared" ref="IR7" si="9">IF(IQ$7&lt;$F$5,IQ$7+1," ")</f>
        <v xml:space="preserve"> </v>
      </c>
      <c r="IS7" s="73" t="str">
        <f t="shared" ref="IS7" si="10">IF(IR$7&lt;$F$5,IR$7+1," ")</f>
        <v xml:space="preserve"> </v>
      </c>
      <c r="IT7" s="73" t="str">
        <f t="shared" ref="IT7" si="11">IF(IS$7&lt;$F$5,IS$7+1," ")</f>
        <v xml:space="preserve"> </v>
      </c>
      <c r="IU7" s="73" t="str">
        <f t="shared" ref="IU7" si="12">IF(IT$7&lt;$F$5,IT$7+1," ")</f>
        <v xml:space="preserve"> </v>
      </c>
      <c r="IV7" s="73" t="str">
        <f t="shared" ref="IV7" si="13">IF(IU$7&lt;$F$5,IU$7+1," ")</f>
        <v xml:space="preserve"> </v>
      </c>
      <c r="IW7" s="73" t="str">
        <f t="shared" ref="IW7" si="14">IF(IV$7&lt;$F$5,IV$7+1," ")</f>
        <v xml:space="preserve"> </v>
      </c>
      <c r="IX7" s="73" t="str">
        <f t="shared" ref="IX7" si="15">IF(IW$7&lt;$F$5,IW$7+1," ")</f>
        <v xml:space="preserve"> </v>
      </c>
      <c r="IY7" s="73" t="str">
        <f t="shared" ref="IY7" si="16">IF(IX$7&lt;$F$5,IX$7+1," ")</f>
        <v xml:space="preserve"> </v>
      </c>
      <c r="IZ7" s="73" t="str">
        <f t="shared" ref="IZ7" si="17">IF(IY$7&lt;$F$5,IY$7+1," ")</f>
        <v xml:space="preserve"> </v>
      </c>
      <c r="JA7" s="73" t="str">
        <f t="shared" ref="JA7" si="18">IF(IZ$7&lt;$F$5,IZ$7+1," ")</f>
        <v xml:space="preserve"> </v>
      </c>
      <c r="JB7" s="73" t="str">
        <f t="shared" ref="JB7" si="19">IF(JA$7&lt;$F$5,JA$7+1," ")</f>
        <v xml:space="preserve"> </v>
      </c>
      <c r="JC7" s="73" t="str">
        <f t="shared" ref="JC7" si="20">IF(JB$7&lt;$F$5,JB$7+1," ")</f>
        <v xml:space="preserve"> </v>
      </c>
      <c r="JD7" s="73" t="str">
        <f t="shared" ref="JD7" si="21">IF(JC$7&lt;$F$5,JC$7+1," ")</f>
        <v xml:space="preserve"> </v>
      </c>
      <c r="JE7" s="73" t="str">
        <f t="shared" ref="JE7" si="22">IF(JD$7&lt;$F$5,JD$7+1," ")</f>
        <v xml:space="preserve"> </v>
      </c>
      <c r="JF7" s="73" t="str">
        <f t="shared" ref="JF7" si="23">IF(JE$7&lt;$F$5,JE$7+1," ")</f>
        <v xml:space="preserve"> </v>
      </c>
      <c r="JG7" s="73" t="str">
        <f t="shared" ref="JG7" si="24">IF(JF$7&lt;$F$5,JF$7+1," ")</f>
        <v xml:space="preserve"> </v>
      </c>
      <c r="JH7" s="73" t="str">
        <f t="shared" ref="JH7" si="25">IF(JG$7&lt;$F$5,JG$7+1," ")</f>
        <v xml:space="preserve"> </v>
      </c>
      <c r="JI7" s="73" t="str">
        <f t="shared" ref="JI7" si="26">IF(JH$7&lt;$F$5,JH$7+1," ")</f>
        <v xml:space="preserve"> </v>
      </c>
      <c r="JJ7" s="73" t="str">
        <f t="shared" ref="JJ7" si="27">IF(JI$7&lt;$F$5,JI$7+1," ")</f>
        <v xml:space="preserve"> </v>
      </c>
      <c r="JK7" s="73" t="str">
        <f t="shared" ref="JK7" si="28">IF(JJ$7&lt;$F$5,JJ$7+1," ")</f>
        <v xml:space="preserve"> </v>
      </c>
      <c r="JL7" s="73" t="str">
        <f t="shared" ref="JL7" si="29">IF(JK$7&lt;$F$5,JK$7+1," ")</f>
        <v xml:space="preserve"> </v>
      </c>
      <c r="JM7" s="73" t="str">
        <f t="shared" ref="JM7" si="30">IF(JL$7&lt;$F$5,JL$7+1," ")</f>
        <v xml:space="preserve"> </v>
      </c>
      <c r="JN7" s="73" t="str">
        <f t="shared" ref="JN7" si="31">IF(JM$7&lt;$F$5,JM$7+1," ")</f>
        <v xml:space="preserve"> </v>
      </c>
      <c r="JO7" s="73" t="str">
        <f t="shared" ref="JO7" si="32">IF(JN$7&lt;$F$5,JN$7+1," ")</f>
        <v xml:space="preserve"> </v>
      </c>
      <c r="JP7" s="73" t="str">
        <f t="shared" ref="JP7" si="33">IF(JO$7&lt;$F$5,JO$7+1," ")</f>
        <v xml:space="preserve"> </v>
      </c>
      <c r="JQ7" s="73" t="str">
        <f t="shared" ref="JQ7" si="34">IF(JP$7&lt;$F$5,JP$7+1," ")</f>
        <v xml:space="preserve"> </v>
      </c>
      <c r="JR7" s="73" t="str">
        <f t="shared" ref="JR7" si="35">IF(JQ$7&lt;$F$5,JQ$7+1," ")</f>
        <v xml:space="preserve"> </v>
      </c>
      <c r="JS7" s="73" t="str">
        <f t="shared" ref="JS7" si="36">IF(JR$7&lt;$F$5,JR$7+1," ")</f>
        <v xml:space="preserve"> </v>
      </c>
      <c r="JT7" s="73" t="str">
        <f t="shared" ref="JT7" si="37">IF(JS$7&lt;$F$5,JS$7+1," ")</f>
        <v xml:space="preserve"> </v>
      </c>
      <c r="JU7" s="73" t="str">
        <f t="shared" ref="JU7" si="38">IF(JT$7&lt;$F$5,JT$7+1," ")</f>
        <v xml:space="preserve"> </v>
      </c>
      <c r="JV7" s="73" t="str">
        <f t="shared" ref="JV7" si="39">IF(JU$7&lt;$F$5,JU$7+1," ")</f>
        <v xml:space="preserve"> </v>
      </c>
      <c r="JW7" s="73" t="str">
        <f t="shared" ref="JW7" si="40">IF(JV$7&lt;$F$5,JV$7+1," ")</f>
        <v xml:space="preserve"> </v>
      </c>
      <c r="JX7" s="73" t="str">
        <f t="shared" ref="JX7" si="41">IF(JW$7&lt;$F$5,JW$7+1," ")</f>
        <v xml:space="preserve"> </v>
      </c>
      <c r="JY7" s="73" t="str">
        <f t="shared" ref="JY7" si="42">IF(JX$7&lt;$F$5,JX$7+1," ")</f>
        <v xml:space="preserve"> </v>
      </c>
      <c r="JZ7" s="73" t="str">
        <f t="shared" ref="JZ7" si="43">IF(JY$7&lt;$F$5,JY$7+1," ")</f>
        <v xml:space="preserve"> </v>
      </c>
      <c r="KA7" s="73" t="str">
        <f t="shared" ref="KA7" si="44">IF(JZ$7&lt;$F$5,JZ$7+1," ")</f>
        <v xml:space="preserve"> </v>
      </c>
      <c r="KB7" s="73" t="str">
        <f t="shared" ref="KB7" si="45">IF(KA$7&lt;$F$5,KA$7+1," ")</f>
        <v xml:space="preserve"> </v>
      </c>
      <c r="KC7" s="73" t="str">
        <f t="shared" ref="KC7" si="46">IF(KB$7&lt;$F$5,KB$7+1," ")</f>
        <v xml:space="preserve"> </v>
      </c>
      <c r="KD7" s="73" t="str">
        <f t="shared" ref="KD7" si="47">IF(KC$7&lt;$F$5,KC$7+1," ")</f>
        <v xml:space="preserve"> </v>
      </c>
      <c r="KE7" s="73" t="str">
        <f t="shared" ref="KE7" si="48">IF(KD$7&lt;$F$5,KD$7+1," ")</f>
        <v xml:space="preserve"> </v>
      </c>
      <c r="KF7" s="73" t="str">
        <f t="shared" ref="KF7" si="49">IF(KE$7&lt;$F$5,KE$7+1," ")</f>
        <v xml:space="preserve"> </v>
      </c>
      <c r="KG7" s="73" t="str">
        <f t="shared" ref="KG7" si="50">IF(KF$7&lt;$F$5,KF$7+1," ")</f>
        <v xml:space="preserve"> </v>
      </c>
      <c r="KH7" s="73" t="str">
        <f t="shared" ref="KH7" si="51">IF(KG$7&lt;$F$5,KG$7+1," ")</f>
        <v xml:space="preserve"> </v>
      </c>
      <c r="KI7" s="73" t="str">
        <f t="shared" ref="KI7" si="52">IF(KH$7&lt;$F$5,KH$7+1," ")</f>
        <v xml:space="preserve"> </v>
      </c>
      <c r="KJ7" s="73" t="str">
        <f t="shared" ref="KJ7" si="53">IF(KI$7&lt;$F$5,KI$7+1," ")</f>
        <v xml:space="preserve"> </v>
      </c>
      <c r="KK7" s="73" t="str">
        <f t="shared" ref="KK7" si="54">IF(KJ$7&lt;$F$5,KJ$7+1," ")</f>
        <v xml:space="preserve"> </v>
      </c>
      <c r="KL7" s="73" t="str">
        <f t="shared" ref="KL7" si="55">IF(KK$7&lt;$F$5,KK$7+1," ")</f>
        <v xml:space="preserve"> </v>
      </c>
      <c r="KM7" s="73" t="str">
        <f t="shared" ref="KM7" si="56">IF(KL$7&lt;$F$5,KL$7+1," ")</f>
        <v xml:space="preserve"> </v>
      </c>
      <c r="KN7" s="73" t="str">
        <f t="shared" ref="KN7" si="57">IF(KM$7&lt;$F$5,KM$7+1," ")</f>
        <v xml:space="preserve"> </v>
      </c>
      <c r="KO7" s="73" t="str">
        <f t="shared" ref="KO7" si="58">IF(KN$7&lt;$F$5,KN$7+1," ")</f>
        <v xml:space="preserve"> </v>
      </c>
      <c r="KP7" s="73" t="str">
        <f t="shared" ref="KP7" si="59">IF(KO$7&lt;$F$5,KO$7+1," ")</f>
        <v xml:space="preserve"> </v>
      </c>
      <c r="KQ7" s="73" t="str">
        <f t="shared" ref="KQ7" si="60">IF(KP$7&lt;$F$5,KP$7+1," ")</f>
        <v xml:space="preserve"> </v>
      </c>
      <c r="KR7" s="73" t="str">
        <f t="shared" ref="KR7" si="61">IF(KQ$7&lt;$F$5,KQ$7+1," ")</f>
        <v xml:space="preserve"> </v>
      </c>
      <c r="KS7" s="73" t="str">
        <f t="shared" ref="KS7" si="62">IF(KR$7&lt;$F$5,KR$7+1," ")</f>
        <v xml:space="preserve"> </v>
      </c>
      <c r="KT7" s="73" t="str">
        <f t="shared" ref="KT7" si="63">IF(KS$7&lt;$F$5,KS$7+1," ")</f>
        <v xml:space="preserve"> </v>
      </c>
      <c r="KU7" s="73" t="str">
        <f t="shared" ref="KU7" si="64">IF(KT$7&lt;$F$5,KT$7+1," ")</f>
        <v xml:space="preserve"> </v>
      </c>
      <c r="KV7" s="73" t="str">
        <f t="shared" ref="KV7" si="65">IF(KU$7&lt;$F$5,KU$7+1," ")</f>
        <v xml:space="preserve"> </v>
      </c>
      <c r="KW7" s="73" t="str">
        <f t="shared" ref="KW7" si="66">IF(KV$7&lt;$F$5,KV$7+1," ")</f>
        <v xml:space="preserve"> </v>
      </c>
      <c r="KX7" s="73" t="str">
        <f t="shared" ref="KX7" si="67">IF(KW$7&lt;$F$5,KW$7+1," ")</f>
        <v xml:space="preserve"> </v>
      </c>
      <c r="KY7" s="73" t="str">
        <f t="shared" ref="KY7" si="68">IF(KX$7&lt;$F$5,KX$7+1," ")</f>
        <v xml:space="preserve"> </v>
      </c>
      <c r="KZ7" s="73" t="str">
        <f t="shared" ref="KZ7" si="69">IF(KY$7&lt;$F$5,KY$7+1," ")</f>
        <v xml:space="preserve"> </v>
      </c>
      <c r="LA7" s="73" t="str">
        <f t="shared" ref="LA7" si="70">IF(KZ$7&lt;$F$5,KZ$7+1," ")</f>
        <v xml:space="preserve"> </v>
      </c>
      <c r="LB7" s="73" t="str">
        <f t="shared" ref="LB7" si="71">IF(LA$7&lt;$F$5,LA$7+1," ")</f>
        <v xml:space="preserve"> </v>
      </c>
      <c r="LC7" s="73" t="str">
        <f t="shared" ref="LC7" si="72">IF(LB$7&lt;$F$5,LB$7+1," ")</f>
        <v xml:space="preserve"> </v>
      </c>
      <c r="LD7" s="73" t="str">
        <f t="shared" ref="LD7" si="73">IF(LC$7&lt;$F$5,LC$7+1," ")</f>
        <v xml:space="preserve"> </v>
      </c>
      <c r="LE7" s="73" t="str">
        <f t="shared" ref="LE7" si="74">IF(LD$7&lt;$F$5,LD$7+1," ")</f>
        <v xml:space="preserve"> </v>
      </c>
      <c r="LF7" s="73" t="str">
        <f t="shared" ref="LF7" si="75">IF(LE$7&lt;$F$5,LE$7+1," ")</f>
        <v xml:space="preserve"> </v>
      </c>
      <c r="LG7" s="73" t="str">
        <f t="shared" ref="LG7" si="76">IF(LF$7&lt;$F$5,LF$7+1," ")</f>
        <v xml:space="preserve"> </v>
      </c>
      <c r="LH7" s="73" t="str">
        <f t="shared" ref="LH7" si="77">IF(LG$7&lt;$F$5,LG$7+1," ")</f>
        <v xml:space="preserve"> </v>
      </c>
      <c r="LI7" s="73" t="str">
        <f t="shared" ref="LI7" si="78">IF(LH$7&lt;$F$5,LH$7+1," ")</f>
        <v xml:space="preserve"> </v>
      </c>
      <c r="LJ7" s="73" t="str">
        <f t="shared" ref="LJ7" si="79">IF(LI$7&lt;$F$5,LI$7+1," ")</f>
        <v xml:space="preserve"> </v>
      </c>
      <c r="LK7" s="73" t="str">
        <f t="shared" ref="LK7" si="80">IF(LJ$7&lt;$F$5,LJ$7+1," ")</f>
        <v xml:space="preserve"> </v>
      </c>
      <c r="LL7" s="73" t="str">
        <f t="shared" ref="LL7" si="81">IF(LK$7&lt;$F$5,LK$7+1," ")</f>
        <v xml:space="preserve"> </v>
      </c>
      <c r="LM7" s="73" t="str">
        <f t="shared" ref="LM7" si="82">IF(LL$7&lt;$F$5,LL$7+1," ")</f>
        <v xml:space="preserve"> </v>
      </c>
      <c r="LN7" s="73" t="str">
        <f t="shared" ref="LN7" si="83">IF(LM$7&lt;$F$5,LM$7+1," ")</f>
        <v xml:space="preserve"> </v>
      </c>
      <c r="LO7" s="73" t="str">
        <f t="shared" ref="LO7" si="84">IF(LN$7&lt;$F$5,LN$7+1," ")</f>
        <v xml:space="preserve"> </v>
      </c>
      <c r="LP7" s="73" t="str">
        <f t="shared" ref="LP7" si="85">IF(LO$7&lt;$F$5,LO$7+1," ")</f>
        <v xml:space="preserve"> </v>
      </c>
      <c r="LQ7" s="73" t="str">
        <f t="shared" ref="LQ7" si="86">IF(LP$7&lt;$F$5,LP$7+1," ")</f>
        <v xml:space="preserve"> </v>
      </c>
      <c r="LR7" s="73" t="str">
        <f t="shared" ref="LR7" si="87">IF(LQ$7&lt;$F$5,LQ$7+1," ")</f>
        <v xml:space="preserve"> </v>
      </c>
      <c r="LS7" s="73" t="str">
        <f t="shared" ref="LS7" si="88">IF(LR$7&lt;$F$5,LR$7+1," ")</f>
        <v xml:space="preserve"> </v>
      </c>
      <c r="LT7" s="73" t="str">
        <f t="shared" ref="LT7" si="89">IF(LS$7&lt;$F$5,LS$7+1," ")</f>
        <v xml:space="preserve"> </v>
      </c>
      <c r="LU7" s="73" t="str">
        <f t="shared" ref="LU7" si="90">IF(LT$7&lt;$F$5,LT$7+1," ")</f>
        <v xml:space="preserve"> </v>
      </c>
      <c r="LV7" s="73" t="str">
        <f t="shared" ref="LV7" si="91">IF(LU$7&lt;$F$5,LU$7+1," ")</f>
        <v xml:space="preserve"> </v>
      </c>
      <c r="LW7" s="73" t="str">
        <f t="shared" ref="LW7" si="92">IF(LV$7&lt;$F$5,LV$7+1," ")</f>
        <v xml:space="preserve"> </v>
      </c>
      <c r="LX7" s="73" t="str">
        <f t="shared" ref="LX7" si="93">IF(LW$7&lt;$F$5,LW$7+1," ")</f>
        <v xml:space="preserve"> </v>
      </c>
      <c r="LY7" s="73" t="str">
        <f t="shared" ref="LY7" si="94">IF(LX$7&lt;$F$5,LX$7+1," ")</f>
        <v xml:space="preserve"> </v>
      </c>
      <c r="LZ7" s="73" t="str">
        <f t="shared" ref="LZ7" si="95">IF(LY$7&lt;$F$5,LY$7+1," ")</f>
        <v xml:space="preserve"> </v>
      </c>
      <c r="MA7" s="73" t="str">
        <f t="shared" ref="MA7" si="96">IF(LZ$7&lt;$F$5,LZ$7+1," ")</f>
        <v xml:space="preserve"> </v>
      </c>
      <c r="MB7" s="73" t="str">
        <f t="shared" ref="MB7" si="97">IF(MA$7&lt;$F$5,MA$7+1," ")</f>
        <v xml:space="preserve"> </v>
      </c>
      <c r="MC7" s="73" t="str">
        <f t="shared" ref="MC7" si="98">IF(MB$7&lt;$F$5,MB$7+1," ")</f>
        <v xml:space="preserve"> </v>
      </c>
      <c r="MD7" s="73" t="str">
        <f t="shared" ref="MD7" si="99">IF(MC$7&lt;$F$5,MC$7+1," ")</f>
        <v xml:space="preserve"> </v>
      </c>
      <c r="ME7" s="73" t="str">
        <f t="shared" ref="ME7" si="100">IF(MD$7&lt;$F$5,MD$7+1," ")</f>
        <v xml:space="preserve"> </v>
      </c>
      <c r="MF7" s="73" t="str">
        <f t="shared" ref="MF7" si="101">IF(ME$7&lt;$F$5,ME$7+1," ")</f>
        <v xml:space="preserve"> </v>
      </c>
      <c r="MG7" s="73" t="str">
        <f t="shared" ref="MG7" si="102">IF(MF$7&lt;$F$5,MF$7+1," ")</f>
        <v xml:space="preserve"> </v>
      </c>
      <c r="MH7" s="73" t="str">
        <f t="shared" ref="MH7" si="103">IF(MG$7&lt;$F$5,MG$7+1," ")</f>
        <v xml:space="preserve"> </v>
      </c>
      <c r="MI7" s="73" t="str">
        <f t="shared" ref="MI7" si="104">IF(MH$7&lt;$F$5,MH$7+1," ")</f>
        <v xml:space="preserve"> </v>
      </c>
      <c r="MJ7" s="73" t="str">
        <f t="shared" ref="MJ7" si="105">IF(MI$7&lt;$F$5,MI$7+1," ")</f>
        <v xml:space="preserve"> </v>
      </c>
      <c r="MK7" s="73" t="str">
        <f t="shared" ref="MK7" si="106">IF(MJ$7&lt;$F$5,MJ$7+1," ")</f>
        <v xml:space="preserve"> </v>
      </c>
      <c r="ML7" s="73" t="str">
        <f t="shared" ref="ML7" si="107">IF(MK$7&lt;$F$5,MK$7+1," ")</f>
        <v xml:space="preserve"> </v>
      </c>
      <c r="MM7" s="73" t="str">
        <f t="shared" ref="MM7" si="108">IF(ML$7&lt;$F$5,ML$7+1," ")</f>
        <v xml:space="preserve"> </v>
      </c>
      <c r="MN7" s="73" t="str">
        <f t="shared" ref="MN7" si="109">IF(MM$7&lt;$F$5,MM$7+1," ")</f>
        <v xml:space="preserve"> </v>
      </c>
      <c r="MO7" s="73" t="str">
        <f t="shared" ref="MO7" si="110">IF(MN$7&lt;$F$5,MN$7+1," ")</f>
        <v xml:space="preserve"> </v>
      </c>
      <c r="MP7" s="73" t="str">
        <f t="shared" ref="MP7" si="111">IF(MO$7&lt;$F$5,MO$7+1," ")</f>
        <v xml:space="preserve"> </v>
      </c>
      <c r="MQ7" s="73" t="str">
        <f t="shared" ref="MQ7" si="112">IF(MP$7&lt;$F$5,MP$7+1," ")</f>
        <v xml:space="preserve"> </v>
      </c>
      <c r="MR7" s="73" t="str">
        <f t="shared" ref="MR7" si="113">IF(MQ$7&lt;$F$5,MQ$7+1," ")</f>
        <v xml:space="preserve"> </v>
      </c>
      <c r="MS7" s="73" t="str">
        <f t="shared" ref="MS7" si="114">IF(MR$7&lt;$F$5,MR$7+1," ")</f>
        <v xml:space="preserve"> </v>
      </c>
      <c r="MT7" s="73" t="str">
        <f t="shared" ref="MT7" si="115">IF(MS$7&lt;$F$5,MS$7+1," ")</f>
        <v xml:space="preserve"> </v>
      </c>
      <c r="MU7" s="73" t="str">
        <f t="shared" ref="MU7" si="116">IF(MT$7&lt;$F$5,MT$7+1," ")</f>
        <v xml:space="preserve"> </v>
      </c>
      <c r="MV7" s="73" t="str">
        <f t="shared" ref="MV7" si="117">IF(MU$7&lt;$F$5,MU$7+1," ")</f>
        <v xml:space="preserve"> </v>
      </c>
      <c r="MW7" s="73" t="str">
        <f t="shared" ref="MW7" si="118">IF(MV$7&lt;$F$5,MV$7+1," ")</f>
        <v xml:space="preserve"> </v>
      </c>
      <c r="MX7" s="73" t="str">
        <f t="shared" ref="MX7" si="119">IF(MW$7&lt;$F$5,MW$7+1," ")</f>
        <v xml:space="preserve"> </v>
      </c>
      <c r="MY7" s="73" t="str">
        <f t="shared" ref="MY7" si="120">IF(MX$7&lt;$F$5,MX$7+1," ")</f>
        <v xml:space="preserve"> </v>
      </c>
      <c r="MZ7" s="73" t="str">
        <f t="shared" ref="MZ7" si="121">IF(MY$7&lt;$F$5,MY$7+1," ")</f>
        <v xml:space="preserve"> </v>
      </c>
      <c r="NA7" s="73" t="str">
        <f t="shared" ref="NA7" si="122">IF(MZ$7&lt;$F$5,MZ$7+1," ")</f>
        <v xml:space="preserve"> </v>
      </c>
      <c r="NB7" s="73" t="str">
        <f t="shared" ref="NB7" si="123">IF(NA$7&lt;$F$5,NA$7+1," ")</f>
        <v xml:space="preserve"> </v>
      </c>
      <c r="NC7" s="187"/>
      <c r="ND7" s="211"/>
      <c r="NE7" s="187"/>
      <c r="NF7" s="187"/>
      <c r="NG7" s="187"/>
      <c r="NH7" s="187"/>
      <c r="NI7" s="187"/>
      <c r="NJ7" s="187"/>
      <c r="NK7" s="187"/>
      <c r="NL7" s="187"/>
      <c r="NM7" s="187"/>
      <c r="NN7" s="187"/>
      <c r="NO7" s="187"/>
      <c r="NP7" s="187"/>
      <c r="NQ7" s="187"/>
      <c r="NR7" s="187"/>
      <c r="NS7" s="187"/>
      <c r="NT7" s="187"/>
      <c r="NU7" s="187"/>
      <c r="NV7" s="187"/>
      <c r="NW7" s="187"/>
      <c r="NX7" s="187"/>
    </row>
    <row r="8" spans="2:388" x14ac:dyDescent="0.15">
      <c r="B8" s="72" t="s">
        <v>64</v>
      </c>
      <c r="C8" s="72"/>
      <c r="D8" s="72"/>
      <c r="E8" s="72"/>
      <c r="F8" s="74">
        <f>purchase_date</f>
        <v>46266</v>
      </c>
      <c r="G8" s="74">
        <f>IF(G$7&lt;&gt;" ",EDATE(F$8,1)," ")</f>
        <v>46296</v>
      </c>
      <c r="H8" s="74">
        <f t="shared" ref="H8:BS8" si="124">IF(H$7&lt;&gt;" ",EDATE(G$8,1)," ")</f>
        <v>46327</v>
      </c>
      <c r="I8" s="74">
        <f t="shared" si="124"/>
        <v>46357</v>
      </c>
      <c r="J8" s="74">
        <f t="shared" si="124"/>
        <v>46388</v>
      </c>
      <c r="K8" s="74">
        <f t="shared" si="124"/>
        <v>46419</v>
      </c>
      <c r="L8" s="74">
        <f t="shared" si="124"/>
        <v>46447</v>
      </c>
      <c r="M8" s="74">
        <f t="shared" si="124"/>
        <v>46478</v>
      </c>
      <c r="N8" s="74">
        <f t="shared" si="124"/>
        <v>46508</v>
      </c>
      <c r="O8" s="74">
        <f t="shared" si="124"/>
        <v>46539</v>
      </c>
      <c r="P8" s="74">
        <f t="shared" si="124"/>
        <v>46569</v>
      </c>
      <c r="Q8" s="74">
        <f t="shared" si="124"/>
        <v>46600</v>
      </c>
      <c r="R8" s="74">
        <f t="shared" si="124"/>
        <v>46631</v>
      </c>
      <c r="S8" s="74">
        <f t="shared" si="124"/>
        <v>46661</v>
      </c>
      <c r="T8" s="74">
        <f t="shared" si="124"/>
        <v>46692</v>
      </c>
      <c r="U8" s="74">
        <f t="shared" si="124"/>
        <v>46722</v>
      </c>
      <c r="V8" s="74">
        <f t="shared" si="124"/>
        <v>46753</v>
      </c>
      <c r="W8" s="74">
        <f t="shared" si="124"/>
        <v>46784</v>
      </c>
      <c r="X8" s="74">
        <f t="shared" si="124"/>
        <v>46813</v>
      </c>
      <c r="Y8" s="74">
        <f t="shared" si="124"/>
        <v>46844</v>
      </c>
      <c r="Z8" s="74">
        <f t="shared" si="124"/>
        <v>46874</v>
      </c>
      <c r="AA8" s="74">
        <f t="shared" si="124"/>
        <v>46905</v>
      </c>
      <c r="AB8" s="74">
        <f t="shared" si="124"/>
        <v>46935</v>
      </c>
      <c r="AC8" s="74">
        <f t="shared" si="124"/>
        <v>46966</v>
      </c>
      <c r="AD8" s="74">
        <f t="shared" si="124"/>
        <v>46997</v>
      </c>
      <c r="AE8" s="74">
        <f t="shared" si="124"/>
        <v>47027</v>
      </c>
      <c r="AF8" s="74">
        <f t="shared" si="124"/>
        <v>47058</v>
      </c>
      <c r="AG8" s="74">
        <f t="shared" si="124"/>
        <v>47088</v>
      </c>
      <c r="AH8" s="74">
        <f t="shared" si="124"/>
        <v>47119</v>
      </c>
      <c r="AI8" s="74">
        <f t="shared" si="124"/>
        <v>47150</v>
      </c>
      <c r="AJ8" s="74">
        <f t="shared" si="124"/>
        <v>47178</v>
      </c>
      <c r="AK8" s="74">
        <f t="shared" si="124"/>
        <v>47209</v>
      </c>
      <c r="AL8" s="74">
        <f t="shared" si="124"/>
        <v>47239</v>
      </c>
      <c r="AM8" s="74">
        <f t="shared" si="124"/>
        <v>47270</v>
      </c>
      <c r="AN8" s="74">
        <f t="shared" si="124"/>
        <v>47300</v>
      </c>
      <c r="AO8" s="74">
        <f t="shared" si="124"/>
        <v>47331</v>
      </c>
      <c r="AP8" s="74">
        <f t="shared" si="124"/>
        <v>47362</v>
      </c>
      <c r="AQ8" s="74">
        <f t="shared" si="124"/>
        <v>47392</v>
      </c>
      <c r="AR8" s="74">
        <f t="shared" si="124"/>
        <v>47423</v>
      </c>
      <c r="AS8" s="74">
        <f t="shared" si="124"/>
        <v>47453</v>
      </c>
      <c r="AT8" s="74">
        <f t="shared" si="124"/>
        <v>47484</v>
      </c>
      <c r="AU8" s="74">
        <f t="shared" si="124"/>
        <v>47515</v>
      </c>
      <c r="AV8" s="74">
        <f t="shared" si="124"/>
        <v>47543</v>
      </c>
      <c r="AW8" s="74">
        <f t="shared" si="124"/>
        <v>47574</v>
      </c>
      <c r="AX8" s="74">
        <f t="shared" si="124"/>
        <v>47604</v>
      </c>
      <c r="AY8" s="74">
        <f t="shared" si="124"/>
        <v>47635</v>
      </c>
      <c r="AZ8" s="74">
        <f t="shared" si="124"/>
        <v>47665</v>
      </c>
      <c r="BA8" s="74">
        <f t="shared" si="124"/>
        <v>47696</v>
      </c>
      <c r="BB8" s="74">
        <f t="shared" si="124"/>
        <v>47727</v>
      </c>
      <c r="BC8" s="74">
        <f t="shared" si="124"/>
        <v>47757</v>
      </c>
      <c r="BD8" s="74">
        <f t="shared" si="124"/>
        <v>47788</v>
      </c>
      <c r="BE8" s="74">
        <f t="shared" si="124"/>
        <v>47818</v>
      </c>
      <c r="BF8" s="74">
        <f t="shared" si="124"/>
        <v>47849</v>
      </c>
      <c r="BG8" s="74">
        <f t="shared" si="124"/>
        <v>47880</v>
      </c>
      <c r="BH8" s="74">
        <f t="shared" si="124"/>
        <v>47908</v>
      </c>
      <c r="BI8" s="74">
        <f t="shared" si="124"/>
        <v>47939</v>
      </c>
      <c r="BJ8" s="74">
        <f t="shared" si="124"/>
        <v>47969</v>
      </c>
      <c r="BK8" s="74">
        <f t="shared" si="124"/>
        <v>48000</v>
      </c>
      <c r="BL8" s="74">
        <f t="shared" si="124"/>
        <v>48030</v>
      </c>
      <c r="BM8" s="74">
        <f t="shared" si="124"/>
        <v>48061</v>
      </c>
      <c r="BN8" s="74">
        <f t="shared" si="124"/>
        <v>48092</v>
      </c>
      <c r="BO8" s="74">
        <f t="shared" si="124"/>
        <v>48122</v>
      </c>
      <c r="BP8" s="74">
        <f t="shared" si="124"/>
        <v>48153</v>
      </c>
      <c r="BQ8" s="74">
        <f t="shared" si="124"/>
        <v>48183</v>
      </c>
      <c r="BR8" s="74">
        <f t="shared" si="124"/>
        <v>48214</v>
      </c>
      <c r="BS8" s="74">
        <f t="shared" si="124"/>
        <v>48245</v>
      </c>
      <c r="BT8" s="74">
        <f t="shared" ref="BT8:EE8" si="125">IF(BT$7&lt;&gt;" ",EDATE(BS$8,1)," ")</f>
        <v>48274</v>
      </c>
      <c r="BU8" s="74">
        <f t="shared" si="125"/>
        <v>48305</v>
      </c>
      <c r="BV8" s="74">
        <f t="shared" si="125"/>
        <v>48335</v>
      </c>
      <c r="BW8" s="74">
        <f t="shared" si="125"/>
        <v>48366</v>
      </c>
      <c r="BX8" s="74">
        <f t="shared" si="125"/>
        <v>48396</v>
      </c>
      <c r="BY8" s="74">
        <f t="shared" si="125"/>
        <v>48427</v>
      </c>
      <c r="BZ8" s="74">
        <f t="shared" si="125"/>
        <v>48458</v>
      </c>
      <c r="CA8" s="74">
        <f t="shared" si="125"/>
        <v>48488</v>
      </c>
      <c r="CB8" s="74">
        <f t="shared" si="125"/>
        <v>48519</v>
      </c>
      <c r="CC8" s="74">
        <f t="shared" si="125"/>
        <v>48549</v>
      </c>
      <c r="CD8" s="74">
        <f t="shared" si="125"/>
        <v>48580</v>
      </c>
      <c r="CE8" s="74">
        <f t="shared" si="125"/>
        <v>48611</v>
      </c>
      <c r="CF8" s="74">
        <f t="shared" si="125"/>
        <v>48639</v>
      </c>
      <c r="CG8" s="74">
        <f t="shared" si="125"/>
        <v>48670</v>
      </c>
      <c r="CH8" s="74">
        <f t="shared" si="125"/>
        <v>48700</v>
      </c>
      <c r="CI8" s="74">
        <f t="shared" si="125"/>
        <v>48731</v>
      </c>
      <c r="CJ8" s="74">
        <f t="shared" si="125"/>
        <v>48761</v>
      </c>
      <c r="CK8" s="74">
        <f t="shared" si="125"/>
        <v>48792</v>
      </c>
      <c r="CL8" s="74">
        <f t="shared" si="125"/>
        <v>48823</v>
      </c>
      <c r="CM8" s="74">
        <f t="shared" si="125"/>
        <v>48853</v>
      </c>
      <c r="CN8" s="74">
        <f t="shared" si="125"/>
        <v>48884</v>
      </c>
      <c r="CO8" s="74">
        <f t="shared" si="125"/>
        <v>48914</v>
      </c>
      <c r="CP8" s="74">
        <f t="shared" si="125"/>
        <v>48945</v>
      </c>
      <c r="CQ8" s="74">
        <f t="shared" si="125"/>
        <v>48976</v>
      </c>
      <c r="CR8" s="74">
        <f t="shared" si="125"/>
        <v>49004</v>
      </c>
      <c r="CS8" s="74">
        <f t="shared" si="125"/>
        <v>49035</v>
      </c>
      <c r="CT8" s="74">
        <f t="shared" si="125"/>
        <v>49065</v>
      </c>
      <c r="CU8" s="74">
        <f t="shared" si="125"/>
        <v>49096</v>
      </c>
      <c r="CV8" s="74">
        <f t="shared" si="125"/>
        <v>49126</v>
      </c>
      <c r="CW8" s="74">
        <f t="shared" si="125"/>
        <v>49157</v>
      </c>
      <c r="CX8" s="74">
        <f t="shared" si="125"/>
        <v>49188</v>
      </c>
      <c r="CY8" s="74">
        <f t="shared" si="125"/>
        <v>49218</v>
      </c>
      <c r="CZ8" s="74">
        <f t="shared" si="125"/>
        <v>49249</v>
      </c>
      <c r="DA8" s="74">
        <f t="shared" si="125"/>
        <v>49279</v>
      </c>
      <c r="DB8" s="74">
        <f t="shared" si="125"/>
        <v>49310</v>
      </c>
      <c r="DC8" s="74">
        <f t="shared" si="125"/>
        <v>49341</v>
      </c>
      <c r="DD8" s="74">
        <f t="shared" si="125"/>
        <v>49369</v>
      </c>
      <c r="DE8" s="74">
        <f t="shared" si="125"/>
        <v>49400</v>
      </c>
      <c r="DF8" s="74">
        <f t="shared" si="125"/>
        <v>49430</v>
      </c>
      <c r="DG8" s="74">
        <f t="shared" si="125"/>
        <v>49461</v>
      </c>
      <c r="DH8" s="74">
        <f t="shared" si="125"/>
        <v>49491</v>
      </c>
      <c r="DI8" s="74">
        <f t="shared" si="125"/>
        <v>49522</v>
      </c>
      <c r="DJ8" s="74">
        <f t="shared" si="125"/>
        <v>49553</v>
      </c>
      <c r="DK8" s="74">
        <f t="shared" si="125"/>
        <v>49583</v>
      </c>
      <c r="DL8" s="74">
        <f t="shared" si="125"/>
        <v>49614</v>
      </c>
      <c r="DM8" s="74">
        <f t="shared" si="125"/>
        <v>49644</v>
      </c>
      <c r="DN8" s="74">
        <f t="shared" si="125"/>
        <v>49675</v>
      </c>
      <c r="DO8" s="74">
        <f t="shared" si="125"/>
        <v>49706</v>
      </c>
      <c r="DP8" s="74">
        <f t="shared" si="125"/>
        <v>49735</v>
      </c>
      <c r="DQ8" s="74">
        <f t="shared" si="125"/>
        <v>49766</v>
      </c>
      <c r="DR8" s="74">
        <f t="shared" si="125"/>
        <v>49796</v>
      </c>
      <c r="DS8" s="74">
        <f t="shared" si="125"/>
        <v>49827</v>
      </c>
      <c r="DT8" s="74">
        <f t="shared" si="125"/>
        <v>49857</v>
      </c>
      <c r="DU8" s="74">
        <f t="shared" si="125"/>
        <v>49888</v>
      </c>
      <c r="DV8" s="74">
        <f t="shared" si="125"/>
        <v>49919</v>
      </c>
      <c r="DW8" s="74">
        <f t="shared" si="125"/>
        <v>49949</v>
      </c>
      <c r="DX8" s="74">
        <f t="shared" si="125"/>
        <v>49980</v>
      </c>
      <c r="DY8" s="74">
        <f t="shared" si="125"/>
        <v>50010</v>
      </c>
      <c r="DZ8" s="74">
        <f t="shared" si="125"/>
        <v>50041</v>
      </c>
      <c r="EA8" s="74">
        <f t="shared" si="125"/>
        <v>50072</v>
      </c>
      <c r="EB8" s="74">
        <f t="shared" si="125"/>
        <v>50100</v>
      </c>
      <c r="EC8" s="74">
        <f t="shared" si="125"/>
        <v>50131</v>
      </c>
      <c r="ED8" s="74">
        <f t="shared" si="125"/>
        <v>50161</v>
      </c>
      <c r="EE8" s="74">
        <f t="shared" si="125"/>
        <v>50192</v>
      </c>
      <c r="EF8" s="74">
        <f t="shared" ref="EF8:GQ8" si="126">IF(EF$7&lt;&gt;" ",EDATE(EE$8,1)," ")</f>
        <v>50222</v>
      </c>
      <c r="EG8" s="74">
        <f t="shared" si="126"/>
        <v>50253</v>
      </c>
      <c r="EH8" s="74">
        <f t="shared" si="126"/>
        <v>50284</v>
      </c>
      <c r="EI8" s="74">
        <f t="shared" si="126"/>
        <v>50314</v>
      </c>
      <c r="EJ8" s="74">
        <f t="shared" si="126"/>
        <v>50345</v>
      </c>
      <c r="EK8" s="74">
        <f t="shared" si="126"/>
        <v>50375</v>
      </c>
      <c r="EL8" s="74">
        <f t="shared" si="126"/>
        <v>50406</v>
      </c>
      <c r="EM8" s="74">
        <f t="shared" si="126"/>
        <v>50437</v>
      </c>
      <c r="EN8" s="74">
        <f t="shared" si="126"/>
        <v>50465</v>
      </c>
      <c r="EO8" s="74">
        <f t="shared" si="126"/>
        <v>50496</v>
      </c>
      <c r="EP8" s="74">
        <f t="shared" si="126"/>
        <v>50526</v>
      </c>
      <c r="EQ8" s="74">
        <f t="shared" si="126"/>
        <v>50557</v>
      </c>
      <c r="ER8" s="74">
        <f t="shared" si="126"/>
        <v>50587</v>
      </c>
      <c r="ES8" s="74">
        <f t="shared" si="126"/>
        <v>50618</v>
      </c>
      <c r="ET8" s="74">
        <f t="shared" si="126"/>
        <v>50649</v>
      </c>
      <c r="EU8" s="74">
        <f t="shared" si="126"/>
        <v>50679</v>
      </c>
      <c r="EV8" s="74">
        <f t="shared" si="126"/>
        <v>50710</v>
      </c>
      <c r="EW8" s="74">
        <f t="shared" si="126"/>
        <v>50740</v>
      </c>
      <c r="EX8" s="74">
        <f t="shared" si="126"/>
        <v>50771</v>
      </c>
      <c r="EY8" s="74">
        <f t="shared" si="126"/>
        <v>50802</v>
      </c>
      <c r="EZ8" s="74">
        <f t="shared" si="126"/>
        <v>50830</v>
      </c>
      <c r="FA8" s="74">
        <f t="shared" si="126"/>
        <v>50861</v>
      </c>
      <c r="FB8" s="74">
        <f t="shared" si="126"/>
        <v>50891</v>
      </c>
      <c r="FC8" s="74">
        <f t="shared" si="126"/>
        <v>50922</v>
      </c>
      <c r="FD8" s="74">
        <f t="shared" si="126"/>
        <v>50952</v>
      </c>
      <c r="FE8" s="74">
        <f t="shared" si="126"/>
        <v>50983</v>
      </c>
      <c r="FF8" s="74">
        <f t="shared" si="126"/>
        <v>51014</v>
      </c>
      <c r="FG8" s="74">
        <f t="shared" si="126"/>
        <v>51044</v>
      </c>
      <c r="FH8" s="74">
        <f t="shared" si="126"/>
        <v>51075</v>
      </c>
      <c r="FI8" s="74">
        <f t="shared" si="126"/>
        <v>51105</v>
      </c>
      <c r="FJ8" s="74">
        <f t="shared" si="126"/>
        <v>51136</v>
      </c>
      <c r="FK8" s="74">
        <f t="shared" si="126"/>
        <v>51167</v>
      </c>
      <c r="FL8" s="74">
        <f t="shared" si="126"/>
        <v>51196</v>
      </c>
      <c r="FM8" s="74">
        <f t="shared" si="126"/>
        <v>51227</v>
      </c>
      <c r="FN8" s="74">
        <f t="shared" si="126"/>
        <v>51257</v>
      </c>
      <c r="FO8" s="74">
        <f t="shared" si="126"/>
        <v>51288</v>
      </c>
      <c r="FP8" s="74">
        <f t="shared" si="126"/>
        <v>51318</v>
      </c>
      <c r="FQ8" s="74">
        <f t="shared" si="126"/>
        <v>51349</v>
      </c>
      <c r="FR8" s="74">
        <f t="shared" si="126"/>
        <v>51380</v>
      </c>
      <c r="FS8" s="74">
        <f t="shared" si="126"/>
        <v>51410</v>
      </c>
      <c r="FT8" s="74">
        <f t="shared" si="126"/>
        <v>51441</v>
      </c>
      <c r="FU8" s="74">
        <f t="shared" si="126"/>
        <v>51471</v>
      </c>
      <c r="FV8" s="74">
        <f t="shared" si="126"/>
        <v>51502</v>
      </c>
      <c r="FW8" s="74">
        <f t="shared" si="126"/>
        <v>51533</v>
      </c>
      <c r="FX8" s="74">
        <f t="shared" si="126"/>
        <v>51561</v>
      </c>
      <c r="FY8" s="74">
        <f t="shared" si="126"/>
        <v>51592</v>
      </c>
      <c r="FZ8" s="74">
        <f t="shared" si="126"/>
        <v>51622</v>
      </c>
      <c r="GA8" s="74">
        <f t="shared" si="126"/>
        <v>51653</v>
      </c>
      <c r="GB8" s="74">
        <f t="shared" si="126"/>
        <v>51683</v>
      </c>
      <c r="GC8" s="74">
        <f t="shared" si="126"/>
        <v>51714</v>
      </c>
      <c r="GD8" s="74">
        <f t="shared" si="126"/>
        <v>51745</v>
      </c>
      <c r="GE8" s="74" t="str">
        <f t="shared" si="126"/>
        <v xml:space="preserve"> </v>
      </c>
      <c r="GF8" s="74" t="str">
        <f t="shared" si="126"/>
        <v xml:space="preserve"> </v>
      </c>
      <c r="GG8" s="74" t="str">
        <f t="shared" si="126"/>
        <v xml:space="preserve"> </v>
      </c>
      <c r="GH8" s="74" t="str">
        <f t="shared" si="126"/>
        <v xml:space="preserve"> </v>
      </c>
      <c r="GI8" s="74" t="str">
        <f t="shared" si="126"/>
        <v xml:space="preserve"> </v>
      </c>
      <c r="GJ8" s="74" t="str">
        <f t="shared" si="126"/>
        <v xml:space="preserve"> </v>
      </c>
      <c r="GK8" s="74" t="str">
        <f t="shared" si="126"/>
        <v xml:space="preserve"> </v>
      </c>
      <c r="GL8" s="74" t="str">
        <f t="shared" si="126"/>
        <v xml:space="preserve"> </v>
      </c>
      <c r="GM8" s="74" t="str">
        <f t="shared" si="126"/>
        <v xml:space="preserve"> </v>
      </c>
      <c r="GN8" s="74" t="str">
        <f t="shared" si="126"/>
        <v xml:space="preserve"> </v>
      </c>
      <c r="GO8" s="74" t="str">
        <f t="shared" si="126"/>
        <v xml:space="preserve"> </v>
      </c>
      <c r="GP8" s="74" t="str">
        <f t="shared" si="126"/>
        <v xml:space="preserve"> </v>
      </c>
      <c r="GQ8" s="74" t="str">
        <f t="shared" si="126"/>
        <v xml:space="preserve"> </v>
      </c>
      <c r="GR8" s="74" t="str">
        <f t="shared" ref="GR8:IL8" si="127">IF(GR$7&lt;&gt;" ",EDATE(GQ$8,1)," ")</f>
        <v xml:space="preserve"> </v>
      </c>
      <c r="GS8" s="74" t="str">
        <f t="shared" si="127"/>
        <v xml:space="preserve"> </v>
      </c>
      <c r="GT8" s="74" t="str">
        <f t="shared" si="127"/>
        <v xml:space="preserve"> </v>
      </c>
      <c r="GU8" s="74" t="str">
        <f t="shared" si="127"/>
        <v xml:space="preserve"> </v>
      </c>
      <c r="GV8" s="74" t="str">
        <f t="shared" si="127"/>
        <v xml:space="preserve"> </v>
      </c>
      <c r="GW8" s="74" t="str">
        <f t="shared" si="127"/>
        <v xml:space="preserve"> </v>
      </c>
      <c r="GX8" s="74" t="str">
        <f t="shared" si="127"/>
        <v xml:space="preserve"> </v>
      </c>
      <c r="GY8" s="74" t="str">
        <f t="shared" si="127"/>
        <v xml:space="preserve"> </v>
      </c>
      <c r="GZ8" s="74" t="str">
        <f t="shared" si="127"/>
        <v xml:space="preserve"> </v>
      </c>
      <c r="HA8" s="74" t="str">
        <f t="shared" si="127"/>
        <v xml:space="preserve"> </v>
      </c>
      <c r="HB8" s="74" t="str">
        <f t="shared" si="127"/>
        <v xml:space="preserve"> </v>
      </c>
      <c r="HC8" s="74" t="str">
        <f t="shared" si="127"/>
        <v xml:space="preserve"> </v>
      </c>
      <c r="HD8" s="74" t="str">
        <f t="shared" si="127"/>
        <v xml:space="preserve"> </v>
      </c>
      <c r="HE8" s="74" t="str">
        <f t="shared" si="127"/>
        <v xml:space="preserve"> </v>
      </c>
      <c r="HF8" s="74" t="str">
        <f t="shared" si="127"/>
        <v xml:space="preserve"> </v>
      </c>
      <c r="HG8" s="74" t="str">
        <f t="shared" si="127"/>
        <v xml:space="preserve"> </v>
      </c>
      <c r="HH8" s="74" t="str">
        <f t="shared" si="127"/>
        <v xml:space="preserve"> </v>
      </c>
      <c r="HI8" s="74" t="str">
        <f t="shared" si="127"/>
        <v xml:space="preserve"> </v>
      </c>
      <c r="HJ8" s="74" t="str">
        <f t="shared" si="127"/>
        <v xml:space="preserve"> </v>
      </c>
      <c r="HK8" s="74" t="str">
        <f t="shared" si="127"/>
        <v xml:space="preserve"> </v>
      </c>
      <c r="HL8" s="74" t="str">
        <f t="shared" si="127"/>
        <v xml:space="preserve"> </v>
      </c>
      <c r="HM8" s="74" t="str">
        <f t="shared" si="127"/>
        <v xml:space="preserve"> </v>
      </c>
      <c r="HN8" s="74" t="str">
        <f t="shared" si="127"/>
        <v xml:space="preserve"> </v>
      </c>
      <c r="HO8" s="74" t="str">
        <f t="shared" si="127"/>
        <v xml:space="preserve"> </v>
      </c>
      <c r="HP8" s="74" t="str">
        <f t="shared" si="127"/>
        <v xml:space="preserve"> </v>
      </c>
      <c r="HQ8" s="74" t="str">
        <f t="shared" si="127"/>
        <v xml:space="preserve"> </v>
      </c>
      <c r="HR8" s="74" t="str">
        <f t="shared" si="127"/>
        <v xml:space="preserve"> </v>
      </c>
      <c r="HS8" s="74" t="str">
        <f t="shared" si="127"/>
        <v xml:space="preserve"> </v>
      </c>
      <c r="HT8" s="74" t="str">
        <f t="shared" si="127"/>
        <v xml:space="preserve"> </v>
      </c>
      <c r="HU8" s="74" t="str">
        <f t="shared" si="127"/>
        <v xml:space="preserve"> </v>
      </c>
      <c r="HV8" s="74" t="str">
        <f t="shared" si="127"/>
        <v xml:space="preserve"> </v>
      </c>
      <c r="HW8" s="74" t="str">
        <f t="shared" si="127"/>
        <v xml:space="preserve"> </v>
      </c>
      <c r="HX8" s="74" t="str">
        <f t="shared" si="127"/>
        <v xml:space="preserve"> </v>
      </c>
      <c r="HY8" s="74" t="str">
        <f t="shared" si="127"/>
        <v xml:space="preserve"> </v>
      </c>
      <c r="HZ8" s="74" t="str">
        <f t="shared" si="127"/>
        <v xml:space="preserve"> </v>
      </c>
      <c r="IA8" s="74" t="str">
        <f t="shared" si="127"/>
        <v xml:space="preserve"> </v>
      </c>
      <c r="IB8" s="74" t="str">
        <f t="shared" si="127"/>
        <v xml:space="preserve"> </v>
      </c>
      <c r="IC8" s="74" t="str">
        <f t="shared" si="127"/>
        <v xml:space="preserve"> </v>
      </c>
      <c r="ID8" s="74" t="str">
        <f t="shared" si="127"/>
        <v xml:space="preserve"> </v>
      </c>
      <c r="IE8" s="74" t="str">
        <f t="shared" si="127"/>
        <v xml:space="preserve"> </v>
      </c>
      <c r="IF8" s="74" t="str">
        <f t="shared" si="127"/>
        <v xml:space="preserve"> </v>
      </c>
      <c r="IG8" s="74" t="str">
        <f t="shared" si="127"/>
        <v xml:space="preserve"> </v>
      </c>
      <c r="IH8" s="74" t="str">
        <f t="shared" si="127"/>
        <v xml:space="preserve"> </v>
      </c>
      <c r="II8" s="74" t="str">
        <f t="shared" si="127"/>
        <v xml:space="preserve"> </v>
      </c>
      <c r="IJ8" s="74" t="str">
        <f t="shared" si="127"/>
        <v xml:space="preserve"> </v>
      </c>
      <c r="IK8" s="74" t="str">
        <f t="shared" si="127"/>
        <v xml:space="preserve"> </v>
      </c>
      <c r="IL8" s="74" t="str">
        <f t="shared" si="127"/>
        <v xml:space="preserve"> </v>
      </c>
      <c r="IM8" s="74" t="str">
        <f t="shared" ref="IM8" si="128">IF(IM$7&lt;&gt;" ",EDATE(IL$8,1)," ")</f>
        <v xml:space="preserve"> </v>
      </c>
      <c r="IN8" s="74" t="str">
        <f t="shared" ref="IN8" si="129">IF(IN$7&lt;&gt;" ",EDATE(IM$8,1)," ")</f>
        <v xml:space="preserve"> </v>
      </c>
      <c r="IO8" s="74" t="str">
        <f t="shared" ref="IO8" si="130">IF(IO$7&lt;&gt;" ",EDATE(IN$8,1)," ")</f>
        <v xml:space="preserve"> </v>
      </c>
      <c r="IP8" s="74" t="str">
        <f t="shared" ref="IP8" si="131">IF(IP$7&lt;&gt;" ",EDATE(IO$8,1)," ")</f>
        <v xml:space="preserve"> </v>
      </c>
      <c r="IQ8" s="74" t="str">
        <f t="shared" ref="IQ8" si="132">IF(IQ$7&lt;&gt;" ",EDATE(IP$8,1)," ")</f>
        <v xml:space="preserve"> </v>
      </c>
      <c r="IR8" s="74" t="str">
        <f t="shared" ref="IR8" si="133">IF(IR$7&lt;&gt;" ",EDATE(IQ$8,1)," ")</f>
        <v xml:space="preserve"> </v>
      </c>
      <c r="IS8" s="74" t="str">
        <f t="shared" ref="IS8" si="134">IF(IS$7&lt;&gt;" ",EDATE(IR$8,1)," ")</f>
        <v xml:space="preserve"> </v>
      </c>
      <c r="IT8" s="74" t="str">
        <f t="shared" ref="IT8" si="135">IF(IT$7&lt;&gt;" ",EDATE(IS$8,1)," ")</f>
        <v xml:space="preserve"> </v>
      </c>
      <c r="IU8" s="74" t="str">
        <f t="shared" ref="IU8" si="136">IF(IU$7&lt;&gt;" ",EDATE(IT$8,1)," ")</f>
        <v xml:space="preserve"> </v>
      </c>
      <c r="IV8" s="74" t="str">
        <f t="shared" ref="IV8" si="137">IF(IV$7&lt;&gt;" ",EDATE(IU$8,1)," ")</f>
        <v xml:space="preserve"> </v>
      </c>
      <c r="IW8" s="74" t="str">
        <f t="shared" ref="IW8" si="138">IF(IW$7&lt;&gt;" ",EDATE(IV$8,1)," ")</f>
        <v xml:space="preserve"> </v>
      </c>
      <c r="IX8" s="74" t="str">
        <f t="shared" ref="IX8" si="139">IF(IX$7&lt;&gt;" ",EDATE(IW$8,1)," ")</f>
        <v xml:space="preserve"> </v>
      </c>
      <c r="IY8" s="74" t="str">
        <f t="shared" ref="IY8" si="140">IF(IY$7&lt;&gt;" ",EDATE(IX$8,1)," ")</f>
        <v xml:space="preserve"> </v>
      </c>
      <c r="IZ8" s="74" t="str">
        <f t="shared" ref="IZ8" si="141">IF(IZ$7&lt;&gt;" ",EDATE(IY$8,1)," ")</f>
        <v xml:space="preserve"> </v>
      </c>
      <c r="JA8" s="74" t="str">
        <f t="shared" ref="JA8" si="142">IF(JA$7&lt;&gt;" ",EDATE(IZ$8,1)," ")</f>
        <v xml:space="preserve"> </v>
      </c>
      <c r="JB8" s="74" t="str">
        <f t="shared" ref="JB8" si="143">IF(JB$7&lt;&gt;" ",EDATE(JA$8,1)," ")</f>
        <v xml:space="preserve"> </v>
      </c>
      <c r="JC8" s="74" t="str">
        <f t="shared" ref="JC8" si="144">IF(JC$7&lt;&gt;" ",EDATE(JB$8,1)," ")</f>
        <v xml:space="preserve"> </v>
      </c>
      <c r="JD8" s="74" t="str">
        <f t="shared" ref="JD8" si="145">IF(JD$7&lt;&gt;" ",EDATE(JC$8,1)," ")</f>
        <v xml:space="preserve"> </v>
      </c>
      <c r="JE8" s="74" t="str">
        <f t="shared" ref="JE8" si="146">IF(JE$7&lt;&gt;" ",EDATE(JD$8,1)," ")</f>
        <v xml:space="preserve"> </v>
      </c>
      <c r="JF8" s="74" t="str">
        <f t="shared" ref="JF8" si="147">IF(JF$7&lt;&gt;" ",EDATE(JE$8,1)," ")</f>
        <v xml:space="preserve"> </v>
      </c>
      <c r="JG8" s="74" t="str">
        <f t="shared" ref="JG8" si="148">IF(JG$7&lt;&gt;" ",EDATE(JF$8,1)," ")</f>
        <v xml:space="preserve"> </v>
      </c>
      <c r="JH8" s="74" t="str">
        <f t="shared" ref="JH8" si="149">IF(JH$7&lt;&gt;" ",EDATE(JG$8,1)," ")</f>
        <v xml:space="preserve"> </v>
      </c>
      <c r="JI8" s="74" t="str">
        <f t="shared" ref="JI8" si="150">IF(JI$7&lt;&gt;" ",EDATE(JH$8,1)," ")</f>
        <v xml:space="preserve"> </v>
      </c>
      <c r="JJ8" s="74" t="str">
        <f t="shared" ref="JJ8" si="151">IF(JJ$7&lt;&gt;" ",EDATE(JI$8,1)," ")</f>
        <v xml:space="preserve"> </v>
      </c>
      <c r="JK8" s="74" t="str">
        <f t="shared" ref="JK8" si="152">IF(JK$7&lt;&gt;" ",EDATE(JJ$8,1)," ")</f>
        <v xml:space="preserve"> </v>
      </c>
      <c r="JL8" s="74" t="str">
        <f t="shared" ref="JL8" si="153">IF(JL$7&lt;&gt;" ",EDATE(JK$8,1)," ")</f>
        <v xml:space="preserve"> </v>
      </c>
      <c r="JM8" s="74" t="str">
        <f t="shared" ref="JM8" si="154">IF(JM$7&lt;&gt;" ",EDATE(JL$8,1)," ")</f>
        <v xml:space="preserve"> </v>
      </c>
      <c r="JN8" s="74" t="str">
        <f t="shared" ref="JN8" si="155">IF(JN$7&lt;&gt;" ",EDATE(JM$8,1)," ")</f>
        <v xml:space="preserve"> </v>
      </c>
      <c r="JO8" s="74" t="str">
        <f t="shared" ref="JO8" si="156">IF(JO$7&lt;&gt;" ",EDATE(JN$8,1)," ")</f>
        <v xml:space="preserve"> </v>
      </c>
      <c r="JP8" s="74" t="str">
        <f t="shared" ref="JP8" si="157">IF(JP$7&lt;&gt;" ",EDATE(JO$8,1)," ")</f>
        <v xml:space="preserve"> </v>
      </c>
      <c r="JQ8" s="74" t="str">
        <f t="shared" ref="JQ8" si="158">IF(JQ$7&lt;&gt;" ",EDATE(JP$8,1)," ")</f>
        <v xml:space="preserve"> </v>
      </c>
      <c r="JR8" s="74" t="str">
        <f t="shared" ref="JR8" si="159">IF(JR$7&lt;&gt;" ",EDATE(JQ$8,1)," ")</f>
        <v xml:space="preserve"> </v>
      </c>
      <c r="JS8" s="74" t="str">
        <f t="shared" ref="JS8" si="160">IF(JS$7&lt;&gt;" ",EDATE(JR$8,1)," ")</f>
        <v xml:space="preserve"> </v>
      </c>
      <c r="JT8" s="74" t="str">
        <f t="shared" ref="JT8" si="161">IF(JT$7&lt;&gt;" ",EDATE(JS$8,1)," ")</f>
        <v xml:space="preserve"> </v>
      </c>
      <c r="JU8" s="74" t="str">
        <f t="shared" ref="JU8" si="162">IF(JU$7&lt;&gt;" ",EDATE(JT$8,1)," ")</f>
        <v xml:space="preserve"> </v>
      </c>
      <c r="JV8" s="74" t="str">
        <f t="shared" ref="JV8" si="163">IF(JV$7&lt;&gt;" ",EDATE(JU$8,1)," ")</f>
        <v xml:space="preserve"> </v>
      </c>
      <c r="JW8" s="74" t="str">
        <f t="shared" ref="JW8" si="164">IF(JW$7&lt;&gt;" ",EDATE(JV$8,1)," ")</f>
        <v xml:space="preserve"> </v>
      </c>
      <c r="JX8" s="74" t="str">
        <f t="shared" ref="JX8" si="165">IF(JX$7&lt;&gt;" ",EDATE(JW$8,1)," ")</f>
        <v xml:space="preserve"> </v>
      </c>
      <c r="JY8" s="74" t="str">
        <f t="shared" ref="JY8" si="166">IF(JY$7&lt;&gt;" ",EDATE(JX$8,1)," ")</f>
        <v xml:space="preserve"> </v>
      </c>
      <c r="JZ8" s="74" t="str">
        <f t="shared" ref="JZ8" si="167">IF(JZ$7&lt;&gt;" ",EDATE(JY$8,1)," ")</f>
        <v xml:space="preserve"> </v>
      </c>
      <c r="KA8" s="74" t="str">
        <f t="shared" ref="KA8" si="168">IF(KA$7&lt;&gt;" ",EDATE(JZ$8,1)," ")</f>
        <v xml:space="preserve"> </v>
      </c>
      <c r="KB8" s="74" t="str">
        <f t="shared" ref="KB8" si="169">IF(KB$7&lt;&gt;" ",EDATE(KA$8,1)," ")</f>
        <v xml:space="preserve"> </v>
      </c>
      <c r="KC8" s="74" t="str">
        <f t="shared" ref="KC8" si="170">IF(KC$7&lt;&gt;" ",EDATE(KB$8,1)," ")</f>
        <v xml:space="preserve"> </v>
      </c>
      <c r="KD8" s="74" t="str">
        <f t="shared" ref="KD8" si="171">IF(KD$7&lt;&gt;" ",EDATE(KC$8,1)," ")</f>
        <v xml:space="preserve"> </v>
      </c>
      <c r="KE8" s="74" t="str">
        <f t="shared" ref="KE8" si="172">IF(KE$7&lt;&gt;" ",EDATE(KD$8,1)," ")</f>
        <v xml:space="preserve"> </v>
      </c>
      <c r="KF8" s="74" t="str">
        <f t="shared" ref="KF8" si="173">IF(KF$7&lt;&gt;" ",EDATE(KE$8,1)," ")</f>
        <v xml:space="preserve"> </v>
      </c>
      <c r="KG8" s="74" t="str">
        <f t="shared" ref="KG8" si="174">IF(KG$7&lt;&gt;" ",EDATE(KF$8,1)," ")</f>
        <v xml:space="preserve"> </v>
      </c>
      <c r="KH8" s="74" t="str">
        <f t="shared" ref="KH8" si="175">IF(KH$7&lt;&gt;" ",EDATE(KG$8,1)," ")</f>
        <v xml:space="preserve"> </v>
      </c>
      <c r="KI8" s="74" t="str">
        <f t="shared" ref="KI8" si="176">IF(KI$7&lt;&gt;" ",EDATE(KH$8,1)," ")</f>
        <v xml:space="preserve"> </v>
      </c>
      <c r="KJ8" s="74" t="str">
        <f t="shared" ref="KJ8" si="177">IF(KJ$7&lt;&gt;" ",EDATE(KI$8,1)," ")</f>
        <v xml:space="preserve"> </v>
      </c>
      <c r="KK8" s="74" t="str">
        <f t="shared" ref="KK8" si="178">IF(KK$7&lt;&gt;" ",EDATE(KJ$8,1)," ")</f>
        <v xml:space="preserve"> </v>
      </c>
      <c r="KL8" s="74" t="str">
        <f t="shared" ref="KL8" si="179">IF(KL$7&lt;&gt;" ",EDATE(KK$8,1)," ")</f>
        <v xml:space="preserve"> </v>
      </c>
      <c r="KM8" s="74" t="str">
        <f t="shared" ref="KM8" si="180">IF(KM$7&lt;&gt;" ",EDATE(KL$8,1)," ")</f>
        <v xml:space="preserve"> </v>
      </c>
      <c r="KN8" s="74" t="str">
        <f t="shared" ref="KN8" si="181">IF(KN$7&lt;&gt;" ",EDATE(KM$8,1)," ")</f>
        <v xml:space="preserve"> </v>
      </c>
      <c r="KO8" s="74" t="str">
        <f t="shared" ref="KO8" si="182">IF(KO$7&lt;&gt;" ",EDATE(KN$8,1)," ")</f>
        <v xml:space="preserve"> </v>
      </c>
      <c r="KP8" s="74" t="str">
        <f t="shared" ref="KP8" si="183">IF(KP$7&lt;&gt;" ",EDATE(KO$8,1)," ")</f>
        <v xml:space="preserve"> </v>
      </c>
      <c r="KQ8" s="74" t="str">
        <f t="shared" ref="KQ8" si="184">IF(KQ$7&lt;&gt;" ",EDATE(KP$8,1)," ")</f>
        <v xml:space="preserve"> </v>
      </c>
      <c r="KR8" s="74" t="str">
        <f t="shared" ref="KR8" si="185">IF(KR$7&lt;&gt;" ",EDATE(KQ$8,1)," ")</f>
        <v xml:space="preserve"> </v>
      </c>
      <c r="KS8" s="74" t="str">
        <f t="shared" ref="KS8" si="186">IF(KS$7&lt;&gt;" ",EDATE(KR$8,1)," ")</f>
        <v xml:space="preserve"> </v>
      </c>
      <c r="KT8" s="74" t="str">
        <f t="shared" ref="KT8" si="187">IF(KT$7&lt;&gt;" ",EDATE(KS$8,1)," ")</f>
        <v xml:space="preserve"> </v>
      </c>
      <c r="KU8" s="74" t="str">
        <f t="shared" ref="KU8" si="188">IF(KU$7&lt;&gt;" ",EDATE(KT$8,1)," ")</f>
        <v xml:space="preserve"> </v>
      </c>
      <c r="KV8" s="74" t="str">
        <f t="shared" ref="KV8" si="189">IF(KV$7&lt;&gt;" ",EDATE(KU$8,1)," ")</f>
        <v xml:space="preserve"> </v>
      </c>
      <c r="KW8" s="74" t="str">
        <f t="shared" ref="KW8" si="190">IF(KW$7&lt;&gt;" ",EDATE(KV$8,1)," ")</f>
        <v xml:space="preserve"> </v>
      </c>
      <c r="KX8" s="74" t="str">
        <f t="shared" ref="KX8" si="191">IF(KX$7&lt;&gt;" ",EDATE(KW$8,1)," ")</f>
        <v xml:space="preserve"> </v>
      </c>
      <c r="KY8" s="74" t="str">
        <f t="shared" ref="KY8" si="192">IF(KY$7&lt;&gt;" ",EDATE(KX$8,1)," ")</f>
        <v xml:space="preserve"> </v>
      </c>
      <c r="KZ8" s="74" t="str">
        <f t="shared" ref="KZ8" si="193">IF(KZ$7&lt;&gt;" ",EDATE(KY$8,1)," ")</f>
        <v xml:space="preserve"> </v>
      </c>
      <c r="LA8" s="74" t="str">
        <f t="shared" ref="LA8" si="194">IF(LA$7&lt;&gt;" ",EDATE(KZ$8,1)," ")</f>
        <v xml:space="preserve"> </v>
      </c>
      <c r="LB8" s="74" t="str">
        <f t="shared" ref="LB8" si="195">IF(LB$7&lt;&gt;" ",EDATE(LA$8,1)," ")</f>
        <v xml:space="preserve"> </v>
      </c>
      <c r="LC8" s="74" t="str">
        <f t="shared" ref="LC8" si="196">IF(LC$7&lt;&gt;" ",EDATE(LB$8,1)," ")</f>
        <v xml:space="preserve"> </v>
      </c>
      <c r="LD8" s="74" t="str">
        <f t="shared" ref="LD8" si="197">IF(LD$7&lt;&gt;" ",EDATE(LC$8,1)," ")</f>
        <v xml:space="preserve"> </v>
      </c>
      <c r="LE8" s="74" t="str">
        <f t="shared" ref="LE8" si="198">IF(LE$7&lt;&gt;" ",EDATE(LD$8,1)," ")</f>
        <v xml:space="preserve"> </v>
      </c>
      <c r="LF8" s="74" t="str">
        <f t="shared" ref="LF8" si="199">IF(LF$7&lt;&gt;" ",EDATE(LE$8,1)," ")</f>
        <v xml:space="preserve"> </v>
      </c>
      <c r="LG8" s="74" t="str">
        <f t="shared" ref="LG8" si="200">IF(LG$7&lt;&gt;" ",EDATE(LF$8,1)," ")</f>
        <v xml:space="preserve"> </v>
      </c>
      <c r="LH8" s="74" t="str">
        <f t="shared" ref="LH8" si="201">IF(LH$7&lt;&gt;" ",EDATE(LG$8,1)," ")</f>
        <v xml:space="preserve"> </v>
      </c>
      <c r="LI8" s="74" t="str">
        <f t="shared" ref="LI8" si="202">IF(LI$7&lt;&gt;" ",EDATE(LH$8,1)," ")</f>
        <v xml:space="preserve"> </v>
      </c>
      <c r="LJ8" s="74" t="str">
        <f t="shared" ref="LJ8" si="203">IF(LJ$7&lt;&gt;" ",EDATE(LI$8,1)," ")</f>
        <v xml:space="preserve"> </v>
      </c>
      <c r="LK8" s="74" t="str">
        <f t="shared" ref="LK8" si="204">IF(LK$7&lt;&gt;" ",EDATE(LJ$8,1)," ")</f>
        <v xml:space="preserve"> </v>
      </c>
      <c r="LL8" s="74" t="str">
        <f t="shared" ref="LL8" si="205">IF(LL$7&lt;&gt;" ",EDATE(LK$8,1)," ")</f>
        <v xml:space="preserve"> </v>
      </c>
      <c r="LM8" s="74" t="str">
        <f t="shared" ref="LM8" si="206">IF(LM$7&lt;&gt;" ",EDATE(LL$8,1)," ")</f>
        <v xml:space="preserve"> </v>
      </c>
      <c r="LN8" s="74" t="str">
        <f t="shared" ref="LN8" si="207">IF(LN$7&lt;&gt;" ",EDATE(LM$8,1)," ")</f>
        <v xml:space="preserve"> </v>
      </c>
      <c r="LO8" s="74" t="str">
        <f t="shared" ref="LO8" si="208">IF(LO$7&lt;&gt;" ",EDATE(LN$8,1)," ")</f>
        <v xml:space="preserve"> </v>
      </c>
      <c r="LP8" s="74" t="str">
        <f t="shared" ref="LP8" si="209">IF(LP$7&lt;&gt;" ",EDATE(LO$8,1)," ")</f>
        <v xml:space="preserve"> </v>
      </c>
      <c r="LQ8" s="74" t="str">
        <f t="shared" ref="LQ8" si="210">IF(LQ$7&lt;&gt;" ",EDATE(LP$8,1)," ")</f>
        <v xml:space="preserve"> </v>
      </c>
      <c r="LR8" s="74" t="str">
        <f t="shared" ref="LR8" si="211">IF(LR$7&lt;&gt;" ",EDATE(LQ$8,1)," ")</f>
        <v xml:space="preserve"> </v>
      </c>
      <c r="LS8" s="74" t="str">
        <f t="shared" ref="LS8" si="212">IF(LS$7&lt;&gt;" ",EDATE(LR$8,1)," ")</f>
        <v xml:space="preserve"> </v>
      </c>
      <c r="LT8" s="74" t="str">
        <f t="shared" ref="LT8" si="213">IF(LT$7&lt;&gt;" ",EDATE(LS$8,1)," ")</f>
        <v xml:space="preserve"> </v>
      </c>
      <c r="LU8" s="74" t="str">
        <f t="shared" ref="LU8" si="214">IF(LU$7&lt;&gt;" ",EDATE(LT$8,1)," ")</f>
        <v xml:space="preserve"> </v>
      </c>
      <c r="LV8" s="74" t="str">
        <f t="shared" ref="LV8" si="215">IF(LV$7&lt;&gt;" ",EDATE(LU$8,1)," ")</f>
        <v xml:space="preserve"> </v>
      </c>
      <c r="LW8" s="74" t="str">
        <f t="shared" ref="LW8" si="216">IF(LW$7&lt;&gt;" ",EDATE(LV$8,1)," ")</f>
        <v xml:space="preserve"> </v>
      </c>
      <c r="LX8" s="74" t="str">
        <f t="shared" ref="LX8" si="217">IF(LX$7&lt;&gt;" ",EDATE(LW$8,1)," ")</f>
        <v xml:space="preserve"> </v>
      </c>
      <c r="LY8" s="74" t="str">
        <f t="shared" ref="LY8" si="218">IF(LY$7&lt;&gt;" ",EDATE(LX$8,1)," ")</f>
        <v xml:space="preserve"> </v>
      </c>
      <c r="LZ8" s="74" t="str">
        <f t="shared" ref="LZ8" si="219">IF(LZ$7&lt;&gt;" ",EDATE(LY$8,1)," ")</f>
        <v xml:space="preserve"> </v>
      </c>
      <c r="MA8" s="74" t="str">
        <f t="shared" ref="MA8" si="220">IF(MA$7&lt;&gt;" ",EDATE(LZ$8,1)," ")</f>
        <v xml:space="preserve"> </v>
      </c>
      <c r="MB8" s="74" t="str">
        <f t="shared" ref="MB8" si="221">IF(MB$7&lt;&gt;" ",EDATE(MA$8,1)," ")</f>
        <v xml:space="preserve"> </v>
      </c>
      <c r="MC8" s="74" t="str">
        <f t="shared" ref="MC8" si="222">IF(MC$7&lt;&gt;" ",EDATE(MB$8,1)," ")</f>
        <v xml:space="preserve"> </v>
      </c>
      <c r="MD8" s="74" t="str">
        <f t="shared" ref="MD8" si="223">IF(MD$7&lt;&gt;" ",EDATE(MC$8,1)," ")</f>
        <v xml:space="preserve"> </v>
      </c>
      <c r="ME8" s="74" t="str">
        <f t="shared" ref="ME8" si="224">IF(ME$7&lt;&gt;" ",EDATE(MD$8,1)," ")</f>
        <v xml:space="preserve"> </v>
      </c>
      <c r="MF8" s="74" t="str">
        <f t="shared" ref="MF8" si="225">IF(MF$7&lt;&gt;" ",EDATE(ME$8,1)," ")</f>
        <v xml:space="preserve"> </v>
      </c>
      <c r="MG8" s="74" t="str">
        <f t="shared" ref="MG8" si="226">IF(MG$7&lt;&gt;" ",EDATE(MF$8,1)," ")</f>
        <v xml:space="preserve"> </v>
      </c>
      <c r="MH8" s="74" t="str">
        <f t="shared" ref="MH8" si="227">IF(MH$7&lt;&gt;" ",EDATE(MG$8,1)," ")</f>
        <v xml:space="preserve"> </v>
      </c>
      <c r="MI8" s="74" t="str">
        <f t="shared" ref="MI8" si="228">IF(MI$7&lt;&gt;" ",EDATE(MH$8,1)," ")</f>
        <v xml:space="preserve"> </v>
      </c>
      <c r="MJ8" s="74" t="str">
        <f t="shared" ref="MJ8" si="229">IF(MJ$7&lt;&gt;" ",EDATE(MI$8,1)," ")</f>
        <v xml:space="preserve"> </v>
      </c>
      <c r="MK8" s="74" t="str">
        <f t="shared" ref="MK8" si="230">IF(MK$7&lt;&gt;" ",EDATE(MJ$8,1)," ")</f>
        <v xml:space="preserve"> </v>
      </c>
      <c r="ML8" s="74" t="str">
        <f t="shared" ref="ML8" si="231">IF(ML$7&lt;&gt;" ",EDATE(MK$8,1)," ")</f>
        <v xml:space="preserve"> </v>
      </c>
      <c r="MM8" s="74" t="str">
        <f t="shared" ref="MM8" si="232">IF(MM$7&lt;&gt;" ",EDATE(ML$8,1)," ")</f>
        <v xml:space="preserve"> </v>
      </c>
      <c r="MN8" s="74" t="str">
        <f t="shared" ref="MN8" si="233">IF(MN$7&lt;&gt;" ",EDATE(MM$8,1)," ")</f>
        <v xml:space="preserve"> </v>
      </c>
      <c r="MO8" s="74" t="str">
        <f t="shared" ref="MO8" si="234">IF(MO$7&lt;&gt;" ",EDATE(MN$8,1)," ")</f>
        <v xml:space="preserve"> </v>
      </c>
      <c r="MP8" s="74" t="str">
        <f t="shared" ref="MP8" si="235">IF(MP$7&lt;&gt;" ",EDATE(MO$8,1)," ")</f>
        <v xml:space="preserve"> </v>
      </c>
      <c r="MQ8" s="74" t="str">
        <f t="shared" ref="MQ8" si="236">IF(MQ$7&lt;&gt;" ",EDATE(MP$8,1)," ")</f>
        <v xml:space="preserve"> </v>
      </c>
      <c r="MR8" s="74" t="str">
        <f t="shared" ref="MR8" si="237">IF(MR$7&lt;&gt;" ",EDATE(MQ$8,1)," ")</f>
        <v xml:space="preserve"> </v>
      </c>
      <c r="MS8" s="74" t="str">
        <f t="shared" ref="MS8" si="238">IF(MS$7&lt;&gt;" ",EDATE(MR$8,1)," ")</f>
        <v xml:space="preserve"> </v>
      </c>
      <c r="MT8" s="74" t="str">
        <f t="shared" ref="MT8" si="239">IF(MT$7&lt;&gt;" ",EDATE(MS$8,1)," ")</f>
        <v xml:space="preserve"> </v>
      </c>
      <c r="MU8" s="74" t="str">
        <f t="shared" ref="MU8" si="240">IF(MU$7&lt;&gt;" ",EDATE(MT$8,1)," ")</f>
        <v xml:space="preserve"> </v>
      </c>
      <c r="MV8" s="74" t="str">
        <f t="shared" ref="MV8" si="241">IF(MV$7&lt;&gt;" ",EDATE(MU$8,1)," ")</f>
        <v xml:space="preserve"> </v>
      </c>
      <c r="MW8" s="74" t="str">
        <f t="shared" ref="MW8" si="242">IF(MW$7&lt;&gt;" ",EDATE(MV$8,1)," ")</f>
        <v xml:space="preserve"> </v>
      </c>
      <c r="MX8" s="74" t="str">
        <f t="shared" ref="MX8" si="243">IF(MX$7&lt;&gt;" ",EDATE(MW$8,1)," ")</f>
        <v xml:space="preserve"> </v>
      </c>
      <c r="MY8" s="74" t="str">
        <f t="shared" ref="MY8" si="244">IF(MY$7&lt;&gt;" ",EDATE(MX$8,1)," ")</f>
        <v xml:space="preserve"> </v>
      </c>
      <c r="MZ8" s="74" t="str">
        <f t="shared" ref="MZ8" si="245">IF(MZ$7&lt;&gt;" ",EDATE(MY$8,1)," ")</f>
        <v xml:space="preserve"> </v>
      </c>
      <c r="NA8" s="74" t="str">
        <f t="shared" ref="NA8" si="246">IF(NA$7&lt;&gt;" ",EDATE(MZ$8,1)," ")</f>
        <v xml:space="preserve"> </v>
      </c>
      <c r="NB8" s="74" t="str">
        <f t="shared" ref="NB8" si="247">IF(NB$7&lt;&gt;" ",EDATE(NA$8,1)," ")</f>
        <v xml:space="preserve"> </v>
      </c>
      <c r="NC8" s="210"/>
      <c r="ND8" s="212"/>
      <c r="NE8" s="210"/>
      <c r="NF8" s="210"/>
      <c r="NG8" s="210"/>
      <c r="NH8" s="210"/>
      <c r="NI8" s="210"/>
      <c r="NJ8" s="210"/>
      <c r="NK8" s="210"/>
      <c r="NL8" s="210"/>
      <c r="NM8" s="210"/>
      <c r="NN8" s="210"/>
      <c r="NO8" s="210"/>
      <c r="NP8" s="210"/>
      <c r="NQ8" s="210"/>
      <c r="NR8" s="210"/>
      <c r="NS8" s="210"/>
      <c r="NT8" s="210"/>
      <c r="NU8" s="210"/>
      <c r="NV8" s="210"/>
      <c r="NW8" s="210"/>
      <c r="NX8" s="210"/>
    </row>
    <row r="10" spans="2:388" x14ac:dyDescent="0.15">
      <c r="B10" t="s">
        <v>66</v>
      </c>
      <c r="F10" s="7">
        <f t="shared" ref="F10:BQ10" si="248">IF(F$7&lt;&gt;" ",IF(F$7&lt;=renovation_time,0,1)," ")</f>
        <v>0</v>
      </c>
      <c r="G10" s="7">
        <f t="shared" si="248"/>
        <v>0</v>
      </c>
      <c r="H10" s="7">
        <f t="shared" si="248"/>
        <v>0</v>
      </c>
      <c r="I10" s="7">
        <f t="shared" si="248"/>
        <v>0</v>
      </c>
      <c r="J10" s="7">
        <f t="shared" si="248"/>
        <v>1</v>
      </c>
      <c r="K10" s="7">
        <f t="shared" si="248"/>
        <v>1</v>
      </c>
      <c r="L10" s="7">
        <f t="shared" si="248"/>
        <v>1</v>
      </c>
      <c r="M10" s="7">
        <f t="shared" si="248"/>
        <v>1</v>
      </c>
      <c r="N10" s="7">
        <f t="shared" si="248"/>
        <v>1</v>
      </c>
      <c r="O10" s="7">
        <f t="shared" si="248"/>
        <v>1</v>
      </c>
      <c r="P10" s="7">
        <f t="shared" si="248"/>
        <v>1</v>
      </c>
      <c r="Q10" s="7">
        <f t="shared" si="248"/>
        <v>1</v>
      </c>
      <c r="R10" s="7">
        <f t="shared" si="248"/>
        <v>1</v>
      </c>
      <c r="S10" s="7">
        <f t="shared" si="248"/>
        <v>1</v>
      </c>
      <c r="T10" s="7">
        <f t="shared" si="248"/>
        <v>1</v>
      </c>
      <c r="U10" s="7">
        <f t="shared" si="248"/>
        <v>1</v>
      </c>
      <c r="V10" s="7">
        <f t="shared" si="248"/>
        <v>1</v>
      </c>
      <c r="W10" s="7">
        <f t="shared" si="248"/>
        <v>1</v>
      </c>
      <c r="X10" s="7">
        <f t="shared" si="248"/>
        <v>1</v>
      </c>
      <c r="Y10" s="7">
        <f t="shared" si="248"/>
        <v>1</v>
      </c>
      <c r="Z10" s="7">
        <f t="shared" si="248"/>
        <v>1</v>
      </c>
      <c r="AA10" s="7">
        <f t="shared" si="248"/>
        <v>1</v>
      </c>
      <c r="AB10" s="7">
        <f t="shared" si="248"/>
        <v>1</v>
      </c>
      <c r="AC10" s="7">
        <f t="shared" si="248"/>
        <v>1</v>
      </c>
      <c r="AD10" s="7">
        <f t="shared" si="248"/>
        <v>1</v>
      </c>
      <c r="AE10" s="7">
        <f t="shared" si="248"/>
        <v>1</v>
      </c>
      <c r="AF10" s="7">
        <f t="shared" si="248"/>
        <v>1</v>
      </c>
      <c r="AG10" s="7">
        <f t="shared" si="248"/>
        <v>1</v>
      </c>
      <c r="AH10" s="7">
        <f t="shared" si="248"/>
        <v>1</v>
      </c>
      <c r="AI10" s="7">
        <f t="shared" si="248"/>
        <v>1</v>
      </c>
      <c r="AJ10" s="7">
        <f t="shared" si="248"/>
        <v>1</v>
      </c>
      <c r="AK10" s="7">
        <f t="shared" si="248"/>
        <v>1</v>
      </c>
      <c r="AL10" s="7">
        <f t="shared" si="248"/>
        <v>1</v>
      </c>
      <c r="AM10" s="7">
        <f t="shared" si="248"/>
        <v>1</v>
      </c>
      <c r="AN10" s="7">
        <f t="shared" si="248"/>
        <v>1</v>
      </c>
      <c r="AO10" s="7">
        <f t="shared" si="248"/>
        <v>1</v>
      </c>
      <c r="AP10" s="7">
        <f t="shared" si="248"/>
        <v>1</v>
      </c>
      <c r="AQ10" s="7">
        <f t="shared" si="248"/>
        <v>1</v>
      </c>
      <c r="AR10" s="7">
        <f t="shared" si="248"/>
        <v>1</v>
      </c>
      <c r="AS10" s="7">
        <f t="shared" si="248"/>
        <v>1</v>
      </c>
      <c r="AT10" s="7">
        <f t="shared" si="248"/>
        <v>1</v>
      </c>
      <c r="AU10" s="7">
        <f t="shared" si="248"/>
        <v>1</v>
      </c>
      <c r="AV10" s="7">
        <f t="shared" si="248"/>
        <v>1</v>
      </c>
      <c r="AW10" s="7">
        <f t="shared" si="248"/>
        <v>1</v>
      </c>
      <c r="AX10" s="7">
        <f t="shared" si="248"/>
        <v>1</v>
      </c>
      <c r="AY10" s="7">
        <f t="shared" si="248"/>
        <v>1</v>
      </c>
      <c r="AZ10" s="7">
        <f t="shared" si="248"/>
        <v>1</v>
      </c>
      <c r="BA10" s="7">
        <f t="shared" si="248"/>
        <v>1</v>
      </c>
      <c r="BB10" s="7">
        <f t="shared" si="248"/>
        <v>1</v>
      </c>
      <c r="BC10" s="7">
        <f t="shared" si="248"/>
        <v>1</v>
      </c>
      <c r="BD10" s="7">
        <f t="shared" si="248"/>
        <v>1</v>
      </c>
      <c r="BE10" s="7">
        <f t="shared" si="248"/>
        <v>1</v>
      </c>
      <c r="BF10" s="7">
        <f t="shared" si="248"/>
        <v>1</v>
      </c>
      <c r="BG10" s="7">
        <f t="shared" si="248"/>
        <v>1</v>
      </c>
      <c r="BH10" s="7">
        <f t="shared" si="248"/>
        <v>1</v>
      </c>
      <c r="BI10" s="7">
        <f t="shared" si="248"/>
        <v>1</v>
      </c>
      <c r="BJ10" s="7">
        <f t="shared" si="248"/>
        <v>1</v>
      </c>
      <c r="BK10" s="7">
        <f t="shared" si="248"/>
        <v>1</v>
      </c>
      <c r="BL10" s="7">
        <f t="shared" si="248"/>
        <v>1</v>
      </c>
      <c r="BM10" s="7">
        <f t="shared" si="248"/>
        <v>1</v>
      </c>
      <c r="BN10" s="7">
        <f t="shared" si="248"/>
        <v>1</v>
      </c>
      <c r="BO10" s="7">
        <f t="shared" si="248"/>
        <v>1</v>
      </c>
      <c r="BP10" s="7">
        <f t="shared" si="248"/>
        <v>1</v>
      </c>
      <c r="BQ10" s="7">
        <f t="shared" si="248"/>
        <v>1</v>
      </c>
      <c r="BR10" s="7">
        <f t="shared" ref="BR10:EC10" si="249">IF(BR$7&lt;&gt;" ",IF(BR$7&lt;=renovation_time,0,1)," ")</f>
        <v>1</v>
      </c>
      <c r="BS10" s="7">
        <f t="shared" si="249"/>
        <v>1</v>
      </c>
      <c r="BT10" s="7">
        <f t="shared" si="249"/>
        <v>1</v>
      </c>
      <c r="BU10" s="7">
        <f t="shared" si="249"/>
        <v>1</v>
      </c>
      <c r="BV10" s="7">
        <f t="shared" si="249"/>
        <v>1</v>
      </c>
      <c r="BW10" s="7">
        <f t="shared" si="249"/>
        <v>1</v>
      </c>
      <c r="BX10" s="7">
        <f t="shared" si="249"/>
        <v>1</v>
      </c>
      <c r="BY10" s="7">
        <f t="shared" si="249"/>
        <v>1</v>
      </c>
      <c r="BZ10" s="7">
        <f t="shared" si="249"/>
        <v>1</v>
      </c>
      <c r="CA10" s="7">
        <f t="shared" si="249"/>
        <v>1</v>
      </c>
      <c r="CB10" s="7">
        <f t="shared" si="249"/>
        <v>1</v>
      </c>
      <c r="CC10" s="7">
        <f t="shared" si="249"/>
        <v>1</v>
      </c>
      <c r="CD10" s="7">
        <f t="shared" si="249"/>
        <v>1</v>
      </c>
      <c r="CE10" s="7">
        <f t="shared" si="249"/>
        <v>1</v>
      </c>
      <c r="CF10" s="7">
        <f t="shared" si="249"/>
        <v>1</v>
      </c>
      <c r="CG10" s="7">
        <f t="shared" si="249"/>
        <v>1</v>
      </c>
      <c r="CH10" s="7">
        <f t="shared" si="249"/>
        <v>1</v>
      </c>
      <c r="CI10" s="7">
        <f t="shared" si="249"/>
        <v>1</v>
      </c>
      <c r="CJ10" s="7">
        <f t="shared" si="249"/>
        <v>1</v>
      </c>
      <c r="CK10" s="7">
        <f t="shared" si="249"/>
        <v>1</v>
      </c>
      <c r="CL10" s="7">
        <f t="shared" si="249"/>
        <v>1</v>
      </c>
      <c r="CM10" s="7">
        <f t="shared" si="249"/>
        <v>1</v>
      </c>
      <c r="CN10" s="7">
        <f t="shared" si="249"/>
        <v>1</v>
      </c>
      <c r="CO10" s="7">
        <f t="shared" si="249"/>
        <v>1</v>
      </c>
      <c r="CP10" s="7">
        <f t="shared" si="249"/>
        <v>1</v>
      </c>
      <c r="CQ10" s="7">
        <f t="shared" si="249"/>
        <v>1</v>
      </c>
      <c r="CR10" s="7">
        <f t="shared" si="249"/>
        <v>1</v>
      </c>
      <c r="CS10" s="7">
        <f t="shared" si="249"/>
        <v>1</v>
      </c>
      <c r="CT10" s="7">
        <f t="shared" si="249"/>
        <v>1</v>
      </c>
      <c r="CU10" s="7">
        <f t="shared" si="249"/>
        <v>1</v>
      </c>
      <c r="CV10" s="7">
        <f t="shared" si="249"/>
        <v>1</v>
      </c>
      <c r="CW10" s="7">
        <f t="shared" si="249"/>
        <v>1</v>
      </c>
      <c r="CX10" s="7">
        <f t="shared" si="249"/>
        <v>1</v>
      </c>
      <c r="CY10" s="7">
        <f t="shared" si="249"/>
        <v>1</v>
      </c>
      <c r="CZ10" s="7">
        <f t="shared" si="249"/>
        <v>1</v>
      </c>
      <c r="DA10" s="7">
        <f t="shared" si="249"/>
        <v>1</v>
      </c>
      <c r="DB10" s="7">
        <f t="shared" si="249"/>
        <v>1</v>
      </c>
      <c r="DC10" s="7">
        <f t="shared" si="249"/>
        <v>1</v>
      </c>
      <c r="DD10" s="7">
        <f t="shared" si="249"/>
        <v>1</v>
      </c>
      <c r="DE10" s="7">
        <f t="shared" si="249"/>
        <v>1</v>
      </c>
      <c r="DF10" s="7">
        <f t="shared" si="249"/>
        <v>1</v>
      </c>
      <c r="DG10" s="7">
        <f t="shared" si="249"/>
        <v>1</v>
      </c>
      <c r="DH10" s="7">
        <f t="shared" si="249"/>
        <v>1</v>
      </c>
      <c r="DI10" s="7">
        <f t="shared" si="249"/>
        <v>1</v>
      </c>
      <c r="DJ10" s="7">
        <f t="shared" si="249"/>
        <v>1</v>
      </c>
      <c r="DK10" s="7">
        <f t="shared" si="249"/>
        <v>1</v>
      </c>
      <c r="DL10" s="7">
        <f t="shared" si="249"/>
        <v>1</v>
      </c>
      <c r="DM10" s="7">
        <f t="shared" si="249"/>
        <v>1</v>
      </c>
      <c r="DN10" s="7">
        <f t="shared" si="249"/>
        <v>1</v>
      </c>
      <c r="DO10" s="7">
        <f t="shared" si="249"/>
        <v>1</v>
      </c>
      <c r="DP10" s="7">
        <f t="shared" si="249"/>
        <v>1</v>
      </c>
      <c r="DQ10" s="7">
        <f t="shared" si="249"/>
        <v>1</v>
      </c>
      <c r="DR10" s="7">
        <f t="shared" si="249"/>
        <v>1</v>
      </c>
      <c r="DS10" s="7">
        <f t="shared" si="249"/>
        <v>1</v>
      </c>
      <c r="DT10" s="7">
        <f t="shared" si="249"/>
        <v>1</v>
      </c>
      <c r="DU10" s="7">
        <f t="shared" si="249"/>
        <v>1</v>
      </c>
      <c r="DV10" s="7">
        <f t="shared" si="249"/>
        <v>1</v>
      </c>
      <c r="DW10" s="7">
        <f t="shared" si="249"/>
        <v>1</v>
      </c>
      <c r="DX10" s="7">
        <f t="shared" si="249"/>
        <v>1</v>
      </c>
      <c r="DY10" s="7">
        <f t="shared" si="249"/>
        <v>1</v>
      </c>
      <c r="DZ10" s="7">
        <f t="shared" si="249"/>
        <v>1</v>
      </c>
      <c r="EA10" s="7">
        <f t="shared" si="249"/>
        <v>1</v>
      </c>
      <c r="EB10" s="7">
        <f t="shared" si="249"/>
        <v>1</v>
      </c>
      <c r="EC10" s="7">
        <f t="shared" si="249"/>
        <v>1</v>
      </c>
      <c r="ED10" s="7">
        <f t="shared" ref="ED10:GO10" si="250">IF(ED$7&lt;&gt;" ",IF(ED$7&lt;=renovation_time,0,1)," ")</f>
        <v>1</v>
      </c>
      <c r="EE10" s="7">
        <f t="shared" si="250"/>
        <v>1</v>
      </c>
      <c r="EF10" s="7">
        <f t="shared" si="250"/>
        <v>1</v>
      </c>
      <c r="EG10" s="7">
        <f t="shared" si="250"/>
        <v>1</v>
      </c>
      <c r="EH10" s="7">
        <f t="shared" si="250"/>
        <v>1</v>
      </c>
      <c r="EI10" s="7">
        <f t="shared" si="250"/>
        <v>1</v>
      </c>
      <c r="EJ10" s="7">
        <f t="shared" si="250"/>
        <v>1</v>
      </c>
      <c r="EK10" s="7">
        <f t="shared" si="250"/>
        <v>1</v>
      </c>
      <c r="EL10" s="7">
        <f t="shared" si="250"/>
        <v>1</v>
      </c>
      <c r="EM10" s="7">
        <f t="shared" si="250"/>
        <v>1</v>
      </c>
      <c r="EN10" s="7">
        <f t="shared" si="250"/>
        <v>1</v>
      </c>
      <c r="EO10" s="7">
        <f t="shared" si="250"/>
        <v>1</v>
      </c>
      <c r="EP10" s="7">
        <f t="shared" si="250"/>
        <v>1</v>
      </c>
      <c r="EQ10" s="7">
        <f t="shared" si="250"/>
        <v>1</v>
      </c>
      <c r="ER10" s="7">
        <f t="shared" si="250"/>
        <v>1</v>
      </c>
      <c r="ES10" s="7">
        <f t="shared" si="250"/>
        <v>1</v>
      </c>
      <c r="ET10" s="7">
        <f t="shared" si="250"/>
        <v>1</v>
      </c>
      <c r="EU10" s="7">
        <f t="shared" si="250"/>
        <v>1</v>
      </c>
      <c r="EV10" s="7">
        <f t="shared" si="250"/>
        <v>1</v>
      </c>
      <c r="EW10" s="7">
        <f t="shared" si="250"/>
        <v>1</v>
      </c>
      <c r="EX10" s="7">
        <f t="shared" si="250"/>
        <v>1</v>
      </c>
      <c r="EY10" s="7">
        <f t="shared" si="250"/>
        <v>1</v>
      </c>
      <c r="EZ10" s="7">
        <f t="shared" si="250"/>
        <v>1</v>
      </c>
      <c r="FA10" s="7">
        <f t="shared" si="250"/>
        <v>1</v>
      </c>
      <c r="FB10" s="7">
        <f t="shared" si="250"/>
        <v>1</v>
      </c>
      <c r="FC10" s="7">
        <f t="shared" si="250"/>
        <v>1</v>
      </c>
      <c r="FD10" s="7">
        <f t="shared" si="250"/>
        <v>1</v>
      </c>
      <c r="FE10" s="7">
        <f t="shared" si="250"/>
        <v>1</v>
      </c>
      <c r="FF10" s="7">
        <f t="shared" si="250"/>
        <v>1</v>
      </c>
      <c r="FG10" s="7">
        <f t="shared" si="250"/>
        <v>1</v>
      </c>
      <c r="FH10" s="7">
        <f t="shared" si="250"/>
        <v>1</v>
      </c>
      <c r="FI10" s="7">
        <f t="shared" si="250"/>
        <v>1</v>
      </c>
      <c r="FJ10" s="7">
        <f t="shared" si="250"/>
        <v>1</v>
      </c>
      <c r="FK10" s="7">
        <f t="shared" si="250"/>
        <v>1</v>
      </c>
      <c r="FL10" s="7">
        <f t="shared" si="250"/>
        <v>1</v>
      </c>
      <c r="FM10" s="7">
        <f t="shared" si="250"/>
        <v>1</v>
      </c>
      <c r="FN10" s="7">
        <f t="shared" si="250"/>
        <v>1</v>
      </c>
      <c r="FO10" s="7">
        <f t="shared" si="250"/>
        <v>1</v>
      </c>
      <c r="FP10" s="7">
        <f t="shared" si="250"/>
        <v>1</v>
      </c>
      <c r="FQ10" s="7">
        <f t="shared" si="250"/>
        <v>1</v>
      </c>
      <c r="FR10" s="7">
        <f t="shared" si="250"/>
        <v>1</v>
      </c>
      <c r="FS10" s="7">
        <f t="shared" si="250"/>
        <v>1</v>
      </c>
      <c r="FT10" s="7">
        <f t="shared" si="250"/>
        <v>1</v>
      </c>
      <c r="FU10" s="7">
        <f t="shared" si="250"/>
        <v>1</v>
      </c>
      <c r="FV10" s="7">
        <f t="shared" si="250"/>
        <v>1</v>
      </c>
      <c r="FW10" s="7">
        <f t="shared" si="250"/>
        <v>1</v>
      </c>
      <c r="FX10" s="7">
        <f t="shared" si="250"/>
        <v>1</v>
      </c>
      <c r="FY10" s="7">
        <f t="shared" si="250"/>
        <v>1</v>
      </c>
      <c r="FZ10" s="7">
        <f t="shared" si="250"/>
        <v>1</v>
      </c>
      <c r="GA10" s="7">
        <f t="shared" si="250"/>
        <v>1</v>
      </c>
      <c r="GB10" s="7">
        <f t="shared" si="250"/>
        <v>1</v>
      </c>
      <c r="GC10" s="7">
        <f t="shared" si="250"/>
        <v>1</v>
      </c>
      <c r="GD10" s="7">
        <f t="shared" si="250"/>
        <v>1</v>
      </c>
      <c r="GE10" s="7" t="str">
        <f t="shared" si="250"/>
        <v xml:space="preserve"> </v>
      </c>
      <c r="GF10" s="7" t="str">
        <f t="shared" si="250"/>
        <v xml:space="preserve"> </v>
      </c>
      <c r="GG10" s="7" t="str">
        <f t="shared" si="250"/>
        <v xml:space="preserve"> </v>
      </c>
      <c r="GH10" s="7" t="str">
        <f t="shared" si="250"/>
        <v xml:space="preserve"> </v>
      </c>
      <c r="GI10" s="7" t="str">
        <f t="shared" si="250"/>
        <v xml:space="preserve"> </v>
      </c>
      <c r="GJ10" s="7" t="str">
        <f t="shared" si="250"/>
        <v xml:space="preserve"> </v>
      </c>
      <c r="GK10" s="7" t="str">
        <f t="shared" si="250"/>
        <v xml:space="preserve"> </v>
      </c>
      <c r="GL10" s="7" t="str">
        <f t="shared" si="250"/>
        <v xml:space="preserve"> </v>
      </c>
      <c r="GM10" s="7" t="str">
        <f t="shared" si="250"/>
        <v xml:space="preserve"> </v>
      </c>
      <c r="GN10" s="7" t="str">
        <f t="shared" si="250"/>
        <v xml:space="preserve"> </v>
      </c>
      <c r="GO10" s="7" t="str">
        <f t="shared" si="250"/>
        <v xml:space="preserve"> </v>
      </c>
      <c r="GP10" s="7" t="str">
        <f t="shared" ref="GP10:JA10" si="251">IF(GP$7&lt;&gt;" ",IF(GP$7&lt;=renovation_time,0,1)," ")</f>
        <v xml:space="preserve"> </v>
      </c>
      <c r="GQ10" s="7" t="str">
        <f t="shared" si="251"/>
        <v xml:space="preserve"> </v>
      </c>
      <c r="GR10" s="7" t="str">
        <f t="shared" si="251"/>
        <v xml:space="preserve"> </v>
      </c>
      <c r="GS10" s="7" t="str">
        <f t="shared" si="251"/>
        <v xml:space="preserve"> </v>
      </c>
      <c r="GT10" s="7" t="str">
        <f t="shared" si="251"/>
        <v xml:space="preserve"> </v>
      </c>
      <c r="GU10" s="7" t="str">
        <f t="shared" si="251"/>
        <v xml:space="preserve"> </v>
      </c>
      <c r="GV10" s="7" t="str">
        <f t="shared" si="251"/>
        <v xml:space="preserve"> </v>
      </c>
      <c r="GW10" s="7" t="str">
        <f t="shared" si="251"/>
        <v xml:space="preserve"> </v>
      </c>
      <c r="GX10" s="7" t="str">
        <f t="shared" si="251"/>
        <v xml:space="preserve"> </v>
      </c>
      <c r="GY10" s="7" t="str">
        <f t="shared" si="251"/>
        <v xml:space="preserve"> </v>
      </c>
      <c r="GZ10" s="7" t="str">
        <f t="shared" si="251"/>
        <v xml:space="preserve"> </v>
      </c>
      <c r="HA10" s="7" t="str">
        <f t="shared" si="251"/>
        <v xml:space="preserve"> </v>
      </c>
      <c r="HB10" s="7" t="str">
        <f t="shared" si="251"/>
        <v xml:space="preserve"> </v>
      </c>
      <c r="HC10" s="7" t="str">
        <f t="shared" si="251"/>
        <v xml:space="preserve"> </v>
      </c>
      <c r="HD10" s="7" t="str">
        <f t="shared" si="251"/>
        <v xml:space="preserve"> </v>
      </c>
      <c r="HE10" s="7" t="str">
        <f t="shared" si="251"/>
        <v xml:space="preserve"> </v>
      </c>
      <c r="HF10" s="7" t="str">
        <f t="shared" si="251"/>
        <v xml:space="preserve"> </v>
      </c>
      <c r="HG10" s="7" t="str">
        <f t="shared" si="251"/>
        <v xml:space="preserve"> </v>
      </c>
      <c r="HH10" s="7" t="str">
        <f t="shared" si="251"/>
        <v xml:space="preserve"> </v>
      </c>
      <c r="HI10" s="7" t="str">
        <f t="shared" si="251"/>
        <v xml:space="preserve"> </v>
      </c>
      <c r="HJ10" s="7" t="str">
        <f t="shared" si="251"/>
        <v xml:space="preserve"> </v>
      </c>
      <c r="HK10" s="7" t="str">
        <f t="shared" si="251"/>
        <v xml:space="preserve"> </v>
      </c>
      <c r="HL10" s="7" t="str">
        <f t="shared" si="251"/>
        <v xml:space="preserve"> </v>
      </c>
      <c r="HM10" s="7" t="str">
        <f t="shared" si="251"/>
        <v xml:space="preserve"> </v>
      </c>
      <c r="HN10" s="7" t="str">
        <f t="shared" si="251"/>
        <v xml:space="preserve"> </v>
      </c>
      <c r="HO10" s="7" t="str">
        <f t="shared" si="251"/>
        <v xml:space="preserve"> </v>
      </c>
      <c r="HP10" s="7" t="str">
        <f t="shared" si="251"/>
        <v xml:space="preserve"> </v>
      </c>
      <c r="HQ10" s="7" t="str">
        <f t="shared" si="251"/>
        <v xml:space="preserve"> </v>
      </c>
      <c r="HR10" s="7" t="str">
        <f t="shared" si="251"/>
        <v xml:space="preserve"> </v>
      </c>
      <c r="HS10" s="7" t="str">
        <f t="shared" si="251"/>
        <v xml:space="preserve"> </v>
      </c>
      <c r="HT10" s="7" t="str">
        <f t="shared" si="251"/>
        <v xml:space="preserve"> </v>
      </c>
      <c r="HU10" s="7" t="str">
        <f t="shared" si="251"/>
        <v xml:space="preserve"> </v>
      </c>
      <c r="HV10" s="7" t="str">
        <f t="shared" si="251"/>
        <v xml:space="preserve"> </v>
      </c>
      <c r="HW10" s="7" t="str">
        <f t="shared" si="251"/>
        <v xml:space="preserve"> </v>
      </c>
      <c r="HX10" s="7" t="str">
        <f t="shared" si="251"/>
        <v xml:space="preserve"> </v>
      </c>
      <c r="HY10" s="7" t="str">
        <f t="shared" si="251"/>
        <v xml:space="preserve"> </v>
      </c>
      <c r="HZ10" s="7" t="str">
        <f t="shared" si="251"/>
        <v xml:space="preserve"> </v>
      </c>
      <c r="IA10" s="7" t="str">
        <f t="shared" si="251"/>
        <v xml:space="preserve"> </v>
      </c>
      <c r="IB10" s="7" t="str">
        <f t="shared" si="251"/>
        <v xml:space="preserve"> </v>
      </c>
      <c r="IC10" s="7" t="str">
        <f t="shared" si="251"/>
        <v xml:space="preserve"> </v>
      </c>
      <c r="ID10" s="7" t="str">
        <f t="shared" si="251"/>
        <v xml:space="preserve"> </v>
      </c>
      <c r="IE10" s="7" t="str">
        <f t="shared" si="251"/>
        <v xml:space="preserve"> </v>
      </c>
      <c r="IF10" s="7" t="str">
        <f t="shared" si="251"/>
        <v xml:space="preserve"> </v>
      </c>
      <c r="IG10" s="7" t="str">
        <f t="shared" si="251"/>
        <v xml:space="preserve"> </v>
      </c>
      <c r="IH10" s="7" t="str">
        <f t="shared" si="251"/>
        <v xml:space="preserve"> </v>
      </c>
      <c r="II10" s="7" t="str">
        <f t="shared" si="251"/>
        <v xml:space="preserve"> </v>
      </c>
      <c r="IJ10" s="7" t="str">
        <f t="shared" si="251"/>
        <v xml:space="preserve"> </v>
      </c>
      <c r="IK10" s="7" t="str">
        <f t="shared" si="251"/>
        <v xml:space="preserve"> </v>
      </c>
      <c r="IL10" s="7" t="str">
        <f t="shared" si="251"/>
        <v xml:space="preserve"> </v>
      </c>
      <c r="IM10" s="7" t="str">
        <f t="shared" si="251"/>
        <v xml:space="preserve"> </v>
      </c>
      <c r="IN10" s="7" t="str">
        <f t="shared" si="251"/>
        <v xml:space="preserve"> </v>
      </c>
      <c r="IO10" s="7" t="str">
        <f t="shared" si="251"/>
        <v xml:space="preserve"> </v>
      </c>
      <c r="IP10" s="7" t="str">
        <f t="shared" si="251"/>
        <v xml:space="preserve"> </v>
      </c>
      <c r="IQ10" s="7" t="str">
        <f t="shared" si="251"/>
        <v xml:space="preserve"> </v>
      </c>
      <c r="IR10" s="7" t="str">
        <f t="shared" si="251"/>
        <v xml:space="preserve"> </v>
      </c>
      <c r="IS10" s="7" t="str">
        <f t="shared" si="251"/>
        <v xml:space="preserve"> </v>
      </c>
      <c r="IT10" s="7" t="str">
        <f t="shared" si="251"/>
        <v xml:space="preserve"> </v>
      </c>
      <c r="IU10" s="7" t="str">
        <f t="shared" si="251"/>
        <v xml:space="preserve"> </v>
      </c>
      <c r="IV10" s="7" t="str">
        <f t="shared" si="251"/>
        <v xml:space="preserve"> </v>
      </c>
      <c r="IW10" s="7" t="str">
        <f t="shared" si="251"/>
        <v xml:space="preserve"> </v>
      </c>
      <c r="IX10" s="7" t="str">
        <f t="shared" si="251"/>
        <v xml:space="preserve"> </v>
      </c>
      <c r="IY10" s="7" t="str">
        <f t="shared" si="251"/>
        <v xml:space="preserve"> </v>
      </c>
      <c r="IZ10" s="7" t="str">
        <f t="shared" si="251"/>
        <v xml:space="preserve"> </v>
      </c>
      <c r="JA10" s="7" t="str">
        <f t="shared" si="251"/>
        <v xml:space="preserve"> </v>
      </c>
      <c r="JB10" s="7" t="str">
        <f t="shared" ref="JB10:LM10" si="252">IF(JB$7&lt;&gt;" ",IF(JB$7&lt;=renovation_time,0,1)," ")</f>
        <v xml:space="preserve"> </v>
      </c>
      <c r="JC10" s="7" t="str">
        <f t="shared" si="252"/>
        <v xml:space="preserve"> </v>
      </c>
      <c r="JD10" s="7" t="str">
        <f t="shared" si="252"/>
        <v xml:space="preserve"> </v>
      </c>
      <c r="JE10" s="7" t="str">
        <f t="shared" si="252"/>
        <v xml:space="preserve"> </v>
      </c>
      <c r="JF10" s="7" t="str">
        <f t="shared" si="252"/>
        <v xml:space="preserve"> </v>
      </c>
      <c r="JG10" s="7" t="str">
        <f t="shared" si="252"/>
        <v xml:space="preserve"> </v>
      </c>
      <c r="JH10" s="7" t="str">
        <f t="shared" si="252"/>
        <v xml:space="preserve"> </v>
      </c>
      <c r="JI10" s="7" t="str">
        <f t="shared" si="252"/>
        <v xml:space="preserve"> </v>
      </c>
      <c r="JJ10" s="7" t="str">
        <f t="shared" si="252"/>
        <v xml:space="preserve"> </v>
      </c>
      <c r="JK10" s="7" t="str">
        <f t="shared" si="252"/>
        <v xml:space="preserve"> </v>
      </c>
      <c r="JL10" s="7" t="str">
        <f t="shared" si="252"/>
        <v xml:space="preserve"> </v>
      </c>
      <c r="JM10" s="7" t="str">
        <f t="shared" si="252"/>
        <v xml:space="preserve"> </v>
      </c>
      <c r="JN10" s="7" t="str">
        <f t="shared" si="252"/>
        <v xml:space="preserve"> </v>
      </c>
      <c r="JO10" s="7" t="str">
        <f t="shared" si="252"/>
        <v xml:space="preserve"> </v>
      </c>
      <c r="JP10" s="7" t="str">
        <f t="shared" si="252"/>
        <v xml:space="preserve"> </v>
      </c>
      <c r="JQ10" s="7" t="str">
        <f t="shared" si="252"/>
        <v xml:space="preserve"> </v>
      </c>
      <c r="JR10" s="7" t="str">
        <f t="shared" si="252"/>
        <v xml:space="preserve"> </v>
      </c>
      <c r="JS10" s="7" t="str">
        <f t="shared" si="252"/>
        <v xml:space="preserve"> </v>
      </c>
      <c r="JT10" s="7" t="str">
        <f t="shared" si="252"/>
        <v xml:space="preserve"> </v>
      </c>
      <c r="JU10" s="7" t="str">
        <f t="shared" si="252"/>
        <v xml:space="preserve"> </v>
      </c>
      <c r="JV10" s="7" t="str">
        <f t="shared" si="252"/>
        <v xml:space="preserve"> </v>
      </c>
      <c r="JW10" s="7" t="str">
        <f t="shared" si="252"/>
        <v xml:space="preserve"> </v>
      </c>
      <c r="JX10" s="7" t="str">
        <f t="shared" si="252"/>
        <v xml:space="preserve"> </v>
      </c>
      <c r="JY10" s="7" t="str">
        <f t="shared" si="252"/>
        <v xml:space="preserve"> </v>
      </c>
      <c r="JZ10" s="7" t="str">
        <f t="shared" si="252"/>
        <v xml:space="preserve"> </v>
      </c>
      <c r="KA10" s="7" t="str">
        <f t="shared" si="252"/>
        <v xml:space="preserve"> </v>
      </c>
      <c r="KB10" s="7" t="str">
        <f t="shared" si="252"/>
        <v xml:space="preserve"> </v>
      </c>
      <c r="KC10" s="7" t="str">
        <f t="shared" si="252"/>
        <v xml:space="preserve"> </v>
      </c>
      <c r="KD10" s="7" t="str">
        <f t="shared" si="252"/>
        <v xml:space="preserve"> </v>
      </c>
      <c r="KE10" s="7" t="str">
        <f t="shared" si="252"/>
        <v xml:space="preserve"> </v>
      </c>
      <c r="KF10" s="7" t="str">
        <f t="shared" si="252"/>
        <v xml:space="preserve"> </v>
      </c>
      <c r="KG10" s="7" t="str">
        <f t="shared" si="252"/>
        <v xml:space="preserve"> </v>
      </c>
      <c r="KH10" s="7" t="str">
        <f t="shared" si="252"/>
        <v xml:space="preserve"> </v>
      </c>
      <c r="KI10" s="7" t="str">
        <f t="shared" si="252"/>
        <v xml:space="preserve"> </v>
      </c>
      <c r="KJ10" s="7" t="str">
        <f t="shared" si="252"/>
        <v xml:space="preserve"> </v>
      </c>
      <c r="KK10" s="7" t="str">
        <f t="shared" si="252"/>
        <v xml:space="preserve"> </v>
      </c>
      <c r="KL10" s="7" t="str">
        <f t="shared" si="252"/>
        <v xml:space="preserve"> </v>
      </c>
      <c r="KM10" s="7" t="str">
        <f t="shared" si="252"/>
        <v xml:space="preserve"> </v>
      </c>
      <c r="KN10" s="7" t="str">
        <f t="shared" si="252"/>
        <v xml:space="preserve"> </v>
      </c>
      <c r="KO10" s="7" t="str">
        <f t="shared" si="252"/>
        <v xml:space="preserve"> </v>
      </c>
      <c r="KP10" s="7" t="str">
        <f t="shared" si="252"/>
        <v xml:space="preserve"> </v>
      </c>
      <c r="KQ10" s="7" t="str">
        <f t="shared" si="252"/>
        <v xml:space="preserve"> </v>
      </c>
      <c r="KR10" s="7" t="str">
        <f t="shared" si="252"/>
        <v xml:space="preserve"> </v>
      </c>
      <c r="KS10" s="7" t="str">
        <f t="shared" si="252"/>
        <v xml:space="preserve"> </v>
      </c>
      <c r="KT10" s="7" t="str">
        <f t="shared" si="252"/>
        <v xml:space="preserve"> </v>
      </c>
      <c r="KU10" s="7" t="str">
        <f t="shared" si="252"/>
        <v xml:space="preserve"> </v>
      </c>
      <c r="KV10" s="7" t="str">
        <f t="shared" si="252"/>
        <v xml:space="preserve"> </v>
      </c>
      <c r="KW10" s="7" t="str">
        <f t="shared" si="252"/>
        <v xml:space="preserve"> </v>
      </c>
      <c r="KX10" s="7" t="str">
        <f t="shared" si="252"/>
        <v xml:space="preserve"> </v>
      </c>
      <c r="KY10" s="7" t="str">
        <f t="shared" si="252"/>
        <v xml:space="preserve"> </v>
      </c>
      <c r="KZ10" s="7" t="str">
        <f t="shared" si="252"/>
        <v xml:space="preserve"> </v>
      </c>
      <c r="LA10" s="7" t="str">
        <f t="shared" si="252"/>
        <v xml:space="preserve"> </v>
      </c>
      <c r="LB10" s="7" t="str">
        <f t="shared" si="252"/>
        <v xml:space="preserve"> </v>
      </c>
      <c r="LC10" s="7" t="str">
        <f t="shared" si="252"/>
        <v xml:space="preserve"> </v>
      </c>
      <c r="LD10" s="7" t="str">
        <f t="shared" si="252"/>
        <v xml:space="preserve"> </v>
      </c>
      <c r="LE10" s="7" t="str">
        <f t="shared" si="252"/>
        <v xml:space="preserve"> </v>
      </c>
      <c r="LF10" s="7" t="str">
        <f t="shared" si="252"/>
        <v xml:space="preserve"> </v>
      </c>
      <c r="LG10" s="7" t="str">
        <f t="shared" si="252"/>
        <v xml:space="preserve"> </v>
      </c>
      <c r="LH10" s="7" t="str">
        <f t="shared" si="252"/>
        <v xml:space="preserve"> </v>
      </c>
      <c r="LI10" s="7" t="str">
        <f t="shared" si="252"/>
        <v xml:space="preserve"> </v>
      </c>
      <c r="LJ10" s="7" t="str">
        <f t="shared" si="252"/>
        <v xml:space="preserve"> </v>
      </c>
      <c r="LK10" s="7" t="str">
        <f t="shared" si="252"/>
        <v xml:space="preserve"> </v>
      </c>
      <c r="LL10" s="7" t="str">
        <f t="shared" si="252"/>
        <v xml:space="preserve"> </v>
      </c>
      <c r="LM10" s="7" t="str">
        <f t="shared" si="252"/>
        <v xml:space="preserve"> </v>
      </c>
      <c r="LN10" s="7" t="str">
        <f t="shared" ref="LN10:NB10" si="253">IF(LN$7&lt;&gt;" ",IF(LN$7&lt;=renovation_time,0,1)," ")</f>
        <v xml:space="preserve"> </v>
      </c>
      <c r="LO10" s="7" t="str">
        <f t="shared" si="253"/>
        <v xml:space="preserve"> </v>
      </c>
      <c r="LP10" s="7" t="str">
        <f t="shared" si="253"/>
        <v xml:space="preserve"> </v>
      </c>
      <c r="LQ10" s="7" t="str">
        <f t="shared" si="253"/>
        <v xml:space="preserve"> </v>
      </c>
      <c r="LR10" s="7" t="str">
        <f t="shared" si="253"/>
        <v xml:space="preserve"> </v>
      </c>
      <c r="LS10" s="7" t="str">
        <f t="shared" si="253"/>
        <v xml:space="preserve"> </v>
      </c>
      <c r="LT10" s="7" t="str">
        <f t="shared" si="253"/>
        <v xml:space="preserve"> </v>
      </c>
      <c r="LU10" s="7" t="str">
        <f t="shared" si="253"/>
        <v xml:space="preserve"> </v>
      </c>
      <c r="LV10" s="7" t="str">
        <f t="shared" si="253"/>
        <v xml:space="preserve"> </v>
      </c>
      <c r="LW10" s="7" t="str">
        <f t="shared" si="253"/>
        <v xml:space="preserve"> </v>
      </c>
      <c r="LX10" s="7" t="str">
        <f t="shared" si="253"/>
        <v xml:space="preserve"> </v>
      </c>
      <c r="LY10" s="7" t="str">
        <f t="shared" si="253"/>
        <v xml:space="preserve"> </v>
      </c>
      <c r="LZ10" s="7" t="str">
        <f t="shared" si="253"/>
        <v xml:space="preserve"> </v>
      </c>
      <c r="MA10" s="7" t="str">
        <f t="shared" si="253"/>
        <v xml:space="preserve"> </v>
      </c>
      <c r="MB10" s="7" t="str">
        <f t="shared" si="253"/>
        <v xml:space="preserve"> </v>
      </c>
      <c r="MC10" s="7" t="str">
        <f t="shared" si="253"/>
        <v xml:space="preserve"> </v>
      </c>
      <c r="MD10" s="7" t="str">
        <f t="shared" si="253"/>
        <v xml:space="preserve"> </v>
      </c>
      <c r="ME10" s="7" t="str">
        <f t="shared" si="253"/>
        <v xml:space="preserve"> </v>
      </c>
      <c r="MF10" s="7" t="str">
        <f t="shared" si="253"/>
        <v xml:space="preserve"> </v>
      </c>
      <c r="MG10" s="7" t="str">
        <f t="shared" si="253"/>
        <v xml:space="preserve"> </v>
      </c>
      <c r="MH10" s="7" t="str">
        <f t="shared" si="253"/>
        <v xml:space="preserve"> </v>
      </c>
      <c r="MI10" s="7" t="str">
        <f t="shared" si="253"/>
        <v xml:space="preserve"> </v>
      </c>
      <c r="MJ10" s="7" t="str">
        <f t="shared" si="253"/>
        <v xml:space="preserve"> </v>
      </c>
      <c r="MK10" s="7" t="str">
        <f t="shared" si="253"/>
        <v xml:space="preserve"> </v>
      </c>
      <c r="ML10" s="7" t="str">
        <f t="shared" si="253"/>
        <v xml:space="preserve"> </v>
      </c>
      <c r="MM10" s="7" t="str">
        <f t="shared" si="253"/>
        <v xml:space="preserve"> </v>
      </c>
      <c r="MN10" s="7" t="str">
        <f t="shared" si="253"/>
        <v xml:space="preserve"> </v>
      </c>
      <c r="MO10" s="7" t="str">
        <f t="shared" si="253"/>
        <v xml:space="preserve"> </v>
      </c>
      <c r="MP10" s="7" t="str">
        <f t="shared" si="253"/>
        <v xml:space="preserve"> </v>
      </c>
      <c r="MQ10" s="7" t="str">
        <f t="shared" si="253"/>
        <v xml:space="preserve"> </v>
      </c>
      <c r="MR10" s="7" t="str">
        <f t="shared" si="253"/>
        <v xml:space="preserve"> </v>
      </c>
      <c r="MS10" s="7" t="str">
        <f t="shared" si="253"/>
        <v xml:space="preserve"> </v>
      </c>
      <c r="MT10" s="7" t="str">
        <f t="shared" si="253"/>
        <v xml:space="preserve"> </v>
      </c>
      <c r="MU10" s="7" t="str">
        <f t="shared" si="253"/>
        <v xml:space="preserve"> </v>
      </c>
      <c r="MV10" s="7" t="str">
        <f t="shared" si="253"/>
        <v xml:space="preserve"> </v>
      </c>
      <c r="MW10" s="7" t="str">
        <f t="shared" si="253"/>
        <v xml:space="preserve"> </v>
      </c>
      <c r="MX10" s="7" t="str">
        <f t="shared" si="253"/>
        <v xml:space="preserve"> </v>
      </c>
      <c r="MY10" s="7" t="str">
        <f t="shared" si="253"/>
        <v xml:space="preserve"> </v>
      </c>
      <c r="MZ10" s="7" t="str">
        <f t="shared" si="253"/>
        <v xml:space="preserve"> </v>
      </c>
      <c r="NA10" s="7" t="str">
        <f t="shared" si="253"/>
        <v xml:space="preserve"> </v>
      </c>
      <c r="NB10" s="7" t="str">
        <f t="shared" si="253"/>
        <v xml:space="preserve"> </v>
      </c>
    </row>
    <row r="11" spans="2:388" x14ac:dyDescent="0.15">
      <c r="B11" t="s">
        <v>91</v>
      </c>
      <c r="F11" s="7">
        <f>IF(F$7&lt;&gt;" ",IF(F$7=$F$5,1,0)," ")</f>
        <v>0</v>
      </c>
      <c r="G11" s="7">
        <f t="shared" ref="G11:BR11" si="254">IF(G$7&lt;&gt;" ",IF(G$7=$F$5,1,0)," ")</f>
        <v>0</v>
      </c>
      <c r="H11" s="7">
        <f t="shared" si="254"/>
        <v>0</v>
      </c>
      <c r="I11" s="7">
        <f t="shared" si="254"/>
        <v>0</v>
      </c>
      <c r="J11" s="7">
        <f t="shared" si="254"/>
        <v>0</v>
      </c>
      <c r="K11" s="7">
        <f t="shared" si="254"/>
        <v>0</v>
      </c>
      <c r="L11" s="7">
        <f t="shared" si="254"/>
        <v>0</v>
      </c>
      <c r="M11" s="7">
        <f t="shared" si="254"/>
        <v>0</v>
      </c>
      <c r="N11" s="7">
        <f t="shared" si="254"/>
        <v>0</v>
      </c>
      <c r="O11" s="7">
        <f t="shared" si="254"/>
        <v>0</v>
      </c>
      <c r="P11" s="7">
        <f t="shared" si="254"/>
        <v>0</v>
      </c>
      <c r="Q11" s="7">
        <f t="shared" si="254"/>
        <v>0</v>
      </c>
      <c r="R11" s="7">
        <f t="shared" si="254"/>
        <v>0</v>
      </c>
      <c r="S11" s="7">
        <f t="shared" si="254"/>
        <v>0</v>
      </c>
      <c r="T11" s="7">
        <f t="shared" si="254"/>
        <v>0</v>
      </c>
      <c r="U11" s="7">
        <f t="shared" si="254"/>
        <v>0</v>
      </c>
      <c r="V11" s="7">
        <f t="shared" si="254"/>
        <v>0</v>
      </c>
      <c r="W11" s="7">
        <f t="shared" si="254"/>
        <v>0</v>
      </c>
      <c r="X11" s="7">
        <f t="shared" si="254"/>
        <v>0</v>
      </c>
      <c r="Y11" s="7">
        <f t="shared" si="254"/>
        <v>0</v>
      </c>
      <c r="Z11" s="7">
        <f t="shared" si="254"/>
        <v>0</v>
      </c>
      <c r="AA11" s="7">
        <f t="shared" si="254"/>
        <v>0</v>
      </c>
      <c r="AB11" s="7">
        <f t="shared" si="254"/>
        <v>0</v>
      </c>
      <c r="AC11" s="7">
        <f t="shared" si="254"/>
        <v>0</v>
      </c>
      <c r="AD11" s="7">
        <f t="shared" si="254"/>
        <v>0</v>
      </c>
      <c r="AE11" s="7">
        <f t="shared" si="254"/>
        <v>0</v>
      </c>
      <c r="AF11" s="7">
        <f t="shared" si="254"/>
        <v>0</v>
      </c>
      <c r="AG11" s="7">
        <f t="shared" si="254"/>
        <v>0</v>
      </c>
      <c r="AH11" s="7">
        <f t="shared" si="254"/>
        <v>0</v>
      </c>
      <c r="AI11" s="7">
        <f t="shared" si="254"/>
        <v>0</v>
      </c>
      <c r="AJ11" s="7">
        <f t="shared" si="254"/>
        <v>0</v>
      </c>
      <c r="AK11" s="7">
        <f t="shared" si="254"/>
        <v>0</v>
      </c>
      <c r="AL11" s="7">
        <f t="shared" si="254"/>
        <v>0</v>
      </c>
      <c r="AM11" s="7">
        <f t="shared" si="254"/>
        <v>0</v>
      </c>
      <c r="AN11" s="7">
        <f t="shared" si="254"/>
        <v>0</v>
      </c>
      <c r="AO11" s="7">
        <f t="shared" si="254"/>
        <v>0</v>
      </c>
      <c r="AP11" s="7">
        <f t="shared" si="254"/>
        <v>0</v>
      </c>
      <c r="AQ11" s="7">
        <f t="shared" si="254"/>
        <v>0</v>
      </c>
      <c r="AR11" s="7">
        <f t="shared" si="254"/>
        <v>0</v>
      </c>
      <c r="AS11" s="7">
        <f t="shared" si="254"/>
        <v>0</v>
      </c>
      <c r="AT11" s="7">
        <f t="shared" si="254"/>
        <v>0</v>
      </c>
      <c r="AU11" s="7">
        <f t="shared" si="254"/>
        <v>0</v>
      </c>
      <c r="AV11" s="7">
        <f t="shared" si="254"/>
        <v>0</v>
      </c>
      <c r="AW11" s="7">
        <f t="shared" si="254"/>
        <v>0</v>
      </c>
      <c r="AX11" s="7">
        <f t="shared" si="254"/>
        <v>0</v>
      </c>
      <c r="AY11" s="7">
        <f t="shared" si="254"/>
        <v>0</v>
      </c>
      <c r="AZ11" s="7">
        <f t="shared" si="254"/>
        <v>0</v>
      </c>
      <c r="BA11" s="7">
        <f t="shared" si="254"/>
        <v>0</v>
      </c>
      <c r="BB11" s="7">
        <f t="shared" si="254"/>
        <v>0</v>
      </c>
      <c r="BC11" s="7">
        <f t="shared" si="254"/>
        <v>0</v>
      </c>
      <c r="BD11" s="7">
        <f t="shared" si="254"/>
        <v>0</v>
      </c>
      <c r="BE11" s="7">
        <f t="shared" si="254"/>
        <v>0</v>
      </c>
      <c r="BF11" s="7">
        <f t="shared" si="254"/>
        <v>0</v>
      </c>
      <c r="BG11" s="7">
        <f t="shared" si="254"/>
        <v>0</v>
      </c>
      <c r="BH11" s="7">
        <f t="shared" si="254"/>
        <v>0</v>
      </c>
      <c r="BI11" s="7">
        <f t="shared" si="254"/>
        <v>0</v>
      </c>
      <c r="BJ11" s="7">
        <f t="shared" si="254"/>
        <v>0</v>
      </c>
      <c r="BK11" s="7">
        <f t="shared" si="254"/>
        <v>0</v>
      </c>
      <c r="BL11" s="7">
        <f t="shared" si="254"/>
        <v>0</v>
      </c>
      <c r="BM11" s="7">
        <f t="shared" si="254"/>
        <v>0</v>
      </c>
      <c r="BN11" s="7">
        <f t="shared" si="254"/>
        <v>0</v>
      </c>
      <c r="BO11" s="7">
        <f t="shared" si="254"/>
        <v>0</v>
      </c>
      <c r="BP11" s="7">
        <f t="shared" si="254"/>
        <v>0</v>
      </c>
      <c r="BQ11" s="7">
        <f t="shared" si="254"/>
        <v>0</v>
      </c>
      <c r="BR11" s="7">
        <f t="shared" si="254"/>
        <v>0</v>
      </c>
      <c r="BS11" s="7">
        <f t="shared" ref="BS11:ED11" si="255">IF(BS$7&lt;&gt;" ",IF(BS$7=$F$5,1,0)," ")</f>
        <v>0</v>
      </c>
      <c r="BT11" s="7">
        <f t="shared" si="255"/>
        <v>0</v>
      </c>
      <c r="BU11" s="7">
        <f t="shared" si="255"/>
        <v>0</v>
      </c>
      <c r="BV11" s="7">
        <f t="shared" si="255"/>
        <v>0</v>
      </c>
      <c r="BW11" s="7">
        <f t="shared" si="255"/>
        <v>0</v>
      </c>
      <c r="BX11" s="7">
        <f t="shared" si="255"/>
        <v>0</v>
      </c>
      <c r="BY11" s="7">
        <f t="shared" si="255"/>
        <v>0</v>
      </c>
      <c r="BZ11" s="7">
        <f t="shared" si="255"/>
        <v>0</v>
      </c>
      <c r="CA11" s="7">
        <f t="shared" si="255"/>
        <v>0</v>
      </c>
      <c r="CB11" s="7">
        <f t="shared" si="255"/>
        <v>0</v>
      </c>
      <c r="CC11" s="7">
        <f t="shared" si="255"/>
        <v>0</v>
      </c>
      <c r="CD11" s="7">
        <f t="shared" si="255"/>
        <v>0</v>
      </c>
      <c r="CE11" s="7">
        <f t="shared" si="255"/>
        <v>0</v>
      </c>
      <c r="CF11" s="7">
        <f t="shared" si="255"/>
        <v>0</v>
      </c>
      <c r="CG11" s="7">
        <f t="shared" si="255"/>
        <v>0</v>
      </c>
      <c r="CH11" s="7">
        <f t="shared" si="255"/>
        <v>0</v>
      </c>
      <c r="CI11" s="7">
        <f t="shared" si="255"/>
        <v>0</v>
      </c>
      <c r="CJ11" s="7">
        <f t="shared" si="255"/>
        <v>0</v>
      </c>
      <c r="CK11" s="7">
        <f t="shared" si="255"/>
        <v>0</v>
      </c>
      <c r="CL11" s="7">
        <f t="shared" si="255"/>
        <v>0</v>
      </c>
      <c r="CM11" s="7">
        <f t="shared" si="255"/>
        <v>0</v>
      </c>
      <c r="CN11" s="7">
        <f t="shared" si="255"/>
        <v>0</v>
      </c>
      <c r="CO11" s="7">
        <f t="shared" si="255"/>
        <v>0</v>
      </c>
      <c r="CP11" s="7">
        <f t="shared" si="255"/>
        <v>0</v>
      </c>
      <c r="CQ11" s="7">
        <f t="shared" si="255"/>
        <v>0</v>
      </c>
      <c r="CR11" s="7">
        <f t="shared" si="255"/>
        <v>0</v>
      </c>
      <c r="CS11" s="7">
        <f t="shared" si="255"/>
        <v>0</v>
      </c>
      <c r="CT11" s="7">
        <f t="shared" si="255"/>
        <v>0</v>
      </c>
      <c r="CU11" s="7">
        <f t="shared" si="255"/>
        <v>0</v>
      </c>
      <c r="CV11" s="7">
        <f t="shared" si="255"/>
        <v>0</v>
      </c>
      <c r="CW11" s="7">
        <f t="shared" si="255"/>
        <v>0</v>
      </c>
      <c r="CX11" s="7">
        <f t="shared" si="255"/>
        <v>0</v>
      </c>
      <c r="CY11" s="7">
        <f t="shared" si="255"/>
        <v>0</v>
      </c>
      <c r="CZ11" s="7">
        <f t="shared" si="255"/>
        <v>0</v>
      </c>
      <c r="DA11" s="7">
        <f t="shared" si="255"/>
        <v>0</v>
      </c>
      <c r="DB11" s="7">
        <f t="shared" si="255"/>
        <v>0</v>
      </c>
      <c r="DC11" s="7">
        <f t="shared" si="255"/>
        <v>0</v>
      </c>
      <c r="DD11" s="7">
        <f t="shared" si="255"/>
        <v>0</v>
      </c>
      <c r="DE11" s="7">
        <f t="shared" si="255"/>
        <v>0</v>
      </c>
      <c r="DF11" s="7">
        <f t="shared" si="255"/>
        <v>0</v>
      </c>
      <c r="DG11" s="7">
        <f t="shared" si="255"/>
        <v>0</v>
      </c>
      <c r="DH11" s="7">
        <f t="shared" si="255"/>
        <v>0</v>
      </c>
      <c r="DI11" s="7">
        <f t="shared" si="255"/>
        <v>0</v>
      </c>
      <c r="DJ11" s="7">
        <f t="shared" si="255"/>
        <v>0</v>
      </c>
      <c r="DK11" s="7">
        <f t="shared" si="255"/>
        <v>0</v>
      </c>
      <c r="DL11" s="7">
        <f t="shared" si="255"/>
        <v>0</v>
      </c>
      <c r="DM11" s="7">
        <f t="shared" si="255"/>
        <v>0</v>
      </c>
      <c r="DN11" s="7">
        <f t="shared" si="255"/>
        <v>0</v>
      </c>
      <c r="DO11" s="7">
        <f t="shared" si="255"/>
        <v>0</v>
      </c>
      <c r="DP11" s="7">
        <f t="shared" si="255"/>
        <v>0</v>
      </c>
      <c r="DQ11" s="7">
        <f t="shared" si="255"/>
        <v>0</v>
      </c>
      <c r="DR11" s="7">
        <f t="shared" si="255"/>
        <v>0</v>
      </c>
      <c r="DS11" s="7">
        <f t="shared" si="255"/>
        <v>0</v>
      </c>
      <c r="DT11" s="7">
        <f t="shared" si="255"/>
        <v>0</v>
      </c>
      <c r="DU11" s="7">
        <f t="shared" si="255"/>
        <v>0</v>
      </c>
      <c r="DV11" s="7">
        <f t="shared" si="255"/>
        <v>0</v>
      </c>
      <c r="DW11" s="7">
        <f t="shared" si="255"/>
        <v>0</v>
      </c>
      <c r="DX11" s="7">
        <f t="shared" si="255"/>
        <v>0</v>
      </c>
      <c r="DY11" s="7">
        <f t="shared" si="255"/>
        <v>0</v>
      </c>
      <c r="DZ11" s="7">
        <f t="shared" si="255"/>
        <v>0</v>
      </c>
      <c r="EA11" s="7">
        <f t="shared" si="255"/>
        <v>0</v>
      </c>
      <c r="EB11" s="7">
        <f t="shared" si="255"/>
        <v>0</v>
      </c>
      <c r="EC11" s="7">
        <f t="shared" si="255"/>
        <v>0</v>
      </c>
      <c r="ED11" s="7">
        <f t="shared" si="255"/>
        <v>0</v>
      </c>
      <c r="EE11" s="7">
        <f t="shared" ref="EE11:GP11" si="256">IF(EE$7&lt;&gt;" ",IF(EE$7=$F$5,1,0)," ")</f>
        <v>0</v>
      </c>
      <c r="EF11" s="7">
        <f t="shared" si="256"/>
        <v>0</v>
      </c>
      <c r="EG11" s="7">
        <f t="shared" si="256"/>
        <v>0</v>
      </c>
      <c r="EH11" s="7">
        <f t="shared" si="256"/>
        <v>0</v>
      </c>
      <c r="EI11" s="7">
        <f t="shared" si="256"/>
        <v>0</v>
      </c>
      <c r="EJ11" s="7">
        <f t="shared" si="256"/>
        <v>0</v>
      </c>
      <c r="EK11" s="7">
        <f t="shared" si="256"/>
        <v>0</v>
      </c>
      <c r="EL11" s="7">
        <f t="shared" si="256"/>
        <v>0</v>
      </c>
      <c r="EM11" s="7">
        <f t="shared" si="256"/>
        <v>0</v>
      </c>
      <c r="EN11" s="7">
        <f t="shared" si="256"/>
        <v>0</v>
      </c>
      <c r="EO11" s="7">
        <f t="shared" si="256"/>
        <v>0</v>
      </c>
      <c r="EP11" s="7">
        <f t="shared" si="256"/>
        <v>0</v>
      </c>
      <c r="EQ11" s="7">
        <f t="shared" si="256"/>
        <v>0</v>
      </c>
      <c r="ER11" s="7">
        <f t="shared" si="256"/>
        <v>0</v>
      </c>
      <c r="ES11" s="7">
        <f t="shared" si="256"/>
        <v>0</v>
      </c>
      <c r="ET11" s="7">
        <f t="shared" si="256"/>
        <v>0</v>
      </c>
      <c r="EU11" s="7">
        <f t="shared" si="256"/>
        <v>0</v>
      </c>
      <c r="EV11" s="7">
        <f t="shared" si="256"/>
        <v>0</v>
      </c>
      <c r="EW11" s="7">
        <f t="shared" si="256"/>
        <v>0</v>
      </c>
      <c r="EX11" s="7">
        <f t="shared" si="256"/>
        <v>0</v>
      </c>
      <c r="EY11" s="7">
        <f t="shared" si="256"/>
        <v>0</v>
      </c>
      <c r="EZ11" s="7">
        <f t="shared" si="256"/>
        <v>0</v>
      </c>
      <c r="FA11" s="7">
        <f t="shared" si="256"/>
        <v>0</v>
      </c>
      <c r="FB11" s="7">
        <f t="shared" si="256"/>
        <v>0</v>
      </c>
      <c r="FC11" s="7">
        <f t="shared" si="256"/>
        <v>0</v>
      </c>
      <c r="FD11" s="7">
        <f t="shared" si="256"/>
        <v>0</v>
      </c>
      <c r="FE11" s="7">
        <f t="shared" si="256"/>
        <v>0</v>
      </c>
      <c r="FF11" s="7">
        <f t="shared" si="256"/>
        <v>0</v>
      </c>
      <c r="FG11" s="7">
        <f t="shared" si="256"/>
        <v>0</v>
      </c>
      <c r="FH11" s="7">
        <f t="shared" si="256"/>
        <v>0</v>
      </c>
      <c r="FI11" s="7">
        <f t="shared" si="256"/>
        <v>0</v>
      </c>
      <c r="FJ11" s="7">
        <f t="shared" si="256"/>
        <v>0</v>
      </c>
      <c r="FK11" s="7">
        <f t="shared" si="256"/>
        <v>0</v>
      </c>
      <c r="FL11" s="7">
        <f t="shared" si="256"/>
        <v>0</v>
      </c>
      <c r="FM11" s="7">
        <f t="shared" si="256"/>
        <v>0</v>
      </c>
      <c r="FN11" s="7">
        <f t="shared" si="256"/>
        <v>0</v>
      </c>
      <c r="FO11" s="7">
        <f t="shared" si="256"/>
        <v>0</v>
      </c>
      <c r="FP11" s="7">
        <f t="shared" si="256"/>
        <v>0</v>
      </c>
      <c r="FQ11" s="7">
        <f t="shared" si="256"/>
        <v>0</v>
      </c>
      <c r="FR11" s="7">
        <f t="shared" si="256"/>
        <v>0</v>
      </c>
      <c r="FS11" s="7">
        <f t="shared" si="256"/>
        <v>0</v>
      </c>
      <c r="FT11" s="7">
        <f t="shared" si="256"/>
        <v>0</v>
      </c>
      <c r="FU11" s="7">
        <f t="shared" si="256"/>
        <v>0</v>
      </c>
      <c r="FV11" s="7">
        <f t="shared" si="256"/>
        <v>0</v>
      </c>
      <c r="FW11" s="7">
        <f t="shared" si="256"/>
        <v>0</v>
      </c>
      <c r="FX11" s="7">
        <f t="shared" si="256"/>
        <v>0</v>
      </c>
      <c r="FY11" s="7">
        <f t="shared" si="256"/>
        <v>0</v>
      </c>
      <c r="FZ11" s="7">
        <f t="shared" si="256"/>
        <v>0</v>
      </c>
      <c r="GA11" s="7">
        <f t="shared" si="256"/>
        <v>0</v>
      </c>
      <c r="GB11" s="7">
        <f t="shared" si="256"/>
        <v>0</v>
      </c>
      <c r="GC11" s="7">
        <f t="shared" si="256"/>
        <v>0</v>
      </c>
      <c r="GD11" s="7">
        <f t="shared" si="256"/>
        <v>1</v>
      </c>
      <c r="GE11" s="7" t="str">
        <f t="shared" si="256"/>
        <v xml:space="preserve"> </v>
      </c>
      <c r="GF11" s="7" t="str">
        <f t="shared" si="256"/>
        <v xml:space="preserve"> </v>
      </c>
      <c r="GG11" s="7" t="str">
        <f t="shared" si="256"/>
        <v xml:space="preserve"> </v>
      </c>
      <c r="GH11" s="7" t="str">
        <f t="shared" si="256"/>
        <v xml:space="preserve"> </v>
      </c>
      <c r="GI11" s="7" t="str">
        <f t="shared" si="256"/>
        <v xml:space="preserve"> </v>
      </c>
      <c r="GJ11" s="7" t="str">
        <f t="shared" si="256"/>
        <v xml:space="preserve"> </v>
      </c>
      <c r="GK11" s="7" t="str">
        <f t="shared" si="256"/>
        <v xml:space="preserve"> </v>
      </c>
      <c r="GL11" s="7" t="str">
        <f t="shared" si="256"/>
        <v xml:space="preserve"> </v>
      </c>
      <c r="GM11" s="7" t="str">
        <f t="shared" si="256"/>
        <v xml:space="preserve"> </v>
      </c>
      <c r="GN11" s="7" t="str">
        <f t="shared" si="256"/>
        <v xml:space="preserve"> </v>
      </c>
      <c r="GO11" s="7" t="str">
        <f t="shared" si="256"/>
        <v xml:space="preserve"> </v>
      </c>
      <c r="GP11" s="7" t="str">
        <f t="shared" si="256"/>
        <v xml:space="preserve"> </v>
      </c>
      <c r="GQ11" s="7" t="str">
        <f t="shared" ref="GQ11:JB11" si="257">IF(GQ$7&lt;&gt;" ",IF(GQ$7=$F$5,1,0)," ")</f>
        <v xml:space="preserve"> </v>
      </c>
      <c r="GR11" s="7" t="str">
        <f t="shared" si="257"/>
        <v xml:space="preserve"> </v>
      </c>
      <c r="GS11" s="7" t="str">
        <f t="shared" si="257"/>
        <v xml:space="preserve"> </v>
      </c>
      <c r="GT11" s="7" t="str">
        <f t="shared" si="257"/>
        <v xml:space="preserve"> </v>
      </c>
      <c r="GU11" s="7" t="str">
        <f t="shared" si="257"/>
        <v xml:space="preserve"> </v>
      </c>
      <c r="GV11" s="7" t="str">
        <f t="shared" si="257"/>
        <v xml:space="preserve"> </v>
      </c>
      <c r="GW11" s="7" t="str">
        <f t="shared" si="257"/>
        <v xml:space="preserve"> </v>
      </c>
      <c r="GX11" s="7" t="str">
        <f t="shared" si="257"/>
        <v xml:space="preserve"> </v>
      </c>
      <c r="GY11" s="7" t="str">
        <f t="shared" si="257"/>
        <v xml:space="preserve"> </v>
      </c>
      <c r="GZ11" s="7" t="str">
        <f t="shared" si="257"/>
        <v xml:space="preserve"> </v>
      </c>
      <c r="HA11" s="7" t="str">
        <f t="shared" si="257"/>
        <v xml:space="preserve"> </v>
      </c>
      <c r="HB11" s="7" t="str">
        <f t="shared" si="257"/>
        <v xml:space="preserve"> </v>
      </c>
      <c r="HC11" s="7" t="str">
        <f t="shared" si="257"/>
        <v xml:space="preserve"> </v>
      </c>
      <c r="HD11" s="7" t="str">
        <f t="shared" si="257"/>
        <v xml:space="preserve"> </v>
      </c>
      <c r="HE11" s="7" t="str">
        <f t="shared" si="257"/>
        <v xml:space="preserve"> </v>
      </c>
      <c r="HF11" s="7" t="str">
        <f t="shared" si="257"/>
        <v xml:space="preserve"> </v>
      </c>
      <c r="HG11" s="7" t="str">
        <f t="shared" si="257"/>
        <v xml:space="preserve"> </v>
      </c>
      <c r="HH11" s="7" t="str">
        <f t="shared" si="257"/>
        <v xml:space="preserve"> </v>
      </c>
      <c r="HI11" s="7" t="str">
        <f t="shared" si="257"/>
        <v xml:space="preserve"> </v>
      </c>
      <c r="HJ11" s="7" t="str">
        <f t="shared" si="257"/>
        <v xml:space="preserve"> </v>
      </c>
      <c r="HK11" s="7" t="str">
        <f t="shared" si="257"/>
        <v xml:space="preserve"> </v>
      </c>
      <c r="HL11" s="7" t="str">
        <f t="shared" si="257"/>
        <v xml:space="preserve"> </v>
      </c>
      <c r="HM11" s="7" t="str">
        <f t="shared" si="257"/>
        <v xml:space="preserve"> </v>
      </c>
      <c r="HN11" s="7" t="str">
        <f t="shared" si="257"/>
        <v xml:space="preserve"> </v>
      </c>
      <c r="HO11" s="7" t="str">
        <f t="shared" si="257"/>
        <v xml:space="preserve"> </v>
      </c>
      <c r="HP11" s="7" t="str">
        <f t="shared" si="257"/>
        <v xml:space="preserve"> </v>
      </c>
      <c r="HQ11" s="7" t="str">
        <f t="shared" si="257"/>
        <v xml:space="preserve"> </v>
      </c>
      <c r="HR11" s="7" t="str">
        <f t="shared" si="257"/>
        <v xml:space="preserve"> </v>
      </c>
      <c r="HS11" s="7" t="str">
        <f t="shared" si="257"/>
        <v xml:space="preserve"> </v>
      </c>
      <c r="HT11" s="7" t="str">
        <f t="shared" si="257"/>
        <v xml:space="preserve"> </v>
      </c>
      <c r="HU11" s="7" t="str">
        <f t="shared" si="257"/>
        <v xml:space="preserve"> </v>
      </c>
      <c r="HV11" s="7" t="str">
        <f t="shared" si="257"/>
        <v xml:space="preserve"> </v>
      </c>
      <c r="HW11" s="7" t="str">
        <f t="shared" si="257"/>
        <v xml:space="preserve"> </v>
      </c>
      <c r="HX11" s="7" t="str">
        <f t="shared" si="257"/>
        <v xml:space="preserve"> </v>
      </c>
      <c r="HY11" s="7" t="str">
        <f t="shared" si="257"/>
        <v xml:space="preserve"> </v>
      </c>
      <c r="HZ11" s="7" t="str">
        <f t="shared" si="257"/>
        <v xml:space="preserve"> </v>
      </c>
      <c r="IA11" s="7" t="str">
        <f t="shared" si="257"/>
        <v xml:space="preserve"> </v>
      </c>
      <c r="IB11" s="7" t="str">
        <f t="shared" si="257"/>
        <v xml:space="preserve"> </v>
      </c>
      <c r="IC11" s="7" t="str">
        <f t="shared" si="257"/>
        <v xml:space="preserve"> </v>
      </c>
      <c r="ID11" s="7" t="str">
        <f t="shared" si="257"/>
        <v xml:space="preserve"> </v>
      </c>
      <c r="IE11" s="7" t="str">
        <f t="shared" si="257"/>
        <v xml:space="preserve"> </v>
      </c>
      <c r="IF11" s="7" t="str">
        <f t="shared" si="257"/>
        <v xml:space="preserve"> </v>
      </c>
      <c r="IG11" s="7" t="str">
        <f t="shared" si="257"/>
        <v xml:space="preserve"> </v>
      </c>
      <c r="IH11" s="7" t="str">
        <f t="shared" si="257"/>
        <v xml:space="preserve"> </v>
      </c>
      <c r="II11" s="7" t="str">
        <f t="shared" si="257"/>
        <v xml:space="preserve"> </v>
      </c>
      <c r="IJ11" s="7" t="str">
        <f t="shared" si="257"/>
        <v xml:space="preserve"> </v>
      </c>
      <c r="IK11" s="7" t="str">
        <f t="shared" si="257"/>
        <v xml:space="preserve"> </v>
      </c>
      <c r="IL11" s="7" t="str">
        <f t="shared" si="257"/>
        <v xml:space="preserve"> </v>
      </c>
      <c r="IM11" s="7" t="str">
        <f t="shared" si="257"/>
        <v xml:space="preserve"> </v>
      </c>
      <c r="IN11" s="7" t="str">
        <f t="shared" si="257"/>
        <v xml:space="preserve"> </v>
      </c>
      <c r="IO11" s="7" t="str">
        <f t="shared" si="257"/>
        <v xml:space="preserve"> </v>
      </c>
      <c r="IP11" s="7" t="str">
        <f t="shared" si="257"/>
        <v xml:space="preserve"> </v>
      </c>
      <c r="IQ11" s="7" t="str">
        <f t="shared" si="257"/>
        <v xml:space="preserve"> </v>
      </c>
      <c r="IR11" s="7" t="str">
        <f t="shared" si="257"/>
        <v xml:space="preserve"> </v>
      </c>
      <c r="IS11" s="7" t="str">
        <f t="shared" si="257"/>
        <v xml:space="preserve"> </v>
      </c>
      <c r="IT11" s="7" t="str">
        <f t="shared" si="257"/>
        <v xml:space="preserve"> </v>
      </c>
      <c r="IU11" s="7" t="str">
        <f t="shared" si="257"/>
        <v xml:space="preserve"> </v>
      </c>
      <c r="IV11" s="7" t="str">
        <f t="shared" si="257"/>
        <v xml:space="preserve"> </v>
      </c>
      <c r="IW11" s="7" t="str">
        <f t="shared" si="257"/>
        <v xml:space="preserve"> </v>
      </c>
      <c r="IX11" s="7" t="str">
        <f t="shared" si="257"/>
        <v xml:space="preserve"> </v>
      </c>
      <c r="IY11" s="7" t="str">
        <f t="shared" si="257"/>
        <v xml:space="preserve"> </v>
      </c>
      <c r="IZ11" s="7" t="str">
        <f t="shared" si="257"/>
        <v xml:space="preserve"> </v>
      </c>
      <c r="JA11" s="7" t="str">
        <f t="shared" si="257"/>
        <v xml:space="preserve"> </v>
      </c>
      <c r="JB11" s="7" t="str">
        <f t="shared" si="257"/>
        <v xml:space="preserve"> </v>
      </c>
      <c r="JC11" s="7" t="str">
        <f t="shared" ref="JC11:LN11" si="258">IF(JC$7&lt;&gt;" ",IF(JC$7=$F$5,1,0)," ")</f>
        <v xml:space="preserve"> </v>
      </c>
      <c r="JD11" s="7" t="str">
        <f t="shared" si="258"/>
        <v xml:space="preserve"> </v>
      </c>
      <c r="JE11" s="7" t="str">
        <f t="shared" si="258"/>
        <v xml:space="preserve"> </v>
      </c>
      <c r="JF11" s="7" t="str">
        <f t="shared" si="258"/>
        <v xml:space="preserve"> </v>
      </c>
      <c r="JG11" s="7" t="str">
        <f t="shared" si="258"/>
        <v xml:space="preserve"> </v>
      </c>
      <c r="JH11" s="7" t="str">
        <f t="shared" si="258"/>
        <v xml:space="preserve"> </v>
      </c>
      <c r="JI11" s="7" t="str">
        <f t="shared" si="258"/>
        <v xml:space="preserve"> </v>
      </c>
      <c r="JJ11" s="7" t="str">
        <f t="shared" si="258"/>
        <v xml:space="preserve"> </v>
      </c>
      <c r="JK11" s="7" t="str">
        <f t="shared" si="258"/>
        <v xml:space="preserve"> </v>
      </c>
      <c r="JL11" s="7" t="str">
        <f t="shared" si="258"/>
        <v xml:space="preserve"> </v>
      </c>
      <c r="JM11" s="7" t="str">
        <f t="shared" si="258"/>
        <v xml:space="preserve"> </v>
      </c>
      <c r="JN11" s="7" t="str">
        <f t="shared" si="258"/>
        <v xml:space="preserve"> </v>
      </c>
      <c r="JO11" s="7" t="str">
        <f t="shared" si="258"/>
        <v xml:space="preserve"> </v>
      </c>
      <c r="JP11" s="7" t="str">
        <f t="shared" si="258"/>
        <v xml:space="preserve"> </v>
      </c>
      <c r="JQ11" s="7" t="str">
        <f t="shared" si="258"/>
        <v xml:space="preserve"> </v>
      </c>
      <c r="JR11" s="7" t="str">
        <f t="shared" si="258"/>
        <v xml:space="preserve"> </v>
      </c>
      <c r="JS11" s="7" t="str">
        <f t="shared" si="258"/>
        <v xml:space="preserve"> </v>
      </c>
      <c r="JT11" s="7" t="str">
        <f t="shared" si="258"/>
        <v xml:space="preserve"> </v>
      </c>
      <c r="JU11" s="7" t="str">
        <f t="shared" si="258"/>
        <v xml:space="preserve"> </v>
      </c>
      <c r="JV11" s="7" t="str">
        <f t="shared" si="258"/>
        <v xml:space="preserve"> </v>
      </c>
      <c r="JW11" s="7" t="str">
        <f t="shared" si="258"/>
        <v xml:space="preserve"> </v>
      </c>
      <c r="JX11" s="7" t="str">
        <f t="shared" si="258"/>
        <v xml:space="preserve"> </v>
      </c>
      <c r="JY11" s="7" t="str">
        <f t="shared" si="258"/>
        <v xml:space="preserve"> </v>
      </c>
      <c r="JZ11" s="7" t="str">
        <f t="shared" si="258"/>
        <v xml:space="preserve"> </v>
      </c>
      <c r="KA11" s="7" t="str">
        <f t="shared" si="258"/>
        <v xml:space="preserve"> </v>
      </c>
      <c r="KB11" s="7" t="str">
        <f t="shared" si="258"/>
        <v xml:space="preserve"> </v>
      </c>
      <c r="KC11" s="7" t="str">
        <f t="shared" si="258"/>
        <v xml:space="preserve"> </v>
      </c>
      <c r="KD11" s="7" t="str">
        <f t="shared" si="258"/>
        <v xml:space="preserve"> </v>
      </c>
      <c r="KE11" s="7" t="str">
        <f t="shared" si="258"/>
        <v xml:space="preserve"> </v>
      </c>
      <c r="KF11" s="7" t="str">
        <f t="shared" si="258"/>
        <v xml:space="preserve"> </v>
      </c>
      <c r="KG11" s="7" t="str">
        <f t="shared" si="258"/>
        <v xml:space="preserve"> </v>
      </c>
      <c r="KH11" s="7" t="str">
        <f t="shared" si="258"/>
        <v xml:space="preserve"> </v>
      </c>
      <c r="KI11" s="7" t="str">
        <f t="shared" si="258"/>
        <v xml:space="preserve"> </v>
      </c>
      <c r="KJ11" s="7" t="str">
        <f t="shared" si="258"/>
        <v xml:space="preserve"> </v>
      </c>
      <c r="KK11" s="7" t="str">
        <f t="shared" si="258"/>
        <v xml:space="preserve"> </v>
      </c>
      <c r="KL11" s="7" t="str">
        <f t="shared" si="258"/>
        <v xml:space="preserve"> </v>
      </c>
      <c r="KM11" s="7" t="str">
        <f t="shared" si="258"/>
        <v xml:space="preserve"> </v>
      </c>
      <c r="KN11" s="7" t="str">
        <f t="shared" si="258"/>
        <v xml:space="preserve"> </v>
      </c>
      <c r="KO11" s="7" t="str">
        <f t="shared" si="258"/>
        <v xml:space="preserve"> </v>
      </c>
      <c r="KP11" s="7" t="str">
        <f t="shared" si="258"/>
        <v xml:space="preserve"> </v>
      </c>
      <c r="KQ11" s="7" t="str">
        <f t="shared" si="258"/>
        <v xml:space="preserve"> </v>
      </c>
      <c r="KR11" s="7" t="str">
        <f t="shared" si="258"/>
        <v xml:space="preserve"> </v>
      </c>
      <c r="KS11" s="7" t="str">
        <f t="shared" si="258"/>
        <v xml:space="preserve"> </v>
      </c>
      <c r="KT11" s="7" t="str">
        <f t="shared" si="258"/>
        <v xml:space="preserve"> </v>
      </c>
      <c r="KU11" s="7" t="str">
        <f t="shared" si="258"/>
        <v xml:space="preserve"> </v>
      </c>
      <c r="KV11" s="7" t="str">
        <f t="shared" si="258"/>
        <v xml:space="preserve"> </v>
      </c>
      <c r="KW11" s="7" t="str">
        <f t="shared" si="258"/>
        <v xml:space="preserve"> </v>
      </c>
      <c r="KX11" s="7" t="str">
        <f t="shared" si="258"/>
        <v xml:space="preserve"> </v>
      </c>
      <c r="KY11" s="7" t="str">
        <f t="shared" si="258"/>
        <v xml:space="preserve"> </v>
      </c>
      <c r="KZ11" s="7" t="str">
        <f t="shared" si="258"/>
        <v xml:space="preserve"> </v>
      </c>
      <c r="LA11" s="7" t="str">
        <f t="shared" si="258"/>
        <v xml:space="preserve"> </v>
      </c>
      <c r="LB11" s="7" t="str">
        <f t="shared" si="258"/>
        <v xml:space="preserve"> </v>
      </c>
      <c r="LC11" s="7" t="str">
        <f t="shared" si="258"/>
        <v xml:space="preserve"> </v>
      </c>
      <c r="LD11" s="7" t="str">
        <f t="shared" si="258"/>
        <v xml:space="preserve"> </v>
      </c>
      <c r="LE11" s="7" t="str">
        <f t="shared" si="258"/>
        <v xml:space="preserve"> </v>
      </c>
      <c r="LF11" s="7" t="str">
        <f t="shared" si="258"/>
        <v xml:space="preserve"> </v>
      </c>
      <c r="LG11" s="7" t="str">
        <f t="shared" si="258"/>
        <v xml:space="preserve"> </v>
      </c>
      <c r="LH11" s="7" t="str">
        <f t="shared" si="258"/>
        <v xml:space="preserve"> </v>
      </c>
      <c r="LI11" s="7" t="str">
        <f t="shared" si="258"/>
        <v xml:space="preserve"> </v>
      </c>
      <c r="LJ11" s="7" t="str">
        <f t="shared" si="258"/>
        <v xml:space="preserve"> </v>
      </c>
      <c r="LK11" s="7" t="str">
        <f t="shared" si="258"/>
        <v xml:space="preserve"> </v>
      </c>
      <c r="LL11" s="7" t="str">
        <f t="shared" si="258"/>
        <v xml:space="preserve"> </v>
      </c>
      <c r="LM11" s="7" t="str">
        <f t="shared" si="258"/>
        <v xml:space="preserve"> </v>
      </c>
      <c r="LN11" s="7" t="str">
        <f t="shared" si="258"/>
        <v xml:space="preserve"> </v>
      </c>
      <c r="LO11" s="7" t="str">
        <f t="shared" ref="LO11:NB11" si="259">IF(LO$7&lt;&gt;" ",IF(LO$7=$F$5,1,0)," ")</f>
        <v xml:space="preserve"> </v>
      </c>
      <c r="LP11" s="7" t="str">
        <f t="shared" si="259"/>
        <v xml:space="preserve"> </v>
      </c>
      <c r="LQ11" s="7" t="str">
        <f t="shared" si="259"/>
        <v xml:space="preserve"> </v>
      </c>
      <c r="LR11" s="7" t="str">
        <f t="shared" si="259"/>
        <v xml:space="preserve"> </v>
      </c>
      <c r="LS11" s="7" t="str">
        <f t="shared" si="259"/>
        <v xml:space="preserve"> </v>
      </c>
      <c r="LT11" s="7" t="str">
        <f t="shared" si="259"/>
        <v xml:space="preserve"> </v>
      </c>
      <c r="LU11" s="7" t="str">
        <f t="shared" si="259"/>
        <v xml:space="preserve"> </v>
      </c>
      <c r="LV11" s="7" t="str">
        <f t="shared" si="259"/>
        <v xml:space="preserve"> </v>
      </c>
      <c r="LW11" s="7" t="str">
        <f t="shared" si="259"/>
        <v xml:space="preserve"> </v>
      </c>
      <c r="LX11" s="7" t="str">
        <f t="shared" si="259"/>
        <v xml:space="preserve"> </v>
      </c>
      <c r="LY11" s="7" t="str">
        <f t="shared" si="259"/>
        <v xml:space="preserve"> </v>
      </c>
      <c r="LZ11" s="7" t="str">
        <f t="shared" si="259"/>
        <v xml:space="preserve"> </v>
      </c>
      <c r="MA11" s="7" t="str">
        <f t="shared" si="259"/>
        <v xml:space="preserve"> </v>
      </c>
      <c r="MB11" s="7" t="str">
        <f t="shared" si="259"/>
        <v xml:space="preserve"> </v>
      </c>
      <c r="MC11" s="7" t="str">
        <f t="shared" si="259"/>
        <v xml:space="preserve"> </v>
      </c>
      <c r="MD11" s="7" t="str">
        <f t="shared" si="259"/>
        <v xml:space="preserve"> </v>
      </c>
      <c r="ME11" s="7" t="str">
        <f t="shared" si="259"/>
        <v xml:space="preserve"> </v>
      </c>
      <c r="MF11" s="7" t="str">
        <f t="shared" si="259"/>
        <v xml:space="preserve"> </v>
      </c>
      <c r="MG11" s="7" t="str">
        <f t="shared" si="259"/>
        <v xml:space="preserve"> </v>
      </c>
      <c r="MH11" s="7" t="str">
        <f t="shared" si="259"/>
        <v xml:space="preserve"> </v>
      </c>
      <c r="MI11" s="7" t="str">
        <f t="shared" si="259"/>
        <v xml:space="preserve"> </v>
      </c>
      <c r="MJ11" s="7" t="str">
        <f t="shared" si="259"/>
        <v xml:space="preserve"> </v>
      </c>
      <c r="MK11" s="7" t="str">
        <f t="shared" si="259"/>
        <v xml:space="preserve"> </v>
      </c>
      <c r="ML11" s="7" t="str">
        <f t="shared" si="259"/>
        <v xml:space="preserve"> </v>
      </c>
      <c r="MM11" s="7" t="str">
        <f t="shared" si="259"/>
        <v xml:space="preserve"> </v>
      </c>
      <c r="MN11" s="7" t="str">
        <f t="shared" si="259"/>
        <v xml:space="preserve"> </v>
      </c>
      <c r="MO11" s="7" t="str">
        <f t="shared" si="259"/>
        <v xml:space="preserve"> </v>
      </c>
      <c r="MP11" s="7" t="str">
        <f t="shared" si="259"/>
        <v xml:space="preserve"> </v>
      </c>
      <c r="MQ11" s="7" t="str">
        <f t="shared" si="259"/>
        <v xml:space="preserve"> </v>
      </c>
      <c r="MR11" s="7" t="str">
        <f t="shared" si="259"/>
        <v xml:space="preserve"> </v>
      </c>
      <c r="MS11" s="7" t="str">
        <f t="shared" si="259"/>
        <v xml:space="preserve"> </v>
      </c>
      <c r="MT11" s="7" t="str">
        <f t="shared" si="259"/>
        <v xml:space="preserve"> </v>
      </c>
      <c r="MU11" s="7" t="str">
        <f t="shared" si="259"/>
        <v xml:space="preserve"> </v>
      </c>
      <c r="MV11" s="7" t="str">
        <f t="shared" si="259"/>
        <v xml:space="preserve"> </v>
      </c>
      <c r="MW11" s="7" t="str">
        <f t="shared" si="259"/>
        <v xml:space="preserve"> </v>
      </c>
      <c r="MX11" s="7" t="str">
        <f t="shared" si="259"/>
        <v xml:space="preserve"> </v>
      </c>
      <c r="MY11" s="7" t="str">
        <f t="shared" si="259"/>
        <v xml:space="preserve"> </v>
      </c>
      <c r="MZ11" s="7" t="str">
        <f t="shared" si="259"/>
        <v xml:space="preserve"> </v>
      </c>
      <c r="NA11" s="7" t="str">
        <f t="shared" si="259"/>
        <v xml:space="preserve"> </v>
      </c>
      <c r="NB11" s="7" t="str">
        <f t="shared" si="259"/>
        <v xml:space="preserve"> </v>
      </c>
    </row>
    <row r="12" spans="2:388" x14ac:dyDescent="0.15">
      <c r="F12" s="7"/>
      <c r="G12" s="7"/>
      <c r="H12" s="7"/>
      <c r="I12" s="7"/>
      <c r="J12" s="7"/>
      <c r="K12" s="7"/>
      <c r="L12" s="7"/>
      <c r="M12" s="7"/>
      <c r="N12" s="7"/>
      <c r="O12" s="7"/>
      <c r="P12" s="7"/>
      <c r="Q12" s="7"/>
      <c r="R12" s="7"/>
      <c r="S12" s="7"/>
      <c r="T12" s="7"/>
      <c r="U12" s="7"/>
      <c r="V12" s="7"/>
      <c r="W12" s="7"/>
      <c r="X12" s="7"/>
      <c r="Y12" s="7"/>
      <c r="Z12" s="7"/>
      <c r="AA12" s="7"/>
      <c r="AB12" s="7"/>
      <c r="AC12" s="7"/>
      <c r="AD12" s="7"/>
      <c r="AE12" s="7"/>
      <c r="AF12" s="7"/>
      <c r="AG12" s="7"/>
      <c r="AH12" s="7"/>
      <c r="AI12" s="7"/>
      <c r="AJ12" s="7"/>
      <c r="AK12" s="7"/>
      <c r="AL12" s="7"/>
      <c r="AM12" s="7"/>
      <c r="AN12" s="7"/>
      <c r="AO12" s="7"/>
      <c r="AP12" s="7"/>
      <c r="AQ12" s="7"/>
      <c r="AR12" s="7"/>
      <c r="AS12" s="7"/>
      <c r="AT12" s="7"/>
      <c r="AU12" s="7"/>
      <c r="AV12" s="7"/>
      <c r="AW12" s="7"/>
      <c r="AX12" s="7"/>
      <c r="AY12" s="7"/>
      <c r="AZ12" s="7"/>
      <c r="BA12" s="7"/>
      <c r="BB12" s="7"/>
      <c r="BC12" s="7"/>
      <c r="BD12" s="7"/>
      <c r="BE12" s="7"/>
      <c r="BF12" s="7"/>
      <c r="BG12" s="7"/>
      <c r="BH12" s="7"/>
      <c r="BI12" s="7"/>
      <c r="BJ12" s="7"/>
      <c r="BK12" s="7"/>
      <c r="BL12" s="7"/>
      <c r="BM12" s="7"/>
      <c r="BN12" s="7"/>
      <c r="BO12" s="7"/>
      <c r="BP12" s="7"/>
      <c r="BQ12" s="7"/>
      <c r="BR12" s="7"/>
      <c r="BS12" s="7"/>
      <c r="BT12" s="7"/>
      <c r="BU12" s="7"/>
      <c r="BV12" s="7"/>
      <c r="BW12" s="7"/>
      <c r="BX12" s="7"/>
      <c r="BY12" s="7"/>
      <c r="BZ12" s="7"/>
      <c r="CA12" s="7"/>
      <c r="CB12" s="7"/>
      <c r="CC12" s="7"/>
      <c r="CD12" s="7"/>
      <c r="CE12" s="7"/>
      <c r="CF12" s="7"/>
      <c r="CG12" s="7"/>
      <c r="CH12" s="7"/>
      <c r="CI12" s="7"/>
      <c r="CJ12" s="7"/>
      <c r="CK12" s="7"/>
      <c r="CL12" s="7"/>
      <c r="CM12" s="7"/>
      <c r="CN12" s="7"/>
      <c r="CO12" s="7"/>
      <c r="CP12" s="7"/>
      <c r="CQ12" s="7"/>
      <c r="CR12" s="7"/>
      <c r="CS12" s="7"/>
      <c r="CT12" s="7"/>
      <c r="CU12" s="7"/>
      <c r="CV12" s="7"/>
      <c r="CW12" s="7"/>
      <c r="CX12" s="7"/>
      <c r="CY12" s="7"/>
      <c r="CZ12" s="7"/>
      <c r="DA12" s="7"/>
      <c r="DB12" s="7"/>
      <c r="DC12" s="7"/>
      <c r="DD12" s="7"/>
      <c r="DE12" s="7"/>
      <c r="DF12" s="7"/>
      <c r="DG12" s="7"/>
      <c r="DH12" s="7"/>
      <c r="DI12" s="7"/>
      <c r="DJ12" s="7"/>
      <c r="DK12" s="7"/>
      <c r="DL12" s="7"/>
      <c r="DM12" s="7"/>
      <c r="DN12" s="7"/>
      <c r="DO12" s="7"/>
      <c r="DP12" s="7"/>
      <c r="DQ12" s="7"/>
      <c r="DR12" s="7"/>
      <c r="DS12" s="7"/>
      <c r="DT12" s="7"/>
      <c r="DU12" s="7"/>
      <c r="DV12" s="7"/>
      <c r="DW12" s="7"/>
      <c r="DX12" s="7"/>
      <c r="DY12" s="7"/>
      <c r="DZ12" s="7"/>
      <c r="EA12" s="7"/>
      <c r="EB12" s="7"/>
      <c r="EC12" s="7"/>
      <c r="ED12" s="7"/>
      <c r="EE12" s="7"/>
      <c r="EF12" s="7"/>
      <c r="EG12" s="7"/>
      <c r="EH12" s="7"/>
      <c r="EI12" s="7"/>
      <c r="EJ12" s="7"/>
      <c r="EK12" s="7"/>
      <c r="EL12" s="7"/>
      <c r="EM12" s="7"/>
      <c r="EN12" s="7"/>
      <c r="EO12" s="7"/>
      <c r="EP12" s="7"/>
      <c r="EQ12" s="7"/>
      <c r="ER12" s="7"/>
      <c r="ES12" s="7"/>
      <c r="ET12" s="7"/>
      <c r="EU12" s="7"/>
      <c r="EV12" s="7"/>
      <c r="EW12" s="7"/>
      <c r="EX12" s="7"/>
      <c r="EY12" s="7"/>
      <c r="EZ12" s="7"/>
      <c r="FA12" s="7"/>
      <c r="FB12" s="7"/>
      <c r="FC12" s="7"/>
      <c r="FD12" s="7"/>
      <c r="FE12" s="7"/>
      <c r="FF12" s="7"/>
      <c r="FG12" s="7"/>
      <c r="FH12" s="7"/>
      <c r="FI12" s="7"/>
      <c r="FJ12" s="7"/>
      <c r="FK12" s="7"/>
      <c r="FL12" s="7"/>
      <c r="FM12" s="7"/>
      <c r="FN12" s="7"/>
      <c r="FO12" s="7"/>
      <c r="FP12" s="7"/>
      <c r="FQ12" s="7"/>
      <c r="FR12" s="7"/>
      <c r="FS12" s="7"/>
      <c r="FT12" s="7"/>
      <c r="FU12" s="7"/>
      <c r="FV12" s="7"/>
      <c r="FW12" s="7"/>
      <c r="FX12" s="7"/>
      <c r="FY12" s="7"/>
      <c r="FZ12" s="7"/>
      <c r="GA12" s="7"/>
      <c r="GB12" s="7"/>
      <c r="GC12" s="7"/>
      <c r="GD12" s="7"/>
      <c r="GE12" s="7"/>
      <c r="GF12" s="7"/>
      <c r="GG12" s="7"/>
      <c r="GH12" s="7"/>
      <c r="GI12" s="7"/>
      <c r="GJ12" s="7"/>
      <c r="GK12" s="7"/>
      <c r="GL12" s="7"/>
      <c r="GM12" s="7"/>
      <c r="GN12" s="7"/>
      <c r="GO12" s="7"/>
      <c r="GP12" s="7"/>
      <c r="GQ12" s="7"/>
      <c r="GR12" s="7"/>
      <c r="GS12" s="7"/>
      <c r="GT12" s="7"/>
      <c r="GU12" s="7"/>
      <c r="GV12" s="7"/>
      <c r="GW12" s="7"/>
      <c r="GX12" s="7"/>
      <c r="GY12" s="7"/>
      <c r="GZ12" s="7"/>
      <c r="HA12" s="7"/>
      <c r="HB12" s="7"/>
      <c r="HC12" s="7"/>
      <c r="HD12" s="7"/>
      <c r="HE12" s="7"/>
      <c r="HF12" s="7"/>
      <c r="HG12" s="7"/>
      <c r="HH12" s="7"/>
      <c r="HI12" s="7"/>
      <c r="HJ12" s="7"/>
      <c r="HK12" s="7"/>
      <c r="HL12" s="7"/>
      <c r="HM12" s="7"/>
      <c r="HN12" s="7"/>
      <c r="HO12" s="7"/>
      <c r="HP12" s="7"/>
      <c r="HQ12" s="7"/>
      <c r="HR12" s="7"/>
      <c r="HS12" s="7"/>
      <c r="HT12" s="7"/>
      <c r="HU12" s="7"/>
      <c r="HV12" s="7"/>
      <c r="HW12" s="7"/>
      <c r="HX12" s="7"/>
      <c r="HY12" s="7"/>
      <c r="HZ12" s="7"/>
      <c r="IA12" s="7"/>
      <c r="IB12" s="7"/>
      <c r="IC12" s="7"/>
      <c r="ID12" s="7"/>
      <c r="IE12" s="7"/>
      <c r="IF12" s="7"/>
      <c r="IG12" s="7"/>
      <c r="IH12" s="7"/>
      <c r="II12" s="7"/>
      <c r="IJ12" s="7"/>
      <c r="IK12" s="7"/>
      <c r="IL12" s="7"/>
    </row>
    <row r="13" spans="2:388" x14ac:dyDescent="0.15">
      <c r="B13" s="4" t="s">
        <v>103</v>
      </c>
      <c r="C13" s="4"/>
      <c r="F13" s="7"/>
      <c r="G13" s="7"/>
      <c r="H13" s="7"/>
      <c r="I13" s="7"/>
      <c r="J13" s="7"/>
      <c r="K13" s="7"/>
      <c r="L13" s="7"/>
      <c r="M13" s="7"/>
      <c r="N13" s="7"/>
      <c r="O13" s="7"/>
      <c r="P13" s="7"/>
      <c r="Q13" s="7"/>
      <c r="R13" s="7"/>
      <c r="S13" s="7"/>
      <c r="T13" s="7"/>
      <c r="U13" s="7"/>
      <c r="V13" s="7"/>
      <c r="W13" s="7"/>
      <c r="X13" s="7"/>
      <c r="Y13" s="7"/>
      <c r="Z13" s="7"/>
      <c r="AA13" s="7"/>
      <c r="AB13" s="7"/>
      <c r="AC13" s="7"/>
      <c r="AD13" s="7"/>
      <c r="AE13" s="7"/>
      <c r="AF13" s="7"/>
      <c r="AG13" s="7"/>
      <c r="AH13" s="7"/>
      <c r="AI13" s="7"/>
      <c r="AJ13" s="7"/>
      <c r="AK13" s="7"/>
      <c r="AL13" s="7"/>
      <c r="AM13" s="7"/>
      <c r="AN13" s="7"/>
      <c r="AO13" s="7"/>
      <c r="AP13" s="7"/>
      <c r="AQ13" s="7"/>
      <c r="AR13" s="7"/>
      <c r="AS13" s="7"/>
      <c r="AT13" s="7"/>
      <c r="AU13" s="7"/>
      <c r="AV13" s="7"/>
      <c r="AW13" s="7"/>
      <c r="AX13" s="7"/>
      <c r="AY13" s="7"/>
      <c r="AZ13" s="7"/>
      <c r="BA13" s="7"/>
      <c r="BB13" s="7"/>
      <c r="BC13" s="7"/>
      <c r="BD13" s="7"/>
      <c r="BE13" s="7"/>
      <c r="BF13" s="7"/>
      <c r="BG13" s="7"/>
      <c r="BH13" s="7"/>
      <c r="BI13" s="7"/>
      <c r="BJ13" s="7"/>
      <c r="BK13" s="7"/>
      <c r="BL13" s="7"/>
      <c r="BM13" s="7"/>
      <c r="BN13" s="7"/>
      <c r="BO13" s="7"/>
      <c r="BP13" s="7"/>
      <c r="BQ13" s="7"/>
      <c r="BR13" s="7"/>
      <c r="BS13" s="7"/>
      <c r="BT13" s="7"/>
      <c r="BU13" s="7"/>
      <c r="BV13" s="7"/>
      <c r="BW13" s="7"/>
      <c r="BX13" s="7"/>
      <c r="BY13" s="7"/>
      <c r="BZ13" s="7"/>
      <c r="CA13" s="7"/>
      <c r="CB13" s="7"/>
      <c r="CC13" s="7"/>
      <c r="CD13" s="7"/>
      <c r="CE13" s="7"/>
      <c r="CF13" s="7"/>
      <c r="CG13" s="7"/>
      <c r="CH13" s="7"/>
      <c r="CI13" s="7"/>
      <c r="CJ13" s="7"/>
      <c r="CK13" s="7"/>
      <c r="CL13" s="7"/>
      <c r="CM13" s="7"/>
      <c r="CN13" s="7"/>
      <c r="CO13" s="7"/>
      <c r="CP13" s="7"/>
      <c r="CQ13" s="7"/>
      <c r="CR13" s="7"/>
      <c r="CS13" s="7"/>
      <c r="CT13" s="7"/>
      <c r="CU13" s="7"/>
      <c r="CV13" s="7"/>
      <c r="CW13" s="7"/>
      <c r="CX13" s="7"/>
      <c r="CY13" s="7"/>
      <c r="CZ13" s="7"/>
      <c r="DA13" s="7"/>
      <c r="DB13" s="7"/>
      <c r="DC13" s="7"/>
      <c r="DD13" s="7"/>
      <c r="DE13" s="7"/>
      <c r="DF13" s="7"/>
      <c r="DG13" s="7"/>
      <c r="DH13" s="7"/>
      <c r="DI13" s="7"/>
      <c r="DJ13" s="7"/>
      <c r="DK13" s="7"/>
      <c r="DL13" s="7"/>
      <c r="DM13" s="7"/>
      <c r="DN13" s="7"/>
      <c r="DO13" s="7"/>
      <c r="DP13" s="7"/>
      <c r="DQ13" s="7"/>
      <c r="DR13" s="7"/>
      <c r="DS13" s="7"/>
      <c r="DT13" s="7"/>
      <c r="DU13" s="7"/>
      <c r="DV13" s="7"/>
      <c r="DW13" s="7"/>
      <c r="DX13" s="7"/>
      <c r="DY13" s="7"/>
      <c r="DZ13" s="7"/>
      <c r="EA13" s="7"/>
      <c r="EB13" s="7"/>
      <c r="EC13" s="7"/>
      <c r="ED13" s="7"/>
      <c r="EE13" s="7"/>
      <c r="EF13" s="7"/>
      <c r="EG13" s="7"/>
      <c r="EH13" s="7"/>
      <c r="EI13" s="7"/>
      <c r="EJ13" s="7"/>
      <c r="EK13" s="7"/>
      <c r="EL13" s="7"/>
      <c r="EM13" s="7"/>
      <c r="EN13" s="7"/>
      <c r="EO13" s="7"/>
      <c r="EP13" s="7"/>
      <c r="EQ13" s="7"/>
      <c r="ER13" s="7"/>
      <c r="ES13" s="7"/>
      <c r="ET13" s="7"/>
      <c r="EU13" s="7"/>
      <c r="EV13" s="7"/>
      <c r="EW13" s="7"/>
      <c r="EX13" s="7"/>
      <c r="EY13" s="7"/>
      <c r="EZ13" s="7"/>
      <c r="FA13" s="7"/>
      <c r="FB13" s="7"/>
      <c r="FC13" s="7"/>
      <c r="FD13" s="7"/>
      <c r="FE13" s="7"/>
      <c r="FF13" s="7"/>
      <c r="FG13" s="7"/>
      <c r="FH13" s="7"/>
      <c r="FI13" s="7"/>
      <c r="FJ13" s="7"/>
      <c r="FK13" s="7"/>
      <c r="FL13" s="7"/>
      <c r="FM13" s="7"/>
      <c r="FN13" s="7"/>
      <c r="FO13" s="7"/>
      <c r="FP13" s="7"/>
      <c r="FQ13" s="7"/>
      <c r="FR13" s="7"/>
      <c r="FS13" s="7"/>
      <c r="FT13" s="7"/>
      <c r="FU13" s="7"/>
      <c r="FV13" s="7"/>
      <c r="FW13" s="7"/>
      <c r="FX13" s="7"/>
      <c r="FY13" s="7"/>
      <c r="FZ13" s="7"/>
      <c r="GA13" s="7"/>
      <c r="GB13" s="7"/>
      <c r="GC13" s="7"/>
      <c r="GD13" s="7"/>
      <c r="GE13" s="7"/>
      <c r="GF13" s="7"/>
      <c r="GG13" s="7"/>
      <c r="GH13" s="7"/>
      <c r="GI13" s="7"/>
      <c r="GJ13" s="7"/>
      <c r="GK13" s="7"/>
      <c r="GL13" s="7"/>
      <c r="GM13" s="7"/>
      <c r="GN13" s="7"/>
      <c r="GO13" s="7"/>
      <c r="GP13" s="7"/>
      <c r="GQ13" s="7"/>
      <c r="GR13" s="7"/>
      <c r="GS13" s="7"/>
      <c r="GT13" s="7"/>
      <c r="GU13" s="7"/>
      <c r="GV13" s="7"/>
      <c r="GW13" s="7"/>
      <c r="GX13" s="7"/>
      <c r="GY13" s="7"/>
      <c r="GZ13" s="7"/>
      <c r="HA13" s="7"/>
      <c r="HB13" s="7"/>
      <c r="HC13" s="7"/>
      <c r="HD13" s="7"/>
      <c r="HE13" s="7"/>
      <c r="HF13" s="7"/>
      <c r="HG13" s="7"/>
      <c r="HH13" s="7"/>
      <c r="HI13" s="7"/>
      <c r="HJ13" s="7"/>
      <c r="HK13" s="7"/>
      <c r="HL13" s="7"/>
      <c r="HM13" s="7"/>
      <c r="HN13" s="7"/>
      <c r="HO13" s="7"/>
      <c r="HP13" s="7"/>
      <c r="HQ13" s="7"/>
      <c r="HR13" s="7"/>
      <c r="HS13" s="7"/>
      <c r="HT13" s="7"/>
      <c r="HU13" s="7"/>
      <c r="HV13" s="7"/>
      <c r="HW13" s="7"/>
      <c r="HX13" s="7"/>
      <c r="HY13" s="7"/>
      <c r="HZ13" s="7"/>
      <c r="IA13" s="7"/>
      <c r="IB13" s="7"/>
      <c r="IC13" s="7"/>
      <c r="ID13" s="7"/>
      <c r="IE13" s="7"/>
      <c r="IF13" s="7"/>
      <c r="IG13" s="7"/>
      <c r="IH13" s="7"/>
      <c r="II13" s="7"/>
      <c r="IJ13" s="7"/>
      <c r="IK13" s="7"/>
      <c r="IL13" s="7"/>
    </row>
    <row r="14" spans="2:388" x14ac:dyDescent="0.15">
      <c r="B14" t="s">
        <v>0</v>
      </c>
      <c r="F14" s="66">
        <f>-purchase_price</f>
        <v>-5985000</v>
      </c>
      <c r="G14" s="66">
        <v>0</v>
      </c>
      <c r="H14" s="66">
        <v>0</v>
      </c>
      <c r="I14" s="66">
        <v>0</v>
      </c>
      <c r="J14" s="66">
        <v>0</v>
      </c>
      <c r="K14" s="66">
        <v>0</v>
      </c>
      <c r="L14" s="66">
        <v>0</v>
      </c>
      <c r="M14" s="66">
        <v>0</v>
      </c>
      <c r="N14" s="66">
        <v>0</v>
      </c>
      <c r="O14" s="66">
        <v>0</v>
      </c>
      <c r="P14" s="66">
        <v>0</v>
      </c>
      <c r="Q14" s="66">
        <v>0</v>
      </c>
      <c r="R14" s="66">
        <v>0</v>
      </c>
      <c r="S14" s="66">
        <v>0</v>
      </c>
      <c r="T14" s="66">
        <v>0</v>
      </c>
      <c r="U14" s="66">
        <v>0</v>
      </c>
      <c r="V14" s="66">
        <v>0</v>
      </c>
      <c r="W14" s="66">
        <v>0</v>
      </c>
      <c r="X14" s="66">
        <v>0</v>
      </c>
      <c r="Y14" s="66">
        <v>0</v>
      </c>
      <c r="Z14" s="66">
        <v>0</v>
      </c>
      <c r="AA14" s="66">
        <v>0</v>
      </c>
      <c r="AB14" s="66">
        <v>0</v>
      </c>
      <c r="AC14" s="66">
        <v>0</v>
      </c>
      <c r="AD14" s="66">
        <v>0</v>
      </c>
      <c r="AE14" s="66">
        <v>0</v>
      </c>
      <c r="AF14" s="66">
        <v>0</v>
      </c>
      <c r="AG14" s="66">
        <v>0</v>
      </c>
      <c r="AH14" s="66">
        <v>0</v>
      </c>
      <c r="AI14" s="66">
        <v>0</v>
      </c>
      <c r="AJ14" s="66">
        <v>0</v>
      </c>
      <c r="AK14" s="66">
        <v>0</v>
      </c>
      <c r="AL14" s="66">
        <v>0</v>
      </c>
      <c r="AM14" s="66">
        <v>0</v>
      </c>
      <c r="AN14" s="66">
        <v>0</v>
      </c>
      <c r="AO14" s="66">
        <v>0</v>
      </c>
      <c r="AP14" s="66">
        <v>0</v>
      </c>
      <c r="AQ14" s="66">
        <v>0</v>
      </c>
      <c r="AR14" s="66">
        <v>0</v>
      </c>
      <c r="AS14" s="66">
        <v>0</v>
      </c>
      <c r="AT14" s="66">
        <v>0</v>
      </c>
      <c r="AU14" s="66">
        <v>0</v>
      </c>
      <c r="AV14" s="66">
        <v>0</v>
      </c>
      <c r="AW14" s="66">
        <v>0</v>
      </c>
      <c r="AX14" s="66">
        <v>0</v>
      </c>
      <c r="AY14" s="66">
        <v>0</v>
      </c>
      <c r="AZ14" s="66">
        <v>0</v>
      </c>
      <c r="BA14" s="66">
        <v>0</v>
      </c>
      <c r="BB14" s="66">
        <v>0</v>
      </c>
      <c r="BC14" s="66">
        <v>0</v>
      </c>
      <c r="BD14" s="66">
        <v>0</v>
      </c>
      <c r="BE14" s="66">
        <v>0</v>
      </c>
      <c r="BF14" s="66">
        <v>0</v>
      </c>
      <c r="BG14" s="66">
        <v>0</v>
      </c>
      <c r="BH14" s="66">
        <v>0</v>
      </c>
      <c r="BI14" s="66">
        <v>0</v>
      </c>
      <c r="BJ14" s="66">
        <v>0</v>
      </c>
      <c r="BK14" s="66">
        <v>0</v>
      </c>
      <c r="BL14" s="66">
        <v>0</v>
      </c>
      <c r="BM14" s="66">
        <v>0</v>
      </c>
      <c r="BN14" s="66">
        <v>0</v>
      </c>
      <c r="BO14" s="66">
        <v>0</v>
      </c>
      <c r="BP14" s="66">
        <v>0</v>
      </c>
      <c r="BQ14" s="66">
        <v>0</v>
      </c>
      <c r="BR14" s="66">
        <v>0</v>
      </c>
      <c r="BS14" s="66">
        <v>0</v>
      </c>
      <c r="BT14" s="66">
        <v>0</v>
      </c>
      <c r="BU14" s="66">
        <v>0</v>
      </c>
      <c r="BV14" s="66">
        <v>0</v>
      </c>
      <c r="BW14" s="66">
        <v>0</v>
      </c>
      <c r="BX14" s="66">
        <v>0</v>
      </c>
      <c r="BY14" s="66">
        <v>0</v>
      </c>
      <c r="BZ14" s="66">
        <v>0</v>
      </c>
      <c r="CA14" s="66">
        <v>0</v>
      </c>
      <c r="CB14" s="66">
        <v>0</v>
      </c>
      <c r="CC14" s="66">
        <v>0</v>
      </c>
      <c r="CD14" s="66">
        <v>0</v>
      </c>
      <c r="CE14" s="66">
        <v>0</v>
      </c>
      <c r="CF14" s="66">
        <v>0</v>
      </c>
      <c r="CG14" s="66">
        <v>0</v>
      </c>
      <c r="CH14" s="66">
        <v>0</v>
      </c>
      <c r="CI14" s="66">
        <v>0</v>
      </c>
      <c r="CJ14" s="66">
        <v>0</v>
      </c>
      <c r="CK14" s="66">
        <v>0</v>
      </c>
      <c r="CL14" s="66">
        <v>0</v>
      </c>
      <c r="CM14" s="66">
        <v>0</v>
      </c>
      <c r="CN14" s="66">
        <v>0</v>
      </c>
      <c r="CO14" s="66">
        <v>0</v>
      </c>
      <c r="CP14" s="66">
        <v>0</v>
      </c>
      <c r="CQ14" s="66">
        <v>0</v>
      </c>
      <c r="CR14" s="66">
        <v>0</v>
      </c>
      <c r="CS14" s="66">
        <v>0</v>
      </c>
      <c r="CT14" s="66">
        <v>0</v>
      </c>
      <c r="CU14" s="66">
        <v>0</v>
      </c>
      <c r="CV14" s="66">
        <v>0</v>
      </c>
      <c r="CW14" s="66">
        <v>0</v>
      </c>
      <c r="CX14" s="66">
        <v>0</v>
      </c>
      <c r="CY14" s="66">
        <v>0</v>
      </c>
      <c r="CZ14" s="66">
        <v>0</v>
      </c>
      <c r="DA14" s="66">
        <v>0</v>
      </c>
      <c r="DB14" s="66">
        <v>0</v>
      </c>
      <c r="DC14" s="66">
        <v>0</v>
      </c>
      <c r="DD14" s="66">
        <v>0</v>
      </c>
      <c r="DE14" s="66">
        <v>0</v>
      </c>
      <c r="DF14" s="66">
        <v>0</v>
      </c>
      <c r="DG14" s="66">
        <v>0</v>
      </c>
      <c r="DH14" s="66">
        <v>0</v>
      </c>
      <c r="DI14" s="66">
        <v>0</v>
      </c>
      <c r="DJ14" s="66">
        <v>0</v>
      </c>
      <c r="DK14" s="66">
        <v>0</v>
      </c>
      <c r="DL14" s="66">
        <v>0</v>
      </c>
      <c r="DM14" s="66">
        <v>0</v>
      </c>
      <c r="DN14" s="66">
        <v>0</v>
      </c>
      <c r="DO14" s="66">
        <v>0</v>
      </c>
      <c r="DP14" s="66">
        <v>0</v>
      </c>
      <c r="DQ14" s="66">
        <v>0</v>
      </c>
      <c r="DR14" s="66">
        <v>0</v>
      </c>
      <c r="DS14" s="66">
        <v>0</v>
      </c>
      <c r="DT14" s="66">
        <v>0</v>
      </c>
      <c r="DU14" s="66">
        <v>0</v>
      </c>
      <c r="DV14" s="66">
        <v>0</v>
      </c>
      <c r="DW14" s="66">
        <v>0</v>
      </c>
      <c r="DX14" s="66">
        <v>0</v>
      </c>
      <c r="DY14" s="66">
        <v>0</v>
      </c>
      <c r="DZ14" s="66">
        <v>0</v>
      </c>
      <c r="EA14" s="66">
        <v>0</v>
      </c>
      <c r="EB14" s="66">
        <v>0</v>
      </c>
      <c r="EC14" s="66">
        <v>0</v>
      </c>
      <c r="ED14" s="66">
        <v>0</v>
      </c>
      <c r="EE14" s="66">
        <v>0</v>
      </c>
      <c r="EF14" s="66">
        <v>0</v>
      </c>
      <c r="EG14" s="66">
        <v>0</v>
      </c>
      <c r="EH14" s="66">
        <v>0</v>
      </c>
      <c r="EI14" s="66">
        <v>0</v>
      </c>
      <c r="EJ14" s="66">
        <v>0</v>
      </c>
      <c r="EK14" s="66">
        <v>0</v>
      </c>
      <c r="EL14" s="66">
        <v>0</v>
      </c>
      <c r="EM14" s="66">
        <v>0</v>
      </c>
      <c r="EN14" s="66">
        <v>0</v>
      </c>
      <c r="EO14" s="66">
        <v>0</v>
      </c>
      <c r="EP14" s="66">
        <v>0</v>
      </c>
      <c r="EQ14" s="66">
        <v>0</v>
      </c>
      <c r="ER14" s="66">
        <v>0</v>
      </c>
      <c r="ES14" s="66">
        <v>0</v>
      </c>
      <c r="ET14" s="66">
        <v>0</v>
      </c>
      <c r="EU14" s="66">
        <v>0</v>
      </c>
      <c r="EV14" s="66">
        <v>0</v>
      </c>
      <c r="EW14" s="66">
        <v>0</v>
      </c>
      <c r="EX14" s="66">
        <v>0</v>
      </c>
      <c r="EY14" s="66">
        <v>0</v>
      </c>
      <c r="EZ14" s="66">
        <v>0</v>
      </c>
      <c r="FA14" s="66">
        <v>0</v>
      </c>
      <c r="FB14" s="66">
        <v>0</v>
      </c>
      <c r="FC14" s="66">
        <v>0</v>
      </c>
      <c r="FD14" s="66">
        <v>0</v>
      </c>
      <c r="FE14" s="66">
        <v>0</v>
      </c>
      <c r="FF14" s="66">
        <v>0</v>
      </c>
      <c r="FG14" s="66">
        <v>0</v>
      </c>
      <c r="FH14" s="66">
        <v>0</v>
      </c>
      <c r="FI14" s="66">
        <v>0</v>
      </c>
      <c r="FJ14" s="66">
        <v>0</v>
      </c>
      <c r="FK14" s="66">
        <v>0</v>
      </c>
      <c r="FL14" s="66">
        <v>0</v>
      </c>
      <c r="FM14" s="66">
        <v>0</v>
      </c>
      <c r="FN14" s="66">
        <v>0</v>
      </c>
      <c r="FO14" s="66">
        <v>0</v>
      </c>
      <c r="FP14" s="66">
        <v>0</v>
      </c>
      <c r="FQ14" s="66">
        <v>0</v>
      </c>
      <c r="FR14" s="66">
        <v>0</v>
      </c>
      <c r="FS14" s="66">
        <v>0</v>
      </c>
      <c r="FT14" s="66">
        <v>0</v>
      </c>
      <c r="FU14" s="66">
        <v>0</v>
      </c>
      <c r="FV14" s="66">
        <v>0</v>
      </c>
      <c r="FW14" s="66">
        <v>0</v>
      </c>
      <c r="FX14" s="66">
        <v>0</v>
      </c>
      <c r="FY14" s="66">
        <v>0</v>
      </c>
      <c r="FZ14" s="66">
        <v>0</v>
      </c>
      <c r="GA14" s="66">
        <v>0</v>
      </c>
      <c r="GB14" s="66">
        <v>0</v>
      </c>
      <c r="GC14" s="66">
        <v>0</v>
      </c>
      <c r="GD14" s="66">
        <v>0</v>
      </c>
      <c r="GE14" s="66">
        <v>0</v>
      </c>
      <c r="GF14" s="66">
        <v>0</v>
      </c>
      <c r="GG14" s="66">
        <v>0</v>
      </c>
      <c r="GH14" s="66">
        <v>0</v>
      </c>
      <c r="GI14" s="66">
        <v>0</v>
      </c>
      <c r="GJ14" s="66">
        <v>0</v>
      </c>
      <c r="GK14" s="66">
        <v>0</v>
      </c>
      <c r="GL14" s="66">
        <v>0</v>
      </c>
      <c r="GM14" s="66">
        <v>0</v>
      </c>
      <c r="GN14" s="66">
        <v>0</v>
      </c>
      <c r="GO14" s="66">
        <v>0</v>
      </c>
      <c r="GP14" s="66">
        <v>0</v>
      </c>
      <c r="GQ14" s="66">
        <v>0</v>
      </c>
      <c r="GR14" s="66">
        <v>0</v>
      </c>
      <c r="GS14" s="66">
        <v>0</v>
      </c>
      <c r="GT14" s="66">
        <v>0</v>
      </c>
      <c r="GU14" s="66">
        <v>0</v>
      </c>
      <c r="GV14" s="66">
        <v>0</v>
      </c>
      <c r="GW14" s="66">
        <v>0</v>
      </c>
      <c r="GX14" s="66">
        <v>0</v>
      </c>
      <c r="GY14" s="66">
        <v>0</v>
      </c>
      <c r="GZ14" s="66">
        <v>0</v>
      </c>
      <c r="HA14" s="66">
        <v>0</v>
      </c>
      <c r="HB14" s="66">
        <v>0</v>
      </c>
      <c r="HC14" s="66">
        <v>0</v>
      </c>
      <c r="HD14" s="66">
        <v>0</v>
      </c>
      <c r="HE14" s="66">
        <v>0</v>
      </c>
      <c r="HF14" s="66">
        <v>0</v>
      </c>
      <c r="HG14" s="66">
        <v>0</v>
      </c>
      <c r="HH14" s="66">
        <v>0</v>
      </c>
      <c r="HI14" s="66">
        <v>0</v>
      </c>
      <c r="HJ14" s="66">
        <v>0</v>
      </c>
      <c r="HK14" s="66">
        <v>0</v>
      </c>
      <c r="HL14" s="66">
        <v>0</v>
      </c>
      <c r="HM14" s="66">
        <v>0</v>
      </c>
      <c r="HN14" s="66">
        <v>0</v>
      </c>
      <c r="HO14" s="66">
        <v>0</v>
      </c>
      <c r="HP14" s="66">
        <v>0</v>
      </c>
      <c r="HQ14" s="66">
        <v>0</v>
      </c>
      <c r="HR14" s="66">
        <v>0</v>
      </c>
      <c r="HS14" s="66">
        <v>0</v>
      </c>
      <c r="HT14" s="66">
        <v>0</v>
      </c>
      <c r="HU14" s="66">
        <v>0</v>
      </c>
      <c r="HV14" s="66">
        <v>0</v>
      </c>
      <c r="HW14" s="66">
        <v>0</v>
      </c>
      <c r="HX14" s="66">
        <v>0</v>
      </c>
      <c r="HY14" s="66">
        <v>0</v>
      </c>
      <c r="HZ14" s="66">
        <v>0</v>
      </c>
      <c r="IA14" s="66">
        <v>0</v>
      </c>
      <c r="IB14" s="66">
        <v>0</v>
      </c>
      <c r="IC14" s="66">
        <v>0</v>
      </c>
      <c r="ID14" s="66">
        <v>0</v>
      </c>
      <c r="IE14" s="66">
        <v>0</v>
      </c>
      <c r="IF14" s="66">
        <v>0</v>
      </c>
      <c r="IG14" s="66">
        <v>0</v>
      </c>
      <c r="IH14" s="66">
        <v>0</v>
      </c>
      <c r="II14" s="66">
        <v>0</v>
      </c>
      <c r="IJ14" s="66">
        <v>0</v>
      </c>
      <c r="IK14" s="66">
        <v>0</v>
      </c>
      <c r="IL14" s="66">
        <v>0</v>
      </c>
      <c r="IM14" s="66">
        <v>0</v>
      </c>
      <c r="IN14" s="66">
        <v>0</v>
      </c>
      <c r="IO14" s="66">
        <v>0</v>
      </c>
      <c r="IP14" s="66">
        <v>0</v>
      </c>
      <c r="IQ14" s="66">
        <v>0</v>
      </c>
      <c r="IR14" s="66">
        <v>0</v>
      </c>
      <c r="IS14" s="66">
        <v>0</v>
      </c>
      <c r="IT14" s="66">
        <v>0</v>
      </c>
      <c r="IU14" s="66">
        <v>0</v>
      </c>
      <c r="IV14" s="66">
        <v>0</v>
      </c>
      <c r="IW14" s="66">
        <v>0</v>
      </c>
      <c r="IX14" s="66">
        <v>0</v>
      </c>
      <c r="IY14" s="66">
        <v>0</v>
      </c>
      <c r="IZ14" s="66">
        <v>0</v>
      </c>
      <c r="JA14" s="66">
        <v>0</v>
      </c>
      <c r="JB14" s="66">
        <v>0</v>
      </c>
      <c r="JC14" s="66">
        <v>0</v>
      </c>
      <c r="JD14" s="66">
        <v>0</v>
      </c>
      <c r="JE14" s="66">
        <v>0</v>
      </c>
      <c r="JF14" s="66">
        <v>0</v>
      </c>
      <c r="JG14" s="66">
        <v>0</v>
      </c>
      <c r="JH14" s="66">
        <v>0</v>
      </c>
      <c r="JI14" s="66">
        <v>0</v>
      </c>
      <c r="JJ14" s="66">
        <v>0</v>
      </c>
      <c r="JK14" s="66">
        <v>0</v>
      </c>
      <c r="JL14" s="66">
        <v>0</v>
      </c>
      <c r="JM14" s="66">
        <v>0</v>
      </c>
      <c r="JN14" s="66">
        <v>0</v>
      </c>
      <c r="JO14" s="66">
        <v>0</v>
      </c>
      <c r="JP14" s="66">
        <v>0</v>
      </c>
      <c r="JQ14" s="66">
        <v>0</v>
      </c>
      <c r="JR14" s="66">
        <v>0</v>
      </c>
      <c r="JS14" s="66">
        <v>0</v>
      </c>
      <c r="JT14" s="66">
        <v>0</v>
      </c>
      <c r="JU14" s="66">
        <v>0</v>
      </c>
      <c r="JV14" s="66">
        <v>0</v>
      </c>
      <c r="JW14" s="66">
        <v>0</v>
      </c>
      <c r="JX14" s="66">
        <v>0</v>
      </c>
      <c r="JY14" s="66">
        <v>0</v>
      </c>
      <c r="JZ14" s="66">
        <v>0</v>
      </c>
      <c r="KA14" s="66">
        <v>0</v>
      </c>
      <c r="KB14" s="66">
        <v>0</v>
      </c>
      <c r="KC14" s="66">
        <v>0</v>
      </c>
      <c r="KD14" s="66">
        <v>0</v>
      </c>
      <c r="KE14" s="66">
        <v>0</v>
      </c>
      <c r="KF14" s="66">
        <v>0</v>
      </c>
      <c r="KG14" s="66">
        <v>0</v>
      </c>
      <c r="KH14" s="66">
        <v>0</v>
      </c>
      <c r="KI14" s="66">
        <v>0</v>
      </c>
      <c r="KJ14" s="66">
        <v>0</v>
      </c>
      <c r="KK14" s="66">
        <v>0</v>
      </c>
      <c r="KL14" s="66">
        <v>0</v>
      </c>
      <c r="KM14" s="66">
        <v>0</v>
      </c>
      <c r="KN14" s="66">
        <v>0</v>
      </c>
      <c r="KO14" s="66">
        <v>0</v>
      </c>
      <c r="KP14" s="66">
        <v>0</v>
      </c>
      <c r="KQ14" s="66">
        <v>0</v>
      </c>
      <c r="KR14" s="66">
        <v>0</v>
      </c>
      <c r="KS14" s="66">
        <v>0</v>
      </c>
      <c r="KT14" s="66">
        <v>0</v>
      </c>
      <c r="KU14" s="66">
        <v>0</v>
      </c>
      <c r="KV14" s="66">
        <v>0</v>
      </c>
      <c r="KW14" s="66">
        <v>0</v>
      </c>
      <c r="KX14" s="66">
        <v>0</v>
      </c>
      <c r="KY14" s="66">
        <v>0</v>
      </c>
      <c r="KZ14" s="66">
        <v>0</v>
      </c>
      <c r="LA14" s="66">
        <v>0</v>
      </c>
      <c r="LB14" s="66">
        <v>0</v>
      </c>
      <c r="LC14" s="66">
        <v>0</v>
      </c>
      <c r="LD14" s="66">
        <v>0</v>
      </c>
      <c r="LE14" s="66">
        <v>0</v>
      </c>
      <c r="LF14" s="66">
        <v>0</v>
      </c>
      <c r="LG14" s="66">
        <v>0</v>
      </c>
      <c r="LH14" s="66">
        <v>0</v>
      </c>
      <c r="LI14" s="66">
        <v>0</v>
      </c>
      <c r="LJ14" s="66">
        <v>0</v>
      </c>
      <c r="LK14" s="66">
        <v>0</v>
      </c>
      <c r="LL14" s="66">
        <v>0</v>
      </c>
      <c r="LM14" s="66">
        <v>0</v>
      </c>
      <c r="LN14" s="66">
        <v>0</v>
      </c>
      <c r="LO14" s="66">
        <v>0</v>
      </c>
      <c r="LP14" s="66">
        <v>0</v>
      </c>
      <c r="LQ14" s="66">
        <v>0</v>
      </c>
      <c r="LR14" s="66">
        <v>0</v>
      </c>
      <c r="LS14" s="66">
        <v>0</v>
      </c>
      <c r="LT14" s="66">
        <v>0</v>
      </c>
      <c r="LU14" s="66">
        <v>0</v>
      </c>
      <c r="LV14" s="66">
        <v>0</v>
      </c>
      <c r="LW14" s="66">
        <v>0</v>
      </c>
      <c r="LX14" s="66">
        <v>0</v>
      </c>
      <c r="LY14" s="66">
        <v>0</v>
      </c>
      <c r="LZ14" s="66">
        <v>0</v>
      </c>
      <c r="MA14" s="66">
        <v>0</v>
      </c>
      <c r="MB14" s="66">
        <v>0</v>
      </c>
      <c r="MC14" s="66">
        <v>0</v>
      </c>
      <c r="MD14" s="66">
        <v>0</v>
      </c>
      <c r="ME14" s="66">
        <v>0</v>
      </c>
      <c r="MF14" s="66">
        <v>0</v>
      </c>
      <c r="MG14" s="66">
        <v>0</v>
      </c>
      <c r="MH14" s="66">
        <v>0</v>
      </c>
      <c r="MI14" s="66">
        <v>0</v>
      </c>
      <c r="MJ14" s="66">
        <v>0</v>
      </c>
      <c r="MK14" s="66">
        <v>0</v>
      </c>
      <c r="ML14" s="66">
        <v>0</v>
      </c>
      <c r="MM14" s="66">
        <v>0</v>
      </c>
      <c r="MN14" s="66">
        <v>0</v>
      </c>
      <c r="MO14" s="66">
        <v>0</v>
      </c>
      <c r="MP14" s="66">
        <v>0</v>
      </c>
      <c r="MQ14" s="66">
        <v>0</v>
      </c>
      <c r="MR14" s="66">
        <v>0</v>
      </c>
      <c r="MS14" s="66">
        <v>0</v>
      </c>
      <c r="MT14" s="66">
        <v>0</v>
      </c>
      <c r="MU14" s="66">
        <v>0</v>
      </c>
      <c r="MV14" s="66">
        <v>0</v>
      </c>
      <c r="MW14" s="66">
        <v>0</v>
      </c>
      <c r="MX14" s="66">
        <v>0</v>
      </c>
      <c r="MY14" s="66">
        <v>0</v>
      </c>
      <c r="MZ14" s="66">
        <v>0</v>
      </c>
      <c r="NA14" s="66">
        <v>0</v>
      </c>
      <c r="NB14" s="66">
        <v>0</v>
      </c>
    </row>
    <row r="15" spans="2:388" x14ac:dyDescent="0.15">
      <c r="B15" t="s">
        <v>2</v>
      </c>
      <c r="F15" s="66">
        <f>-closing_costs</f>
        <v>-239400</v>
      </c>
      <c r="G15" s="66">
        <v>0</v>
      </c>
      <c r="H15" s="66">
        <v>0</v>
      </c>
      <c r="I15" s="66">
        <v>0</v>
      </c>
      <c r="J15" s="66">
        <v>0</v>
      </c>
      <c r="K15" s="66">
        <v>0</v>
      </c>
      <c r="L15" s="66">
        <v>0</v>
      </c>
      <c r="M15" s="66">
        <v>0</v>
      </c>
      <c r="N15" s="66">
        <v>0</v>
      </c>
      <c r="O15" s="66">
        <v>0</v>
      </c>
      <c r="P15" s="66">
        <v>0</v>
      </c>
      <c r="Q15" s="66">
        <v>0</v>
      </c>
      <c r="R15" s="66">
        <v>0</v>
      </c>
      <c r="S15" s="66">
        <v>0</v>
      </c>
      <c r="T15" s="66">
        <v>0</v>
      </c>
      <c r="U15" s="66">
        <v>0</v>
      </c>
      <c r="V15" s="66">
        <v>0</v>
      </c>
      <c r="W15" s="66">
        <v>0</v>
      </c>
      <c r="X15" s="66">
        <v>0</v>
      </c>
      <c r="Y15" s="66">
        <v>0</v>
      </c>
      <c r="Z15" s="66">
        <v>0</v>
      </c>
      <c r="AA15" s="66">
        <v>0</v>
      </c>
      <c r="AB15" s="66">
        <v>0</v>
      </c>
      <c r="AC15" s="66">
        <v>0</v>
      </c>
      <c r="AD15" s="66">
        <v>0</v>
      </c>
      <c r="AE15" s="66">
        <v>0</v>
      </c>
      <c r="AF15" s="66">
        <v>0</v>
      </c>
      <c r="AG15" s="66">
        <v>0</v>
      </c>
      <c r="AH15" s="66">
        <v>0</v>
      </c>
      <c r="AI15" s="66">
        <v>0</v>
      </c>
      <c r="AJ15" s="66">
        <v>0</v>
      </c>
      <c r="AK15" s="66">
        <v>0</v>
      </c>
      <c r="AL15" s="66">
        <v>0</v>
      </c>
      <c r="AM15" s="66">
        <v>0</v>
      </c>
      <c r="AN15" s="66">
        <v>0</v>
      </c>
      <c r="AO15" s="66">
        <v>0</v>
      </c>
      <c r="AP15" s="66">
        <v>0</v>
      </c>
      <c r="AQ15" s="66">
        <v>0</v>
      </c>
      <c r="AR15" s="66">
        <v>0</v>
      </c>
      <c r="AS15" s="66">
        <v>0</v>
      </c>
      <c r="AT15" s="66">
        <v>0</v>
      </c>
      <c r="AU15" s="66">
        <v>0</v>
      </c>
      <c r="AV15" s="66">
        <v>0</v>
      </c>
      <c r="AW15" s="66">
        <v>0</v>
      </c>
      <c r="AX15" s="66">
        <v>0</v>
      </c>
      <c r="AY15" s="66">
        <v>0</v>
      </c>
      <c r="AZ15" s="66">
        <v>0</v>
      </c>
      <c r="BA15" s="66">
        <v>0</v>
      </c>
      <c r="BB15" s="66">
        <v>0</v>
      </c>
      <c r="BC15" s="66">
        <v>0</v>
      </c>
      <c r="BD15" s="66">
        <v>0</v>
      </c>
      <c r="BE15" s="66">
        <v>0</v>
      </c>
      <c r="BF15" s="66">
        <v>0</v>
      </c>
      <c r="BG15" s="66">
        <v>0</v>
      </c>
      <c r="BH15" s="66">
        <v>0</v>
      </c>
      <c r="BI15" s="66">
        <v>0</v>
      </c>
      <c r="BJ15" s="66">
        <v>0</v>
      </c>
      <c r="BK15" s="66">
        <v>0</v>
      </c>
      <c r="BL15" s="66">
        <v>0</v>
      </c>
      <c r="BM15" s="66">
        <v>0</v>
      </c>
      <c r="BN15" s="66">
        <v>0</v>
      </c>
      <c r="BO15" s="66">
        <v>0</v>
      </c>
      <c r="BP15" s="66">
        <v>0</v>
      </c>
      <c r="BQ15" s="66">
        <v>0</v>
      </c>
      <c r="BR15" s="66">
        <v>0</v>
      </c>
      <c r="BS15" s="66">
        <v>0</v>
      </c>
      <c r="BT15" s="66">
        <v>0</v>
      </c>
      <c r="BU15" s="66">
        <v>0</v>
      </c>
      <c r="BV15" s="66">
        <v>0</v>
      </c>
      <c r="BW15" s="66">
        <v>0</v>
      </c>
      <c r="BX15" s="66">
        <v>0</v>
      </c>
      <c r="BY15" s="66">
        <v>0</v>
      </c>
      <c r="BZ15" s="66">
        <v>0</v>
      </c>
      <c r="CA15" s="66">
        <v>0</v>
      </c>
      <c r="CB15" s="66">
        <v>0</v>
      </c>
      <c r="CC15" s="66">
        <v>0</v>
      </c>
      <c r="CD15" s="66">
        <v>0</v>
      </c>
      <c r="CE15" s="66">
        <v>0</v>
      </c>
      <c r="CF15" s="66">
        <v>0</v>
      </c>
      <c r="CG15" s="66">
        <v>0</v>
      </c>
      <c r="CH15" s="66">
        <v>0</v>
      </c>
      <c r="CI15" s="66">
        <v>0</v>
      </c>
      <c r="CJ15" s="66">
        <v>0</v>
      </c>
      <c r="CK15" s="66">
        <v>0</v>
      </c>
      <c r="CL15" s="66">
        <v>0</v>
      </c>
      <c r="CM15" s="66">
        <v>0</v>
      </c>
      <c r="CN15" s="66">
        <v>0</v>
      </c>
      <c r="CO15" s="66">
        <v>0</v>
      </c>
      <c r="CP15" s="66">
        <v>0</v>
      </c>
      <c r="CQ15" s="66">
        <v>0</v>
      </c>
      <c r="CR15" s="66">
        <v>0</v>
      </c>
      <c r="CS15" s="66">
        <v>0</v>
      </c>
      <c r="CT15" s="66">
        <v>0</v>
      </c>
      <c r="CU15" s="66">
        <v>0</v>
      </c>
      <c r="CV15" s="66">
        <v>0</v>
      </c>
      <c r="CW15" s="66">
        <v>0</v>
      </c>
      <c r="CX15" s="66">
        <v>0</v>
      </c>
      <c r="CY15" s="66">
        <v>0</v>
      </c>
      <c r="CZ15" s="66">
        <v>0</v>
      </c>
      <c r="DA15" s="66">
        <v>0</v>
      </c>
      <c r="DB15" s="66">
        <v>0</v>
      </c>
      <c r="DC15" s="66">
        <v>0</v>
      </c>
      <c r="DD15" s="66">
        <v>0</v>
      </c>
      <c r="DE15" s="66">
        <v>0</v>
      </c>
      <c r="DF15" s="66">
        <v>0</v>
      </c>
      <c r="DG15" s="66">
        <v>0</v>
      </c>
      <c r="DH15" s="66">
        <v>0</v>
      </c>
      <c r="DI15" s="66">
        <v>0</v>
      </c>
      <c r="DJ15" s="66">
        <v>0</v>
      </c>
      <c r="DK15" s="66">
        <v>0</v>
      </c>
      <c r="DL15" s="66">
        <v>0</v>
      </c>
      <c r="DM15" s="66">
        <v>0</v>
      </c>
      <c r="DN15" s="66">
        <v>0</v>
      </c>
      <c r="DO15" s="66">
        <v>0</v>
      </c>
      <c r="DP15" s="66">
        <v>0</v>
      </c>
      <c r="DQ15" s="66">
        <v>0</v>
      </c>
      <c r="DR15" s="66">
        <v>0</v>
      </c>
      <c r="DS15" s="66">
        <v>0</v>
      </c>
      <c r="DT15" s="66">
        <v>0</v>
      </c>
      <c r="DU15" s="66">
        <v>0</v>
      </c>
      <c r="DV15" s="66">
        <v>0</v>
      </c>
      <c r="DW15" s="66">
        <v>0</v>
      </c>
      <c r="DX15" s="66">
        <v>0</v>
      </c>
      <c r="DY15" s="66">
        <v>0</v>
      </c>
      <c r="DZ15" s="66">
        <v>0</v>
      </c>
      <c r="EA15" s="66">
        <v>0</v>
      </c>
      <c r="EB15" s="66">
        <v>0</v>
      </c>
      <c r="EC15" s="66">
        <v>0</v>
      </c>
      <c r="ED15" s="66">
        <v>0</v>
      </c>
      <c r="EE15" s="66">
        <v>0</v>
      </c>
      <c r="EF15" s="66">
        <v>0</v>
      </c>
      <c r="EG15" s="66">
        <v>0</v>
      </c>
      <c r="EH15" s="66">
        <v>0</v>
      </c>
      <c r="EI15" s="66">
        <v>0</v>
      </c>
      <c r="EJ15" s="66">
        <v>0</v>
      </c>
      <c r="EK15" s="66">
        <v>0</v>
      </c>
      <c r="EL15" s="66">
        <v>0</v>
      </c>
      <c r="EM15" s="66">
        <v>0</v>
      </c>
      <c r="EN15" s="66">
        <v>0</v>
      </c>
      <c r="EO15" s="66">
        <v>0</v>
      </c>
      <c r="EP15" s="66">
        <v>0</v>
      </c>
      <c r="EQ15" s="66">
        <v>0</v>
      </c>
      <c r="ER15" s="66">
        <v>0</v>
      </c>
      <c r="ES15" s="66">
        <v>0</v>
      </c>
      <c r="ET15" s="66">
        <v>0</v>
      </c>
      <c r="EU15" s="66">
        <v>0</v>
      </c>
      <c r="EV15" s="66">
        <v>0</v>
      </c>
      <c r="EW15" s="66">
        <v>0</v>
      </c>
      <c r="EX15" s="66">
        <v>0</v>
      </c>
      <c r="EY15" s="66">
        <v>0</v>
      </c>
      <c r="EZ15" s="66">
        <v>0</v>
      </c>
      <c r="FA15" s="66">
        <v>0</v>
      </c>
      <c r="FB15" s="66">
        <v>0</v>
      </c>
      <c r="FC15" s="66">
        <v>0</v>
      </c>
      <c r="FD15" s="66">
        <v>0</v>
      </c>
      <c r="FE15" s="66">
        <v>0</v>
      </c>
      <c r="FF15" s="66">
        <v>0</v>
      </c>
      <c r="FG15" s="66">
        <v>0</v>
      </c>
      <c r="FH15" s="66">
        <v>0</v>
      </c>
      <c r="FI15" s="66">
        <v>0</v>
      </c>
      <c r="FJ15" s="66">
        <v>0</v>
      </c>
      <c r="FK15" s="66">
        <v>0</v>
      </c>
      <c r="FL15" s="66">
        <v>0</v>
      </c>
      <c r="FM15" s="66">
        <v>0</v>
      </c>
      <c r="FN15" s="66">
        <v>0</v>
      </c>
      <c r="FO15" s="66">
        <v>0</v>
      </c>
      <c r="FP15" s="66">
        <v>0</v>
      </c>
      <c r="FQ15" s="66">
        <v>0</v>
      </c>
      <c r="FR15" s="66">
        <v>0</v>
      </c>
      <c r="FS15" s="66">
        <v>0</v>
      </c>
      <c r="FT15" s="66">
        <v>0</v>
      </c>
      <c r="FU15" s="66">
        <v>0</v>
      </c>
      <c r="FV15" s="66">
        <v>0</v>
      </c>
      <c r="FW15" s="66">
        <v>0</v>
      </c>
      <c r="FX15" s="66">
        <v>0</v>
      </c>
      <c r="FY15" s="66">
        <v>0</v>
      </c>
      <c r="FZ15" s="66">
        <v>0</v>
      </c>
      <c r="GA15" s="66">
        <v>0</v>
      </c>
      <c r="GB15" s="66">
        <v>0</v>
      </c>
      <c r="GC15" s="66">
        <v>0</v>
      </c>
      <c r="GD15" s="66">
        <v>0</v>
      </c>
      <c r="GE15" s="66">
        <v>0</v>
      </c>
      <c r="GF15" s="66">
        <v>0</v>
      </c>
      <c r="GG15" s="66">
        <v>0</v>
      </c>
      <c r="GH15" s="66">
        <v>0</v>
      </c>
      <c r="GI15" s="66">
        <v>0</v>
      </c>
      <c r="GJ15" s="66">
        <v>0</v>
      </c>
      <c r="GK15" s="66">
        <v>0</v>
      </c>
      <c r="GL15" s="66">
        <v>0</v>
      </c>
      <c r="GM15" s="66">
        <v>0</v>
      </c>
      <c r="GN15" s="66">
        <v>0</v>
      </c>
      <c r="GO15" s="66">
        <v>0</v>
      </c>
      <c r="GP15" s="66">
        <v>0</v>
      </c>
      <c r="GQ15" s="66">
        <v>0</v>
      </c>
      <c r="GR15" s="66">
        <v>0</v>
      </c>
      <c r="GS15" s="66">
        <v>0</v>
      </c>
      <c r="GT15" s="66">
        <v>0</v>
      </c>
      <c r="GU15" s="66">
        <v>0</v>
      </c>
      <c r="GV15" s="66">
        <v>0</v>
      </c>
      <c r="GW15" s="66">
        <v>0</v>
      </c>
      <c r="GX15" s="66">
        <v>0</v>
      </c>
      <c r="GY15" s="66">
        <v>0</v>
      </c>
      <c r="GZ15" s="66">
        <v>0</v>
      </c>
      <c r="HA15" s="66">
        <v>0</v>
      </c>
      <c r="HB15" s="66">
        <v>0</v>
      </c>
      <c r="HC15" s="66">
        <v>0</v>
      </c>
      <c r="HD15" s="66">
        <v>0</v>
      </c>
      <c r="HE15" s="66">
        <v>0</v>
      </c>
      <c r="HF15" s="66">
        <v>0</v>
      </c>
      <c r="HG15" s="66">
        <v>0</v>
      </c>
      <c r="HH15" s="66">
        <v>0</v>
      </c>
      <c r="HI15" s="66">
        <v>0</v>
      </c>
      <c r="HJ15" s="66">
        <v>0</v>
      </c>
      <c r="HK15" s="66">
        <v>0</v>
      </c>
      <c r="HL15" s="66">
        <v>0</v>
      </c>
      <c r="HM15" s="66">
        <v>0</v>
      </c>
      <c r="HN15" s="66">
        <v>0</v>
      </c>
      <c r="HO15" s="66">
        <v>0</v>
      </c>
      <c r="HP15" s="66">
        <v>0</v>
      </c>
      <c r="HQ15" s="66">
        <v>0</v>
      </c>
      <c r="HR15" s="66">
        <v>0</v>
      </c>
      <c r="HS15" s="66">
        <v>0</v>
      </c>
      <c r="HT15" s="66">
        <v>0</v>
      </c>
      <c r="HU15" s="66">
        <v>0</v>
      </c>
      <c r="HV15" s="66">
        <v>0</v>
      </c>
      <c r="HW15" s="66">
        <v>0</v>
      </c>
      <c r="HX15" s="66">
        <v>0</v>
      </c>
      <c r="HY15" s="66">
        <v>0</v>
      </c>
      <c r="HZ15" s="66">
        <v>0</v>
      </c>
      <c r="IA15" s="66">
        <v>0</v>
      </c>
      <c r="IB15" s="66">
        <v>0</v>
      </c>
      <c r="IC15" s="66">
        <v>0</v>
      </c>
      <c r="ID15" s="66">
        <v>0</v>
      </c>
      <c r="IE15" s="66">
        <v>0</v>
      </c>
      <c r="IF15" s="66">
        <v>0</v>
      </c>
      <c r="IG15" s="66">
        <v>0</v>
      </c>
      <c r="IH15" s="66">
        <v>0</v>
      </c>
      <c r="II15" s="66">
        <v>0</v>
      </c>
      <c r="IJ15" s="66">
        <v>0</v>
      </c>
      <c r="IK15" s="66">
        <v>0</v>
      </c>
      <c r="IL15" s="66">
        <v>0</v>
      </c>
      <c r="IM15" s="66">
        <v>0</v>
      </c>
      <c r="IN15" s="66">
        <v>0</v>
      </c>
      <c r="IO15" s="66">
        <v>0</v>
      </c>
      <c r="IP15" s="66">
        <v>0</v>
      </c>
      <c r="IQ15" s="66">
        <v>0</v>
      </c>
      <c r="IR15" s="66">
        <v>0</v>
      </c>
      <c r="IS15" s="66">
        <v>0</v>
      </c>
      <c r="IT15" s="66">
        <v>0</v>
      </c>
      <c r="IU15" s="66">
        <v>0</v>
      </c>
      <c r="IV15" s="66">
        <v>0</v>
      </c>
      <c r="IW15" s="66">
        <v>0</v>
      </c>
      <c r="IX15" s="66">
        <v>0</v>
      </c>
      <c r="IY15" s="66">
        <v>0</v>
      </c>
      <c r="IZ15" s="66">
        <v>0</v>
      </c>
      <c r="JA15" s="66">
        <v>0</v>
      </c>
      <c r="JB15" s="66">
        <v>0</v>
      </c>
      <c r="JC15" s="66">
        <v>0</v>
      </c>
      <c r="JD15" s="66">
        <v>0</v>
      </c>
      <c r="JE15" s="66">
        <v>0</v>
      </c>
      <c r="JF15" s="66">
        <v>0</v>
      </c>
      <c r="JG15" s="66">
        <v>0</v>
      </c>
      <c r="JH15" s="66">
        <v>0</v>
      </c>
      <c r="JI15" s="66">
        <v>0</v>
      </c>
      <c r="JJ15" s="66">
        <v>0</v>
      </c>
      <c r="JK15" s="66">
        <v>0</v>
      </c>
      <c r="JL15" s="66">
        <v>0</v>
      </c>
      <c r="JM15" s="66">
        <v>0</v>
      </c>
      <c r="JN15" s="66">
        <v>0</v>
      </c>
      <c r="JO15" s="66">
        <v>0</v>
      </c>
      <c r="JP15" s="66">
        <v>0</v>
      </c>
      <c r="JQ15" s="66">
        <v>0</v>
      </c>
      <c r="JR15" s="66">
        <v>0</v>
      </c>
      <c r="JS15" s="66">
        <v>0</v>
      </c>
      <c r="JT15" s="66">
        <v>0</v>
      </c>
      <c r="JU15" s="66">
        <v>0</v>
      </c>
      <c r="JV15" s="66">
        <v>0</v>
      </c>
      <c r="JW15" s="66">
        <v>0</v>
      </c>
      <c r="JX15" s="66">
        <v>0</v>
      </c>
      <c r="JY15" s="66">
        <v>0</v>
      </c>
      <c r="JZ15" s="66">
        <v>0</v>
      </c>
      <c r="KA15" s="66">
        <v>0</v>
      </c>
      <c r="KB15" s="66">
        <v>0</v>
      </c>
      <c r="KC15" s="66">
        <v>0</v>
      </c>
      <c r="KD15" s="66">
        <v>0</v>
      </c>
      <c r="KE15" s="66">
        <v>0</v>
      </c>
      <c r="KF15" s="66">
        <v>0</v>
      </c>
      <c r="KG15" s="66">
        <v>0</v>
      </c>
      <c r="KH15" s="66">
        <v>0</v>
      </c>
      <c r="KI15" s="66">
        <v>0</v>
      </c>
      <c r="KJ15" s="66">
        <v>0</v>
      </c>
      <c r="KK15" s="66">
        <v>0</v>
      </c>
      <c r="KL15" s="66">
        <v>0</v>
      </c>
      <c r="KM15" s="66">
        <v>0</v>
      </c>
      <c r="KN15" s="66">
        <v>0</v>
      </c>
      <c r="KO15" s="66">
        <v>0</v>
      </c>
      <c r="KP15" s="66">
        <v>0</v>
      </c>
      <c r="KQ15" s="66">
        <v>0</v>
      </c>
      <c r="KR15" s="66">
        <v>0</v>
      </c>
      <c r="KS15" s="66">
        <v>0</v>
      </c>
      <c r="KT15" s="66">
        <v>0</v>
      </c>
      <c r="KU15" s="66">
        <v>0</v>
      </c>
      <c r="KV15" s="66">
        <v>0</v>
      </c>
      <c r="KW15" s="66">
        <v>0</v>
      </c>
      <c r="KX15" s="66">
        <v>0</v>
      </c>
      <c r="KY15" s="66">
        <v>0</v>
      </c>
      <c r="KZ15" s="66">
        <v>0</v>
      </c>
      <c r="LA15" s="66">
        <v>0</v>
      </c>
      <c r="LB15" s="66">
        <v>0</v>
      </c>
      <c r="LC15" s="66">
        <v>0</v>
      </c>
      <c r="LD15" s="66">
        <v>0</v>
      </c>
      <c r="LE15" s="66">
        <v>0</v>
      </c>
      <c r="LF15" s="66">
        <v>0</v>
      </c>
      <c r="LG15" s="66">
        <v>0</v>
      </c>
      <c r="LH15" s="66">
        <v>0</v>
      </c>
      <c r="LI15" s="66">
        <v>0</v>
      </c>
      <c r="LJ15" s="66">
        <v>0</v>
      </c>
      <c r="LK15" s="66">
        <v>0</v>
      </c>
      <c r="LL15" s="66">
        <v>0</v>
      </c>
      <c r="LM15" s="66">
        <v>0</v>
      </c>
      <c r="LN15" s="66">
        <v>0</v>
      </c>
      <c r="LO15" s="66">
        <v>0</v>
      </c>
      <c r="LP15" s="66">
        <v>0</v>
      </c>
      <c r="LQ15" s="66">
        <v>0</v>
      </c>
      <c r="LR15" s="66">
        <v>0</v>
      </c>
      <c r="LS15" s="66">
        <v>0</v>
      </c>
      <c r="LT15" s="66">
        <v>0</v>
      </c>
      <c r="LU15" s="66">
        <v>0</v>
      </c>
      <c r="LV15" s="66">
        <v>0</v>
      </c>
      <c r="LW15" s="66">
        <v>0</v>
      </c>
      <c r="LX15" s="66">
        <v>0</v>
      </c>
      <c r="LY15" s="66">
        <v>0</v>
      </c>
      <c r="LZ15" s="66">
        <v>0</v>
      </c>
      <c r="MA15" s="66">
        <v>0</v>
      </c>
      <c r="MB15" s="66">
        <v>0</v>
      </c>
      <c r="MC15" s="66">
        <v>0</v>
      </c>
      <c r="MD15" s="66">
        <v>0</v>
      </c>
      <c r="ME15" s="66">
        <v>0</v>
      </c>
      <c r="MF15" s="66">
        <v>0</v>
      </c>
      <c r="MG15" s="66">
        <v>0</v>
      </c>
      <c r="MH15" s="66">
        <v>0</v>
      </c>
      <c r="MI15" s="66">
        <v>0</v>
      </c>
      <c r="MJ15" s="66">
        <v>0</v>
      </c>
      <c r="MK15" s="66">
        <v>0</v>
      </c>
      <c r="ML15" s="66">
        <v>0</v>
      </c>
      <c r="MM15" s="66">
        <v>0</v>
      </c>
      <c r="MN15" s="66">
        <v>0</v>
      </c>
      <c r="MO15" s="66">
        <v>0</v>
      </c>
      <c r="MP15" s="66">
        <v>0</v>
      </c>
      <c r="MQ15" s="66">
        <v>0</v>
      </c>
      <c r="MR15" s="66">
        <v>0</v>
      </c>
      <c r="MS15" s="66">
        <v>0</v>
      </c>
      <c r="MT15" s="66">
        <v>0</v>
      </c>
      <c r="MU15" s="66">
        <v>0</v>
      </c>
      <c r="MV15" s="66">
        <v>0</v>
      </c>
      <c r="MW15" s="66">
        <v>0</v>
      </c>
      <c r="MX15" s="66">
        <v>0</v>
      </c>
      <c r="MY15" s="66">
        <v>0</v>
      </c>
      <c r="MZ15" s="66">
        <v>0</v>
      </c>
      <c r="NA15" s="66">
        <v>0</v>
      </c>
      <c r="NB15" s="66">
        <v>0</v>
      </c>
    </row>
    <row r="16" spans="2:388" x14ac:dyDescent="0.15">
      <c r="B16" s="6" t="s">
        <v>26</v>
      </c>
      <c r="C16" s="6"/>
      <c r="D16" s="54"/>
      <c r="E16" s="6"/>
      <c r="F16" s="15">
        <f>-IF(F$7&lt;renovation_time,'Main Assumptions'!$E$21/'Main Assumptions'!$E$22,0)</f>
        <v>-133333.33333333334</v>
      </c>
      <c r="G16" s="15">
        <f>-IF(G$7&lt;renovation_time,'Main Assumptions'!$E$21/'Main Assumptions'!$E$22,0)</f>
        <v>-133333.33333333334</v>
      </c>
      <c r="H16" s="15">
        <f>-IF(H$7&lt;renovation_time,'Main Assumptions'!$E$21/'Main Assumptions'!$E$22,0)</f>
        <v>-133333.33333333334</v>
      </c>
      <c r="I16" s="15">
        <f>-IF(I$7&lt;renovation_time,'Main Assumptions'!$E$21/'Main Assumptions'!$E$22,0)</f>
        <v>0</v>
      </c>
      <c r="J16" s="15">
        <f>-IF(J$7&lt;renovation_time,'Main Assumptions'!$E$21/'Main Assumptions'!$E$22,0)</f>
        <v>0</v>
      </c>
      <c r="K16" s="15">
        <f>-IF(K$7&lt;renovation_time,'Main Assumptions'!$E$21/'Main Assumptions'!$E$22,0)</f>
        <v>0</v>
      </c>
      <c r="L16" s="15">
        <f>-IF(L$7&lt;renovation_time,'Main Assumptions'!$E$21/'Main Assumptions'!$E$22,0)</f>
        <v>0</v>
      </c>
      <c r="M16" s="15">
        <f>-IF(M$7&lt;renovation_time,'Main Assumptions'!$E$21/'Main Assumptions'!$E$22,0)</f>
        <v>0</v>
      </c>
      <c r="N16" s="15">
        <f>-IF(N$7&lt;renovation_time,'Main Assumptions'!$E$21/'Main Assumptions'!$E$22,0)</f>
        <v>0</v>
      </c>
      <c r="O16" s="15">
        <f>-IF(O$7&lt;renovation_time,'Main Assumptions'!$E$21/'Main Assumptions'!$E$22,0)</f>
        <v>0</v>
      </c>
      <c r="P16" s="15">
        <f>-IF(P$7&lt;renovation_time,'Main Assumptions'!$E$21/'Main Assumptions'!$E$22,0)</f>
        <v>0</v>
      </c>
      <c r="Q16" s="15">
        <f>-IF(Q$7&lt;renovation_time,'Main Assumptions'!$E$21/'Main Assumptions'!$E$22,0)</f>
        <v>0</v>
      </c>
      <c r="R16" s="15">
        <f>-IF(R$7&lt;renovation_time,'Main Assumptions'!$E$21/'Main Assumptions'!$E$22,0)</f>
        <v>0</v>
      </c>
      <c r="S16" s="15">
        <f>-IF(S$7&lt;renovation_time,'Main Assumptions'!$E$21/'Main Assumptions'!$E$22,0)</f>
        <v>0</v>
      </c>
      <c r="T16" s="15">
        <f>-IF(T$7&lt;renovation_time,'Main Assumptions'!$E$21/'Main Assumptions'!$E$22,0)</f>
        <v>0</v>
      </c>
      <c r="U16" s="15">
        <f>-IF(U$7&lt;renovation_time,'Main Assumptions'!$E$21/'Main Assumptions'!$E$22,0)</f>
        <v>0</v>
      </c>
      <c r="V16" s="15">
        <f>-IF(V$7&lt;renovation_time,'Main Assumptions'!$E$21/'Main Assumptions'!$E$22,0)</f>
        <v>0</v>
      </c>
      <c r="W16" s="15">
        <f>-IF(W$7&lt;renovation_time,'Main Assumptions'!$E$21/'Main Assumptions'!$E$22,0)</f>
        <v>0</v>
      </c>
      <c r="X16" s="15">
        <f>-IF(X$7&lt;renovation_time,'Main Assumptions'!$E$21/'Main Assumptions'!$E$22,0)</f>
        <v>0</v>
      </c>
      <c r="Y16" s="15">
        <f>-IF(Y$7&lt;renovation_time,'Main Assumptions'!$E$21/'Main Assumptions'!$E$22,0)</f>
        <v>0</v>
      </c>
      <c r="Z16" s="15">
        <f>-IF(Z$7&lt;renovation_time,'Main Assumptions'!$E$21/'Main Assumptions'!$E$22,0)</f>
        <v>0</v>
      </c>
      <c r="AA16" s="15">
        <f>-IF(AA$7&lt;renovation_time,'Main Assumptions'!$E$21/'Main Assumptions'!$E$22,0)</f>
        <v>0</v>
      </c>
      <c r="AB16" s="15">
        <f>-IF(AB$7&lt;renovation_time,'Main Assumptions'!$E$21/'Main Assumptions'!$E$22,0)</f>
        <v>0</v>
      </c>
      <c r="AC16" s="15">
        <f>-IF(AC$7&lt;renovation_time,'Main Assumptions'!$E$21/'Main Assumptions'!$E$22,0)</f>
        <v>0</v>
      </c>
      <c r="AD16" s="15">
        <f>-IF(AD$7&lt;renovation_time,'Main Assumptions'!$E$21/'Main Assumptions'!$E$22,0)</f>
        <v>0</v>
      </c>
      <c r="AE16" s="15">
        <f>-IF(AE$7&lt;renovation_time,'Main Assumptions'!$E$21/'Main Assumptions'!$E$22,0)</f>
        <v>0</v>
      </c>
      <c r="AF16" s="15">
        <f>-IF(AF$7&lt;renovation_time,'Main Assumptions'!$E$21/'Main Assumptions'!$E$22,0)</f>
        <v>0</v>
      </c>
      <c r="AG16" s="15">
        <f>-IF(AG$7&lt;renovation_time,'Main Assumptions'!$E$21/'Main Assumptions'!$E$22,0)</f>
        <v>0</v>
      </c>
      <c r="AH16" s="15">
        <f>-IF(AH$7&lt;renovation_time,'Main Assumptions'!$E$21/'Main Assumptions'!$E$22,0)</f>
        <v>0</v>
      </c>
      <c r="AI16" s="15">
        <f>-IF(AI$7&lt;renovation_time,'Main Assumptions'!$E$21/'Main Assumptions'!$E$22,0)</f>
        <v>0</v>
      </c>
      <c r="AJ16" s="15">
        <f>-IF(AJ$7&lt;renovation_time,'Main Assumptions'!$E$21/'Main Assumptions'!$E$22,0)</f>
        <v>0</v>
      </c>
      <c r="AK16" s="15">
        <f>-IF(AK$7&lt;renovation_time,'Main Assumptions'!$E$21/'Main Assumptions'!$E$22,0)</f>
        <v>0</v>
      </c>
      <c r="AL16" s="15">
        <f>-IF(AL$7&lt;renovation_time,'Main Assumptions'!$E$21/'Main Assumptions'!$E$22,0)</f>
        <v>0</v>
      </c>
      <c r="AM16" s="15">
        <f>-IF(AM$7&lt;renovation_time,'Main Assumptions'!$E$21/'Main Assumptions'!$E$22,0)</f>
        <v>0</v>
      </c>
      <c r="AN16" s="15">
        <f>-IF(AN$7&lt;renovation_time,'Main Assumptions'!$E$21/'Main Assumptions'!$E$22,0)</f>
        <v>0</v>
      </c>
      <c r="AO16" s="15">
        <f>-IF(AO$7&lt;renovation_time,'Main Assumptions'!$E$21/'Main Assumptions'!$E$22,0)</f>
        <v>0</v>
      </c>
      <c r="AP16" s="15">
        <f>-IF(AP$7&lt;renovation_time,'Main Assumptions'!$E$21/'Main Assumptions'!$E$22,0)</f>
        <v>0</v>
      </c>
      <c r="AQ16" s="15">
        <f>-IF(AQ$7&lt;renovation_time,'Main Assumptions'!$E$21/'Main Assumptions'!$E$22,0)</f>
        <v>0</v>
      </c>
      <c r="AR16" s="15">
        <f>-IF(AR$7&lt;renovation_time,'Main Assumptions'!$E$21/'Main Assumptions'!$E$22,0)</f>
        <v>0</v>
      </c>
      <c r="AS16" s="15">
        <f>-IF(AS$7&lt;renovation_time,'Main Assumptions'!$E$21/'Main Assumptions'!$E$22,0)</f>
        <v>0</v>
      </c>
      <c r="AT16" s="15">
        <f>-IF(AT$7&lt;renovation_time,'Main Assumptions'!$E$21/'Main Assumptions'!$E$22,0)</f>
        <v>0</v>
      </c>
      <c r="AU16" s="15">
        <f>-IF(AU$7&lt;renovation_time,'Main Assumptions'!$E$21/'Main Assumptions'!$E$22,0)</f>
        <v>0</v>
      </c>
      <c r="AV16" s="15">
        <f>-IF(AV$7&lt;renovation_time,'Main Assumptions'!$E$21/'Main Assumptions'!$E$22,0)</f>
        <v>0</v>
      </c>
      <c r="AW16" s="15">
        <f>-IF(AW$7&lt;renovation_time,'Main Assumptions'!$E$21/'Main Assumptions'!$E$22,0)</f>
        <v>0</v>
      </c>
      <c r="AX16" s="15">
        <f>-IF(AX$7&lt;renovation_time,'Main Assumptions'!$E$21/'Main Assumptions'!$E$22,0)</f>
        <v>0</v>
      </c>
      <c r="AY16" s="15">
        <f>-IF(AY$7&lt;renovation_time,'Main Assumptions'!$E$21/'Main Assumptions'!$E$22,0)</f>
        <v>0</v>
      </c>
      <c r="AZ16" s="15">
        <f>-IF(AZ$7&lt;renovation_time,'Main Assumptions'!$E$21/'Main Assumptions'!$E$22,0)</f>
        <v>0</v>
      </c>
      <c r="BA16" s="15">
        <f>-IF(BA$7&lt;renovation_time,'Main Assumptions'!$E$21/'Main Assumptions'!$E$22,0)</f>
        <v>0</v>
      </c>
      <c r="BB16" s="15">
        <f>-IF(BB$7&lt;renovation_time,'Main Assumptions'!$E$21/'Main Assumptions'!$E$22,0)</f>
        <v>0</v>
      </c>
      <c r="BC16" s="15">
        <f>-IF(BC$7&lt;renovation_time,'Main Assumptions'!$E$21/'Main Assumptions'!$E$22,0)</f>
        <v>0</v>
      </c>
      <c r="BD16" s="15">
        <f>-IF(BD$7&lt;renovation_time,'Main Assumptions'!$E$21/'Main Assumptions'!$E$22,0)</f>
        <v>0</v>
      </c>
      <c r="BE16" s="15">
        <f>-IF(BE$7&lt;renovation_time,'Main Assumptions'!$E$21/'Main Assumptions'!$E$22,0)</f>
        <v>0</v>
      </c>
      <c r="BF16" s="15">
        <f>-IF(BF$7&lt;renovation_time,'Main Assumptions'!$E$21/'Main Assumptions'!$E$22,0)</f>
        <v>0</v>
      </c>
      <c r="BG16" s="15">
        <f>-IF(BG$7&lt;renovation_time,'Main Assumptions'!$E$21/'Main Assumptions'!$E$22,0)</f>
        <v>0</v>
      </c>
      <c r="BH16" s="15">
        <f>-IF(BH$7&lt;renovation_time,'Main Assumptions'!$E$21/'Main Assumptions'!$E$22,0)</f>
        <v>0</v>
      </c>
      <c r="BI16" s="15">
        <f>-IF(BI$7&lt;renovation_time,'Main Assumptions'!$E$21/'Main Assumptions'!$E$22,0)</f>
        <v>0</v>
      </c>
      <c r="BJ16" s="15">
        <f>-IF(BJ$7&lt;renovation_time,'Main Assumptions'!$E$21/'Main Assumptions'!$E$22,0)</f>
        <v>0</v>
      </c>
      <c r="BK16" s="15">
        <f>-IF(BK$7&lt;renovation_time,'Main Assumptions'!$E$21/'Main Assumptions'!$E$22,0)</f>
        <v>0</v>
      </c>
      <c r="BL16" s="15">
        <f>-IF(BL$7&lt;renovation_time,'Main Assumptions'!$E$21/'Main Assumptions'!$E$22,0)</f>
        <v>0</v>
      </c>
      <c r="BM16" s="15">
        <f>-IF(BM$7&lt;renovation_time,'Main Assumptions'!$E$21/'Main Assumptions'!$E$22,0)</f>
        <v>0</v>
      </c>
      <c r="BN16" s="15">
        <f>-IF(BN$7&lt;renovation_time,'Main Assumptions'!$E$21/'Main Assumptions'!$E$22,0)</f>
        <v>0</v>
      </c>
      <c r="BO16" s="15">
        <f>-IF(BO$7&lt;renovation_time,'Main Assumptions'!$E$21/'Main Assumptions'!$E$22,0)</f>
        <v>0</v>
      </c>
      <c r="BP16" s="15">
        <f>-IF(BP$7&lt;renovation_time,'Main Assumptions'!$E$21/'Main Assumptions'!$E$22,0)</f>
        <v>0</v>
      </c>
      <c r="BQ16" s="15">
        <f>-IF(BQ$7&lt;renovation_time,'Main Assumptions'!$E$21/'Main Assumptions'!$E$22,0)</f>
        <v>0</v>
      </c>
      <c r="BR16" s="15">
        <f>-IF(BR$7&lt;renovation_time,'Main Assumptions'!$E$21/'Main Assumptions'!$E$22,0)</f>
        <v>0</v>
      </c>
      <c r="BS16" s="15">
        <f>-IF(BS$7&lt;renovation_time,'Main Assumptions'!$E$21/'Main Assumptions'!$E$22,0)</f>
        <v>0</v>
      </c>
      <c r="BT16" s="15">
        <f>-IF(BT$7&lt;renovation_time,'Main Assumptions'!$E$21/'Main Assumptions'!$E$22,0)</f>
        <v>0</v>
      </c>
      <c r="BU16" s="15">
        <f>-IF(BU$7&lt;renovation_time,'Main Assumptions'!$E$21/'Main Assumptions'!$E$22,0)</f>
        <v>0</v>
      </c>
      <c r="BV16" s="15">
        <f>-IF(BV$7&lt;renovation_time,'Main Assumptions'!$E$21/'Main Assumptions'!$E$22,0)</f>
        <v>0</v>
      </c>
      <c r="BW16" s="15">
        <f>-IF(BW$7&lt;renovation_time,'Main Assumptions'!$E$21/'Main Assumptions'!$E$22,0)</f>
        <v>0</v>
      </c>
      <c r="BX16" s="15">
        <f>-IF(BX$7&lt;renovation_time,'Main Assumptions'!$E$21/'Main Assumptions'!$E$22,0)</f>
        <v>0</v>
      </c>
      <c r="BY16" s="15">
        <f>-IF(BY$7&lt;renovation_time,'Main Assumptions'!$E$21/'Main Assumptions'!$E$22,0)</f>
        <v>0</v>
      </c>
      <c r="BZ16" s="15">
        <f>-IF(BZ$7&lt;renovation_time,'Main Assumptions'!$E$21/'Main Assumptions'!$E$22,0)</f>
        <v>0</v>
      </c>
      <c r="CA16" s="15">
        <f>-IF(CA$7&lt;renovation_time,'Main Assumptions'!$E$21/'Main Assumptions'!$E$22,0)</f>
        <v>0</v>
      </c>
      <c r="CB16" s="15">
        <f>-IF(CB$7&lt;renovation_time,'Main Assumptions'!$E$21/'Main Assumptions'!$E$22,0)</f>
        <v>0</v>
      </c>
      <c r="CC16" s="15">
        <f>-IF(CC$7&lt;renovation_time,'Main Assumptions'!$E$21/'Main Assumptions'!$E$22,0)</f>
        <v>0</v>
      </c>
      <c r="CD16" s="15">
        <f>-IF(CD$7&lt;renovation_time,'Main Assumptions'!$E$21/'Main Assumptions'!$E$22,0)</f>
        <v>0</v>
      </c>
      <c r="CE16" s="15">
        <f>-IF(CE$7&lt;renovation_time,'Main Assumptions'!$E$21/'Main Assumptions'!$E$22,0)</f>
        <v>0</v>
      </c>
      <c r="CF16" s="15">
        <f>-IF(CF$7&lt;renovation_time,'Main Assumptions'!$E$21/'Main Assumptions'!$E$22,0)</f>
        <v>0</v>
      </c>
      <c r="CG16" s="15">
        <f>-IF(CG$7&lt;renovation_time,'Main Assumptions'!$E$21/'Main Assumptions'!$E$22,0)</f>
        <v>0</v>
      </c>
      <c r="CH16" s="15">
        <f>-IF(CH$7&lt;renovation_time,'Main Assumptions'!$E$21/'Main Assumptions'!$E$22,0)</f>
        <v>0</v>
      </c>
      <c r="CI16" s="15">
        <f>-IF(CI$7&lt;renovation_time,'Main Assumptions'!$E$21/'Main Assumptions'!$E$22,0)</f>
        <v>0</v>
      </c>
      <c r="CJ16" s="15">
        <f>-IF(CJ$7&lt;renovation_time,'Main Assumptions'!$E$21/'Main Assumptions'!$E$22,0)</f>
        <v>0</v>
      </c>
      <c r="CK16" s="15">
        <f>-IF(CK$7&lt;renovation_time,'Main Assumptions'!$E$21/'Main Assumptions'!$E$22,0)</f>
        <v>0</v>
      </c>
      <c r="CL16" s="15">
        <f>-IF(CL$7&lt;renovation_time,'Main Assumptions'!$E$21/'Main Assumptions'!$E$22,0)</f>
        <v>0</v>
      </c>
      <c r="CM16" s="15">
        <f>-IF(CM$7&lt;renovation_time,'Main Assumptions'!$E$21/'Main Assumptions'!$E$22,0)</f>
        <v>0</v>
      </c>
      <c r="CN16" s="15">
        <f>-IF(CN$7&lt;renovation_time,'Main Assumptions'!$E$21/'Main Assumptions'!$E$22,0)</f>
        <v>0</v>
      </c>
      <c r="CO16" s="15">
        <f>-IF(CO$7&lt;renovation_time,'Main Assumptions'!$E$21/'Main Assumptions'!$E$22,0)</f>
        <v>0</v>
      </c>
      <c r="CP16" s="15">
        <f>-IF(CP$7&lt;renovation_time,'Main Assumptions'!$E$21/'Main Assumptions'!$E$22,0)</f>
        <v>0</v>
      </c>
      <c r="CQ16" s="15">
        <f>-IF(CQ$7&lt;renovation_time,'Main Assumptions'!$E$21/'Main Assumptions'!$E$22,0)</f>
        <v>0</v>
      </c>
      <c r="CR16" s="15">
        <f>-IF(CR$7&lt;renovation_time,'Main Assumptions'!$E$21/'Main Assumptions'!$E$22,0)</f>
        <v>0</v>
      </c>
      <c r="CS16" s="15">
        <f>-IF(CS$7&lt;renovation_time,'Main Assumptions'!$E$21/'Main Assumptions'!$E$22,0)</f>
        <v>0</v>
      </c>
      <c r="CT16" s="15">
        <f>-IF(CT$7&lt;renovation_time,'Main Assumptions'!$E$21/'Main Assumptions'!$E$22,0)</f>
        <v>0</v>
      </c>
      <c r="CU16" s="15">
        <f>-IF(CU$7&lt;renovation_time,'Main Assumptions'!$E$21/'Main Assumptions'!$E$22,0)</f>
        <v>0</v>
      </c>
      <c r="CV16" s="15">
        <f>-IF(CV$7&lt;renovation_time,'Main Assumptions'!$E$21/'Main Assumptions'!$E$22,0)</f>
        <v>0</v>
      </c>
      <c r="CW16" s="15">
        <f>-IF(CW$7&lt;renovation_time,'Main Assumptions'!$E$21/'Main Assumptions'!$E$22,0)</f>
        <v>0</v>
      </c>
      <c r="CX16" s="15">
        <f>-IF(CX$7&lt;renovation_time,'Main Assumptions'!$E$21/'Main Assumptions'!$E$22,0)</f>
        <v>0</v>
      </c>
      <c r="CY16" s="15">
        <f>-IF(CY$7&lt;renovation_time,'Main Assumptions'!$E$21/'Main Assumptions'!$E$22,0)</f>
        <v>0</v>
      </c>
      <c r="CZ16" s="15">
        <f>-IF(CZ$7&lt;renovation_time,'Main Assumptions'!$E$21/'Main Assumptions'!$E$22,0)</f>
        <v>0</v>
      </c>
      <c r="DA16" s="15">
        <f>-IF(DA$7&lt;renovation_time,'Main Assumptions'!$E$21/'Main Assumptions'!$E$22,0)</f>
        <v>0</v>
      </c>
      <c r="DB16" s="15">
        <f>-IF(DB$7&lt;renovation_time,'Main Assumptions'!$E$21/'Main Assumptions'!$E$22,0)</f>
        <v>0</v>
      </c>
      <c r="DC16" s="15">
        <f>-IF(DC$7&lt;renovation_time,'Main Assumptions'!$E$21/'Main Assumptions'!$E$22,0)</f>
        <v>0</v>
      </c>
      <c r="DD16" s="15">
        <f>-IF(DD$7&lt;renovation_time,'Main Assumptions'!$E$21/'Main Assumptions'!$E$22,0)</f>
        <v>0</v>
      </c>
      <c r="DE16" s="15">
        <f>-IF(DE$7&lt;renovation_time,'Main Assumptions'!$E$21/'Main Assumptions'!$E$22,0)</f>
        <v>0</v>
      </c>
      <c r="DF16" s="15">
        <f>-IF(DF$7&lt;renovation_time,'Main Assumptions'!$E$21/'Main Assumptions'!$E$22,0)</f>
        <v>0</v>
      </c>
      <c r="DG16" s="15">
        <f>-IF(DG$7&lt;renovation_time,'Main Assumptions'!$E$21/'Main Assumptions'!$E$22,0)</f>
        <v>0</v>
      </c>
      <c r="DH16" s="15">
        <f>-IF(DH$7&lt;renovation_time,'Main Assumptions'!$E$21/'Main Assumptions'!$E$22,0)</f>
        <v>0</v>
      </c>
      <c r="DI16" s="15">
        <f>-IF(DI$7&lt;renovation_time,'Main Assumptions'!$E$21/'Main Assumptions'!$E$22,0)</f>
        <v>0</v>
      </c>
      <c r="DJ16" s="15">
        <f>-IF(DJ$7&lt;renovation_time,'Main Assumptions'!$E$21/'Main Assumptions'!$E$22,0)</f>
        <v>0</v>
      </c>
      <c r="DK16" s="15">
        <f>-IF(DK$7&lt;renovation_time,'Main Assumptions'!$E$21/'Main Assumptions'!$E$22,0)</f>
        <v>0</v>
      </c>
      <c r="DL16" s="15">
        <f>-IF(DL$7&lt;renovation_time,'Main Assumptions'!$E$21/'Main Assumptions'!$E$22,0)</f>
        <v>0</v>
      </c>
      <c r="DM16" s="15">
        <f>-IF(DM$7&lt;renovation_time,'Main Assumptions'!$E$21/'Main Assumptions'!$E$22,0)</f>
        <v>0</v>
      </c>
      <c r="DN16" s="15">
        <f>-IF(DN$7&lt;renovation_time,'Main Assumptions'!$E$21/'Main Assumptions'!$E$22,0)</f>
        <v>0</v>
      </c>
      <c r="DO16" s="15">
        <f>-IF(DO$7&lt;renovation_time,'Main Assumptions'!$E$21/'Main Assumptions'!$E$22,0)</f>
        <v>0</v>
      </c>
      <c r="DP16" s="15">
        <f>-IF(DP$7&lt;renovation_time,'Main Assumptions'!$E$21/'Main Assumptions'!$E$22,0)</f>
        <v>0</v>
      </c>
      <c r="DQ16" s="15">
        <f>-IF(DQ$7&lt;renovation_time,'Main Assumptions'!$E$21/'Main Assumptions'!$E$22,0)</f>
        <v>0</v>
      </c>
      <c r="DR16" s="15">
        <f>-IF(DR$7&lt;renovation_time,'Main Assumptions'!$E$21/'Main Assumptions'!$E$22,0)</f>
        <v>0</v>
      </c>
      <c r="DS16" s="15">
        <f>-IF(DS$7&lt;renovation_time,'Main Assumptions'!$E$21/'Main Assumptions'!$E$22,0)</f>
        <v>0</v>
      </c>
      <c r="DT16" s="15">
        <f>-IF(DT$7&lt;renovation_time,'Main Assumptions'!$E$21/'Main Assumptions'!$E$22,0)</f>
        <v>0</v>
      </c>
      <c r="DU16" s="15">
        <f>-IF(DU$7&lt;renovation_time,'Main Assumptions'!$E$21/'Main Assumptions'!$E$22,0)</f>
        <v>0</v>
      </c>
      <c r="DV16" s="15">
        <f>-IF(DV$7&lt;renovation_time,'Main Assumptions'!$E$21/'Main Assumptions'!$E$22,0)</f>
        <v>0</v>
      </c>
      <c r="DW16" s="15">
        <f>-IF(DW$7&lt;renovation_time,'Main Assumptions'!$E$21/'Main Assumptions'!$E$22,0)</f>
        <v>0</v>
      </c>
      <c r="DX16" s="15">
        <f>-IF(DX$7&lt;renovation_time,'Main Assumptions'!$E$21/'Main Assumptions'!$E$22,0)</f>
        <v>0</v>
      </c>
      <c r="DY16" s="15">
        <f>-IF(DY$7&lt;renovation_time,'Main Assumptions'!$E$21/'Main Assumptions'!$E$22,0)</f>
        <v>0</v>
      </c>
      <c r="DZ16" s="15">
        <f>-IF(DZ$7&lt;renovation_time,'Main Assumptions'!$E$21/'Main Assumptions'!$E$22,0)</f>
        <v>0</v>
      </c>
      <c r="EA16" s="15">
        <f>-IF(EA$7&lt;renovation_time,'Main Assumptions'!$E$21/'Main Assumptions'!$E$22,0)</f>
        <v>0</v>
      </c>
      <c r="EB16" s="15">
        <f>-IF(EB$7&lt;renovation_time,'Main Assumptions'!$E$21/'Main Assumptions'!$E$22,0)</f>
        <v>0</v>
      </c>
      <c r="EC16" s="15">
        <f>-IF(EC$7&lt;renovation_time,'Main Assumptions'!$E$21/'Main Assumptions'!$E$22,0)</f>
        <v>0</v>
      </c>
      <c r="ED16" s="15">
        <f>-IF(ED$7&lt;renovation_time,'Main Assumptions'!$E$21/'Main Assumptions'!$E$22,0)</f>
        <v>0</v>
      </c>
      <c r="EE16" s="15">
        <f>-IF(EE$7&lt;renovation_time,'Main Assumptions'!$E$21/'Main Assumptions'!$E$22,0)</f>
        <v>0</v>
      </c>
      <c r="EF16" s="15">
        <f>-IF(EF$7&lt;renovation_time,'Main Assumptions'!$E$21/'Main Assumptions'!$E$22,0)</f>
        <v>0</v>
      </c>
      <c r="EG16" s="15">
        <f>-IF(EG$7&lt;renovation_time,'Main Assumptions'!$E$21/'Main Assumptions'!$E$22,0)</f>
        <v>0</v>
      </c>
      <c r="EH16" s="15">
        <f>-IF(EH$7&lt;renovation_time,'Main Assumptions'!$E$21/'Main Assumptions'!$E$22,0)</f>
        <v>0</v>
      </c>
      <c r="EI16" s="15">
        <f>-IF(EI$7&lt;renovation_time,'Main Assumptions'!$E$21/'Main Assumptions'!$E$22,0)</f>
        <v>0</v>
      </c>
      <c r="EJ16" s="15">
        <f>-IF(EJ$7&lt;renovation_time,'Main Assumptions'!$E$21/'Main Assumptions'!$E$22,0)</f>
        <v>0</v>
      </c>
      <c r="EK16" s="15">
        <f>-IF(EK$7&lt;renovation_time,'Main Assumptions'!$E$21/'Main Assumptions'!$E$22,0)</f>
        <v>0</v>
      </c>
      <c r="EL16" s="15">
        <f>-IF(EL$7&lt;renovation_time,'Main Assumptions'!$E$21/'Main Assumptions'!$E$22,0)</f>
        <v>0</v>
      </c>
      <c r="EM16" s="15">
        <f>-IF(EM$7&lt;renovation_time,'Main Assumptions'!$E$21/'Main Assumptions'!$E$22,0)</f>
        <v>0</v>
      </c>
      <c r="EN16" s="15">
        <f>-IF(EN$7&lt;renovation_time,'Main Assumptions'!$E$21/'Main Assumptions'!$E$22,0)</f>
        <v>0</v>
      </c>
      <c r="EO16" s="15">
        <f>-IF(EO$7&lt;renovation_time,'Main Assumptions'!$E$21/'Main Assumptions'!$E$22,0)</f>
        <v>0</v>
      </c>
      <c r="EP16" s="15">
        <f>-IF(EP$7&lt;renovation_time,'Main Assumptions'!$E$21/'Main Assumptions'!$E$22,0)</f>
        <v>0</v>
      </c>
      <c r="EQ16" s="15">
        <f>-IF(EQ$7&lt;renovation_time,'Main Assumptions'!$E$21/'Main Assumptions'!$E$22,0)</f>
        <v>0</v>
      </c>
      <c r="ER16" s="15">
        <f>-IF(ER$7&lt;renovation_time,'Main Assumptions'!$E$21/'Main Assumptions'!$E$22,0)</f>
        <v>0</v>
      </c>
      <c r="ES16" s="15">
        <f>-IF(ES$7&lt;renovation_time,'Main Assumptions'!$E$21/'Main Assumptions'!$E$22,0)</f>
        <v>0</v>
      </c>
      <c r="ET16" s="15">
        <f>-IF(ET$7&lt;renovation_time,'Main Assumptions'!$E$21/'Main Assumptions'!$E$22,0)</f>
        <v>0</v>
      </c>
      <c r="EU16" s="15">
        <f>-IF(EU$7&lt;renovation_time,'Main Assumptions'!$E$21/'Main Assumptions'!$E$22,0)</f>
        <v>0</v>
      </c>
      <c r="EV16" s="15">
        <f>-IF(EV$7&lt;renovation_time,'Main Assumptions'!$E$21/'Main Assumptions'!$E$22,0)</f>
        <v>0</v>
      </c>
      <c r="EW16" s="15">
        <f>-IF(EW$7&lt;renovation_time,'Main Assumptions'!$E$21/'Main Assumptions'!$E$22,0)</f>
        <v>0</v>
      </c>
      <c r="EX16" s="15">
        <f>-IF(EX$7&lt;renovation_time,'Main Assumptions'!$E$21/'Main Assumptions'!$E$22,0)</f>
        <v>0</v>
      </c>
      <c r="EY16" s="15">
        <f>-IF(EY$7&lt;renovation_time,'Main Assumptions'!$E$21/'Main Assumptions'!$E$22,0)</f>
        <v>0</v>
      </c>
      <c r="EZ16" s="15">
        <f>-IF(EZ$7&lt;renovation_time,'Main Assumptions'!$E$21/'Main Assumptions'!$E$22,0)</f>
        <v>0</v>
      </c>
      <c r="FA16" s="15">
        <f>-IF(FA$7&lt;renovation_time,'Main Assumptions'!$E$21/'Main Assumptions'!$E$22,0)</f>
        <v>0</v>
      </c>
      <c r="FB16" s="15">
        <f>-IF(FB$7&lt;renovation_time,'Main Assumptions'!$E$21/'Main Assumptions'!$E$22,0)</f>
        <v>0</v>
      </c>
      <c r="FC16" s="15">
        <f>-IF(FC$7&lt;renovation_time,'Main Assumptions'!$E$21/'Main Assumptions'!$E$22,0)</f>
        <v>0</v>
      </c>
      <c r="FD16" s="15">
        <f>-IF(FD$7&lt;renovation_time,'Main Assumptions'!$E$21/'Main Assumptions'!$E$22,0)</f>
        <v>0</v>
      </c>
      <c r="FE16" s="15">
        <f>-IF(FE$7&lt;renovation_time,'Main Assumptions'!$E$21/'Main Assumptions'!$E$22,0)</f>
        <v>0</v>
      </c>
      <c r="FF16" s="15">
        <f>-IF(FF$7&lt;renovation_time,'Main Assumptions'!$E$21/'Main Assumptions'!$E$22,0)</f>
        <v>0</v>
      </c>
      <c r="FG16" s="15">
        <f>-IF(FG$7&lt;renovation_time,'Main Assumptions'!$E$21/'Main Assumptions'!$E$22,0)</f>
        <v>0</v>
      </c>
      <c r="FH16" s="15">
        <f>-IF(FH$7&lt;renovation_time,'Main Assumptions'!$E$21/'Main Assumptions'!$E$22,0)</f>
        <v>0</v>
      </c>
      <c r="FI16" s="15">
        <f>-IF(FI$7&lt;renovation_time,'Main Assumptions'!$E$21/'Main Assumptions'!$E$22,0)</f>
        <v>0</v>
      </c>
      <c r="FJ16" s="15">
        <f>-IF(FJ$7&lt;renovation_time,'Main Assumptions'!$E$21/'Main Assumptions'!$E$22,0)</f>
        <v>0</v>
      </c>
      <c r="FK16" s="15">
        <f>-IF(FK$7&lt;renovation_time,'Main Assumptions'!$E$21/'Main Assumptions'!$E$22,0)</f>
        <v>0</v>
      </c>
      <c r="FL16" s="15">
        <f>-IF(FL$7&lt;renovation_time,'Main Assumptions'!$E$21/'Main Assumptions'!$E$22,0)</f>
        <v>0</v>
      </c>
      <c r="FM16" s="15">
        <f>-IF(FM$7&lt;renovation_time,'Main Assumptions'!$E$21/'Main Assumptions'!$E$22,0)</f>
        <v>0</v>
      </c>
      <c r="FN16" s="15">
        <f>-IF(FN$7&lt;renovation_time,'Main Assumptions'!$E$21/'Main Assumptions'!$E$22,0)</f>
        <v>0</v>
      </c>
      <c r="FO16" s="15">
        <f>-IF(FO$7&lt;renovation_time,'Main Assumptions'!$E$21/'Main Assumptions'!$E$22,0)</f>
        <v>0</v>
      </c>
      <c r="FP16" s="15">
        <f>-IF(FP$7&lt;renovation_time,'Main Assumptions'!$E$21/'Main Assumptions'!$E$22,0)</f>
        <v>0</v>
      </c>
      <c r="FQ16" s="15">
        <f>-IF(FQ$7&lt;renovation_time,'Main Assumptions'!$E$21/'Main Assumptions'!$E$22,0)</f>
        <v>0</v>
      </c>
      <c r="FR16" s="15">
        <f>-IF(FR$7&lt;renovation_time,'Main Assumptions'!$E$21/'Main Assumptions'!$E$22,0)</f>
        <v>0</v>
      </c>
      <c r="FS16" s="15">
        <f>-IF(FS$7&lt;renovation_time,'Main Assumptions'!$E$21/'Main Assumptions'!$E$22,0)</f>
        <v>0</v>
      </c>
      <c r="FT16" s="15">
        <f>-IF(FT$7&lt;renovation_time,'Main Assumptions'!$E$21/'Main Assumptions'!$E$22,0)</f>
        <v>0</v>
      </c>
      <c r="FU16" s="15">
        <f>-IF(FU$7&lt;renovation_time,'Main Assumptions'!$E$21/'Main Assumptions'!$E$22,0)</f>
        <v>0</v>
      </c>
      <c r="FV16" s="15">
        <f>-IF(FV$7&lt;renovation_time,'Main Assumptions'!$E$21/'Main Assumptions'!$E$22,0)</f>
        <v>0</v>
      </c>
      <c r="FW16" s="15">
        <f>-IF(FW$7&lt;renovation_time,'Main Assumptions'!$E$21/'Main Assumptions'!$E$22,0)</f>
        <v>0</v>
      </c>
      <c r="FX16" s="15">
        <f>-IF(FX$7&lt;renovation_time,'Main Assumptions'!$E$21/'Main Assumptions'!$E$22,0)</f>
        <v>0</v>
      </c>
      <c r="FY16" s="15">
        <f>-IF(FY$7&lt;renovation_time,'Main Assumptions'!$E$21/'Main Assumptions'!$E$22,0)</f>
        <v>0</v>
      </c>
      <c r="FZ16" s="15">
        <f>-IF(FZ$7&lt;renovation_time,'Main Assumptions'!$E$21/'Main Assumptions'!$E$22,0)</f>
        <v>0</v>
      </c>
      <c r="GA16" s="15">
        <f>-IF(GA$7&lt;renovation_time,'Main Assumptions'!$E$21/'Main Assumptions'!$E$22,0)</f>
        <v>0</v>
      </c>
      <c r="GB16" s="15">
        <f>-IF(GB$7&lt;renovation_time,'Main Assumptions'!$E$21/'Main Assumptions'!$E$22,0)</f>
        <v>0</v>
      </c>
      <c r="GC16" s="15">
        <f>-IF(GC$7&lt;renovation_time,'Main Assumptions'!$E$21/'Main Assumptions'!$E$22,0)</f>
        <v>0</v>
      </c>
      <c r="GD16" s="15">
        <f>-IF(GD$7&lt;renovation_time,'Main Assumptions'!$E$21/'Main Assumptions'!$E$22,0)</f>
        <v>0</v>
      </c>
      <c r="GE16" s="15">
        <f>-IF(GE$7&lt;renovation_time,'Main Assumptions'!$E$21/'Main Assumptions'!$E$22,0)</f>
        <v>0</v>
      </c>
      <c r="GF16" s="15">
        <f>-IF(GF$7&lt;renovation_time,'Main Assumptions'!$E$21/'Main Assumptions'!$E$22,0)</f>
        <v>0</v>
      </c>
      <c r="GG16" s="15">
        <f>-IF(GG$7&lt;renovation_time,'Main Assumptions'!$E$21/'Main Assumptions'!$E$22,0)</f>
        <v>0</v>
      </c>
      <c r="GH16" s="15">
        <f>-IF(GH$7&lt;renovation_time,'Main Assumptions'!$E$21/'Main Assumptions'!$E$22,0)</f>
        <v>0</v>
      </c>
      <c r="GI16" s="15">
        <f>-IF(GI$7&lt;renovation_time,'Main Assumptions'!$E$21/'Main Assumptions'!$E$22,0)</f>
        <v>0</v>
      </c>
      <c r="GJ16" s="15">
        <f>-IF(GJ$7&lt;renovation_time,'Main Assumptions'!$E$21/'Main Assumptions'!$E$22,0)</f>
        <v>0</v>
      </c>
      <c r="GK16" s="15">
        <f>-IF(GK$7&lt;renovation_time,'Main Assumptions'!$E$21/'Main Assumptions'!$E$22,0)</f>
        <v>0</v>
      </c>
      <c r="GL16" s="15">
        <f>-IF(GL$7&lt;renovation_time,'Main Assumptions'!$E$21/'Main Assumptions'!$E$22,0)</f>
        <v>0</v>
      </c>
      <c r="GM16" s="15">
        <f>-IF(GM$7&lt;renovation_time,'Main Assumptions'!$E$21/'Main Assumptions'!$E$22,0)</f>
        <v>0</v>
      </c>
      <c r="GN16" s="15">
        <f>-IF(GN$7&lt;renovation_time,'Main Assumptions'!$E$21/'Main Assumptions'!$E$22,0)</f>
        <v>0</v>
      </c>
      <c r="GO16" s="15">
        <f>-IF(GO$7&lt;renovation_time,'Main Assumptions'!$E$21/'Main Assumptions'!$E$22,0)</f>
        <v>0</v>
      </c>
      <c r="GP16" s="15">
        <f>-IF(GP$7&lt;renovation_time,'Main Assumptions'!$E$21/'Main Assumptions'!$E$22,0)</f>
        <v>0</v>
      </c>
      <c r="GQ16" s="15">
        <f>-IF(GQ$7&lt;renovation_time,'Main Assumptions'!$E$21/'Main Assumptions'!$E$22,0)</f>
        <v>0</v>
      </c>
      <c r="GR16" s="15">
        <f>-IF(GR$7&lt;renovation_time,'Main Assumptions'!$E$21/'Main Assumptions'!$E$22,0)</f>
        <v>0</v>
      </c>
      <c r="GS16" s="15">
        <f>-IF(GS$7&lt;renovation_time,'Main Assumptions'!$E$21/'Main Assumptions'!$E$22,0)</f>
        <v>0</v>
      </c>
      <c r="GT16" s="15">
        <f>-IF(GT$7&lt;renovation_time,'Main Assumptions'!$E$21/'Main Assumptions'!$E$22,0)</f>
        <v>0</v>
      </c>
      <c r="GU16" s="15">
        <f>-IF(GU$7&lt;renovation_time,'Main Assumptions'!$E$21/'Main Assumptions'!$E$22,0)</f>
        <v>0</v>
      </c>
      <c r="GV16" s="15">
        <f>-IF(GV$7&lt;renovation_time,'Main Assumptions'!$E$21/'Main Assumptions'!$E$22,0)</f>
        <v>0</v>
      </c>
      <c r="GW16" s="15">
        <f>-IF(GW$7&lt;renovation_time,'Main Assumptions'!$E$21/'Main Assumptions'!$E$22,0)</f>
        <v>0</v>
      </c>
      <c r="GX16" s="15">
        <f>-IF(GX$7&lt;renovation_time,'Main Assumptions'!$E$21/'Main Assumptions'!$E$22,0)</f>
        <v>0</v>
      </c>
      <c r="GY16" s="15">
        <f>-IF(GY$7&lt;renovation_time,'Main Assumptions'!$E$21/'Main Assumptions'!$E$22,0)</f>
        <v>0</v>
      </c>
      <c r="GZ16" s="15">
        <f>-IF(GZ$7&lt;renovation_time,'Main Assumptions'!$E$21/'Main Assumptions'!$E$22,0)</f>
        <v>0</v>
      </c>
      <c r="HA16" s="15">
        <f>-IF(HA$7&lt;renovation_time,'Main Assumptions'!$E$21/'Main Assumptions'!$E$22,0)</f>
        <v>0</v>
      </c>
      <c r="HB16" s="15">
        <f>-IF(HB$7&lt;renovation_time,'Main Assumptions'!$E$21/'Main Assumptions'!$E$22,0)</f>
        <v>0</v>
      </c>
      <c r="HC16" s="15">
        <f>-IF(HC$7&lt;renovation_time,'Main Assumptions'!$E$21/'Main Assumptions'!$E$22,0)</f>
        <v>0</v>
      </c>
      <c r="HD16" s="15">
        <f>-IF(HD$7&lt;renovation_time,'Main Assumptions'!$E$21/'Main Assumptions'!$E$22,0)</f>
        <v>0</v>
      </c>
      <c r="HE16" s="15">
        <f>-IF(HE$7&lt;renovation_time,'Main Assumptions'!$E$21/'Main Assumptions'!$E$22,0)</f>
        <v>0</v>
      </c>
      <c r="HF16" s="15">
        <f>-IF(HF$7&lt;renovation_time,'Main Assumptions'!$E$21/'Main Assumptions'!$E$22,0)</f>
        <v>0</v>
      </c>
      <c r="HG16" s="15">
        <f>-IF(HG$7&lt;renovation_time,'Main Assumptions'!$E$21/'Main Assumptions'!$E$22,0)</f>
        <v>0</v>
      </c>
      <c r="HH16" s="15">
        <f>-IF(HH$7&lt;renovation_time,'Main Assumptions'!$E$21/'Main Assumptions'!$E$22,0)</f>
        <v>0</v>
      </c>
      <c r="HI16" s="15">
        <f>-IF(HI$7&lt;renovation_time,'Main Assumptions'!$E$21/'Main Assumptions'!$E$22,0)</f>
        <v>0</v>
      </c>
      <c r="HJ16" s="15">
        <f>-IF(HJ$7&lt;renovation_time,'Main Assumptions'!$E$21/'Main Assumptions'!$E$22,0)</f>
        <v>0</v>
      </c>
      <c r="HK16" s="15">
        <f>-IF(HK$7&lt;renovation_time,'Main Assumptions'!$E$21/'Main Assumptions'!$E$22,0)</f>
        <v>0</v>
      </c>
      <c r="HL16" s="15">
        <f>-IF(HL$7&lt;renovation_time,'Main Assumptions'!$E$21/'Main Assumptions'!$E$22,0)</f>
        <v>0</v>
      </c>
      <c r="HM16" s="15">
        <f>-IF(HM$7&lt;renovation_time,'Main Assumptions'!$E$21/'Main Assumptions'!$E$22,0)</f>
        <v>0</v>
      </c>
      <c r="HN16" s="15">
        <f>-IF(HN$7&lt;renovation_time,'Main Assumptions'!$E$21/'Main Assumptions'!$E$22,0)</f>
        <v>0</v>
      </c>
      <c r="HO16" s="15">
        <f>-IF(HO$7&lt;renovation_time,'Main Assumptions'!$E$21/'Main Assumptions'!$E$22,0)</f>
        <v>0</v>
      </c>
      <c r="HP16" s="15">
        <f>-IF(HP$7&lt;renovation_time,'Main Assumptions'!$E$21/'Main Assumptions'!$E$22,0)</f>
        <v>0</v>
      </c>
      <c r="HQ16" s="15">
        <f>-IF(HQ$7&lt;renovation_time,'Main Assumptions'!$E$21/'Main Assumptions'!$E$22,0)</f>
        <v>0</v>
      </c>
      <c r="HR16" s="15">
        <f>-IF(HR$7&lt;renovation_time,'Main Assumptions'!$E$21/'Main Assumptions'!$E$22,0)</f>
        <v>0</v>
      </c>
      <c r="HS16" s="15">
        <f>-IF(HS$7&lt;renovation_time,'Main Assumptions'!$E$21/'Main Assumptions'!$E$22,0)</f>
        <v>0</v>
      </c>
      <c r="HT16" s="15">
        <f>-IF(HT$7&lt;renovation_time,'Main Assumptions'!$E$21/'Main Assumptions'!$E$22,0)</f>
        <v>0</v>
      </c>
      <c r="HU16" s="15">
        <f>-IF(HU$7&lt;renovation_time,'Main Assumptions'!$E$21/'Main Assumptions'!$E$22,0)</f>
        <v>0</v>
      </c>
      <c r="HV16" s="15">
        <f>-IF(HV$7&lt;renovation_time,'Main Assumptions'!$E$21/'Main Assumptions'!$E$22,0)</f>
        <v>0</v>
      </c>
      <c r="HW16" s="15">
        <f>-IF(HW$7&lt;renovation_time,'Main Assumptions'!$E$21/'Main Assumptions'!$E$22,0)</f>
        <v>0</v>
      </c>
      <c r="HX16" s="15">
        <f>-IF(HX$7&lt;renovation_time,'Main Assumptions'!$E$21/'Main Assumptions'!$E$22,0)</f>
        <v>0</v>
      </c>
      <c r="HY16" s="15">
        <f>-IF(HY$7&lt;renovation_time,'Main Assumptions'!$E$21/'Main Assumptions'!$E$22,0)</f>
        <v>0</v>
      </c>
      <c r="HZ16" s="15">
        <f>-IF(HZ$7&lt;renovation_time,'Main Assumptions'!$E$21/'Main Assumptions'!$E$22,0)</f>
        <v>0</v>
      </c>
      <c r="IA16" s="15">
        <f>-IF(IA$7&lt;renovation_time,'Main Assumptions'!$E$21/'Main Assumptions'!$E$22,0)</f>
        <v>0</v>
      </c>
      <c r="IB16" s="15">
        <f>-IF(IB$7&lt;renovation_time,'Main Assumptions'!$E$21/'Main Assumptions'!$E$22,0)</f>
        <v>0</v>
      </c>
      <c r="IC16" s="15">
        <f>-IF(IC$7&lt;renovation_time,'Main Assumptions'!$E$21/'Main Assumptions'!$E$22,0)</f>
        <v>0</v>
      </c>
      <c r="ID16" s="15">
        <f>-IF(ID$7&lt;renovation_time,'Main Assumptions'!$E$21/'Main Assumptions'!$E$22,0)</f>
        <v>0</v>
      </c>
      <c r="IE16" s="15">
        <f>-IF(IE$7&lt;renovation_time,'Main Assumptions'!$E$21/'Main Assumptions'!$E$22,0)</f>
        <v>0</v>
      </c>
      <c r="IF16" s="15">
        <f>-IF(IF$7&lt;renovation_time,'Main Assumptions'!$E$21/'Main Assumptions'!$E$22,0)</f>
        <v>0</v>
      </c>
      <c r="IG16" s="15">
        <f>-IF(IG$7&lt;renovation_time,'Main Assumptions'!$E$21/'Main Assumptions'!$E$22,0)</f>
        <v>0</v>
      </c>
      <c r="IH16" s="15">
        <f>-IF(IH$7&lt;renovation_time,'Main Assumptions'!$E$21/'Main Assumptions'!$E$22,0)</f>
        <v>0</v>
      </c>
      <c r="II16" s="15">
        <f>-IF(II$7&lt;renovation_time,'Main Assumptions'!$E$21/'Main Assumptions'!$E$22,0)</f>
        <v>0</v>
      </c>
      <c r="IJ16" s="15">
        <f>-IF(IJ$7&lt;renovation_time,'Main Assumptions'!$E$21/'Main Assumptions'!$E$22,0)</f>
        <v>0</v>
      </c>
      <c r="IK16" s="15">
        <f>-IF(IK$7&lt;renovation_time,'Main Assumptions'!$E$21/'Main Assumptions'!$E$22,0)</f>
        <v>0</v>
      </c>
      <c r="IL16" s="15">
        <f>-IF(IL$7&lt;renovation_time,'Main Assumptions'!$E$21/'Main Assumptions'!$E$22,0)</f>
        <v>0</v>
      </c>
      <c r="IM16" s="15">
        <f>-IF(IM$7&lt;renovation_time,'Main Assumptions'!$E$21/'Main Assumptions'!$E$22,0)</f>
        <v>0</v>
      </c>
      <c r="IN16" s="15">
        <f>-IF(IN$7&lt;renovation_time,'Main Assumptions'!$E$21/'Main Assumptions'!$E$22,0)</f>
        <v>0</v>
      </c>
      <c r="IO16" s="15">
        <f>-IF(IO$7&lt;renovation_time,'Main Assumptions'!$E$21/'Main Assumptions'!$E$22,0)</f>
        <v>0</v>
      </c>
      <c r="IP16" s="15">
        <f>-IF(IP$7&lt;renovation_time,'Main Assumptions'!$E$21/'Main Assumptions'!$E$22,0)</f>
        <v>0</v>
      </c>
      <c r="IQ16" s="15">
        <f>-IF(IQ$7&lt;renovation_time,'Main Assumptions'!$E$21/'Main Assumptions'!$E$22,0)</f>
        <v>0</v>
      </c>
      <c r="IR16" s="15">
        <f>-IF(IR$7&lt;renovation_time,'Main Assumptions'!$E$21/'Main Assumptions'!$E$22,0)</f>
        <v>0</v>
      </c>
      <c r="IS16" s="15">
        <f>-IF(IS$7&lt;renovation_time,'Main Assumptions'!$E$21/'Main Assumptions'!$E$22,0)</f>
        <v>0</v>
      </c>
      <c r="IT16" s="15">
        <f>-IF(IT$7&lt;renovation_time,'Main Assumptions'!$E$21/'Main Assumptions'!$E$22,0)</f>
        <v>0</v>
      </c>
      <c r="IU16" s="15">
        <f>-IF(IU$7&lt;renovation_time,'Main Assumptions'!$E$21/'Main Assumptions'!$E$22,0)</f>
        <v>0</v>
      </c>
      <c r="IV16" s="15">
        <f>-IF(IV$7&lt;renovation_time,'Main Assumptions'!$E$21/'Main Assumptions'!$E$22,0)</f>
        <v>0</v>
      </c>
      <c r="IW16" s="15">
        <f>-IF(IW$7&lt;renovation_time,'Main Assumptions'!$E$21/'Main Assumptions'!$E$22,0)</f>
        <v>0</v>
      </c>
      <c r="IX16" s="15">
        <f>-IF(IX$7&lt;renovation_time,'Main Assumptions'!$E$21/'Main Assumptions'!$E$22,0)</f>
        <v>0</v>
      </c>
      <c r="IY16" s="15">
        <f>-IF(IY$7&lt;renovation_time,'Main Assumptions'!$E$21/'Main Assumptions'!$E$22,0)</f>
        <v>0</v>
      </c>
      <c r="IZ16" s="15">
        <f>-IF(IZ$7&lt;renovation_time,'Main Assumptions'!$E$21/'Main Assumptions'!$E$22,0)</f>
        <v>0</v>
      </c>
      <c r="JA16" s="15">
        <f>-IF(JA$7&lt;renovation_time,'Main Assumptions'!$E$21/'Main Assumptions'!$E$22,0)</f>
        <v>0</v>
      </c>
      <c r="JB16" s="15">
        <f>-IF(JB$7&lt;renovation_time,'Main Assumptions'!$E$21/'Main Assumptions'!$E$22,0)</f>
        <v>0</v>
      </c>
      <c r="JC16" s="15">
        <f>-IF(JC$7&lt;renovation_time,'Main Assumptions'!$E$21/'Main Assumptions'!$E$22,0)</f>
        <v>0</v>
      </c>
      <c r="JD16" s="15">
        <f>-IF(JD$7&lt;renovation_time,'Main Assumptions'!$E$21/'Main Assumptions'!$E$22,0)</f>
        <v>0</v>
      </c>
      <c r="JE16" s="15">
        <f>-IF(JE$7&lt;renovation_time,'Main Assumptions'!$E$21/'Main Assumptions'!$E$22,0)</f>
        <v>0</v>
      </c>
      <c r="JF16" s="15">
        <f>-IF(JF$7&lt;renovation_time,'Main Assumptions'!$E$21/'Main Assumptions'!$E$22,0)</f>
        <v>0</v>
      </c>
      <c r="JG16" s="15">
        <f>-IF(JG$7&lt;renovation_time,'Main Assumptions'!$E$21/'Main Assumptions'!$E$22,0)</f>
        <v>0</v>
      </c>
      <c r="JH16" s="15">
        <f>-IF(JH$7&lt;renovation_time,'Main Assumptions'!$E$21/'Main Assumptions'!$E$22,0)</f>
        <v>0</v>
      </c>
      <c r="JI16" s="15">
        <f>-IF(JI$7&lt;renovation_time,'Main Assumptions'!$E$21/'Main Assumptions'!$E$22,0)</f>
        <v>0</v>
      </c>
      <c r="JJ16" s="15">
        <f>-IF(JJ$7&lt;renovation_time,'Main Assumptions'!$E$21/'Main Assumptions'!$E$22,0)</f>
        <v>0</v>
      </c>
      <c r="JK16" s="15">
        <f>-IF(JK$7&lt;renovation_time,'Main Assumptions'!$E$21/'Main Assumptions'!$E$22,0)</f>
        <v>0</v>
      </c>
      <c r="JL16" s="15">
        <f>-IF(JL$7&lt;renovation_time,'Main Assumptions'!$E$21/'Main Assumptions'!$E$22,0)</f>
        <v>0</v>
      </c>
      <c r="JM16" s="15">
        <f>-IF(JM$7&lt;renovation_time,'Main Assumptions'!$E$21/'Main Assumptions'!$E$22,0)</f>
        <v>0</v>
      </c>
      <c r="JN16" s="15">
        <f>-IF(JN$7&lt;renovation_time,'Main Assumptions'!$E$21/'Main Assumptions'!$E$22,0)</f>
        <v>0</v>
      </c>
      <c r="JO16" s="15">
        <f>-IF(JO$7&lt;renovation_time,'Main Assumptions'!$E$21/'Main Assumptions'!$E$22,0)</f>
        <v>0</v>
      </c>
      <c r="JP16" s="15">
        <f>-IF(JP$7&lt;renovation_time,'Main Assumptions'!$E$21/'Main Assumptions'!$E$22,0)</f>
        <v>0</v>
      </c>
      <c r="JQ16" s="15">
        <f>-IF(JQ$7&lt;renovation_time,'Main Assumptions'!$E$21/'Main Assumptions'!$E$22,0)</f>
        <v>0</v>
      </c>
      <c r="JR16" s="15">
        <f>-IF(JR$7&lt;renovation_time,'Main Assumptions'!$E$21/'Main Assumptions'!$E$22,0)</f>
        <v>0</v>
      </c>
      <c r="JS16" s="15">
        <f>-IF(JS$7&lt;renovation_time,'Main Assumptions'!$E$21/'Main Assumptions'!$E$22,0)</f>
        <v>0</v>
      </c>
      <c r="JT16" s="15">
        <f>-IF(JT$7&lt;renovation_time,'Main Assumptions'!$E$21/'Main Assumptions'!$E$22,0)</f>
        <v>0</v>
      </c>
      <c r="JU16" s="15">
        <f>-IF(JU$7&lt;renovation_time,'Main Assumptions'!$E$21/'Main Assumptions'!$E$22,0)</f>
        <v>0</v>
      </c>
      <c r="JV16" s="15">
        <f>-IF(JV$7&lt;renovation_time,'Main Assumptions'!$E$21/'Main Assumptions'!$E$22,0)</f>
        <v>0</v>
      </c>
      <c r="JW16" s="15">
        <f>-IF(JW$7&lt;renovation_time,'Main Assumptions'!$E$21/'Main Assumptions'!$E$22,0)</f>
        <v>0</v>
      </c>
      <c r="JX16" s="15">
        <f>-IF(JX$7&lt;renovation_time,'Main Assumptions'!$E$21/'Main Assumptions'!$E$22,0)</f>
        <v>0</v>
      </c>
      <c r="JY16" s="15">
        <f>-IF(JY$7&lt;renovation_time,'Main Assumptions'!$E$21/'Main Assumptions'!$E$22,0)</f>
        <v>0</v>
      </c>
      <c r="JZ16" s="15">
        <f>-IF(JZ$7&lt;renovation_time,'Main Assumptions'!$E$21/'Main Assumptions'!$E$22,0)</f>
        <v>0</v>
      </c>
      <c r="KA16" s="15">
        <f>-IF(KA$7&lt;renovation_time,'Main Assumptions'!$E$21/'Main Assumptions'!$E$22,0)</f>
        <v>0</v>
      </c>
      <c r="KB16" s="15">
        <f>-IF(KB$7&lt;renovation_time,'Main Assumptions'!$E$21/'Main Assumptions'!$E$22,0)</f>
        <v>0</v>
      </c>
      <c r="KC16" s="15">
        <f>-IF(KC$7&lt;renovation_time,'Main Assumptions'!$E$21/'Main Assumptions'!$E$22,0)</f>
        <v>0</v>
      </c>
      <c r="KD16" s="15">
        <f>-IF(KD$7&lt;renovation_time,'Main Assumptions'!$E$21/'Main Assumptions'!$E$22,0)</f>
        <v>0</v>
      </c>
      <c r="KE16" s="15">
        <f>-IF(KE$7&lt;renovation_time,'Main Assumptions'!$E$21/'Main Assumptions'!$E$22,0)</f>
        <v>0</v>
      </c>
      <c r="KF16" s="15">
        <f>-IF(KF$7&lt;renovation_time,'Main Assumptions'!$E$21/'Main Assumptions'!$E$22,0)</f>
        <v>0</v>
      </c>
      <c r="KG16" s="15">
        <f>-IF(KG$7&lt;renovation_time,'Main Assumptions'!$E$21/'Main Assumptions'!$E$22,0)</f>
        <v>0</v>
      </c>
      <c r="KH16" s="15">
        <f>-IF(KH$7&lt;renovation_time,'Main Assumptions'!$E$21/'Main Assumptions'!$E$22,0)</f>
        <v>0</v>
      </c>
      <c r="KI16" s="15">
        <f>-IF(KI$7&lt;renovation_time,'Main Assumptions'!$E$21/'Main Assumptions'!$E$22,0)</f>
        <v>0</v>
      </c>
      <c r="KJ16" s="15">
        <f>-IF(KJ$7&lt;renovation_time,'Main Assumptions'!$E$21/'Main Assumptions'!$E$22,0)</f>
        <v>0</v>
      </c>
      <c r="KK16" s="15">
        <f>-IF(KK$7&lt;renovation_time,'Main Assumptions'!$E$21/'Main Assumptions'!$E$22,0)</f>
        <v>0</v>
      </c>
      <c r="KL16" s="15">
        <f>-IF(KL$7&lt;renovation_time,'Main Assumptions'!$E$21/'Main Assumptions'!$E$22,0)</f>
        <v>0</v>
      </c>
      <c r="KM16" s="15">
        <f>-IF(KM$7&lt;renovation_time,'Main Assumptions'!$E$21/'Main Assumptions'!$E$22,0)</f>
        <v>0</v>
      </c>
      <c r="KN16" s="15">
        <f>-IF(KN$7&lt;renovation_time,'Main Assumptions'!$E$21/'Main Assumptions'!$E$22,0)</f>
        <v>0</v>
      </c>
      <c r="KO16" s="15">
        <f>-IF(KO$7&lt;renovation_time,'Main Assumptions'!$E$21/'Main Assumptions'!$E$22,0)</f>
        <v>0</v>
      </c>
      <c r="KP16" s="15">
        <f>-IF(KP$7&lt;renovation_time,'Main Assumptions'!$E$21/'Main Assumptions'!$E$22,0)</f>
        <v>0</v>
      </c>
      <c r="KQ16" s="15">
        <f>-IF(KQ$7&lt;renovation_time,'Main Assumptions'!$E$21/'Main Assumptions'!$E$22,0)</f>
        <v>0</v>
      </c>
      <c r="KR16" s="15">
        <f>-IF(KR$7&lt;renovation_time,'Main Assumptions'!$E$21/'Main Assumptions'!$E$22,0)</f>
        <v>0</v>
      </c>
      <c r="KS16" s="15">
        <f>-IF(KS$7&lt;renovation_time,'Main Assumptions'!$E$21/'Main Assumptions'!$E$22,0)</f>
        <v>0</v>
      </c>
      <c r="KT16" s="15">
        <f>-IF(KT$7&lt;renovation_time,'Main Assumptions'!$E$21/'Main Assumptions'!$E$22,0)</f>
        <v>0</v>
      </c>
      <c r="KU16" s="15">
        <f>-IF(KU$7&lt;renovation_time,'Main Assumptions'!$E$21/'Main Assumptions'!$E$22,0)</f>
        <v>0</v>
      </c>
      <c r="KV16" s="15">
        <f>-IF(KV$7&lt;renovation_time,'Main Assumptions'!$E$21/'Main Assumptions'!$E$22,0)</f>
        <v>0</v>
      </c>
      <c r="KW16" s="15">
        <f>-IF(KW$7&lt;renovation_time,'Main Assumptions'!$E$21/'Main Assumptions'!$E$22,0)</f>
        <v>0</v>
      </c>
      <c r="KX16" s="15">
        <f>-IF(KX$7&lt;renovation_time,'Main Assumptions'!$E$21/'Main Assumptions'!$E$22,0)</f>
        <v>0</v>
      </c>
      <c r="KY16" s="15">
        <f>-IF(KY$7&lt;renovation_time,'Main Assumptions'!$E$21/'Main Assumptions'!$E$22,0)</f>
        <v>0</v>
      </c>
      <c r="KZ16" s="15">
        <f>-IF(KZ$7&lt;renovation_time,'Main Assumptions'!$E$21/'Main Assumptions'!$E$22,0)</f>
        <v>0</v>
      </c>
      <c r="LA16" s="15">
        <f>-IF(LA$7&lt;renovation_time,'Main Assumptions'!$E$21/'Main Assumptions'!$E$22,0)</f>
        <v>0</v>
      </c>
      <c r="LB16" s="15">
        <f>-IF(LB$7&lt;renovation_time,'Main Assumptions'!$E$21/'Main Assumptions'!$E$22,0)</f>
        <v>0</v>
      </c>
      <c r="LC16" s="15">
        <f>-IF(LC$7&lt;renovation_time,'Main Assumptions'!$E$21/'Main Assumptions'!$E$22,0)</f>
        <v>0</v>
      </c>
      <c r="LD16" s="15">
        <f>-IF(LD$7&lt;renovation_time,'Main Assumptions'!$E$21/'Main Assumptions'!$E$22,0)</f>
        <v>0</v>
      </c>
      <c r="LE16" s="15">
        <f>-IF(LE$7&lt;renovation_time,'Main Assumptions'!$E$21/'Main Assumptions'!$E$22,0)</f>
        <v>0</v>
      </c>
      <c r="LF16" s="15">
        <f>-IF(LF$7&lt;renovation_time,'Main Assumptions'!$E$21/'Main Assumptions'!$E$22,0)</f>
        <v>0</v>
      </c>
      <c r="LG16" s="15">
        <f>-IF(LG$7&lt;renovation_time,'Main Assumptions'!$E$21/'Main Assumptions'!$E$22,0)</f>
        <v>0</v>
      </c>
      <c r="LH16" s="15">
        <f>-IF(LH$7&lt;renovation_time,'Main Assumptions'!$E$21/'Main Assumptions'!$E$22,0)</f>
        <v>0</v>
      </c>
      <c r="LI16" s="15">
        <f>-IF(LI$7&lt;renovation_time,'Main Assumptions'!$E$21/'Main Assumptions'!$E$22,0)</f>
        <v>0</v>
      </c>
      <c r="LJ16" s="15">
        <f>-IF(LJ$7&lt;renovation_time,'Main Assumptions'!$E$21/'Main Assumptions'!$E$22,0)</f>
        <v>0</v>
      </c>
      <c r="LK16" s="15">
        <f>-IF(LK$7&lt;renovation_time,'Main Assumptions'!$E$21/'Main Assumptions'!$E$22,0)</f>
        <v>0</v>
      </c>
      <c r="LL16" s="15">
        <f>-IF(LL$7&lt;renovation_time,'Main Assumptions'!$E$21/'Main Assumptions'!$E$22,0)</f>
        <v>0</v>
      </c>
      <c r="LM16" s="15">
        <f>-IF(LM$7&lt;renovation_time,'Main Assumptions'!$E$21/'Main Assumptions'!$E$22,0)</f>
        <v>0</v>
      </c>
      <c r="LN16" s="15">
        <f>-IF(LN$7&lt;renovation_time,'Main Assumptions'!$E$21/'Main Assumptions'!$E$22,0)</f>
        <v>0</v>
      </c>
      <c r="LO16" s="15">
        <f>-IF(LO$7&lt;renovation_time,'Main Assumptions'!$E$21/'Main Assumptions'!$E$22,0)</f>
        <v>0</v>
      </c>
      <c r="LP16" s="15">
        <f>-IF(LP$7&lt;renovation_time,'Main Assumptions'!$E$21/'Main Assumptions'!$E$22,0)</f>
        <v>0</v>
      </c>
      <c r="LQ16" s="15">
        <f>-IF(LQ$7&lt;renovation_time,'Main Assumptions'!$E$21/'Main Assumptions'!$E$22,0)</f>
        <v>0</v>
      </c>
      <c r="LR16" s="15">
        <f>-IF(LR$7&lt;renovation_time,'Main Assumptions'!$E$21/'Main Assumptions'!$E$22,0)</f>
        <v>0</v>
      </c>
      <c r="LS16" s="15">
        <f>-IF(LS$7&lt;renovation_time,'Main Assumptions'!$E$21/'Main Assumptions'!$E$22,0)</f>
        <v>0</v>
      </c>
      <c r="LT16" s="15">
        <f>-IF(LT$7&lt;renovation_time,'Main Assumptions'!$E$21/'Main Assumptions'!$E$22,0)</f>
        <v>0</v>
      </c>
      <c r="LU16" s="15">
        <f>-IF(LU$7&lt;renovation_time,'Main Assumptions'!$E$21/'Main Assumptions'!$E$22,0)</f>
        <v>0</v>
      </c>
      <c r="LV16" s="15">
        <f>-IF(LV$7&lt;renovation_time,'Main Assumptions'!$E$21/'Main Assumptions'!$E$22,0)</f>
        <v>0</v>
      </c>
      <c r="LW16" s="15">
        <f>-IF(LW$7&lt;renovation_time,'Main Assumptions'!$E$21/'Main Assumptions'!$E$22,0)</f>
        <v>0</v>
      </c>
      <c r="LX16" s="15">
        <f>-IF(LX$7&lt;renovation_time,'Main Assumptions'!$E$21/'Main Assumptions'!$E$22,0)</f>
        <v>0</v>
      </c>
      <c r="LY16" s="15">
        <f>-IF(LY$7&lt;renovation_time,'Main Assumptions'!$E$21/'Main Assumptions'!$E$22,0)</f>
        <v>0</v>
      </c>
      <c r="LZ16" s="15">
        <f>-IF(LZ$7&lt;renovation_time,'Main Assumptions'!$E$21/'Main Assumptions'!$E$22,0)</f>
        <v>0</v>
      </c>
      <c r="MA16" s="15">
        <f>-IF(MA$7&lt;renovation_time,'Main Assumptions'!$E$21/'Main Assumptions'!$E$22,0)</f>
        <v>0</v>
      </c>
      <c r="MB16" s="15">
        <f>-IF(MB$7&lt;renovation_time,'Main Assumptions'!$E$21/'Main Assumptions'!$E$22,0)</f>
        <v>0</v>
      </c>
      <c r="MC16" s="15">
        <f>-IF(MC$7&lt;renovation_time,'Main Assumptions'!$E$21/'Main Assumptions'!$E$22,0)</f>
        <v>0</v>
      </c>
      <c r="MD16" s="15">
        <f>-IF(MD$7&lt;renovation_time,'Main Assumptions'!$E$21/'Main Assumptions'!$E$22,0)</f>
        <v>0</v>
      </c>
      <c r="ME16" s="15">
        <f>-IF(ME$7&lt;renovation_time,'Main Assumptions'!$E$21/'Main Assumptions'!$E$22,0)</f>
        <v>0</v>
      </c>
      <c r="MF16" s="15">
        <f>-IF(MF$7&lt;renovation_time,'Main Assumptions'!$E$21/'Main Assumptions'!$E$22,0)</f>
        <v>0</v>
      </c>
      <c r="MG16" s="15">
        <f>-IF(MG$7&lt;renovation_time,'Main Assumptions'!$E$21/'Main Assumptions'!$E$22,0)</f>
        <v>0</v>
      </c>
      <c r="MH16" s="15">
        <f>-IF(MH$7&lt;renovation_time,'Main Assumptions'!$E$21/'Main Assumptions'!$E$22,0)</f>
        <v>0</v>
      </c>
      <c r="MI16" s="15">
        <f>-IF(MI$7&lt;renovation_time,'Main Assumptions'!$E$21/'Main Assumptions'!$E$22,0)</f>
        <v>0</v>
      </c>
      <c r="MJ16" s="15">
        <f>-IF(MJ$7&lt;renovation_time,'Main Assumptions'!$E$21/'Main Assumptions'!$E$22,0)</f>
        <v>0</v>
      </c>
      <c r="MK16" s="15">
        <f>-IF(MK$7&lt;renovation_time,'Main Assumptions'!$E$21/'Main Assumptions'!$E$22,0)</f>
        <v>0</v>
      </c>
      <c r="ML16" s="15">
        <f>-IF(ML$7&lt;renovation_time,'Main Assumptions'!$E$21/'Main Assumptions'!$E$22,0)</f>
        <v>0</v>
      </c>
      <c r="MM16" s="15">
        <f>-IF(MM$7&lt;renovation_time,'Main Assumptions'!$E$21/'Main Assumptions'!$E$22,0)</f>
        <v>0</v>
      </c>
      <c r="MN16" s="15">
        <f>-IF(MN$7&lt;renovation_time,'Main Assumptions'!$E$21/'Main Assumptions'!$E$22,0)</f>
        <v>0</v>
      </c>
      <c r="MO16" s="15">
        <f>-IF(MO$7&lt;renovation_time,'Main Assumptions'!$E$21/'Main Assumptions'!$E$22,0)</f>
        <v>0</v>
      </c>
      <c r="MP16" s="15">
        <f>-IF(MP$7&lt;renovation_time,'Main Assumptions'!$E$21/'Main Assumptions'!$E$22,0)</f>
        <v>0</v>
      </c>
      <c r="MQ16" s="15">
        <f>-IF(MQ$7&lt;renovation_time,'Main Assumptions'!$E$21/'Main Assumptions'!$E$22,0)</f>
        <v>0</v>
      </c>
      <c r="MR16" s="15">
        <f>-IF(MR$7&lt;renovation_time,'Main Assumptions'!$E$21/'Main Assumptions'!$E$22,0)</f>
        <v>0</v>
      </c>
      <c r="MS16" s="15">
        <f>-IF(MS$7&lt;renovation_time,'Main Assumptions'!$E$21/'Main Assumptions'!$E$22,0)</f>
        <v>0</v>
      </c>
      <c r="MT16" s="15">
        <f>-IF(MT$7&lt;renovation_time,'Main Assumptions'!$E$21/'Main Assumptions'!$E$22,0)</f>
        <v>0</v>
      </c>
      <c r="MU16" s="15">
        <f>-IF(MU$7&lt;renovation_time,'Main Assumptions'!$E$21/'Main Assumptions'!$E$22,0)</f>
        <v>0</v>
      </c>
      <c r="MV16" s="15">
        <f>-IF(MV$7&lt;renovation_time,'Main Assumptions'!$E$21/'Main Assumptions'!$E$22,0)</f>
        <v>0</v>
      </c>
      <c r="MW16" s="15">
        <f>-IF(MW$7&lt;renovation_time,'Main Assumptions'!$E$21/'Main Assumptions'!$E$22,0)</f>
        <v>0</v>
      </c>
      <c r="MX16" s="15">
        <f>-IF(MX$7&lt;renovation_time,'Main Assumptions'!$E$21/'Main Assumptions'!$E$22,0)</f>
        <v>0</v>
      </c>
      <c r="MY16" s="15">
        <f>-IF(MY$7&lt;renovation_time,'Main Assumptions'!$E$21/'Main Assumptions'!$E$22,0)</f>
        <v>0</v>
      </c>
      <c r="MZ16" s="15">
        <f>-IF(MZ$7&lt;renovation_time,'Main Assumptions'!$E$21/'Main Assumptions'!$E$22,0)</f>
        <v>0</v>
      </c>
      <c r="NA16" s="15">
        <f>-IF(NA$7&lt;renovation_time,'Main Assumptions'!$E$21/'Main Assumptions'!$E$22,0)</f>
        <v>0</v>
      </c>
      <c r="NB16" s="15">
        <f>-IF(NB$7&lt;renovation_time,'Main Assumptions'!$E$21/'Main Assumptions'!$E$22,0)</f>
        <v>0</v>
      </c>
    </row>
    <row r="17" spans="2:366" x14ac:dyDescent="0.15">
      <c r="B17" t="s">
        <v>104</v>
      </c>
      <c r="F17" s="20">
        <f>SUM(F14:F16)</f>
        <v>-6357733.333333333</v>
      </c>
      <c r="G17" s="20">
        <f t="shared" ref="G17:BR17" si="260">SUM(G14:G16)</f>
        <v>-133333.33333333334</v>
      </c>
      <c r="H17" s="20">
        <f t="shared" si="260"/>
        <v>-133333.33333333334</v>
      </c>
      <c r="I17" s="20">
        <f t="shared" si="260"/>
        <v>0</v>
      </c>
      <c r="J17" s="20">
        <f t="shared" si="260"/>
        <v>0</v>
      </c>
      <c r="K17" s="20">
        <f t="shared" si="260"/>
        <v>0</v>
      </c>
      <c r="L17" s="20">
        <f t="shared" si="260"/>
        <v>0</v>
      </c>
      <c r="M17" s="20">
        <f t="shared" si="260"/>
        <v>0</v>
      </c>
      <c r="N17" s="20">
        <f t="shared" si="260"/>
        <v>0</v>
      </c>
      <c r="O17" s="20">
        <f t="shared" si="260"/>
        <v>0</v>
      </c>
      <c r="P17" s="20">
        <f t="shared" si="260"/>
        <v>0</v>
      </c>
      <c r="Q17" s="20">
        <f t="shared" si="260"/>
        <v>0</v>
      </c>
      <c r="R17" s="20">
        <f t="shared" si="260"/>
        <v>0</v>
      </c>
      <c r="S17" s="20">
        <f t="shared" si="260"/>
        <v>0</v>
      </c>
      <c r="T17" s="20">
        <f t="shared" si="260"/>
        <v>0</v>
      </c>
      <c r="U17" s="20">
        <f t="shared" si="260"/>
        <v>0</v>
      </c>
      <c r="V17" s="20">
        <f t="shared" si="260"/>
        <v>0</v>
      </c>
      <c r="W17" s="20">
        <f t="shared" si="260"/>
        <v>0</v>
      </c>
      <c r="X17" s="20">
        <f t="shared" si="260"/>
        <v>0</v>
      </c>
      <c r="Y17" s="20">
        <f t="shared" si="260"/>
        <v>0</v>
      </c>
      <c r="Z17" s="20">
        <f t="shared" si="260"/>
        <v>0</v>
      </c>
      <c r="AA17" s="20">
        <f t="shared" si="260"/>
        <v>0</v>
      </c>
      <c r="AB17" s="20">
        <f t="shared" si="260"/>
        <v>0</v>
      </c>
      <c r="AC17" s="20">
        <f t="shared" si="260"/>
        <v>0</v>
      </c>
      <c r="AD17" s="20">
        <f t="shared" si="260"/>
        <v>0</v>
      </c>
      <c r="AE17" s="20">
        <f t="shared" si="260"/>
        <v>0</v>
      </c>
      <c r="AF17" s="20">
        <f t="shared" si="260"/>
        <v>0</v>
      </c>
      <c r="AG17" s="20">
        <f t="shared" si="260"/>
        <v>0</v>
      </c>
      <c r="AH17" s="20">
        <f t="shared" si="260"/>
        <v>0</v>
      </c>
      <c r="AI17" s="20">
        <f t="shared" si="260"/>
        <v>0</v>
      </c>
      <c r="AJ17" s="20">
        <f t="shared" si="260"/>
        <v>0</v>
      </c>
      <c r="AK17" s="20">
        <f t="shared" si="260"/>
        <v>0</v>
      </c>
      <c r="AL17" s="20">
        <f t="shared" si="260"/>
        <v>0</v>
      </c>
      <c r="AM17" s="20">
        <f t="shared" si="260"/>
        <v>0</v>
      </c>
      <c r="AN17" s="20">
        <f t="shared" si="260"/>
        <v>0</v>
      </c>
      <c r="AO17" s="20">
        <f t="shared" si="260"/>
        <v>0</v>
      </c>
      <c r="AP17" s="20">
        <f t="shared" si="260"/>
        <v>0</v>
      </c>
      <c r="AQ17" s="20">
        <f t="shared" si="260"/>
        <v>0</v>
      </c>
      <c r="AR17" s="20">
        <f t="shared" si="260"/>
        <v>0</v>
      </c>
      <c r="AS17" s="20">
        <f t="shared" si="260"/>
        <v>0</v>
      </c>
      <c r="AT17" s="20">
        <f t="shared" si="260"/>
        <v>0</v>
      </c>
      <c r="AU17" s="20">
        <f t="shared" si="260"/>
        <v>0</v>
      </c>
      <c r="AV17" s="20">
        <f t="shared" si="260"/>
        <v>0</v>
      </c>
      <c r="AW17" s="20">
        <f t="shared" si="260"/>
        <v>0</v>
      </c>
      <c r="AX17" s="20">
        <f t="shared" si="260"/>
        <v>0</v>
      </c>
      <c r="AY17" s="20">
        <f t="shared" si="260"/>
        <v>0</v>
      </c>
      <c r="AZ17" s="20">
        <f t="shared" si="260"/>
        <v>0</v>
      </c>
      <c r="BA17" s="20">
        <f t="shared" si="260"/>
        <v>0</v>
      </c>
      <c r="BB17" s="20">
        <f t="shared" si="260"/>
        <v>0</v>
      </c>
      <c r="BC17" s="20">
        <f t="shared" si="260"/>
        <v>0</v>
      </c>
      <c r="BD17" s="20">
        <f t="shared" si="260"/>
        <v>0</v>
      </c>
      <c r="BE17" s="20">
        <f t="shared" si="260"/>
        <v>0</v>
      </c>
      <c r="BF17" s="20">
        <f t="shared" si="260"/>
        <v>0</v>
      </c>
      <c r="BG17" s="20">
        <f t="shared" si="260"/>
        <v>0</v>
      </c>
      <c r="BH17" s="20">
        <f t="shared" si="260"/>
        <v>0</v>
      </c>
      <c r="BI17" s="20">
        <f t="shared" si="260"/>
        <v>0</v>
      </c>
      <c r="BJ17" s="20">
        <f t="shared" si="260"/>
        <v>0</v>
      </c>
      <c r="BK17" s="20">
        <f t="shared" si="260"/>
        <v>0</v>
      </c>
      <c r="BL17" s="20">
        <f t="shared" si="260"/>
        <v>0</v>
      </c>
      <c r="BM17" s="20">
        <f t="shared" si="260"/>
        <v>0</v>
      </c>
      <c r="BN17" s="20">
        <f t="shared" si="260"/>
        <v>0</v>
      </c>
      <c r="BO17" s="20">
        <f t="shared" si="260"/>
        <v>0</v>
      </c>
      <c r="BP17" s="20">
        <f t="shared" si="260"/>
        <v>0</v>
      </c>
      <c r="BQ17" s="20">
        <f t="shared" si="260"/>
        <v>0</v>
      </c>
      <c r="BR17" s="20">
        <f t="shared" si="260"/>
        <v>0</v>
      </c>
      <c r="BS17" s="20">
        <f t="shared" ref="BS17:CK17" si="261">SUM(BS14:BS16)</f>
        <v>0</v>
      </c>
      <c r="BT17" s="20">
        <f t="shared" si="261"/>
        <v>0</v>
      </c>
      <c r="BU17" s="20">
        <f t="shared" si="261"/>
        <v>0</v>
      </c>
      <c r="BV17" s="20">
        <f t="shared" si="261"/>
        <v>0</v>
      </c>
      <c r="BW17" s="20">
        <f t="shared" si="261"/>
        <v>0</v>
      </c>
      <c r="BX17" s="20">
        <f t="shared" si="261"/>
        <v>0</v>
      </c>
      <c r="BY17" s="20">
        <f t="shared" si="261"/>
        <v>0</v>
      </c>
      <c r="BZ17" s="20">
        <f t="shared" si="261"/>
        <v>0</v>
      </c>
      <c r="CA17" s="20">
        <f t="shared" si="261"/>
        <v>0</v>
      </c>
      <c r="CB17" s="20">
        <f t="shared" si="261"/>
        <v>0</v>
      </c>
      <c r="CC17" s="20">
        <f t="shared" si="261"/>
        <v>0</v>
      </c>
      <c r="CD17" s="20">
        <f t="shared" si="261"/>
        <v>0</v>
      </c>
      <c r="CE17" s="20">
        <f t="shared" si="261"/>
        <v>0</v>
      </c>
      <c r="CF17" s="20">
        <f t="shared" si="261"/>
        <v>0</v>
      </c>
      <c r="CG17" s="20">
        <f t="shared" si="261"/>
        <v>0</v>
      </c>
      <c r="CH17" s="20">
        <f t="shared" si="261"/>
        <v>0</v>
      </c>
      <c r="CI17" s="20">
        <f t="shared" si="261"/>
        <v>0</v>
      </c>
      <c r="CJ17" s="20">
        <f t="shared" si="261"/>
        <v>0</v>
      </c>
      <c r="CK17" s="20">
        <f t="shared" si="261"/>
        <v>0</v>
      </c>
      <c r="CL17" s="20"/>
      <c r="CM17" s="7"/>
      <c r="CN17" s="7"/>
      <c r="CO17" s="7"/>
      <c r="CP17" s="20"/>
      <c r="CQ17" s="7"/>
      <c r="CR17" s="7"/>
      <c r="CS17" s="7"/>
      <c r="CT17" s="20"/>
      <c r="CU17" s="7"/>
      <c r="CV17" s="7"/>
      <c r="CW17" s="7"/>
      <c r="CX17" s="7"/>
      <c r="CY17" s="7"/>
      <c r="CZ17" s="7"/>
      <c r="DA17" s="7"/>
      <c r="DB17" s="7"/>
      <c r="DC17" s="7"/>
      <c r="DD17" s="7"/>
      <c r="DE17" s="7"/>
      <c r="DF17" s="7"/>
      <c r="DG17" s="7"/>
      <c r="DH17" s="7"/>
      <c r="DI17" s="7"/>
      <c r="DJ17" s="7"/>
      <c r="DK17" s="7"/>
      <c r="DL17" s="7"/>
      <c r="DM17" s="7"/>
      <c r="DN17" s="7"/>
      <c r="DO17" s="7"/>
      <c r="DP17" s="7"/>
      <c r="DQ17" s="7"/>
      <c r="DR17" s="7"/>
      <c r="DS17" s="7"/>
      <c r="DT17" s="7"/>
      <c r="DU17" s="7"/>
      <c r="DV17" s="7"/>
      <c r="DW17" s="7"/>
      <c r="DX17" s="7"/>
      <c r="DY17" s="7"/>
      <c r="DZ17" s="7"/>
      <c r="EA17" s="7"/>
      <c r="EB17" s="7"/>
      <c r="EC17" s="7"/>
      <c r="ED17" s="7"/>
      <c r="EE17" s="7"/>
      <c r="EF17" s="7"/>
      <c r="EG17" s="7"/>
      <c r="EH17" s="7"/>
      <c r="EI17" s="7"/>
      <c r="EJ17" s="7"/>
      <c r="EK17" s="7"/>
      <c r="EL17" s="7"/>
      <c r="EM17" s="7"/>
      <c r="EN17" s="7"/>
      <c r="EO17" s="7"/>
      <c r="EP17" s="7"/>
      <c r="EQ17" s="7"/>
      <c r="ER17" s="7"/>
      <c r="ES17" s="7"/>
      <c r="ET17" s="7"/>
      <c r="EU17" s="7"/>
      <c r="EV17" s="7"/>
      <c r="EW17" s="7"/>
      <c r="EX17" s="7"/>
      <c r="EY17" s="7"/>
      <c r="EZ17" s="7"/>
      <c r="FA17" s="7"/>
      <c r="FB17" s="7"/>
      <c r="FC17" s="7"/>
      <c r="FD17" s="7"/>
      <c r="FE17" s="7"/>
      <c r="FF17" s="7"/>
      <c r="FG17" s="7"/>
      <c r="FH17" s="7"/>
      <c r="FI17" s="7"/>
      <c r="FJ17" s="7"/>
      <c r="FK17" s="7"/>
      <c r="FL17" s="7"/>
      <c r="FM17" s="7"/>
      <c r="FN17" s="7"/>
      <c r="FO17" s="7"/>
      <c r="FP17" s="7"/>
      <c r="FQ17" s="7"/>
      <c r="FR17" s="7"/>
      <c r="FS17" s="7"/>
      <c r="FT17" s="7"/>
      <c r="FU17" s="7"/>
      <c r="FV17" s="7"/>
      <c r="FW17" s="7"/>
      <c r="FX17" s="7"/>
      <c r="FY17" s="7"/>
      <c r="FZ17" s="7"/>
      <c r="GA17" s="7"/>
      <c r="GB17" s="7"/>
      <c r="GC17" s="7"/>
      <c r="GD17" s="7"/>
      <c r="GE17" s="7"/>
      <c r="GF17" s="7"/>
      <c r="GG17" s="7"/>
      <c r="GH17" s="7"/>
      <c r="GI17" s="7"/>
      <c r="GJ17" s="7"/>
      <c r="GK17" s="7"/>
      <c r="GL17" s="7"/>
      <c r="GM17" s="7"/>
      <c r="GN17" s="7"/>
      <c r="GO17" s="7"/>
      <c r="GP17" s="7"/>
      <c r="GQ17" s="7"/>
      <c r="GR17" s="7"/>
      <c r="GS17" s="7"/>
      <c r="GT17" s="7"/>
      <c r="GU17" s="7"/>
      <c r="GV17" s="7"/>
      <c r="GW17" s="7"/>
      <c r="GX17" s="7"/>
      <c r="GY17" s="7"/>
      <c r="GZ17" s="7"/>
      <c r="HA17" s="7"/>
      <c r="HB17" s="7"/>
      <c r="HC17" s="7"/>
      <c r="HD17" s="7"/>
      <c r="HE17" s="7"/>
      <c r="HF17" s="7"/>
      <c r="HG17" s="7"/>
      <c r="HH17" s="7"/>
      <c r="HI17" s="7"/>
      <c r="HJ17" s="7"/>
      <c r="HK17" s="7"/>
      <c r="HL17" s="7"/>
      <c r="HM17" s="7"/>
      <c r="HN17" s="7"/>
      <c r="HO17" s="7"/>
      <c r="HP17" s="7"/>
      <c r="HQ17" s="7"/>
      <c r="HR17" s="7"/>
      <c r="HS17" s="7"/>
      <c r="HT17" s="7"/>
      <c r="HU17" s="7"/>
      <c r="HV17" s="7"/>
      <c r="HW17" s="7"/>
      <c r="HX17" s="7"/>
      <c r="HY17" s="7"/>
      <c r="HZ17" s="7"/>
      <c r="IA17" s="7"/>
      <c r="IB17" s="7"/>
      <c r="IC17" s="7"/>
      <c r="ID17" s="7"/>
      <c r="IE17" s="7"/>
      <c r="IF17" s="7"/>
      <c r="IG17" s="7"/>
      <c r="IH17" s="7"/>
      <c r="II17" s="7"/>
      <c r="IJ17" s="7"/>
      <c r="IK17" s="7"/>
      <c r="IL17" s="7"/>
    </row>
    <row r="18" spans="2:366" x14ac:dyDescent="0.15">
      <c r="F18" s="7"/>
      <c r="G18" s="7"/>
      <c r="H18" s="7"/>
      <c r="I18" s="7"/>
      <c r="J18" s="7"/>
      <c r="K18" s="7"/>
      <c r="L18" s="7"/>
      <c r="M18" s="7"/>
      <c r="N18" s="7"/>
      <c r="O18" s="7"/>
      <c r="P18" s="7"/>
      <c r="Q18" s="7"/>
      <c r="R18" s="7"/>
      <c r="S18" s="7"/>
      <c r="T18" s="7"/>
      <c r="U18" s="7"/>
      <c r="V18" s="7"/>
      <c r="W18" s="7"/>
      <c r="X18" s="7"/>
      <c r="Y18" s="7"/>
      <c r="Z18" s="7"/>
      <c r="AA18" s="7"/>
      <c r="AB18" s="7"/>
      <c r="AC18" s="7"/>
      <c r="AD18" s="7"/>
      <c r="AE18" s="7"/>
      <c r="AF18" s="7"/>
      <c r="AG18" s="7"/>
      <c r="AH18" s="7"/>
      <c r="AI18" s="7"/>
      <c r="AJ18" s="7"/>
      <c r="AK18" s="7"/>
      <c r="AL18" s="7"/>
      <c r="AM18" s="7"/>
      <c r="AN18" s="7"/>
      <c r="AO18" s="7"/>
      <c r="AP18" s="7"/>
      <c r="AQ18" s="7"/>
      <c r="AR18" s="7"/>
      <c r="AS18" s="7"/>
      <c r="AT18" s="7"/>
      <c r="AU18" s="7"/>
      <c r="AV18" s="7"/>
      <c r="AW18" s="7"/>
      <c r="AX18" s="7"/>
      <c r="AY18" s="7"/>
      <c r="AZ18" s="7"/>
      <c r="BA18" s="7"/>
      <c r="BB18" s="7"/>
      <c r="BC18" s="7"/>
      <c r="BD18" s="7"/>
      <c r="BE18" s="7"/>
      <c r="BF18" s="7"/>
      <c r="BG18" s="7"/>
      <c r="BH18" s="7"/>
      <c r="BI18" s="7"/>
      <c r="BJ18" s="7"/>
      <c r="BK18" s="7"/>
      <c r="BL18" s="7"/>
      <c r="BM18" s="7"/>
      <c r="BN18" s="7"/>
      <c r="BO18" s="7"/>
      <c r="BP18" s="7"/>
      <c r="BQ18" s="7"/>
      <c r="BR18" s="7"/>
      <c r="BS18" s="7"/>
      <c r="BT18" s="7"/>
      <c r="BU18" s="7"/>
      <c r="BV18" s="7"/>
      <c r="BW18" s="7"/>
      <c r="BX18" s="7"/>
      <c r="BY18" s="7"/>
      <c r="BZ18" s="7"/>
      <c r="CA18" s="7"/>
      <c r="CB18" s="7"/>
      <c r="CC18" s="7"/>
      <c r="CD18" s="7"/>
      <c r="CE18" s="7"/>
      <c r="CF18" s="7"/>
      <c r="CG18" s="7"/>
      <c r="CH18" s="7"/>
      <c r="CI18" s="7"/>
      <c r="CJ18" s="7"/>
      <c r="CK18" s="7"/>
      <c r="CL18" s="7"/>
      <c r="CM18" s="7"/>
      <c r="CN18" s="7"/>
      <c r="CO18" s="7"/>
      <c r="CP18" s="7"/>
      <c r="CQ18" s="7"/>
      <c r="CR18" s="7"/>
      <c r="CS18" s="7"/>
      <c r="CT18" s="7"/>
      <c r="CU18" s="7"/>
      <c r="CV18" s="7"/>
      <c r="CW18" s="7"/>
      <c r="CX18" s="7"/>
      <c r="CY18" s="7"/>
      <c r="CZ18" s="7"/>
      <c r="DA18" s="7"/>
      <c r="DB18" s="7"/>
      <c r="DC18" s="7"/>
      <c r="DD18" s="7"/>
      <c r="DE18" s="7"/>
      <c r="DF18" s="7"/>
      <c r="DG18" s="7"/>
      <c r="DH18" s="7"/>
      <c r="DI18" s="7"/>
      <c r="DJ18" s="7"/>
      <c r="DK18" s="7"/>
      <c r="DL18" s="7"/>
      <c r="DM18" s="7"/>
      <c r="DN18" s="7"/>
      <c r="DO18" s="7"/>
      <c r="DP18" s="7"/>
      <c r="DQ18" s="7"/>
      <c r="DR18" s="7"/>
      <c r="DS18" s="7"/>
      <c r="DT18" s="7"/>
      <c r="DU18" s="7"/>
      <c r="DV18" s="7"/>
      <c r="DW18" s="7"/>
      <c r="DX18" s="7"/>
      <c r="DY18" s="7"/>
      <c r="DZ18" s="7"/>
      <c r="EA18" s="7"/>
      <c r="EB18" s="7"/>
      <c r="EC18" s="7"/>
      <c r="ED18" s="7"/>
      <c r="EE18" s="7"/>
      <c r="EF18" s="7"/>
      <c r="EG18" s="7"/>
      <c r="EH18" s="7"/>
      <c r="EI18" s="7"/>
      <c r="EJ18" s="7"/>
      <c r="EK18" s="7"/>
      <c r="EL18" s="7"/>
      <c r="EM18" s="7"/>
      <c r="EN18" s="7"/>
      <c r="EO18" s="7"/>
      <c r="EP18" s="7"/>
      <c r="EQ18" s="7"/>
      <c r="ER18" s="7"/>
      <c r="ES18" s="7"/>
      <c r="ET18" s="7"/>
      <c r="EU18" s="7"/>
      <c r="EV18" s="7"/>
      <c r="EW18" s="7"/>
      <c r="EX18" s="7"/>
      <c r="EY18" s="7"/>
      <c r="EZ18" s="7"/>
      <c r="FA18" s="7"/>
      <c r="FB18" s="7"/>
      <c r="FC18" s="7"/>
      <c r="FD18" s="7"/>
      <c r="FE18" s="7"/>
      <c r="FF18" s="7"/>
      <c r="FG18" s="7"/>
      <c r="FH18" s="7"/>
      <c r="FI18" s="7"/>
      <c r="FJ18" s="7"/>
      <c r="FK18" s="7"/>
      <c r="FL18" s="7"/>
      <c r="FM18" s="7"/>
      <c r="FN18" s="7"/>
      <c r="FO18" s="7"/>
      <c r="FP18" s="7"/>
      <c r="FQ18" s="7"/>
      <c r="FR18" s="7"/>
      <c r="FS18" s="7"/>
      <c r="FT18" s="7"/>
      <c r="FU18" s="7"/>
      <c r="FV18" s="7"/>
      <c r="FW18" s="7"/>
      <c r="FX18" s="7"/>
      <c r="FY18" s="7"/>
      <c r="FZ18" s="7"/>
      <c r="GA18" s="7"/>
      <c r="GB18" s="7"/>
      <c r="GC18" s="7"/>
      <c r="GD18" s="7"/>
      <c r="GE18" s="7"/>
      <c r="GF18" s="7"/>
      <c r="GG18" s="7"/>
      <c r="GH18" s="7"/>
      <c r="GI18" s="7"/>
      <c r="GJ18" s="7"/>
      <c r="GK18" s="7"/>
      <c r="GL18" s="7"/>
      <c r="GM18" s="7"/>
      <c r="GN18" s="7"/>
      <c r="GO18" s="7"/>
      <c r="GP18" s="7"/>
      <c r="GQ18" s="7"/>
      <c r="GR18" s="7"/>
      <c r="GS18" s="7"/>
      <c r="GT18" s="7"/>
      <c r="GU18" s="7"/>
      <c r="GV18" s="7"/>
      <c r="GW18" s="7"/>
      <c r="GX18" s="7"/>
      <c r="GY18" s="7"/>
      <c r="GZ18" s="7"/>
      <c r="HA18" s="7"/>
      <c r="HB18" s="7"/>
      <c r="HC18" s="7"/>
      <c r="HD18" s="7"/>
      <c r="HE18" s="7"/>
      <c r="HF18" s="7"/>
      <c r="HG18" s="7"/>
      <c r="HH18" s="7"/>
      <c r="HI18" s="7"/>
      <c r="HJ18" s="7"/>
      <c r="HK18" s="7"/>
      <c r="HL18" s="7"/>
      <c r="HM18" s="7"/>
      <c r="HN18" s="7"/>
      <c r="HO18" s="7"/>
      <c r="HP18" s="7"/>
      <c r="HQ18" s="7"/>
      <c r="HR18" s="7"/>
      <c r="HS18" s="7"/>
      <c r="HT18" s="7"/>
      <c r="HU18" s="7"/>
      <c r="HV18" s="7"/>
      <c r="HW18" s="7"/>
      <c r="HX18" s="7"/>
      <c r="HY18" s="7"/>
      <c r="HZ18" s="7"/>
      <c r="IA18" s="7"/>
      <c r="IB18" s="7"/>
      <c r="IC18" s="7"/>
      <c r="ID18" s="7"/>
      <c r="IE18" s="7"/>
      <c r="IF18" s="7"/>
      <c r="IG18" s="7"/>
      <c r="IH18" s="7"/>
      <c r="II18" s="7"/>
      <c r="IJ18" s="7"/>
      <c r="IK18" s="7"/>
      <c r="IL18" s="7"/>
    </row>
    <row r="19" spans="2:366" x14ac:dyDescent="0.15">
      <c r="B19" s="4" t="s">
        <v>213</v>
      </c>
      <c r="C19" s="4"/>
      <c r="CL19" s="38"/>
      <c r="CM19" s="38"/>
      <c r="CN19" s="38"/>
      <c r="CO19" s="38"/>
      <c r="CP19" s="38"/>
      <c r="CQ19" s="38"/>
      <c r="CR19" s="38"/>
      <c r="CS19" s="38"/>
      <c r="CT19" s="38"/>
      <c r="CU19" s="38"/>
      <c r="CV19" s="38"/>
      <c r="CW19" s="38"/>
      <c r="CX19" s="38"/>
      <c r="CY19" s="38"/>
      <c r="CZ19" s="38"/>
      <c r="DA19" s="38"/>
      <c r="DB19" s="38"/>
      <c r="DC19" s="38"/>
      <c r="DD19" s="38"/>
      <c r="DE19" s="38"/>
      <c r="DF19" s="38"/>
      <c r="DG19" s="38"/>
      <c r="DH19" s="38"/>
      <c r="DI19" s="38"/>
      <c r="DJ19" s="38"/>
      <c r="DK19" s="38"/>
      <c r="DL19" s="38"/>
      <c r="DM19" s="38"/>
      <c r="DN19" s="38"/>
      <c r="DO19" s="38"/>
      <c r="DP19" s="38"/>
      <c r="DQ19" s="38"/>
      <c r="DR19" s="38"/>
      <c r="DS19" s="38"/>
      <c r="DT19" s="38"/>
      <c r="DU19" s="38"/>
      <c r="DV19" s="38"/>
      <c r="DW19" s="38"/>
      <c r="DX19" s="38"/>
      <c r="DY19" s="38"/>
      <c r="DZ19" s="38"/>
      <c r="EA19" s="38"/>
      <c r="EB19" s="38"/>
      <c r="EC19" s="38"/>
      <c r="ED19" s="38"/>
      <c r="EE19" s="38"/>
      <c r="EF19" s="38"/>
      <c r="EG19" s="38"/>
      <c r="EH19" s="38"/>
      <c r="EI19" s="38"/>
      <c r="EJ19" s="38"/>
      <c r="EK19" s="38"/>
      <c r="EL19" s="38"/>
      <c r="EM19" s="38"/>
      <c r="EN19" s="38"/>
      <c r="EO19" s="38"/>
      <c r="EP19" s="38"/>
      <c r="EQ19" s="38"/>
      <c r="ER19" s="38"/>
      <c r="ES19" s="38"/>
      <c r="ET19" s="38"/>
      <c r="EU19" s="38"/>
      <c r="EV19" s="38"/>
      <c r="EW19" s="38"/>
      <c r="EX19" s="38"/>
      <c r="EY19" s="38"/>
      <c r="EZ19" s="38"/>
      <c r="FA19" s="38"/>
      <c r="FB19" s="38"/>
      <c r="FC19" s="38"/>
      <c r="FD19" s="38"/>
      <c r="FE19" s="38"/>
      <c r="FF19" s="38"/>
      <c r="FG19" s="38"/>
      <c r="FH19" s="38"/>
      <c r="FI19" s="38"/>
      <c r="FJ19" s="38"/>
      <c r="FK19" s="38"/>
      <c r="FL19" s="38"/>
      <c r="FM19" s="38"/>
      <c r="FN19" s="38"/>
      <c r="FO19" s="38"/>
      <c r="FP19" s="38"/>
      <c r="FQ19" s="38"/>
      <c r="FR19" s="38"/>
      <c r="FS19" s="38"/>
      <c r="FT19" s="38"/>
      <c r="FU19" s="38"/>
      <c r="FV19" s="38"/>
      <c r="FW19" s="38"/>
      <c r="FX19" s="38"/>
      <c r="FY19" s="38"/>
      <c r="FZ19" s="38"/>
      <c r="GA19" s="38"/>
      <c r="GB19" s="38"/>
      <c r="GC19" s="38"/>
      <c r="GD19" s="38"/>
      <c r="GE19" s="38"/>
      <c r="GF19" s="38"/>
      <c r="GG19" s="38"/>
      <c r="GH19" s="38"/>
      <c r="GI19" s="38"/>
      <c r="GJ19" s="38"/>
      <c r="GK19" s="38"/>
      <c r="GL19" s="38"/>
      <c r="GM19" s="38"/>
      <c r="GN19" s="38"/>
      <c r="GO19" s="38"/>
      <c r="GP19" s="38"/>
      <c r="GQ19" s="38"/>
      <c r="GR19" s="38"/>
      <c r="GS19" s="38"/>
      <c r="GT19" s="38"/>
      <c r="GU19" s="38"/>
      <c r="GV19" s="38"/>
      <c r="GW19" s="38"/>
      <c r="GX19" s="38"/>
      <c r="GY19" s="38"/>
      <c r="GZ19" s="38"/>
      <c r="HA19" s="38"/>
      <c r="HB19" s="38"/>
      <c r="HC19" s="38"/>
      <c r="HD19" s="38"/>
      <c r="HE19" s="38"/>
      <c r="HF19" s="38"/>
      <c r="HG19" s="38"/>
      <c r="HH19" s="38"/>
      <c r="HI19" s="38"/>
      <c r="HJ19" s="38"/>
      <c r="HK19" s="38"/>
      <c r="HL19" s="38"/>
      <c r="HM19" s="38"/>
      <c r="HN19" s="38"/>
      <c r="HO19" s="38"/>
      <c r="HP19" s="38"/>
      <c r="HQ19" s="38"/>
      <c r="HR19" s="38"/>
      <c r="HS19" s="38"/>
      <c r="HT19" s="38"/>
      <c r="HU19" s="38"/>
      <c r="HV19" s="38"/>
      <c r="HW19" s="38"/>
      <c r="HX19" s="38"/>
      <c r="HY19" s="38"/>
      <c r="HZ19" s="38"/>
      <c r="IA19" s="38"/>
      <c r="IB19" s="38"/>
      <c r="IC19" s="38"/>
      <c r="ID19" s="38"/>
      <c r="IE19" s="38"/>
      <c r="IF19" s="38"/>
      <c r="IG19" s="38"/>
      <c r="IH19" s="38"/>
      <c r="II19" s="38"/>
      <c r="IJ19" s="38"/>
      <c r="IK19" s="38"/>
      <c r="IL19" s="38"/>
    </row>
    <row r="20" spans="2:366" x14ac:dyDescent="0.15">
      <c r="B20" s="39" t="s">
        <v>342</v>
      </c>
      <c r="C20" s="263">
        <f>rental_growth_rate</f>
        <v>0.03</v>
      </c>
      <c r="D20" s="19"/>
      <c r="E20" s="19"/>
      <c r="F20" s="38">
        <v>0</v>
      </c>
      <c r="G20" s="38">
        <v>0</v>
      </c>
      <c r="H20" s="38">
        <f>IF(H$7=" ",0,IF(MOD(H$7,12)=1,'Deal Summary'!$P$50,0))</f>
        <v>0</v>
      </c>
      <c r="I20" s="38">
        <f>IF(I$7=" ",0,IF(MOD(I$7,12)=1,'Deal Summary'!$P$50,0))</f>
        <v>0</v>
      </c>
      <c r="J20" s="38">
        <f>IF(J$7=" ",0,IF(MOD(J$7,12)=1,'Deal Summary'!$P$50,0))</f>
        <v>0</v>
      </c>
      <c r="K20" s="38">
        <f>IF(K$7=" ",0,IF(MOD(K$7,12)=1,'Deal Summary'!$P$50,0))</f>
        <v>0</v>
      </c>
      <c r="L20" s="38">
        <f>IF(L$7=" ",0,IF(MOD(L$7,12)=1,'Deal Summary'!$P$50,0))</f>
        <v>0</v>
      </c>
      <c r="M20" s="38">
        <f>IF(M$7=" ",0,IF(MOD(M$7,12)=1,'Deal Summary'!$P$50,0))</f>
        <v>0</v>
      </c>
      <c r="N20" s="38">
        <f>IF(N$7=" ",0,IF(MOD(N$7,12)=1,'Deal Summary'!$P$50,0))</f>
        <v>0</v>
      </c>
      <c r="O20" s="38">
        <f>IF(O$7=" ",0,IF(MOD(O$7,12)=1,'Deal Summary'!$P$50,0))</f>
        <v>0</v>
      </c>
      <c r="P20" s="38">
        <f>IF(P$7=" ",0,IF(MOD(P$7,12)=1,'Deal Summary'!$P$50,0))</f>
        <v>0</v>
      </c>
      <c r="Q20" s="38">
        <f>IF(Q$7=" ",0,IF(MOD(Q$7,12)=1,'Deal Summary'!$P$50,0))</f>
        <v>0</v>
      </c>
      <c r="R20" s="38">
        <f>IF(R$7=" ",0,IF(MOD(R$7,12)=1,'Deal Summary'!$P$50,0))</f>
        <v>0</v>
      </c>
      <c r="S20" s="38">
        <f>IF(S$7=" ",0,IF(MOD(S$7,12)=1,'Deal Summary'!$P$50,0))</f>
        <v>0.03</v>
      </c>
      <c r="T20" s="38">
        <f>IF(T$7=" ",0,IF(MOD(T$7,12)=1,'Deal Summary'!$P$50,0))</f>
        <v>0</v>
      </c>
      <c r="U20" s="38">
        <f>IF(U$7=" ",0,IF(MOD(U$7,12)=1,'Deal Summary'!$P$50,0))</f>
        <v>0</v>
      </c>
      <c r="V20" s="38">
        <f>IF(V$7=" ",0,IF(MOD(V$7,12)=1,'Deal Summary'!$P$50,0))</f>
        <v>0</v>
      </c>
      <c r="W20" s="38">
        <f>IF(W$7=" ",0,IF(MOD(W$7,12)=1,'Deal Summary'!$P$50,0))</f>
        <v>0</v>
      </c>
      <c r="X20" s="38">
        <f>IF(X$7=" ",0,IF(MOD(X$7,12)=1,'Deal Summary'!$P$50,0))</f>
        <v>0</v>
      </c>
      <c r="Y20" s="38">
        <f>IF(Y$7=" ",0,IF(MOD(Y$7,12)=1,'Deal Summary'!$P$50,0))</f>
        <v>0</v>
      </c>
      <c r="Z20" s="38">
        <f>IF(Z$7=" ",0,IF(MOD(Z$7,12)=1,'Deal Summary'!$P$50,0))</f>
        <v>0</v>
      </c>
      <c r="AA20" s="38">
        <f>IF(AA$7=" ",0,IF(MOD(AA$7,12)=1,'Deal Summary'!$P$50,0))</f>
        <v>0</v>
      </c>
      <c r="AB20" s="38">
        <f>IF(AB$7=" ",0,IF(MOD(AB$7,12)=1,'Deal Summary'!$P$50,0))</f>
        <v>0</v>
      </c>
      <c r="AC20" s="38">
        <f>IF(AC$7=" ",0,IF(MOD(AC$7,12)=1,'Deal Summary'!$P$50,0))</f>
        <v>0</v>
      </c>
      <c r="AD20" s="38">
        <f>IF(AD$7=" ",0,IF(MOD(AD$7,12)=1,'Deal Summary'!$P$50,0))</f>
        <v>0</v>
      </c>
      <c r="AE20" s="38">
        <f>IF(AE$7=" ",0,IF(MOD(AE$7,12)=1,'Deal Summary'!$P$50,0))</f>
        <v>0.03</v>
      </c>
      <c r="AF20" s="38">
        <f>IF(AF$7=" ",0,IF(MOD(AF$7,12)=1,'Deal Summary'!$P$50,0))</f>
        <v>0</v>
      </c>
      <c r="AG20" s="38">
        <f>IF(AG$7=" ",0,IF(MOD(AG$7,12)=1,'Deal Summary'!$P$50,0))</f>
        <v>0</v>
      </c>
      <c r="AH20" s="38">
        <f>IF(AH$7=" ",0,IF(MOD(AH$7,12)=1,'Deal Summary'!$P$50,0))</f>
        <v>0</v>
      </c>
      <c r="AI20" s="38">
        <f>IF(AI$7=" ",0,IF(MOD(AI$7,12)=1,'Deal Summary'!$P$50,0))</f>
        <v>0</v>
      </c>
      <c r="AJ20" s="38">
        <f>IF(AJ$7=" ",0,IF(MOD(AJ$7,12)=1,'Deal Summary'!$P$50,0))</f>
        <v>0</v>
      </c>
      <c r="AK20" s="38">
        <f>IF(AK$7=" ",0,IF(MOD(AK$7,12)=1,'Deal Summary'!$P$50,0))</f>
        <v>0</v>
      </c>
      <c r="AL20" s="38">
        <f>IF(AL$7=" ",0,IF(MOD(AL$7,12)=1,'Deal Summary'!$P$50,0))</f>
        <v>0</v>
      </c>
      <c r="AM20" s="38">
        <f>IF(AM$7=" ",0,IF(MOD(AM$7,12)=1,'Deal Summary'!$P$50,0))</f>
        <v>0</v>
      </c>
      <c r="AN20" s="38">
        <f>IF(AN$7=" ",0,IF(MOD(AN$7,12)=1,'Deal Summary'!$P$50,0))</f>
        <v>0</v>
      </c>
      <c r="AO20" s="38">
        <f>IF(AO$7=" ",0,IF(MOD(AO$7,12)=1,'Deal Summary'!$P$50,0))</f>
        <v>0</v>
      </c>
      <c r="AP20" s="38">
        <f>IF(AP$7=" ",0,IF(MOD(AP$7,12)=1,'Deal Summary'!$P$50,0))</f>
        <v>0</v>
      </c>
      <c r="AQ20" s="38">
        <f>IF(AQ$7=" ",0,IF(MOD(AQ$7,12)=1,'Deal Summary'!$P$50,0))</f>
        <v>0.03</v>
      </c>
      <c r="AR20" s="38">
        <f>IF(AR$7=" ",0,IF(MOD(AR$7,12)=1,'Deal Summary'!$P$50,0))</f>
        <v>0</v>
      </c>
      <c r="AS20" s="38">
        <f>IF(AS$7=" ",0,IF(MOD(AS$7,12)=1,'Deal Summary'!$P$50,0))</f>
        <v>0</v>
      </c>
      <c r="AT20" s="38">
        <f>IF(AT$7=" ",0,IF(MOD(AT$7,12)=1,'Deal Summary'!$P$50,0))</f>
        <v>0</v>
      </c>
      <c r="AU20" s="38">
        <f>IF(AU$7=" ",0,IF(MOD(AU$7,12)=1,'Deal Summary'!$P$50,0))</f>
        <v>0</v>
      </c>
      <c r="AV20" s="38">
        <f>IF(AV$7=" ",0,IF(MOD(AV$7,12)=1,'Deal Summary'!$P$50,0))</f>
        <v>0</v>
      </c>
      <c r="AW20" s="38">
        <f>IF(AW$7=" ",0,IF(MOD(AW$7,12)=1,'Deal Summary'!$P$50,0))</f>
        <v>0</v>
      </c>
      <c r="AX20" s="38">
        <f>IF(AX$7=" ",0,IF(MOD(AX$7,12)=1,'Deal Summary'!$P$50,0))</f>
        <v>0</v>
      </c>
      <c r="AY20" s="38">
        <f>IF(AY$7=" ",0,IF(MOD(AY$7,12)=1,'Deal Summary'!$P$50,0))</f>
        <v>0</v>
      </c>
      <c r="AZ20" s="38">
        <f>IF(AZ$7=" ",0,IF(MOD(AZ$7,12)=1,'Deal Summary'!$P$50,0))</f>
        <v>0</v>
      </c>
      <c r="BA20" s="38">
        <f>IF(BA$7=" ",0,IF(MOD(BA$7,12)=1,'Deal Summary'!$P$50,0))</f>
        <v>0</v>
      </c>
      <c r="BB20" s="38">
        <f>IF(BB$7=" ",0,IF(MOD(BB$7,12)=1,'Deal Summary'!$P$50,0))</f>
        <v>0</v>
      </c>
      <c r="BC20" s="38">
        <f>IF(BC$7=" ",0,IF(MOD(BC$7,12)=1,'Deal Summary'!$P$50,0))</f>
        <v>0.03</v>
      </c>
      <c r="BD20" s="38">
        <f>IF(BD$7=" ",0,IF(MOD(BD$7,12)=1,'Deal Summary'!$P$50,0))</f>
        <v>0</v>
      </c>
      <c r="BE20" s="38">
        <f>IF(BE$7=" ",0,IF(MOD(BE$7,12)=1,'Deal Summary'!$P$50,0))</f>
        <v>0</v>
      </c>
      <c r="BF20" s="38">
        <f>IF(BF$7=" ",0,IF(MOD(BF$7,12)=1,'Deal Summary'!$P$50,0))</f>
        <v>0</v>
      </c>
      <c r="BG20" s="38">
        <f>IF(BG$7=" ",0,IF(MOD(BG$7,12)=1,'Deal Summary'!$P$50,0))</f>
        <v>0</v>
      </c>
      <c r="BH20" s="38">
        <f>IF(BH$7=" ",0,IF(MOD(BH$7,12)=1,'Deal Summary'!$P$50,0))</f>
        <v>0</v>
      </c>
      <c r="BI20" s="38">
        <f>IF(BI$7=" ",0,IF(MOD(BI$7,12)=1,'Deal Summary'!$P$50,0))</f>
        <v>0</v>
      </c>
      <c r="BJ20" s="38">
        <f>IF(BJ$7=" ",0,IF(MOD(BJ$7,12)=1,'Deal Summary'!$P$50,0))</f>
        <v>0</v>
      </c>
      <c r="BK20" s="38">
        <f>IF(BK$7=" ",0,IF(MOD(BK$7,12)=1,'Deal Summary'!$P$50,0))</f>
        <v>0</v>
      </c>
      <c r="BL20" s="38">
        <f>IF(BL$7=" ",0,IF(MOD(BL$7,12)=1,'Deal Summary'!$P$50,0))</f>
        <v>0</v>
      </c>
      <c r="BM20" s="38">
        <f>IF(BM$7=" ",0,IF(MOD(BM$7,12)=1,'Deal Summary'!$P$50,0))</f>
        <v>0</v>
      </c>
      <c r="BN20" s="38">
        <f>IF(BN$7=" ",0,IF(MOD(BN$7,12)=1,'Deal Summary'!$P$50,0))</f>
        <v>0</v>
      </c>
      <c r="BO20" s="38">
        <f>IF(BO$7=" ",0,IF(MOD(BO$7,12)=1,'Deal Summary'!$P$50,0))</f>
        <v>0.03</v>
      </c>
      <c r="BP20" s="38">
        <f>IF(BP$7=" ",0,IF(MOD(BP$7,12)=1,'Deal Summary'!$P$50,0))</f>
        <v>0</v>
      </c>
      <c r="BQ20" s="38">
        <f>IF(BQ$7=" ",0,IF(MOD(BQ$7,12)=1,'Deal Summary'!$P$50,0))</f>
        <v>0</v>
      </c>
      <c r="BR20" s="38">
        <f>IF(BR$7=" ",0,IF(MOD(BR$7,12)=1,'Deal Summary'!$P$50,0))</f>
        <v>0</v>
      </c>
      <c r="BS20" s="38">
        <f>IF(BS$7=" ",0,IF(MOD(BS$7,12)=1,'Deal Summary'!$P$50,0))</f>
        <v>0</v>
      </c>
      <c r="BT20" s="38">
        <f>IF(BT$7=" ",0,IF(MOD(BT$7,12)=1,'Deal Summary'!$P$50,0))</f>
        <v>0</v>
      </c>
      <c r="BU20" s="38">
        <f>IF(BU$7=" ",0,IF(MOD(BU$7,12)=1,'Deal Summary'!$P$50,0))</f>
        <v>0</v>
      </c>
      <c r="BV20" s="38">
        <f>IF(BV$7=" ",0,IF(MOD(BV$7,12)=1,'Deal Summary'!$P$50,0))</f>
        <v>0</v>
      </c>
      <c r="BW20" s="38">
        <f>IF(BW$7=" ",0,IF(MOD(BW$7,12)=1,'Deal Summary'!$P$50,0))</f>
        <v>0</v>
      </c>
      <c r="BX20" s="38">
        <f>IF(BX$7=" ",0,IF(MOD(BX$7,12)=1,'Deal Summary'!$P$50,0))</f>
        <v>0</v>
      </c>
      <c r="BY20" s="38">
        <f>IF(BY$7=" ",0,IF(MOD(BY$7,12)=1,'Deal Summary'!$P$50,0))</f>
        <v>0</v>
      </c>
      <c r="BZ20" s="38">
        <f>IF(BZ$7=" ",0,IF(MOD(BZ$7,12)=1,'Deal Summary'!$P$50,0))</f>
        <v>0</v>
      </c>
      <c r="CA20" s="38">
        <f>IF(CA$7=" ",0,IF(MOD(CA$7,12)=1,'Deal Summary'!$P$50,0))</f>
        <v>0.03</v>
      </c>
      <c r="CB20" s="38">
        <f>IF(CB$7=" ",0,IF(MOD(CB$7,12)=1,'Deal Summary'!$P$50,0))</f>
        <v>0</v>
      </c>
      <c r="CC20" s="38">
        <f>IF(CC$7=" ",0,IF(MOD(CC$7,12)=1,'Deal Summary'!$P$50,0))</f>
        <v>0</v>
      </c>
      <c r="CD20" s="38">
        <f>IF(CD$7=" ",0,IF(MOD(CD$7,12)=1,'Deal Summary'!$P$50,0))</f>
        <v>0</v>
      </c>
      <c r="CE20" s="38">
        <f>IF(CE$7=" ",0,IF(MOD(CE$7,12)=1,'Deal Summary'!$P$50,0))</f>
        <v>0</v>
      </c>
      <c r="CF20" s="38">
        <f>IF(CF$7=" ",0,IF(MOD(CF$7,12)=1,'Deal Summary'!$P$50,0))</f>
        <v>0</v>
      </c>
      <c r="CG20" s="38">
        <f>IF(CG$7=" ",0,IF(MOD(CG$7,12)=1,'Deal Summary'!$P$50,0))</f>
        <v>0</v>
      </c>
      <c r="CH20" s="38">
        <f>IF(CH$7=" ",0,IF(MOD(CH$7,12)=1,'Deal Summary'!$P$50,0))</f>
        <v>0</v>
      </c>
      <c r="CI20" s="38">
        <f>IF(CI$7=" ",0,IF(MOD(CI$7,12)=1,'Deal Summary'!$P$50,0))</f>
        <v>0</v>
      </c>
      <c r="CJ20" s="38">
        <f>IF(CJ$7=" ",0,IF(MOD(CJ$7,12)=1,'Deal Summary'!$P$50,0))</f>
        <v>0</v>
      </c>
      <c r="CK20" s="38">
        <f>IF(CK$7=" ",0,IF(MOD(CK$7,12)=1,'Deal Summary'!$P$50,0))</f>
        <v>0</v>
      </c>
      <c r="CL20" s="38">
        <f>IF(CL$7=" ",0,IF(MOD(CL$7,12)=1,'Deal Summary'!$P$50,0))</f>
        <v>0</v>
      </c>
      <c r="CM20" s="38">
        <f>IF(CM$7=" ",0,IF(MOD(CM$7,12)=1,'Deal Summary'!$P$50,0))</f>
        <v>0.03</v>
      </c>
      <c r="CN20" s="38">
        <f>IF(CN$7=" ",0,IF(MOD(CN$7,12)=1,'Deal Summary'!$P$50,0))</f>
        <v>0</v>
      </c>
      <c r="CO20" s="38">
        <f>IF(CO$7=" ",0,IF(MOD(CO$7,12)=1,'Deal Summary'!$P$50,0))</f>
        <v>0</v>
      </c>
      <c r="CP20" s="38">
        <f>IF(CP$7=" ",0,IF(MOD(CP$7,12)=1,'Deal Summary'!$P$50,0))</f>
        <v>0</v>
      </c>
      <c r="CQ20" s="38">
        <f>IF(CQ$7=" ",0,IF(MOD(CQ$7,12)=1,'Deal Summary'!$P$50,0))</f>
        <v>0</v>
      </c>
      <c r="CR20" s="38">
        <f>IF(CR$7=" ",0,IF(MOD(CR$7,12)=1,'Deal Summary'!$P$50,0))</f>
        <v>0</v>
      </c>
      <c r="CS20" s="38">
        <f>IF(CS$7=" ",0,IF(MOD(CS$7,12)=1,'Deal Summary'!$P$50,0))</f>
        <v>0</v>
      </c>
      <c r="CT20" s="38">
        <f>IF(CT$7=" ",0,IF(MOD(CT$7,12)=1,'Deal Summary'!$P$50,0))</f>
        <v>0</v>
      </c>
      <c r="CU20" s="38">
        <f>IF(CU$7=" ",0,IF(MOD(CU$7,12)=1,'Deal Summary'!$P$50,0))</f>
        <v>0</v>
      </c>
      <c r="CV20" s="38">
        <f>IF(CV$7=" ",0,IF(MOD(CV$7,12)=1,'Deal Summary'!$P$50,0))</f>
        <v>0</v>
      </c>
      <c r="CW20" s="38">
        <f>IF(CW$7=" ",0,IF(MOD(CW$7,12)=1,'Deal Summary'!$P$50,0))</f>
        <v>0</v>
      </c>
      <c r="CX20" s="38">
        <f>IF(CX$7=" ",0,IF(MOD(CX$7,12)=1,'Deal Summary'!$P$50,0))</f>
        <v>0</v>
      </c>
      <c r="CY20" s="38">
        <f>IF(CY$7=" ",0,IF(MOD(CY$7,12)=1,'Deal Summary'!$P$50,0))</f>
        <v>0.03</v>
      </c>
      <c r="CZ20" s="38">
        <f>IF(CZ$7=" ",0,IF(MOD(CZ$7,12)=1,'Deal Summary'!$P$50,0))</f>
        <v>0</v>
      </c>
      <c r="DA20" s="38">
        <f>IF(DA$7=" ",0,IF(MOD(DA$7,12)=1,'Deal Summary'!$P$50,0))</f>
        <v>0</v>
      </c>
      <c r="DB20" s="38">
        <f>IF(DB$7=" ",0,IF(MOD(DB$7,12)=1,'Deal Summary'!$P$50,0))</f>
        <v>0</v>
      </c>
      <c r="DC20" s="38">
        <f>IF(DC$7=" ",0,IF(MOD(DC$7,12)=1,'Deal Summary'!$P$50,0))</f>
        <v>0</v>
      </c>
      <c r="DD20" s="38">
        <f>IF(DD$7=" ",0,IF(MOD(DD$7,12)=1,'Deal Summary'!$P$50,0))</f>
        <v>0</v>
      </c>
      <c r="DE20" s="38">
        <f>IF(DE$7=" ",0,IF(MOD(DE$7,12)=1,'Deal Summary'!$P$50,0))</f>
        <v>0</v>
      </c>
      <c r="DF20" s="38">
        <f>IF(DF$7=" ",0,IF(MOD(DF$7,12)=1,'Deal Summary'!$P$50,0))</f>
        <v>0</v>
      </c>
      <c r="DG20" s="38">
        <f>IF(DG$7=" ",0,IF(MOD(DG$7,12)=1,'Deal Summary'!$P$50,0))</f>
        <v>0</v>
      </c>
      <c r="DH20" s="38">
        <f>IF(DH$7=" ",0,IF(MOD(DH$7,12)=1,'Deal Summary'!$P$50,0))</f>
        <v>0</v>
      </c>
      <c r="DI20" s="38">
        <f>IF(DI$7=" ",0,IF(MOD(DI$7,12)=1,'Deal Summary'!$P$50,0))</f>
        <v>0</v>
      </c>
      <c r="DJ20" s="38">
        <f>IF(DJ$7=" ",0,IF(MOD(DJ$7,12)=1,'Deal Summary'!$P$50,0))</f>
        <v>0</v>
      </c>
      <c r="DK20" s="38">
        <f>IF(DK$7=" ",0,IF(MOD(DK$7,12)=1,'Deal Summary'!$P$50,0))</f>
        <v>0.03</v>
      </c>
      <c r="DL20" s="38">
        <f>IF(DL$7=" ",0,IF(MOD(DL$7,12)=1,'Deal Summary'!$P$50,0))</f>
        <v>0</v>
      </c>
      <c r="DM20" s="38">
        <f>IF(DM$7=" ",0,IF(MOD(DM$7,12)=1,'Deal Summary'!$P$50,0))</f>
        <v>0</v>
      </c>
      <c r="DN20" s="38">
        <f>IF(DN$7=" ",0,IF(MOD(DN$7,12)=1,'Deal Summary'!$P$50,0))</f>
        <v>0</v>
      </c>
      <c r="DO20" s="38">
        <f>IF(DO$7=" ",0,IF(MOD(DO$7,12)=1,'Deal Summary'!$P$50,0))</f>
        <v>0</v>
      </c>
      <c r="DP20" s="38">
        <f>IF(DP$7=" ",0,IF(MOD(DP$7,12)=1,'Deal Summary'!$P$50,0))</f>
        <v>0</v>
      </c>
      <c r="DQ20" s="38">
        <f>IF(DQ$7=" ",0,IF(MOD(DQ$7,12)=1,'Deal Summary'!$P$50,0))</f>
        <v>0</v>
      </c>
      <c r="DR20" s="38">
        <f>IF(DR$7=" ",0,IF(MOD(DR$7,12)=1,'Deal Summary'!$P$50,0))</f>
        <v>0</v>
      </c>
      <c r="DS20" s="38">
        <f>IF(DS$7=" ",0,IF(MOD(DS$7,12)=1,'Deal Summary'!$P$50,0))</f>
        <v>0</v>
      </c>
      <c r="DT20" s="38">
        <f>IF(DT$7=" ",0,IF(MOD(DT$7,12)=1,'Deal Summary'!$P$50,0))</f>
        <v>0</v>
      </c>
      <c r="DU20" s="38">
        <f>IF(DU$7=" ",0,IF(MOD(DU$7,12)=1,'Deal Summary'!$P$50,0))</f>
        <v>0</v>
      </c>
      <c r="DV20" s="38">
        <f>IF(DV$7=" ",0,IF(MOD(DV$7,12)=1,'Deal Summary'!$P$50,0))</f>
        <v>0</v>
      </c>
      <c r="DW20" s="38">
        <f>IF(DW$7=" ",0,IF(MOD(DW$7,12)=1,'Deal Summary'!$P$50,0))</f>
        <v>0.03</v>
      </c>
      <c r="DX20" s="38">
        <f>IF(DX$7=" ",0,IF(MOD(DX$7,12)=1,'Deal Summary'!$P$50,0))</f>
        <v>0</v>
      </c>
      <c r="DY20" s="38">
        <f>IF(DY$7=" ",0,IF(MOD(DY$7,12)=1,'Deal Summary'!$P$50,0))</f>
        <v>0</v>
      </c>
      <c r="DZ20" s="38">
        <f>IF(DZ$7=" ",0,IF(MOD(DZ$7,12)=1,'Deal Summary'!$P$50,0))</f>
        <v>0</v>
      </c>
      <c r="EA20" s="38">
        <f>IF(EA$7=" ",0,IF(MOD(EA$7,12)=1,'Deal Summary'!$P$50,0))</f>
        <v>0</v>
      </c>
      <c r="EB20" s="38">
        <f>IF(EB$7=" ",0,IF(MOD(EB$7,12)=1,'Deal Summary'!$P$50,0))</f>
        <v>0</v>
      </c>
      <c r="EC20" s="38">
        <f>IF(EC$7=" ",0,IF(MOD(EC$7,12)=1,'Deal Summary'!$P$50,0))</f>
        <v>0</v>
      </c>
      <c r="ED20" s="38">
        <f>IF(ED$7=" ",0,IF(MOD(ED$7,12)=1,'Deal Summary'!$P$50,0))</f>
        <v>0</v>
      </c>
      <c r="EE20" s="38">
        <f>IF(EE$7=" ",0,IF(MOD(EE$7,12)=1,'Deal Summary'!$P$50,0))</f>
        <v>0</v>
      </c>
      <c r="EF20" s="38">
        <f>IF(EF$7=" ",0,IF(MOD(EF$7,12)=1,'Deal Summary'!$P$50,0))</f>
        <v>0</v>
      </c>
      <c r="EG20" s="38">
        <f>IF(EG$7=" ",0,IF(MOD(EG$7,12)=1,'Deal Summary'!$P$50,0))</f>
        <v>0</v>
      </c>
      <c r="EH20" s="38">
        <f>IF(EH$7=" ",0,IF(MOD(EH$7,12)=1,'Deal Summary'!$P$50,0))</f>
        <v>0</v>
      </c>
      <c r="EI20" s="38">
        <f>IF(EI$7=" ",0,IF(MOD(EI$7,12)=1,'Deal Summary'!$P$50,0))</f>
        <v>0.03</v>
      </c>
      <c r="EJ20" s="38">
        <f>IF(EJ$7=" ",0,IF(MOD(EJ$7,12)=1,'Deal Summary'!$P$50,0))</f>
        <v>0</v>
      </c>
      <c r="EK20" s="38">
        <f>IF(EK$7=" ",0,IF(MOD(EK$7,12)=1,'Deal Summary'!$P$50,0))</f>
        <v>0</v>
      </c>
      <c r="EL20" s="38">
        <f>IF(EL$7=" ",0,IF(MOD(EL$7,12)=1,'Deal Summary'!$P$50,0))</f>
        <v>0</v>
      </c>
      <c r="EM20" s="38">
        <f>IF(EM$7=" ",0,IF(MOD(EM$7,12)=1,'Deal Summary'!$P$50,0))</f>
        <v>0</v>
      </c>
      <c r="EN20" s="38">
        <f>IF(EN$7=" ",0,IF(MOD(EN$7,12)=1,'Deal Summary'!$P$50,0))</f>
        <v>0</v>
      </c>
      <c r="EO20" s="38">
        <f>IF(EO$7=" ",0,IF(MOD(EO$7,12)=1,'Deal Summary'!$P$50,0))</f>
        <v>0</v>
      </c>
      <c r="EP20" s="38">
        <f>IF(EP$7=" ",0,IF(MOD(EP$7,12)=1,'Deal Summary'!$P$50,0))</f>
        <v>0</v>
      </c>
      <c r="EQ20" s="38">
        <f>IF(EQ$7=" ",0,IF(MOD(EQ$7,12)=1,'Deal Summary'!$P$50,0))</f>
        <v>0</v>
      </c>
      <c r="ER20" s="38">
        <f>IF(ER$7=" ",0,IF(MOD(ER$7,12)=1,'Deal Summary'!$P$50,0))</f>
        <v>0</v>
      </c>
      <c r="ES20" s="38">
        <f>IF(ES$7=" ",0,IF(MOD(ES$7,12)=1,'Deal Summary'!$P$50,0))</f>
        <v>0</v>
      </c>
      <c r="ET20" s="38">
        <f>IF(ET$7=" ",0,IF(MOD(ET$7,12)=1,'Deal Summary'!$P$50,0))</f>
        <v>0</v>
      </c>
      <c r="EU20" s="38">
        <f>IF(EU$7=" ",0,IF(MOD(EU$7,12)=1,'Deal Summary'!$P$50,0))</f>
        <v>0.03</v>
      </c>
      <c r="EV20" s="38">
        <f>IF(EV$7=" ",0,IF(MOD(EV$7,12)=1,'Deal Summary'!$P$50,0))</f>
        <v>0</v>
      </c>
      <c r="EW20" s="38">
        <f>IF(EW$7=" ",0,IF(MOD(EW$7,12)=1,'Deal Summary'!$P$50,0))</f>
        <v>0</v>
      </c>
      <c r="EX20" s="38">
        <f>IF(EX$7=" ",0,IF(MOD(EX$7,12)=1,'Deal Summary'!$P$50,0))</f>
        <v>0</v>
      </c>
      <c r="EY20" s="38">
        <f>IF(EY$7=" ",0,IF(MOD(EY$7,12)=1,'Deal Summary'!$P$50,0))</f>
        <v>0</v>
      </c>
      <c r="EZ20" s="38">
        <f>IF(EZ$7=" ",0,IF(MOD(EZ$7,12)=1,'Deal Summary'!$P$50,0))</f>
        <v>0</v>
      </c>
      <c r="FA20" s="38">
        <f>IF(FA$7=" ",0,IF(MOD(FA$7,12)=1,'Deal Summary'!$P$50,0))</f>
        <v>0</v>
      </c>
      <c r="FB20" s="38">
        <f>IF(FB$7=" ",0,IF(MOD(FB$7,12)=1,'Deal Summary'!$P$50,0))</f>
        <v>0</v>
      </c>
      <c r="FC20" s="38">
        <f>IF(FC$7=" ",0,IF(MOD(FC$7,12)=1,'Deal Summary'!$P$50,0))</f>
        <v>0</v>
      </c>
      <c r="FD20" s="38">
        <f>IF(FD$7=" ",0,IF(MOD(FD$7,12)=1,'Deal Summary'!$P$50,0))</f>
        <v>0</v>
      </c>
      <c r="FE20" s="38">
        <f>IF(FE$7=" ",0,IF(MOD(FE$7,12)=1,'Deal Summary'!$P$50,0))</f>
        <v>0</v>
      </c>
      <c r="FF20" s="38">
        <f>IF(FF$7=" ",0,IF(MOD(FF$7,12)=1,'Deal Summary'!$P$50,0))</f>
        <v>0</v>
      </c>
      <c r="FG20" s="38">
        <f>IF(FG$7=" ",0,IF(MOD(FG$7,12)=1,'Deal Summary'!$P$50,0))</f>
        <v>0.03</v>
      </c>
      <c r="FH20" s="38">
        <f>IF(FH$7=" ",0,IF(MOD(FH$7,12)=1,'Deal Summary'!$P$50,0))</f>
        <v>0</v>
      </c>
      <c r="FI20" s="38">
        <f>IF(FI$7=" ",0,IF(MOD(FI$7,12)=1,'Deal Summary'!$P$50,0))</f>
        <v>0</v>
      </c>
      <c r="FJ20" s="38">
        <f>IF(FJ$7=" ",0,IF(MOD(FJ$7,12)=1,'Deal Summary'!$P$50,0))</f>
        <v>0</v>
      </c>
      <c r="FK20" s="38">
        <f>IF(FK$7=" ",0,IF(MOD(FK$7,12)=1,'Deal Summary'!$P$50,0))</f>
        <v>0</v>
      </c>
      <c r="FL20" s="38">
        <f>IF(FL$7=" ",0,IF(MOD(FL$7,12)=1,'Deal Summary'!$P$50,0))</f>
        <v>0</v>
      </c>
      <c r="FM20" s="38">
        <f>IF(FM$7=" ",0,IF(MOD(FM$7,12)=1,'Deal Summary'!$P$50,0))</f>
        <v>0</v>
      </c>
      <c r="FN20" s="38">
        <f>IF(FN$7=" ",0,IF(MOD(FN$7,12)=1,'Deal Summary'!$P$50,0))</f>
        <v>0</v>
      </c>
      <c r="FO20" s="38">
        <f>IF(FO$7=" ",0,IF(MOD(FO$7,12)=1,'Deal Summary'!$P$50,0))</f>
        <v>0</v>
      </c>
      <c r="FP20" s="38">
        <f>IF(FP$7=" ",0,IF(MOD(FP$7,12)=1,'Deal Summary'!$P$50,0))</f>
        <v>0</v>
      </c>
      <c r="FQ20" s="38">
        <f>IF(FQ$7=" ",0,IF(MOD(FQ$7,12)=1,'Deal Summary'!$P$50,0))</f>
        <v>0</v>
      </c>
      <c r="FR20" s="38">
        <f>IF(FR$7=" ",0,IF(MOD(FR$7,12)=1,'Deal Summary'!$P$50,0))</f>
        <v>0</v>
      </c>
      <c r="FS20" s="38">
        <f>IF(FS$7=" ",0,IF(MOD(FS$7,12)=1,'Deal Summary'!$P$50,0))</f>
        <v>0.03</v>
      </c>
      <c r="FT20" s="38">
        <f>IF(FT$7=" ",0,IF(MOD(FT$7,12)=1,'Deal Summary'!$P$50,0))</f>
        <v>0</v>
      </c>
      <c r="FU20" s="38">
        <f>IF(FU$7=" ",0,IF(MOD(FU$7,12)=1,'Deal Summary'!$P$50,0))</f>
        <v>0</v>
      </c>
      <c r="FV20" s="38">
        <f>IF(FV$7=" ",0,IF(MOD(FV$7,12)=1,'Deal Summary'!$P$50,0))</f>
        <v>0</v>
      </c>
      <c r="FW20" s="38">
        <f>IF(FW$7=" ",0,IF(MOD(FW$7,12)=1,'Deal Summary'!$P$50,0))</f>
        <v>0</v>
      </c>
      <c r="FX20" s="38">
        <f>IF(FX$7=" ",0,IF(MOD(FX$7,12)=1,'Deal Summary'!$P$50,0))</f>
        <v>0</v>
      </c>
      <c r="FY20" s="38">
        <f>IF(FY$7=" ",0,IF(MOD(FY$7,12)=1,'Deal Summary'!$P$50,0))</f>
        <v>0</v>
      </c>
      <c r="FZ20" s="38">
        <f>IF(FZ$7=" ",0,IF(MOD(FZ$7,12)=1,'Deal Summary'!$P$50,0))</f>
        <v>0</v>
      </c>
      <c r="GA20" s="38">
        <f>IF(GA$7=" ",0,IF(MOD(GA$7,12)=1,'Deal Summary'!$P$50,0))</f>
        <v>0</v>
      </c>
      <c r="GB20" s="38">
        <f>IF(GB$7=" ",0,IF(MOD(GB$7,12)=1,'Deal Summary'!$P$50,0))</f>
        <v>0</v>
      </c>
      <c r="GC20" s="38">
        <f>IF(GC$7=" ",0,IF(MOD(GC$7,12)=1,'Deal Summary'!$P$50,0))</f>
        <v>0</v>
      </c>
      <c r="GD20" s="38">
        <f>IF(GD$7=" ",0,IF(MOD(GD$7,12)=1,'Deal Summary'!$P$50,0))</f>
        <v>0</v>
      </c>
      <c r="GE20" s="38">
        <f>IF(GE$7=" ",0,IF(MOD(GE$7,12)=1,'Deal Summary'!$P$50,0))</f>
        <v>0</v>
      </c>
      <c r="GF20" s="38">
        <f>IF(GF$7=" ",0,IF(MOD(GF$7,12)=1,'Deal Summary'!$P$50,0))</f>
        <v>0</v>
      </c>
      <c r="GG20" s="38">
        <f>IF(GG$7=" ",0,IF(MOD(GG$7,12)=1,'Deal Summary'!$P$50,0))</f>
        <v>0</v>
      </c>
      <c r="GH20" s="38">
        <f>IF(GH$7=" ",0,IF(MOD(GH$7,12)=1,'Deal Summary'!$P$50,0))</f>
        <v>0</v>
      </c>
      <c r="GI20" s="38">
        <f>IF(GI$7=" ",0,IF(MOD(GI$7,12)=1,'Deal Summary'!$P$50,0))</f>
        <v>0</v>
      </c>
      <c r="GJ20" s="38">
        <f>IF(GJ$7=" ",0,IF(MOD(GJ$7,12)=1,'Deal Summary'!$P$50,0))</f>
        <v>0</v>
      </c>
      <c r="GK20" s="38">
        <f>IF(GK$7=" ",0,IF(MOD(GK$7,12)=1,'Deal Summary'!$P$50,0))</f>
        <v>0</v>
      </c>
      <c r="GL20" s="38">
        <f>IF(GL$7=" ",0,IF(MOD(GL$7,12)=1,'Deal Summary'!$P$50,0))</f>
        <v>0</v>
      </c>
      <c r="GM20" s="38">
        <f>IF(GM$7=" ",0,IF(MOD(GM$7,12)=1,'Deal Summary'!$P$50,0))</f>
        <v>0</v>
      </c>
      <c r="GN20" s="38">
        <f>IF(GN$7=" ",0,IF(MOD(GN$7,12)=1,'Deal Summary'!$P$50,0))</f>
        <v>0</v>
      </c>
      <c r="GO20" s="38">
        <f>IF(GO$7=" ",0,IF(MOD(GO$7,12)=1,'Deal Summary'!$P$50,0))</f>
        <v>0</v>
      </c>
      <c r="GP20" s="38">
        <f>IF(GP$7=" ",0,IF(MOD(GP$7,12)=1,'Deal Summary'!$P$50,0))</f>
        <v>0</v>
      </c>
      <c r="GQ20" s="38">
        <f>IF(GQ$7=" ",0,IF(MOD(GQ$7,12)=1,'Deal Summary'!$P$50,0))</f>
        <v>0</v>
      </c>
      <c r="GR20" s="38">
        <f>IF(GR$7=" ",0,IF(MOD(GR$7,12)=1,'Deal Summary'!$P$50,0))</f>
        <v>0</v>
      </c>
      <c r="GS20" s="38">
        <f>IF(GS$7=" ",0,IF(MOD(GS$7,12)=1,'Deal Summary'!$P$50,0))</f>
        <v>0</v>
      </c>
      <c r="GT20" s="38">
        <f>IF(GT$7=" ",0,IF(MOD(GT$7,12)=1,'Deal Summary'!$P$50,0))</f>
        <v>0</v>
      </c>
      <c r="GU20" s="38">
        <f>IF(GU$7=" ",0,IF(MOD(GU$7,12)=1,'Deal Summary'!$P$50,0))</f>
        <v>0</v>
      </c>
      <c r="GV20" s="38">
        <f>IF(GV$7=" ",0,IF(MOD(GV$7,12)=1,'Deal Summary'!$P$50,0))</f>
        <v>0</v>
      </c>
      <c r="GW20" s="38">
        <f>IF(GW$7=" ",0,IF(MOD(GW$7,12)=1,'Deal Summary'!$P$50,0))</f>
        <v>0</v>
      </c>
      <c r="GX20" s="38">
        <f>IF(GX$7=" ",0,IF(MOD(GX$7,12)=1,'Deal Summary'!$P$50,0))</f>
        <v>0</v>
      </c>
      <c r="GY20" s="38">
        <f>IF(GY$7=" ",0,IF(MOD(GY$7,12)=1,'Deal Summary'!$P$50,0))</f>
        <v>0</v>
      </c>
      <c r="GZ20" s="38">
        <f>IF(GZ$7=" ",0,IF(MOD(GZ$7,12)=1,'Deal Summary'!$P$50,0))</f>
        <v>0</v>
      </c>
      <c r="HA20" s="38">
        <f>IF(HA$7=" ",0,IF(MOD(HA$7,12)=1,'Deal Summary'!$P$50,0))</f>
        <v>0</v>
      </c>
      <c r="HB20" s="38">
        <f>IF(HB$7=" ",0,IF(MOD(HB$7,12)=1,'Deal Summary'!$P$50,0))</f>
        <v>0</v>
      </c>
      <c r="HC20" s="38">
        <f>IF(HC$7=" ",0,IF(MOD(HC$7,12)=1,'Deal Summary'!$P$50,0))</f>
        <v>0</v>
      </c>
      <c r="HD20" s="38">
        <f>IF(HD$7=" ",0,IF(MOD(HD$7,12)=1,'Deal Summary'!$P$50,0))</f>
        <v>0</v>
      </c>
      <c r="HE20" s="38">
        <f>IF(HE$7=" ",0,IF(MOD(HE$7,12)=1,'Deal Summary'!$P$50,0))</f>
        <v>0</v>
      </c>
      <c r="HF20" s="38">
        <f>IF(HF$7=" ",0,IF(MOD(HF$7,12)=1,'Deal Summary'!$P$50,0))</f>
        <v>0</v>
      </c>
      <c r="HG20" s="38">
        <f>IF(HG$7=" ",0,IF(MOD(HG$7,12)=1,'Deal Summary'!$P$50,0))</f>
        <v>0</v>
      </c>
      <c r="HH20" s="38">
        <f>IF(HH$7=" ",0,IF(MOD(HH$7,12)=1,'Deal Summary'!$P$50,0))</f>
        <v>0</v>
      </c>
      <c r="HI20" s="38">
        <f>IF(HI$7=" ",0,IF(MOD(HI$7,12)=1,'Deal Summary'!$P$50,0))</f>
        <v>0</v>
      </c>
      <c r="HJ20" s="38">
        <f>IF(HJ$7=" ",0,IF(MOD(HJ$7,12)=1,'Deal Summary'!$P$50,0))</f>
        <v>0</v>
      </c>
      <c r="HK20" s="38">
        <f>IF(HK$7=" ",0,IF(MOD(HK$7,12)=1,'Deal Summary'!$P$50,0))</f>
        <v>0</v>
      </c>
      <c r="HL20" s="38">
        <f>IF(HL$7=" ",0,IF(MOD(HL$7,12)=1,'Deal Summary'!$P$50,0))</f>
        <v>0</v>
      </c>
      <c r="HM20" s="38">
        <f>IF(HM$7=" ",0,IF(MOD(HM$7,12)=1,'Deal Summary'!$P$50,0))</f>
        <v>0</v>
      </c>
      <c r="HN20" s="38">
        <f>IF(HN$7=" ",0,IF(MOD(HN$7,12)=1,'Deal Summary'!$P$50,0))</f>
        <v>0</v>
      </c>
      <c r="HO20" s="38">
        <f>IF(HO$7=" ",0,IF(MOD(HO$7,12)=1,'Deal Summary'!$P$50,0))</f>
        <v>0</v>
      </c>
      <c r="HP20" s="38">
        <f>IF(HP$7=" ",0,IF(MOD(HP$7,12)=1,'Deal Summary'!$P$50,0))</f>
        <v>0</v>
      </c>
      <c r="HQ20" s="38">
        <f>IF(HQ$7=" ",0,IF(MOD(HQ$7,12)=1,'Deal Summary'!$P$50,0))</f>
        <v>0</v>
      </c>
      <c r="HR20" s="38">
        <f>IF(HR$7=" ",0,IF(MOD(HR$7,12)=1,'Deal Summary'!$P$50,0))</f>
        <v>0</v>
      </c>
      <c r="HS20" s="38">
        <f>IF(HS$7=" ",0,IF(MOD(HS$7,12)=1,'Deal Summary'!$P$50,0))</f>
        <v>0</v>
      </c>
      <c r="HT20" s="38">
        <f>IF(HT$7=" ",0,IF(MOD(HT$7,12)=1,'Deal Summary'!$P$50,0))</f>
        <v>0</v>
      </c>
      <c r="HU20" s="38">
        <f>IF(HU$7=" ",0,IF(MOD(HU$7,12)=1,'Deal Summary'!$P$50,0))</f>
        <v>0</v>
      </c>
      <c r="HV20" s="38">
        <f>IF(HV$7=" ",0,IF(MOD(HV$7,12)=1,'Deal Summary'!$P$50,0))</f>
        <v>0</v>
      </c>
      <c r="HW20" s="38">
        <f>IF(HW$7=" ",0,IF(MOD(HW$7,12)=1,'Deal Summary'!$P$50,0))</f>
        <v>0</v>
      </c>
      <c r="HX20" s="38">
        <f>IF(HX$7=" ",0,IF(MOD(HX$7,12)=1,'Deal Summary'!$P$50,0))</f>
        <v>0</v>
      </c>
      <c r="HY20" s="38">
        <f>IF(HY$7=" ",0,IF(MOD(HY$7,12)=1,'Deal Summary'!$P$50,0))</f>
        <v>0</v>
      </c>
      <c r="HZ20" s="38">
        <f>IF(HZ$7=" ",0,IF(MOD(HZ$7,12)=1,'Deal Summary'!$P$50,0))</f>
        <v>0</v>
      </c>
      <c r="IA20" s="38">
        <f>IF(IA$7=" ",0,IF(MOD(IA$7,12)=1,'Deal Summary'!$P$50,0))</f>
        <v>0</v>
      </c>
      <c r="IB20" s="38">
        <f>IF(IB$7=" ",0,IF(MOD(IB$7,12)=1,'Deal Summary'!$P$50,0))</f>
        <v>0</v>
      </c>
      <c r="IC20" s="38">
        <f>IF(IC$7=" ",0,IF(MOD(IC$7,12)=1,'Deal Summary'!$P$50,0))</f>
        <v>0</v>
      </c>
      <c r="ID20" s="38">
        <f>IF(ID$7=" ",0,IF(MOD(ID$7,12)=1,'Deal Summary'!$P$50,0))</f>
        <v>0</v>
      </c>
      <c r="IE20" s="38">
        <f>IF(IE$7=" ",0,IF(MOD(IE$7,12)=1,'Deal Summary'!$P$50,0))</f>
        <v>0</v>
      </c>
      <c r="IF20" s="38">
        <f>IF(IF$7=" ",0,IF(MOD(IF$7,12)=1,'Deal Summary'!$P$50,0))</f>
        <v>0</v>
      </c>
      <c r="IG20" s="38">
        <f>IF(IG$7=" ",0,IF(MOD(IG$7,12)=1,'Deal Summary'!$P$50,0))</f>
        <v>0</v>
      </c>
      <c r="IH20" s="38">
        <f>IF(IH$7=" ",0,IF(MOD(IH$7,12)=1,'Deal Summary'!$P$50,0))</f>
        <v>0</v>
      </c>
      <c r="II20" s="38">
        <f>IF(II$7=" ",0,IF(MOD(II$7,12)=1,'Deal Summary'!$P$50,0))</f>
        <v>0</v>
      </c>
      <c r="IJ20" s="38">
        <f>IF(IJ$7=" ",0,IF(MOD(IJ$7,12)=1,'Deal Summary'!$P$50,0))</f>
        <v>0</v>
      </c>
      <c r="IK20" s="38">
        <f>IF(IK$7=" ",0,IF(MOD(IK$7,12)=1,'Deal Summary'!$P$50,0))</f>
        <v>0</v>
      </c>
      <c r="IL20" s="38">
        <f>IF(IL$7=" ",0,IF(MOD(IL$7,12)=1,'Deal Summary'!$P$50,0))</f>
        <v>0</v>
      </c>
      <c r="IM20" s="38">
        <f>IF(IM$7=" ",0,IF(MOD(IM$7,12)=1,'Deal Summary'!$P$50,0))</f>
        <v>0</v>
      </c>
      <c r="IN20" s="38">
        <f>IF(IN$7=" ",0,IF(MOD(IN$7,12)=1,'Deal Summary'!$P$50,0))</f>
        <v>0</v>
      </c>
      <c r="IO20" s="38">
        <f>IF(IO$7=" ",0,IF(MOD(IO$7,12)=1,'Deal Summary'!$P$50,0))</f>
        <v>0</v>
      </c>
      <c r="IP20" s="38">
        <f>IF(IP$7=" ",0,IF(MOD(IP$7,12)=1,'Deal Summary'!$P$50,0))</f>
        <v>0</v>
      </c>
      <c r="IQ20" s="38">
        <f>IF(IQ$7=" ",0,IF(MOD(IQ$7,12)=1,'Deal Summary'!$P$50,0))</f>
        <v>0</v>
      </c>
      <c r="IR20" s="38">
        <f>IF(IR$7=" ",0,IF(MOD(IR$7,12)=1,'Deal Summary'!$P$50,0))</f>
        <v>0</v>
      </c>
      <c r="IS20" s="38">
        <f>IF(IS$7=" ",0,IF(MOD(IS$7,12)=1,'Deal Summary'!$P$50,0))</f>
        <v>0</v>
      </c>
      <c r="IT20" s="38">
        <f>IF(IT$7=" ",0,IF(MOD(IT$7,12)=1,'Deal Summary'!$P$50,0))</f>
        <v>0</v>
      </c>
      <c r="IU20" s="38">
        <f>IF(IU$7=" ",0,IF(MOD(IU$7,12)=1,'Deal Summary'!$P$50,0))</f>
        <v>0</v>
      </c>
      <c r="IV20" s="38">
        <f>IF(IV$7=" ",0,IF(MOD(IV$7,12)=1,'Deal Summary'!$P$50,0))</f>
        <v>0</v>
      </c>
      <c r="IW20" s="38">
        <f>IF(IW$7=" ",0,IF(MOD(IW$7,12)=1,'Deal Summary'!$P$50,0))</f>
        <v>0</v>
      </c>
      <c r="IX20" s="38">
        <f>IF(IX$7=" ",0,IF(MOD(IX$7,12)=1,'Deal Summary'!$P$50,0))</f>
        <v>0</v>
      </c>
      <c r="IY20" s="38">
        <f>IF(IY$7=" ",0,IF(MOD(IY$7,12)=1,'Deal Summary'!$P$50,0))</f>
        <v>0</v>
      </c>
      <c r="IZ20" s="38">
        <f>IF(IZ$7=" ",0,IF(MOD(IZ$7,12)=1,'Deal Summary'!$P$50,0))</f>
        <v>0</v>
      </c>
      <c r="JA20" s="38">
        <f>IF(JA$7=" ",0,IF(MOD(JA$7,12)=1,'Deal Summary'!$P$50,0))</f>
        <v>0</v>
      </c>
      <c r="JB20" s="38">
        <f>IF(JB$7=" ",0,IF(MOD(JB$7,12)=1,'Deal Summary'!$P$50,0))</f>
        <v>0</v>
      </c>
      <c r="JC20" s="38">
        <f>IF(JC$7=" ",0,IF(MOD(JC$7,12)=1,'Deal Summary'!$P$50,0))</f>
        <v>0</v>
      </c>
      <c r="JD20" s="38">
        <f>IF(JD$7=" ",0,IF(MOD(JD$7,12)=1,'Deal Summary'!$P$50,0))</f>
        <v>0</v>
      </c>
      <c r="JE20" s="38">
        <f>IF(JE$7=" ",0,IF(MOD(JE$7,12)=1,'Deal Summary'!$P$50,0))</f>
        <v>0</v>
      </c>
      <c r="JF20" s="38">
        <f>IF(JF$7=" ",0,IF(MOD(JF$7,12)=1,'Deal Summary'!$P$50,0))</f>
        <v>0</v>
      </c>
      <c r="JG20" s="38">
        <f>IF(JG$7=" ",0,IF(MOD(JG$7,12)=1,'Deal Summary'!$P$50,0))</f>
        <v>0</v>
      </c>
      <c r="JH20" s="38">
        <f>IF(JH$7=" ",0,IF(MOD(JH$7,12)=1,'Deal Summary'!$P$50,0))</f>
        <v>0</v>
      </c>
      <c r="JI20" s="38">
        <f>IF(JI$7=" ",0,IF(MOD(JI$7,12)=1,'Deal Summary'!$P$50,0))</f>
        <v>0</v>
      </c>
      <c r="JJ20" s="38">
        <f>IF(JJ$7=" ",0,IF(MOD(JJ$7,12)=1,'Deal Summary'!$P$50,0))</f>
        <v>0</v>
      </c>
      <c r="JK20" s="38">
        <f>IF(JK$7=" ",0,IF(MOD(JK$7,12)=1,'Deal Summary'!$P$50,0))</f>
        <v>0</v>
      </c>
      <c r="JL20" s="38">
        <f>IF(JL$7=" ",0,IF(MOD(JL$7,12)=1,'Deal Summary'!$P$50,0))</f>
        <v>0</v>
      </c>
      <c r="JM20" s="38">
        <f>IF(JM$7=" ",0,IF(MOD(JM$7,12)=1,'Deal Summary'!$P$50,0))</f>
        <v>0</v>
      </c>
      <c r="JN20" s="38">
        <f>IF(JN$7=" ",0,IF(MOD(JN$7,12)=1,'Deal Summary'!$P$50,0))</f>
        <v>0</v>
      </c>
      <c r="JO20" s="38">
        <f>IF(JO$7=" ",0,IF(MOD(JO$7,12)=1,'Deal Summary'!$P$50,0))</f>
        <v>0</v>
      </c>
      <c r="JP20" s="38">
        <f>IF(JP$7=" ",0,IF(MOD(JP$7,12)=1,'Deal Summary'!$P$50,0))</f>
        <v>0</v>
      </c>
      <c r="JQ20" s="38">
        <f>IF(JQ$7=" ",0,IF(MOD(JQ$7,12)=1,'Deal Summary'!$P$50,0))</f>
        <v>0</v>
      </c>
      <c r="JR20" s="38">
        <f>IF(JR$7=" ",0,IF(MOD(JR$7,12)=1,'Deal Summary'!$P$50,0))</f>
        <v>0</v>
      </c>
      <c r="JS20" s="38">
        <f>IF(JS$7=" ",0,IF(MOD(JS$7,12)=1,'Deal Summary'!$P$50,0))</f>
        <v>0</v>
      </c>
      <c r="JT20" s="38">
        <f>IF(JT$7=" ",0,IF(MOD(JT$7,12)=1,'Deal Summary'!$P$50,0))</f>
        <v>0</v>
      </c>
      <c r="JU20" s="38">
        <f>IF(JU$7=" ",0,IF(MOD(JU$7,12)=1,'Deal Summary'!$P$50,0))</f>
        <v>0</v>
      </c>
      <c r="JV20" s="38">
        <f>IF(JV$7=" ",0,IF(MOD(JV$7,12)=1,'Deal Summary'!$P$50,0))</f>
        <v>0</v>
      </c>
      <c r="JW20" s="38">
        <f>IF(JW$7=" ",0,IF(MOD(JW$7,12)=1,'Deal Summary'!$P$50,0))</f>
        <v>0</v>
      </c>
      <c r="JX20" s="38">
        <f>IF(JX$7=" ",0,IF(MOD(JX$7,12)=1,'Deal Summary'!$P$50,0))</f>
        <v>0</v>
      </c>
      <c r="JY20" s="38">
        <f>IF(JY$7=" ",0,IF(MOD(JY$7,12)=1,'Deal Summary'!$P$50,0))</f>
        <v>0</v>
      </c>
      <c r="JZ20" s="38">
        <f>IF(JZ$7=" ",0,IF(MOD(JZ$7,12)=1,'Deal Summary'!$P$50,0))</f>
        <v>0</v>
      </c>
      <c r="KA20" s="38">
        <f>IF(KA$7=" ",0,IF(MOD(KA$7,12)=1,'Deal Summary'!$P$50,0))</f>
        <v>0</v>
      </c>
      <c r="KB20" s="38">
        <f>IF(KB$7=" ",0,IF(MOD(KB$7,12)=1,'Deal Summary'!$P$50,0))</f>
        <v>0</v>
      </c>
      <c r="KC20" s="38">
        <f>IF(KC$7=" ",0,IF(MOD(KC$7,12)=1,'Deal Summary'!$P$50,0))</f>
        <v>0</v>
      </c>
      <c r="KD20" s="38">
        <f>IF(KD$7=" ",0,IF(MOD(KD$7,12)=1,'Deal Summary'!$P$50,0))</f>
        <v>0</v>
      </c>
      <c r="KE20" s="38">
        <f>IF(KE$7=" ",0,IF(MOD(KE$7,12)=1,'Deal Summary'!$P$50,0))</f>
        <v>0</v>
      </c>
      <c r="KF20" s="38">
        <f>IF(KF$7=" ",0,IF(MOD(KF$7,12)=1,'Deal Summary'!$P$50,0))</f>
        <v>0</v>
      </c>
      <c r="KG20" s="38">
        <f>IF(KG$7=" ",0,IF(MOD(KG$7,12)=1,'Deal Summary'!$P$50,0))</f>
        <v>0</v>
      </c>
      <c r="KH20" s="38">
        <f>IF(KH$7=" ",0,IF(MOD(KH$7,12)=1,'Deal Summary'!$P$50,0))</f>
        <v>0</v>
      </c>
      <c r="KI20" s="38">
        <f>IF(KI$7=" ",0,IF(MOD(KI$7,12)=1,'Deal Summary'!$P$50,0))</f>
        <v>0</v>
      </c>
      <c r="KJ20" s="38">
        <f>IF(KJ$7=" ",0,IF(MOD(KJ$7,12)=1,'Deal Summary'!$P$50,0))</f>
        <v>0</v>
      </c>
      <c r="KK20" s="38">
        <f>IF(KK$7=" ",0,IF(MOD(KK$7,12)=1,'Deal Summary'!$P$50,0))</f>
        <v>0</v>
      </c>
      <c r="KL20" s="38">
        <f>IF(KL$7=" ",0,IF(MOD(KL$7,12)=1,'Deal Summary'!$P$50,0))</f>
        <v>0</v>
      </c>
      <c r="KM20" s="38">
        <f>IF(KM$7=" ",0,IF(MOD(KM$7,12)=1,'Deal Summary'!$P$50,0))</f>
        <v>0</v>
      </c>
      <c r="KN20" s="38">
        <f>IF(KN$7=" ",0,IF(MOD(KN$7,12)=1,'Deal Summary'!$P$50,0))</f>
        <v>0</v>
      </c>
      <c r="KO20" s="38">
        <f>IF(KO$7=" ",0,IF(MOD(KO$7,12)=1,'Deal Summary'!$P$50,0))</f>
        <v>0</v>
      </c>
      <c r="KP20" s="38">
        <f>IF(KP$7=" ",0,IF(MOD(KP$7,12)=1,'Deal Summary'!$P$50,0))</f>
        <v>0</v>
      </c>
      <c r="KQ20" s="38">
        <f>IF(KQ$7=" ",0,IF(MOD(KQ$7,12)=1,'Deal Summary'!$P$50,0))</f>
        <v>0</v>
      </c>
      <c r="KR20" s="38">
        <f>IF(KR$7=" ",0,IF(MOD(KR$7,12)=1,'Deal Summary'!$P$50,0))</f>
        <v>0</v>
      </c>
      <c r="KS20" s="38">
        <f>IF(KS$7=" ",0,IF(MOD(KS$7,12)=1,'Deal Summary'!$P$50,0))</f>
        <v>0</v>
      </c>
      <c r="KT20" s="38">
        <f>IF(KT$7=" ",0,IF(MOD(KT$7,12)=1,'Deal Summary'!$P$50,0))</f>
        <v>0</v>
      </c>
      <c r="KU20" s="38">
        <f>IF(KU$7=" ",0,IF(MOD(KU$7,12)=1,'Deal Summary'!$P$50,0))</f>
        <v>0</v>
      </c>
      <c r="KV20" s="38">
        <f>IF(KV$7=" ",0,IF(MOD(KV$7,12)=1,'Deal Summary'!$P$50,0))</f>
        <v>0</v>
      </c>
      <c r="KW20" s="38">
        <f>IF(KW$7=" ",0,IF(MOD(KW$7,12)=1,'Deal Summary'!$P$50,0))</f>
        <v>0</v>
      </c>
      <c r="KX20" s="38">
        <f>IF(KX$7=" ",0,IF(MOD(KX$7,12)=1,'Deal Summary'!$P$50,0))</f>
        <v>0</v>
      </c>
      <c r="KY20" s="38">
        <f>IF(KY$7=" ",0,IF(MOD(KY$7,12)=1,'Deal Summary'!$P$50,0))</f>
        <v>0</v>
      </c>
      <c r="KZ20" s="38">
        <f>IF(KZ$7=" ",0,IF(MOD(KZ$7,12)=1,'Deal Summary'!$P$50,0))</f>
        <v>0</v>
      </c>
      <c r="LA20" s="38">
        <f>IF(LA$7=" ",0,IF(MOD(LA$7,12)=1,'Deal Summary'!$P$50,0))</f>
        <v>0</v>
      </c>
      <c r="LB20" s="38">
        <f>IF(LB$7=" ",0,IF(MOD(LB$7,12)=1,'Deal Summary'!$P$50,0))</f>
        <v>0</v>
      </c>
      <c r="LC20" s="38">
        <f>IF(LC$7=" ",0,IF(MOD(LC$7,12)=1,'Deal Summary'!$P$50,0))</f>
        <v>0</v>
      </c>
      <c r="LD20" s="38">
        <f>IF(LD$7=" ",0,IF(MOD(LD$7,12)=1,'Deal Summary'!$P$50,0))</f>
        <v>0</v>
      </c>
      <c r="LE20" s="38">
        <f>IF(LE$7=" ",0,IF(MOD(LE$7,12)=1,'Deal Summary'!$P$50,0))</f>
        <v>0</v>
      </c>
      <c r="LF20" s="38">
        <f>IF(LF$7=" ",0,IF(MOD(LF$7,12)=1,'Deal Summary'!$P$50,0))</f>
        <v>0</v>
      </c>
      <c r="LG20" s="38">
        <f>IF(LG$7=" ",0,IF(MOD(LG$7,12)=1,'Deal Summary'!$P$50,0))</f>
        <v>0</v>
      </c>
      <c r="LH20" s="38">
        <f>IF(LH$7=" ",0,IF(MOD(LH$7,12)=1,'Deal Summary'!$P$50,0))</f>
        <v>0</v>
      </c>
      <c r="LI20" s="38">
        <f>IF(LI$7=" ",0,IF(MOD(LI$7,12)=1,'Deal Summary'!$P$50,0))</f>
        <v>0</v>
      </c>
      <c r="LJ20" s="38">
        <f>IF(LJ$7=" ",0,IF(MOD(LJ$7,12)=1,'Deal Summary'!$P$50,0))</f>
        <v>0</v>
      </c>
      <c r="LK20" s="38">
        <f>IF(LK$7=" ",0,IF(MOD(LK$7,12)=1,'Deal Summary'!$P$50,0))</f>
        <v>0</v>
      </c>
      <c r="LL20" s="38">
        <f>IF(LL$7=" ",0,IF(MOD(LL$7,12)=1,'Deal Summary'!$P$50,0))</f>
        <v>0</v>
      </c>
      <c r="LM20" s="38">
        <f>IF(LM$7=" ",0,IF(MOD(LM$7,12)=1,'Deal Summary'!$P$50,0))</f>
        <v>0</v>
      </c>
      <c r="LN20" s="38">
        <f>IF(LN$7=" ",0,IF(MOD(LN$7,12)=1,'Deal Summary'!$P$50,0))</f>
        <v>0</v>
      </c>
      <c r="LO20" s="38">
        <f>IF(LO$7=" ",0,IF(MOD(LO$7,12)=1,'Deal Summary'!$P$50,0))</f>
        <v>0</v>
      </c>
      <c r="LP20" s="38">
        <f>IF(LP$7=" ",0,IF(MOD(LP$7,12)=1,'Deal Summary'!$P$50,0))</f>
        <v>0</v>
      </c>
      <c r="LQ20" s="38">
        <f>IF(LQ$7=" ",0,IF(MOD(LQ$7,12)=1,'Deal Summary'!$P$50,0))</f>
        <v>0</v>
      </c>
      <c r="LR20" s="38">
        <f>IF(LR$7=" ",0,IF(MOD(LR$7,12)=1,'Deal Summary'!$P$50,0))</f>
        <v>0</v>
      </c>
      <c r="LS20" s="38">
        <f>IF(LS$7=" ",0,IF(MOD(LS$7,12)=1,'Deal Summary'!$P$50,0))</f>
        <v>0</v>
      </c>
      <c r="LT20" s="38">
        <f>IF(LT$7=" ",0,IF(MOD(LT$7,12)=1,'Deal Summary'!$P$50,0))</f>
        <v>0</v>
      </c>
      <c r="LU20" s="38">
        <f>IF(LU$7=" ",0,IF(MOD(LU$7,12)=1,'Deal Summary'!$P$50,0))</f>
        <v>0</v>
      </c>
      <c r="LV20" s="38">
        <f>IF(LV$7=" ",0,IF(MOD(LV$7,12)=1,'Deal Summary'!$P$50,0))</f>
        <v>0</v>
      </c>
      <c r="LW20" s="38">
        <f>IF(LW$7=" ",0,IF(MOD(LW$7,12)=1,'Deal Summary'!$P$50,0))</f>
        <v>0</v>
      </c>
      <c r="LX20" s="38">
        <f>IF(LX$7=" ",0,IF(MOD(LX$7,12)=1,'Deal Summary'!$P$50,0))</f>
        <v>0</v>
      </c>
      <c r="LY20" s="38">
        <f>IF(LY$7=" ",0,IF(MOD(LY$7,12)=1,'Deal Summary'!$P$50,0))</f>
        <v>0</v>
      </c>
      <c r="LZ20" s="38">
        <f>IF(LZ$7=" ",0,IF(MOD(LZ$7,12)=1,'Deal Summary'!$P$50,0))</f>
        <v>0</v>
      </c>
      <c r="MA20" s="38">
        <f>IF(MA$7=" ",0,IF(MOD(MA$7,12)=1,'Deal Summary'!$P$50,0))</f>
        <v>0</v>
      </c>
      <c r="MB20" s="38">
        <f>IF(MB$7=" ",0,IF(MOD(MB$7,12)=1,'Deal Summary'!$P$50,0))</f>
        <v>0</v>
      </c>
      <c r="MC20" s="38">
        <f>IF(MC$7=" ",0,IF(MOD(MC$7,12)=1,'Deal Summary'!$P$50,0))</f>
        <v>0</v>
      </c>
      <c r="MD20" s="38">
        <f>IF(MD$7=" ",0,IF(MOD(MD$7,12)=1,'Deal Summary'!$P$50,0))</f>
        <v>0</v>
      </c>
      <c r="ME20" s="38">
        <f>IF(ME$7=" ",0,IF(MOD(ME$7,12)=1,'Deal Summary'!$P$50,0))</f>
        <v>0</v>
      </c>
      <c r="MF20" s="38">
        <f>IF(MF$7=" ",0,IF(MOD(MF$7,12)=1,'Deal Summary'!$P$50,0))</f>
        <v>0</v>
      </c>
      <c r="MG20" s="38">
        <f>IF(MG$7=" ",0,IF(MOD(MG$7,12)=1,'Deal Summary'!$P$50,0))</f>
        <v>0</v>
      </c>
      <c r="MH20" s="38">
        <f>IF(MH$7=" ",0,IF(MOD(MH$7,12)=1,'Deal Summary'!$P$50,0))</f>
        <v>0</v>
      </c>
      <c r="MI20" s="38">
        <f>IF(MI$7=" ",0,IF(MOD(MI$7,12)=1,'Deal Summary'!$P$50,0))</f>
        <v>0</v>
      </c>
      <c r="MJ20" s="38">
        <f>IF(MJ$7=" ",0,IF(MOD(MJ$7,12)=1,'Deal Summary'!$P$50,0))</f>
        <v>0</v>
      </c>
      <c r="MK20" s="38">
        <f>IF(MK$7=" ",0,IF(MOD(MK$7,12)=1,'Deal Summary'!$P$50,0))</f>
        <v>0</v>
      </c>
      <c r="ML20" s="38">
        <f>IF(ML$7=" ",0,IF(MOD(ML$7,12)=1,'Deal Summary'!$P$50,0))</f>
        <v>0</v>
      </c>
      <c r="MM20" s="38">
        <f>IF(MM$7=" ",0,IF(MOD(MM$7,12)=1,'Deal Summary'!$P$50,0))</f>
        <v>0</v>
      </c>
      <c r="MN20" s="38">
        <f>IF(MN$7=" ",0,IF(MOD(MN$7,12)=1,'Deal Summary'!$P$50,0))</f>
        <v>0</v>
      </c>
      <c r="MO20" s="38">
        <f>IF(MO$7=" ",0,IF(MOD(MO$7,12)=1,'Deal Summary'!$P$50,0))</f>
        <v>0</v>
      </c>
      <c r="MP20" s="38">
        <f>IF(MP$7=" ",0,IF(MOD(MP$7,12)=1,'Deal Summary'!$P$50,0))</f>
        <v>0</v>
      </c>
      <c r="MQ20" s="38">
        <f>IF(MQ$7=" ",0,IF(MOD(MQ$7,12)=1,'Deal Summary'!$P$50,0))</f>
        <v>0</v>
      </c>
      <c r="MR20" s="38">
        <f>IF(MR$7=" ",0,IF(MOD(MR$7,12)=1,'Deal Summary'!$P$50,0))</f>
        <v>0</v>
      </c>
      <c r="MS20" s="38">
        <f>IF(MS$7=" ",0,IF(MOD(MS$7,12)=1,'Deal Summary'!$P$50,0))</f>
        <v>0</v>
      </c>
      <c r="MT20" s="38">
        <f>IF(MT$7=" ",0,IF(MOD(MT$7,12)=1,'Deal Summary'!$P$50,0))</f>
        <v>0</v>
      </c>
      <c r="MU20" s="38">
        <f>IF(MU$7=" ",0,IF(MOD(MU$7,12)=1,'Deal Summary'!$P$50,0))</f>
        <v>0</v>
      </c>
      <c r="MV20" s="38">
        <f>IF(MV$7=" ",0,IF(MOD(MV$7,12)=1,'Deal Summary'!$P$50,0))</f>
        <v>0</v>
      </c>
      <c r="MW20" s="38">
        <f>IF(MW$7=" ",0,IF(MOD(MW$7,12)=1,'Deal Summary'!$P$50,0))</f>
        <v>0</v>
      </c>
      <c r="MX20" s="38">
        <f>IF(MX$7=" ",0,IF(MOD(MX$7,12)=1,'Deal Summary'!$P$50,0))</f>
        <v>0</v>
      </c>
      <c r="MY20" s="38">
        <f>IF(MY$7=" ",0,IF(MOD(MY$7,12)=1,'Deal Summary'!$P$50,0))</f>
        <v>0</v>
      </c>
      <c r="MZ20" s="38">
        <f>IF(MZ$7=" ",0,IF(MOD(MZ$7,12)=1,'Deal Summary'!$P$50,0))</f>
        <v>0</v>
      </c>
      <c r="NA20" s="38">
        <f>IF(NA$7=" ",0,IF(MOD(NA$7,12)=1,'Deal Summary'!$P$50,0))</f>
        <v>0</v>
      </c>
      <c r="NB20" s="38">
        <f>IF(NB$7=" ",0,IF(MOD(NB$7,12)=1,'Deal Summary'!$P$50,0))</f>
        <v>0</v>
      </c>
    </row>
    <row r="21" spans="2:366" x14ac:dyDescent="0.15">
      <c r="B21" s="39" t="s">
        <v>341</v>
      </c>
      <c r="C21" s="263">
        <f>inflation</f>
        <v>2.5000000000000001E-2</v>
      </c>
      <c r="D21" s="19"/>
      <c r="E21" s="19"/>
      <c r="F21" s="38">
        <v>0</v>
      </c>
      <c r="G21" s="38">
        <v>0</v>
      </c>
      <c r="H21" s="38">
        <f>IF(H$7=" ",0,IF(MOD(H$7,12)=1,$C$21,0))</f>
        <v>0</v>
      </c>
      <c r="I21" s="38">
        <f t="shared" ref="I21:BT21" si="262">IF(I$7=" ",0,IF(MOD(I$7,12)=1,$C$21,0))</f>
        <v>0</v>
      </c>
      <c r="J21" s="38">
        <f t="shared" si="262"/>
        <v>0</v>
      </c>
      <c r="K21" s="38">
        <f t="shared" si="262"/>
        <v>0</v>
      </c>
      <c r="L21" s="38">
        <f t="shared" si="262"/>
        <v>0</v>
      </c>
      <c r="M21" s="38">
        <f t="shared" si="262"/>
        <v>0</v>
      </c>
      <c r="N21" s="38">
        <f t="shared" si="262"/>
        <v>0</v>
      </c>
      <c r="O21" s="38">
        <f t="shared" si="262"/>
        <v>0</v>
      </c>
      <c r="P21" s="38">
        <f t="shared" si="262"/>
        <v>0</v>
      </c>
      <c r="Q21" s="38">
        <f t="shared" si="262"/>
        <v>0</v>
      </c>
      <c r="R21" s="38">
        <f t="shared" si="262"/>
        <v>0</v>
      </c>
      <c r="S21" s="38">
        <f t="shared" si="262"/>
        <v>2.5000000000000001E-2</v>
      </c>
      <c r="T21" s="38">
        <f t="shared" si="262"/>
        <v>0</v>
      </c>
      <c r="U21" s="38">
        <f t="shared" si="262"/>
        <v>0</v>
      </c>
      <c r="V21" s="38">
        <f t="shared" si="262"/>
        <v>0</v>
      </c>
      <c r="W21" s="38">
        <f t="shared" si="262"/>
        <v>0</v>
      </c>
      <c r="X21" s="38">
        <f t="shared" si="262"/>
        <v>0</v>
      </c>
      <c r="Y21" s="38">
        <f t="shared" si="262"/>
        <v>0</v>
      </c>
      <c r="Z21" s="38">
        <f t="shared" si="262"/>
        <v>0</v>
      </c>
      <c r="AA21" s="38">
        <f t="shared" si="262"/>
        <v>0</v>
      </c>
      <c r="AB21" s="38">
        <f t="shared" si="262"/>
        <v>0</v>
      </c>
      <c r="AC21" s="38">
        <f t="shared" si="262"/>
        <v>0</v>
      </c>
      <c r="AD21" s="38">
        <f t="shared" si="262"/>
        <v>0</v>
      </c>
      <c r="AE21" s="38">
        <f t="shared" si="262"/>
        <v>2.5000000000000001E-2</v>
      </c>
      <c r="AF21" s="38">
        <f t="shared" si="262"/>
        <v>0</v>
      </c>
      <c r="AG21" s="38">
        <f t="shared" si="262"/>
        <v>0</v>
      </c>
      <c r="AH21" s="38">
        <f t="shared" si="262"/>
        <v>0</v>
      </c>
      <c r="AI21" s="38">
        <f t="shared" si="262"/>
        <v>0</v>
      </c>
      <c r="AJ21" s="38">
        <f t="shared" si="262"/>
        <v>0</v>
      </c>
      <c r="AK21" s="38">
        <f t="shared" si="262"/>
        <v>0</v>
      </c>
      <c r="AL21" s="38">
        <f t="shared" si="262"/>
        <v>0</v>
      </c>
      <c r="AM21" s="38">
        <f t="shared" si="262"/>
        <v>0</v>
      </c>
      <c r="AN21" s="38">
        <f t="shared" si="262"/>
        <v>0</v>
      </c>
      <c r="AO21" s="38">
        <f t="shared" si="262"/>
        <v>0</v>
      </c>
      <c r="AP21" s="38">
        <f t="shared" si="262"/>
        <v>0</v>
      </c>
      <c r="AQ21" s="38">
        <f t="shared" si="262"/>
        <v>2.5000000000000001E-2</v>
      </c>
      <c r="AR21" s="38">
        <f t="shared" si="262"/>
        <v>0</v>
      </c>
      <c r="AS21" s="38">
        <f t="shared" si="262"/>
        <v>0</v>
      </c>
      <c r="AT21" s="38">
        <f t="shared" si="262"/>
        <v>0</v>
      </c>
      <c r="AU21" s="38">
        <f t="shared" si="262"/>
        <v>0</v>
      </c>
      <c r="AV21" s="38">
        <f t="shared" si="262"/>
        <v>0</v>
      </c>
      <c r="AW21" s="38">
        <f t="shared" si="262"/>
        <v>0</v>
      </c>
      <c r="AX21" s="38">
        <f t="shared" si="262"/>
        <v>0</v>
      </c>
      <c r="AY21" s="38">
        <f t="shared" si="262"/>
        <v>0</v>
      </c>
      <c r="AZ21" s="38">
        <f t="shared" si="262"/>
        <v>0</v>
      </c>
      <c r="BA21" s="38">
        <f t="shared" si="262"/>
        <v>0</v>
      </c>
      <c r="BB21" s="38">
        <f t="shared" si="262"/>
        <v>0</v>
      </c>
      <c r="BC21" s="38">
        <f t="shared" si="262"/>
        <v>2.5000000000000001E-2</v>
      </c>
      <c r="BD21" s="38">
        <f t="shared" si="262"/>
        <v>0</v>
      </c>
      <c r="BE21" s="38">
        <f t="shared" si="262"/>
        <v>0</v>
      </c>
      <c r="BF21" s="38">
        <f t="shared" si="262"/>
        <v>0</v>
      </c>
      <c r="BG21" s="38">
        <f t="shared" si="262"/>
        <v>0</v>
      </c>
      <c r="BH21" s="38">
        <f t="shared" si="262"/>
        <v>0</v>
      </c>
      <c r="BI21" s="38">
        <f t="shared" si="262"/>
        <v>0</v>
      </c>
      <c r="BJ21" s="38">
        <f t="shared" si="262"/>
        <v>0</v>
      </c>
      <c r="BK21" s="38">
        <f t="shared" si="262"/>
        <v>0</v>
      </c>
      <c r="BL21" s="38">
        <f t="shared" si="262"/>
        <v>0</v>
      </c>
      <c r="BM21" s="38">
        <f t="shared" si="262"/>
        <v>0</v>
      </c>
      <c r="BN21" s="38">
        <f t="shared" si="262"/>
        <v>0</v>
      </c>
      <c r="BO21" s="38">
        <f t="shared" si="262"/>
        <v>2.5000000000000001E-2</v>
      </c>
      <c r="BP21" s="38">
        <f t="shared" si="262"/>
        <v>0</v>
      </c>
      <c r="BQ21" s="38">
        <f t="shared" si="262"/>
        <v>0</v>
      </c>
      <c r="BR21" s="38">
        <f t="shared" si="262"/>
        <v>0</v>
      </c>
      <c r="BS21" s="38">
        <f t="shared" si="262"/>
        <v>0</v>
      </c>
      <c r="BT21" s="38">
        <f t="shared" si="262"/>
        <v>0</v>
      </c>
      <c r="BU21" s="38">
        <f t="shared" ref="BU21:EF21" si="263">IF(BU$7=" ",0,IF(MOD(BU$7,12)=1,$C$21,0))</f>
        <v>0</v>
      </c>
      <c r="BV21" s="38">
        <f t="shared" si="263"/>
        <v>0</v>
      </c>
      <c r="BW21" s="38">
        <f t="shared" si="263"/>
        <v>0</v>
      </c>
      <c r="BX21" s="38">
        <f t="shared" si="263"/>
        <v>0</v>
      </c>
      <c r="BY21" s="38">
        <f t="shared" si="263"/>
        <v>0</v>
      </c>
      <c r="BZ21" s="38">
        <f t="shared" si="263"/>
        <v>0</v>
      </c>
      <c r="CA21" s="38">
        <f t="shared" si="263"/>
        <v>2.5000000000000001E-2</v>
      </c>
      <c r="CB21" s="38">
        <f t="shared" si="263"/>
        <v>0</v>
      </c>
      <c r="CC21" s="38">
        <f t="shared" si="263"/>
        <v>0</v>
      </c>
      <c r="CD21" s="38">
        <f t="shared" si="263"/>
        <v>0</v>
      </c>
      <c r="CE21" s="38">
        <f t="shared" si="263"/>
        <v>0</v>
      </c>
      <c r="CF21" s="38">
        <f t="shared" si="263"/>
        <v>0</v>
      </c>
      <c r="CG21" s="38">
        <f t="shared" si="263"/>
        <v>0</v>
      </c>
      <c r="CH21" s="38">
        <f t="shared" si="263"/>
        <v>0</v>
      </c>
      <c r="CI21" s="38">
        <f t="shared" si="263"/>
        <v>0</v>
      </c>
      <c r="CJ21" s="38">
        <f t="shared" si="263"/>
        <v>0</v>
      </c>
      <c r="CK21" s="38">
        <f t="shared" si="263"/>
        <v>0</v>
      </c>
      <c r="CL21" s="38">
        <f t="shared" si="263"/>
        <v>0</v>
      </c>
      <c r="CM21" s="38">
        <f t="shared" si="263"/>
        <v>2.5000000000000001E-2</v>
      </c>
      <c r="CN21" s="38">
        <f t="shared" si="263"/>
        <v>0</v>
      </c>
      <c r="CO21" s="38">
        <f t="shared" si="263"/>
        <v>0</v>
      </c>
      <c r="CP21" s="38">
        <f t="shared" si="263"/>
        <v>0</v>
      </c>
      <c r="CQ21" s="38">
        <f t="shared" si="263"/>
        <v>0</v>
      </c>
      <c r="CR21" s="38">
        <f t="shared" si="263"/>
        <v>0</v>
      </c>
      <c r="CS21" s="38">
        <f t="shared" si="263"/>
        <v>0</v>
      </c>
      <c r="CT21" s="38">
        <f t="shared" si="263"/>
        <v>0</v>
      </c>
      <c r="CU21" s="38">
        <f t="shared" si="263"/>
        <v>0</v>
      </c>
      <c r="CV21" s="38">
        <f t="shared" si="263"/>
        <v>0</v>
      </c>
      <c r="CW21" s="38">
        <f t="shared" si="263"/>
        <v>0</v>
      </c>
      <c r="CX21" s="38">
        <f t="shared" si="263"/>
        <v>0</v>
      </c>
      <c r="CY21" s="38">
        <f t="shared" si="263"/>
        <v>2.5000000000000001E-2</v>
      </c>
      <c r="CZ21" s="38">
        <f t="shared" si="263"/>
        <v>0</v>
      </c>
      <c r="DA21" s="38">
        <f t="shared" si="263"/>
        <v>0</v>
      </c>
      <c r="DB21" s="38">
        <f t="shared" si="263"/>
        <v>0</v>
      </c>
      <c r="DC21" s="38">
        <f t="shared" si="263"/>
        <v>0</v>
      </c>
      <c r="DD21" s="38">
        <f t="shared" si="263"/>
        <v>0</v>
      </c>
      <c r="DE21" s="38">
        <f t="shared" si="263"/>
        <v>0</v>
      </c>
      <c r="DF21" s="38">
        <f t="shared" si="263"/>
        <v>0</v>
      </c>
      <c r="DG21" s="38">
        <f t="shared" si="263"/>
        <v>0</v>
      </c>
      <c r="DH21" s="38">
        <f t="shared" si="263"/>
        <v>0</v>
      </c>
      <c r="DI21" s="38">
        <f t="shared" si="263"/>
        <v>0</v>
      </c>
      <c r="DJ21" s="38">
        <f t="shared" si="263"/>
        <v>0</v>
      </c>
      <c r="DK21" s="38">
        <f t="shared" si="263"/>
        <v>2.5000000000000001E-2</v>
      </c>
      <c r="DL21" s="38">
        <f t="shared" si="263"/>
        <v>0</v>
      </c>
      <c r="DM21" s="38">
        <f t="shared" si="263"/>
        <v>0</v>
      </c>
      <c r="DN21" s="38">
        <f t="shared" si="263"/>
        <v>0</v>
      </c>
      <c r="DO21" s="38">
        <f t="shared" si="263"/>
        <v>0</v>
      </c>
      <c r="DP21" s="38">
        <f t="shared" si="263"/>
        <v>0</v>
      </c>
      <c r="DQ21" s="38">
        <f t="shared" si="263"/>
        <v>0</v>
      </c>
      <c r="DR21" s="38">
        <f t="shared" si="263"/>
        <v>0</v>
      </c>
      <c r="DS21" s="38">
        <f t="shared" si="263"/>
        <v>0</v>
      </c>
      <c r="DT21" s="38">
        <f t="shared" si="263"/>
        <v>0</v>
      </c>
      <c r="DU21" s="38">
        <f t="shared" si="263"/>
        <v>0</v>
      </c>
      <c r="DV21" s="38">
        <f t="shared" si="263"/>
        <v>0</v>
      </c>
      <c r="DW21" s="38">
        <f t="shared" si="263"/>
        <v>2.5000000000000001E-2</v>
      </c>
      <c r="DX21" s="38">
        <f t="shared" si="263"/>
        <v>0</v>
      </c>
      <c r="DY21" s="38">
        <f t="shared" si="263"/>
        <v>0</v>
      </c>
      <c r="DZ21" s="38">
        <f t="shared" si="263"/>
        <v>0</v>
      </c>
      <c r="EA21" s="38">
        <f t="shared" si="263"/>
        <v>0</v>
      </c>
      <c r="EB21" s="38">
        <f t="shared" si="263"/>
        <v>0</v>
      </c>
      <c r="EC21" s="38">
        <f t="shared" si="263"/>
        <v>0</v>
      </c>
      <c r="ED21" s="38">
        <f t="shared" si="263"/>
        <v>0</v>
      </c>
      <c r="EE21" s="38">
        <f t="shared" si="263"/>
        <v>0</v>
      </c>
      <c r="EF21" s="38">
        <f t="shared" si="263"/>
        <v>0</v>
      </c>
      <c r="EG21" s="38">
        <f t="shared" ref="EG21:GR21" si="264">IF(EG$7=" ",0,IF(MOD(EG$7,12)=1,$C$21,0))</f>
        <v>0</v>
      </c>
      <c r="EH21" s="38">
        <f t="shared" si="264"/>
        <v>0</v>
      </c>
      <c r="EI21" s="38">
        <f t="shared" si="264"/>
        <v>2.5000000000000001E-2</v>
      </c>
      <c r="EJ21" s="38">
        <f t="shared" si="264"/>
        <v>0</v>
      </c>
      <c r="EK21" s="38">
        <f t="shared" si="264"/>
        <v>0</v>
      </c>
      <c r="EL21" s="38">
        <f t="shared" si="264"/>
        <v>0</v>
      </c>
      <c r="EM21" s="38">
        <f t="shared" si="264"/>
        <v>0</v>
      </c>
      <c r="EN21" s="38">
        <f t="shared" si="264"/>
        <v>0</v>
      </c>
      <c r="EO21" s="38">
        <f t="shared" si="264"/>
        <v>0</v>
      </c>
      <c r="EP21" s="38">
        <f t="shared" si="264"/>
        <v>0</v>
      </c>
      <c r="EQ21" s="38">
        <f t="shared" si="264"/>
        <v>0</v>
      </c>
      <c r="ER21" s="38">
        <f t="shared" si="264"/>
        <v>0</v>
      </c>
      <c r="ES21" s="38">
        <f t="shared" si="264"/>
        <v>0</v>
      </c>
      <c r="ET21" s="38">
        <f t="shared" si="264"/>
        <v>0</v>
      </c>
      <c r="EU21" s="38">
        <f t="shared" si="264"/>
        <v>2.5000000000000001E-2</v>
      </c>
      <c r="EV21" s="38">
        <f t="shared" si="264"/>
        <v>0</v>
      </c>
      <c r="EW21" s="38">
        <f t="shared" si="264"/>
        <v>0</v>
      </c>
      <c r="EX21" s="38">
        <f t="shared" si="264"/>
        <v>0</v>
      </c>
      <c r="EY21" s="38">
        <f t="shared" si="264"/>
        <v>0</v>
      </c>
      <c r="EZ21" s="38">
        <f t="shared" si="264"/>
        <v>0</v>
      </c>
      <c r="FA21" s="38">
        <f t="shared" si="264"/>
        <v>0</v>
      </c>
      <c r="FB21" s="38">
        <f t="shared" si="264"/>
        <v>0</v>
      </c>
      <c r="FC21" s="38">
        <f t="shared" si="264"/>
        <v>0</v>
      </c>
      <c r="FD21" s="38">
        <f t="shared" si="264"/>
        <v>0</v>
      </c>
      <c r="FE21" s="38">
        <f t="shared" si="264"/>
        <v>0</v>
      </c>
      <c r="FF21" s="38">
        <f t="shared" si="264"/>
        <v>0</v>
      </c>
      <c r="FG21" s="38">
        <f t="shared" si="264"/>
        <v>2.5000000000000001E-2</v>
      </c>
      <c r="FH21" s="38">
        <f t="shared" si="264"/>
        <v>0</v>
      </c>
      <c r="FI21" s="38">
        <f t="shared" si="264"/>
        <v>0</v>
      </c>
      <c r="FJ21" s="38">
        <f t="shared" si="264"/>
        <v>0</v>
      </c>
      <c r="FK21" s="38">
        <f t="shared" si="264"/>
        <v>0</v>
      </c>
      <c r="FL21" s="38">
        <f t="shared" si="264"/>
        <v>0</v>
      </c>
      <c r="FM21" s="38">
        <f t="shared" si="264"/>
        <v>0</v>
      </c>
      <c r="FN21" s="38">
        <f t="shared" si="264"/>
        <v>0</v>
      </c>
      <c r="FO21" s="38">
        <f t="shared" si="264"/>
        <v>0</v>
      </c>
      <c r="FP21" s="38">
        <f t="shared" si="264"/>
        <v>0</v>
      </c>
      <c r="FQ21" s="38">
        <f t="shared" si="264"/>
        <v>0</v>
      </c>
      <c r="FR21" s="38">
        <f t="shared" si="264"/>
        <v>0</v>
      </c>
      <c r="FS21" s="38">
        <f t="shared" si="264"/>
        <v>2.5000000000000001E-2</v>
      </c>
      <c r="FT21" s="38">
        <f t="shared" si="264"/>
        <v>0</v>
      </c>
      <c r="FU21" s="38">
        <f t="shared" si="264"/>
        <v>0</v>
      </c>
      <c r="FV21" s="38">
        <f t="shared" si="264"/>
        <v>0</v>
      </c>
      <c r="FW21" s="38">
        <f t="shared" si="264"/>
        <v>0</v>
      </c>
      <c r="FX21" s="38">
        <f t="shared" si="264"/>
        <v>0</v>
      </c>
      <c r="FY21" s="38">
        <f t="shared" si="264"/>
        <v>0</v>
      </c>
      <c r="FZ21" s="38">
        <f t="shared" si="264"/>
        <v>0</v>
      </c>
      <c r="GA21" s="38">
        <f t="shared" si="264"/>
        <v>0</v>
      </c>
      <c r="GB21" s="38">
        <f t="shared" si="264"/>
        <v>0</v>
      </c>
      <c r="GC21" s="38">
        <f t="shared" si="264"/>
        <v>0</v>
      </c>
      <c r="GD21" s="38">
        <f t="shared" si="264"/>
        <v>0</v>
      </c>
      <c r="GE21" s="38">
        <f t="shared" si="264"/>
        <v>0</v>
      </c>
      <c r="GF21" s="38">
        <f t="shared" si="264"/>
        <v>0</v>
      </c>
      <c r="GG21" s="38">
        <f t="shared" si="264"/>
        <v>0</v>
      </c>
      <c r="GH21" s="38">
        <f t="shared" si="264"/>
        <v>0</v>
      </c>
      <c r="GI21" s="38">
        <f t="shared" si="264"/>
        <v>0</v>
      </c>
      <c r="GJ21" s="38">
        <f t="shared" si="264"/>
        <v>0</v>
      </c>
      <c r="GK21" s="38">
        <f t="shared" si="264"/>
        <v>0</v>
      </c>
      <c r="GL21" s="38">
        <f t="shared" si="264"/>
        <v>0</v>
      </c>
      <c r="GM21" s="38">
        <f t="shared" si="264"/>
        <v>0</v>
      </c>
      <c r="GN21" s="38">
        <f t="shared" si="264"/>
        <v>0</v>
      </c>
      <c r="GO21" s="38">
        <f t="shared" si="264"/>
        <v>0</v>
      </c>
      <c r="GP21" s="38">
        <f t="shared" si="264"/>
        <v>0</v>
      </c>
      <c r="GQ21" s="38">
        <f t="shared" si="264"/>
        <v>0</v>
      </c>
      <c r="GR21" s="38">
        <f t="shared" si="264"/>
        <v>0</v>
      </c>
      <c r="GS21" s="38">
        <f t="shared" ref="GS21:JD21" si="265">IF(GS$7=" ",0,IF(MOD(GS$7,12)=1,$C$21,0))</f>
        <v>0</v>
      </c>
      <c r="GT21" s="38">
        <f t="shared" si="265"/>
        <v>0</v>
      </c>
      <c r="GU21" s="38">
        <f t="shared" si="265"/>
        <v>0</v>
      </c>
      <c r="GV21" s="38">
        <f t="shared" si="265"/>
        <v>0</v>
      </c>
      <c r="GW21" s="38">
        <f t="shared" si="265"/>
        <v>0</v>
      </c>
      <c r="GX21" s="38">
        <f t="shared" si="265"/>
        <v>0</v>
      </c>
      <c r="GY21" s="38">
        <f t="shared" si="265"/>
        <v>0</v>
      </c>
      <c r="GZ21" s="38">
        <f t="shared" si="265"/>
        <v>0</v>
      </c>
      <c r="HA21" s="38">
        <f t="shared" si="265"/>
        <v>0</v>
      </c>
      <c r="HB21" s="38">
        <f t="shared" si="265"/>
        <v>0</v>
      </c>
      <c r="HC21" s="38">
        <f t="shared" si="265"/>
        <v>0</v>
      </c>
      <c r="HD21" s="38">
        <f t="shared" si="265"/>
        <v>0</v>
      </c>
      <c r="HE21" s="38">
        <f t="shared" si="265"/>
        <v>0</v>
      </c>
      <c r="HF21" s="38">
        <f t="shared" si="265"/>
        <v>0</v>
      </c>
      <c r="HG21" s="38">
        <f t="shared" si="265"/>
        <v>0</v>
      </c>
      <c r="HH21" s="38">
        <f t="shared" si="265"/>
        <v>0</v>
      </c>
      <c r="HI21" s="38">
        <f t="shared" si="265"/>
        <v>0</v>
      </c>
      <c r="HJ21" s="38">
        <f t="shared" si="265"/>
        <v>0</v>
      </c>
      <c r="HK21" s="38">
        <f t="shared" si="265"/>
        <v>0</v>
      </c>
      <c r="HL21" s="38">
        <f t="shared" si="265"/>
        <v>0</v>
      </c>
      <c r="HM21" s="38">
        <f t="shared" si="265"/>
        <v>0</v>
      </c>
      <c r="HN21" s="38">
        <f t="shared" si="265"/>
        <v>0</v>
      </c>
      <c r="HO21" s="38">
        <f t="shared" si="265"/>
        <v>0</v>
      </c>
      <c r="HP21" s="38">
        <f t="shared" si="265"/>
        <v>0</v>
      </c>
      <c r="HQ21" s="38">
        <f t="shared" si="265"/>
        <v>0</v>
      </c>
      <c r="HR21" s="38">
        <f t="shared" si="265"/>
        <v>0</v>
      </c>
      <c r="HS21" s="38">
        <f t="shared" si="265"/>
        <v>0</v>
      </c>
      <c r="HT21" s="38">
        <f t="shared" si="265"/>
        <v>0</v>
      </c>
      <c r="HU21" s="38">
        <f t="shared" si="265"/>
        <v>0</v>
      </c>
      <c r="HV21" s="38">
        <f t="shared" si="265"/>
        <v>0</v>
      </c>
      <c r="HW21" s="38">
        <f t="shared" si="265"/>
        <v>0</v>
      </c>
      <c r="HX21" s="38">
        <f t="shared" si="265"/>
        <v>0</v>
      </c>
      <c r="HY21" s="38">
        <f t="shared" si="265"/>
        <v>0</v>
      </c>
      <c r="HZ21" s="38">
        <f t="shared" si="265"/>
        <v>0</v>
      </c>
      <c r="IA21" s="38">
        <f t="shared" si="265"/>
        <v>0</v>
      </c>
      <c r="IB21" s="38">
        <f t="shared" si="265"/>
        <v>0</v>
      </c>
      <c r="IC21" s="38">
        <f t="shared" si="265"/>
        <v>0</v>
      </c>
      <c r="ID21" s="38">
        <f t="shared" si="265"/>
        <v>0</v>
      </c>
      <c r="IE21" s="38">
        <f t="shared" si="265"/>
        <v>0</v>
      </c>
      <c r="IF21" s="38">
        <f t="shared" si="265"/>
        <v>0</v>
      </c>
      <c r="IG21" s="38">
        <f t="shared" si="265"/>
        <v>0</v>
      </c>
      <c r="IH21" s="38">
        <f t="shared" si="265"/>
        <v>0</v>
      </c>
      <c r="II21" s="38">
        <f t="shared" si="265"/>
        <v>0</v>
      </c>
      <c r="IJ21" s="38">
        <f t="shared" si="265"/>
        <v>0</v>
      </c>
      <c r="IK21" s="38">
        <f t="shared" si="265"/>
        <v>0</v>
      </c>
      <c r="IL21" s="38">
        <f t="shared" si="265"/>
        <v>0</v>
      </c>
      <c r="IM21" s="38">
        <f t="shared" si="265"/>
        <v>0</v>
      </c>
      <c r="IN21" s="38">
        <f t="shared" si="265"/>
        <v>0</v>
      </c>
      <c r="IO21" s="38">
        <f t="shared" si="265"/>
        <v>0</v>
      </c>
      <c r="IP21" s="38">
        <f t="shared" si="265"/>
        <v>0</v>
      </c>
      <c r="IQ21" s="38">
        <f t="shared" si="265"/>
        <v>0</v>
      </c>
      <c r="IR21" s="38">
        <f t="shared" si="265"/>
        <v>0</v>
      </c>
      <c r="IS21" s="38">
        <f t="shared" si="265"/>
        <v>0</v>
      </c>
      <c r="IT21" s="38">
        <f t="shared" si="265"/>
        <v>0</v>
      </c>
      <c r="IU21" s="38">
        <f t="shared" si="265"/>
        <v>0</v>
      </c>
      <c r="IV21" s="38">
        <f t="shared" si="265"/>
        <v>0</v>
      </c>
      <c r="IW21" s="38">
        <f t="shared" si="265"/>
        <v>0</v>
      </c>
      <c r="IX21" s="38">
        <f t="shared" si="265"/>
        <v>0</v>
      </c>
      <c r="IY21" s="38">
        <f t="shared" si="265"/>
        <v>0</v>
      </c>
      <c r="IZ21" s="38">
        <f t="shared" si="265"/>
        <v>0</v>
      </c>
      <c r="JA21" s="38">
        <f t="shared" si="265"/>
        <v>0</v>
      </c>
      <c r="JB21" s="38">
        <f t="shared" si="265"/>
        <v>0</v>
      </c>
      <c r="JC21" s="38">
        <f t="shared" si="265"/>
        <v>0</v>
      </c>
      <c r="JD21" s="38">
        <f t="shared" si="265"/>
        <v>0</v>
      </c>
      <c r="JE21" s="38">
        <f t="shared" ref="JE21:LP21" si="266">IF(JE$7=" ",0,IF(MOD(JE$7,12)=1,$C$21,0))</f>
        <v>0</v>
      </c>
      <c r="JF21" s="38">
        <f t="shared" si="266"/>
        <v>0</v>
      </c>
      <c r="JG21" s="38">
        <f t="shared" si="266"/>
        <v>0</v>
      </c>
      <c r="JH21" s="38">
        <f t="shared" si="266"/>
        <v>0</v>
      </c>
      <c r="JI21" s="38">
        <f t="shared" si="266"/>
        <v>0</v>
      </c>
      <c r="JJ21" s="38">
        <f t="shared" si="266"/>
        <v>0</v>
      </c>
      <c r="JK21" s="38">
        <f t="shared" si="266"/>
        <v>0</v>
      </c>
      <c r="JL21" s="38">
        <f t="shared" si="266"/>
        <v>0</v>
      </c>
      <c r="JM21" s="38">
        <f t="shared" si="266"/>
        <v>0</v>
      </c>
      <c r="JN21" s="38">
        <f t="shared" si="266"/>
        <v>0</v>
      </c>
      <c r="JO21" s="38">
        <f t="shared" si="266"/>
        <v>0</v>
      </c>
      <c r="JP21" s="38">
        <f t="shared" si="266"/>
        <v>0</v>
      </c>
      <c r="JQ21" s="38">
        <f t="shared" si="266"/>
        <v>0</v>
      </c>
      <c r="JR21" s="38">
        <f t="shared" si="266"/>
        <v>0</v>
      </c>
      <c r="JS21" s="38">
        <f t="shared" si="266"/>
        <v>0</v>
      </c>
      <c r="JT21" s="38">
        <f t="shared" si="266"/>
        <v>0</v>
      </c>
      <c r="JU21" s="38">
        <f t="shared" si="266"/>
        <v>0</v>
      </c>
      <c r="JV21" s="38">
        <f t="shared" si="266"/>
        <v>0</v>
      </c>
      <c r="JW21" s="38">
        <f t="shared" si="266"/>
        <v>0</v>
      </c>
      <c r="JX21" s="38">
        <f t="shared" si="266"/>
        <v>0</v>
      </c>
      <c r="JY21" s="38">
        <f t="shared" si="266"/>
        <v>0</v>
      </c>
      <c r="JZ21" s="38">
        <f t="shared" si="266"/>
        <v>0</v>
      </c>
      <c r="KA21" s="38">
        <f t="shared" si="266"/>
        <v>0</v>
      </c>
      <c r="KB21" s="38">
        <f t="shared" si="266"/>
        <v>0</v>
      </c>
      <c r="KC21" s="38">
        <f t="shared" si="266"/>
        <v>0</v>
      </c>
      <c r="KD21" s="38">
        <f t="shared" si="266"/>
        <v>0</v>
      </c>
      <c r="KE21" s="38">
        <f t="shared" si="266"/>
        <v>0</v>
      </c>
      <c r="KF21" s="38">
        <f t="shared" si="266"/>
        <v>0</v>
      </c>
      <c r="KG21" s="38">
        <f t="shared" si="266"/>
        <v>0</v>
      </c>
      <c r="KH21" s="38">
        <f t="shared" si="266"/>
        <v>0</v>
      </c>
      <c r="KI21" s="38">
        <f t="shared" si="266"/>
        <v>0</v>
      </c>
      <c r="KJ21" s="38">
        <f t="shared" si="266"/>
        <v>0</v>
      </c>
      <c r="KK21" s="38">
        <f t="shared" si="266"/>
        <v>0</v>
      </c>
      <c r="KL21" s="38">
        <f t="shared" si="266"/>
        <v>0</v>
      </c>
      <c r="KM21" s="38">
        <f t="shared" si="266"/>
        <v>0</v>
      </c>
      <c r="KN21" s="38">
        <f t="shared" si="266"/>
        <v>0</v>
      </c>
      <c r="KO21" s="38">
        <f t="shared" si="266"/>
        <v>0</v>
      </c>
      <c r="KP21" s="38">
        <f t="shared" si="266"/>
        <v>0</v>
      </c>
      <c r="KQ21" s="38">
        <f t="shared" si="266"/>
        <v>0</v>
      </c>
      <c r="KR21" s="38">
        <f t="shared" si="266"/>
        <v>0</v>
      </c>
      <c r="KS21" s="38">
        <f t="shared" si="266"/>
        <v>0</v>
      </c>
      <c r="KT21" s="38">
        <f t="shared" si="266"/>
        <v>0</v>
      </c>
      <c r="KU21" s="38">
        <f t="shared" si="266"/>
        <v>0</v>
      </c>
      <c r="KV21" s="38">
        <f t="shared" si="266"/>
        <v>0</v>
      </c>
      <c r="KW21" s="38">
        <f t="shared" si="266"/>
        <v>0</v>
      </c>
      <c r="KX21" s="38">
        <f t="shared" si="266"/>
        <v>0</v>
      </c>
      <c r="KY21" s="38">
        <f t="shared" si="266"/>
        <v>0</v>
      </c>
      <c r="KZ21" s="38">
        <f t="shared" si="266"/>
        <v>0</v>
      </c>
      <c r="LA21" s="38">
        <f t="shared" si="266"/>
        <v>0</v>
      </c>
      <c r="LB21" s="38">
        <f t="shared" si="266"/>
        <v>0</v>
      </c>
      <c r="LC21" s="38">
        <f t="shared" si="266"/>
        <v>0</v>
      </c>
      <c r="LD21" s="38">
        <f t="shared" si="266"/>
        <v>0</v>
      </c>
      <c r="LE21" s="38">
        <f t="shared" si="266"/>
        <v>0</v>
      </c>
      <c r="LF21" s="38">
        <f t="shared" si="266"/>
        <v>0</v>
      </c>
      <c r="LG21" s="38">
        <f t="shared" si="266"/>
        <v>0</v>
      </c>
      <c r="LH21" s="38">
        <f t="shared" si="266"/>
        <v>0</v>
      </c>
      <c r="LI21" s="38">
        <f t="shared" si="266"/>
        <v>0</v>
      </c>
      <c r="LJ21" s="38">
        <f t="shared" si="266"/>
        <v>0</v>
      </c>
      <c r="LK21" s="38">
        <f t="shared" si="266"/>
        <v>0</v>
      </c>
      <c r="LL21" s="38">
        <f t="shared" si="266"/>
        <v>0</v>
      </c>
      <c r="LM21" s="38">
        <f t="shared" si="266"/>
        <v>0</v>
      </c>
      <c r="LN21" s="38">
        <f t="shared" si="266"/>
        <v>0</v>
      </c>
      <c r="LO21" s="38">
        <f t="shared" si="266"/>
        <v>0</v>
      </c>
      <c r="LP21" s="38">
        <f t="shared" si="266"/>
        <v>0</v>
      </c>
      <c r="LQ21" s="38">
        <f t="shared" ref="LQ21:NB21" si="267">IF(LQ$7=" ",0,IF(MOD(LQ$7,12)=1,$C$21,0))</f>
        <v>0</v>
      </c>
      <c r="LR21" s="38">
        <f t="shared" si="267"/>
        <v>0</v>
      </c>
      <c r="LS21" s="38">
        <f t="shared" si="267"/>
        <v>0</v>
      </c>
      <c r="LT21" s="38">
        <f t="shared" si="267"/>
        <v>0</v>
      </c>
      <c r="LU21" s="38">
        <f t="shared" si="267"/>
        <v>0</v>
      </c>
      <c r="LV21" s="38">
        <f t="shared" si="267"/>
        <v>0</v>
      </c>
      <c r="LW21" s="38">
        <f t="shared" si="267"/>
        <v>0</v>
      </c>
      <c r="LX21" s="38">
        <f t="shared" si="267"/>
        <v>0</v>
      </c>
      <c r="LY21" s="38">
        <f t="shared" si="267"/>
        <v>0</v>
      </c>
      <c r="LZ21" s="38">
        <f t="shared" si="267"/>
        <v>0</v>
      </c>
      <c r="MA21" s="38">
        <f t="shared" si="267"/>
        <v>0</v>
      </c>
      <c r="MB21" s="38">
        <f t="shared" si="267"/>
        <v>0</v>
      </c>
      <c r="MC21" s="38">
        <f t="shared" si="267"/>
        <v>0</v>
      </c>
      <c r="MD21" s="38">
        <f t="shared" si="267"/>
        <v>0</v>
      </c>
      <c r="ME21" s="38">
        <f t="shared" si="267"/>
        <v>0</v>
      </c>
      <c r="MF21" s="38">
        <f t="shared" si="267"/>
        <v>0</v>
      </c>
      <c r="MG21" s="38">
        <f t="shared" si="267"/>
        <v>0</v>
      </c>
      <c r="MH21" s="38">
        <f t="shared" si="267"/>
        <v>0</v>
      </c>
      <c r="MI21" s="38">
        <f t="shared" si="267"/>
        <v>0</v>
      </c>
      <c r="MJ21" s="38">
        <f t="shared" si="267"/>
        <v>0</v>
      </c>
      <c r="MK21" s="38">
        <f t="shared" si="267"/>
        <v>0</v>
      </c>
      <c r="ML21" s="38">
        <f t="shared" si="267"/>
        <v>0</v>
      </c>
      <c r="MM21" s="38">
        <f t="shared" si="267"/>
        <v>0</v>
      </c>
      <c r="MN21" s="38">
        <f t="shared" si="267"/>
        <v>0</v>
      </c>
      <c r="MO21" s="38">
        <f t="shared" si="267"/>
        <v>0</v>
      </c>
      <c r="MP21" s="38">
        <f t="shared" si="267"/>
        <v>0</v>
      </c>
      <c r="MQ21" s="38">
        <f t="shared" si="267"/>
        <v>0</v>
      </c>
      <c r="MR21" s="38">
        <f t="shared" si="267"/>
        <v>0</v>
      </c>
      <c r="MS21" s="38">
        <f t="shared" si="267"/>
        <v>0</v>
      </c>
      <c r="MT21" s="38">
        <f t="shared" si="267"/>
        <v>0</v>
      </c>
      <c r="MU21" s="38">
        <f t="shared" si="267"/>
        <v>0</v>
      </c>
      <c r="MV21" s="38">
        <f t="shared" si="267"/>
        <v>0</v>
      </c>
      <c r="MW21" s="38">
        <f t="shared" si="267"/>
        <v>0</v>
      </c>
      <c r="MX21" s="38">
        <f t="shared" si="267"/>
        <v>0</v>
      </c>
      <c r="MY21" s="38">
        <f t="shared" si="267"/>
        <v>0</v>
      </c>
      <c r="MZ21" s="38">
        <f t="shared" si="267"/>
        <v>0</v>
      </c>
      <c r="NA21" s="38">
        <f t="shared" si="267"/>
        <v>0</v>
      </c>
      <c r="NB21" s="38">
        <f t="shared" si="267"/>
        <v>0</v>
      </c>
    </row>
    <row r="22" spans="2:366" x14ac:dyDescent="0.15">
      <c r="B22" s="39"/>
      <c r="C22" s="39"/>
      <c r="D22" s="19"/>
      <c r="E22" s="19"/>
      <c r="F22" s="38"/>
      <c r="G22" s="38"/>
      <c r="H22" s="38"/>
      <c r="I22" s="38"/>
      <c r="J22" s="38"/>
      <c r="K22" s="38"/>
      <c r="L22" s="38"/>
      <c r="M22" s="38"/>
      <c r="N22" s="38"/>
      <c r="O22" s="38"/>
      <c r="P22" s="38"/>
      <c r="Q22" s="38"/>
      <c r="R22" s="38"/>
      <c r="S22" s="38"/>
      <c r="T22" s="38"/>
      <c r="U22" s="38"/>
      <c r="V22" s="38"/>
      <c r="W22" s="38"/>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8"/>
      <c r="AW22" s="38"/>
      <c r="AX22" s="38"/>
      <c r="AY22" s="38"/>
      <c r="AZ22" s="38"/>
      <c r="BA22" s="38"/>
      <c r="BB22" s="38"/>
      <c r="BC22" s="38"/>
      <c r="BD22" s="38"/>
      <c r="BE22" s="38"/>
      <c r="BF22" s="38"/>
      <c r="BG22" s="38"/>
      <c r="BH22" s="38"/>
      <c r="BI22" s="38"/>
      <c r="BJ22" s="38"/>
      <c r="BK22" s="38"/>
      <c r="BL22" s="38"/>
      <c r="BM22" s="38"/>
      <c r="BN22" s="38"/>
      <c r="BO22" s="38"/>
      <c r="BP22" s="38"/>
      <c r="BQ22" s="38"/>
      <c r="BR22" s="38"/>
      <c r="BS22" s="38"/>
      <c r="BT22" s="38"/>
      <c r="BU22" s="38"/>
      <c r="BV22" s="38"/>
      <c r="BW22" s="38"/>
      <c r="BX22" s="38"/>
      <c r="BY22" s="38"/>
      <c r="BZ22" s="38"/>
      <c r="CA22" s="38"/>
      <c r="CB22" s="38"/>
      <c r="CC22" s="38"/>
      <c r="CD22" s="38"/>
      <c r="CE22" s="38"/>
      <c r="CF22" s="38"/>
      <c r="CG22" s="38"/>
      <c r="CH22" s="38"/>
      <c r="CI22" s="38"/>
      <c r="CJ22" s="38"/>
      <c r="CK22" s="38"/>
      <c r="CL22" s="38"/>
      <c r="CM22" s="38"/>
      <c r="CN22" s="38"/>
      <c r="CO22" s="38"/>
      <c r="CP22" s="38"/>
      <c r="CQ22" s="38"/>
      <c r="CR22" s="38"/>
      <c r="CS22" s="38"/>
      <c r="CT22" s="38"/>
      <c r="CU22" s="38"/>
      <c r="CV22" s="38"/>
      <c r="CW22" s="38"/>
      <c r="CX22" s="38"/>
      <c r="CY22" s="38"/>
      <c r="CZ22" s="38"/>
      <c r="DA22" s="38"/>
      <c r="DB22" s="38"/>
      <c r="DC22" s="38"/>
      <c r="DD22" s="38"/>
      <c r="DE22" s="38"/>
      <c r="DF22" s="38"/>
      <c r="DG22" s="38"/>
      <c r="DH22" s="38"/>
      <c r="DI22" s="38"/>
      <c r="DJ22" s="38"/>
      <c r="DK22" s="38"/>
      <c r="DL22" s="38"/>
      <c r="DM22" s="38"/>
      <c r="DN22" s="38"/>
      <c r="DO22" s="38"/>
      <c r="DP22" s="38"/>
      <c r="DQ22" s="38"/>
      <c r="DR22" s="38"/>
      <c r="DS22" s="38"/>
      <c r="DT22" s="38"/>
      <c r="DU22" s="38"/>
      <c r="DV22" s="38"/>
      <c r="DW22" s="38"/>
      <c r="DX22" s="38"/>
      <c r="DY22" s="38"/>
      <c r="DZ22" s="38"/>
      <c r="EA22" s="38"/>
      <c r="EB22" s="38"/>
      <c r="EC22" s="38"/>
      <c r="ED22" s="38"/>
      <c r="EE22" s="38"/>
      <c r="EF22" s="38"/>
      <c r="EG22" s="38"/>
      <c r="EH22" s="38"/>
      <c r="EI22" s="38"/>
      <c r="EJ22" s="38"/>
      <c r="EK22" s="38"/>
      <c r="EL22" s="38"/>
      <c r="EM22" s="38"/>
      <c r="EN22" s="38"/>
      <c r="EO22" s="38"/>
      <c r="EP22" s="38"/>
      <c r="EQ22" s="38"/>
      <c r="ER22" s="38"/>
      <c r="ES22" s="38"/>
      <c r="ET22" s="38"/>
      <c r="EU22" s="38"/>
      <c r="EV22" s="38"/>
      <c r="EW22" s="38"/>
      <c r="EX22" s="38"/>
      <c r="EY22" s="38"/>
      <c r="EZ22" s="38"/>
      <c r="FA22" s="38"/>
      <c r="FB22" s="38"/>
      <c r="FC22" s="38"/>
      <c r="FD22" s="38"/>
      <c r="FE22" s="38"/>
      <c r="FF22" s="38"/>
      <c r="FG22" s="38"/>
      <c r="FH22" s="38"/>
      <c r="FI22" s="38"/>
      <c r="FJ22" s="38"/>
      <c r="FK22" s="38"/>
      <c r="FL22" s="38"/>
      <c r="FM22" s="38"/>
      <c r="FN22" s="38"/>
      <c r="FO22" s="38"/>
      <c r="FP22" s="38"/>
      <c r="FQ22" s="38"/>
      <c r="FR22" s="38"/>
      <c r="FS22" s="38"/>
      <c r="FT22" s="38"/>
      <c r="FU22" s="38"/>
      <c r="FV22" s="38"/>
      <c r="FW22" s="38"/>
      <c r="FX22" s="38"/>
      <c r="FY22" s="38"/>
      <c r="FZ22" s="38"/>
      <c r="GA22" s="38"/>
      <c r="GB22" s="38"/>
      <c r="GC22" s="38"/>
      <c r="GD22" s="38"/>
      <c r="GE22" s="38"/>
      <c r="GF22" s="38"/>
      <c r="GG22" s="38"/>
      <c r="GH22" s="38"/>
      <c r="GI22" s="38"/>
      <c r="GJ22" s="38"/>
      <c r="GK22" s="38"/>
      <c r="GL22" s="38"/>
      <c r="GM22" s="38"/>
      <c r="GN22" s="38"/>
      <c r="GO22" s="38"/>
      <c r="GP22" s="38"/>
      <c r="GQ22" s="38"/>
      <c r="GR22" s="38"/>
      <c r="GS22" s="38"/>
      <c r="GT22" s="38"/>
      <c r="GU22" s="38"/>
      <c r="GV22" s="38"/>
      <c r="GW22" s="38"/>
      <c r="GX22" s="38"/>
      <c r="GY22" s="38"/>
      <c r="GZ22" s="38"/>
      <c r="HA22" s="38"/>
      <c r="HB22" s="38"/>
      <c r="HC22" s="38"/>
      <c r="HD22" s="38"/>
      <c r="HE22" s="38"/>
      <c r="HF22" s="38"/>
      <c r="HG22" s="38"/>
      <c r="HH22" s="38"/>
      <c r="HI22" s="38"/>
      <c r="HJ22" s="38"/>
      <c r="HK22" s="38"/>
      <c r="HL22" s="38"/>
      <c r="HM22" s="38"/>
      <c r="HN22" s="38"/>
      <c r="HO22" s="38"/>
      <c r="HP22" s="38"/>
      <c r="HQ22" s="38"/>
      <c r="HR22" s="38"/>
      <c r="HS22" s="38"/>
      <c r="HT22" s="38"/>
      <c r="HU22" s="38"/>
      <c r="HV22" s="38"/>
      <c r="HW22" s="38"/>
      <c r="HX22" s="38"/>
      <c r="HY22" s="38"/>
      <c r="HZ22" s="38"/>
      <c r="IA22" s="38"/>
      <c r="IB22" s="38"/>
      <c r="IC22" s="38"/>
      <c r="ID22" s="38"/>
      <c r="IE22" s="38"/>
      <c r="IF22" s="38"/>
      <c r="IG22" s="38"/>
      <c r="IH22" s="38"/>
      <c r="II22" s="38"/>
      <c r="IJ22" s="38"/>
      <c r="IK22" s="38"/>
      <c r="IL22" s="38"/>
    </row>
    <row r="23" spans="2:366" x14ac:dyDescent="0.15">
      <c r="B23" t="s">
        <v>317</v>
      </c>
      <c r="C23" s="263">
        <f>inflation</f>
        <v>2.5000000000000001E-2</v>
      </c>
      <c r="F23" s="38">
        <v>0</v>
      </c>
      <c r="G23" s="38">
        <v>0</v>
      </c>
      <c r="H23" s="38">
        <f>IF(H$7=" ",0,IF(MOD(H$7,12)=1,$C$23,0))</f>
        <v>0</v>
      </c>
      <c r="I23" s="38">
        <f t="shared" ref="I23:BT23" si="268">IF(I$7=" ",0,IF(MOD(I$7,12)=1,$C$23,0))</f>
        <v>0</v>
      </c>
      <c r="J23" s="38">
        <f t="shared" si="268"/>
        <v>0</v>
      </c>
      <c r="K23" s="38">
        <f t="shared" si="268"/>
        <v>0</v>
      </c>
      <c r="L23" s="38">
        <f t="shared" si="268"/>
        <v>0</v>
      </c>
      <c r="M23" s="38">
        <f t="shared" si="268"/>
        <v>0</v>
      </c>
      <c r="N23" s="38">
        <f t="shared" si="268"/>
        <v>0</v>
      </c>
      <c r="O23" s="38">
        <f t="shared" si="268"/>
        <v>0</v>
      </c>
      <c r="P23" s="38">
        <f t="shared" si="268"/>
        <v>0</v>
      </c>
      <c r="Q23" s="38">
        <f t="shared" si="268"/>
        <v>0</v>
      </c>
      <c r="R23" s="38">
        <f t="shared" si="268"/>
        <v>0</v>
      </c>
      <c r="S23" s="38">
        <f t="shared" si="268"/>
        <v>2.5000000000000001E-2</v>
      </c>
      <c r="T23" s="38">
        <f t="shared" si="268"/>
        <v>0</v>
      </c>
      <c r="U23" s="38">
        <f t="shared" si="268"/>
        <v>0</v>
      </c>
      <c r="V23" s="38">
        <f t="shared" si="268"/>
        <v>0</v>
      </c>
      <c r="W23" s="38">
        <f t="shared" si="268"/>
        <v>0</v>
      </c>
      <c r="X23" s="38">
        <f t="shared" si="268"/>
        <v>0</v>
      </c>
      <c r="Y23" s="38">
        <f t="shared" si="268"/>
        <v>0</v>
      </c>
      <c r="Z23" s="38">
        <f t="shared" si="268"/>
        <v>0</v>
      </c>
      <c r="AA23" s="38">
        <f t="shared" si="268"/>
        <v>0</v>
      </c>
      <c r="AB23" s="38">
        <f t="shared" si="268"/>
        <v>0</v>
      </c>
      <c r="AC23" s="38">
        <f t="shared" si="268"/>
        <v>0</v>
      </c>
      <c r="AD23" s="38">
        <f t="shared" si="268"/>
        <v>0</v>
      </c>
      <c r="AE23" s="38">
        <f t="shared" si="268"/>
        <v>2.5000000000000001E-2</v>
      </c>
      <c r="AF23" s="38">
        <f t="shared" si="268"/>
        <v>0</v>
      </c>
      <c r="AG23" s="38">
        <f t="shared" si="268"/>
        <v>0</v>
      </c>
      <c r="AH23" s="38">
        <f t="shared" si="268"/>
        <v>0</v>
      </c>
      <c r="AI23" s="38">
        <f t="shared" si="268"/>
        <v>0</v>
      </c>
      <c r="AJ23" s="38">
        <f t="shared" si="268"/>
        <v>0</v>
      </c>
      <c r="AK23" s="38">
        <f t="shared" si="268"/>
        <v>0</v>
      </c>
      <c r="AL23" s="38">
        <f t="shared" si="268"/>
        <v>0</v>
      </c>
      <c r="AM23" s="38">
        <f t="shared" si="268"/>
        <v>0</v>
      </c>
      <c r="AN23" s="38">
        <f t="shared" si="268"/>
        <v>0</v>
      </c>
      <c r="AO23" s="38">
        <f t="shared" si="268"/>
        <v>0</v>
      </c>
      <c r="AP23" s="38">
        <f t="shared" si="268"/>
        <v>0</v>
      </c>
      <c r="AQ23" s="38">
        <f t="shared" si="268"/>
        <v>2.5000000000000001E-2</v>
      </c>
      <c r="AR23" s="38">
        <f t="shared" si="268"/>
        <v>0</v>
      </c>
      <c r="AS23" s="38">
        <f t="shared" si="268"/>
        <v>0</v>
      </c>
      <c r="AT23" s="38">
        <f t="shared" si="268"/>
        <v>0</v>
      </c>
      <c r="AU23" s="38">
        <f t="shared" si="268"/>
        <v>0</v>
      </c>
      <c r="AV23" s="38">
        <f t="shared" si="268"/>
        <v>0</v>
      </c>
      <c r="AW23" s="38">
        <f t="shared" si="268"/>
        <v>0</v>
      </c>
      <c r="AX23" s="38">
        <f t="shared" si="268"/>
        <v>0</v>
      </c>
      <c r="AY23" s="38">
        <f t="shared" si="268"/>
        <v>0</v>
      </c>
      <c r="AZ23" s="38">
        <f t="shared" si="268"/>
        <v>0</v>
      </c>
      <c r="BA23" s="38">
        <f t="shared" si="268"/>
        <v>0</v>
      </c>
      <c r="BB23" s="38">
        <f t="shared" si="268"/>
        <v>0</v>
      </c>
      <c r="BC23" s="38">
        <f t="shared" si="268"/>
        <v>2.5000000000000001E-2</v>
      </c>
      <c r="BD23" s="38">
        <f t="shared" si="268"/>
        <v>0</v>
      </c>
      <c r="BE23" s="38">
        <f t="shared" si="268"/>
        <v>0</v>
      </c>
      <c r="BF23" s="38">
        <f t="shared" si="268"/>
        <v>0</v>
      </c>
      <c r="BG23" s="38">
        <f t="shared" si="268"/>
        <v>0</v>
      </c>
      <c r="BH23" s="38">
        <f t="shared" si="268"/>
        <v>0</v>
      </c>
      <c r="BI23" s="38">
        <f t="shared" si="268"/>
        <v>0</v>
      </c>
      <c r="BJ23" s="38">
        <f t="shared" si="268"/>
        <v>0</v>
      </c>
      <c r="BK23" s="38">
        <f t="shared" si="268"/>
        <v>0</v>
      </c>
      <c r="BL23" s="38">
        <f t="shared" si="268"/>
        <v>0</v>
      </c>
      <c r="BM23" s="38">
        <f t="shared" si="268"/>
        <v>0</v>
      </c>
      <c r="BN23" s="38">
        <f t="shared" si="268"/>
        <v>0</v>
      </c>
      <c r="BO23" s="38">
        <f t="shared" si="268"/>
        <v>2.5000000000000001E-2</v>
      </c>
      <c r="BP23" s="38">
        <f t="shared" si="268"/>
        <v>0</v>
      </c>
      <c r="BQ23" s="38">
        <f t="shared" si="268"/>
        <v>0</v>
      </c>
      <c r="BR23" s="38">
        <f t="shared" si="268"/>
        <v>0</v>
      </c>
      <c r="BS23" s="38">
        <f t="shared" si="268"/>
        <v>0</v>
      </c>
      <c r="BT23" s="38">
        <f t="shared" si="268"/>
        <v>0</v>
      </c>
      <c r="BU23" s="38">
        <f t="shared" ref="BU23:EF23" si="269">IF(BU$7=" ",0,IF(MOD(BU$7,12)=1,$C$23,0))</f>
        <v>0</v>
      </c>
      <c r="BV23" s="38">
        <f t="shared" si="269"/>
        <v>0</v>
      </c>
      <c r="BW23" s="38">
        <f t="shared" si="269"/>
        <v>0</v>
      </c>
      <c r="BX23" s="38">
        <f t="shared" si="269"/>
        <v>0</v>
      </c>
      <c r="BY23" s="38">
        <f t="shared" si="269"/>
        <v>0</v>
      </c>
      <c r="BZ23" s="38">
        <f t="shared" si="269"/>
        <v>0</v>
      </c>
      <c r="CA23" s="38">
        <f t="shared" si="269"/>
        <v>2.5000000000000001E-2</v>
      </c>
      <c r="CB23" s="38">
        <f t="shared" si="269"/>
        <v>0</v>
      </c>
      <c r="CC23" s="38">
        <f t="shared" si="269"/>
        <v>0</v>
      </c>
      <c r="CD23" s="38">
        <f t="shared" si="269"/>
        <v>0</v>
      </c>
      <c r="CE23" s="38">
        <f t="shared" si="269"/>
        <v>0</v>
      </c>
      <c r="CF23" s="38">
        <f t="shared" si="269"/>
        <v>0</v>
      </c>
      <c r="CG23" s="38">
        <f t="shared" si="269"/>
        <v>0</v>
      </c>
      <c r="CH23" s="38">
        <f t="shared" si="269"/>
        <v>0</v>
      </c>
      <c r="CI23" s="38">
        <f t="shared" si="269"/>
        <v>0</v>
      </c>
      <c r="CJ23" s="38">
        <f t="shared" si="269"/>
        <v>0</v>
      </c>
      <c r="CK23" s="38">
        <f t="shared" si="269"/>
        <v>0</v>
      </c>
      <c r="CL23" s="38">
        <f t="shared" si="269"/>
        <v>0</v>
      </c>
      <c r="CM23" s="38">
        <f t="shared" si="269"/>
        <v>2.5000000000000001E-2</v>
      </c>
      <c r="CN23" s="38">
        <f t="shared" si="269"/>
        <v>0</v>
      </c>
      <c r="CO23" s="38">
        <f t="shared" si="269"/>
        <v>0</v>
      </c>
      <c r="CP23" s="38">
        <f t="shared" si="269"/>
        <v>0</v>
      </c>
      <c r="CQ23" s="38">
        <f t="shared" si="269"/>
        <v>0</v>
      </c>
      <c r="CR23" s="38">
        <f t="shared" si="269"/>
        <v>0</v>
      </c>
      <c r="CS23" s="38">
        <f t="shared" si="269"/>
        <v>0</v>
      </c>
      <c r="CT23" s="38">
        <f t="shared" si="269"/>
        <v>0</v>
      </c>
      <c r="CU23" s="38">
        <f t="shared" si="269"/>
        <v>0</v>
      </c>
      <c r="CV23" s="38">
        <f t="shared" si="269"/>
        <v>0</v>
      </c>
      <c r="CW23" s="38">
        <f t="shared" si="269"/>
        <v>0</v>
      </c>
      <c r="CX23" s="38">
        <f t="shared" si="269"/>
        <v>0</v>
      </c>
      <c r="CY23" s="38">
        <f t="shared" si="269"/>
        <v>2.5000000000000001E-2</v>
      </c>
      <c r="CZ23" s="38">
        <f t="shared" si="269"/>
        <v>0</v>
      </c>
      <c r="DA23" s="38">
        <f t="shared" si="269"/>
        <v>0</v>
      </c>
      <c r="DB23" s="38">
        <f t="shared" si="269"/>
        <v>0</v>
      </c>
      <c r="DC23" s="38">
        <f t="shared" si="269"/>
        <v>0</v>
      </c>
      <c r="DD23" s="38">
        <f t="shared" si="269"/>
        <v>0</v>
      </c>
      <c r="DE23" s="38">
        <f t="shared" si="269"/>
        <v>0</v>
      </c>
      <c r="DF23" s="38">
        <f t="shared" si="269"/>
        <v>0</v>
      </c>
      <c r="DG23" s="38">
        <f t="shared" si="269"/>
        <v>0</v>
      </c>
      <c r="DH23" s="38">
        <f t="shared" si="269"/>
        <v>0</v>
      </c>
      <c r="DI23" s="38">
        <f t="shared" si="269"/>
        <v>0</v>
      </c>
      <c r="DJ23" s="38">
        <f t="shared" si="269"/>
        <v>0</v>
      </c>
      <c r="DK23" s="38">
        <f t="shared" si="269"/>
        <v>2.5000000000000001E-2</v>
      </c>
      <c r="DL23" s="38">
        <f t="shared" si="269"/>
        <v>0</v>
      </c>
      <c r="DM23" s="38">
        <f t="shared" si="269"/>
        <v>0</v>
      </c>
      <c r="DN23" s="38">
        <f t="shared" si="269"/>
        <v>0</v>
      </c>
      <c r="DO23" s="38">
        <f t="shared" si="269"/>
        <v>0</v>
      </c>
      <c r="DP23" s="38">
        <f t="shared" si="269"/>
        <v>0</v>
      </c>
      <c r="DQ23" s="38">
        <f t="shared" si="269"/>
        <v>0</v>
      </c>
      <c r="DR23" s="38">
        <f t="shared" si="269"/>
        <v>0</v>
      </c>
      <c r="DS23" s="38">
        <f t="shared" si="269"/>
        <v>0</v>
      </c>
      <c r="DT23" s="38">
        <f t="shared" si="269"/>
        <v>0</v>
      </c>
      <c r="DU23" s="38">
        <f t="shared" si="269"/>
        <v>0</v>
      </c>
      <c r="DV23" s="38">
        <f t="shared" si="269"/>
        <v>0</v>
      </c>
      <c r="DW23" s="38">
        <f t="shared" si="269"/>
        <v>2.5000000000000001E-2</v>
      </c>
      <c r="DX23" s="38">
        <f t="shared" si="269"/>
        <v>0</v>
      </c>
      <c r="DY23" s="38">
        <f t="shared" si="269"/>
        <v>0</v>
      </c>
      <c r="DZ23" s="38">
        <f t="shared" si="269"/>
        <v>0</v>
      </c>
      <c r="EA23" s="38">
        <f t="shared" si="269"/>
        <v>0</v>
      </c>
      <c r="EB23" s="38">
        <f t="shared" si="269"/>
        <v>0</v>
      </c>
      <c r="EC23" s="38">
        <f t="shared" si="269"/>
        <v>0</v>
      </c>
      <c r="ED23" s="38">
        <f t="shared" si="269"/>
        <v>0</v>
      </c>
      <c r="EE23" s="38">
        <f t="shared" si="269"/>
        <v>0</v>
      </c>
      <c r="EF23" s="38">
        <f t="shared" si="269"/>
        <v>0</v>
      </c>
      <c r="EG23" s="38">
        <f t="shared" ref="EG23:GR23" si="270">IF(EG$7=" ",0,IF(MOD(EG$7,12)=1,$C$23,0))</f>
        <v>0</v>
      </c>
      <c r="EH23" s="38">
        <f t="shared" si="270"/>
        <v>0</v>
      </c>
      <c r="EI23" s="38">
        <f t="shared" si="270"/>
        <v>2.5000000000000001E-2</v>
      </c>
      <c r="EJ23" s="38">
        <f t="shared" si="270"/>
        <v>0</v>
      </c>
      <c r="EK23" s="38">
        <f t="shared" si="270"/>
        <v>0</v>
      </c>
      <c r="EL23" s="38">
        <f t="shared" si="270"/>
        <v>0</v>
      </c>
      <c r="EM23" s="38">
        <f t="shared" si="270"/>
        <v>0</v>
      </c>
      <c r="EN23" s="38">
        <f t="shared" si="270"/>
        <v>0</v>
      </c>
      <c r="EO23" s="38">
        <f t="shared" si="270"/>
        <v>0</v>
      </c>
      <c r="EP23" s="38">
        <f t="shared" si="270"/>
        <v>0</v>
      </c>
      <c r="EQ23" s="38">
        <f t="shared" si="270"/>
        <v>0</v>
      </c>
      <c r="ER23" s="38">
        <f t="shared" si="270"/>
        <v>0</v>
      </c>
      <c r="ES23" s="38">
        <f t="shared" si="270"/>
        <v>0</v>
      </c>
      <c r="ET23" s="38">
        <f t="shared" si="270"/>
        <v>0</v>
      </c>
      <c r="EU23" s="38">
        <f t="shared" si="270"/>
        <v>2.5000000000000001E-2</v>
      </c>
      <c r="EV23" s="38">
        <f t="shared" si="270"/>
        <v>0</v>
      </c>
      <c r="EW23" s="38">
        <f t="shared" si="270"/>
        <v>0</v>
      </c>
      <c r="EX23" s="38">
        <f t="shared" si="270"/>
        <v>0</v>
      </c>
      <c r="EY23" s="38">
        <f t="shared" si="270"/>
        <v>0</v>
      </c>
      <c r="EZ23" s="38">
        <f t="shared" si="270"/>
        <v>0</v>
      </c>
      <c r="FA23" s="38">
        <f t="shared" si="270"/>
        <v>0</v>
      </c>
      <c r="FB23" s="38">
        <f t="shared" si="270"/>
        <v>0</v>
      </c>
      <c r="FC23" s="38">
        <f t="shared" si="270"/>
        <v>0</v>
      </c>
      <c r="FD23" s="38">
        <f t="shared" si="270"/>
        <v>0</v>
      </c>
      <c r="FE23" s="38">
        <f t="shared" si="270"/>
        <v>0</v>
      </c>
      <c r="FF23" s="38">
        <f t="shared" si="270"/>
        <v>0</v>
      </c>
      <c r="FG23" s="38">
        <f t="shared" si="270"/>
        <v>2.5000000000000001E-2</v>
      </c>
      <c r="FH23" s="38">
        <f t="shared" si="270"/>
        <v>0</v>
      </c>
      <c r="FI23" s="38">
        <f t="shared" si="270"/>
        <v>0</v>
      </c>
      <c r="FJ23" s="38">
        <f t="shared" si="270"/>
        <v>0</v>
      </c>
      <c r="FK23" s="38">
        <f t="shared" si="270"/>
        <v>0</v>
      </c>
      <c r="FL23" s="38">
        <f t="shared" si="270"/>
        <v>0</v>
      </c>
      <c r="FM23" s="38">
        <f t="shared" si="270"/>
        <v>0</v>
      </c>
      <c r="FN23" s="38">
        <f t="shared" si="270"/>
        <v>0</v>
      </c>
      <c r="FO23" s="38">
        <f t="shared" si="270"/>
        <v>0</v>
      </c>
      <c r="FP23" s="38">
        <f t="shared" si="270"/>
        <v>0</v>
      </c>
      <c r="FQ23" s="38">
        <f t="shared" si="270"/>
        <v>0</v>
      </c>
      <c r="FR23" s="38">
        <f t="shared" si="270"/>
        <v>0</v>
      </c>
      <c r="FS23" s="38">
        <f t="shared" si="270"/>
        <v>2.5000000000000001E-2</v>
      </c>
      <c r="FT23" s="38">
        <f t="shared" si="270"/>
        <v>0</v>
      </c>
      <c r="FU23" s="38">
        <f t="shared" si="270"/>
        <v>0</v>
      </c>
      <c r="FV23" s="38">
        <f t="shared" si="270"/>
        <v>0</v>
      </c>
      <c r="FW23" s="38">
        <f t="shared" si="270"/>
        <v>0</v>
      </c>
      <c r="FX23" s="38">
        <f t="shared" si="270"/>
        <v>0</v>
      </c>
      <c r="FY23" s="38">
        <f t="shared" si="270"/>
        <v>0</v>
      </c>
      <c r="FZ23" s="38">
        <f t="shared" si="270"/>
        <v>0</v>
      </c>
      <c r="GA23" s="38">
        <f t="shared" si="270"/>
        <v>0</v>
      </c>
      <c r="GB23" s="38">
        <f t="shared" si="270"/>
        <v>0</v>
      </c>
      <c r="GC23" s="38">
        <f t="shared" si="270"/>
        <v>0</v>
      </c>
      <c r="GD23" s="38">
        <f t="shared" si="270"/>
        <v>0</v>
      </c>
      <c r="GE23" s="38">
        <f t="shared" si="270"/>
        <v>0</v>
      </c>
      <c r="GF23" s="38">
        <f t="shared" si="270"/>
        <v>0</v>
      </c>
      <c r="GG23" s="38">
        <f t="shared" si="270"/>
        <v>0</v>
      </c>
      <c r="GH23" s="38">
        <f t="shared" si="270"/>
        <v>0</v>
      </c>
      <c r="GI23" s="38">
        <f t="shared" si="270"/>
        <v>0</v>
      </c>
      <c r="GJ23" s="38">
        <f t="shared" si="270"/>
        <v>0</v>
      </c>
      <c r="GK23" s="38">
        <f t="shared" si="270"/>
        <v>0</v>
      </c>
      <c r="GL23" s="38">
        <f t="shared" si="270"/>
        <v>0</v>
      </c>
      <c r="GM23" s="38">
        <f t="shared" si="270"/>
        <v>0</v>
      </c>
      <c r="GN23" s="38">
        <f t="shared" si="270"/>
        <v>0</v>
      </c>
      <c r="GO23" s="38">
        <f t="shared" si="270"/>
        <v>0</v>
      </c>
      <c r="GP23" s="38">
        <f t="shared" si="270"/>
        <v>0</v>
      </c>
      <c r="GQ23" s="38">
        <f t="shared" si="270"/>
        <v>0</v>
      </c>
      <c r="GR23" s="38">
        <f t="shared" si="270"/>
        <v>0</v>
      </c>
      <c r="GS23" s="38">
        <f t="shared" ref="GS23:JD23" si="271">IF(GS$7=" ",0,IF(MOD(GS$7,12)=1,$C$23,0))</f>
        <v>0</v>
      </c>
      <c r="GT23" s="38">
        <f t="shared" si="271"/>
        <v>0</v>
      </c>
      <c r="GU23" s="38">
        <f t="shared" si="271"/>
        <v>0</v>
      </c>
      <c r="GV23" s="38">
        <f t="shared" si="271"/>
        <v>0</v>
      </c>
      <c r="GW23" s="38">
        <f t="shared" si="271"/>
        <v>0</v>
      </c>
      <c r="GX23" s="38">
        <f t="shared" si="271"/>
        <v>0</v>
      </c>
      <c r="GY23" s="38">
        <f t="shared" si="271"/>
        <v>0</v>
      </c>
      <c r="GZ23" s="38">
        <f t="shared" si="271"/>
        <v>0</v>
      </c>
      <c r="HA23" s="38">
        <f t="shared" si="271"/>
        <v>0</v>
      </c>
      <c r="HB23" s="38">
        <f t="shared" si="271"/>
        <v>0</v>
      </c>
      <c r="HC23" s="38">
        <f t="shared" si="271"/>
        <v>0</v>
      </c>
      <c r="HD23" s="38">
        <f t="shared" si="271"/>
        <v>0</v>
      </c>
      <c r="HE23" s="38">
        <f t="shared" si="271"/>
        <v>0</v>
      </c>
      <c r="HF23" s="38">
        <f t="shared" si="271"/>
        <v>0</v>
      </c>
      <c r="HG23" s="38">
        <f t="shared" si="271"/>
        <v>0</v>
      </c>
      <c r="HH23" s="38">
        <f t="shared" si="271"/>
        <v>0</v>
      </c>
      <c r="HI23" s="38">
        <f t="shared" si="271"/>
        <v>0</v>
      </c>
      <c r="HJ23" s="38">
        <f t="shared" si="271"/>
        <v>0</v>
      </c>
      <c r="HK23" s="38">
        <f t="shared" si="271"/>
        <v>0</v>
      </c>
      <c r="HL23" s="38">
        <f t="shared" si="271"/>
        <v>0</v>
      </c>
      <c r="HM23" s="38">
        <f t="shared" si="271"/>
        <v>0</v>
      </c>
      <c r="HN23" s="38">
        <f t="shared" si="271"/>
        <v>0</v>
      </c>
      <c r="HO23" s="38">
        <f t="shared" si="271"/>
        <v>0</v>
      </c>
      <c r="HP23" s="38">
        <f t="shared" si="271"/>
        <v>0</v>
      </c>
      <c r="HQ23" s="38">
        <f t="shared" si="271"/>
        <v>0</v>
      </c>
      <c r="HR23" s="38">
        <f t="shared" si="271"/>
        <v>0</v>
      </c>
      <c r="HS23" s="38">
        <f t="shared" si="271"/>
        <v>0</v>
      </c>
      <c r="HT23" s="38">
        <f t="shared" si="271"/>
        <v>0</v>
      </c>
      <c r="HU23" s="38">
        <f t="shared" si="271"/>
        <v>0</v>
      </c>
      <c r="HV23" s="38">
        <f t="shared" si="271"/>
        <v>0</v>
      </c>
      <c r="HW23" s="38">
        <f t="shared" si="271"/>
        <v>0</v>
      </c>
      <c r="HX23" s="38">
        <f t="shared" si="271"/>
        <v>0</v>
      </c>
      <c r="HY23" s="38">
        <f t="shared" si="271"/>
        <v>0</v>
      </c>
      <c r="HZ23" s="38">
        <f t="shared" si="271"/>
        <v>0</v>
      </c>
      <c r="IA23" s="38">
        <f t="shared" si="271"/>
        <v>0</v>
      </c>
      <c r="IB23" s="38">
        <f t="shared" si="271"/>
        <v>0</v>
      </c>
      <c r="IC23" s="38">
        <f t="shared" si="271"/>
        <v>0</v>
      </c>
      <c r="ID23" s="38">
        <f t="shared" si="271"/>
        <v>0</v>
      </c>
      <c r="IE23" s="38">
        <f t="shared" si="271"/>
        <v>0</v>
      </c>
      <c r="IF23" s="38">
        <f t="shared" si="271"/>
        <v>0</v>
      </c>
      <c r="IG23" s="38">
        <f t="shared" si="271"/>
        <v>0</v>
      </c>
      <c r="IH23" s="38">
        <f t="shared" si="271"/>
        <v>0</v>
      </c>
      <c r="II23" s="38">
        <f t="shared" si="271"/>
        <v>0</v>
      </c>
      <c r="IJ23" s="38">
        <f t="shared" si="271"/>
        <v>0</v>
      </c>
      <c r="IK23" s="38">
        <f t="shared" si="271"/>
        <v>0</v>
      </c>
      <c r="IL23" s="38">
        <f t="shared" si="271"/>
        <v>0</v>
      </c>
      <c r="IM23" s="38">
        <f t="shared" si="271"/>
        <v>0</v>
      </c>
      <c r="IN23" s="38">
        <f t="shared" si="271"/>
        <v>0</v>
      </c>
      <c r="IO23" s="38">
        <f t="shared" si="271"/>
        <v>0</v>
      </c>
      <c r="IP23" s="38">
        <f t="shared" si="271"/>
        <v>0</v>
      </c>
      <c r="IQ23" s="38">
        <f t="shared" si="271"/>
        <v>0</v>
      </c>
      <c r="IR23" s="38">
        <f t="shared" si="271"/>
        <v>0</v>
      </c>
      <c r="IS23" s="38">
        <f t="shared" si="271"/>
        <v>0</v>
      </c>
      <c r="IT23" s="38">
        <f t="shared" si="271"/>
        <v>0</v>
      </c>
      <c r="IU23" s="38">
        <f t="shared" si="271"/>
        <v>0</v>
      </c>
      <c r="IV23" s="38">
        <f t="shared" si="271"/>
        <v>0</v>
      </c>
      <c r="IW23" s="38">
        <f t="shared" si="271"/>
        <v>0</v>
      </c>
      <c r="IX23" s="38">
        <f t="shared" si="271"/>
        <v>0</v>
      </c>
      <c r="IY23" s="38">
        <f t="shared" si="271"/>
        <v>0</v>
      </c>
      <c r="IZ23" s="38">
        <f t="shared" si="271"/>
        <v>0</v>
      </c>
      <c r="JA23" s="38">
        <f t="shared" si="271"/>
        <v>0</v>
      </c>
      <c r="JB23" s="38">
        <f t="shared" si="271"/>
        <v>0</v>
      </c>
      <c r="JC23" s="38">
        <f t="shared" si="271"/>
        <v>0</v>
      </c>
      <c r="JD23" s="38">
        <f t="shared" si="271"/>
        <v>0</v>
      </c>
      <c r="JE23" s="38">
        <f t="shared" ref="JE23:LP23" si="272">IF(JE$7=" ",0,IF(MOD(JE$7,12)=1,$C$23,0))</f>
        <v>0</v>
      </c>
      <c r="JF23" s="38">
        <f t="shared" si="272"/>
        <v>0</v>
      </c>
      <c r="JG23" s="38">
        <f t="shared" si="272"/>
        <v>0</v>
      </c>
      <c r="JH23" s="38">
        <f t="shared" si="272"/>
        <v>0</v>
      </c>
      <c r="JI23" s="38">
        <f t="shared" si="272"/>
        <v>0</v>
      </c>
      <c r="JJ23" s="38">
        <f t="shared" si="272"/>
        <v>0</v>
      </c>
      <c r="JK23" s="38">
        <f t="shared" si="272"/>
        <v>0</v>
      </c>
      <c r="JL23" s="38">
        <f t="shared" si="272"/>
        <v>0</v>
      </c>
      <c r="JM23" s="38">
        <f t="shared" si="272"/>
        <v>0</v>
      </c>
      <c r="JN23" s="38">
        <f t="shared" si="272"/>
        <v>0</v>
      </c>
      <c r="JO23" s="38">
        <f t="shared" si="272"/>
        <v>0</v>
      </c>
      <c r="JP23" s="38">
        <f t="shared" si="272"/>
        <v>0</v>
      </c>
      <c r="JQ23" s="38">
        <f t="shared" si="272"/>
        <v>0</v>
      </c>
      <c r="JR23" s="38">
        <f t="shared" si="272"/>
        <v>0</v>
      </c>
      <c r="JS23" s="38">
        <f t="shared" si="272"/>
        <v>0</v>
      </c>
      <c r="JT23" s="38">
        <f t="shared" si="272"/>
        <v>0</v>
      </c>
      <c r="JU23" s="38">
        <f t="shared" si="272"/>
        <v>0</v>
      </c>
      <c r="JV23" s="38">
        <f t="shared" si="272"/>
        <v>0</v>
      </c>
      <c r="JW23" s="38">
        <f t="shared" si="272"/>
        <v>0</v>
      </c>
      <c r="JX23" s="38">
        <f t="shared" si="272"/>
        <v>0</v>
      </c>
      <c r="JY23" s="38">
        <f t="shared" si="272"/>
        <v>0</v>
      </c>
      <c r="JZ23" s="38">
        <f t="shared" si="272"/>
        <v>0</v>
      </c>
      <c r="KA23" s="38">
        <f t="shared" si="272"/>
        <v>0</v>
      </c>
      <c r="KB23" s="38">
        <f t="shared" si="272"/>
        <v>0</v>
      </c>
      <c r="KC23" s="38">
        <f t="shared" si="272"/>
        <v>0</v>
      </c>
      <c r="KD23" s="38">
        <f t="shared" si="272"/>
        <v>0</v>
      </c>
      <c r="KE23" s="38">
        <f t="shared" si="272"/>
        <v>0</v>
      </c>
      <c r="KF23" s="38">
        <f t="shared" si="272"/>
        <v>0</v>
      </c>
      <c r="KG23" s="38">
        <f t="shared" si="272"/>
        <v>0</v>
      </c>
      <c r="KH23" s="38">
        <f t="shared" si="272"/>
        <v>0</v>
      </c>
      <c r="KI23" s="38">
        <f t="shared" si="272"/>
        <v>0</v>
      </c>
      <c r="KJ23" s="38">
        <f t="shared" si="272"/>
        <v>0</v>
      </c>
      <c r="KK23" s="38">
        <f t="shared" si="272"/>
        <v>0</v>
      </c>
      <c r="KL23" s="38">
        <f t="shared" si="272"/>
        <v>0</v>
      </c>
      <c r="KM23" s="38">
        <f t="shared" si="272"/>
        <v>0</v>
      </c>
      <c r="KN23" s="38">
        <f t="shared" si="272"/>
        <v>0</v>
      </c>
      <c r="KO23" s="38">
        <f t="shared" si="272"/>
        <v>0</v>
      </c>
      <c r="KP23" s="38">
        <f t="shared" si="272"/>
        <v>0</v>
      </c>
      <c r="KQ23" s="38">
        <f t="shared" si="272"/>
        <v>0</v>
      </c>
      <c r="KR23" s="38">
        <f t="shared" si="272"/>
        <v>0</v>
      </c>
      <c r="KS23" s="38">
        <f t="shared" si="272"/>
        <v>0</v>
      </c>
      <c r="KT23" s="38">
        <f t="shared" si="272"/>
        <v>0</v>
      </c>
      <c r="KU23" s="38">
        <f t="shared" si="272"/>
        <v>0</v>
      </c>
      <c r="KV23" s="38">
        <f t="shared" si="272"/>
        <v>0</v>
      </c>
      <c r="KW23" s="38">
        <f t="shared" si="272"/>
        <v>0</v>
      </c>
      <c r="KX23" s="38">
        <f t="shared" si="272"/>
        <v>0</v>
      </c>
      <c r="KY23" s="38">
        <f t="shared" si="272"/>
        <v>0</v>
      </c>
      <c r="KZ23" s="38">
        <f t="shared" si="272"/>
        <v>0</v>
      </c>
      <c r="LA23" s="38">
        <f t="shared" si="272"/>
        <v>0</v>
      </c>
      <c r="LB23" s="38">
        <f t="shared" si="272"/>
        <v>0</v>
      </c>
      <c r="LC23" s="38">
        <f t="shared" si="272"/>
        <v>0</v>
      </c>
      <c r="LD23" s="38">
        <f t="shared" si="272"/>
        <v>0</v>
      </c>
      <c r="LE23" s="38">
        <f t="shared" si="272"/>
        <v>0</v>
      </c>
      <c r="LF23" s="38">
        <f t="shared" si="272"/>
        <v>0</v>
      </c>
      <c r="LG23" s="38">
        <f t="shared" si="272"/>
        <v>0</v>
      </c>
      <c r="LH23" s="38">
        <f t="shared" si="272"/>
        <v>0</v>
      </c>
      <c r="LI23" s="38">
        <f t="shared" si="272"/>
        <v>0</v>
      </c>
      <c r="LJ23" s="38">
        <f t="shared" si="272"/>
        <v>0</v>
      </c>
      <c r="LK23" s="38">
        <f t="shared" si="272"/>
        <v>0</v>
      </c>
      <c r="LL23" s="38">
        <f t="shared" si="272"/>
        <v>0</v>
      </c>
      <c r="LM23" s="38">
        <f t="shared" si="272"/>
        <v>0</v>
      </c>
      <c r="LN23" s="38">
        <f t="shared" si="272"/>
        <v>0</v>
      </c>
      <c r="LO23" s="38">
        <f t="shared" si="272"/>
        <v>0</v>
      </c>
      <c r="LP23" s="38">
        <f t="shared" si="272"/>
        <v>0</v>
      </c>
      <c r="LQ23" s="38">
        <f t="shared" ref="LQ23:NB23" si="273">IF(LQ$7=" ",0,IF(MOD(LQ$7,12)=1,$C$23,0))</f>
        <v>0</v>
      </c>
      <c r="LR23" s="38">
        <f t="shared" si="273"/>
        <v>0</v>
      </c>
      <c r="LS23" s="38">
        <f t="shared" si="273"/>
        <v>0</v>
      </c>
      <c r="LT23" s="38">
        <f t="shared" si="273"/>
        <v>0</v>
      </c>
      <c r="LU23" s="38">
        <f t="shared" si="273"/>
        <v>0</v>
      </c>
      <c r="LV23" s="38">
        <f t="shared" si="273"/>
        <v>0</v>
      </c>
      <c r="LW23" s="38">
        <f t="shared" si="273"/>
        <v>0</v>
      </c>
      <c r="LX23" s="38">
        <f t="shared" si="273"/>
        <v>0</v>
      </c>
      <c r="LY23" s="38">
        <f t="shared" si="273"/>
        <v>0</v>
      </c>
      <c r="LZ23" s="38">
        <f t="shared" si="273"/>
        <v>0</v>
      </c>
      <c r="MA23" s="38">
        <f t="shared" si="273"/>
        <v>0</v>
      </c>
      <c r="MB23" s="38">
        <f t="shared" si="273"/>
        <v>0</v>
      </c>
      <c r="MC23" s="38">
        <f t="shared" si="273"/>
        <v>0</v>
      </c>
      <c r="MD23" s="38">
        <f t="shared" si="273"/>
        <v>0</v>
      </c>
      <c r="ME23" s="38">
        <f t="shared" si="273"/>
        <v>0</v>
      </c>
      <c r="MF23" s="38">
        <f t="shared" si="273"/>
        <v>0</v>
      </c>
      <c r="MG23" s="38">
        <f t="shared" si="273"/>
        <v>0</v>
      </c>
      <c r="MH23" s="38">
        <f t="shared" si="273"/>
        <v>0</v>
      </c>
      <c r="MI23" s="38">
        <f t="shared" si="273"/>
        <v>0</v>
      </c>
      <c r="MJ23" s="38">
        <f t="shared" si="273"/>
        <v>0</v>
      </c>
      <c r="MK23" s="38">
        <f t="shared" si="273"/>
        <v>0</v>
      </c>
      <c r="ML23" s="38">
        <f t="shared" si="273"/>
        <v>0</v>
      </c>
      <c r="MM23" s="38">
        <f t="shared" si="273"/>
        <v>0</v>
      </c>
      <c r="MN23" s="38">
        <f t="shared" si="273"/>
        <v>0</v>
      </c>
      <c r="MO23" s="38">
        <f t="shared" si="273"/>
        <v>0</v>
      </c>
      <c r="MP23" s="38">
        <f t="shared" si="273"/>
        <v>0</v>
      </c>
      <c r="MQ23" s="38">
        <f t="shared" si="273"/>
        <v>0</v>
      </c>
      <c r="MR23" s="38">
        <f t="shared" si="273"/>
        <v>0</v>
      </c>
      <c r="MS23" s="38">
        <f t="shared" si="273"/>
        <v>0</v>
      </c>
      <c r="MT23" s="38">
        <f t="shared" si="273"/>
        <v>0</v>
      </c>
      <c r="MU23" s="38">
        <f t="shared" si="273"/>
        <v>0</v>
      </c>
      <c r="MV23" s="38">
        <f t="shared" si="273"/>
        <v>0</v>
      </c>
      <c r="MW23" s="38">
        <f t="shared" si="273"/>
        <v>0</v>
      </c>
      <c r="MX23" s="38">
        <f t="shared" si="273"/>
        <v>0</v>
      </c>
      <c r="MY23" s="38">
        <f t="shared" si="273"/>
        <v>0</v>
      </c>
      <c r="MZ23" s="38">
        <f t="shared" si="273"/>
        <v>0</v>
      </c>
      <c r="NA23" s="38">
        <f t="shared" si="273"/>
        <v>0</v>
      </c>
      <c r="NB23" s="38">
        <f t="shared" si="273"/>
        <v>0</v>
      </c>
    </row>
    <row r="24" spans="2:366" x14ac:dyDescent="0.15">
      <c r="B24" t="s">
        <v>330</v>
      </c>
      <c r="C24" s="263">
        <f>inflation</f>
        <v>2.5000000000000001E-2</v>
      </c>
      <c r="F24" s="38">
        <v>0</v>
      </c>
      <c r="G24" s="38">
        <v>0</v>
      </c>
      <c r="H24" s="38">
        <f>IF(H$7=" ",0,IF(MOD(H$7,12)=1,$C$24,0))</f>
        <v>0</v>
      </c>
      <c r="I24" s="38">
        <f t="shared" ref="I24:BT24" si="274">IF(I$7=" ",0,IF(MOD(I$7,12)=1,$C$24,0))</f>
        <v>0</v>
      </c>
      <c r="J24" s="38">
        <f t="shared" si="274"/>
        <v>0</v>
      </c>
      <c r="K24" s="38">
        <f t="shared" si="274"/>
        <v>0</v>
      </c>
      <c r="L24" s="38">
        <f t="shared" si="274"/>
        <v>0</v>
      </c>
      <c r="M24" s="38">
        <f t="shared" si="274"/>
        <v>0</v>
      </c>
      <c r="N24" s="38">
        <f t="shared" si="274"/>
        <v>0</v>
      </c>
      <c r="O24" s="38">
        <f t="shared" si="274"/>
        <v>0</v>
      </c>
      <c r="P24" s="38">
        <f t="shared" si="274"/>
        <v>0</v>
      </c>
      <c r="Q24" s="38">
        <f t="shared" si="274"/>
        <v>0</v>
      </c>
      <c r="R24" s="38">
        <f t="shared" si="274"/>
        <v>0</v>
      </c>
      <c r="S24" s="38">
        <f t="shared" si="274"/>
        <v>2.5000000000000001E-2</v>
      </c>
      <c r="T24" s="38">
        <f t="shared" si="274"/>
        <v>0</v>
      </c>
      <c r="U24" s="38">
        <f t="shared" si="274"/>
        <v>0</v>
      </c>
      <c r="V24" s="38">
        <f t="shared" si="274"/>
        <v>0</v>
      </c>
      <c r="W24" s="38">
        <f t="shared" si="274"/>
        <v>0</v>
      </c>
      <c r="X24" s="38">
        <f t="shared" si="274"/>
        <v>0</v>
      </c>
      <c r="Y24" s="38">
        <f t="shared" si="274"/>
        <v>0</v>
      </c>
      <c r="Z24" s="38">
        <f t="shared" si="274"/>
        <v>0</v>
      </c>
      <c r="AA24" s="38">
        <f t="shared" si="274"/>
        <v>0</v>
      </c>
      <c r="AB24" s="38">
        <f t="shared" si="274"/>
        <v>0</v>
      </c>
      <c r="AC24" s="38">
        <f t="shared" si="274"/>
        <v>0</v>
      </c>
      <c r="AD24" s="38">
        <f t="shared" si="274"/>
        <v>0</v>
      </c>
      <c r="AE24" s="38">
        <f t="shared" si="274"/>
        <v>2.5000000000000001E-2</v>
      </c>
      <c r="AF24" s="38">
        <f t="shared" si="274"/>
        <v>0</v>
      </c>
      <c r="AG24" s="38">
        <f t="shared" si="274"/>
        <v>0</v>
      </c>
      <c r="AH24" s="38">
        <f t="shared" si="274"/>
        <v>0</v>
      </c>
      <c r="AI24" s="38">
        <f t="shared" si="274"/>
        <v>0</v>
      </c>
      <c r="AJ24" s="38">
        <f t="shared" si="274"/>
        <v>0</v>
      </c>
      <c r="AK24" s="38">
        <f t="shared" si="274"/>
        <v>0</v>
      </c>
      <c r="AL24" s="38">
        <f t="shared" si="274"/>
        <v>0</v>
      </c>
      <c r="AM24" s="38">
        <f t="shared" si="274"/>
        <v>0</v>
      </c>
      <c r="AN24" s="38">
        <f t="shared" si="274"/>
        <v>0</v>
      </c>
      <c r="AO24" s="38">
        <f t="shared" si="274"/>
        <v>0</v>
      </c>
      <c r="AP24" s="38">
        <f t="shared" si="274"/>
        <v>0</v>
      </c>
      <c r="AQ24" s="38">
        <f t="shared" si="274"/>
        <v>2.5000000000000001E-2</v>
      </c>
      <c r="AR24" s="38">
        <f t="shared" si="274"/>
        <v>0</v>
      </c>
      <c r="AS24" s="38">
        <f t="shared" si="274"/>
        <v>0</v>
      </c>
      <c r="AT24" s="38">
        <f t="shared" si="274"/>
        <v>0</v>
      </c>
      <c r="AU24" s="38">
        <f t="shared" si="274"/>
        <v>0</v>
      </c>
      <c r="AV24" s="38">
        <f t="shared" si="274"/>
        <v>0</v>
      </c>
      <c r="AW24" s="38">
        <f t="shared" si="274"/>
        <v>0</v>
      </c>
      <c r="AX24" s="38">
        <f t="shared" si="274"/>
        <v>0</v>
      </c>
      <c r="AY24" s="38">
        <f t="shared" si="274"/>
        <v>0</v>
      </c>
      <c r="AZ24" s="38">
        <f t="shared" si="274"/>
        <v>0</v>
      </c>
      <c r="BA24" s="38">
        <f t="shared" si="274"/>
        <v>0</v>
      </c>
      <c r="BB24" s="38">
        <f t="shared" si="274"/>
        <v>0</v>
      </c>
      <c r="BC24" s="38">
        <f t="shared" si="274"/>
        <v>2.5000000000000001E-2</v>
      </c>
      <c r="BD24" s="38">
        <f t="shared" si="274"/>
        <v>0</v>
      </c>
      <c r="BE24" s="38">
        <f t="shared" si="274"/>
        <v>0</v>
      </c>
      <c r="BF24" s="38">
        <f t="shared" si="274"/>
        <v>0</v>
      </c>
      <c r="BG24" s="38">
        <f t="shared" si="274"/>
        <v>0</v>
      </c>
      <c r="BH24" s="38">
        <f t="shared" si="274"/>
        <v>0</v>
      </c>
      <c r="BI24" s="38">
        <f t="shared" si="274"/>
        <v>0</v>
      </c>
      <c r="BJ24" s="38">
        <f t="shared" si="274"/>
        <v>0</v>
      </c>
      <c r="BK24" s="38">
        <f t="shared" si="274"/>
        <v>0</v>
      </c>
      <c r="BL24" s="38">
        <f t="shared" si="274"/>
        <v>0</v>
      </c>
      <c r="BM24" s="38">
        <f t="shared" si="274"/>
        <v>0</v>
      </c>
      <c r="BN24" s="38">
        <f t="shared" si="274"/>
        <v>0</v>
      </c>
      <c r="BO24" s="38">
        <f t="shared" si="274"/>
        <v>2.5000000000000001E-2</v>
      </c>
      <c r="BP24" s="38">
        <f t="shared" si="274"/>
        <v>0</v>
      </c>
      <c r="BQ24" s="38">
        <f t="shared" si="274"/>
        <v>0</v>
      </c>
      <c r="BR24" s="38">
        <f t="shared" si="274"/>
        <v>0</v>
      </c>
      <c r="BS24" s="38">
        <f t="shared" si="274"/>
        <v>0</v>
      </c>
      <c r="BT24" s="38">
        <f t="shared" si="274"/>
        <v>0</v>
      </c>
      <c r="BU24" s="38">
        <f t="shared" ref="BU24:EF24" si="275">IF(BU$7=" ",0,IF(MOD(BU$7,12)=1,$C$24,0))</f>
        <v>0</v>
      </c>
      <c r="BV24" s="38">
        <f t="shared" si="275"/>
        <v>0</v>
      </c>
      <c r="BW24" s="38">
        <f t="shared" si="275"/>
        <v>0</v>
      </c>
      <c r="BX24" s="38">
        <f t="shared" si="275"/>
        <v>0</v>
      </c>
      <c r="BY24" s="38">
        <f t="shared" si="275"/>
        <v>0</v>
      </c>
      <c r="BZ24" s="38">
        <f t="shared" si="275"/>
        <v>0</v>
      </c>
      <c r="CA24" s="38">
        <f t="shared" si="275"/>
        <v>2.5000000000000001E-2</v>
      </c>
      <c r="CB24" s="38">
        <f t="shared" si="275"/>
        <v>0</v>
      </c>
      <c r="CC24" s="38">
        <f t="shared" si="275"/>
        <v>0</v>
      </c>
      <c r="CD24" s="38">
        <f t="shared" si="275"/>
        <v>0</v>
      </c>
      <c r="CE24" s="38">
        <f t="shared" si="275"/>
        <v>0</v>
      </c>
      <c r="CF24" s="38">
        <f t="shared" si="275"/>
        <v>0</v>
      </c>
      <c r="CG24" s="38">
        <f t="shared" si="275"/>
        <v>0</v>
      </c>
      <c r="CH24" s="38">
        <f t="shared" si="275"/>
        <v>0</v>
      </c>
      <c r="CI24" s="38">
        <f t="shared" si="275"/>
        <v>0</v>
      </c>
      <c r="CJ24" s="38">
        <f t="shared" si="275"/>
        <v>0</v>
      </c>
      <c r="CK24" s="38">
        <f t="shared" si="275"/>
        <v>0</v>
      </c>
      <c r="CL24" s="38">
        <f t="shared" si="275"/>
        <v>0</v>
      </c>
      <c r="CM24" s="38">
        <f t="shared" si="275"/>
        <v>2.5000000000000001E-2</v>
      </c>
      <c r="CN24" s="38">
        <f t="shared" si="275"/>
        <v>0</v>
      </c>
      <c r="CO24" s="38">
        <f t="shared" si="275"/>
        <v>0</v>
      </c>
      <c r="CP24" s="38">
        <f t="shared" si="275"/>
        <v>0</v>
      </c>
      <c r="CQ24" s="38">
        <f t="shared" si="275"/>
        <v>0</v>
      </c>
      <c r="CR24" s="38">
        <f t="shared" si="275"/>
        <v>0</v>
      </c>
      <c r="CS24" s="38">
        <f t="shared" si="275"/>
        <v>0</v>
      </c>
      <c r="CT24" s="38">
        <f t="shared" si="275"/>
        <v>0</v>
      </c>
      <c r="CU24" s="38">
        <f t="shared" si="275"/>
        <v>0</v>
      </c>
      <c r="CV24" s="38">
        <f t="shared" si="275"/>
        <v>0</v>
      </c>
      <c r="CW24" s="38">
        <f t="shared" si="275"/>
        <v>0</v>
      </c>
      <c r="CX24" s="38">
        <f t="shared" si="275"/>
        <v>0</v>
      </c>
      <c r="CY24" s="38">
        <f t="shared" si="275"/>
        <v>2.5000000000000001E-2</v>
      </c>
      <c r="CZ24" s="38">
        <f t="shared" si="275"/>
        <v>0</v>
      </c>
      <c r="DA24" s="38">
        <f t="shared" si="275"/>
        <v>0</v>
      </c>
      <c r="DB24" s="38">
        <f t="shared" si="275"/>
        <v>0</v>
      </c>
      <c r="DC24" s="38">
        <f t="shared" si="275"/>
        <v>0</v>
      </c>
      <c r="DD24" s="38">
        <f t="shared" si="275"/>
        <v>0</v>
      </c>
      <c r="DE24" s="38">
        <f t="shared" si="275"/>
        <v>0</v>
      </c>
      <c r="DF24" s="38">
        <f t="shared" si="275"/>
        <v>0</v>
      </c>
      <c r="DG24" s="38">
        <f t="shared" si="275"/>
        <v>0</v>
      </c>
      <c r="DH24" s="38">
        <f t="shared" si="275"/>
        <v>0</v>
      </c>
      <c r="DI24" s="38">
        <f t="shared" si="275"/>
        <v>0</v>
      </c>
      <c r="DJ24" s="38">
        <f t="shared" si="275"/>
        <v>0</v>
      </c>
      <c r="DK24" s="38">
        <f t="shared" si="275"/>
        <v>2.5000000000000001E-2</v>
      </c>
      <c r="DL24" s="38">
        <f t="shared" si="275"/>
        <v>0</v>
      </c>
      <c r="DM24" s="38">
        <f t="shared" si="275"/>
        <v>0</v>
      </c>
      <c r="DN24" s="38">
        <f t="shared" si="275"/>
        <v>0</v>
      </c>
      <c r="DO24" s="38">
        <f t="shared" si="275"/>
        <v>0</v>
      </c>
      <c r="DP24" s="38">
        <f t="shared" si="275"/>
        <v>0</v>
      </c>
      <c r="DQ24" s="38">
        <f t="shared" si="275"/>
        <v>0</v>
      </c>
      <c r="DR24" s="38">
        <f t="shared" si="275"/>
        <v>0</v>
      </c>
      <c r="DS24" s="38">
        <f t="shared" si="275"/>
        <v>0</v>
      </c>
      <c r="DT24" s="38">
        <f t="shared" si="275"/>
        <v>0</v>
      </c>
      <c r="DU24" s="38">
        <f t="shared" si="275"/>
        <v>0</v>
      </c>
      <c r="DV24" s="38">
        <f t="shared" si="275"/>
        <v>0</v>
      </c>
      <c r="DW24" s="38">
        <f t="shared" si="275"/>
        <v>2.5000000000000001E-2</v>
      </c>
      <c r="DX24" s="38">
        <f t="shared" si="275"/>
        <v>0</v>
      </c>
      <c r="DY24" s="38">
        <f t="shared" si="275"/>
        <v>0</v>
      </c>
      <c r="DZ24" s="38">
        <f t="shared" si="275"/>
        <v>0</v>
      </c>
      <c r="EA24" s="38">
        <f t="shared" si="275"/>
        <v>0</v>
      </c>
      <c r="EB24" s="38">
        <f t="shared" si="275"/>
        <v>0</v>
      </c>
      <c r="EC24" s="38">
        <f t="shared" si="275"/>
        <v>0</v>
      </c>
      <c r="ED24" s="38">
        <f t="shared" si="275"/>
        <v>0</v>
      </c>
      <c r="EE24" s="38">
        <f t="shared" si="275"/>
        <v>0</v>
      </c>
      <c r="EF24" s="38">
        <f t="shared" si="275"/>
        <v>0</v>
      </c>
      <c r="EG24" s="38">
        <f t="shared" ref="EG24:GR24" si="276">IF(EG$7=" ",0,IF(MOD(EG$7,12)=1,$C$24,0))</f>
        <v>0</v>
      </c>
      <c r="EH24" s="38">
        <f t="shared" si="276"/>
        <v>0</v>
      </c>
      <c r="EI24" s="38">
        <f t="shared" si="276"/>
        <v>2.5000000000000001E-2</v>
      </c>
      <c r="EJ24" s="38">
        <f t="shared" si="276"/>
        <v>0</v>
      </c>
      <c r="EK24" s="38">
        <f t="shared" si="276"/>
        <v>0</v>
      </c>
      <c r="EL24" s="38">
        <f t="shared" si="276"/>
        <v>0</v>
      </c>
      <c r="EM24" s="38">
        <f t="shared" si="276"/>
        <v>0</v>
      </c>
      <c r="EN24" s="38">
        <f t="shared" si="276"/>
        <v>0</v>
      </c>
      <c r="EO24" s="38">
        <f t="shared" si="276"/>
        <v>0</v>
      </c>
      <c r="EP24" s="38">
        <f t="shared" si="276"/>
        <v>0</v>
      </c>
      <c r="EQ24" s="38">
        <f t="shared" si="276"/>
        <v>0</v>
      </c>
      <c r="ER24" s="38">
        <f t="shared" si="276"/>
        <v>0</v>
      </c>
      <c r="ES24" s="38">
        <f t="shared" si="276"/>
        <v>0</v>
      </c>
      <c r="ET24" s="38">
        <f t="shared" si="276"/>
        <v>0</v>
      </c>
      <c r="EU24" s="38">
        <f t="shared" si="276"/>
        <v>2.5000000000000001E-2</v>
      </c>
      <c r="EV24" s="38">
        <f t="shared" si="276"/>
        <v>0</v>
      </c>
      <c r="EW24" s="38">
        <f t="shared" si="276"/>
        <v>0</v>
      </c>
      <c r="EX24" s="38">
        <f t="shared" si="276"/>
        <v>0</v>
      </c>
      <c r="EY24" s="38">
        <f t="shared" si="276"/>
        <v>0</v>
      </c>
      <c r="EZ24" s="38">
        <f t="shared" si="276"/>
        <v>0</v>
      </c>
      <c r="FA24" s="38">
        <f t="shared" si="276"/>
        <v>0</v>
      </c>
      <c r="FB24" s="38">
        <f t="shared" si="276"/>
        <v>0</v>
      </c>
      <c r="FC24" s="38">
        <f t="shared" si="276"/>
        <v>0</v>
      </c>
      <c r="FD24" s="38">
        <f t="shared" si="276"/>
        <v>0</v>
      </c>
      <c r="FE24" s="38">
        <f t="shared" si="276"/>
        <v>0</v>
      </c>
      <c r="FF24" s="38">
        <f t="shared" si="276"/>
        <v>0</v>
      </c>
      <c r="FG24" s="38">
        <f t="shared" si="276"/>
        <v>2.5000000000000001E-2</v>
      </c>
      <c r="FH24" s="38">
        <f t="shared" si="276"/>
        <v>0</v>
      </c>
      <c r="FI24" s="38">
        <f t="shared" si="276"/>
        <v>0</v>
      </c>
      <c r="FJ24" s="38">
        <f t="shared" si="276"/>
        <v>0</v>
      </c>
      <c r="FK24" s="38">
        <f t="shared" si="276"/>
        <v>0</v>
      </c>
      <c r="FL24" s="38">
        <f t="shared" si="276"/>
        <v>0</v>
      </c>
      <c r="FM24" s="38">
        <f t="shared" si="276"/>
        <v>0</v>
      </c>
      <c r="FN24" s="38">
        <f t="shared" si="276"/>
        <v>0</v>
      </c>
      <c r="FO24" s="38">
        <f t="shared" si="276"/>
        <v>0</v>
      </c>
      <c r="FP24" s="38">
        <f t="shared" si="276"/>
        <v>0</v>
      </c>
      <c r="FQ24" s="38">
        <f t="shared" si="276"/>
        <v>0</v>
      </c>
      <c r="FR24" s="38">
        <f t="shared" si="276"/>
        <v>0</v>
      </c>
      <c r="FS24" s="38">
        <f t="shared" si="276"/>
        <v>2.5000000000000001E-2</v>
      </c>
      <c r="FT24" s="38">
        <f t="shared" si="276"/>
        <v>0</v>
      </c>
      <c r="FU24" s="38">
        <f t="shared" si="276"/>
        <v>0</v>
      </c>
      <c r="FV24" s="38">
        <f t="shared" si="276"/>
        <v>0</v>
      </c>
      <c r="FW24" s="38">
        <f t="shared" si="276"/>
        <v>0</v>
      </c>
      <c r="FX24" s="38">
        <f t="shared" si="276"/>
        <v>0</v>
      </c>
      <c r="FY24" s="38">
        <f t="shared" si="276"/>
        <v>0</v>
      </c>
      <c r="FZ24" s="38">
        <f t="shared" si="276"/>
        <v>0</v>
      </c>
      <c r="GA24" s="38">
        <f t="shared" si="276"/>
        <v>0</v>
      </c>
      <c r="GB24" s="38">
        <f t="shared" si="276"/>
        <v>0</v>
      </c>
      <c r="GC24" s="38">
        <f t="shared" si="276"/>
        <v>0</v>
      </c>
      <c r="GD24" s="38">
        <f t="shared" si="276"/>
        <v>0</v>
      </c>
      <c r="GE24" s="38">
        <f t="shared" si="276"/>
        <v>0</v>
      </c>
      <c r="GF24" s="38">
        <f t="shared" si="276"/>
        <v>0</v>
      </c>
      <c r="GG24" s="38">
        <f t="shared" si="276"/>
        <v>0</v>
      </c>
      <c r="GH24" s="38">
        <f t="shared" si="276"/>
        <v>0</v>
      </c>
      <c r="GI24" s="38">
        <f t="shared" si="276"/>
        <v>0</v>
      </c>
      <c r="GJ24" s="38">
        <f t="shared" si="276"/>
        <v>0</v>
      </c>
      <c r="GK24" s="38">
        <f t="shared" si="276"/>
        <v>0</v>
      </c>
      <c r="GL24" s="38">
        <f t="shared" si="276"/>
        <v>0</v>
      </c>
      <c r="GM24" s="38">
        <f t="shared" si="276"/>
        <v>0</v>
      </c>
      <c r="GN24" s="38">
        <f t="shared" si="276"/>
        <v>0</v>
      </c>
      <c r="GO24" s="38">
        <f t="shared" si="276"/>
        <v>0</v>
      </c>
      <c r="GP24" s="38">
        <f t="shared" si="276"/>
        <v>0</v>
      </c>
      <c r="GQ24" s="38">
        <f t="shared" si="276"/>
        <v>0</v>
      </c>
      <c r="GR24" s="38">
        <f t="shared" si="276"/>
        <v>0</v>
      </c>
      <c r="GS24" s="38">
        <f t="shared" ref="GS24:JD24" si="277">IF(GS$7=" ",0,IF(MOD(GS$7,12)=1,$C$24,0))</f>
        <v>0</v>
      </c>
      <c r="GT24" s="38">
        <f t="shared" si="277"/>
        <v>0</v>
      </c>
      <c r="GU24" s="38">
        <f t="shared" si="277"/>
        <v>0</v>
      </c>
      <c r="GV24" s="38">
        <f t="shared" si="277"/>
        <v>0</v>
      </c>
      <c r="GW24" s="38">
        <f t="shared" si="277"/>
        <v>0</v>
      </c>
      <c r="GX24" s="38">
        <f t="shared" si="277"/>
        <v>0</v>
      </c>
      <c r="GY24" s="38">
        <f t="shared" si="277"/>
        <v>0</v>
      </c>
      <c r="GZ24" s="38">
        <f t="shared" si="277"/>
        <v>0</v>
      </c>
      <c r="HA24" s="38">
        <f t="shared" si="277"/>
        <v>0</v>
      </c>
      <c r="HB24" s="38">
        <f t="shared" si="277"/>
        <v>0</v>
      </c>
      <c r="HC24" s="38">
        <f t="shared" si="277"/>
        <v>0</v>
      </c>
      <c r="HD24" s="38">
        <f t="shared" si="277"/>
        <v>0</v>
      </c>
      <c r="HE24" s="38">
        <f t="shared" si="277"/>
        <v>0</v>
      </c>
      <c r="HF24" s="38">
        <f t="shared" si="277"/>
        <v>0</v>
      </c>
      <c r="HG24" s="38">
        <f t="shared" si="277"/>
        <v>0</v>
      </c>
      <c r="HH24" s="38">
        <f t="shared" si="277"/>
        <v>0</v>
      </c>
      <c r="HI24" s="38">
        <f t="shared" si="277"/>
        <v>0</v>
      </c>
      <c r="HJ24" s="38">
        <f t="shared" si="277"/>
        <v>0</v>
      </c>
      <c r="HK24" s="38">
        <f t="shared" si="277"/>
        <v>0</v>
      </c>
      <c r="HL24" s="38">
        <f t="shared" si="277"/>
        <v>0</v>
      </c>
      <c r="HM24" s="38">
        <f t="shared" si="277"/>
        <v>0</v>
      </c>
      <c r="HN24" s="38">
        <f t="shared" si="277"/>
        <v>0</v>
      </c>
      <c r="HO24" s="38">
        <f t="shared" si="277"/>
        <v>0</v>
      </c>
      <c r="HP24" s="38">
        <f t="shared" si="277"/>
        <v>0</v>
      </c>
      <c r="HQ24" s="38">
        <f t="shared" si="277"/>
        <v>0</v>
      </c>
      <c r="HR24" s="38">
        <f t="shared" si="277"/>
        <v>0</v>
      </c>
      <c r="HS24" s="38">
        <f t="shared" si="277"/>
        <v>0</v>
      </c>
      <c r="HT24" s="38">
        <f t="shared" si="277"/>
        <v>0</v>
      </c>
      <c r="HU24" s="38">
        <f t="shared" si="277"/>
        <v>0</v>
      </c>
      <c r="HV24" s="38">
        <f t="shared" si="277"/>
        <v>0</v>
      </c>
      <c r="HW24" s="38">
        <f t="shared" si="277"/>
        <v>0</v>
      </c>
      <c r="HX24" s="38">
        <f t="shared" si="277"/>
        <v>0</v>
      </c>
      <c r="HY24" s="38">
        <f t="shared" si="277"/>
        <v>0</v>
      </c>
      <c r="HZ24" s="38">
        <f t="shared" si="277"/>
        <v>0</v>
      </c>
      <c r="IA24" s="38">
        <f t="shared" si="277"/>
        <v>0</v>
      </c>
      <c r="IB24" s="38">
        <f t="shared" si="277"/>
        <v>0</v>
      </c>
      <c r="IC24" s="38">
        <f t="shared" si="277"/>
        <v>0</v>
      </c>
      <c r="ID24" s="38">
        <f t="shared" si="277"/>
        <v>0</v>
      </c>
      <c r="IE24" s="38">
        <f t="shared" si="277"/>
        <v>0</v>
      </c>
      <c r="IF24" s="38">
        <f t="shared" si="277"/>
        <v>0</v>
      </c>
      <c r="IG24" s="38">
        <f t="shared" si="277"/>
        <v>0</v>
      </c>
      <c r="IH24" s="38">
        <f t="shared" si="277"/>
        <v>0</v>
      </c>
      <c r="II24" s="38">
        <f t="shared" si="277"/>
        <v>0</v>
      </c>
      <c r="IJ24" s="38">
        <f t="shared" si="277"/>
        <v>0</v>
      </c>
      <c r="IK24" s="38">
        <f t="shared" si="277"/>
        <v>0</v>
      </c>
      <c r="IL24" s="38">
        <f t="shared" si="277"/>
        <v>0</v>
      </c>
      <c r="IM24" s="38">
        <f t="shared" si="277"/>
        <v>0</v>
      </c>
      <c r="IN24" s="38">
        <f t="shared" si="277"/>
        <v>0</v>
      </c>
      <c r="IO24" s="38">
        <f t="shared" si="277"/>
        <v>0</v>
      </c>
      <c r="IP24" s="38">
        <f t="shared" si="277"/>
        <v>0</v>
      </c>
      <c r="IQ24" s="38">
        <f t="shared" si="277"/>
        <v>0</v>
      </c>
      <c r="IR24" s="38">
        <f t="shared" si="277"/>
        <v>0</v>
      </c>
      <c r="IS24" s="38">
        <f t="shared" si="277"/>
        <v>0</v>
      </c>
      <c r="IT24" s="38">
        <f t="shared" si="277"/>
        <v>0</v>
      </c>
      <c r="IU24" s="38">
        <f t="shared" si="277"/>
        <v>0</v>
      </c>
      <c r="IV24" s="38">
        <f t="shared" si="277"/>
        <v>0</v>
      </c>
      <c r="IW24" s="38">
        <f t="shared" si="277"/>
        <v>0</v>
      </c>
      <c r="IX24" s="38">
        <f t="shared" si="277"/>
        <v>0</v>
      </c>
      <c r="IY24" s="38">
        <f t="shared" si="277"/>
        <v>0</v>
      </c>
      <c r="IZ24" s="38">
        <f t="shared" si="277"/>
        <v>0</v>
      </c>
      <c r="JA24" s="38">
        <f t="shared" si="277"/>
        <v>0</v>
      </c>
      <c r="JB24" s="38">
        <f t="shared" si="277"/>
        <v>0</v>
      </c>
      <c r="JC24" s="38">
        <f t="shared" si="277"/>
        <v>0</v>
      </c>
      <c r="JD24" s="38">
        <f t="shared" si="277"/>
        <v>0</v>
      </c>
      <c r="JE24" s="38">
        <f t="shared" ref="JE24:LP24" si="278">IF(JE$7=" ",0,IF(MOD(JE$7,12)=1,$C$24,0))</f>
        <v>0</v>
      </c>
      <c r="JF24" s="38">
        <f t="shared" si="278"/>
        <v>0</v>
      </c>
      <c r="JG24" s="38">
        <f t="shared" si="278"/>
        <v>0</v>
      </c>
      <c r="JH24" s="38">
        <f t="shared" si="278"/>
        <v>0</v>
      </c>
      <c r="JI24" s="38">
        <f t="shared" si="278"/>
        <v>0</v>
      </c>
      <c r="JJ24" s="38">
        <f t="shared" si="278"/>
        <v>0</v>
      </c>
      <c r="JK24" s="38">
        <f t="shared" si="278"/>
        <v>0</v>
      </c>
      <c r="JL24" s="38">
        <f t="shared" si="278"/>
        <v>0</v>
      </c>
      <c r="JM24" s="38">
        <f t="shared" si="278"/>
        <v>0</v>
      </c>
      <c r="JN24" s="38">
        <f t="shared" si="278"/>
        <v>0</v>
      </c>
      <c r="JO24" s="38">
        <f t="shared" si="278"/>
        <v>0</v>
      </c>
      <c r="JP24" s="38">
        <f t="shared" si="278"/>
        <v>0</v>
      </c>
      <c r="JQ24" s="38">
        <f t="shared" si="278"/>
        <v>0</v>
      </c>
      <c r="JR24" s="38">
        <f t="shared" si="278"/>
        <v>0</v>
      </c>
      <c r="JS24" s="38">
        <f t="shared" si="278"/>
        <v>0</v>
      </c>
      <c r="JT24" s="38">
        <f t="shared" si="278"/>
        <v>0</v>
      </c>
      <c r="JU24" s="38">
        <f t="shared" si="278"/>
        <v>0</v>
      </c>
      <c r="JV24" s="38">
        <f t="shared" si="278"/>
        <v>0</v>
      </c>
      <c r="JW24" s="38">
        <f t="shared" si="278"/>
        <v>0</v>
      </c>
      <c r="JX24" s="38">
        <f t="shared" si="278"/>
        <v>0</v>
      </c>
      <c r="JY24" s="38">
        <f t="shared" si="278"/>
        <v>0</v>
      </c>
      <c r="JZ24" s="38">
        <f t="shared" si="278"/>
        <v>0</v>
      </c>
      <c r="KA24" s="38">
        <f t="shared" si="278"/>
        <v>0</v>
      </c>
      <c r="KB24" s="38">
        <f t="shared" si="278"/>
        <v>0</v>
      </c>
      <c r="KC24" s="38">
        <f t="shared" si="278"/>
        <v>0</v>
      </c>
      <c r="KD24" s="38">
        <f t="shared" si="278"/>
        <v>0</v>
      </c>
      <c r="KE24" s="38">
        <f t="shared" si="278"/>
        <v>0</v>
      </c>
      <c r="KF24" s="38">
        <f t="shared" si="278"/>
        <v>0</v>
      </c>
      <c r="KG24" s="38">
        <f t="shared" si="278"/>
        <v>0</v>
      </c>
      <c r="KH24" s="38">
        <f t="shared" si="278"/>
        <v>0</v>
      </c>
      <c r="KI24" s="38">
        <f t="shared" si="278"/>
        <v>0</v>
      </c>
      <c r="KJ24" s="38">
        <f t="shared" si="278"/>
        <v>0</v>
      </c>
      <c r="KK24" s="38">
        <f t="shared" si="278"/>
        <v>0</v>
      </c>
      <c r="KL24" s="38">
        <f t="shared" si="278"/>
        <v>0</v>
      </c>
      <c r="KM24" s="38">
        <f t="shared" si="278"/>
        <v>0</v>
      </c>
      <c r="KN24" s="38">
        <f t="shared" si="278"/>
        <v>0</v>
      </c>
      <c r="KO24" s="38">
        <f t="shared" si="278"/>
        <v>0</v>
      </c>
      <c r="KP24" s="38">
        <f t="shared" si="278"/>
        <v>0</v>
      </c>
      <c r="KQ24" s="38">
        <f t="shared" si="278"/>
        <v>0</v>
      </c>
      <c r="KR24" s="38">
        <f t="shared" si="278"/>
        <v>0</v>
      </c>
      <c r="KS24" s="38">
        <f t="shared" si="278"/>
        <v>0</v>
      </c>
      <c r="KT24" s="38">
        <f t="shared" si="278"/>
        <v>0</v>
      </c>
      <c r="KU24" s="38">
        <f t="shared" si="278"/>
        <v>0</v>
      </c>
      <c r="KV24" s="38">
        <f t="shared" si="278"/>
        <v>0</v>
      </c>
      <c r="KW24" s="38">
        <f t="shared" si="278"/>
        <v>0</v>
      </c>
      <c r="KX24" s="38">
        <f t="shared" si="278"/>
        <v>0</v>
      </c>
      <c r="KY24" s="38">
        <f t="shared" si="278"/>
        <v>0</v>
      </c>
      <c r="KZ24" s="38">
        <f t="shared" si="278"/>
        <v>0</v>
      </c>
      <c r="LA24" s="38">
        <f t="shared" si="278"/>
        <v>0</v>
      </c>
      <c r="LB24" s="38">
        <f t="shared" si="278"/>
        <v>0</v>
      </c>
      <c r="LC24" s="38">
        <f t="shared" si="278"/>
        <v>0</v>
      </c>
      <c r="LD24" s="38">
        <f t="shared" si="278"/>
        <v>0</v>
      </c>
      <c r="LE24" s="38">
        <f t="shared" si="278"/>
        <v>0</v>
      </c>
      <c r="LF24" s="38">
        <f t="shared" si="278"/>
        <v>0</v>
      </c>
      <c r="LG24" s="38">
        <f t="shared" si="278"/>
        <v>0</v>
      </c>
      <c r="LH24" s="38">
        <f t="shared" si="278"/>
        <v>0</v>
      </c>
      <c r="LI24" s="38">
        <f t="shared" si="278"/>
        <v>0</v>
      </c>
      <c r="LJ24" s="38">
        <f t="shared" si="278"/>
        <v>0</v>
      </c>
      <c r="LK24" s="38">
        <f t="shared" si="278"/>
        <v>0</v>
      </c>
      <c r="LL24" s="38">
        <f t="shared" si="278"/>
        <v>0</v>
      </c>
      <c r="LM24" s="38">
        <f t="shared" si="278"/>
        <v>0</v>
      </c>
      <c r="LN24" s="38">
        <f t="shared" si="278"/>
        <v>0</v>
      </c>
      <c r="LO24" s="38">
        <f t="shared" si="278"/>
        <v>0</v>
      </c>
      <c r="LP24" s="38">
        <f t="shared" si="278"/>
        <v>0</v>
      </c>
      <c r="LQ24" s="38">
        <f t="shared" ref="LQ24:NB24" si="279">IF(LQ$7=" ",0,IF(MOD(LQ$7,12)=1,$C$24,0))</f>
        <v>0</v>
      </c>
      <c r="LR24" s="38">
        <f t="shared" si="279"/>
        <v>0</v>
      </c>
      <c r="LS24" s="38">
        <f t="shared" si="279"/>
        <v>0</v>
      </c>
      <c r="LT24" s="38">
        <f t="shared" si="279"/>
        <v>0</v>
      </c>
      <c r="LU24" s="38">
        <f t="shared" si="279"/>
        <v>0</v>
      </c>
      <c r="LV24" s="38">
        <f t="shared" si="279"/>
        <v>0</v>
      </c>
      <c r="LW24" s="38">
        <f t="shared" si="279"/>
        <v>0</v>
      </c>
      <c r="LX24" s="38">
        <f t="shared" si="279"/>
        <v>0</v>
      </c>
      <c r="LY24" s="38">
        <f t="shared" si="279"/>
        <v>0</v>
      </c>
      <c r="LZ24" s="38">
        <f t="shared" si="279"/>
        <v>0</v>
      </c>
      <c r="MA24" s="38">
        <f t="shared" si="279"/>
        <v>0</v>
      </c>
      <c r="MB24" s="38">
        <f t="shared" si="279"/>
        <v>0</v>
      </c>
      <c r="MC24" s="38">
        <f t="shared" si="279"/>
        <v>0</v>
      </c>
      <c r="MD24" s="38">
        <f t="shared" si="279"/>
        <v>0</v>
      </c>
      <c r="ME24" s="38">
        <f t="shared" si="279"/>
        <v>0</v>
      </c>
      <c r="MF24" s="38">
        <f t="shared" si="279"/>
        <v>0</v>
      </c>
      <c r="MG24" s="38">
        <f t="shared" si="279"/>
        <v>0</v>
      </c>
      <c r="MH24" s="38">
        <f t="shared" si="279"/>
        <v>0</v>
      </c>
      <c r="MI24" s="38">
        <f t="shared" si="279"/>
        <v>0</v>
      </c>
      <c r="MJ24" s="38">
        <f t="shared" si="279"/>
        <v>0</v>
      </c>
      <c r="MK24" s="38">
        <f t="shared" si="279"/>
        <v>0</v>
      </c>
      <c r="ML24" s="38">
        <f t="shared" si="279"/>
        <v>0</v>
      </c>
      <c r="MM24" s="38">
        <f t="shared" si="279"/>
        <v>0</v>
      </c>
      <c r="MN24" s="38">
        <f t="shared" si="279"/>
        <v>0</v>
      </c>
      <c r="MO24" s="38">
        <f t="shared" si="279"/>
        <v>0</v>
      </c>
      <c r="MP24" s="38">
        <f t="shared" si="279"/>
        <v>0</v>
      </c>
      <c r="MQ24" s="38">
        <f t="shared" si="279"/>
        <v>0</v>
      </c>
      <c r="MR24" s="38">
        <f t="shared" si="279"/>
        <v>0</v>
      </c>
      <c r="MS24" s="38">
        <f t="shared" si="279"/>
        <v>0</v>
      </c>
      <c r="MT24" s="38">
        <f t="shared" si="279"/>
        <v>0</v>
      </c>
      <c r="MU24" s="38">
        <f t="shared" si="279"/>
        <v>0</v>
      </c>
      <c r="MV24" s="38">
        <f t="shared" si="279"/>
        <v>0</v>
      </c>
      <c r="MW24" s="38">
        <f t="shared" si="279"/>
        <v>0</v>
      </c>
      <c r="MX24" s="38">
        <f t="shared" si="279"/>
        <v>0</v>
      </c>
      <c r="MY24" s="38">
        <f t="shared" si="279"/>
        <v>0</v>
      </c>
      <c r="MZ24" s="38">
        <f t="shared" si="279"/>
        <v>0</v>
      </c>
      <c r="NA24" s="38">
        <f t="shared" si="279"/>
        <v>0</v>
      </c>
      <c r="NB24" s="38">
        <f t="shared" si="279"/>
        <v>0</v>
      </c>
    </row>
    <row r="25" spans="2:366" x14ac:dyDescent="0.15">
      <c r="B25" t="s">
        <v>318</v>
      </c>
      <c r="C25" s="263">
        <f>inflation</f>
        <v>2.5000000000000001E-2</v>
      </c>
      <c r="F25" s="38">
        <v>0</v>
      </c>
      <c r="G25" s="38">
        <v>0</v>
      </c>
      <c r="H25" s="38">
        <f>IF(H$7=" ",0,IF(MOD(H$7,12)=1,$C$25,0))</f>
        <v>0</v>
      </c>
      <c r="I25" s="38">
        <f t="shared" ref="I25:BT25" si="280">IF(I$7=" ",0,IF(MOD(I$7,12)=1,$C$25,0))</f>
        <v>0</v>
      </c>
      <c r="J25" s="38">
        <f t="shared" si="280"/>
        <v>0</v>
      </c>
      <c r="K25" s="38">
        <f t="shared" si="280"/>
        <v>0</v>
      </c>
      <c r="L25" s="38">
        <f t="shared" si="280"/>
        <v>0</v>
      </c>
      <c r="M25" s="38">
        <f t="shared" si="280"/>
        <v>0</v>
      </c>
      <c r="N25" s="38">
        <f t="shared" si="280"/>
        <v>0</v>
      </c>
      <c r="O25" s="38">
        <f t="shared" si="280"/>
        <v>0</v>
      </c>
      <c r="P25" s="38">
        <f t="shared" si="280"/>
        <v>0</v>
      </c>
      <c r="Q25" s="38">
        <f t="shared" si="280"/>
        <v>0</v>
      </c>
      <c r="R25" s="38">
        <f t="shared" si="280"/>
        <v>0</v>
      </c>
      <c r="S25" s="38">
        <f t="shared" si="280"/>
        <v>2.5000000000000001E-2</v>
      </c>
      <c r="T25" s="38">
        <f t="shared" si="280"/>
        <v>0</v>
      </c>
      <c r="U25" s="38">
        <f t="shared" si="280"/>
        <v>0</v>
      </c>
      <c r="V25" s="38">
        <f t="shared" si="280"/>
        <v>0</v>
      </c>
      <c r="W25" s="38">
        <f t="shared" si="280"/>
        <v>0</v>
      </c>
      <c r="X25" s="38">
        <f t="shared" si="280"/>
        <v>0</v>
      </c>
      <c r="Y25" s="38">
        <f t="shared" si="280"/>
        <v>0</v>
      </c>
      <c r="Z25" s="38">
        <f t="shared" si="280"/>
        <v>0</v>
      </c>
      <c r="AA25" s="38">
        <f t="shared" si="280"/>
        <v>0</v>
      </c>
      <c r="AB25" s="38">
        <f t="shared" si="280"/>
        <v>0</v>
      </c>
      <c r="AC25" s="38">
        <f t="shared" si="280"/>
        <v>0</v>
      </c>
      <c r="AD25" s="38">
        <f t="shared" si="280"/>
        <v>0</v>
      </c>
      <c r="AE25" s="38">
        <f t="shared" si="280"/>
        <v>2.5000000000000001E-2</v>
      </c>
      <c r="AF25" s="38">
        <f t="shared" si="280"/>
        <v>0</v>
      </c>
      <c r="AG25" s="38">
        <f t="shared" si="280"/>
        <v>0</v>
      </c>
      <c r="AH25" s="38">
        <f t="shared" si="280"/>
        <v>0</v>
      </c>
      <c r="AI25" s="38">
        <f t="shared" si="280"/>
        <v>0</v>
      </c>
      <c r="AJ25" s="38">
        <f t="shared" si="280"/>
        <v>0</v>
      </c>
      <c r="AK25" s="38">
        <f t="shared" si="280"/>
        <v>0</v>
      </c>
      <c r="AL25" s="38">
        <f t="shared" si="280"/>
        <v>0</v>
      </c>
      <c r="AM25" s="38">
        <f t="shared" si="280"/>
        <v>0</v>
      </c>
      <c r="AN25" s="38">
        <f t="shared" si="280"/>
        <v>0</v>
      </c>
      <c r="AO25" s="38">
        <f t="shared" si="280"/>
        <v>0</v>
      </c>
      <c r="AP25" s="38">
        <f t="shared" si="280"/>
        <v>0</v>
      </c>
      <c r="AQ25" s="38">
        <f t="shared" si="280"/>
        <v>2.5000000000000001E-2</v>
      </c>
      <c r="AR25" s="38">
        <f t="shared" si="280"/>
        <v>0</v>
      </c>
      <c r="AS25" s="38">
        <f t="shared" si="280"/>
        <v>0</v>
      </c>
      <c r="AT25" s="38">
        <f t="shared" si="280"/>
        <v>0</v>
      </c>
      <c r="AU25" s="38">
        <f t="shared" si="280"/>
        <v>0</v>
      </c>
      <c r="AV25" s="38">
        <f t="shared" si="280"/>
        <v>0</v>
      </c>
      <c r="AW25" s="38">
        <f t="shared" si="280"/>
        <v>0</v>
      </c>
      <c r="AX25" s="38">
        <f t="shared" si="280"/>
        <v>0</v>
      </c>
      <c r="AY25" s="38">
        <f t="shared" si="280"/>
        <v>0</v>
      </c>
      <c r="AZ25" s="38">
        <f t="shared" si="280"/>
        <v>0</v>
      </c>
      <c r="BA25" s="38">
        <f t="shared" si="280"/>
        <v>0</v>
      </c>
      <c r="BB25" s="38">
        <f t="shared" si="280"/>
        <v>0</v>
      </c>
      <c r="BC25" s="38">
        <f t="shared" si="280"/>
        <v>2.5000000000000001E-2</v>
      </c>
      <c r="BD25" s="38">
        <f t="shared" si="280"/>
        <v>0</v>
      </c>
      <c r="BE25" s="38">
        <f t="shared" si="280"/>
        <v>0</v>
      </c>
      <c r="BF25" s="38">
        <f t="shared" si="280"/>
        <v>0</v>
      </c>
      <c r="BG25" s="38">
        <f t="shared" si="280"/>
        <v>0</v>
      </c>
      <c r="BH25" s="38">
        <f t="shared" si="280"/>
        <v>0</v>
      </c>
      <c r="BI25" s="38">
        <f t="shared" si="280"/>
        <v>0</v>
      </c>
      <c r="BJ25" s="38">
        <f t="shared" si="280"/>
        <v>0</v>
      </c>
      <c r="BK25" s="38">
        <f t="shared" si="280"/>
        <v>0</v>
      </c>
      <c r="BL25" s="38">
        <f t="shared" si="280"/>
        <v>0</v>
      </c>
      <c r="BM25" s="38">
        <f t="shared" si="280"/>
        <v>0</v>
      </c>
      <c r="BN25" s="38">
        <f t="shared" si="280"/>
        <v>0</v>
      </c>
      <c r="BO25" s="38">
        <f t="shared" si="280"/>
        <v>2.5000000000000001E-2</v>
      </c>
      <c r="BP25" s="38">
        <f t="shared" si="280"/>
        <v>0</v>
      </c>
      <c r="BQ25" s="38">
        <f t="shared" si="280"/>
        <v>0</v>
      </c>
      <c r="BR25" s="38">
        <f t="shared" si="280"/>
        <v>0</v>
      </c>
      <c r="BS25" s="38">
        <f t="shared" si="280"/>
        <v>0</v>
      </c>
      <c r="BT25" s="38">
        <f t="shared" si="280"/>
        <v>0</v>
      </c>
      <c r="BU25" s="38">
        <f t="shared" ref="BU25:EF25" si="281">IF(BU$7=" ",0,IF(MOD(BU$7,12)=1,$C$25,0))</f>
        <v>0</v>
      </c>
      <c r="BV25" s="38">
        <f t="shared" si="281"/>
        <v>0</v>
      </c>
      <c r="BW25" s="38">
        <f t="shared" si="281"/>
        <v>0</v>
      </c>
      <c r="BX25" s="38">
        <f t="shared" si="281"/>
        <v>0</v>
      </c>
      <c r="BY25" s="38">
        <f t="shared" si="281"/>
        <v>0</v>
      </c>
      <c r="BZ25" s="38">
        <f t="shared" si="281"/>
        <v>0</v>
      </c>
      <c r="CA25" s="38">
        <f t="shared" si="281"/>
        <v>2.5000000000000001E-2</v>
      </c>
      <c r="CB25" s="38">
        <f t="shared" si="281"/>
        <v>0</v>
      </c>
      <c r="CC25" s="38">
        <f t="shared" si="281"/>
        <v>0</v>
      </c>
      <c r="CD25" s="38">
        <f t="shared" si="281"/>
        <v>0</v>
      </c>
      <c r="CE25" s="38">
        <f t="shared" si="281"/>
        <v>0</v>
      </c>
      <c r="CF25" s="38">
        <f t="shared" si="281"/>
        <v>0</v>
      </c>
      <c r="CG25" s="38">
        <f t="shared" si="281"/>
        <v>0</v>
      </c>
      <c r="CH25" s="38">
        <f t="shared" si="281"/>
        <v>0</v>
      </c>
      <c r="CI25" s="38">
        <f t="shared" si="281"/>
        <v>0</v>
      </c>
      <c r="CJ25" s="38">
        <f t="shared" si="281"/>
        <v>0</v>
      </c>
      <c r="CK25" s="38">
        <f t="shared" si="281"/>
        <v>0</v>
      </c>
      <c r="CL25" s="38">
        <f t="shared" si="281"/>
        <v>0</v>
      </c>
      <c r="CM25" s="38">
        <f t="shared" si="281"/>
        <v>2.5000000000000001E-2</v>
      </c>
      <c r="CN25" s="38">
        <f t="shared" si="281"/>
        <v>0</v>
      </c>
      <c r="CO25" s="38">
        <f t="shared" si="281"/>
        <v>0</v>
      </c>
      <c r="CP25" s="38">
        <f t="shared" si="281"/>
        <v>0</v>
      </c>
      <c r="CQ25" s="38">
        <f t="shared" si="281"/>
        <v>0</v>
      </c>
      <c r="CR25" s="38">
        <f t="shared" si="281"/>
        <v>0</v>
      </c>
      <c r="CS25" s="38">
        <f t="shared" si="281"/>
        <v>0</v>
      </c>
      <c r="CT25" s="38">
        <f t="shared" si="281"/>
        <v>0</v>
      </c>
      <c r="CU25" s="38">
        <f t="shared" si="281"/>
        <v>0</v>
      </c>
      <c r="CV25" s="38">
        <f t="shared" si="281"/>
        <v>0</v>
      </c>
      <c r="CW25" s="38">
        <f t="shared" si="281"/>
        <v>0</v>
      </c>
      <c r="CX25" s="38">
        <f t="shared" si="281"/>
        <v>0</v>
      </c>
      <c r="CY25" s="38">
        <f t="shared" si="281"/>
        <v>2.5000000000000001E-2</v>
      </c>
      <c r="CZ25" s="38">
        <f t="shared" si="281"/>
        <v>0</v>
      </c>
      <c r="DA25" s="38">
        <f t="shared" si="281"/>
        <v>0</v>
      </c>
      <c r="DB25" s="38">
        <f t="shared" si="281"/>
        <v>0</v>
      </c>
      <c r="DC25" s="38">
        <f t="shared" si="281"/>
        <v>0</v>
      </c>
      <c r="DD25" s="38">
        <f t="shared" si="281"/>
        <v>0</v>
      </c>
      <c r="DE25" s="38">
        <f t="shared" si="281"/>
        <v>0</v>
      </c>
      <c r="DF25" s="38">
        <f t="shared" si="281"/>
        <v>0</v>
      </c>
      <c r="DG25" s="38">
        <f t="shared" si="281"/>
        <v>0</v>
      </c>
      <c r="DH25" s="38">
        <f t="shared" si="281"/>
        <v>0</v>
      </c>
      <c r="DI25" s="38">
        <f t="shared" si="281"/>
        <v>0</v>
      </c>
      <c r="DJ25" s="38">
        <f t="shared" si="281"/>
        <v>0</v>
      </c>
      <c r="DK25" s="38">
        <f t="shared" si="281"/>
        <v>2.5000000000000001E-2</v>
      </c>
      <c r="DL25" s="38">
        <f t="shared" si="281"/>
        <v>0</v>
      </c>
      <c r="DM25" s="38">
        <f t="shared" si="281"/>
        <v>0</v>
      </c>
      <c r="DN25" s="38">
        <f t="shared" si="281"/>
        <v>0</v>
      </c>
      <c r="DO25" s="38">
        <f t="shared" si="281"/>
        <v>0</v>
      </c>
      <c r="DP25" s="38">
        <f t="shared" si="281"/>
        <v>0</v>
      </c>
      <c r="DQ25" s="38">
        <f t="shared" si="281"/>
        <v>0</v>
      </c>
      <c r="DR25" s="38">
        <f t="shared" si="281"/>
        <v>0</v>
      </c>
      <c r="DS25" s="38">
        <f t="shared" si="281"/>
        <v>0</v>
      </c>
      <c r="DT25" s="38">
        <f t="shared" si="281"/>
        <v>0</v>
      </c>
      <c r="DU25" s="38">
        <f t="shared" si="281"/>
        <v>0</v>
      </c>
      <c r="DV25" s="38">
        <f t="shared" si="281"/>
        <v>0</v>
      </c>
      <c r="DW25" s="38">
        <f t="shared" si="281"/>
        <v>2.5000000000000001E-2</v>
      </c>
      <c r="DX25" s="38">
        <f t="shared" si="281"/>
        <v>0</v>
      </c>
      <c r="DY25" s="38">
        <f t="shared" si="281"/>
        <v>0</v>
      </c>
      <c r="DZ25" s="38">
        <f t="shared" si="281"/>
        <v>0</v>
      </c>
      <c r="EA25" s="38">
        <f t="shared" si="281"/>
        <v>0</v>
      </c>
      <c r="EB25" s="38">
        <f t="shared" si="281"/>
        <v>0</v>
      </c>
      <c r="EC25" s="38">
        <f t="shared" si="281"/>
        <v>0</v>
      </c>
      <c r="ED25" s="38">
        <f t="shared" si="281"/>
        <v>0</v>
      </c>
      <c r="EE25" s="38">
        <f t="shared" si="281"/>
        <v>0</v>
      </c>
      <c r="EF25" s="38">
        <f t="shared" si="281"/>
        <v>0</v>
      </c>
      <c r="EG25" s="38">
        <f t="shared" ref="EG25:GR25" si="282">IF(EG$7=" ",0,IF(MOD(EG$7,12)=1,$C$25,0))</f>
        <v>0</v>
      </c>
      <c r="EH25" s="38">
        <f t="shared" si="282"/>
        <v>0</v>
      </c>
      <c r="EI25" s="38">
        <f t="shared" si="282"/>
        <v>2.5000000000000001E-2</v>
      </c>
      <c r="EJ25" s="38">
        <f t="shared" si="282"/>
        <v>0</v>
      </c>
      <c r="EK25" s="38">
        <f t="shared" si="282"/>
        <v>0</v>
      </c>
      <c r="EL25" s="38">
        <f t="shared" si="282"/>
        <v>0</v>
      </c>
      <c r="EM25" s="38">
        <f t="shared" si="282"/>
        <v>0</v>
      </c>
      <c r="EN25" s="38">
        <f t="shared" si="282"/>
        <v>0</v>
      </c>
      <c r="EO25" s="38">
        <f t="shared" si="282"/>
        <v>0</v>
      </c>
      <c r="EP25" s="38">
        <f t="shared" si="282"/>
        <v>0</v>
      </c>
      <c r="EQ25" s="38">
        <f t="shared" si="282"/>
        <v>0</v>
      </c>
      <c r="ER25" s="38">
        <f t="shared" si="282"/>
        <v>0</v>
      </c>
      <c r="ES25" s="38">
        <f t="shared" si="282"/>
        <v>0</v>
      </c>
      <c r="ET25" s="38">
        <f t="shared" si="282"/>
        <v>0</v>
      </c>
      <c r="EU25" s="38">
        <f t="shared" si="282"/>
        <v>2.5000000000000001E-2</v>
      </c>
      <c r="EV25" s="38">
        <f t="shared" si="282"/>
        <v>0</v>
      </c>
      <c r="EW25" s="38">
        <f t="shared" si="282"/>
        <v>0</v>
      </c>
      <c r="EX25" s="38">
        <f t="shared" si="282"/>
        <v>0</v>
      </c>
      <c r="EY25" s="38">
        <f t="shared" si="282"/>
        <v>0</v>
      </c>
      <c r="EZ25" s="38">
        <f t="shared" si="282"/>
        <v>0</v>
      </c>
      <c r="FA25" s="38">
        <f t="shared" si="282"/>
        <v>0</v>
      </c>
      <c r="FB25" s="38">
        <f t="shared" si="282"/>
        <v>0</v>
      </c>
      <c r="FC25" s="38">
        <f t="shared" si="282"/>
        <v>0</v>
      </c>
      <c r="FD25" s="38">
        <f t="shared" si="282"/>
        <v>0</v>
      </c>
      <c r="FE25" s="38">
        <f t="shared" si="282"/>
        <v>0</v>
      </c>
      <c r="FF25" s="38">
        <f t="shared" si="282"/>
        <v>0</v>
      </c>
      <c r="FG25" s="38">
        <f t="shared" si="282"/>
        <v>2.5000000000000001E-2</v>
      </c>
      <c r="FH25" s="38">
        <f t="shared" si="282"/>
        <v>0</v>
      </c>
      <c r="FI25" s="38">
        <f t="shared" si="282"/>
        <v>0</v>
      </c>
      <c r="FJ25" s="38">
        <f t="shared" si="282"/>
        <v>0</v>
      </c>
      <c r="FK25" s="38">
        <f t="shared" si="282"/>
        <v>0</v>
      </c>
      <c r="FL25" s="38">
        <f t="shared" si="282"/>
        <v>0</v>
      </c>
      <c r="FM25" s="38">
        <f t="shared" si="282"/>
        <v>0</v>
      </c>
      <c r="FN25" s="38">
        <f t="shared" si="282"/>
        <v>0</v>
      </c>
      <c r="FO25" s="38">
        <f t="shared" si="282"/>
        <v>0</v>
      </c>
      <c r="FP25" s="38">
        <f t="shared" si="282"/>
        <v>0</v>
      </c>
      <c r="FQ25" s="38">
        <f t="shared" si="282"/>
        <v>0</v>
      </c>
      <c r="FR25" s="38">
        <f t="shared" si="282"/>
        <v>0</v>
      </c>
      <c r="FS25" s="38">
        <f t="shared" si="282"/>
        <v>2.5000000000000001E-2</v>
      </c>
      <c r="FT25" s="38">
        <f t="shared" si="282"/>
        <v>0</v>
      </c>
      <c r="FU25" s="38">
        <f t="shared" si="282"/>
        <v>0</v>
      </c>
      <c r="FV25" s="38">
        <f t="shared" si="282"/>
        <v>0</v>
      </c>
      <c r="FW25" s="38">
        <f t="shared" si="282"/>
        <v>0</v>
      </c>
      <c r="FX25" s="38">
        <f t="shared" si="282"/>
        <v>0</v>
      </c>
      <c r="FY25" s="38">
        <f t="shared" si="282"/>
        <v>0</v>
      </c>
      <c r="FZ25" s="38">
        <f t="shared" si="282"/>
        <v>0</v>
      </c>
      <c r="GA25" s="38">
        <f t="shared" si="282"/>
        <v>0</v>
      </c>
      <c r="GB25" s="38">
        <f t="shared" si="282"/>
        <v>0</v>
      </c>
      <c r="GC25" s="38">
        <f t="shared" si="282"/>
        <v>0</v>
      </c>
      <c r="GD25" s="38">
        <f t="shared" si="282"/>
        <v>0</v>
      </c>
      <c r="GE25" s="38">
        <f t="shared" si="282"/>
        <v>0</v>
      </c>
      <c r="GF25" s="38">
        <f t="shared" si="282"/>
        <v>0</v>
      </c>
      <c r="GG25" s="38">
        <f t="shared" si="282"/>
        <v>0</v>
      </c>
      <c r="GH25" s="38">
        <f t="shared" si="282"/>
        <v>0</v>
      </c>
      <c r="GI25" s="38">
        <f t="shared" si="282"/>
        <v>0</v>
      </c>
      <c r="GJ25" s="38">
        <f t="shared" si="282"/>
        <v>0</v>
      </c>
      <c r="GK25" s="38">
        <f t="shared" si="282"/>
        <v>0</v>
      </c>
      <c r="GL25" s="38">
        <f t="shared" si="282"/>
        <v>0</v>
      </c>
      <c r="GM25" s="38">
        <f t="shared" si="282"/>
        <v>0</v>
      </c>
      <c r="GN25" s="38">
        <f t="shared" si="282"/>
        <v>0</v>
      </c>
      <c r="GO25" s="38">
        <f t="shared" si="282"/>
        <v>0</v>
      </c>
      <c r="GP25" s="38">
        <f t="shared" si="282"/>
        <v>0</v>
      </c>
      <c r="GQ25" s="38">
        <f t="shared" si="282"/>
        <v>0</v>
      </c>
      <c r="GR25" s="38">
        <f t="shared" si="282"/>
        <v>0</v>
      </c>
      <c r="GS25" s="38">
        <f t="shared" ref="GS25:JD25" si="283">IF(GS$7=" ",0,IF(MOD(GS$7,12)=1,$C$25,0))</f>
        <v>0</v>
      </c>
      <c r="GT25" s="38">
        <f t="shared" si="283"/>
        <v>0</v>
      </c>
      <c r="GU25" s="38">
        <f t="shared" si="283"/>
        <v>0</v>
      </c>
      <c r="GV25" s="38">
        <f t="shared" si="283"/>
        <v>0</v>
      </c>
      <c r="GW25" s="38">
        <f t="shared" si="283"/>
        <v>0</v>
      </c>
      <c r="GX25" s="38">
        <f t="shared" si="283"/>
        <v>0</v>
      </c>
      <c r="GY25" s="38">
        <f t="shared" si="283"/>
        <v>0</v>
      </c>
      <c r="GZ25" s="38">
        <f t="shared" si="283"/>
        <v>0</v>
      </c>
      <c r="HA25" s="38">
        <f t="shared" si="283"/>
        <v>0</v>
      </c>
      <c r="HB25" s="38">
        <f t="shared" si="283"/>
        <v>0</v>
      </c>
      <c r="HC25" s="38">
        <f t="shared" si="283"/>
        <v>0</v>
      </c>
      <c r="HD25" s="38">
        <f t="shared" si="283"/>
        <v>0</v>
      </c>
      <c r="HE25" s="38">
        <f t="shared" si="283"/>
        <v>0</v>
      </c>
      <c r="HF25" s="38">
        <f t="shared" si="283"/>
        <v>0</v>
      </c>
      <c r="HG25" s="38">
        <f t="shared" si="283"/>
        <v>0</v>
      </c>
      <c r="HH25" s="38">
        <f t="shared" si="283"/>
        <v>0</v>
      </c>
      <c r="HI25" s="38">
        <f t="shared" si="283"/>
        <v>0</v>
      </c>
      <c r="HJ25" s="38">
        <f t="shared" si="283"/>
        <v>0</v>
      </c>
      <c r="HK25" s="38">
        <f t="shared" si="283"/>
        <v>0</v>
      </c>
      <c r="HL25" s="38">
        <f t="shared" si="283"/>
        <v>0</v>
      </c>
      <c r="HM25" s="38">
        <f t="shared" si="283"/>
        <v>0</v>
      </c>
      <c r="HN25" s="38">
        <f t="shared" si="283"/>
        <v>0</v>
      </c>
      <c r="HO25" s="38">
        <f t="shared" si="283"/>
        <v>0</v>
      </c>
      <c r="HP25" s="38">
        <f t="shared" si="283"/>
        <v>0</v>
      </c>
      <c r="HQ25" s="38">
        <f t="shared" si="283"/>
        <v>0</v>
      </c>
      <c r="HR25" s="38">
        <f t="shared" si="283"/>
        <v>0</v>
      </c>
      <c r="HS25" s="38">
        <f t="shared" si="283"/>
        <v>0</v>
      </c>
      <c r="HT25" s="38">
        <f t="shared" si="283"/>
        <v>0</v>
      </c>
      <c r="HU25" s="38">
        <f t="shared" si="283"/>
        <v>0</v>
      </c>
      <c r="HV25" s="38">
        <f t="shared" si="283"/>
        <v>0</v>
      </c>
      <c r="HW25" s="38">
        <f t="shared" si="283"/>
        <v>0</v>
      </c>
      <c r="HX25" s="38">
        <f t="shared" si="283"/>
        <v>0</v>
      </c>
      <c r="HY25" s="38">
        <f t="shared" si="283"/>
        <v>0</v>
      </c>
      <c r="HZ25" s="38">
        <f t="shared" si="283"/>
        <v>0</v>
      </c>
      <c r="IA25" s="38">
        <f t="shared" si="283"/>
        <v>0</v>
      </c>
      <c r="IB25" s="38">
        <f t="shared" si="283"/>
        <v>0</v>
      </c>
      <c r="IC25" s="38">
        <f t="shared" si="283"/>
        <v>0</v>
      </c>
      <c r="ID25" s="38">
        <f t="shared" si="283"/>
        <v>0</v>
      </c>
      <c r="IE25" s="38">
        <f t="shared" si="283"/>
        <v>0</v>
      </c>
      <c r="IF25" s="38">
        <f t="shared" si="283"/>
        <v>0</v>
      </c>
      <c r="IG25" s="38">
        <f t="shared" si="283"/>
        <v>0</v>
      </c>
      <c r="IH25" s="38">
        <f t="shared" si="283"/>
        <v>0</v>
      </c>
      <c r="II25" s="38">
        <f t="shared" si="283"/>
        <v>0</v>
      </c>
      <c r="IJ25" s="38">
        <f t="shared" si="283"/>
        <v>0</v>
      </c>
      <c r="IK25" s="38">
        <f t="shared" si="283"/>
        <v>0</v>
      </c>
      <c r="IL25" s="38">
        <f t="shared" si="283"/>
        <v>0</v>
      </c>
      <c r="IM25" s="38">
        <f t="shared" si="283"/>
        <v>0</v>
      </c>
      <c r="IN25" s="38">
        <f t="shared" si="283"/>
        <v>0</v>
      </c>
      <c r="IO25" s="38">
        <f t="shared" si="283"/>
        <v>0</v>
      </c>
      <c r="IP25" s="38">
        <f t="shared" si="283"/>
        <v>0</v>
      </c>
      <c r="IQ25" s="38">
        <f t="shared" si="283"/>
        <v>0</v>
      </c>
      <c r="IR25" s="38">
        <f t="shared" si="283"/>
        <v>0</v>
      </c>
      <c r="IS25" s="38">
        <f t="shared" si="283"/>
        <v>0</v>
      </c>
      <c r="IT25" s="38">
        <f t="shared" si="283"/>
        <v>0</v>
      </c>
      <c r="IU25" s="38">
        <f t="shared" si="283"/>
        <v>0</v>
      </c>
      <c r="IV25" s="38">
        <f t="shared" si="283"/>
        <v>0</v>
      </c>
      <c r="IW25" s="38">
        <f t="shared" si="283"/>
        <v>0</v>
      </c>
      <c r="IX25" s="38">
        <f t="shared" si="283"/>
        <v>0</v>
      </c>
      <c r="IY25" s="38">
        <f t="shared" si="283"/>
        <v>0</v>
      </c>
      <c r="IZ25" s="38">
        <f t="shared" si="283"/>
        <v>0</v>
      </c>
      <c r="JA25" s="38">
        <f t="shared" si="283"/>
        <v>0</v>
      </c>
      <c r="JB25" s="38">
        <f t="shared" si="283"/>
        <v>0</v>
      </c>
      <c r="JC25" s="38">
        <f t="shared" si="283"/>
        <v>0</v>
      </c>
      <c r="JD25" s="38">
        <f t="shared" si="283"/>
        <v>0</v>
      </c>
      <c r="JE25" s="38">
        <f t="shared" ref="JE25:LP25" si="284">IF(JE$7=" ",0,IF(MOD(JE$7,12)=1,$C$25,0))</f>
        <v>0</v>
      </c>
      <c r="JF25" s="38">
        <f t="shared" si="284"/>
        <v>0</v>
      </c>
      <c r="JG25" s="38">
        <f t="shared" si="284"/>
        <v>0</v>
      </c>
      <c r="JH25" s="38">
        <f t="shared" si="284"/>
        <v>0</v>
      </c>
      <c r="JI25" s="38">
        <f t="shared" si="284"/>
        <v>0</v>
      </c>
      <c r="JJ25" s="38">
        <f t="shared" si="284"/>
        <v>0</v>
      </c>
      <c r="JK25" s="38">
        <f t="shared" si="284"/>
        <v>0</v>
      </c>
      <c r="JL25" s="38">
        <f t="shared" si="284"/>
        <v>0</v>
      </c>
      <c r="JM25" s="38">
        <f t="shared" si="284"/>
        <v>0</v>
      </c>
      <c r="JN25" s="38">
        <f t="shared" si="284"/>
        <v>0</v>
      </c>
      <c r="JO25" s="38">
        <f t="shared" si="284"/>
        <v>0</v>
      </c>
      <c r="JP25" s="38">
        <f t="shared" si="284"/>
        <v>0</v>
      </c>
      <c r="JQ25" s="38">
        <f t="shared" si="284"/>
        <v>0</v>
      </c>
      <c r="JR25" s="38">
        <f t="shared" si="284"/>
        <v>0</v>
      </c>
      <c r="JS25" s="38">
        <f t="shared" si="284"/>
        <v>0</v>
      </c>
      <c r="JT25" s="38">
        <f t="shared" si="284"/>
        <v>0</v>
      </c>
      <c r="JU25" s="38">
        <f t="shared" si="284"/>
        <v>0</v>
      </c>
      <c r="JV25" s="38">
        <f t="shared" si="284"/>
        <v>0</v>
      </c>
      <c r="JW25" s="38">
        <f t="shared" si="284"/>
        <v>0</v>
      </c>
      <c r="JX25" s="38">
        <f t="shared" si="284"/>
        <v>0</v>
      </c>
      <c r="JY25" s="38">
        <f t="shared" si="284"/>
        <v>0</v>
      </c>
      <c r="JZ25" s="38">
        <f t="shared" si="284"/>
        <v>0</v>
      </c>
      <c r="KA25" s="38">
        <f t="shared" si="284"/>
        <v>0</v>
      </c>
      <c r="KB25" s="38">
        <f t="shared" si="284"/>
        <v>0</v>
      </c>
      <c r="KC25" s="38">
        <f t="shared" si="284"/>
        <v>0</v>
      </c>
      <c r="KD25" s="38">
        <f t="shared" si="284"/>
        <v>0</v>
      </c>
      <c r="KE25" s="38">
        <f t="shared" si="284"/>
        <v>0</v>
      </c>
      <c r="KF25" s="38">
        <f t="shared" si="284"/>
        <v>0</v>
      </c>
      <c r="KG25" s="38">
        <f t="shared" si="284"/>
        <v>0</v>
      </c>
      <c r="KH25" s="38">
        <f t="shared" si="284"/>
        <v>0</v>
      </c>
      <c r="KI25" s="38">
        <f t="shared" si="284"/>
        <v>0</v>
      </c>
      <c r="KJ25" s="38">
        <f t="shared" si="284"/>
        <v>0</v>
      </c>
      <c r="KK25" s="38">
        <f t="shared" si="284"/>
        <v>0</v>
      </c>
      <c r="KL25" s="38">
        <f t="shared" si="284"/>
        <v>0</v>
      </c>
      <c r="KM25" s="38">
        <f t="shared" si="284"/>
        <v>0</v>
      </c>
      <c r="KN25" s="38">
        <f t="shared" si="284"/>
        <v>0</v>
      </c>
      <c r="KO25" s="38">
        <f t="shared" si="284"/>
        <v>0</v>
      </c>
      <c r="KP25" s="38">
        <f t="shared" si="284"/>
        <v>0</v>
      </c>
      <c r="KQ25" s="38">
        <f t="shared" si="284"/>
        <v>0</v>
      </c>
      <c r="KR25" s="38">
        <f t="shared" si="284"/>
        <v>0</v>
      </c>
      <c r="KS25" s="38">
        <f t="shared" si="284"/>
        <v>0</v>
      </c>
      <c r="KT25" s="38">
        <f t="shared" si="284"/>
        <v>0</v>
      </c>
      <c r="KU25" s="38">
        <f t="shared" si="284"/>
        <v>0</v>
      </c>
      <c r="KV25" s="38">
        <f t="shared" si="284"/>
        <v>0</v>
      </c>
      <c r="KW25" s="38">
        <f t="shared" si="284"/>
        <v>0</v>
      </c>
      <c r="KX25" s="38">
        <f t="shared" si="284"/>
        <v>0</v>
      </c>
      <c r="KY25" s="38">
        <f t="shared" si="284"/>
        <v>0</v>
      </c>
      <c r="KZ25" s="38">
        <f t="shared" si="284"/>
        <v>0</v>
      </c>
      <c r="LA25" s="38">
        <f t="shared" si="284"/>
        <v>0</v>
      </c>
      <c r="LB25" s="38">
        <f t="shared" si="284"/>
        <v>0</v>
      </c>
      <c r="LC25" s="38">
        <f t="shared" si="284"/>
        <v>0</v>
      </c>
      <c r="LD25" s="38">
        <f t="shared" si="284"/>
        <v>0</v>
      </c>
      <c r="LE25" s="38">
        <f t="shared" si="284"/>
        <v>0</v>
      </c>
      <c r="LF25" s="38">
        <f t="shared" si="284"/>
        <v>0</v>
      </c>
      <c r="LG25" s="38">
        <f t="shared" si="284"/>
        <v>0</v>
      </c>
      <c r="LH25" s="38">
        <f t="shared" si="284"/>
        <v>0</v>
      </c>
      <c r="LI25" s="38">
        <f t="shared" si="284"/>
        <v>0</v>
      </c>
      <c r="LJ25" s="38">
        <f t="shared" si="284"/>
        <v>0</v>
      </c>
      <c r="LK25" s="38">
        <f t="shared" si="284"/>
        <v>0</v>
      </c>
      <c r="LL25" s="38">
        <f t="shared" si="284"/>
        <v>0</v>
      </c>
      <c r="LM25" s="38">
        <f t="shared" si="284"/>
        <v>0</v>
      </c>
      <c r="LN25" s="38">
        <f t="shared" si="284"/>
        <v>0</v>
      </c>
      <c r="LO25" s="38">
        <f t="shared" si="284"/>
        <v>0</v>
      </c>
      <c r="LP25" s="38">
        <f t="shared" si="284"/>
        <v>0</v>
      </c>
      <c r="LQ25" s="38">
        <f t="shared" ref="LQ25:NB25" si="285">IF(LQ$7=" ",0,IF(MOD(LQ$7,12)=1,$C$25,0))</f>
        <v>0</v>
      </c>
      <c r="LR25" s="38">
        <f t="shared" si="285"/>
        <v>0</v>
      </c>
      <c r="LS25" s="38">
        <f t="shared" si="285"/>
        <v>0</v>
      </c>
      <c r="LT25" s="38">
        <f t="shared" si="285"/>
        <v>0</v>
      </c>
      <c r="LU25" s="38">
        <f t="shared" si="285"/>
        <v>0</v>
      </c>
      <c r="LV25" s="38">
        <f t="shared" si="285"/>
        <v>0</v>
      </c>
      <c r="LW25" s="38">
        <f t="shared" si="285"/>
        <v>0</v>
      </c>
      <c r="LX25" s="38">
        <f t="shared" si="285"/>
        <v>0</v>
      </c>
      <c r="LY25" s="38">
        <f t="shared" si="285"/>
        <v>0</v>
      </c>
      <c r="LZ25" s="38">
        <f t="shared" si="285"/>
        <v>0</v>
      </c>
      <c r="MA25" s="38">
        <f t="shared" si="285"/>
        <v>0</v>
      </c>
      <c r="MB25" s="38">
        <f t="shared" si="285"/>
        <v>0</v>
      </c>
      <c r="MC25" s="38">
        <f t="shared" si="285"/>
        <v>0</v>
      </c>
      <c r="MD25" s="38">
        <f t="shared" si="285"/>
        <v>0</v>
      </c>
      <c r="ME25" s="38">
        <f t="shared" si="285"/>
        <v>0</v>
      </c>
      <c r="MF25" s="38">
        <f t="shared" si="285"/>
        <v>0</v>
      </c>
      <c r="MG25" s="38">
        <f t="shared" si="285"/>
        <v>0</v>
      </c>
      <c r="MH25" s="38">
        <f t="shared" si="285"/>
        <v>0</v>
      </c>
      <c r="MI25" s="38">
        <f t="shared" si="285"/>
        <v>0</v>
      </c>
      <c r="MJ25" s="38">
        <f t="shared" si="285"/>
        <v>0</v>
      </c>
      <c r="MK25" s="38">
        <f t="shared" si="285"/>
        <v>0</v>
      </c>
      <c r="ML25" s="38">
        <f t="shared" si="285"/>
        <v>0</v>
      </c>
      <c r="MM25" s="38">
        <f t="shared" si="285"/>
        <v>0</v>
      </c>
      <c r="MN25" s="38">
        <f t="shared" si="285"/>
        <v>0</v>
      </c>
      <c r="MO25" s="38">
        <f t="shared" si="285"/>
        <v>0</v>
      </c>
      <c r="MP25" s="38">
        <f t="shared" si="285"/>
        <v>0</v>
      </c>
      <c r="MQ25" s="38">
        <f t="shared" si="285"/>
        <v>0</v>
      </c>
      <c r="MR25" s="38">
        <f t="shared" si="285"/>
        <v>0</v>
      </c>
      <c r="MS25" s="38">
        <f t="shared" si="285"/>
        <v>0</v>
      </c>
      <c r="MT25" s="38">
        <f t="shared" si="285"/>
        <v>0</v>
      </c>
      <c r="MU25" s="38">
        <f t="shared" si="285"/>
        <v>0</v>
      </c>
      <c r="MV25" s="38">
        <f t="shared" si="285"/>
        <v>0</v>
      </c>
      <c r="MW25" s="38">
        <f t="shared" si="285"/>
        <v>0</v>
      </c>
      <c r="MX25" s="38">
        <f t="shared" si="285"/>
        <v>0</v>
      </c>
      <c r="MY25" s="38">
        <f t="shared" si="285"/>
        <v>0</v>
      </c>
      <c r="MZ25" s="38">
        <f t="shared" si="285"/>
        <v>0</v>
      </c>
      <c r="NA25" s="38">
        <f t="shared" si="285"/>
        <v>0</v>
      </c>
      <c r="NB25" s="38">
        <f t="shared" si="285"/>
        <v>0</v>
      </c>
    </row>
    <row r="26" spans="2:366" x14ac:dyDescent="0.15">
      <c r="B26" t="s">
        <v>308</v>
      </c>
      <c r="C26" s="263">
        <v>0.02</v>
      </c>
      <c r="F26" s="38">
        <v>0</v>
      </c>
      <c r="G26" s="38">
        <v>0</v>
      </c>
      <c r="H26" s="38">
        <f>IF(H$7=" ",0,IF(MOD(H$7,12)=1,$C$26,0))</f>
        <v>0</v>
      </c>
      <c r="I26" s="38">
        <f t="shared" ref="I26:BT26" si="286">IF(I$7=" ",0,IF(MOD(I$7,12)=1,$C$26,0))</f>
        <v>0</v>
      </c>
      <c r="J26" s="38">
        <f t="shared" si="286"/>
        <v>0</v>
      </c>
      <c r="K26" s="38">
        <f t="shared" si="286"/>
        <v>0</v>
      </c>
      <c r="L26" s="38">
        <f t="shared" si="286"/>
        <v>0</v>
      </c>
      <c r="M26" s="38">
        <f t="shared" si="286"/>
        <v>0</v>
      </c>
      <c r="N26" s="38">
        <f t="shared" si="286"/>
        <v>0</v>
      </c>
      <c r="O26" s="38">
        <f t="shared" si="286"/>
        <v>0</v>
      </c>
      <c r="P26" s="38">
        <f t="shared" si="286"/>
        <v>0</v>
      </c>
      <c r="Q26" s="38">
        <f t="shared" si="286"/>
        <v>0</v>
      </c>
      <c r="R26" s="38">
        <f t="shared" si="286"/>
        <v>0</v>
      </c>
      <c r="S26" s="38">
        <f t="shared" si="286"/>
        <v>0.02</v>
      </c>
      <c r="T26" s="38">
        <f t="shared" si="286"/>
        <v>0</v>
      </c>
      <c r="U26" s="38">
        <f t="shared" si="286"/>
        <v>0</v>
      </c>
      <c r="V26" s="38">
        <f t="shared" si="286"/>
        <v>0</v>
      </c>
      <c r="W26" s="38">
        <f t="shared" si="286"/>
        <v>0</v>
      </c>
      <c r="X26" s="38">
        <f t="shared" si="286"/>
        <v>0</v>
      </c>
      <c r="Y26" s="38">
        <f t="shared" si="286"/>
        <v>0</v>
      </c>
      <c r="Z26" s="38">
        <f t="shared" si="286"/>
        <v>0</v>
      </c>
      <c r="AA26" s="38">
        <f t="shared" si="286"/>
        <v>0</v>
      </c>
      <c r="AB26" s="38">
        <f t="shared" si="286"/>
        <v>0</v>
      </c>
      <c r="AC26" s="38">
        <f t="shared" si="286"/>
        <v>0</v>
      </c>
      <c r="AD26" s="38">
        <f t="shared" si="286"/>
        <v>0</v>
      </c>
      <c r="AE26" s="38">
        <f t="shared" si="286"/>
        <v>0.02</v>
      </c>
      <c r="AF26" s="38">
        <f t="shared" si="286"/>
        <v>0</v>
      </c>
      <c r="AG26" s="38">
        <f t="shared" si="286"/>
        <v>0</v>
      </c>
      <c r="AH26" s="38">
        <f t="shared" si="286"/>
        <v>0</v>
      </c>
      <c r="AI26" s="38">
        <f t="shared" si="286"/>
        <v>0</v>
      </c>
      <c r="AJ26" s="38">
        <f t="shared" si="286"/>
        <v>0</v>
      </c>
      <c r="AK26" s="38">
        <f t="shared" si="286"/>
        <v>0</v>
      </c>
      <c r="AL26" s="38">
        <f t="shared" si="286"/>
        <v>0</v>
      </c>
      <c r="AM26" s="38">
        <f t="shared" si="286"/>
        <v>0</v>
      </c>
      <c r="AN26" s="38">
        <f t="shared" si="286"/>
        <v>0</v>
      </c>
      <c r="AO26" s="38">
        <f t="shared" si="286"/>
        <v>0</v>
      </c>
      <c r="AP26" s="38">
        <f t="shared" si="286"/>
        <v>0</v>
      </c>
      <c r="AQ26" s="38">
        <f t="shared" si="286"/>
        <v>0.02</v>
      </c>
      <c r="AR26" s="38">
        <f t="shared" si="286"/>
        <v>0</v>
      </c>
      <c r="AS26" s="38">
        <f t="shared" si="286"/>
        <v>0</v>
      </c>
      <c r="AT26" s="38">
        <f t="shared" si="286"/>
        <v>0</v>
      </c>
      <c r="AU26" s="38">
        <f t="shared" si="286"/>
        <v>0</v>
      </c>
      <c r="AV26" s="38">
        <f t="shared" si="286"/>
        <v>0</v>
      </c>
      <c r="AW26" s="38">
        <f t="shared" si="286"/>
        <v>0</v>
      </c>
      <c r="AX26" s="38">
        <f t="shared" si="286"/>
        <v>0</v>
      </c>
      <c r="AY26" s="38">
        <f t="shared" si="286"/>
        <v>0</v>
      </c>
      <c r="AZ26" s="38">
        <f t="shared" si="286"/>
        <v>0</v>
      </c>
      <c r="BA26" s="38">
        <f t="shared" si="286"/>
        <v>0</v>
      </c>
      <c r="BB26" s="38">
        <f t="shared" si="286"/>
        <v>0</v>
      </c>
      <c r="BC26" s="38">
        <f t="shared" si="286"/>
        <v>0.02</v>
      </c>
      <c r="BD26" s="38">
        <f t="shared" si="286"/>
        <v>0</v>
      </c>
      <c r="BE26" s="38">
        <f t="shared" si="286"/>
        <v>0</v>
      </c>
      <c r="BF26" s="38">
        <f t="shared" si="286"/>
        <v>0</v>
      </c>
      <c r="BG26" s="38">
        <f t="shared" si="286"/>
        <v>0</v>
      </c>
      <c r="BH26" s="38">
        <f t="shared" si="286"/>
        <v>0</v>
      </c>
      <c r="BI26" s="38">
        <f t="shared" si="286"/>
        <v>0</v>
      </c>
      <c r="BJ26" s="38">
        <f t="shared" si="286"/>
        <v>0</v>
      </c>
      <c r="BK26" s="38">
        <f t="shared" si="286"/>
        <v>0</v>
      </c>
      <c r="BL26" s="38">
        <f t="shared" si="286"/>
        <v>0</v>
      </c>
      <c r="BM26" s="38">
        <f t="shared" si="286"/>
        <v>0</v>
      </c>
      <c r="BN26" s="38">
        <f t="shared" si="286"/>
        <v>0</v>
      </c>
      <c r="BO26" s="38">
        <f t="shared" si="286"/>
        <v>0.02</v>
      </c>
      <c r="BP26" s="38">
        <f t="shared" si="286"/>
        <v>0</v>
      </c>
      <c r="BQ26" s="38">
        <f t="shared" si="286"/>
        <v>0</v>
      </c>
      <c r="BR26" s="38">
        <f t="shared" si="286"/>
        <v>0</v>
      </c>
      <c r="BS26" s="38">
        <f t="shared" si="286"/>
        <v>0</v>
      </c>
      <c r="BT26" s="38">
        <f t="shared" si="286"/>
        <v>0</v>
      </c>
      <c r="BU26" s="38">
        <f t="shared" ref="BU26:EF26" si="287">IF(BU$7=" ",0,IF(MOD(BU$7,12)=1,$C$26,0))</f>
        <v>0</v>
      </c>
      <c r="BV26" s="38">
        <f t="shared" si="287"/>
        <v>0</v>
      </c>
      <c r="BW26" s="38">
        <f t="shared" si="287"/>
        <v>0</v>
      </c>
      <c r="BX26" s="38">
        <f t="shared" si="287"/>
        <v>0</v>
      </c>
      <c r="BY26" s="38">
        <f t="shared" si="287"/>
        <v>0</v>
      </c>
      <c r="BZ26" s="38">
        <f t="shared" si="287"/>
        <v>0</v>
      </c>
      <c r="CA26" s="38">
        <f t="shared" si="287"/>
        <v>0.02</v>
      </c>
      <c r="CB26" s="38">
        <f t="shared" si="287"/>
        <v>0</v>
      </c>
      <c r="CC26" s="38">
        <f t="shared" si="287"/>
        <v>0</v>
      </c>
      <c r="CD26" s="38">
        <f t="shared" si="287"/>
        <v>0</v>
      </c>
      <c r="CE26" s="38">
        <f t="shared" si="287"/>
        <v>0</v>
      </c>
      <c r="CF26" s="38">
        <f t="shared" si="287"/>
        <v>0</v>
      </c>
      <c r="CG26" s="38">
        <f t="shared" si="287"/>
        <v>0</v>
      </c>
      <c r="CH26" s="38">
        <f t="shared" si="287"/>
        <v>0</v>
      </c>
      <c r="CI26" s="38">
        <f t="shared" si="287"/>
        <v>0</v>
      </c>
      <c r="CJ26" s="38">
        <f t="shared" si="287"/>
        <v>0</v>
      </c>
      <c r="CK26" s="38">
        <f t="shared" si="287"/>
        <v>0</v>
      </c>
      <c r="CL26" s="38">
        <f t="shared" si="287"/>
        <v>0</v>
      </c>
      <c r="CM26" s="38">
        <f t="shared" si="287"/>
        <v>0.02</v>
      </c>
      <c r="CN26" s="38">
        <f t="shared" si="287"/>
        <v>0</v>
      </c>
      <c r="CO26" s="38">
        <f t="shared" si="287"/>
        <v>0</v>
      </c>
      <c r="CP26" s="38">
        <f t="shared" si="287"/>
        <v>0</v>
      </c>
      <c r="CQ26" s="38">
        <f t="shared" si="287"/>
        <v>0</v>
      </c>
      <c r="CR26" s="38">
        <f t="shared" si="287"/>
        <v>0</v>
      </c>
      <c r="CS26" s="38">
        <f t="shared" si="287"/>
        <v>0</v>
      </c>
      <c r="CT26" s="38">
        <f t="shared" si="287"/>
        <v>0</v>
      </c>
      <c r="CU26" s="38">
        <f t="shared" si="287"/>
        <v>0</v>
      </c>
      <c r="CV26" s="38">
        <f t="shared" si="287"/>
        <v>0</v>
      </c>
      <c r="CW26" s="38">
        <f t="shared" si="287"/>
        <v>0</v>
      </c>
      <c r="CX26" s="38">
        <f t="shared" si="287"/>
        <v>0</v>
      </c>
      <c r="CY26" s="38">
        <f t="shared" si="287"/>
        <v>0.02</v>
      </c>
      <c r="CZ26" s="38">
        <f t="shared" si="287"/>
        <v>0</v>
      </c>
      <c r="DA26" s="38">
        <f t="shared" si="287"/>
        <v>0</v>
      </c>
      <c r="DB26" s="38">
        <f t="shared" si="287"/>
        <v>0</v>
      </c>
      <c r="DC26" s="38">
        <f t="shared" si="287"/>
        <v>0</v>
      </c>
      <c r="DD26" s="38">
        <f t="shared" si="287"/>
        <v>0</v>
      </c>
      <c r="DE26" s="38">
        <f t="shared" si="287"/>
        <v>0</v>
      </c>
      <c r="DF26" s="38">
        <f t="shared" si="287"/>
        <v>0</v>
      </c>
      <c r="DG26" s="38">
        <f t="shared" si="287"/>
        <v>0</v>
      </c>
      <c r="DH26" s="38">
        <f t="shared" si="287"/>
        <v>0</v>
      </c>
      <c r="DI26" s="38">
        <f t="shared" si="287"/>
        <v>0</v>
      </c>
      <c r="DJ26" s="38">
        <f t="shared" si="287"/>
        <v>0</v>
      </c>
      <c r="DK26" s="38">
        <f t="shared" si="287"/>
        <v>0.02</v>
      </c>
      <c r="DL26" s="38">
        <f t="shared" si="287"/>
        <v>0</v>
      </c>
      <c r="DM26" s="38">
        <f t="shared" si="287"/>
        <v>0</v>
      </c>
      <c r="DN26" s="38">
        <f t="shared" si="287"/>
        <v>0</v>
      </c>
      <c r="DO26" s="38">
        <f t="shared" si="287"/>
        <v>0</v>
      </c>
      <c r="DP26" s="38">
        <f t="shared" si="287"/>
        <v>0</v>
      </c>
      <c r="DQ26" s="38">
        <f t="shared" si="287"/>
        <v>0</v>
      </c>
      <c r="DR26" s="38">
        <f t="shared" si="287"/>
        <v>0</v>
      </c>
      <c r="DS26" s="38">
        <f t="shared" si="287"/>
        <v>0</v>
      </c>
      <c r="DT26" s="38">
        <f t="shared" si="287"/>
        <v>0</v>
      </c>
      <c r="DU26" s="38">
        <f t="shared" si="287"/>
        <v>0</v>
      </c>
      <c r="DV26" s="38">
        <f t="shared" si="287"/>
        <v>0</v>
      </c>
      <c r="DW26" s="38">
        <f t="shared" si="287"/>
        <v>0.02</v>
      </c>
      <c r="DX26" s="38">
        <f t="shared" si="287"/>
        <v>0</v>
      </c>
      <c r="DY26" s="38">
        <f t="shared" si="287"/>
        <v>0</v>
      </c>
      <c r="DZ26" s="38">
        <f t="shared" si="287"/>
        <v>0</v>
      </c>
      <c r="EA26" s="38">
        <f t="shared" si="287"/>
        <v>0</v>
      </c>
      <c r="EB26" s="38">
        <f t="shared" si="287"/>
        <v>0</v>
      </c>
      <c r="EC26" s="38">
        <f t="shared" si="287"/>
        <v>0</v>
      </c>
      <c r="ED26" s="38">
        <f t="shared" si="287"/>
        <v>0</v>
      </c>
      <c r="EE26" s="38">
        <f t="shared" si="287"/>
        <v>0</v>
      </c>
      <c r="EF26" s="38">
        <f t="shared" si="287"/>
        <v>0</v>
      </c>
      <c r="EG26" s="38">
        <f t="shared" ref="EG26:GR26" si="288">IF(EG$7=" ",0,IF(MOD(EG$7,12)=1,$C$26,0))</f>
        <v>0</v>
      </c>
      <c r="EH26" s="38">
        <f t="shared" si="288"/>
        <v>0</v>
      </c>
      <c r="EI26" s="38">
        <f t="shared" si="288"/>
        <v>0.02</v>
      </c>
      <c r="EJ26" s="38">
        <f t="shared" si="288"/>
        <v>0</v>
      </c>
      <c r="EK26" s="38">
        <f t="shared" si="288"/>
        <v>0</v>
      </c>
      <c r="EL26" s="38">
        <f t="shared" si="288"/>
        <v>0</v>
      </c>
      <c r="EM26" s="38">
        <f t="shared" si="288"/>
        <v>0</v>
      </c>
      <c r="EN26" s="38">
        <f t="shared" si="288"/>
        <v>0</v>
      </c>
      <c r="EO26" s="38">
        <f t="shared" si="288"/>
        <v>0</v>
      </c>
      <c r="EP26" s="38">
        <f t="shared" si="288"/>
        <v>0</v>
      </c>
      <c r="EQ26" s="38">
        <f t="shared" si="288"/>
        <v>0</v>
      </c>
      <c r="ER26" s="38">
        <f t="shared" si="288"/>
        <v>0</v>
      </c>
      <c r="ES26" s="38">
        <f t="shared" si="288"/>
        <v>0</v>
      </c>
      <c r="ET26" s="38">
        <f t="shared" si="288"/>
        <v>0</v>
      </c>
      <c r="EU26" s="38">
        <f t="shared" si="288"/>
        <v>0.02</v>
      </c>
      <c r="EV26" s="38">
        <f t="shared" si="288"/>
        <v>0</v>
      </c>
      <c r="EW26" s="38">
        <f t="shared" si="288"/>
        <v>0</v>
      </c>
      <c r="EX26" s="38">
        <f t="shared" si="288"/>
        <v>0</v>
      </c>
      <c r="EY26" s="38">
        <f t="shared" si="288"/>
        <v>0</v>
      </c>
      <c r="EZ26" s="38">
        <f t="shared" si="288"/>
        <v>0</v>
      </c>
      <c r="FA26" s="38">
        <f t="shared" si="288"/>
        <v>0</v>
      </c>
      <c r="FB26" s="38">
        <f t="shared" si="288"/>
        <v>0</v>
      </c>
      <c r="FC26" s="38">
        <f t="shared" si="288"/>
        <v>0</v>
      </c>
      <c r="FD26" s="38">
        <f t="shared" si="288"/>
        <v>0</v>
      </c>
      <c r="FE26" s="38">
        <f t="shared" si="288"/>
        <v>0</v>
      </c>
      <c r="FF26" s="38">
        <f t="shared" si="288"/>
        <v>0</v>
      </c>
      <c r="FG26" s="38">
        <f t="shared" si="288"/>
        <v>0.02</v>
      </c>
      <c r="FH26" s="38">
        <f t="shared" si="288"/>
        <v>0</v>
      </c>
      <c r="FI26" s="38">
        <f t="shared" si="288"/>
        <v>0</v>
      </c>
      <c r="FJ26" s="38">
        <f t="shared" si="288"/>
        <v>0</v>
      </c>
      <c r="FK26" s="38">
        <f t="shared" si="288"/>
        <v>0</v>
      </c>
      <c r="FL26" s="38">
        <f t="shared" si="288"/>
        <v>0</v>
      </c>
      <c r="FM26" s="38">
        <f t="shared" si="288"/>
        <v>0</v>
      </c>
      <c r="FN26" s="38">
        <f t="shared" si="288"/>
        <v>0</v>
      </c>
      <c r="FO26" s="38">
        <f t="shared" si="288"/>
        <v>0</v>
      </c>
      <c r="FP26" s="38">
        <f t="shared" si="288"/>
        <v>0</v>
      </c>
      <c r="FQ26" s="38">
        <f t="shared" si="288"/>
        <v>0</v>
      </c>
      <c r="FR26" s="38">
        <f t="shared" si="288"/>
        <v>0</v>
      </c>
      <c r="FS26" s="38">
        <f t="shared" si="288"/>
        <v>0.02</v>
      </c>
      <c r="FT26" s="38">
        <f t="shared" si="288"/>
        <v>0</v>
      </c>
      <c r="FU26" s="38">
        <f t="shared" si="288"/>
        <v>0</v>
      </c>
      <c r="FV26" s="38">
        <f t="shared" si="288"/>
        <v>0</v>
      </c>
      <c r="FW26" s="38">
        <f t="shared" si="288"/>
        <v>0</v>
      </c>
      <c r="FX26" s="38">
        <f t="shared" si="288"/>
        <v>0</v>
      </c>
      <c r="FY26" s="38">
        <f t="shared" si="288"/>
        <v>0</v>
      </c>
      <c r="FZ26" s="38">
        <f t="shared" si="288"/>
        <v>0</v>
      </c>
      <c r="GA26" s="38">
        <f t="shared" si="288"/>
        <v>0</v>
      </c>
      <c r="GB26" s="38">
        <f t="shared" si="288"/>
        <v>0</v>
      </c>
      <c r="GC26" s="38">
        <f t="shared" si="288"/>
        <v>0</v>
      </c>
      <c r="GD26" s="38">
        <f t="shared" si="288"/>
        <v>0</v>
      </c>
      <c r="GE26" s="38">
        <f t="shared" si="288"/>
        <v>0</v>
      </c>
      <c r="GF26" s="38">
        <f t="shared" si="288"/>
        <v>0</v>
      </c>
      <c r="GG26" s="38">
        <f t="shared" si="288"/>
        <v>0</v>
      </c>
      <c r="GH26" s="38">
        <f t="shared" si="288"/>
        <v>0</v>
      </c>
      <c r="GI26" s="38">
        <f t="shared" si="288"/>
        <v>0</v>
      </c>
      <c r="GJ26" s="38">
        <f t="shared" si="288"/>
        <v>0</v>
      </c>
      <c r="GK26" s="38">
        <f t="shared" si="288"/>
        <v>0</v>
      </c>
      <c r="GL26" s="38">
        <f t="shared" si="288"/>
        <v>0</v>
      </c>
      <c r="GM26" s="38">
        <f t="shared" si="288"/>
        <v>0</v>
      </c>
      <c r="GN26" s="38">
        <f t="shared" si="288"/>
        <v>0</v>
      </c>
      <c r="GO26" s="38">
        <f t="shared" si="288"/>
        <v>0</v>
      </c>
      <c r="GP26" s="38">
        <f t="shared" si="288"/>
        <v>0</v>
      </c>
      <c r="GQ26" s="38">
        <f t="shared" si="288"/>
        <v>0</v>
      </c>
      <c r="GR26" s="38">
        <f t="shared" si="288"/>
        <v>0</v>
      </c>
      <c r="GS26" s="38">
        <f t="shared" ref="GS26:JD26" si="289">IF(GS$7=" ",0,IF(MOD(GS$7,12)=1,$C$26,0))</f>
        <v>0</v>
      </c>
      <c r="GT26" s="38">
        <f t="shared" si="289"/>
        <v>0</v>
      </c>
      <c r="GU26" s="38">
        <f t="shared" si="289"/>
        <v>0</v>
      </c>
      <c r="GV26" s="38">
        <f t="shared" si="289"/>
        <v>0</v>
      </c>
      <c r="GW26" s="38">
        <f t="shared" si="289"/>
        <v>0</v>
      </c>
      <c r="GX26" s="38">
        <f t="shared" si="289"/>
        <v>0</v>
      </c>
      <c r="GY26" s="38">
        <f t="shared" si="289"/>
        <v>0</v>
      </c>
      <c r="GZ26" s="38">
        <f t="shared" si="289"/>
        <v>0</v>
      </c>
      <c r="HA26" s="38">
        <f t="shared" si="289"/>
        <v>0</v>
      </c>
      <c r="HB26" s="38">
        <f t="shared" si="289"/>
        <v>0</v>
      </c>
      <c r="HC26" s="38">
        <f t="shared" si="289"/>
        <v>0</v>
      </c>
      <c r="HD26" s="38">
        <f t="shared" si="289"/>
        <v>0</v>
      </c>
      <c r="HE26" s="38">
        <f t="shared" si="289"/>
        <v>0</v>
      </c>
      <c r="HF26" s="38">
        <f t="shared" si="289"/>
        <v>0</v>
      </c>
      <c r="HG26" s="38">
        <f t="shared" si="289"/>
        <v>0</v>
      </c>
      <c r="HH26" s="38">
        <f t="shared" si="289"/>
        <v>0</v>
      </c>
      <c r="HI26" s="38">
        <f t="shared" si="289"/>
        <v>0</v>
      </c>
      <c r="HJ26" s="38">
        <f t="shared" si="289"/>
        <v>0</v>
      </c>
      <c r="HK26" s="38">
        <f t="shared" si="289"/>
        <v>0</v>
      </c>
      <c r="HL26" s="38">
        <f t="shared" si="289"/>
        <v>0</v>
      </c>
      <c r="HM26" s="38">
        <f t="shared" si="289"/>
        <v>0</v>
      </c>
      <c r="HN26" s="38">
        <f t="shared" si="289"/>
        <v>0</v>
      </c>
      <c r="HO26" s="38">
        <f t="shared" si="289"/>
        <v>0</v>
      </c>
      <c r="HP26" s="38">
        <f t="shared" si="289"/>
        <v>0</v>
      </c>
      <c r="HQ26" s="38">
        <f t="shared" si="289"/>
        <v>0</v>
      </c>
      <c r="HR26" s="38">
        <f t="shared" si="289"/>
        <v>0</v>
      </c>
      <c r="HS26" s="38">
        <f t="shared" si="289"/>
        <v>0</v>
      </c>
      <c r="HT26" s="38">
        <f t="shared" si="289"/>
        <v>0</v>
      </c>
      <c r="HU26" s="38">
        <f t="shared" si="289"/>
        <v>0</v>
      </c>
      <c r="HV26" s="38">
        <f t="shared" si="289"/>
        <v>0</v>
      </c>
      <c r="HW26" s="38">
        <f t="shared" si="289"/>
        <v>0</v>
      </c>
      <c r="HX26" s="38">
        <f t="shared" si="289"/>
        <v>0</v>
      </c>
      <c r="HY26" s="38">
        <f t="shared" si="289"/>
        <v>0</v>
      </c>
      <c r="HZ26" s="38">
        <f t="shared" si="289"/>
        <v>0</v>
      </c>
      <c r="IA26" s="38">
        <f t="shared" si="289"/>
        <v>0</v>
      </c>
      <c r="IB26" s="38">
        <f t="shared" si="289"/>
        <v>0</v>
      </c>
      <c r="IC26" s="38">
        <f t="shared" si="289"/>
        <v>0</v>
      </c>
      <c r="ID26" s="38">
        <f t="shared" si="289"/>
        <v>0</v>
      </c>
      <c r="IE26" s="38">
        <f t="shared" si="289"/>
        <v>0</v>
      </c>
      <c r="IF26" s="38">
        <f t="shared" si="289"/>
        <v>0</v>
      </c>
      <c r="IG26" s="38">
        <f t="shared" si="289"/>
        <v>0</v>
      </c>
      <c r="IH26" s="38">
        <f t="shared" si="289"/>
        <v>0</v>
      </c>
      <c r="II26" s="38">
        <f t="shared" si="289"/>
        <v>0</v>
      </c>
      <c r="IJ26" s="38">
        <f t="shared" si="289"/>
        <v>0</v>
      </c>
      <c r="IK26" s="38">
        <f t="shared" si="289"/>
        <v>0</v>
      </c>
      <c r="IL26" s="38">
        <f t="shared" si="289"/>
        <v>0</v>
      </c>
      <c r="IM26" s="38">
        <f t="shared" si="289"/>
        <v>0</v>
      </c>
      <c r="IN26" s="38">
        <f t="shared" si="289"/>
        <v>0</v>
      </c>
      <c r="IO26" s="38">
        <f t="shared" si="289"/>
        <v>0</v>
      </c>
      <c r="IP26" s="38">
        <f t="shared" si="289"/>
        <v>0</v>
      </c>
      <c r="IQ26" s="38">
        <f t="shared" si="289"/>
        <v>0</v>
      </c>
      <c r="IR26" s="38">
        <f t="shared" si="289"/>
        <v>0</v>
      </c>
      <c r="IS26" s="38">
        <f t="shared" si="289"/>
        <v>0</v>
      </c>
      <c r="IT26" s="38">
        <f t="shared" si="289"/>
        <v>0</v>
      </c>
      <c r="IU26" s="38">
        <f t="shared" si="289"/>
        <v>0</v>
      </c>
      <c r="IV26" s="38">
        <f t="shared" si="289"/>
        <v>0</v>
      </c>
      <c r="IW26" s="38">
        <f t="shared" si="289"/>
        <v>0</v>
      </c>
      <c r="IX26" s="38">
        <f t="shared" si="289"/>
        <v>0</v>
      </c>
      <c r="IY26" s="38">
        <f t="shared" si="289"/>
        <v>0</v>
      </c>
      <c r="IZ26" s="38">
        <f t="shared" si="289"/>
        <v>0</v>
      </c>
      <c r="JA26" s="38">
        <f t="shared" si="289"/>
        <v>0</v>
      </c>
      <c r="JB26" s="38">
        <f t="shared" si="289"/>
        <v>0</v>
      </c>
      <c r="JC26" s="38">
        <f t="shared" si="289"/>
        <v>0</v>
      </c>
      <c r="JD26" s="38">
        <f t="shared" si="289"/>
        <v>0</v>
      </c>
      <c r="JE26" s="38">
        <f t="shared" ref="JE26:LP26" si="290">IF(JE$7=" ",0,IF(MOD(JE$7,12)=1,$C$26,0))</f>
        <v>0</v>
      </c>
      <c r="JF26" s="38">
        <f t="shared" si="290"/>
        <v>0</v>
      </c>
      <c r="JG26" s="38">
        <f t="shared" si="290"/>
        <v>0</v>
      </c>
      <c r="JH26" s="38">
        <f t="shared" si="290"/>
        <v>0</v>
      </c>
      <c r="JI26" s="38">
        <f t="shared" si="290"/>
        <v>0</v>
      </c>
      <c r="JJ26" s="38">
        <f t="shared" si="290"/>
        <v>0</v>
      </c>
      <c r="JK26" s="38">
        <f t="shared" si="290"/>
        <v>0</v>
      </c>
      <c r="JL26" s="38">
        <f t="shared" si="290"/>
        <v>0</v>
      </c>
      <c r="JM26" s="38">
        <f t="shared" si="290"/>
        <v>0</v>
      </c>
      <c r="JN26" s="38">
        <f t="shared" si="290"/>
        <v>0</v>
      </c>
      <c r="JO26" s="38">
        <f t="shared" si="290"/>
        <v>0</v>
      </c>
      <c r="JP26" s="38">
        <f t="shared" si="290"/>
        <v>0</v>
      </c>
      <c r="JQ26" s="38">
        <f t="shared" si="290"/>
        <v>0</v>
      </c>
      <c r="JR26" s="38">
        <f t="shared" si="290"/>
        <v>0</v>
      </c>
      <c r="JS26" s="38">
        <f t="shared" si="290"/>
        <v>0</v>
      </c>
      <c r="JT26" s="38">
        <f t="shared" si="290"/>
        <v>0</v>
      </c>
      <c r="JU26" s="38">
        <f t="shared" si="290"/>
        <v>0</v>
      </c>
      <c r="JV26" s="38">
        <f t="shared" si="290"/>
        <v>0</v>
      </c>
      <c r="JW26" s="38">
        <f t="shared" si="290"/>
        <v>0</v>
      </c>
      <c r="JX26" s="38">
        <f t="shared" si="290"/>
        <v>0</v>
      </c>
      <c r="JY26" s="38">
        <f t="shared" si="290"/>
        <v>0</v>
      </c>
      <c r="JZ26" s="38">
        <f t="shared" si="290"/>
        <v>0</v>
      </c>
      <c r="KA26" s="38">
        <f t="shared" si="290"/>
        <v>0</v>
      </c>
      <c r="KB26" s="38">
        <f t="shared" si="290"/>
        <v>0</v>
      </c>
      <c r="KC26" s="38">
        <f t="shared" si="290"/>
        <v>0</v>
      </c>
      <c r="KD26" s="38">
        <f t="shared" si="290"/>
        <v>0</v>
      </c>
      <c r="KE26" s="38">
        <f t="shared" si="290"/>
        <v>0</v>
      </c>
      <c r="KF26" s="38">
        <f t="shared" si="290"/>
        <v>0</v>
      </c>
      <c r="KG26" s="38">
        <f t="shared" si="290"/>
        <v>0</v>
      </c>
      <c r="KH26" s="38">
        <f t="shared" si="290"/>
        <v>0</v>
      </c>
      <c r="KI26" s="38">
        <f t="shared" si="290"/>
        <v>0</v>
      </c>
      <c r="KJ26" s="38">
        <f t="shared" si="290"/>
        <v>0</v>
      </c>
      <c r="KK26" s="38">
        <f t="shared" si="290"/>
        <v>0</v>
      </c>
      <c r="KL26" s="38">
        <f t="shared" si="290"/>
        <v>0</v>
      </c>
      <c r="KM26" s="38">
        <f t="shared" si="290"/>
        <v>0</v>
      </c>
      <c r="KN26" s="38">
        <f t="shared" si="290"/>
        <v>0</v>
      </c>
      <c r="KO26" s="38">
        <f t="shared" si="290"/>
        <v>0</v>
      </c>
      <c r="KP26" s="38">
        <f t="shared" si="290"/>
        <v>0</v>
      </c>
      <c r="KQ26" s="38">
        <f t="shared" si="290"/>
        <v>0</v>
      </c>
      <c r="KR26" s="38">
        <f t="shared" si="290"/>
        <v>0</v>
      </c>
      <c r="KS26" s="38">
        <f t="shared" si="290"/>
        <v>0</v>
      </c>
      <c r="KT26" s="38">
        <f t="shared" si="290"/>
        <v>0</v>
      </c>
      <c r="KU26" s="38">
        <f t="shared" si="290"/>
        <v>0</v>
      </c>
      <c r="KV26" s="38">
        <f t="shared" si="290"/>
        <v>0</v>
      </c>
      <c r="KW26" s="38">
        <f t="shared" si="290"/>
        <v>0</v>
      </c>
      <c r="KX26" s="38">
        <f t="shared" si="290"/>
        <v>0</v>
      </c>
      <c r="KY26" s="38">
        <f t="shared" si="290"/>
        <v>0</v>
      </c>
      <c r="KZ26" s="38">
        <f t="shared" si="290"/>
        <v>0</v>
      </c>
      <c r="LA26" s="38">
        <f t="shared" si="290"/>
        <v>0</v>
      </c>
      <c r="LB26" s="38">
        <f t="shared" si="290"/>
        <v>0</v>
      </c>
      <c r="LC26" s="38">
        <f t="shared" si="290"/>
        <v>0</v>
      </c>
      <c r="LD26" s="38">
        <f t="shared" si="290"/>
        <v>0</v>
      </c>
      <c r="LE26" s="38">
        <f t="shared" si="290"/>
        <v>0</v>
      </c>
      <c r="LF26" s="38">
        <f t="shared" si="290"/>
        <v>0</v>
      </c>
      <c r="LG26" s="38">
        <f t="shared" si="290"/>
        <v>0</v>
      </c>
      <c r="LH26" s="38">
        <f t="shared" si="290"/>
        <v>0</v>
      </c>
      <c r="LI26" s="38">
        <f t="shared" si="290"/>
        <v>0</v>
      </c>
      <c r="LJ26" s="38">
        <f t="shared" si="290"/>
        <v>0</v>
      </c>
      <c r="LK26" s="38">
        <f t="shared" si="290"/>
        <v>0</v>
      </c>
      <c r="LL26" s="38">
        <f t="shared" si="290"/>
        <v>0</v>
      </c>
      <c r="LM26" s="38">
        <f t="shared" si="290"/>
        <v>0</v>
      </c>
      <c r="LN26" s="38">
        <f t="shared" si="290"/>
        <v>0</v>
      </c>
      <c r="LO26" s="38">
        <f t="shared" si="290"/>
        <v>0</v>
      </c>
      <c r="LP26" s="38">
        <f t="shared" si="290"/>
        <v>0</v>
      </c>
      <c r="LQ26" s="38">
        <f t="shared" ref="LQ26:NB26" si="291">IF(LQ$7=" ",0,IF(MOD(LQ$7,12)=1,$C$26,0))</f>
        <v>0</v>
      </c>
      <c r="LR26" s="38">
        <f t="shared" si="291"/>
        <v>0</v>
      </c>
      <c r="LS26" s="38">
        <f t="shared" si="291"/>
        <v>0</v>
      </c>
      <c r="LT26" s="38">
        <f t="shared" si="291"/>
        <v>0</v>
      </c>
      <c r="LU26" s="38">
        <f t="shared" si="291"/>
        <v>0</v>
      </c>
      <c r="LV26" s="38">
        <f t="shared" si="291"/>
        <v>0</v>
      </c>
      <c r="LW26" s="38">
        <f t="shared" si="291"/>
        <v>0</v>
      </c>
      <c r="LX26" s="38">
        <f t="shared" si="291"/>
        <v>0</v>
      </c>
      <c r="LY26" s="38">
        <f t="shared" si="291"/>
        <v>0</v>
      </c>
      <c r="LZ26" s="38">
        <f t="shared" si="291"/>
        <v>0</v>
      </c>
      <c r="MA26" s="38">
        <f t="shared" si="291"/>
        <v>0</v>
      </c>
      <c r="MB26" s="38">
        <f t="shared" si="291"/>
        <v>0</v>
      </c>
      <c r="MC26" s="38">
        <f t="shared" si="291"/>
        <v>0</v>
      </c>
      <c r="MD26" s="38">
        <f t="shared" si="291"/>
        <v>0</v>
      </c>
      <c r="ME26" s="38">
        <f t="shared" si="291"/>
        <v>0</v>
      </c>
      <c r="MF26" s="38">
        <f t="shared" si="291"/>
        <v>0</v>
      </c>
      <c r="MG26" s="38">
        <f t="shared" si="291"/>
        <v>0</v>
      </c>
      <c r="MH26" s="38">
        <f t="shared" si="291"/>
        <v>0</v>
      </c>
      <c r="MI26" s="38">
        <f t="shared" si="291"/>
        <v>0</v>
      </c>
      <c r="MJ26" s="38">
        <f t="shared" si="291"/>
        <v>0</v>
      </c>
      <c r="MK26" s="38">
        <f t="shared" si="291"/>
        <v>0</v>
      </c>
      <c r="ML26" s="38">
        <f t="shared" si="291"/>
        <v>0</v>
      </c>
      <c r="MM26" s="38">
        <f t="shared" si="291"/>
        <v>0</v>
      </c>
      <c r="MN26" s="38">
        <f t="shared" si="291"/>
        <v>0</v>
      </c>
      <c r="MO26" s="38">
        <f t="shared" si="291"/>
        <v>0</v>
      </c>
      <c r="MP26" s="38">
        <f t="shared" si="291"/>
        <v>0</v>
      </c>
      <c r="MQ26" s="38">
        <f t="shared" si="291"/>
        <v>0</v>
      </c>
      <c r="MR26" s="38">
        <f t="shared" si="291"/>
        <v>0</v>
      </c>
      <c r="MS26" s="38">
        <f t="shared" si="291"/>
        <v>0</v>
      </c>
      <c r="MT26" s="38">
        <f t="shared" si="291"/>
        <v>0</v>
      </c>
      <c r="MU26" s="38">
        <f t="shared" si="291"/>
        <v>0</v>
      </c>
      <c r="MV26" s="38">
        <f t="shared" si="291"/>
        <v>0</v>
      </c>
      <c r="MW26" s="38">
        <f t="shared" si="291"/>
        <v>0</v>
      </c>
      <c r="MX26" s="38">
        <f t="shared" si="291"/>
        <v>0</v>
      </c>
      <c r="MY26" s="38">
        <f t="shared" si="291"/>
        <v>0</v>
      </c>
      <c r="MZ26" s="38">
        <f t="shared" si="291"/>
        <v>0</v>
      </c>
      <c r="NA26" s="38">
        <f t="shared" si="291"/>
        <v>0</v>
      </c>
      <c r="NB26" s="38">
        <f t="shared" si="291"/>
        <v>0</v>
      </c>
    </row>
  </sheetData>
  <conditionalFormatting sqref="F21 F20:NB20">
    <cfRule type="cellIs" dxfId="4" priority="6" operator="greaterThan">
      <formula>0</formula>
    </cfRule>
  </conditionalFormatting>
  <conditionalFormatting sqref="H23:NB24">
    <cfRule type="cellIs" dxfId="3" priority="5" operator="greaterThan">
      <formula>0</formula>
    </cfRule>
  </conditionalFormatting>
  <conditionalFormatting sqref="H25:NB25">
    <cfRule type="cellIs" dxfId="2" priority="4" operator="greaterThan">
      <formula>0</formula>
    </cfRule>
  </conditionalFormatting>
  <conditionalFormatting sqref="G26:NB26">
    <cfRule type="cellIs" dxfId="1" priority="3" operator="greaterThan">
      <formula>0</formula>
    </cfRule>
  </conditionalFormatting>
  <conditionalFormatting sqref="H21:NB21">
    <cfRule type="cellIs" dxfId="0" priority="1" operator="greaterThan">
      <formula>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37661-9C8F-624C-BDC3-921E11FBEA41}">
  <sheetPr codeName="Sheet8"/>
  <dimension ref="B2:AR57"/>
  <sheetViews>
    <sheetView showGridLines="0" zoomScale="80" zoomScaleNormal="80" workbookViewId="0">
      <selection activeCell="H13" sqref="H13"/>
    </sheetView>
  </sheetViews>
  <sheetFormatPr baseColWidth="10" defaultRowHeight="11" x14ac:dyDescent="0.15"/>
  <cols>
    <col min="2" max="2" width="44.25" customWidth="1"/>
    <col min="3" max="3" width="22.75" customWidth="1"/>
    <col min="11" max="34" width="13.25" customWidth="1"/>
    <col min="35" max="35" width="17" customWidth="1"/>
  </cols>
  <sheetData>
    <row r="2" spans="2:44" x14ac:dyDescent="0.15">
      <c r="B2" s="85" t="s">
        <v>191</v>
      </c>
      <c r="C2" s="7">
        <f>hold_length</f>
        <v>15</v>
      </c>
    </row>
    <row r="4" spans="2:44" ht="14" x14ac:dyDescent="0.2">
      <c r="B4" s="162" t="str">
        <f>'Investor Monthly'!C119</f>
        <v>Aaron (Manager) (Manager)</v>
      </c>
      <c r="C4" s="158" t="s">
        <v>193</v>
      </c>
      <c r="D4" s="159">
        <f>'Investors Breakdown'!D18</f>
        <v>0.30000000000000004</v>
      </c>
      <c r="E4" s="154"/>
      <c r="F4" s="154"/>
      <c r="G4" s="154"/>
      <c r="H4" s="154"/>
      <c r="I4" s="154"/>
      <c r="J4" s="154"/>
      <c r="K4" s="11"/>
      <c r="L4" s="11"/>
      <c r="M4" s="11"/>
      <c r="N4" s="11"/>
      <c r="O4" s="11"/>
      <c r="P4" s="11"/>
      <c r="Q4" s="11"/>
      <c r="R4" s="11"/>
      <c r="S4" s="11"/>
      <c r="T4" s="11"/>
      <c r="U4" s="11"/>
      <c r="V4" s="11"/>
      <c r="W4" s="11"/>
      <c r="X4" s="11"/>
      <c r="Y4" s="11"/>
      <c r="Z4" s="11"/>
      <c r="AA4" s="11"/>
      <c r="AB4" s="11"/>
      <c r="AC4" s="11"/>
      <c r="AD4" s="11"/>
      <c r="AE4" s="11"/>
      <c r="AF4" s="11"/>
      <c r="AG4" s="11"/>
      <c r="AH4" s="11"/>
      <c r="AI4" s="228" t="s">
        <v>195</v>
      </c>
    </row>
    <row r="5" spans="2:44" x14ac:dyDescent="0.15">
      <c r="B5" s="163" t="s">
        <v>133</v>
      </c>
      <c r="C5" s="165" t="s">
        <v>134</v>
      </c>
      <c r="D5" s="166">
        <v>1</v>
      </c>
      <c r="E5" s="166">
        <f t="shared" ref="E5:J5" si="0">IF(D5="","",IF(D5+1&lt;=$C$2,D5+1,""))</f>
        <v>2</v>
      </c>
      <c r="F5" s="166">
        <f t="shared" si="0"/>
        <v>3</v>
      </c>
      <c r="G5" s="166">
        <f t="shared" si="0"/>
        <v>4</v>
      </c>
      <c r="H5" s="166">
        <f t="shared" si="0"/>
        <v>5</v>
      </c>
      <c r="I5" s="166">
        <f t="shared" si="0"/>
        <v>6</v>
      </c>
      <c r="J5" s="166">
        <f t="shared" si="0"/>
        <v>7</v>
      </c>
      <c r="K5" s="166">
        <f t="shared" ref="K5" si="1">IF(J5="","",IF(J5+1&lt;=$C$2,J5+1,""))</f>
        <v>8</v>
      </c>
      <c r="L5" s="166">
        <f t="shared" ref="L5" si="2">IF(K5="","",IF(K5+1&lt;=$C$2,K5+1,""))</f>
        <v>9</v>
      </c>
      <c r="M5" s="166">
        <f t="shared" ref="M5" si="3">IF(L5="","",IF(L5+1&lt;=$C$2,L5+1,""))</f>
        <v>10</v>
      </c>
      <c r="N5" s="166">
        <f t="shared" ref="N5" si="4">IF(M5="","",IF(M5+1&lt;=$C$2,M5+1,""))</f>
        <v>11</v>
      </c>
      <c r="O5" s="166">
        <f t="shared" ref="O5" si="5">IF(N5="","",IF(N5+1&lt;=$C$2,N5+1,""))</f>
        <v>12</v>
      </c>
      <c r="P5" s="166">
        <f t="shared" ref="P5" si="6">IF(O5="","",IF(O5+1&lt;=$C$2,O5+1,""))</f>
        <v>13</v>
      </c>
      <c r="Q5" s="166">
        <f t="shared" ref="Q5" si="7">IF(P5="","",IF(P5+1&lt;=$C$2,P5+1,""))</f>
        <v>14</v>
      </c>
      <c r="R5" s="166">
        <f t="shared" ref="R5" si="8">IF(Q5="","",IF(Q5+1&lt;=$C$2,Q5+1,""))</f>
        <v>15</v>
      </c>
      <c r="S5" s="166" t="str">
        <f t="shared" ref="S5" si="9">IF(R5="","",IF(R5+1&lt;=$C$2,R5+1,""))</f>
        <v/>
      </c>
      <c r="T5" s="166" t="str">
        <f t="shared" ref="T5" si="10">IF(S5="","",IF(S5+1&lt;=$C$2,S5+1,""))</f>
        <v/>
      </c>
      <c r="U5" s="166" t="str">
        <f t="shared" ref="U5" si="11">IF(T5="","",IF(T5+1&lt;=$C$2,T5+1,""))</f>
        <v/>
      </c>
      <c r="V5" s="166" t="str">
        <f t="shared" ref="V5" si="12">IF(U5="","",IF(U5+1&lt;=$C$2,U5+1,""))</f>
        <v/>
      </c>
      <c r="W5" s="166" t="str">
        <f t="shared" ref="W5" si="13">IF(V5="","",IF(V5+1&lt;=$C$2,V5+1,""))</f>
        <v/>
      </c>
      <c r="X5" s="166" t="str">
        <f t="shared" ref="X5" si="14">IF(W5="","",IF(W5+1&lt;=$C$2,W5+1,""))</f>
        <v/>
      </c>
      <c r="Y5" s="166" t="str">
        <f t="shared" ref="Y5" si="15">IF(X5="","",IF(X5+1&lt;=$C$2,X5+1,""))</f>
        <v/>
      </c>
      <c r="Z5" s="166" t="str">
        <f t="shared" ref="Z5" si="16">IF(Y5="","",IF(Y5+1&lt;=$C$2,Y5+1,""))</f>
        <v/>
      </c>
      <c r="AA5" s="166" t="str">
        <f t="shared" ref="AA5" si="17">IF(Z5="","",IF(Z5+1&lt;=$C$2,Z5+1,""))</f>
        <v/>
      </c>
      <c r="AB5" s="166" t="str">
        <f t="shared" ref="AB5" si="18">IF(AA5="","",IF(AA5+1&lt;=$C$2,AA5+1,""))</f>
        <v/>
      </c>
      <c r="AC5" s="166" t="str">
        <f t="shared" ref="AC5" si="19">IF(AB5="","",IF(AB5+1&lt;=$C$2,AB5+1,""))</f>
        <v/>
      </c>
      <c r="AD5" s="166" t="str">
        <f t="shared" ref="AD5" si="20">IF(AC5="","",IF(AC5+1&lt;=$C$2,AC5+1,""))</f>
        <v/>
      </c>
      <c r="AE5" s="166" t="str">
        <f t="shared" ref="AE5" si="21">IF(AD5="","",IF(AD5+1&lt;=$C$2,AD5+1,""))</f>
        <v/>
      </c>
      <c r="AF5" s="166" t="str">
        <f t="shared" ref="AF5" si="22">IF(AE5="","",IF(AE5+1&lt;=$C$2,AE5+1,""))</f>
        <v/>
      </c>
      <c r="AG5" s="166" t="str">
        <f t="shared" ref="AG5" si="23">IF(AF5="","",IF(AF5+1&lt;=$C$2,AF5+1,""))</f>
        <v/>
      </c>
      <c r="AH5" s="166" t="str">
        <f t="shared" ref="AH5" si="24">IF(AG5="","",IF(AG5+1&lt;=$C$2,AG5+1,""))</f>
        <v/>
      </c>
      <c r="AI5" s="229">
        <f>ABS(SUM(C6:W6))</f>
        <v>755905.20000000007</v>
      </c>
      <c r="AJ5" s="7"/>
      <c r="AK5" s="7"/>
      <c r="AL5" s="7"/>
      <c r="AM5" s="7"/>
      <c r="AN5" s="7"/>
      <c r="AO5" s="7"/>
      <c r="AP5" s="7"/>
      <c r="AQ5" s="7"/>
      <c r="AR5" s="7"/>
    </row>
    <row r="6" spans="2:44" x14ac:dyDescent="0.15">
      <c r="B6" s="161" t="s">
        <v>192</v>
      </c>
      <c r="C6" s="160">
        <f>-'Investors Breakdown'!E18</f>
        <v>-755905.20000000007</v>
      </c>
      <c r="D6" s="154"/>
      <c r="E6" s="154"/>
      <c r="F6" s="154"/>
      <c r="G6" s="154"/>
      <c r="H6" s="154"/>
      <c r="I6" s="154"/>
      <c r="J6" s="154"/>
      <c r="K6" s="11"/>
      <c r="L6" s="11"/>
      <c r="M6" s="11"/>
      <c r="N6" s="11"/>
      <c r="O6" s="11"/>
      <c r="P6" s="11"/>
      <c r="Q6" s="11"/>
      <c r="R6" s="11"/>
      <c r="S6" s="11"/>
      <c r="T6" s="11"/>
      <c r="U6" s="11"/>
      <c r="V6" s="11"/>
      <c r="W6" s="11"/>
      <c r="X6" s="11"/>
      <c r="Y6" s="11"/>
      <c r="Z6" s="11"/>
      <c r="AA6" s="11"/>
      <c r="AB6" s="11"/>
      <c r="AC6" s="11"/>
      <c r="AD6" s="11"/>
      <c r="AE6" s="11"/>
      <c r="AF6" s="11"/>
      <c r="AG6" s="11"/>
      <c r="AH6" s="11"/>
      <c r="AI6" s="227"/>
    </row>
    <row r="7" spans="2:44" x14ac:dyDescent="0.15">
      <c r="B7" s="59"/>
      <c r="C7" s="154"/>
      <c r="D7" s="154"/>
      <c r="E7" s="154"/>
      <c r="F7" s="154"/>
      <c r="G7" s="154"/>
      <c r="H7" s="154"/>
      <c r="I7" s="154"/>
      <c r="J7" s="154"/>
      <c r="AI7" s="12"/>
    </row>
    <row r="8" spans="2:44" x14ac:dyDescent="0.15">
      <c r="B8" s="59" t="s">
        <v>198</v>
      </c>
      <c r="C8" s="56">
        <v>0</v>
      </c>
      <c r="D8" s="56">
        <f>IFERROR(SUM(INDEX('Investor Monthly'!$I119:$IN119,1,(COLUMN(A1)-1)*12+1):INDEX('Investor Monthly'!$I119:$IN119,1,(COLUMN(A1)-1)*12+12)),0)</f>
        <v>-95815.539967500023</v>
      </c>
      <c r="E8" s="56">
        <f>IFERROR(SUM(INDEX('Investor Monthly'!$I119:$IN119,1,(COLUMN(B1)-1)*12+1):INDEX('Investor Monthly'!$I119:$IN119,1,(COLUMN(B1)-1)*12+12)),0)</f>
        <v>0</v>
      </c>
      <c r="F8" s="56">
        <f>IFERROR(SUM(INDEX('Investor Monthly'!$I119:$IN119,1,(COLUMN(C1)-1)*12+1):INDEX('Investor Monthly'!$I119:$IN119,1,(COLUMN(C1)-1)*12+12)),0)</f>
        <v>0</v>
      </c>
      <c r="G8" s="56">
        <f>IFERROR(SUM(INDEX('Investor Monthly'!$I119:$IN119,1,(COLUMN(D1)-1)*12+1):INDEX('Investor Monthly'!$I119:$IN119,1,(COLUMN(D1)-1)*12+12)),0)</f>
        <v>1328.7029298940536</v>
      </c>
      <c r="H8" s="56">
        <f>IFERROR(SUM(INDEX('Investor Monthly'!$I119:$IN119,1,(COLUMN(E1)-1)*12+1):INDEX('Investor Monthly'!$I119:$IN119,1,(COLUMN(E1)-1)*12+12)),0)</f>
        <v>4725.1730572481902</v>
      </c>
      <c r="I8" s="56">
        <f>IFERROR(SUM(INDEX('Investor Monthly'!$I119:$IN119,1,(COLUMN(F1)-1)*12+1):INDEX('Investor Monthly'!$I119:$IN119,1,(COLUMN(F1)-1)*12+12)),0)</f>
        <v>8228.2565391647877</v>
      </c>
      <c r="J8" s="56">
        <f>IFERROR(SUM(INDEX('Investor Monthly'!$I119:$IN119,1,(COLUMN(G1)-1)*12+1):INDEX('Investor Monthly'!$I119:$IN119,1,(COLUMN(G1)-1)*12+12)),0)</f>
        <v>11841.252483316577</v>
      </c>
      <c r="K8" s="56">
        <f>IFERROR(SUM(INDEX('Investor Monthly'!$I119:$IN119,1,(COLUMN(H1)-1)*12+1):INDEX('Investor Monthly'!$I119:$IN119,1,(COLUMN(H1)-1)*12+12)),0)</f>
        <v>15567.561142797655</v>
      </c>
      <c r="L8" s="56">
        <f>IFERROR(SUM(INDEX('Investor Monthly'!$I119:$IN119,1,(COLUMN(I1)-1)*12+1):INDEX('Investor Monthly'!$I119:$IN119,1,(COLUMN(I1)-1)*12+12)),0)</f>
        <v>19410.686997881414</v>
      </c>
      <c r="M8" s="56">
        <f>IFERROR(SUM(INDEX('Investor Monthly'!$I119:$IN119,1,(COLUMN(J1)-1)*12+1):INDEX('Investor Monthly'!$I119:$IN119,1,(COLUMN(J1)-1)*12+12)),0)</f>
        <v>23374.241931277407</v>
      </c>
      <c r="N8" s="56">
        <f>IFERROR(SUM(INDEX('Investor Monthly'!$I119:$IN119,1,(COLUMN(K1)-1)*12+1):INDEX('Investor Monthly'!$I119:$IN119,1,(COLUMN(K1)-1)*12+12)),0)</f>
        <v>27461.948499716575</v>
      </c>
      <c r="O8" s="56">
        <f>IFERROR(SUM(INDEX('Investor Monthly'!$I119:$IN119,1,(COLUMN(L1)-1)*12+1):INDEX('Investor Monthly'!$I119:$IN119,1,(COLUMN(L1)-1)*12+12)),0)</f>
        <v>31677.643304777535</v>
      </c>
      <c r="P8" s="56">
        <f>IFERROR(SUM(INDEX('Investor Monthly'!$I119:$IN119,1,(COLUMN(M1)-1)*12+1):INDEX('Investor Monthly'!$I119:$IN119,1,(COLUMN(M1)-1)*12+12)),0)</f>
        <v>36025.28046595637</v>
      </c>
      <c r="Q8" s="56">
        <f>IFERROR(SUM(INDEX('Investor Monthly'!$I119:$IN119,1,(COLUMN(N1)-1)*12+1):INDEX('Investor Monthly'!$I119:$IN119,1,(COLUMN(N1)-1)*12+12)),0)</f>
        <v>40508.935199072381</v>
      </c>
      <c r="R8" s="56">
        <f ca="1">IFERROR(SUM(INDEX('Investor Monthly'!$I119:$IN119,1,(COLUMN(O1)-1)*12+1):INDEX('Investor Monthly'!$I119:$IN119,1,(COLUMN(O1)-1)*12+12)),0)</f>
        <v>2171714.4189691553</v>
      </c>
      <c r="S8" s="56">
        <f ca="1">IFERROR(SUM(INDEX('Investor Monthly'!$I119:$IN119,1,(COLUMN(P1)-1)*12+1):INDEX('Investor Monthly'!$I119:$IN119,1,(COLUMN(P1)-1)*12+12)),0)</f>
        <v>0</v>
      </c>
      <c r="T8" s="56">
        <f ca="1">IFERROR(SUM(INDEX('Investor Monthly'!$I119:$IN119,1,(COLUMN(Q1)-1)*12+1):INDEX('Investor Monthly'!$I119:$IN119,1,(COLUMN(Q1)-1)*12+12)),0)</f>
        <v>0</v>
      </c>
      <c r="U8" s="56">
        <f ca="1">IFERROR(SUM(INDEX('Investor Monthly'!$I119:$IN119,1,(COLUMN(R1)-1)*12+1):INDEX('Investor Monthly'!$I119:$IN119,1,(COLUMN(R1)-1)*12+12)),0)</f>
        <v>0</v>
      </c>
      <c r="V8" s="56">
        <f ca="1">IFERROR(SUM(INDEX('Investor Monthly'!$I119:$IN119,1,(COLUMN(S1)-1)*12+1):INDEX('Investor Monthly'!$I119:$IN119,1,(COLUMN(S1)-1)*12+12)),0)</f>
        <v>0</v>
      </c>
      <c r="W8" s="56">
        <f ca="1">IFERROR(SUM(INDEX('Investor Monthly'!$I119:$IN119,1,(COLUMN(T1)-1)*12+1):INDEX('Investor Monthly'!$I119:$IN119,1,(COLUMN(T1)-1)*12+12)),0)</f>
        <v>0</v>
      </c>
      <c r="X8" s="56">
        <f>IFERROR(SUM(INDEX('Investor Monthly'!$I119:$IN119,1,(COLUMN(U1)-1)*12+1):INDEX('Investor Monthly'!$I119:$IN119,1,(COLUMN(U1)-1)*12+12)),0)</f>
        <v>0</v>
      </c>
      <c r="Y8" s="56">
        <f>IFERROR(SUM(INDEX('Investor Monthly'!$I119:$IN119,1,(COLUMN(V1)-1)*12+1):INDEX('Investor Monthly'!$I119:$IN119,1,(COLUMN(V1)-1)*12+12)),0)</f>
        <v>0</v>
      </c>
      <c r="Z8" s="56">
        <f>IFERROR(SUM(INDEX('Investor Monthly'!$I119:$IN119,1,(COLUMN(W1)-1)*12+1):INDEX('Investor Monthly'!$I119:$IN119,1,(COLUMN(W1)-1)*12+12)),0)</f>
        <v>0</v>
      </c>
      <c r="AA8" s="56">
        <f>IFERROR(SUM(INDEX('Investor Monthly'!$I119:$IN119,1,(COLUMN(X1)-1)*12+1):INDEX('Investor Monthly'!$I119:$IN119,1,(COLUMN(X1)-1)*12+12)),0)</f>
        <v>0</v>
      </c>
      <c r="AB8" s="56">
        <f>IFERROR(SUM(INDEX('Investor Monthly'!$I119:$IN119,1,(COLUMN(Y1)-1)*12+1):INDEX('Investor Monthly'!$I119:$IN119,1,(COLUMN(Y1)-1)*12+12)),0)</f>
        <v>0</v>
      </c>
      <c r="AC8" s="56">
        <f>IFERROR(SUM(INDEX('Investor Monthly'!$I119:$IN119,1,(COLUMN(Z1)-1)*12+1):INDEX('Investor Monthly'!$I119:$IN119,1,(COLUMN(Z1)-1)*12+12)),0)</f>
        <v>0</v>
      </c>
      <c r="AD8" s="56">
        <f>IFERROR(SUM(INDEX('Investor Monthly'!$I119:$IN119,1,(COLUMN(AA1)-1)*12+1):INDEX('Investor Monthly'!$I119:$IN119,1,(COLUMN(AA1)-1)*12+12)),0)</f>
        <v>0</v>
      </c>
      <c r="AE8" s="56">
        <f>IFERROR(SUM(INDEX('Investor Monthly'!$I119:$IN119,1,(COLUMN(AB1)-1)*12+1):INDEX('Investor Monthly'!$I119:$IN119,1,(COLUMN(AB1)-1)*12+12)),0)</f>
        <v>0</v>
      </c>
      <c r="AF8" s="56">
        <f>IFERROR(SUM(INDEX('Investor Monthly'!$I119:$IN119,1,(COLUMN(AC1)-1)*12+1):INDEX('Investor Monthly'!$I119:$IN119,1,(COLUMN(AC1)-1)*12+12)),0)</f>
        <v>0</v>
      </c>
      <c r="AG8" s="56">
        <f>IFERROR(SUM(INDEX('Investor Monthly'!$I119:$IN119,1,(COLUMN(AD1)-1)*12+1):INDEX('Investor Monthly'!$I119:$IN119,1,(COLUMN(AD1)-1)*12+12)),0)</f>
        <v>0</v>
      </c>
      <c r="AH8" s="56">
        <f>IFERROR(SUM(INDEX('Investor Monthly'!$I119:$IN119,1,(COLUMN(AE1)-1)*12+1):INDEX('Investor Monthly'!$I119:$IN119,1,(COLUMN(AE1)-1)*12+12)),0)</f>
        <v>0</v>
      </c>
      <c r="AI8" s="12"/>
    </row>
    <row r="9" spans="2:44" x14ac:dyDescent="0.15">
      <c r="B9" s="59"/>
      <c r="AI9" s="169" t="s">
        <v>196</v>
      </c>
    </row>
    <row r="10" spans="2:44" x14ac:dyDescent="0.15">
      <c r="B10" s="167" t="s">
        <v>194</v>
      </c>
      <c r="C10" s="168">
        <f>SUM(C8,C6)</f>
        <v>-755905.20000000007</v>
      </c>
      <c r="D10" s="168">
        <f t="shared" ref="D10:J10" si="25">SUM(D8,D6)</f>
        <v>-95815.539967500023</v>
      </c>
      <c r="E10" s="168">
        <f t="shared" si="25"/>
        <v>0</v>
      </c>
      <c r="F10" s="168">
        <f t="shared" si="25"/>
        <v>0</v>
      </c>
      <c r="G10" s="168">
        <f t="shared" si="25"/>
        <v>1328.7029298940536</v>
      </c>
      <c r="H10" s="168">
        <f t="shared" si="25"/>
        <v>4725.1730572481902</v>
      </c>
      <c r="I10" s="168">
        <f t="shared" si="25"/>
        <v>8228.2565391647877</v>
      </c>
      <c r="J10" s="168">
        <f t="shared" si="25"/>
        <v>11841.252483316577</v>
      </c>
      <c r="K10" s="168">
        <f t="shared" ref="K10:S10" si="26">SUM(K8,K6)</f>
        <v>15567.561142797655</v>
      </c>
      <c r="L10" s="168">
        <f t="shared" si="26"/>
        <v>19410.686997881414</v>
      </c>
      <c r="M10" s="168">
        <f t="shared" si="26"/>
        <v>23374.241931277407</v>
      </c>
      <c r="N10" s="168">
        <f t="shared" si="26"/>
        <v>27461.948499716575</v>
      </c>
      <c r="O10" s="168">
        <f t="shared" si="26"/>
        <v>31677.643304777535</v>
      </c>
      <c r="P10" s="168">
        <f t="shared" si="26"/>
        <v>36025.28046595637</v>
      </c>
      <c r="Q10" s="168">
        <f t="shared" si="26"/>
        <v>40508.935199072381</v>
      </c>
      <c r="R10" s="168">
        <f t="shared" ca="1" si="26"/>
        <v>2171714.4189691553</v>
      </c>
      <c r="S10" s="168">
        <f t="shared" ca="1" si="26"/>
        <v>0</v>
      </c>
      <c r="T10" s="168">
        <f t="shared" ref="T10:W10" ca="1" si="27">SUM(T8,T6)</f>
        <v>0</v>
      </c>
      <c r="U10" s="168">
        <f t="shared" ca="1" si="27"/>
        <v>0</v>
      </c>
      <c r="V10" s="168">
        <f t="shared" ca="1" si="27"/>
        <v>0</v>
      </c>
      <c r="W10" s="168">
        <f t="shared" ca="1" si="27"/>
        <v>0</v>
      </c>
      <c r="X10" s="168">
        <f t="shared" ref="X10:AH10" si="28">SUM(X8,X6)</f>
        <v>0</v>
      </c>
      <c r="Y10" s="168">
        <f t="shared" si="28"/>
        <v>0</v>
      </c>
      <c r="Z10" s="168">
        <f t="shared" si="28"/>
        <v>0</v>
      </c>
      <c r="AA10" s="168">
        <f t="shared" si="28"/>
        <v>0</v>
      </c>
      <c r="AB10" s="168">
        <f t="shared" si="28"/>
        <v>0</v>
      </c>
      <c r="AC10" s="168">
        <f t="shared" si="28"/>
        <v>0</v>
      </c>
      <c r="AD10" s="168">
        <f t="shared" si="28"/>
        <v>0</v>
      </c>
      <c r="AE10" s="168">
        <f t="shared" si="28"/>
        <v>0</v>
      </c>
      <c r="AF10" s="168">
        <f t="shared" si="28"/>
        <v>0</v>
      </c>
      <c r="AG10" s="168">
        <f t="shared" si="28"/>
        <v>0</v>
      </c>
      <c r="AH10" s="168">
        <f t="shared" si="28"/>
        <v>0</v>
      </c>
      <c r="AI10" s="230">
        <f ca="1">SUM(D10:W10)</f>
        <v>2296048.5615527583</v>
      </c>
    </row>
    <row r="11" spans="2:44" x14ac:dyDescent="0.15">
      <c r="B11" s="172" t="s">
        <v>39</v>
      </c>
      <c r="C11" s="204">
        <f ca="1">'Investor Monthly'!D119</f>
        <v>7.3946443200111414E-2</v>
      </c>
      <c r="U11" s="203"/>
      <c r="AI11" s="154"/>
    </row>
    <row r="12" spans="2:44" x14ac:dyDescent="0.15">
      <c r="B12" s="172" t="s">
        <v>40</v>
      </c>
      <c r="C12" s="174">
        <f ca="1">'Investor Monthly'!E119</f>
        <v>50684.168114138301</v>
      </c>
      <c r="U12" s="195"/>
    </row>
    <row r="13" spans="2:44" x14ac:dyDescent="0.15">
      <c r="B13" s="173" t="s">
        <v>197</v>
      </c>
      <c r="C13" s="175">
        <f ca="1">'Investor Monthly'!F119</f>
        <v>3.0374821625155617</v>
      </c>
      <c r="U13" s="195"/>
    </row>
    <row r="14" spans="2:44" ht="19" customHeight="1" x14ac:dyDescent="0.15"/>
    <row r="15" spans="2:44" ht="14" x14ac:dyDescent="0.2">
      <c r="B15" s="162" t="str">
        <f>'Investor Monthly'!C120</f>
        <v>Brian</v>
      </c>
      <c r="C15" s="158" t="s">
        <v>193</v>
      </c>
      <c r="D15" s="159">
        <f>'Investors Breakdown'!D19</f>
        <v>0.3</v>
      </c>
      <c r="E15" s="154"/>
      <c r="F15" s="154"/>
      <c r="G15" s="154"/>
      <c r="H15" s="154"/>
      <c r="I15" s="154"/>
      <c r="J15" s="154"/>
      <c r="K15" s="154"/>
      <c r="L15" s="154"/>
      <c r="M15" s="154"/>
      <c r="N15" s="154"/>
      <c r="O15" s="154"/>
      <c r="P15" s="154"/>
      <c r="Q15" s="154"/>
      <c r="R15" s="154"/>
      <c r="S15" s="154"/>
      <c r="T15" s="154"/>
      <c r="U15" s="154"/>
      <c r="V15" s="154"/>
      <c r="W15" s="154"/>
      <c r="X15" s="154"/>
      <c r="Y15" s="154"/>
      <c r="Z15" s="154"/>
      <c r="AA15" s="154"/>
      <c r="AB15" s="154"/>
      <c r="AC15" s="154"/>
      <c r="AD15" s="154"/>
      <c r="AE15" s="154"/>
      <c r="AF15" s="154"/>
      <c r="AG15" s="154"/>
      <c r="AH15" s="154"/>
      <c r="AI15" s="170" t="s">
        <v>195</v>
      </c>
    </row>
    <row r="16" spans="2:44" x14ac:dyDescent="0.15">
      <c r="B16" s="163" t="s">
        <v>133</v>
      </c>
      <c r="C16" s="165" t="s">
        <v>134</v>
      </c>
      <c r="D16" s="166">
        <v>1</v>
      </c>
      <c r="E16" s="166">
        <f t="shared" ref="E16:J16" si="29">IF(D16="","",IF(D16+1&lt;=$C$2,D16+1,""))</f>
        <v>2</v>
      </c>
      <c r="F16" s="166">
        <f t="shared" si="29"/>
        <v>3</v>
      </c>
      <c r="G16" s="166">
        <f t="shared" si="29"/>
        <v>4</v>
      </c>
      <c r="H16" s="166">
        <f t="shared" si="29"/>
        <v>5</v>
      </c>
      <c r="I16" s="166">
        <f t="shared" si="29"/>
        <v>6</v>
      </c>
      <c r="J16" s="166">
        <f t="shared" si="29"/>
        <v>7</v>
      </c>
      <c r="K16" s="166">
        <f t="shared" ref="K16" si="30">IF(J16="","",IF(J16+1&lt;=$C$2,J16+1,""))</f>
        <v>8</v>
      </c>
      <c r="L16" s="166">
        <f t="shared" ref="L16" si="31">IF(K16="","",IF(K16+1&lt;=$C$2,K16+1,""))</f>
        <v>9</v>
      </c>
      <c r="M16" s="166">
        <f t="shared" ref="M16" si="32">IF(L16="","",IF(L16+1&lt;=$C$2,L16+1,""))</f>
        <v>10</v>
      </c>
      <c r="N16" s="166">
        <f t="shared" ref="N16" si="33">IF(M16="","",IF(M16+1&lt;=$C$2,M16+1,""))</f>
        <v>11</v>
      </c>
      <c r="O16" s="166">
        <f t="shared" ref="O16" si="34">IF(N16="","",IF(N16+1&lt;=$C$2,N16+1,""))</f>
        <v>12</v>
      </c>
      <c r="P16" s="166">
        <f t="shared" ref="P16" si="35">IF(O16="","",IF(O16+1&lt;=$C$2,O16+1,""))</f>
        <v>13</v>
      </c>
      <c r="Q16" s="166">
        <f t="shared" ref="Q16" si="36">IF(P16="","",IF(P16+1&lt;=$C$2,P16+1,""))</f>
        <v>14</v>
      </c>
      <c r="R16" s="166">
        <f t="shared" ref="R16" si="37">IF(Q16="","",IF(Q16+1&lt;=$C$2,Q16+1,""))</f>
        <v>15</v>
      </c>
      <c r="S16" s="166" t="str">
        <f t="shared" ref="S16" si="38">IF(R16="","",IF(R16+1&lt;=$C$2,R16+1,""))</f>
        <v/>
      </c>
      <c r="T16" s="166" t="str">
        <f t="shared" ref="T16" si="39">IF(S16="","",IF(S16+1&lt;=$C$2,S16+1,""))</f>
        <v/>
      </c>
      <c r="U16" s="166" t="str">
        <f t="shared" ref="U16" si="40">IF(T16="","",IF(T16+1&lt;=$C$2,T16+1,""))</f>
        <v/>
      </c>
      <c r="V16" s="166" t="str">
        <f t="shared" ref="V16" si="41">IF(U16="","",IF(U16+1&lt;=$C$2,U16+1,""))</f>
        <v/>
      </c>
      <c r="W16" s="166" t="str">
        <f t="shared" ref="W16" si="42">IF(V16="","",IF(V16+1&lt;=$C$2,V16+1,""))</f>
        <v/>
      </c>
      <c r="X16" s="166" t="str">
        <f t="shared" ref="X16" si="43">IF(W16="","",IF(W16+1&lt;=$C$2,W16+1,""))</f>
        <v/>
      </c>
      <c r="Y16" s="166" t="str">
        <f t="shared" ref="Y16" si="44">IF(X16="","",IF(X16+1&lt;=$C$2,X16+1,""))</f>
        <v/>
      </c>
      <c r="Z16" s="166" t="str">
        <f t="shared" ref="Z16" si="45">IF(Y16="","",IF(Y16+1&lt;=$C$2,Y16+1,""))</f>
        <v/>
      </c>
      <c r="AA16" s="166" t="str">
        <f t="shared" ref="AA16" si="46">IF(Z16="","",IF(Z16+1&lt;=$C$2,Z16+1,""))</f>
        <v/>
      </c>
      <c r="AB16" s="166" t="str">
        <f t="shared" ref="AB16" si="47">IF(AA16="","",IF(AA16+1&lt;=$C$2,AA16+1,""))</f>
        <v/>
      </c>
      <c r="AC16" s="166" t="str">
        <f t="shared" ref="AC16" si="48">IF(AB16="","",IF(AB16+1&lt;=$C$2,AB16+1,""))</f>
        <v/>
      </c>
      <c r="AD16" s="166" t="str">
        <f t="shared" ref="AD16" si="49">IF(AC16="","",IF(AC16+1&lt;=$C$2,AC16+1,""))</f>
        <v/>
      </c>
      <c r="AE16" s="166" t="str">
        <f t="shared" ref="AE16" si="50">IF(AD16="","",IF(AD16+1&lt;=$C$2,AD16+1,""))</f>
        <v/>
      </c>
      <c r="AF16" s="166" t="str">
        <f t="shared" ref="AF16" si="51">IF(AE16="","",IF(AE16+1&lt;=$C$2,AE16+1,""))</f>
        <v/>
      </c>
      <c r="AG16" s="166" t="str">
        <f t="shared" ref="AG16" si="52">IF(AF16="","",IF(AF16+1&lt;=$C$2,AF16+1,""))</f>
        <v/>
      </c>
      <c r="AH16" s="166" t="str">
        <f t="shared" ref="AH16" si="53">IF(AG16="","",IF(AG16+1&lt;=$C$2,AG16+1,""))</f>
        <v/>
      </c>
      <c r="AI16" s="164">
        <f>ABS(SUM(C17:W17))</f>
        <v>755905.2</v>
      </c>
    </row>
    <row r="17" spans="2:35" x14ac:dyDescent="0.15">
      <c r="B17" s="161" t="s">
        <v>192</v>
      </c>
      <c r="C17" s="160">
        <f>-'Investors Breakdown'!E19</f>
        <v>-755905.2</v>
      </c>
      <c r="D17" s="154"/>
      <c r="E17" s="154"/>
      <c r="F17" s="154"/>
      <c r="G17" s="154"/>
      <c r="H17" s="154"/>
      <c r="I17" s="154"/>
      <c r="J17" s="154"/>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52"/>
    </row>
    <row r="18" spans="2:35" x14ac:dyDescent="0.15">
      <c r="B18" s="59"/>
      <c r="C18" s="154"/>
      <c r="D18" s="154"/>
      <c r="E18" s="154"/>
      <c r="F18" s="154"/>
      <c r="G18" s="154"/>
      <c r="H18" s="154"/>
      <c r="I18" s="154"/>
      <c r="J18" s="154"/>
      <c r="K18" s="195"/>
      <c r="AI18" s="118"/>
    </row>
    <row r="19" spans="2:35" x14ac:dyDescent="0.15">
      <c r="B19" s="59" t="s">
        <v>198</v>
      </c>
      <c r="C19" s="1">
        <v>0</v>
      </c>
      <c r="D19" s="1">
        <f>IFERROR(SUM(INDEX('Investor Monthly'!$I120:$IN120,1,(COLUMN(A12)-1)*12+1):INDEX('Investor Monthly'!$I120:$IN120,1,(COLUMN(A12)-1)*12+12)),0)</f>
        <v>-95815.539967499994</v>
      </c>
      <c r="E19" s="1">
        <f>IFERROR(SUM(INDEX('Investor Monthly'!$I120:$IN120,1,(COLUMN(B12)-1)*12+1):INDEX('Investor Monthly'!$I120:$IN120,1,(COLUMN(B12)-1)*12+12)),0)</f>
        <v>0</v>
      </c>
      <c r="F19" s="1">
        <f>IFERROR(SUM(INDEX('Investor Monthly'!$I120:$IN120,1,(COLUMN(C12)-1)*12+1):INDEX('Investor Monthly'!$I120:$IN120,1,(COLUMN(C12)-1)*12+12)),0)</f>
        <v>0</v>
      </c>
      <c r="G19" s="1">
        <f>IFERROR(SUM(INDEX('Investor Monthly'!$I120:$IN120,1,(COLUMN(D12)-1)*12+1):INDEX('Investor Monthly'!$I120:$IN120,1,(COLUMN(D12)-1)*12+12)),0)</f>
        <v>1328.7029298940536</v>
      </c>
      <c r="H19" s="1">
        <f>IFERROR(SUM(INDEX('Investor Monthly'!$I120:$IN120,1,(COLUMN(E12)-1)*12+1):INDEX('Investor Monthly'!$I120:$IN120,1,(COLUMN(E12)-1)*12+12)),0)</f>
        <v>4725.1730572481883</v>
      </c>
      <c r="I19" s="1">
        <f>IFERROR(SUM(INDEX('Investor Monthly'!$I120:$IN120,1,(COLUMN(F12)-1)*12+1):INDEX('Investor Monthly'!$I120:$IN120,1,(COLUMN(F12)-1)*12+12)),0)</f>
        <v>8228.2565391647859</v>
      </c>
      <c r="J19" s="1">
        <f>IFERROR(SUM(INDEX('Investor Monthly'!$I120:$IN120,1,(COLUMN(G12)-1)*12+1):INDEX('Investor Monthly'!$I120:$IN120,1,(COLUMN(G12)-1)*12+12)),0)</f>
        <v>11841.252483316573</v>
      </c>
      <c r="K19" s="1">
        <f>IFERROR(SUM(INDEX('Investor Monthly'!$I120:$IN120,1,(COLUMN(H12)-1)*12+1):INDEX('Investor Monthly'!$I120:$IN120,1,(COLUMN(H12)-1)*12+12)),0)</f>
        <v>15567.561142797653</v>
      </c>
      <c r="L19" s="1">
        <f>IFERROR(SUM(INDEX('Investor Monthly'!$I120:$IN120,1,(COLUMN(I12)-1)*12+1):INDEX('Investor Monthly'!$I120:$IN120,1,(COLUMN(I12)-1)*12+12)),0)</f>
        <v>19410.68699788141</v>
      </c>
      <c r="M19" s="1">
        <f>IFERROR(SUM(INDEX('Investor Monthly'!$I120:$IN120,1,(COLUMN(J12)-1)*12+1):INDEX('Investor Monthly'!$I120:$IN120,1,(COLUMN(J12)-1)*12+12)),0)</f>
        <v>23374.241931277404</v>
      </c>
      <c r="N19" s="1">
        <f>IFERROR(SUM(INDEX('Investor Monthly'!$I120:$IN120,1,(COLUMN(K12)-1)*12+1):INDEX('Investor Monthly'!$I120:$IN120,1,(COLUMN(K12)-1)*12+12)),0)</f>
        <v>27461.948499716575</v>
      </c>
      <c r="O19" s="1">
        <f>IFERROR(SUM(INDEX('Investor Monthly'!$I120:$IN120,1,(COLUMN(L12)-1)*12+1):INDEX('Investor Monthly'!$I120:$IN120,1,(COLUMN(L12)-1)*12+12)),0)</f>
        <v>31677.643304777535</v>
      </c>
      <c r="P19" s="1">
        <f>IFERROR(SUM(INDEX('Investor Monthly'!$I120:$IN120,1,(COLUMN(M12)-1)*12+1):INDEX('Investor Monthly'!$I120:$IN120,1,(COLUMN(M12)-1)*12+12)),0)</f>
        <v>36025.28046595637</v>
      </c>
      <c r="Q19" s="1">
        <f>IFERROR(SUM(INDEX('Investor Monthly'!$I120:$IN120,1,(COLUMN(N12)-1)*12+1):INDEX('Investor Monthly'!$I120:$IN120,1,(COLUMN(N12)-1)*12+12)),0)</f>
        <v>40508.935199072366</v>
      </c>
      <c r="R19" s="1">
        <f ca="1">IFERROR(SUM(INDEX('Investor Monthly'!$I120:$IN120,1,(COLUMN(O12)-1)*12+1):INDEX('Investor Monthly'!$I120:$IN120,1,(COLUMN(O12)-1)*12+12)),0)</f>
        <v>2171714.4189691548</v>
      </c>
      <c r="S19" s="1">
        <f ca="1">IFERROR(SUM(INDEX('Investor Monthly'!$I120:$IN120,1,(COLUMN(P12)-1)*12+1):INDEX('Investor Monthly'!$I120:$IN120,1,(COLUMN(P12)-1)*12+12)),0)</f>
        <v>0</v>
      </c>
      <c r="T19" s="1">
        <f ca="1">IFERROR(SUM(INDEX('Investor Monthly'!$I120:$IN120,1,(COLUMN(Q12)-1)*12+1):INDEX('Investor Monthly'!$I120:$IN120,1,(COLUMN(Q12)-1)*12+12)),0)</f>
        <v>0</v>
      </c>
      <c r="U19" s="1">
        <f ca="1">IFERROR(SUM(INDEX('Investor Monthly'!$I120:$IN120,1,(COLUMN(R12)-1)*12+1):INDEX('Investor Monthly'!$I120:$IN120,1,(COLUMN(R12)-1)*12+12)),0)</f>
        <v>0</v>
      </c>
      <c r="V19" s="1">
        <f ca="1">IFERROR(SUM(INDEX('Investor Monthly'!$I120:$IN120,1,(COLUMN(S12)-1)*12+1):INDEX('Investor Monthly'!$I120:$IN120,1,(COLUMN(S12)-1)*12+12)),0)</f>
        <v>0</v>
      </c>
      <c r="W19" s="1">
        <f ca="1">IFERROR(SUM(INDEX('Investor Monthly'!$I120:$IN120,1,(COLUMN(T12)-1)*12+1):INDEX('Investor Monthly'!$I120:$IN120,1,(COLUMN(T12)-1)*12+12)),0)</f>
        <v>0</v>
      </c>
      <c r="X19" s="1">
        <f>IFERROR(SUM(INDEX('Investor Monthly'!$I120:$IN120,1,(COLUMN(U12)-1)*12+1):INDEX('Investor Monthly'!$I120:$IN120,1,(COLUMN(U12)-1)*12+12)),0)</f>
        <v>0</v>
      </c>
      <c r="Y19" s="1">
        <f>IFERROR(SUM(INDEX('Investor Monthly'!$I120:$IN120,1,(COLUMN(V12)-1)*12+1):INDEX('Investor Monthly'!$I120:$IN120,1,(COLUMN(V12)-1)*12+12)),0)</f>
        <v>0</v>
      </c>
      <c r="Z19" s="1">
        <f>IFERROR(SUM(INDEX('Investor Monthly'!$I120:$IN120,1,(COLUMN(W12)-1)*12+1):INDEX('Investor Monthly'!$I120:$IN120,1,(COLUMN(W12)-1)*12+12)),0)</f>
        <v>0</v>
      </c>
      <c r="AA19" s="1">
        <f>IFERROR(SUM(INDEX('Investor Monthly'!$I120:$IN120,1,(COLUMN(X12)-1)*12+1):INDEX('Investor Monthly'!$I120:$IN120,1,(COLUMN(X12)-1)*12+12)),0)</f>
        <v>0</v>
      </c>
      <c r="AB19" s="1">
        <f>IFERROR(SUM(INDEX('Investor Monthly'!$I120:$IN120,1,(COLUMN(Y12)-1)*12+1):INDEX('Investor Monthly'!$I120:$IN120,1,(COLUMN(Y12)-1)*12+12)),0)</f>
        <v>0</v>
      </c>
      <c r="AC19" s="1">
        <f>IFERROR(SUM(INDEX('Investor Monthly'!$I120:$IN120,1,(COLUMN(Z12)-1)*12+1):INDEX('Investor Monthly'!$I120:$IN120,1,(COLUMN(Z12)-1)*12+12)),0)</f>
        <v>0</v>
      </c>
      <c r="AD19" s="1">
        <f>IFERROR(SUM(INDEX('Investor Monthly'!$I120:$IN120,1,(COLUMN(AA12)-1)*12+1):INDEX('Investor Monthly'!$I120:$IN120,1,(COLUMN(AA12)-1)*12+12)),0)</f>
        <v>0</v>
      </c>
      <c r="AE19" s="1">
        <f>IFERROR(SUM(INDEX('Investor Monthly'!$I120:$IN120,1,(COLUMN(AB12)-1)*12+1):INDEX('Investor Monthly'!$I120:$IN120,1,(COLUMN(AB12)-1)*12+12)),0)</f>
        <v>0</v>
      </c>
      <c r="AF19" s="1">
        <f>IFERROR(SUM(INDEX('Investor Monthly'!$I120:$IN120,1,(COLUMN(AC12)-1)*12+1):INDEX('Investor Monthly'!$I120:$IN120,1,(COLUMN(AC12)-1)*12+12)),0)</f>
        <v>0</v>
      </c>
      <c r="AG19" s="1">
        <f>IFERROR(SUM(INDEX('Investor Monthly'!$I120:$IN120,1,(COLUMN(AD12)-1)*12+1):INDEX('Investor Monthly'!$I120:$IN120,1,(COLUMN(AD12)-1)*12+12)),0)</f>
        <v>0</v>
      </c>
      <c r="AH19" s="1">
        <f>IFERROR(SUM(INDEX('Investor Monthly'!$I120:$IN120,1,(COLUMN(AE12)-1)*12+1):INDEX('Investor Monthly'!$I120:$IN120,1,(COLUMN(AE12)-1)*12+12)),0)</f>
        <v>0</v>
      </c>
      <c r="AI19" s="118"/>
    </row>
    <row r="20" spans="2:35" x14ac:dyDescent="0.15">
      <c r="B20" s="59"/>
      <c r="K20" s="202"/>
      <c r="AI20" s="205" t="s">
        <v>196</v>
      </c>
    </row>
    <row r="21" spans="2:35" x14ac:dyDescent="0.15">
      <c r="B21" s="167" t="s">
        <v>194</v>
      </c>
      <c r="C21" s="168">
        <f>SUM(C19,C17)</f>
        <v>-755905.2</v>
      </c>
      <c r="D21" s="168">
        <f t="shared" ref="D21:W21" si="54">SUM(D19,D17)</f>
        <v>-95815.539967499994</v>
      </c>
      <c r="E21" s="168">
        <f t="shared" si="54"/>
        <v>0</v>
      </c>
      <c r="F21" s="168">
        <f t="shared" si="54"/>
        <v>0</v>
      </c>
      <c r="G21" s="168">
        <f t="shared" si="54"/>
        <v>1328.7029298940536</v>
      </c>
      <c r="H21" s="168">
        <f t="shared" si="54"/>
        <v>4725.1730572481883</v>
      </c>
      <c r="I21" s="168">
        <f t="shared" si="54"/>
        <v>8228.2565391647859</v>
      </c>
      <c r="J21" s="168">
        <f t="shared" si="54"/>
        <v>11841.252483316573</v>
      </c>
      <c r="K21" s="168">
        <f t="shared" si="54"/>
        <v>15567.561142797653</v>
      </c>
      <c r="L21" s="168">
        <f t="shared" si="54"/>
        <v>19410.68699788141</v>
      </c>
      <c r="M21" s="168">
        <f t="shared" si="54"/>
        <v>23374.241931277404</v>
      </c>
      <c r="N21" s="168">
        <f t="shared" si="54"/>
        <v>27461.948499716575</v>
      </c>
      <c r="O21" s="168">
        <f t="shared" si="54"/>
        <v>31677.643304777535</v>
      </c>
      <c r="P21" s="168">
        <f t="shared" si="54"/>
        <v>36025.28046595637</v>
      </c>
      <c r="Q21" s="168">
        <f t="shared" si="54"/>
        <v>40508.935199072366</v>
      </c>
      <c r="R21" s="168">
        <f t="shared" ca="1" si="54"/>
        <v>2171714.4189691548</v>
      </c>
      <c r="S21" s="168">
        <f t="shared" ca="1" si="54"/>
        <v>0</v>
      </c>
      <c r="T21" s="168">
        <f t="shared" ca="1" si="54"/>
        <v>0</v>
      </c>
      <c r="U21" s="168">
        <f t="shared" ca="1" si="54"/>
        <v>0</v>
      </c>
      <c r="V21" s="168">
        <f t="shared" ca="1" si="54"/>
        <v>0</v>
      </c>
      <c r="W21" s="168">
        <f t="shared" ca="1" si="54"/>
        <v>0</v>
      </c>
      <c r="X21" s="168">
        <f t="shared" ref="X21:AH21" si="55">SUM(X19,X17)</f>
        <v>0</v>
      </c>
      <c r="Y21" s="168">
        <f t="shared" si="55"/>
        <v>0</v>
      </c>
      <c r="Z21" s="168">
        <f t="shared" si="55"/>
        <v>0</v>
      </c>
      <c r="AA21" s="168">
        <f t="shared" si="55"/>
        <v>0</v>
      </c>
      <c r="AB21" s="168">
        <f t="shared" si="55"/>
        <v>0</v>
      </c>
      <c r="AC21" s="168">
        <f t="shared" si="55"/>
        <v>0</v>
      </c>
      <c r="AD21" s="168">
        <f t="shared" si="55"/>
        <v>0</v>
      </c>
      <c r="AE21" s="168">
        <f t="shared" si="55"/>
        <v>0</v>
      </c>
      <c r="AF21" s="168">
        <f t="shared" si="55"/>
        <v>0</v>
      </c>
      <c r="AG21" s="168">
        <f t="shared" si="55"/>
        <v>0</v>
      </c>
      <c r="AH21" s="168">
        <f t="shared" si="55"/>
        <v>0</v>
      </c>
      <c r="AI21" s="206">
        <f ca="1">SUM(D21:W21)</f>
        <v>2296048.5615527579</v>
      </c>
    </row>
    <row r="22" spans="2:35" x14ac:dyDescent="0.15">
      <c r="B22" s="171" t="s">
        <v>39</v>
      </c>
      <c r="C22" s="176">
        <f ca="1">'Investor Monthly'!D120</f>
        <v>7.3946443200111414E-2</v>
      </c>
    </row>
    <row r="23" spans="2:35" x14ac:dyDescent="0.15">
      <c r="B23" s="172" t="s">
        <v>40</v>
      </c>
      <c r="C23" s="174">
        <f ca="1">'Investor Monthly'!E120</f>
        <v>50684.168114138185</v>
      </c>
    </row>
    <row r="24" spans="2:35" x14ac:dyDescent="0.15">
      <c r="B24" s="173" t="s">
        <v>197</v>
      </c>
      <c r="C24" s="175">
        <f ca="1">'Investor Monthly'!F120</f>
        <v>3.0374821625155617</v>
      </c>
    </row>
    <row r="25" spans="2:35" ht="23" customHeight="1" x14ac:dyDescent="0.15"/>
    <row r="26" spans="2:35" ht="14" x14ac:dyDescent="0.2">
      <c r="B26" s="162" t="str">
        <f>'Investor Monthly'!C121</f>
        <v>Chris</v>
      </c>
      <c r="C26" s="158" t="s">
        <v>193</v>
      </c>
      <c r="D26" s="159">
        <f>'Investors Breakdown'!D20</f>
        <v>0.4</v>
      </c>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4"/>
      <c r="AC26" s="154"/>
      <c r="AD26" s="154"/>
      <c r="AE26" s="154"/>
      <c r="AF26" s="154"/>
      <c r="AG26" s="154"/>
      <c r="AH26" s="154"/>
      <c r="AI26" s="170" t="s">
        <v>195</v>
      </c>
    </row>
    <row r="27" spans="2:35" x14ac:dyDescent="0.15">
      <c r="B27" s="163" t="s">
        <v>133</v>
      </c>
      <c r="C27" s="165" t="s">
        <v>134</v>
      </c>
      <c r="D27" s="166">
        <v>1</v>
      </c>
      <c r="E27" s="166">
        <f t="shared" ref="E27:J27" si="56">IF(D27="","",IF(D27+1&lt;=$C$2,D27+1,""))</f>
        <v>2</v>
      </c>
      <c r="F27" s="166">
        <f t="shared" si="56"/>
        <v>3</v>
      </c>
      <c r="G27" s="166">
        <f t="shared" si="56"/>
        <v>4</v>
      </c>
      <c r="H27" s="166">
        <f t="shared" si="56"/>
        <v>5</v>
      </c>
      <c r="I27" s="166">
        <f t="shared" si="56"/>
        <v>6</v>
      </c>
      <c r="J27" s="166">
        <f t="shared" si="56"/>
        <v>7</v>
      </c>
      <c r="K27" s="166">
        <f t="shared" ref="K27" si="57">IF(J27="","",IF(J27+1&lt;=$C$2,J27+1,""))</f>
        <v>8</v>
      </c>
      <c r="L27" s="166">
        <f t="shared" ref="L27" si="58">IF(K27="","",IF(K27+1&lt;=$C$2,K27+1,""))</f>
        <v>9</v>
      </c>
      <c r="M27" s="166">
        <f t="shared" ref="M27" si="59">IF(L27="","",IF(L27+1&lt;=$C$2,L27+1,""))</f>
        <v>10</v>
      </c>
      <c r="N27" s="166">
        <f t="shared" ref="N27" si="60">IF(M27="","",IF(M27+1&lt;=$C$2,M27+1,""))</f>
        <v>11</v>
      </c>
      <c r="O27" s="166">
        <f t="shared" ref="O27" si="61">IF(N27="","",IF(N27+1&lt;=$C$2,N27+1,""))</f>
        <v>12</v>
      </c>
      <c r="P27" s="166">
        <f t="shared" ref="P27" si="62">IF(O27="","",IF(O27+1&lt;=$C$2,O27+1,""))</f>
        <v>13</v>
      </c>
      <c r="Q27" s="166">
        <f t="shared" ref="Q27" si="63">IF(P27="","",IF(P27+1&lt;=$C$2,P27+1,""))</f>
        <v>14</v>
      </c>
      <c r="R27" s="166">
        <f t="shared" ref="R27" si="64">IF(Q27="","",IF(Q27+1&lt;=$C$2,Q27+1,""))</f>
        <v>15</v>
      </c>
      <c r="S27" s="166" t="str">
        <f t="shared" ref="S27" si="65">IF(R27="","",IF(R27+1&lt;=$C$2,R27+1,""))</f>
        <v/>
      </c>
      <c r="T27" s="166" t="str">
        <f t="shared" ref="T27" si="66">IF(S27="","",IF(S27+1&lt;=$C$2,S27+1,""))</f>
        <v/>
      </c>
      <c r="U27" s="166" t="str">
        <f t="shared" ref="U27" si="67">IF(T27="","",IF(T27+1&lt;=$C$2,T27+1,""))</f>
        <v/>
      </c>
      <c r="V27" s="166" t="str">
        <f t="shared" ref="V27" si="68">IF(U27="","",IF(U27+1&lt;=$C$2,U27+1,""))</f>
        <v/>
      </c>
      <c r="W27" s="166" t="str">
        <f t="shared" ref="W27" si="69">IF(V27="","",IF(V27+1&lt;=$C$2,V27+1,""))</f>
        <v/>
      </c>
      <c r="X27" s="166" t="str">
        <f t="shared" ref="X27" si="70">IF(W27="","",IF(W27+1&lt;=$C$2,W27+1,""))</f>
        <v/>
      </c>
      <c r="Y27" s="166" t="str">
        <f t="shared" ref="Y27" si="71">IF(X27="","",IF(X27+1&lt;=$C$2,X27+1,""))</f>
        <v/>
      </c>
      <c r="Z27" s="166" t="str">
        <f t="shared" ref="Z27" si="72">IF(Y27="","",IF(Y27+1&lt;=$C$2,Y27+1,""))</f>
        <v/>
      </c>
      <c r="AA27" s="166" t="str">
        <f t="shared" ref="AA27" si="73">IF(Z27="","",IF(Z27+1&lt;=$C$2,Z27+1,""))</f>
        <v/>
      </c>
      <c r="AB27" s="166" t="str">
        <f t="shared" ref="AB27" si="74">IF(AA27="","",IF(AA27+1&lt;=$C$2,AA27+1,""))</f>
        <v/>
      </c>
      <c r="AC27" s="166" t="str">
        <f t="shared" ref="AC27" si="75">IF(AB27="","",IF(AB27+1&lt;=$C$2,AB27+1,""))</f>
        <v/>
      </c>
      <c r="AD27" s="166" t="str">
        <f t="shared" ref="AD27" si="76">IF(AC27="","",IF(AC27+1&lt;=$C$2,AC27+1,""))</f>
        <v/>
      </c>
      <c r="AE27" s="166" t="str">
        <f t="shared" ref="AE27" si="77">IF(AD27="","",IF(AD27+1&lt;=$C$2,AD27+1,""))</f>
        <v/>
      </c>
      <c r="AF27" s="166" t="str">
        <f t="shared" ref="AF27" si="78">IF(AE27="","",IF(AE27+1&lt;=$C$2,AE27+1,""))</f>
        <v/>
      </c>
      <c r="AG27" s="166" t="str">
        <f t="shared" ref="AG27" si="79">IF(AF27="","",IF(AF27+1&lt;=$C$2,AF27+1,""))</f>
        <v/>
      </c>
      <c r="AH27" s="166" t="str">
        <f t="shared" ref="AH27" si="80">IF(AG27="","",IF(AG27+1&lt;=$C$2,AG27+1,""))</f>
        <v/>
      </c>
      <c r="AI27" s="164">
        <f>ABS(SUM(C28:W28))</f>
        <v>1007873.6000000001</v>
      </c>
    </row>
    <row r="28" spans="2:35" x14ac:dyDescent="0.15">
      <c r="B28" s="161" t="s">
        <v>192</v>
      </c>
      <c r="C28" s="160">
        <f>-'Investors Breakdown'!E20</f>
        <v>-1007873.6000000001</v>
      </c>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4"/>
      <c r="AC28" s="154"/>
      <c r="AD28" s="154"/>
      <c r="AE28" s="154"/>
      <c r="AF28" s="154"/>
      <c r="AG28" s="154"/>
      <c r="AH28" s="154"/>
      <c r="AI28" s="152"/>
    </row>
    <row r="29" spans="2:35" x14ac:dyDescent="0.15">
      <c r="B29" s="59"/>
      <c r="C29" s="154"/>
      <c r="D29" s="154"/>
      <c r="E29" s="154"/>
      <c r="F29" s="154"/>
      <c r="G29" s="154"/>
      <c r="H29" s="154"/>
      <c r="I29" s="154"/>
      <c r="J29" s="154"/>
      <c r="K29" s="154"/>
      <c r="L29" s="154"/>
      <c r="M29" s="154"/>
      <c r="N29" s="154"/>
      <c r="O29" s="154"/>
      <c r="P29" s="154"/>
      <c r="Q29" s="154"/>
      <c r="R29" s="154"/>
      <c r="S29" s="154"/>
      <c r="T29" s="154"/>
      <c r="U29" s="154"/>
      <c r="V29" s="154"/>
      <c r="W29" s="154"/>
      <c r="X29" s="154"/>
      <c r="Y29" s="154"/>
      <c r="Z29" s="154"/>
      <c r="AA29" s="154"/>
      <c r="AB29" s="154"/>
      <c r="AC29" s="154"/>
      <c r="AD29" s="154"/>
      <c r="AE29" s="154"/>
      <c r="AF29" s="154"/>
      <c r="AG29" s="154"/>
      <c r="AH29" s="154"/>
      <c r="AI29" s="118"/>
    </row>
    <row r="30" spans="2:35" x14ac:dyDescent="0.15">
      <c r="B30" s="59" t="s">
        <v>198</v>
      </c>
      <c r="C30" s="1">
        <v>0</v>
      </c>
      <c r="D30" s="1">
        <f>IFERROR(SUM(INDEX('Investor Monthly'!$I121:$IN121,1,(COLUMN(A23)-1)*12+1):INDEX('Investor Monthly'!$I121:$IN121,1,(COLUMN(A23)-1)*12+12)),0)</f>
        <v>-127754.05329</v>
      </c>
      <c r="E30" s="1">
        <f>IFERROR(SUM(INDEX('Investor Monthly'!$I121:$IN121,1,(COLUMN(B23)-1)*12+1):INDEX('Investor Monthly'!$I121:$IN121,1,(COLUMN(B23)-1)*12+12)),0)</f>
        <v>0</v>
      </c>
      <c r="F30" s="1">
        <f>IFERROR(SUM(INDEX('Investor Monthly'!$I121:$IN121,1,(COLUMN(C23)-1)*12+1):INDEX('Investor Monthly'!$I121:$IN121,1,(COLUMN(C23)-1)*12+12)),0)</f>
        <v>0</v>
      </c>
      <c r="G30" s="1">
        <f>IFERROR(SUM(INDEX('Investor Monthly'!$I121:$IN121,1,(COLUMN(D23)-1)*12+1):INDEX('Investor Monthly'!$I121:$IN121,1,(COLUMN(D23)-1)*12+12)),0)</f>
        <v>1771.6039065254022</v>
      </c>
      <c r="H30" s="1">
        <f>IFERROR(SUM(INDEX('Investor Monthly'!$I121:$IN121,1,(COLUMN(E23)-1)*12+1):INDEX('Investor Monthly'!$I121:$IN121,1,(COLUMN(E23)-1)*12+12)),0)</f>
        <v>6300.2307429975781</v>
      </c>
      <c r="I30" s="1">
        <f>IFERROR(SUM(INDEX('Investor Monthly'!$I121:$IN121,1,(COLUMN(F23)-1)*12+1):INDEX('Investor Monthly'!$I121:$IN121,1,(COLUMN(F23)-1)*12+12)),0)</f>
        <v>10971.008718886371</v>
      </c>
      <c r="J30" s="1">
        <f>IFERROR(SUM(INDEX('Investor Monthly'!$I121:$IN121,1,(COLUMN(G23)-1)*12+1):INDEX('Investor Monthly'!$I121:$IN121,1,(COLUMN(G23)-1)*12+12)),0)</f>
        <v>15788.336644422081</v>
      </c>
      <c r="K30" s="1">
        <f>IFERROR(SUM(INDEX('Investor Monthly'!$I121:$IN121,1,(COLUMN(H23)-1)*12+1):INDEX('Investor Monthly'!$I121:$IN121,1,(COLUMN(H23)-1)*12+12)),0)</f>
        <v>20756.748190396855</v>
      </c>
      <c r="L30" s="1">
        <f>IFERROR(SUM(INDEX('Investor Monthly'!$I121:$IN121,1,(COLUMN(I23)-1)*12+1):INDEX('Investor Monthly'!$I121:$IN121,1,(COLUMN(I23)-1)*12+12)),0)</f>
        <v>25880.915997175223</v>
      </c>
      <c r="M30" s="1">
        <f>IFERROR(SUM(INDEX('Investor Monthly'!$I121:$IN121,1,(COLUMN(J23)-1)*12+1):INDEX('Investor Monthly'!$I121:$IN121,1,(COLUMN(J23)-1)*12+12)),0)</f>
        <v>31165.655908369885</v>
      </c>
      <c r="N30" s="1">
        <f>IFERROR(SUM(INDEX('Investor Monthly'!$I121:$IN121,1,(COLUMN(K23)-1)*12+1):INDEX('Investor Monthly'!$I121:$IN121,1,(COLUMN(K23)-1)*12+12)),0)</f>
        <v>36615.93133295545</v>
      </c>
      <c r="O30" s="1">
        <f>IFERROR(SUM(INDEX('Investor Monthly'!$I121:$IN121,1,(COLUMN(L23)-1)*12+1):INDEX('Investor Monthly'!$I121:$IN121,1,(COLUMN(L23)-1)*12+12)),0)</f>
        <v>42236.857739703351</v>
      </c>
      <c r="P30" s="1">
        <f>IFERROR(SUM(INDEX('Investor Monthly'!$I121:$IN121,1,(COLUMN(M23)-1)*12+1):INDEX('Investor Monthly'!$I121:$IN121,1,(COLUMN(M23)-1)*12+12)),0)</f>
        <v>48033.707287941797</v>
      </c>
      <c r="Q30" s="1">
        <f>IFERROR(SUM(INDEX('Investor Monthly'!$I121:$IN121,1,(COLUMN(N23)-1)*12+1):INDEX('Investor Monthly'!$I121:$IN121,1,(COLUMN(N23)-1)*12+12)),0)</f>
        <v>54011.913598763203</v>
      </c>
      <c r="R30" s="1">
        <f ca="1">IFERROR(SUM(INDEX('Investor Monthly'!$I121:$IN121,1,(COLUMN(O23)-1)*12+1):INDEX('Investor Monthly'!$I121:$IN121,1,(COLUMN(O23)-1)*12+12)),0)</f>
        <v>2895619.2252922119</v>
      </c>
      <c r="S30" s="1">
        <f ca="1">IFERROR(SUM(INDEX('Investor Monthly'!$I121:$IN121,1,(COLUMN(P23)-1)*12+1):INDEX('Investor Monthly'!$I121:$IN121,1,(COLUMN(P23)-1)*12+12)),0)</f>
        <v>0</v>
      </c>
      <c r="T30" s="1">
        <f ca="1">IFERROR(SUM(INDEX('Investor Monthly'!$I121:$IN121,1,(COLUMN(Q23)-1)*12+1):INDEX('Investor Monthly'!$I121:$IN121,1,(COLUMN(Q23)-1)*12+12)),0)</f>
        <v>0</v>
      </c>
      <c r="U30" s="1">
        <f ca="1">IFERROR(SUM(INDEX('Investor Monthly'!$I121:$IN121,1,(COLUMN(R23)-1)*12+1):INDEX('Investor Monthly'!$I121:$IN121,1,(COLUMN(R23)-1)*12+12)),0)</f>
        <v>0</v>
      </c>
      <c r="V30" s="1">
        <f ca="1">IFERROR(SUM(INDEX('Investor Monthly'!$I121:$IN121,1,(COLUMN(S23)-1)*12+1):INDEX('Investor Monthly'!$I121:$IN121,1,(COLUMN(S23)-1)*12+12)),0)</f>
        <v>0</v>
      </c>
      <c r="W30" s="1">
        <f ca="1">IFERROR(SUM(INDEX('Investor Monthly'!$I121:$IN121,1,(COLUMN(T23)-1)*12+1):INDEX('Investor Monthly'!$I121:$IN121,1,(COLUMN(T23)-1)*12+12)),0)</f>
        <v>0</v>
      </c>
      <c r="X30" s="1">
        <f>IFERROR(SUM(INDEX('Investor Monthly'!$I121:$IN121,1,(COLUMN(U23)-1)*12+1):INDEX('Investor Monthly'!$I121:$IN121,1,(COLUMN(U23)-1)*12+12)),0)</f>
        <v>0</v>
      </c>
      <c r="Y30" s="1">
        <f>IFERROR(SUM(INDEX('Investor Monthly'!$I121:$IN121,1,(COLUMN(V23)-1)*12+1):INDEX('Investor Monthly'!$I121:$IN121,1,(COLUMN(V23)-1)*12+12)),0)</f>
        <v>0</v>
      </c>
      <c r="Z30" s="1">
        <f>IFERROR(SUM(INDEX('Investor Monthly'!$I121:$IN121,1,(COLUMN(W23)-1)*12+1):INDEX('Investor Monthly'!$I121:$IN121,1,(COLUMN(W23)-1)*12+12)),0)</f>
        <v>0</v>
      </c>
      <c r="AA30" s="1">
        <f>IFERROR(SUM(INDEX('Investor Monthly'!$I121:$IN121,1,(COLUMN(X23)-1)*12+1):INDEX('Investor Monthly'!$I121:$IN121,1,(COLUMN(X23)-1)*12+12)),0)</f>
        <v>0</v>
      </c>
      <c r="AB30" s="1">
        <f>IFERROR(SUM(INDEX('Investor Monthly'!$I121:$IN121,1,(COLUMN(Y23)-1)*12+1):INDEX('Investor Monthly'!$I121:$IN121,1,(COLUMN(Y23)-1)*12+12)),0)</f>
        <v>0</v>
      </c>
      <c r="AC30" s="1">
        <f>IFERROR(SUM(INDEX('Investor Monthly'!$I121:$IN121,1,(COLUMN(Z23)-1)*12+1):INDEX('Investor Monthly'!$I121:$IN121,1,(COLUMN(Z23)-1)*12+12)),0)</f>
        <v>0</v>
      </c>
      <c r="AD30" s="1">
        <f>IFERROR(SUM(INDEX('Investor Monthly'!$I121:$IN121,1,(COLUMN(AA23)-1)*12+1):INDEX('Investor Monthly'!$I121:$IN121,1,(COLUMN(AA23)-1)*12+12)),0)</f>
        <v>0</v>
      </c>
      <c r="AE30" s="1">
        <f>IFERROR(SUM(INDEX('Investor Monthly'!$I121:$IN121,1,(COLUMN(AB23)-1)*12+1):INDEX('Investor Monthly'!$I121:$IN121,1,(COLUMN(AB23)-1)*12+12)),0)</f>
        <v>0</v>
      </c>
      <c r="AF30" s="1">
        <f>IFERROR(SUM(INDEX('Investor Monthly'!$I121:$IN121,1,(COLUMN(AC23)-1)*12+1):INDEX('Investor Monthly'!$I121:$IN121,1,(COLUMN(AC23)-1)*12+12)),0)</f>
        <v>0</v>
      </c>
      <c r="AG30" s="1">
        <f>IFERROR(SUM(INDEX('Investor Monthly'!$I121:$IN121,1,(COLUMN(AD23)-1)*12+1):INDEX('Investor Monthly'!$I121:$IN121,1,(COLUMN(AD23)-1)*12+12)),0)</f>
        <v>0</v>
      </c>
      <c r="AH30" s="1">
        <f>IFERROR(SUM(INDEX('Investor Monthly'!$I121:$IN121,1,(COLUMN(AE23)-1)*12+1):INDEX('Investor Monthly'!$I121:$IN121,1,(COLUMN(AE23)-1)*12+12)),0)</f>
        <v>0</v>
      </c>
      <c r="AI30" s="118"/>
    </row>
    <row r="31" spans="2:35" x14ac:dyDescent="0.15">
      <c r="B31" s="59"/>
      <c r="AI31" s="205" t="s">
        <v>196</v>
      </c>
    </row>
    <row r="32" spans="2:35" x14ac:dyDescent="0.15">
      <c r="B32" s="167" t="s">
        <v>194</v>
      </c>
      <c r="C32" s="168">
        <f>SUM(C30,C28)</f>
        <v>-1007873.6000000001</v>
      </c>
      <c r="D32" s="168">
        <f t="shared" ref="D32:J32" si="81">SUM(D30,D28)</f>
        <v>-127754.05329</v>
      </c>
      <c r="E32" s="168">
        <f t="shared" si="81"/>
        <v>0</v>
      </c>
      <c r="F32" s="168">
        <f t="shared" si="81"/>
        <v>0</v>
      </c>
      <c r="G32" s="168">
        <f t="shared" si="81"/>
        <v>1771.6039065254022</v>
      </c>
      <c r="H32" s="168">
        <f t="shared" si="81"/>
        <v>6300.2307429975781</v>
      </c>
      <c r="I32" s="168">
        <f t="shared" si="81"/>
        <v>10971.008718886371</v>
      </c>
      <c r="J32" s="168">
        <f t="shared" si="81"/>
        <v>15788.336644422081</v>
      </c>
      <c r="K32" s="168">
        <f t="shared" ref="K32:W32" si="82">SUM(K30,K28)</f>
        <v>20756.748190396855</v>
      </c>
      <c r="L32" s="168">
        <f t="shared" si="82"/>
        <v>25880.915997175223</v>
      </c>
      <c r="M32" s="168">
        <f t="shared" si="82"/>
        <v>31165.655908369885</v>
      </c>
      <c r="N32" s="168">
        <f t="shared" si="82"/>
        <v>36615.93133295545</v>
      </c>
      <c r="O32" s="168">
        <f t="shared" si="82"/>
        <v>42236.857739703351</v>
      </c>
      <c r="P32" s="168">
        <f t="shared" si="82"/>
        <v>48033.707287941797</v>
      </c>
      <c r="Q32" s="168">
        <f t="shared" si="82"/>
        <v>54011.913598763203</v>
      </c>
      <c r="R32" s="168">
        <f t="shared" ca="1" si="82"/>
        <v>2895619.2252922119</v>
      </c>
      <c r="S32" s="168">
        <f t="shared" ca="1" si="82"/>
        <v>0</v>
      </c>
      <c r="T32" s="168">
        <f t="shared" ca="1" si="82"/>
        <v>0</v>
      </c>
      <c r="U32" s="168">
        <f t="shared" ca="1" si="82"/>
        <v>0</v>
      </c>
      <c r="V32" s="168">
        <f t="shared" ca="1" si="82"/>
        <v>0</v>
      </c>
      <c r="W32" s="168">
        <f t="shared" ca="1" si="82"/>
        <v>0</v>
      </c>
      <c r="X32" s="168">
        <f t="shared" ref="X32:AH32" si="83">SUM(X30,X28)</f>
        <v>0</v>
      </c>
      <c r="Y32" s="168">
        <f t="shared" si="83"/>
        <v>0</v>
      </c>
      <c r="Z32" s="168">
        <f t="shared" si="83"/>
        <v>0</v>
      </c>
      <c r="AA32" s="168">
        <f t="shared" si="83"/>
        <v>0</v>
      </c>
      <c r="AB32" s="168">
        <f t="shared" si="83"/>
        <v>0</v>
      </c>
      <c r="AC32" s="168">
        <f t="shared" si="83"/>
        <v>0</v>
      </c>
      <c r="AD32" s="168">
        <f t="shared" si="83"/>
        <v>0</v>
      </c>
      <c r="AE32" s="168">
        <f t="shared" si="83"/>
        <v>0</v>
      </c>
      <c r="AF32" s="168">
        <f t="shared" si="83"/>
        <v>0</v>
      </c>
      <c r="AG32" s="168">
        <f t="shared" si="83"/>
        <v>0</v>
      </c>
      <c r="AH32" s="168">
        <f t="shared" si="83"/>
        <v>0</v>
      </c>
      <c r="AI32" s="206">
        <f ca="1">SUM(D32:W32)</f>
        <v>3061398.0820703492</v>
      </c>
    </row>
    <row r="33" spans="2:35" x14ac:dyDescent="0.15">
      <c r="B33" s="171" t="s">
        <v>39</v>
      </c>
      <c r="C33" s="176">
        <f ca="1">'Investor Monthly'!D121</f>
        <v>7.3946443200111414E-2</v>
      </c>
    </row>
    <row r="34" spans="2:35" x14ac:dyDescent="0.15">
      <c r="B34" s="172" t="s">
        <v>40</v>
      </c>
      <c r="C34" s="174">
        <f ca="1">'Investor Monthly'!E121</f>
        <v>67578.890818852931</v>
      </c>
    </row>
    <row r="35" spans="2:35" x14ac:dyDescent="0.15">
      <c r="B35" s="173" t="s">
        <v>197</v>
      </c>
      <c r="C35" s="175">
        <f ca="1">'Investor Monthly'!F121</f>
        <v>3.0374821625155688</v>
      </c>
    </row>
    <row r="36" spans="2:35" ht="17" customHeight="1" x14ac:dyDescent="0.15"/>
    <row r="37" spans="2:35" ht="14" x14ac:dyDescent="0.2">
      <c r="B37" s="162" t="str">
        <f>'Investor Monthly'!C122</f>
        <v>-</v>
      </c>
      <c r="C37" s="158" t="s">
        <v>193</v>
      </c>
      <c r="D37" s="159">
        <f>'Investors Breakdown'!D21</f>
        <v>0</v>
      </c>
      <c r="E37" s="154"/>
      <c r="F37" s="154"/>
      <c r="G37" s="154"/>
      <c r="H37" s="154"/>
      <c r="I37" s="154"/>
      <c r="J37" s="154"/>
      <c r="K37" s="154"/>
      <c r="L37" s="154"/>
      <c r="M37" s="154"/>
      <c r="N37" s="154"/>
      <c r="O37" s="154"/>
      <c r="P37" s="154"/>
      <c r="Q37" s="154"/>
      <c r="R37" s="154"/>
      <c r="S37" s="154"/>
      <c r="T37" s="154"/>
      <c r="U37" s="154"/>
      <c r="V37" s="154"/>
      <c r="W37" s="154"/>
      <c r="X37" s="154"/>
      <c r="Y37" s="154"/>
      <c r="Z37" s="154"/>
      <c r="AA37" s="154"/>
      <c r="AB37" s="154"/>
      <c r="AC37" s="154"/>
      <c r="AD37" s="154"/>
      <c r="AE37" s="154"/>
      <c r="AF37" s="154"/>
      <c r="AG37" s="154"/>
      <c r="AH37" s="154"/>
      <c r="AI37" s="170" t="s">
        <v>195</v>
      </c>
    </row>
    <row r="38" spans="2:35" x14ac:dyDescent="0.15">
      <c r="B38" s="163" t="s">
        <v>133</v>
      </c>
      <c r="C38" s="165" t="s">
        <v>134</v>
      </c>
      <c r="D38" s="166">
        <v>1</v>
      </c>
      <c r="E38" s="166">
        <f t="shared" ref="E38:J38" si="84">IF(D38="","",IF(D38+1&lt;=$C$2,D38+1,""))</f>
        <v>2</v>
      </c>
      <c r="F38" s="166">
        <f t="shared" si="84"/>
        <v>3</v>
      </c>
      <c r="G38" s="166">
        <f t="shared" si="84"/>
        <v>4</v>
      </c>
      <c r="H38" s="166">
        <f t="shared" si="84"/>
        <v>5</v>
      </c>
      <c r="I38" s="166">
        <f t="shared" si="84"/>
        <v>6</v>
      </c>
      <c r="J38" s="166">
        <f t="shared" si="84"/>
        <v>7</v>
      </c>
      <c r="K38" s="166">
        <f t="shared" ref="K38" si="85">IF(J38="","",IF(J38+1&lt;=$C$2,J38+1,""))</f>
        <v>8</v>
      </c>
      <c r="L38" s="166">
        <f t="shared" ref="L38" si="86">IF(K38="","",IF(K38+1&lt;=$C$2,K38+1,""))</f>
        <v>9</v>
      </c>
      <c r="M38" s="166">
        <f t="shared" ref="M38" si="87">IF(L38="","",IF(L38+1&lt;=$C$2,L38+1,""))</f>
        <v>10</v>
      </c>
      <c r="N38" s="166">
        <f t="shared" ref="N38" si="88">IF(M38="","",IF(M38+1&lt;=$C$2,M38+1,""))</f>
        <v>11</v>
      </c>
      <c r="O38" s="166">
        <f t="shared" ref="O38" si="89">IF(N38="","",IF(N38+1&lt;=$C$2,N38+1,""))</f>
        <v>12</v>
      </c>
      <c r="P38" s="166">
        <f t="shared" ref="P38" si="90">IF(O38="","",IF(O38+1&lt;=$C$2,O38+1,""))</f>
        <v>13</v>
      </c>
      <c r="Q38" s="166">
        <f t="shared" ref="Q38" si="91">IF(P38="","",IF(P38+1&lt;=$C$2,P38+1,""))</f>
        <v>14</v>
      </c>
      <c r="R38" s="166">
        <f t="shared" ref="R38" si="92">IF(Q38="","",IF(Q38+1&lt;=$C$2,Q38+1,""))</f>
        <v>15</v>
      </c>
      <c r="S38" s="166" t="str">
        <f t="shared" ref="S38" si="93">IF(R38="","",IF(R38+1&lt;=$C$2,R38+1,""))</f>
        <v/>
      </c>
      <c r="T38" s="166" t="str">
        <f t="shared" ref="T38" si="94">IF(S38="","",IF(S38+1&lt;=$C$2,S38+1,""))</f>
        <v/>
      </c>
      <c r="U38" s="166" t="str">
        <f t="shared" ref="U38" si="95">IF(T38="","",IF(T38+1&lt;=$C$2,T38+1,""))</f>
        <v/>
      </c>
      <c r="V38" s="166" t="str">
        <f t="shared" ref="V38" si="96">IF(U38="","",IF(U38+1&lt;=$C$2,U38+1,""))</f>
        <v/>
      </c>
      <c r="W38" s="166" t="str">
        <f t="shared" ref="W38" si="97">IF(V38="","",IF(V38+1&lt;=$C$2,V38+1,""))</f>
        <v/>
      </c>
      <c r="X38" s="166" t="str">
        <f t="shared" ref="X38" si="98">IF(W38="","",IF(W38+1&lt;=$C$2,W38+1,""))</f>
        <v/>
      </c>
      <c r="Y38" s="166" t="str">
        <f t="shared" ref="Y38" si="99">IF(X38="","",IF(X38+1&lt;=$C$2,X38+1,""))</f>
        <v/>
      </c>
      <c r="Z38" s="166" t="str">
        <f t="shared" ref="Z38" si="100">IF(Y38="","",IF(Y38+1&lt;=$C$2,Y38+1,""))</f>
        <v/>
      </c>
      <c r="AA38" s="166" t="str">
        <f t="shared" ref="AA38" si="101">IF(Z38="","",IF(Z38+1&lt;=$C$2,Z38+1,""))</f>
        <v/>
      </c>
      <c r="AB38" s="166" t="str">
        <f t="shared" ref="AB38" si="102">IF(AA38="","",IF(AA38+1&lt;=$C$2,AA38+1,""))</f>
        <v/>
      </c>
      <c r="AC38" s="166" t="str">
        <f t="shared" ref="AC38" si="103">IF(AB38="","",IF(AB38+1&lt;=$C$2,AB38+1,""))</f>
        <v/>
      </c>
      <c r="AD38" s="166" t="str">
        <f t="shared" ref="AD38" si="104">IF(AC38="","",IF(AC38+1&lt;=$C$2,AC38+1,""))</f>
        <v/>
      </c>
      <c r="AE38" s="166" t="str">
        <f t="shared" ref="AE38" si="105">IF(AD38="","",IF(AD38+1&lt;=$C$2,AD38+1,""))</f>
        <v/>
      </c>
      <c r="AF38" s="166" t="str">
        <f t="shared" ref="AF38" si="106">IF(AE38="","",IF(AE38+1&lt;=$C$2,AE38+1,""))</f>
        <v/>
      </c>
      <c r="AG38" s="166" t="str">
        <f t="shared" ref="AG38" si="107">IF(AF38="","",IF(AF38+1&lt;=$C$2,AF38+1,""))</f>
        <v/>
      </c>
      <c r="AH38" s="166" t="str">
        <f t="shared" ref="AH38" si="108">IF(AG38="","",IF(AG38+1&lt;=$C$2,AG38+1,""))</f>
        <v/>
      </c>
      <c r="AI38" s="164">
        <f>ABS(SUM(C39:W39))</f>
        <v>0</v>
      </c>
    </row>
    <row r="39" spans="2:35" x14ac:dyDescent="0.15">
      <c r="B39" s="161" t="s">
        <v>192</v>
      </c>
      <c r="C39" s="160">
        <f>-'Investors Breakdown'!E21</f>
        <v>0</v>
      </c>
      <c r="D39" s="154"/>
      <c r="E39" s="154"/>
      <c r="F39" s="154"/>
      <c r="G39" s="154"/>
      <c r="H39" s="154"/>
      <c r="I39" s="154"/>
      <c r="J39" s="154"/>
      <c r="K39" s="154"/>
      <c r="L39" s="154"/>
      <c r="M39" s="154"/>
      <c r="N39" s="154"/>
      <c r="O39" s="154"/>
      <c r="P39" s="154"/>
      <c r="Q39" s="154"/>
      <c r="R39" s="154"/>
      <c r="S39" s="154"/>
      <c r="T39" s="154"/>
      <c r="U39" s="154"/>
      <c r="V39" s="154"/>
      <c r="W39" s="154"/>
      <c r="X39" s="154"/>
      <c r="Y39" s="154"/>
      <c r="Z39" s="154"/>
      <c r="AA39" s="154"/>
      <c r="AB39" s="154"/>
      <c r="AC39" s="154"/>
      <c r="AD39" s="154"/>
      <c r="AE39" s="154"/>
      <c r="AF39" s="154"/>
      <c r="AG39" s="154"/>
      <c r="AH39" s="154"/>
      <c r="AI39" s="152"/>
    </row>
    <row r="40" spans="2:35" x14ac:dyDescent="0.15">
      <c r="B40" s="59"/>
      <c r="C40" s="154"/>
      <c r="D40" s="154"/>
      <c r="E40" s="154"/>
      <c r="F40" s="154"/>
      <c r="G40" s="154"/>
      <c r="H40" s="154"/>
      <c r="I40" s="154"/>
      <c r="J40" s="154"/>
      <c r="K40" s="154"/>
      <c r="L40" s="154"/>
      <c r="M40" s="154"/>
      <c r="N40" s="154"/>
      <c r="O40" s="154"/>
      <c r="P40" s="154"/>
      <c r="Q40" s="154"/>
      <c r="R40" s="154"/>
      <c r="S40" s="154"/>
      <c r="T40" s="154"/>
      <c r="U40" s="154"/>
      <c r="V40" s="154"/>
      <c r="W40" s="154"/>
      <c r="X40" s="154"/>
      <c r="Y40" s="154"/>
      <c r="Z40" s="154"/>
      <c r="AA40" s="154"/>
      <c r="AB40" s="154"/>
      <c r="AC40" s="154"/>
      <c r="AD40" s="154"/>
      <c r="AE40" s="154"/>
      <c r="AF40" s="154"/>
      <c r="AG40" s="154"/>
      <c r="AH40" s="154"/>
      <c r="AI40" s="118"/>
    </row>
    <row r="41" spans="2:35" x14ac:dyDescent="0.15">
      <c r="B41" s="59" t="s">
        <v>198</v>
      </c>
      <c r="C41" s="1">
        <v>0</v>
      </c>
      <c r="D41" s="1">
        <f>IFERROR(SUM(INDEX('Investor Monthly'!$I122:$IN122,1,(COLUMN(A34)-1)*12+1):INDEX('Investor Monthly'!$I122:$IN122,1,(COLUMN(A34)-1)*12+12)),0)</f>
        <v>0</v>
      </c>
      <c r="E41" s="1">
        <f>IFERROR(SUM(INDEX('Investor Monthly'!$I122:$IN122,1,(COLUMN(B34)-1)*12+1):INDEX('Investor Monthly'!$I122:$IN122,1,(COLUMN(B34)-1)*12+12)),0)</f>
        <v>0</v>
      </c>
      <c r="F41" s="1">
        <f>IFERROR(SUM(INDEX('Investor Monthly'!$I122:$IN122,1,(COLUMN(C34)-1)*12+1):INDEX('Investor Monthly'!$I122:$IN122,1,(COLUMN(C34)-1)*12+12)),0)</f>
        <v>0</v>
      </c>
      <c r="G41" s="1">
        <f>IFERROR(SUM(INDEX('Investor Monthly'!$I122:$IN122,1,(COLUMN(D34)-1)*12+1):INDEX('Investor Monthly'!$I122:$IN122,1,(COLUMN(D34)-1)*12+12)),0)</f>
        <v>0</v>
      </c>
      <c r="H41" s="1">
        <f>IFERROR(SUM(INDEX('Investor Monthly'!$I122:$IN122,1,(COLUMN(E34)-1)*12+1):INDEX('Investor Monthly'!$I122:$IN122,1,(COLUMN(E34)-1)*12+12)),0)</f>
        <v>0</v>
      </c>
      <c r="I41" s="1">
        <f>IFERROR(SUM(INDEX('Investor Monthly'!$I122:$IN122,1,(COLUMN(F34)-1)*12+1):INDEX('Investor Monthly'!$I122:$IN122,1,(COLUMN(F34)-1)*12+12)),0)</f>
        <v>0</v>
      </c>
      <c r="J41" s="1">
        <f>IFERROR(SUM(INDEX('Investor Monthly'!$I122:$IN122,1,(COLUMN(G34)-1)*12+1):INDEX('Investor Monthly'!$I122:$IN122,1,(COLUMN(G34)-1)*12+12)),0)</f>
        <v>0</v>
      </c>
      <c r="K41" s="1">
        <f>IFERROR(SUM(INDEX('Investor Monthly'!$I122:$IN122,1,(COLUMN(H34)-1)*12+1):INDEX('Investor Monthly'!$I122:$IN122,1,(COLUMN(H34)-1)*12+12)),0)</f>
        <v>0</v>
      </c>
      <c r="L41" s="1">
        <f>IFERROR(SUM(INDEX('Investor Monthly'!$I122:$IN122,1,(COLUMN(I34)-1)*12+1):INDEX('Investor Monthly'!$I122:$IN122,1,(COLUMN(I34)-1)*12+12)),0)</f>
        <v>0</v>
      </c>
      <c r="M41" s="1">
        <f>IFERROR(SUM(INDEX('Investor Monthly'!$I122:$IN122,1,(COLUMN(J34)-1)*12+1):INDEX('Investor Monthly'!$I122:$IN122,1,(COLUMN(J34)-1)*12+12)),0)</f>
        <v>0</v>
      </c>
      <c r="N41" s="1">
        <f>IFERROR(SUM(INDEX('Investor Monthly'!$I122:$IN122,1,(COLUMN(K34)-1)*12+1):INDEX('Investor Monthly'!$I122:$IN122,1,(COLUMN(K34)-1)*12+12)),0)</f>
        <v>0</v>
      </c>
      <c r="O41" s="1">
        <f>IFERROR(SUM(INDEX('Investor Monthly'!$I122:$IN122,1,(COLUMN(L34)-1)*12+1):INDEX('Investor Monthly'!$I122:$IN122,1,(COLUMN(L34)-1)*12+12)),0)</f>
        <v>0</v>
      </c>
      <c r="P41" s="1">
        <f>IFERROR(SUM(INDEX('Investor Monthly'!$I122:$IN122,1,(COLUMN(M34)-1)*12+1):INDEX('Investor Monthly'!$I122:$IN122,1,(COLUMN(M34)-1)*12+12)),0)</f>
        <v>0</v>
      </c>
      <c r="Q41" s="1">
        <f>IFERROR(SUM(INDEX('Investor Monthly'!$I122:$IN122,1,(COLUMN(N34)-1)*12+1):INDEX('Investor Monthly'!$I122:$IN122,1,(COLUMN(N34)-1)*12+12)),0)</f>
        <v>0</v>
      </c>
      <c r="R41" s="1">
        <f ca="1">IFERROR(SUM(INDEX('Investor Monthly'!$I122:$IN122,1,(COLUMN(O34)-1)*12+1):INDEX('Investor Monthly'!$I122:$IN122,1,(COLUMN(O34)-1)*12+12)),0)</f>
        <v>0</v>
      </c>
      <c r="S41" s="1">
        <f ca="1">IFERROR(SUM(INDEX('Investor Monthly'!$I122:$IN122,1,(COLUMN(P34)-1)*12+1):INDEX('Investor Monthly'!$I122:$IN122,1,(COLUMN(P34)-1)*12+12)),0)</f>
        <v>0</v>
      </c>
      <c r="T41" s="1">
        <f ca="1">IFERROR(SUM(INDEX('Investor Monthly'!$I122:$IN122,1,(COLUMN(Q34)-1)*12+1):INDEX('Investor Monthly'!$I122:$IN122,1,(COLUMN(Q34)-1)*12+12)),0)</f>
        <v>0</v>
      </c>
      <c r="U41" s="1">
        <f ca="1">IFERROR(SUM(INDEX('Investor Monthly'!$I122:$IN122,1,(COLUMN(R34)-1)*12+1):INDEX('Investor Monthly'!$I122:$IN122,1,(COLUMN(R34)-1)*12+12)),0)</f>
        <v>0</v>
      </c>
      <c r="V41" s="1">
        <f ca="1">IFERROR(SUM(INDEX('Investor Monthly'!$I122:$IN122,1,(COLUMN(S34)-1)*12+1):INDEX('Investor Monthly'!$I122:$IN122,1,(COLUMN(S34)-1)*12+12)),0)</f>
        <v>0</v>
      </c>
      <c r="W41" s="1">
        <f ca="1">IFERROR(SUM(INDEX('Investor Monthly'!$I122:$IN122,1,(COLUMN(T34)-1)*12+1):INDEX('Investor Monthly'!$I122:$IN122,1,(COLUMN(T34)-1)*12+12)),0)</f>
        <v>0</v>
      </c>
      <c r="X41" s="1">
        <f>IFERROR(SUM(INDEX('Investor Monthly'!$I122:$IN122,1,(COLUMN(U34)-1)*12+1):INDEX('Investor Monthly'!$I122:$IN122,1,(COLUMN(U34)-1)*12+12)),0)</f>
        <v>0</v>
      </c>
      <c r="Y41" s="1">
        <f>IFERROR(SUM(INDEX('Investor Monthly'!$I122:$IN122,1,(COLUMN(V34)-1)*12+1):INDEX('Investor Monthly'!$I122:$IN122,1,(COLUMN(V34)-1)*12+12)),0)</f>
        <v>0</v>
      </c>
      <c r="Z41" s="1">
        <f>IFERROR(SUM(INDEX('Investor Monthly'!$I122:$IN122,1,(COLUMN(W34)-1)*12+1):INDEX('Investor Monthly'!$I122:$IN122,1,(COLUMN(W34)-1)*12+12)),0)</f>
        <v>0</v>
      </c>
      <c r="AA41" s="1">
        <f>IFERROR(SUM(INDEX('Investor Monthly'!$I122:$IN122,1,(COLUMN(X34)-1)*12+1):INDEX('Investor Monthly'!$I122:$IN122,1,(COLUMN(X34)-1)*12+12)),0)</f>
        <v>0</v>
      </c>
      <c r="AB41" s="1">
        <f>IFERROR(SUM(INDEX('Investor Monthly'!$I122:$IN122,1,(COLUMN(Y34)-1)*12+1):INDEX('Investor Monthly'!$I122:$IN122,1,(COLUMN(Y34)-1)*12+12)),0)</f>
        <v>0</v>
      </c>
      <c r="AC41" s="1">
        <f>IFERROR(SUM(INDEX('Investor Monthly'!$I122:$IN122,1,(COLUMN(Z34)-1)*12+1):INDEX('Investor Monthly'!$I122:$IN122,1,(COLUMN(Z34)-1)*12+12)),0)</f>
        <v>0</v>
      </c>
      <c r="AD41" s="1">
        <f>IFERROR(SUM(INDEX('Investor Monthly'!$I122:$IN122,1,(COLUMN(AA34)-1)*12+1):INDEX('Investor Monthly'!$I122:$IN122,1,(COLUMN(AA34)-1)*12+12)),0)</f>
        <v>0</v>
      </c>
      <c r="AE41" s="1">
        <f>IFERROR(SUM(INDEX('Investor Monthly'!$I122:$IN122,1,(COLUMN(AB34)-1)*12+1):INDEX('Investor Monthly'!$I122:$IN122,1,(COLUMN(AB34)-1)*12+12)),0)</f>
        <v>0</v>
      </c>
      <c r="AF41" s="1">
        <f>IFERROR(SUM(INDEX('Investor Monthly'!$I122:$IN122,1,(COLUMN(AC34)-1)*12+1):INDEX('Investor Monthly'!$I122:$IN122,1,(COLUMN(AC34)-1)*12+12)),0)</f>
        <v>0</v>
      </c>
      <c r="AG41" s="1">
        <f>IFERROR(SUM(INDEX('Investor Monthly'!$I122:$IN122,1,(COLUMN(AD34)-1)*12+1):INDEX('Investor Monthly'!$I122:$IN122,1,(COLUMN(AD34)-1)*12+12)),0)</f>
        <v>0</v>
      </c>
      <c r="AH41" s="1">
        <f>IFERROR(SUM(INDEX('Investor Monthly'!$I122:$IN122,1,(COLUMN(AE34)-1)*12+1):INDEX('Investor Monthly'!$I122:$IN122,1,(COLUMN(AE34)-1)*12+12)),0)</f>
        <v>0</v>
      </c>
      <c r="AI41" s="118"/>
    </row>
    <row r="42" spans="2:35" x14ac:dyDescent="0.15">
      <c r="B42" s="59"/>
      <c r="AI42" s="205" t="s">
        <v>196</v>
      </c>
    </row>
    <row r="43" spans="2:35" x14ac:dyDescent="0.15">
      <c r="B43" s="167" t="s">
        <v>194</v>
      </c>
      <c r="C43" s="168">
        <f>SUM(C41,C39)</f>
        <v>0</v>
      </c>
      <c r="D43" s="168">
        <f t="shared" ref="D43:J43" si="109">SUM(D41,D39)</f>
        <v>0</v>
      </c>
      <c r="E43" s="168">
        <f t="shared" si="109"/>
        <v>0</v>
      </c>
      <c r="F43" s="168">
        <f t="shared" si="109"/>
        <v>0</v>
      </c>
      <c r="G43" s="168">
        <f t="shared" si="109"/>
        <v>0</v>
      </c>
      <c r="H43" s="168">
        <f t="shared" si="109"/>
        <v>0</v>
      </c>
      <c r="I43" s="168">
        <f t="shared" si="109"/>
        <v>0</v>
      </c>
      <c r="J43" s="168">
        <f t="shared" si="109"/>
        <v>0</v>
      </c>
      <c r="K43" s="168">
        <f t="shared" ref="K43:W43" si="110">SUM(K41,K39)</f>
        <v>0</v>
      </c>
      <c r="L43" s="168">
        <f t="shared" si="110"/>
        <v>0</v>
      </c>
      <c r="M43" s="168">
        <f t="shared" si="110"/>
        <v>0</v>
      </c>
      <c r="N43" s="168">
        <f t="shared" si="110"/>
        <v>0</v>
      </c>
      <c r="O43" s="168">
        <f t="shared" si="110"/>
        <v>0</v>
      </c>
      <c r="P43" s="168">
        <f t="shared" si="110"/>
        <v>0</v>
      </c>
      <c r="Q43" s="168">
        <f t="shared" si="110"/>
        <v>0</v>
      </c>
      <c r="R43" s="168">
        <f t="shared" ca="1" si="110"/>
        <v>0</v>
      </c>
      <c r="S43" s="168">
        <f t="shared" ca="1" si="110"/>
        <v>0</v>
      </c>
      <c r="T43" s="168">
        <f t="shared" ca="1" si="110"/>
        <v>0</v>
      </c>
      <c r="U43" s="168">
        <f t="shared" ca="1" si="110"/>
        <v>0</v>
      </c>
      <c r="V43" s="168">
        <f t="shared" ca="1" si="110"/>
        <v>0</v>
      </c>
      <c r="W43" s="168">
        <f t="shared" ca="1" si="110"/>
        <v>0</v>
      </c>
      <c r="X43" s="168">
        <f t="shared" ref="X43:AH43" si="111">SUM(X41,X39)</f>
        <v>0</v>
      </c>
      <c r="Y43" s="168">
        <f t="shared" si="111"/>
        <v>0</v>
      </c>
      <c r="Z43" s="168">
        <f t="shared" si="111"/>
        <v>0</v>
      </c>
      <c r="AA43" s="168">
        <f t="shared" si="111"/>
        <v>0</v>
      </c>
      <c r="AB43" s="168">
        <f t="shared" si="111"/>
        <v>0</v>
      </c>
      <c r="AC43" s="168">
        <f t="shared" si="111"/>
        <v>0</v>
      </c>
      <c r="AD43" s="168">
        <f t="shared" si="111"/>
        <v>0</v>
      </c>
      <c r="AE43" s="168">
        <f t="shared" si="111"/>
        <v>0</v>
      </c>
      <c r="AF43" s="168">
        <f t="shared" si="111"/>
        <v>0</v>
      </c>
      <c r="AG43" s="168">
        <f t="shared" si="111"/>
        <v>0</v>
      </c>
      <c r="AH43" s="168">
        <f t="shared" si="111"/>
        <v>0</v>
      </c>
      <c r="AI43" s="206">
        <f ca="1">SUM(D43:W43)</f>
        <v>0</v>
      </c>
    </row>
    <row r="44" spans="2:35" x14ac:dyDescent="0.15">
      <c r="B44" s="171" t="s">
        <v>39</v>
      </c>
      <c r="C44" s="176" t="str">
        <f ca="1">'Investor Monthly'!D122</f>
        <v>-</v>
      </c>
    </row>
    <row r="45" spans="2:35" x14ac:dyDescent="0.15">
      <c r="B45" s="172" t="s">
        <v>40</v>
      </c>
      <c r="C45" s="174">
        <f ca="1">'Investor Monthly'!E122</f>
        <v>0</v>
      </c>
    </row>
    <row r="46" spans="2:35" x14ac:dyDescent="0.15">
      <c r="B46" s="173" t="s">
        <v>197</v>
      </c>
      <c r="C46" s="175" t="str">
        <f ca="1">'Investor Monthly'!F122</f>
        <v>-</v>
      </c>
    </row>
    <row r="47" spans="2:35" ht="18" customHeight="1" x14ac:dyDescent="0.15"/>
    <row r="48" spans="2:35" ht="14" x14ac:dyDescent="0.2">
      <c r="B48" s="162" t="str">
        <f>'Investor Monthly'!C123</f>
        <v>-</v>
      </c>
      <c r="C48" s="158" t="s">
        <v>193</v>
      </c>
      <c r="D48" s="159">
        <f>'Investors Breakdown'!D22</f>
        <v>0</v>
      </c>
      <c r="E48" s="154"/>
      <c r="F48" s="154"/>
      <c r="G48" s="154"/>
      <c r="H48" s="154"/>
      <c r="I48" s="154"/>
      <c r="J48" s="154"/>
      <c r="K48" s="154"/>
      <c r="L48" s="154"/>
      <c r="M48" s="154"/>
      <c r="N48" s="154"/>
      <c r="O48" s="154"/>
      <c r="P48" s="154"/>
      <c r="Q48" s="154"/>
      <c r="R48" s="154"/>
      <c r="S48" s="154"/>
      <c r="T48" s="154"/>
      <c r="U48" s="154"/>
      <c r="V48" s="154"/>
      <c r="W48" s="154"/>
      <c r="X48" s="154"/>
      <c r="Y48" s="154"/>
      <c r="Z48" s="154"/>
      <c r="AA48" s="154"/>
      <c r="AB48" s="154"/>
      <c r="AC48" s="154"/>
      <c r="AD48" s="154"/>
      <c r="AE48" s="154"/>
      <c r="AF48" s="154"/>
      <c r="AG48" s="154"/>
      <c r="AH48" s="154"/>
      <c r="AI48" s="170" t="s">
        <v>195</v>
      </c>
    </row>
    <row r="49" spans="2:35" x14ac:dyDescent="0.15">
      <c r="B49" s="163" t="s">
        <v>133</v>
      </c>
      <c r="C49" s="165" t="s">
        <v>134</v>
      </c>
      <c r="D49" s="166">
        <v>1</v>
      </c>
      <c r="E49" s="166">
        <f t="shared" ref="E49:J49" si="112">IF(D49="","",IF(D49+1&lt;=$C$2,D49+1,""))</f>
        <v>2</v>
      </c>
      <c r="F49" s="166">
        <f t="shared" si="112"/>
        <v>3</v>
      </c>
      <c r="G49" s="166">
        <f t="shared" si="112"/>
        <v>4</v>
      </c>
      <c r="H49" s="166">
        <f t="shared" si="112"/>
        <v>5</v>
      </c>
      <c r="I49" s="166">
        <f t="shared" si="112"/>
        <v>6</v>
      </c>
      <c r="J49" s="166">
        <f t="shared" si="112"/>
        <v>7</v>
      </c>
      <c r="K49" s="166">
        <f t="shared" ref="K49" si="113">IF(J49="","",IF(J49+1&lt;=$C$2,J49+1,""))</f>
        <v>8</v>
      </c>
      <c r="L49" s="166">
        <f t="shared" ref="L49" si="114">IF(K49="","",IF(K49+1&lt;=$C$2,K49+1,""))</f>
        <v>9</v>
      </c>
      <c r="M49" s="166">
        <f t="shared" ref="M49" si="115">IF(L49="","",IF(L49+1&lt;=$C$2,L49+1,""))</f>
        <v>10</v>
      </c>
      <c r="N49" s="166">
        <f t="shared" ref="N49" si="116">IF(M49="","",IF(M49+1&lt;=$C$2,M49+1,""))</f>
        <v>11</v>
      </c>
      <c r="O49" s="166">
        <f t="shared" ref="O49" si="117">IF(N49="","",IF(N49+1&lt;=$C$2,N49+1,""))</f>
        <v>12</v>
      </c>
      <c r="P49" s="166">
        <f t="shared" ref="P49" si="118">IF(O49="","",IF(O49+1&lt;=$C$2,O49+1,""))</f>
        <v>13</v>
      </c>
      <c r="Q49" s="166">
        <f t="shared" ref="Q49" si="119">IF(P49="","",IF(P49+1&lt;=$C$2,P49+1,""))</f>
        <v>14</v>
      </c>
      <c r="R49" s="166">
        <f t="shared" ref="R49" si="120">IF(Q49="","",IF(Q49+1&lt;=$C$2,Q49+1,""))</f>
        <v>15</v>
      </c>
      <c r="S49" s="166" t="str">
        <f t="shared" ref="S49" si="121">IF(R49="","",IF(R49+1&lt;=$C$2,R49+1,""))</f>
        <v/>
      </c>
      <c r="T49" s="166" t="str">
        <f t="shared" ref="T49" si="122">IF(S49="","",IF(S49+1&lt;=$C$2,S49+1,""))</f>
        <v/>
      </c>
      <c r="U49" s="166" t="str">
        <f t="shared" ref="U49" si="123">IF(T49="","",IF(T49+1&lt;=$C$2,T49+1,""))</f>
        <v/>
      </c>
      <c r="V49" s="166" t="str">
        <f t="shared" ref="V49" si="124">IF(U49="","",IF(U49+1&lt;=$C$2,U49+1,""))</f>
        <v/>
      </c>
      <c r="W49" s="166" t="str">
        <f t="shared" ref="W49" si="125">IF(V49="","",IF(V49+1&lt;=$C$2,V49+1,""))</f>
        <v/>
      </c>
      <c r="X49" s="166" t="str">
        <f t="shared" ref="X49" si="126">IF(W49="","",IF(W49+1&lt;=$C$2,W49+1,""))</f>
        <v/>
      </c>
      <c r="Y49" s="166" t="str">
        <f t="shared" ref="Y49" si="127">IF(X49="","",IF(X49+1&lt;=$C$2,X49+1,""))</f>
        <v/>
      </c>
      <c r="Z49" s="166" t="str">
        <f t="shared" ref="Z49" si="128">IF(Y49="","",IF(Y49+1&lt;=$C$2,Y49+1,""))</f>
        <v/>
      </c>
      <c r="AA49" s="166" t="str">
        <f t="shared" ref="AA49" si="129">IF(Z49="","",IF(Z49+1&lt;=$C$2,Z49+1,""))</f>
        <v/>
      </c>
      <c r="AB49" s="166" t="str">
        <f t="shared" ref="AB49" si="130">IF(AA49="","",IF(AA49+1&lt;=$C$2,AA49+1,""))</f>
        <v/>
      </c>
      <c r="AC49" s="166" t="str">
        <f t="shared" ref="AC49" si="131">IF(AB49="","",IF(AB49+1&lt;=$C$2,AB49+1,""))</f>
        <v/>
      </c>
      <c r="AD49" s="166" t="str">
        <f t="shared" ref="AD49" si="132">IF(AC49="","",IF(AC49+1&lt;=$C$2,AC49+1,""))</f>
        <v/>
      </c>
      <c r="AE49" s="166" t="str">
        <f t="shared" ref="AE49" si="133">IF(AD49="","",IF(AD49+1&lt;=$C$2,AD49+1,""))</f>
        <v/>
      </c>
      <c r="AF49" s="166" t="str">
        <f t="shared" ref="AF49" si="134">IF(AE49="","",IF(AE49+1&lt;=$C$2,AE49+1,""))</f>
        <v/>
      </c>
      <c r="AG49" s="166" t="str">
        <f t="shared" ref="AG49" si="135">IF(AF49="","",IF(AF49+1&lt;=$C$2,AF49+1,""))</f>
        <v/>
      </c>
      <c r="AH49" s="166" t="str">
        <f t="shared" ref="AH49" si="136">IF(AG49="","",IF(AG49+1&lt;=$C$2,AG49+1,""))</f>
        <v/>
      </c>
      <c r="AI49" s="164">
        <f>ABS(SUM(C50:W50))</f>
        <v>0</v>
      </c>
    </row>
    <row r="50" spans="2:35" x14ac:dyDescent="0.15">
      <c r="B50" s="161" t="s">
        <v>192</v>
      </c>
      <c r="C50" s="160">
        <f>-'Investors Breakdown'!E22</f>
        <v>0</v>
      </c>
      <c r="D50" s="154"/>
      <c r="E50" s="154"/>
      <c r="F50" s="154"/>
      <c r="G50" s="154"/>
      <c r="H50" s="154"/>
      <c r="I50" s="154"/>
      <c r="J50" s="154"/>
      <c r="K50" s="154"/>
      <c r="L50" s="154"/>
      <c r="M50" s="154"/>
      <c r="N50" s="154"/>
      <c r="O50" s="154"/>
      <c r="P50" s="154"/>
      <c r="Q50" s="154"/>
      <c r="R50" s="154"/>
      <c r="S50" s="154"/>
      <c r="T50" s="154"/>
      <c r="U50" s="154"/>
      <c r="V50" s="154"/>
      <c r="W50" s="154"/>
      <c r="X50" s="154"/>
      <c r="Y50" s="154"/>
      <c r="Z50" s="154"/>
      <c r="AA50" s="154"/>
      <c r="AB50" s="154"/>
      <c r="AC50" s="154"/>
      <c r="AD50" s="154"/>
      <c r="AE50" s="154"/>
      <c r="AF50" s="154"/>
      <c r="AG50" s="154"/>
      <c r="AH50" s="154"/>
      <c r="AI50" s="152"/>
    </row>
    <row r="51" spans="2:35" x14ac:dyDescent="0.15">
      <c r="B51" s="59"/>
      <c r="C51" s="154"/>
      <c r="D51" s="154"/>
      <c r="E51" s="154"/>
      <c r="F51" s="154"/>
      <c r="G51" s="154"/>
      <c r="H51" s="154"/>
      <c r="I51" s="154"/>
      <c r="J51" s="154"/>
      <c r="K51" s="154"/>
      <c r="L51" s="154"/>
      <c r="M51" s="154"/>
      <c r="N51" s="154"/>
      <c r="O51" s="154"/>
      <c r="P51" s="154"/>
      <c r="Q51" s="154"/>
      <c r="R51" s="154"/>
      <c r="S51" s="154"/>
      <c r="T51" s="154"/>
      <c r="U51" s="154"/>
      <c r="V51" s="154"/>
      <c r="W51" s="154"/>
      <c r="X51" s="154"/>
      <c r="Y51" s="154"/>
      <c r="Z51" s="154"/>
      <c r="AA51" s="154"/>
      <c r="AB51" s="154"/>
      <c r="AC51" s="154"/>
      <c r="AD51" s="154"/>
      <c r="AE51" s="154"/>
      <c r="AF51" s="154"/>
      <c r="AG51" s="154"/>
      <c r="AH51" s="154"/>
      <c r="AI51" s="118"/>
    </row>
    <row r="52" spans="2:35" x14ac:dyDescent="0.15">
      <c r="B52" s="59" t="s">
        <v>198</v>
      </c>
      <c r="C52" s="1">
        <v>0</v>
      </c>
      <c r="D52" s="1">
        <f>IFERROR(SUM(INDEX('Investor Monthly'!$I123:$IN123,1,(COLUMN(A45)-1)*12+1):INDEX('Investor Monthly'!$I123:$IN123,1,(COLUMN(A45)-1)*12+12)),0)</f>
        <v>0</v>
      </c>
      <c r="E52" s="1">
        <f>IFERROR(SUM(INDEX('Investor Monthly'!$I123:$IN123,1,(COLUMN(B45)-1)*12+1):INDEX('Investor Monthly'!$I123:$IN123,1,(COLUMN(B45)-1)*12+12)),0)</f>
        <v>0</v>
      </c>
      <c r="F52" s="1">
        <f>IFERROR(SUM(INDEX('Investor Monthly'!$I123:$IN123,1,(COLUMN(C45)-1)*12+1):INDEX('Investor Monthly'!$I123:$IN123,1,(COLUMN(C45)-1)*12+12)),0)</f>
        <v>0</v>
      </c>
      <c r="G52" s="1">
        <f>IFERROR(SUM(INDEX('Investor Monthly'!$I123:$IN123,1,(COLUMN(D45)-1)*12+1):INDEX('Investor Monthly'!$I123:$IN123,1,(COLUMN(D45)-1)*12+12)),0)</f>
        <v>0</v>
      </c>
      <c r="H52" s="1">
        <f>IFERROR(SUM(INDEX('Investor Monthly'!$I123:$IN123,1,(COLUMN(E45)-1)*12+1):INDEX('Investor Monthly'!$I123:$IN123,1,(COLUMN(E45)-1)*12+12)),0)</f>
        <v>0</v>
      </c>
      <c r="I52" s="1">
        <f>IFERROR(SUM(INDEX('Investor Monthly'!$I123:$IN123,1,(COLUMN(F45)-1)*12+1):INDEX('Investor Monthly'!$I123:$IN123,1,(COLUMN(F45)-1)*12+12)),0)</f>
        <v>0</v>
      </c>
      <c r="J52" s="1">
        <f>IFERROR(SUM(INDEX('Investor Monthly'!$I123:$IN123,1,(COLUMN(G45)-1)*12+1):INDEX('Investor Monthly'!$I123:$IN123,1,(COLUMN(G45)-1)*12+12)),0)</f>
        <v>0</v>
      </c>
      <c r="K52" s="1">
        <f>IFERROR(SUM(INDEX('Investor Monthly'!$I123:$IN123,1,(COLUMN(H45)-1)*12+1):INDEX('Investor Monthly'!$I123:$IN123,1,(COLUMN(H45)-1)*12+12)),0)</f>
        <v>0</v>
      </c>
      <c r="L52" s="1">
        <f>IFERROR(SUM(INDEX('Investor Monthly'!$I123:$IN123,1,(COLUMN(I45)-1)*12+1):INDEX('Investor Monthly'!$I123:$IN123,1,(COLUMN(I45)-1)*12+12)),0)</f>
        <v>0</v>
      </c>
      <c r="M52" s="1">
        <f>IFERROR(SUM(INDEX('Investor Monthly'!$I123:$IN123,1,(COLUMN(J45)-1)*12+1):INDEX('Investor Monthly'!$I123:$IN123,1,(COLUMN(J45)-1)*12+12)),0)</f>
        <v>0</v>
      </c>
      <c r="N52" s="1">
        <f>IFERROR(SUM(INDEX('Investor Monthly'!$I123:$IN123,1,(COLUMN(K45)-1)*12+1):INDEX('Investor Monthly'!$I123:$IN123,1,(COLUMN(K45)-1)*12+12)),0)</f>
        <v>0</v>
      </c>
      <c r="O52" s="1">
        <f>IFERROR(SUM(INDEX('Investor Monthly'!$I123:$IN123,1,(COLUMN(L45)-1)*12+1):INDEX('Investor Monthly'!$I123:$IN123,1,(COLUMN(L45)-1)*12+12)),0)</f>
        <v>0</v>
      </c>
      <c r="P52" s="1">
        <f>IFERROR(SUM(INDEX('Investor Monthly'!$I123:$IN123,1,(COLUMN(M45)-1)*12+1):INDEX('Investor Monthly'!$I123:$IN123,1,(COLUMN(M45)-1)*12+12)),0)</f>
        <v>0</v>
      </c>
      <c r="Q52" s="1">
        <f>IFERROR(SUM(INDEX('Investor Monthly'!$I123:$IN123,1,(COLUMN(N45)-1)*12+1):INDEX('Investor Monthly'!$I123:$IN123,1,(COLUMN(N45)-1)*12+12)),0)</f>
        <v>0</v>
      </c>
      <c r="R52" s="1">
        <f ca="1">IFERROR(SUM(INDEX('Investor Monthly'!$I123:$IN123,1,(COLUMN(O45)-1)*12+1):INDEX('Investor Monthly'!$I123:$IN123,1,(COLUMN(O45)-1)*12+12)),0)</f>
        <v>0</v>
      </c>
      <c r="S52" s="1">
        <f ca="1">IFERROR(SUM(INDEX('Investor Monthly'!$I123:$IN123,1,(COLUMN(P45)-1)*12+1):INDEX('Investor Monthly'!$I123:$IN123,1,(COLUMN(P45)-1)*12+12)),0)</f>
        <v>0</v>
      </c>
      <c r="T52" s="1">
        <f ca="1">IFERROR(SUM(INDEX('Investor Monthly'!$I123:$IN123,1,(COLUMN(Q45)-1)*12+1):INDEX('Investor Monthly'!$I123:$IN123,1,(COLUMN(Q45)-1)*12+12)),0)</f>
        <v>0</v>
      </c>
      <c r="U52" s="1">
        <f ca="1">IFERROR(SUM(INDEX('Investor Monthly'!$I123:$IN123,1,(COLUMN(R45)-1)*12+1):INDEX('Investor Monthly'!$I123:$IN123,1,(COLUMN(R45)-1)*12+12)),0)</f>
        <v>0</v>
      </c>
      <c r="V52" s="1">
        <f ca="1">IFERROR(SUM(INDEX('Investor Monthly'!$I123:$IN123,1,(COLUMN(S45)-1)*12+1):INDEX('Investor Monthly'!$I123:$IN123,1,(COLUMN(S45)-1)*12+12)),0)</f>
        <v>0</v>
      </c>
      <c r="W52" s="1">
        <f ca="1">IFERROR(SUM(INDEX('Investor Monthly'!$I123:$IN123,1,(COLUMN(T45)-1)*12+1):INDEX('Investor Monthly'!$I123:$IN123,1,(COLUMN(T45)-1)*12+12)),0)</f>
        <v>0</v>
      </c>
      <c r="X52" s="1">
        <f>IFERROR(SUM(INDEX('Investor Monthly'!$I123:$IN123,1,(COLUMN(U45)-1)*12+1):INDEX('Investor Monthly'!$I123:$IN123,1,(COLUMN(U45)-1)*12+12)),0)</f>
        <v>0</v>
      </c>
      <c r="Y52" s="1">
        <f>IFERROR(SUM(INDEX('Investor Monthly'!$I123:$IN123,1,(COLUMN(V45)-1)*12+1):INDEX('Investor Monthly'!$I123:$IN123,1,(COLUMN(V45)-1)*12+12)),0)</f>
        <v>0</v>
      </c>
      <c r="Z52" s="1">
        <f>IFERROR(SUM(INDEX('Investor Monthly'!$I123:$IN123,1,(COLUMN(W45)-1)*12+1):INDEX('Investor Monthly'!$I123:$IN123,1,(COLUMN(W45)-1)*12+12)),0)</f>
        <v>0</v>
      </c>
      <c r="AA52" s="1">
        <f>IFERROR(SUM(INDEX('Investor Monthly'!$I123:$IN123,1,(COLUMN(X45)-1)*12+1):INDEX('Investor Monthly'!$I123:$IN123,1,(COLUMN(X45)-1)*12+12)),0)</f>
        <v>0</v>
      </c>
      <c r="AB52" s="1">
        <f>IFERROR(SUM(INDEX('Investor Monthly'!$I123:$IN123,1,(COLUMN(Y45)-1)*12+1):INDEX('Investor Monthly'!$I123:$IN123,1,(COLUMN(Y45)-1)*12+12)),0)</f>
        <v>0</v>
      </c>
      <c r="AC52" s="1">
        <f>IFERROR(SUM(INDEX('Investor Monthly'!$I123:$IN123,1,(COLUMN(Z45)-1)*12+1):INDEX('Investor Monthly'!$I123:$IN123,1,(COLUMN(Z45)-1)*12+12)),0)</f>
        <v>0</v>
      </c>
      <c r="AD52" s="1">
        <f>IFERROR(SUM(INDEX('Investor Monthly'!$I123:$IN123,1,(COLUMN(AA45)-1)*12+1):INDEX('Investor Monthly'!$I123:$IN123,1,(COLUMN(AA45)-1)*12+12)),0)</f>
        <v>0</v>
      </c>
      <c r="AE52" s="1">
        <f>IFERROR(SUM(INDEX('Investor Monthly'!$I123:$IN123,1,(COLUMN(AB45)-1)*12+1):INDEX('Investor Monthly'!$I123:$IN123,1,(COLUMN(AB45)-1)*12+12)),0)</f>
        <v>0</v>
      </c>
      <c r="AF52" s="1">
        <f>IFERROR(SUM(INDEX('Investor Monthly'!$I123:$IN123,1,(COLUMN(AC45)-1)*12+1):INDEX('Investor Monthly'!$I123:$IN123,1,(COLUMN(AC45)-1)*12+12)),0)</f>
        <v>0</v>
      </c>
      <c r="AG52" s="1">
        <f>IFERROR(SUM(INDEX('Investor Monthly'!$I123:$IN123,1,(COLUMN(AD45)-1)*12+1):INDEX('Investor Monthly'!$I123:$IN123,1,(COLUMN(AD45)-1)*12+12)),0)</f>
        <v>0</v>
      </c>
      <c r="AH52" s="1">
        <f>IFERROR(SUM(INDEX('Investor Monthly'!$I123:$IN123,1,(COLUMN(AE45)-1)*12+1):INDEX('Investor Monthly'!$I123:$IN123,1,(COLUMN(AE45)-1)*12+12)),0)</f>
        <v>0</v>
      </c>
      <c r="AI52" s="118"/>
    </row>
    <row r="53" spans="2:35" x14ac:dyDescent="0.15">
      <c r="B53" s="59"/>
      <c r="AI53" s="205" t="s">
        <v>196</v>
      </c>
    </row>
    <row r="54" spans="2:35" x14ac:dyDescent="0.15">
      <c r="B54" s="167" t="s">
        <v>194</v>
      </c>
      <c r="C54" s="168">
        <f>SUM(C52,C50)</f>
        <v>0</v>
      </c>
      <c r="D54" s="168">
        <f t="shared" ref="D54:J54" si="137">SUM(D52,D50)</f>
        <v>0</v>
      </c>
      <c r="E54" s="168">
        <f t="shared" si="137"/>
        <v>0</v>
      </c>
      <c r="F54" s="168">
        <f t="shared" si="137"/>
        <v>0</v>
      </c>
      <c r="G54" s="168">
        <f t="shared" si="137"/>
        <v>0</v>
      </c>
      <c r="H54" s="168">
        <f t="shared" si="137"/>
        <v>0</v>
      </c>
      <c r="I54" s="168">
        <f t="shared" si="137"/>
        <v>0</v>
      </c>
      <c r="J54" s="168">
        <f t="shared" si="137"/>
        <v>0</v>
      </c>
      <c r="K54" s="168">
        <f t="shared" ref="K54:W54" si="138">SUM(K52,K50)</f>
        <v>0</v>
      </c>
      <c r="L54" s="168">
        <f t="shared" si="138"/>
        <v>0</v>
      </c>
      <c r="M54" s="168">
        <f t="shared" si="138"/>
        <v>0</v>
      </c>
      <c r="N54" s="168">
        <f t="shared" si="138"/>
        <v>0</v>
      </c>
      <c r="O54" s="168">
        <f t="shared" si="138"/>
        <v>0</v>
      </c>
      <c r="P54" s="168">
        <f t="shared" si="138"/>
        <v>0</v>
      </c>
      <c r="Q54" s="168">
        <f t="shared" si="138"/>
        <v>0</v>
      </c>
      <c r="R54" s="168">
        <f t="shared" ca="1" si="138"/>
        <v>0</v>
      </c>
      <c r="S54" s="168">
        <f t="shared" ca="1" si="138"/>
        <v>0</v>
      </c>
      <c r="T54" s="168">
        <f t="shared" ca="1" si="138"/>
        <v>0</v>
      </c>
      <c r="U54" s="168">
        <f t="shared" ca="1" si="138"/>
        <v>0</v>
      </c>
      <c r="V54" s="168">
        <f t="shared" ca="1" si="138"/>
        <v>0</v>
      </c>
      <c r="W54" s="168">
        <f t="shared" ca="1" si="138"/>
        <v>0</v>
      </c>
      <c r="X54" s="168">
        <f t="shared" ref="X54:AH54" si="139">SUM(X52,X50)</f>
        <v>0</v>
      </c>
      <c r="Y54" s="168">
        <f t="shared" si="139"/>
        <v>0</v>
      </c>
      <c r="Z54" s="168">
        <f t="shared" si="139"/>
        <v>0</v>
      </c>
      <c r="AA54" s="168">
        <f t="shared" si="139"/>
        <v>0</v>
      </c>
      <c r="AB54" s="168">
        <f t="shared" si="139"/>
        <v>0</v>
      </c>
      <c r="AC54" s="168">
        <f t="shared" si="139"/>
        <v>0</v>
      </c>
      <c r="AD54" s="168">
        <f t="shared" si="139"/>
        <v>0</v>
      </c>
      <c r="AE54" s="168">
        <f t="shared" si="139"/>
        <v>0</v>
      </c>
      <c r="AF54" s="168">
        <f t="shared" si="139"/>
        <v>0</v>
      </c>
      <c r="AG54" s="168">
        <f t="shared" si="139"/>
        <v>0</v>
      </c>
      <c r="AH54" s="168">
        <f t="shared" si="139"/>
        <v>0</v>
      </c>
      <c r="AI54" s="206">
        <f ca="1">SUM(D54:W54)</f>
        <v>0</v>
      </c>
    </row>
    <row r="55" spans="2:35" x14ac:dyDescent="0.15">
      <c r="B55" s="171" t="s">
        <v>39</v>
      </c>
      <c r="C55" s="176" t="str">
        <f ca="1">'Investor Monthly'!D123</f>
        <v>-</v>
      </c>
    </row>
    <row r="56" spans="2:35" x14ac:dyDescent="0.15">
      <c r="B56" s="172" t="s">
        <v>40</v>
      </c>
      <c r="C56" s="174">
        <f ca="1">'Investor Monthly'!E123</f>
        <v>0</v>
      </c>
    </row>
    <row r="57" spans="2:35" x14ac:dyDescent="0.15">
      <c r="B57" s="173" t="s">
        <v>197</v>
      </c>
      <c r="C57" s="175" t="str">
        <f ca="1">'Investor Monthly'!F123</f>
        <v>-</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FAE5C-F6E7-1640-AAF3-D29CDAE24B7A}">
  <sheetPr codeName="Sheet9"/>
  <dimension ref="A2:NR127"/>
  <sheetViews>
    <sheetView showGridLines="0" topLeftCell="A2" zoomScale="115" zoomScaleNormal="100" workbookViewId="0">
      <pane xSplit="6" topLeftCell="M1" activePane="topRight" state="frozen"/>
      <selection activeCell="A76" sqref="A76"/>
      <selection pane="topRight" activeCell="J23" sqref="J23"/>
    </sheetView>
  </sheetViews>
  <sheetFormatPr baseColWidth="10" defaultColWidth="0" defaultRowHeight="11" x14ac:dyDescent="0.15"/>
  <cols>
    <col min="1" max="1" width="4.5" customWidth="1"/>
    <col min="2" max="2" width="6.5" customWidth="1"/>
    <col min="3" max="3" width="46.75" bestFit="1" customWidth="1"/>
    <col min="4" max="4" width="20" customWidth="1"/>
    <col min="5" max="5" width="22.5" customWidth="1"/>
    <col min="6" max="6" width="15.25" customWidth="1"/>
    <col min="7" max="7" width="5.5" customWidth="1"/>
    <col min="8" max="368" width="19.75" customWidth="1"/>
    <col min="369" max="369" width="10.75" customWidth="1"/>
    <col min="370" max="16384" width="10.75" hidden="1"/>
  </cols>
  <sheetData>
    <row r="2" spans="3:20" x14ac:dyDescent="0.15">
      <c r="C2" s="94" t="s">
        <v>151</v>
      </c>
      <c r="D2" s="95"/>
      <c r="E2" s="96"/>
      <c r="I2" s="94" t="s">
        <v>150</v>
      </c>
      <c r="J2" s="95"/>
      <c r="K2" s="94"/>
      <c r="L2" s="95"/>
      <c r="N2" s="7"/>
      <c r="O2" s="7"/>
      <c r="P2" s="7"/>
      <c r="Q2" s="7"/>
      <c r="R2" s="7"/>
    </row>
    <row r="3" spans="3:20" x14ac:dyDescent="0.15">
      <c r="C3" s="45" t="str">
        <f>'Investors Breakdown'!C18</f>
        <v>Aaron (Manager)</v>
      </c>
      <c r="D3" s="97">
        <f>'Investors Breakdown'!D18</f>
        <v>0.30000000000000004</v>
      </c>
      <c r="E3" s="96"/>
      <c r="I3" s="98" t="s">
        <v>152</v>
      </c>
      <c r="J3" s="24"/>
      <c r="K3" s="99"/>
      <c r="L3" s="23"/>
      <c r="N3" s="100"/>
      <c r="O3" s="101"/>
      <c r="P3" s="102"/>
      <c r="Q3" s="103"/>
      <c r="R3" s="55"/>
      <c r="T3" s="40"/>
    </row>
    <row r="4" spans="3:20" x14ac:dyDescent="0.15">
      <c r="C4" s="45" t="str">
        <f>IF('Investors Breakdown'!C19="", "-",'Investors Breakdown'!C19)</f>
        <v>Brian</v>
      </c>
      <c r="D4" s="97">
        <f>'Investors Breakdown'!D19</f>
        <v>0.3</v>
      </c>
      <c r="E4" s="96"/>
      <c r="I4" s="96"/>
      <c r="J4" s="104" t="s">
        <v>153</v>
      </c>
      <c r="K4" s="97">
        <f>'Investors Breakdown'!$E$33</f>
        <v>0.12</v>
      </c>
      <c r="L4" s="97" t="s">
        <v>51</v>
      </c>
      <c r="N4" s="100"/>
      <c r="O4" s="101"/>
      <c r="P4" s="102"/>
      <c r="Q4" s="103"/>
      <c r="R4" s="55"/>
      <c r="T4" s="40"/>
    </row>
    <row r="5" spans="3:20" x14ac:dyDescent="0.15">
      <c r="C5" s="45" t="str">
        <f>IF('Investors Breakdown'!C20="", "-",'Investors Breakdown'!C20)</f>
        <v>Chris</v>
      </c>
      <c r="D5" s="97">
        <f>'Investors Breakdown'!D20</f>
        <v>0.4</v>
      </c>
      <c r="E5" s="96"/>
      <c r="I5" s="41"/>
      <c r="J5" s="97" t="s">
        <v>154</v>
      </c>
      <c r="K5" s="97">
        <f>'Investors Breakdown'!E35</f>
        <v>1</v>
      </c>
      <c r="L5" s="105"/>
      <c r="N5" s="100"/>
      <c r="O5" s="101"/>
      <c r="P5" s="102"/>
      <c r="Q5" s="103"/>
      <c r="R5" s="55"/>
    </row>
    <row r="6" spans="3:20" x14ac:dyDescent="0.15">
      <c r="C6" s="45" t="str">
        <f>IF('Investors Breakdown'!C21="", "-",'Investors Breakdown'!C21)</f>
        <v>-</v>
      </c>
      <c r="D6" s="97">
        <f>'Investors Breakdown'!D21</f>
        <v>0</v>
      </c>
      <c r="E6" s="96"/>
      <c r="I6" s="106"/>
      <c r="J6" s="107" t="s">
        <v>155</v>
      </c>
      <c r="K6" s="108">
        <f>1-K5</f>
        <v>0</v>
      </c>
      <c r="L6" s="108" t="s">
        <v>53</v>
      </c>
      <c r="N6" s="100"/>
      <c r="O6" s="101"/>
      <c r="P6" s="102"/>
      <c r="Q6" s="103"/>
      <c r="R6" s="55"/>
    </row>
    <row r="7" spans="3:20" x14ac:dyDescent="0.15">
      <c r="C7" s="45" t="str">
        <f>IF('Investors Breakdown'!C22="", "-",'Investors Breakdown'!C22)</f>
        <v>-</v>
      </c>
      <c r="D7" s="97">
        <f>'Investors Breakdown'!D22</f>
        <v>0</v>
      </c>
      <c r="E7" s="96"/>
      <c r="I7" s="98" t="s">
        <v>156</v>
      </c>
      <c r="J7" s="24"/>
      <c r="K7" s="99"/>
      <c r="L7" s="23"/>
      <c r="N7" s="100"/>
      <c r="O7" s="101"/>
      <c r="P7" s="102"/>
      <c r="Q7" s="103"/>
      <c r="R7" s="55"/>
    </row>
    <row r="8" spans="3:20" x14ac:dyDescent="0.15">
      <c r="C8" s="65" t="s">
        <v>157</v>
      </c>
      <c r="D8" s="108">
        <f>SUM(D3:D7)</f>
        <v>1</v>
      </c>
      <c r="E8" s="96"/>
      <c r="I8" s="41"/>
      <c r="J8" s="97" t="s">
        <v>39</v>
      </c>
      <c r="K8" s="124">
        <f>'Investors Breakdown'!E39</f>
        <v>0.11799999999999999</v>
      </c>
      <c r="L8" s="105"/>
      <c r="N8" s="109"/>
      <c r="O8" s="102"/>
      <c r="P8" s="102"/>
      <c r="Q8" s="102"/>
    </row>
    <row r="9" spans="3:20" x14ac:dyDescent="0.15">
      <c r="C9" s="45"/>
      <c r="D9" s="97"/>
      <c r="E9" s="96"/>
      <c r="I9" s="14"/>
      <c r="J9" s="108" t="s">
        <v>56</v>
      </c>
      <c r="K9" s="122">
        <f>'Investors Breakdown'!E40</f>
        <v>1.5</v>
      </c>
      <c r="L9" s="108" t="s">
        <v>51</v>
      </c>
      <c r="N9" s="100"/>
      <c r="O9" s="101"/>
      <c r="P9" s="100"/>
      <c r="Q9" s="102"/>
      <c r="R9" s="55"/>
    </row>
    <row r="10" spans="3:20" x14ac:dyDescent="0.15">
      <c r="C10" s="87" t="s">
        <v>124</v>
      </c>
      <c r="D10" s="123">
        <f>'Investors Breakdown'!E12</f>
        <v>2519684</v>
      </c>
      <c r="E10" s="96"/>
      <c r="I10" s="98" t="s">
        <v>158</v>
      </c>
      <c r="J10" s="24"/>
      <c r="K10" s="99"/>
      <c r="L10" s="23"/>
    </row>
    <row r="11" spans="3:20" x14ac:dyDescent="0.15">
      <c r="C11" s="94" t="s">
        <v>161</v>
      </c>
      <c r="D11" s="110">
        <f>discount_rate</f>
        <v>7.0000000000000007E-2</v>
      </c>
      <c r="I11" s="7"/>
      <c r="J11" t="s">
        <v>58</v>
      </c>
      <c r="K11" s="111">
        <f>'Investors Breakdown'!E43</f>
        <v>1</v>
      </c>
    </row>
    <row r="12" spans="3:20" x14ac:dyDescent="0.15">
      <c r="I12" s="8"/>
      <c r="J12" s="6" t="s">
        <v>59</v>
      </c>
      <c r="K12" s="22">
        <f>1-K11</f>
        <v>0</v>
      </c>
      <c r="L12" s="8" t="s">
        <v>53</v>
      </c>
    </row>
    <row r="13" spans="3:20" x14ac:dyDescent="0.15">
      <c r="C13" t="s">
        <v>63</v>
      </c>
      <c r="D13">
        <f>hold_length*12</f>
        <v>180</v>
      </c>
      <c r="I13" s="98" t="s">
        <v>159</v>
      </c>
      <c r="J13" s="24"/>
      <c r="K13" s="99"/>
      <c r="L13" s="23"/>
    </row>
    <row r="14" spans="3:20" x14ac:dyDescent="0.15">
      <c r="J14" t="s">
        <v>160</v>
      </c>
      <c r="K14" s="111">
        <f>'Investors Breakdown'!E47</f>
        <v>0.7</v>
      </c>
    </row>
    <row r="15" spans="3:20" x14ac:dyDescent="0.15">
      <c r="I15" s="6"/>
      <c r="J15" s="6" t="s">
        <v>162</v>
      </c>
      <c r="K15" s="22">
        <f>1-K14</f>
        <v>0.30000000000000004</v>
      </c>
      <c r="L15" s="6"/>
    </row>
    <row r="20" spans="2:382" ht="18" customHeight="1" x14ac:dyDescent="0.2">
      <c r="C20" s="125" t="s">
        <v>65</v>
      </c>
      <c r="D20" s="126"/>
      <c r="E20" s="126"/>
      <c r="F20" s="127"/>
      <c r="G20" s="127"/>
      <c r="H20" s="128">
        <v>0</v>
      </c>
      <c r="I20" s="128">
        <v>1</v>
      </c>
      <c r="J20" s="128">
        <f>IFERROR(IF(I20+1&lt;=$D$13,I20+1,"")," ")</f>
        <v>2</v>
      </c>
      <c r="K20" s="128">
        <f t="shared" ref="K20:BV20" si="0">IFERROR(IF(J20+1&lt;=$D$13,J20+1,"")," ")</f>
        <v>3</v>
      </c>
      <c r="L20" s="128">
        <f t="shared" si="0"/>
        <v>4</v>
      </c>
      <c r="M20" s="128">
        <f t="shared" si="0"/>
        <v>5</v>
      </c>
      <c r="N20" s="128">
        <f t="shared" si="0"/>
        <v>6</v>
      </c>
      <c r="O20" s="128">
        <f t="shared" si="0"/>
        <v>7</v>
      </c>
      <c r="P20" s="128">
        <f t="shared" si="0"/>
        <v>8</v>
      </c>
      <c r="Q20" s="128">
        <f t="shared" si="0"/>
        <v>9</v>
      </c>
      <c r="R20" s="128">
        <f t="shared" si="0"/>
        <v>10</v>
      </c>
      <c r="S20" s="128">
        <f t="shared" si="0"/>
        <v>11</v>
      </c>
      <c r="T20" s="128">
        <f t="shared" si="0"/>
        <v>12</v>
      </c>
      <c r="U20" s="128">
        <f t="shared" si="0"/>
        <v>13</v>
      </c>
      <c r="V20" s="128">
        <f t="shared" si="0"/>
        <v>14</v>
      </c>
      <c r="W20" s="128">
        <f t="shared" si="0"/>
        <v>15</v>
      </c>
      <c r="X20" s="128">
        <f t="shared" si="0"/>
        <v>16</v>
      </c>
      <c r="Y20" s="128">
        <f t="shared" si="0"/>
        <v>17</v>
      </c>
      <c r="Z20" s="128">
        <f t="shared" si="0"/>
        <v>18</v>
      </c>
      <c r="AA20" s="128">
        <f t="shared" si="0"/>
        <v>19</v>
      </c>
      <c r="AB20" s="128">
        <f t="shared" si="0"/>
        <v>20</v>
      </c>
      <c r="AC20" s="128">
        <f t="shared" si="0"/>
        <v>21</v>
      </c>
      <c r="AD20" s="128">
        <f t="shared" si="0"/>
        <v>22</v>
      </c>
      <c r="AE20" s="128">
        <f t="shared" si="0"/>
        <v>23</v>
      </c>
      <c r="AF20" s="128">
        <f t="shared" si="0"/>
        <v>24</v>
      </c>
      <c r="AG20" s="128">
        <f t="shared" si="0"/>
        <v>25</v>
      </c>
      <c r="AH20" s="128">
        <f t="shared" si="0"/>
        <v>26</v>
      </c>
      <c r="AI20" s="128">
        <f t="shared" si="0"/>
        <v>27</v>
      </c>
      <c r="AJ20" s="128">
        <f t="shared" si="0"/>
        <v>28</v>
      </c>
      <c r="AK20" s="128">
        <f t="shared" si="0"/>
        <v>29</v>
      </c>
      <c r="AL20" s="128">
        <f t="shared" si="0"/>
        <v>30</v>
      </c>
      <c r="AM20" s="128">
        <f t="shared" si="0"/>
        <v>31</v>
      </c>
      <c r="AN20" s="128">
        <f t="shared" si="0"/>
        <v>32</v>
      </c>
      <c r="AO20" s="128">
        <f t="shared" si="0"/>
        <v>33</v>
      </c>
      <c r="AP20" s="128">
        <f t="shared" si="0"/>
        <v>34</v>
      </c>
      <c r="AQ20" s="128">
        <f t="shared" si="0"/>
        <v>35</v>
      </c>
      <c r="AR20" s="128">
        <f t="shared" si="0"/>
        <v>36</v>
      </c>
      <c r="AS20" s="128">
        <f t="shared" si="0"/>
        <v>37</v>
      </c>
      <c r="AT20" s="128">
        <f t="shared" si="0"/>
        <v>38</v>
      </c>
      <c r="AU20" s="128">
        <f t="shared" si="0"/>
        <v>39</v>
      </c>
      <c r="AV20" s="128">
        <f t="shared" si="0"/>
        <v>40</v>
      </c>
      <c r="AW20" s="128">
        <f t="shared" si="0"/>
        <v>41</v>
      </c>
      <c r="AX20" s="128">
        <f t="shared" si="0"/>
        <v>42</v>
      </c>
      <c r="AY20" s="128">
        <f t="shared" si="0"/>
        <v>43</v>
      </c>
      <c r="AZ20" s="128">
        <f t="shared" si="0"/>
        <v>44</v>
      </c>
      <c r="BA20" s="128">
        <f t="shared" si="0"/>
        <v>45</v>
      </c>
      <c r="BB20" s="128">
        <f t="shared" si="0"/>
        <v>46</v>
      </c>
      <c r="BC20" s="128">
        <f t="shared" si="0"/>
        <v>47</v>
      </c>
      <c r="BD20" s="128">
        <f t="shared" si="0"/>
        <v>48</v>
      </c>
      <c r="BE20" s="128">
        <f t="shared" si="0"/>
        <v>49</v>
      </c>
      <c r="BF20" s="128">
        <f t="shared" si="0"/>
        <v>50</v>
      </c>
      <c r="BG20" s="128">
        <f t="shared" si="0"/>
        <v>51</v>
      </c>
      <c r="BH20" s="128">
        <f t="shared" si="0"/>
        <v>52</v>
      </c>
      <c r="BI20" s="128">
        <f t="shared" si="0"/>
        <v>53</v>
      </c>
      <c r="BJ20" s="128">
        <f t="shared" si="0"/>
        <v>54</v>
      </c>
      <c r="BK20" s="128">
        <f t="shared" si="0"/>
        <v>55</v>
      </c>
      <c r="BL20" s="128">
        <f t="shared" si="0"/>
        <v>56</v>
      </c>
      <c r="BM20" s="128">
        <f t="shared" si="0"/>
        <v>57</v>
      </c>
      <c r="BN20" s="128">
        <f t="shared" si="0"/>
        <v>58</v>
      </c>
      <c r="BO20" s="128">
        <f t="shared" si="0"/>
        <v>59</v>
      </c>
      <c r="BP20" s="128">
        <f t="shared" si="0"/>
        <v>60</v>
      </c>
      <c r="BQ20" s="128">
        <f t="shared" si="0"/>
        <v>61</v>
      </c>
      <c r="BR20" s="128">
        <f t="shared" si="0"/>
        <v>62</v>
      </c>
      <c r="BS20" s="128">
        <f t="shared" si="0"/>
        <v>63</v>
      </c>
      <c r="BT20" s="128">
        <f t="shared" si="0"/>
        <v>64</v>
      </c>
      <c r="BU20" s="128">
        <f t="shared" si="0"/>
        <v>65</v>
      </c>
      <c r="BV20" s="128">
        <f t="shared" si="0"/>
        <v>66</v>
      </c>
      <c r="BW20" s="128">
        <f t="shared" ref="BW20:EH20" si="1">IFERROR(IF(BV20+1&lt;=$D$13,BV20+1,"")," ")</f>
        <v>67</v>
      </c>
      <c r="BX20" s="128">
        <f t="shared" si="1"/>
        <v>68</v>
      </c>
      <c r="BY20" s="128">
        <f t="shared" si="1"/>
        <v>69</v>
      </c>
      <c r="BZ20" s="128">
        <f t="shared" si="1"/>
        <v>70</v>
      </c>
      <c r="CA20" s="128">
        <f t="shared" si="1"/>
        <v>71</v>
      </c>
      <c r="CB20" s="128">
        <f t="shared" si="1"/>
        <v>72</v>
      </c>
      <c r="CC20" s="128">
        <f t="shared" si="1"/>
        <v>73</v>
      </c>
      <c r="CD20" s="128">
        <f t="shared" si="1"/>
        <v>74</v>
      </c>
      <c r="CE20" s="128">
        <f t="shared" si="1"/>
        <v>75</v>
      </c>
      <c r="CF20" s="128">
        <f t="shared" si="1"/>
        <v>76</v>
      </c>
      <c r="CG20" s="128">
        <f t="shared" si="1"/>
        <v>77</v>
      </c>
      <c r="CH20" s="128">
        <f t="shared" si="1"/>
        <v>78</v>
      </c>
      <c r="CI20" s="128">
        <f t="shared" si="1"/>
        <v>79</v>
      </c>
      <c r="CJ20" s="128">
        <f t="shared" si="1"/>
        <v>80</v>
      </c>
      <c r="CK20" s="128">
        <f t="shared" si="1"/>
        <v>81</v>
      </c>
      <c r="CL20" s="128">
        <f t="shared" si="1"/>
        <v>82</v>
      </c>
      <c r="CM20" s="128">
        <f t="shared" si="1"/>
        <v>83</v>
      </c>
      <c r="CN20" s="128">
        <f t="shared" si="1"/>
        <v>84</v>
      </c>
      <c r="CO20" s="128">
        <f t="shared" si="1"/>
        <v>85</v>
      </c>
      <c r="CP20" s="128">
        <f t="shared" si="1"/>
        <v>86</v>
      </c>
      <c r="CQ20" s="128">
        <f t="shared" si="1"/>
        <v>87</v>
      </c>
      <c r="CR20" s="128">
        <f t="shared" si="1"/>
        <v>88</v>
      </c>
      <c r="CS20" s="128">
        <f t="shared" si="1"/>
        <v>89</v>
      </c>
      <c r="CT20" s="128">
        <f t="shared" si="1"/>
        <v>90</v>
      </c>
      <c r="CU20" s="128">
        <f t="shared" si="1"/>
        <v>91</v>
      </c>
      <c r="CV20" s="128">
        <f t="shared" si="1"/>
        <v>92</v>
      </c>
      <c r="CW20" s="128">
        <f t="shared" si="1"/>
        <v>93</v>
      </c>
      <c r="CX20" s="128">
        <f t="shared" si="1"/>
        <v>94</v>
      </c>
      <c r="CY20" s="128">
        <f t="shared" si="1"/>
        <v>95</v>
      </c>
      <c r="CZ20" s="128">
        <f t="shared" si="1"/>
        <v>96</v>
      </c>
      <c r="DA20" s="128">
        <f t="shared" si="1"/>
        <v>97</v>
      </c>
      <c r="DB20" s="128">
        <f t="shared" si="1"/>
        <v>98</v>
      </c>
      <c r="DC20" s="128">
        <f t="shared" si="1"/>
        <v>99</v>
      </c>
      <c r="DD20" s="128">
        <f t="shared" si="1"/>
        <v>100</v>
      </c>
      <c r="DE20" s="128">
        <f t="shared" si="1"/>
        <v>101</v>
      </c>
      <c r="DF20" s="128">
        <f t="shared" si="1"/>
        <v>102</v>
      </c>
      <c r="DG20" s="128">
        <f t="shared" si="1"/>
        <v>103</v>
      </c>
      <c r="DH20" s="128">
        <f t="shared" si="1"/>
        <v>104</v>
      </c>
      <c r="DI20" s="128">
        <f t="shared" si="1"/>
        <v>105</v>
      </c>
      <c r="DJ20" s="128">
        <f t="shared" si="1"/>
        <v>106</v>
      </c>
      <c r="DK20" s="128">
        <f t="shared" si="1"/>
        <v>107</v>
      </c>
      <c r="DL20" s="128">
        <f t="shared" si="1"/>
        <v>108</v>
      </c>
      <c r="DM20" s="128">
        <f t="shared" si="1"/>
        <v>109</v>
      </c>
      <c r="DN20" s="128">
        <f t="shared" si="1"/>
        <v>110</v>
      </c>
      <c r="DO20" s="128">
        <f t="shared" si="1"/>
        <v>111</v>
      </c>
      <c r="DP20" s="128">
        <f t="shared" si="1"/>
        <v>112</v>
      </c>
      <c r="DQ20" s="128">
        <f t="shared" si="1"/>
        <v>113</v>
      </c>
      <c r="DR20" s="128">
        <f t="shared" si="1"/>
        <v>114</v>
      </c>
      <c r="DS20" s="128">
        <f t="shared" si="1"/>
        <v>115</v>
      </c>
      <c r="DT20" s="128">
        <f t="shared" si="1"/>
        <v>116</v>
      </c>
      <c r="DU20" s="128">
        <f t="shared" si="1"/>
        <v>117</v>
      </c>
      <c r="DV20" s="128">
        <f t="shared" si="1"/>
        <v>118</v>
      </c>
      <c r="DW20" s="128">
        <f t="shared" si="1"/>
        <v>119</v>
      </c>
      <c r="DX20" s="128">
        <f t="shared" si="1"/>
        <v>120</v>
      </c>
      <c r="DY20" s="128">
        <f t="shared" si="1"/>
        <v>121</v>
      </c>
      <c r="DZ20" s="128">
        <f t="shared" si="1"/>
        <v>122</v>
      </c>
      <c r="EA20" s="128">
        <f t="shared" si="1"/>
        <v>123</v>
      </c>
      <c r="EB20" s="128">
        <f t="shared" si="1"/>
        <v>124</v>
      </c>
      <c r="EC20" s="128">
        <f t="shared" si="1"/>
        <v>125</v>
      </c>
      <c r="ED20" s="128">
        <f t="shared" si="1"/>
        <v>126</v>
      </c>
      <c r="EE20" s="128">
        <f t="shared" si="1"/>
        <v>127</v>
      </c>
      <c r="EF20" s="128">
        <f t="shared" si="1"/>
        <v>128</v>
      </c>
      <c r="EG20" s="128">
        <f t="shared" si="1"/>
        <v>129</v>
      </c>
      <c r="EH20" s="128">
        <f t="shared" si="1"/>
        <v>130</v>
      </c>
      <c r="EI20" s="128">
        <f t="shared" ref="EI20:GT20" si="2">IFERROR(IF(EH20+1&lt;=$D$13,EH20+1,"")," ")</f>
        <v>131</v>
      </c>
      <c r="EJ20" s="128">
        <f t="shared" si="2"/>
        <v>132</v>
      </c>
      <c r="EK20" s="128">
        <f t="shared" si="2"/>
        <v>133</v>
      </c>
      <c r="EL20" s="128">
        <f t="shared" si="2"/>
        <v>134</v>
      </c>
      <c r="EM20" s="128">
        <f t="shared" si="2"/>
        <v>135</v>
      </c>
      <c r="EN20" s="128">
        <f t="shared" si="2"/>
        <v>136</v>
      </c>
      <c r="EO20" s="128">
        <f t="shared" si="2"/>
        <v>137</v>
      </c>
      <c r="EP20" s="128">
        <f t="shared" si="2"/>
        <v>138</v>
      </c>
      <c r="EQ20" s="128">
        <f t="shared" si="2"/>
        <v>139</v>
      </c>
      <c r="ER20" s="128">
        <f t="shared" si="2"/>
        <v>140</v>
      </c>
      <c r="ES20" s="128">
        <f t="shared" si="2"/>
        <v>141</v>
      </c>
      <c r="ET20" s="128">
        <f t="shared" si="2"/>
        <v>142</v>
      </c>
      <c r="EU20" s="128">
        <f t="shared" si="2"/>
        <v>143</v>
      </c>
      <c r="EV20" s="128">
        <f t="shared" si="2"/>
        <v>144</v>
      </c>
      <c r="EW20" s="128">
        <f t="shared" si="2"/>
        <v>145</v>
      </c>
      <c r="EX20" s="128">
        <f t="shared" si="2"/>
        <v>146</v>
      </c>
      <c r="EY20" s="128">
        <f t="shared" si="2"/>
        <v>147</v>
      </c>
      <c r="EZ20" s="128">
        <f t="shared" si="2"/>
        <v>148</v>
      </c>
      <c r="FA20" s="128">
        <f t="shared" si="2"/>
        <v>149</v>
      </c>
      <c r="FB20" s="128">
        <f t="shared" si="2"/>
        <v>150</v>
      </c>
      <c r="FC20" s="128">
        <f t="shared" si="2"/>
        <v>151</v>
      </c>
      <c r="FD20" s="128">
        <f t="shared" si="2"/>
        <v>152</v>
      </c>
      <c r="FE20" s="128">
        <f t="shared" si="2"/>
        <v>153</v>
      </c>
      <c r="FF20" s="128">
        <f t="shared" si="2"/>
        <v>154</v>
      </c>
      <c r="FG20" s="128">
        <f t="shared" si="2"/>
        <v>155</v>
      </c>
      <c r="FH20" s="128">
        <f t="shared" si="2"/>
        <v>156</v>
      </c>
      <c r="FI20" s="128">
        <f t="shared" si="2"/>
        <v>157</v>
      </c>
      <c r="FJ20" s="128">
        <f t="shared" si="2"/>
        <v>158</v>
      </c>
      <c r="FK20" s="128">
        <f t="shared" si="2"/>
        <v>159</v>
      </c>
      <c r="FL20" s="128">
        <f t="shared" si="2"/>
        <v>160</v>
      </c>
      <c r="FM20" s="128">
        <f t="shared" si="2"/>
        <v>161</v>
      </c>
      <c r="FN20" s="128">
        <f t="shared" si="2"/>
        <v>162</v>
      </c>
      <c r="FO20" s="128">
        <f t="shared" si="2"/>
        <v>163</v>
      </c>
      <c r="FP20" s="128">
        <f t="shared" si="2"/>
        <v>164</v>
      </c>
      <c r="FQ20" s="128">
        <f t="shared" si="2"/>
        <v>165</v>
      </c>
      <c r="FR20" s="128">
        <f t="shared" si="2"/>
        <v>166</v>
      </c>
      <c r="FS20" s="128">
        <f t="shared" si="2"/>
        <v>167</v>
      </c>
      <c r="FT20" s="128">
        <f t="shared" si="2"/>
        <v>168</v>
      </c>
      <c r="FU20" s="128">
        <f t="shared" si="2"/>
        <v>169</v>
      </c>
      <c r="FV20" s="128">
        <f t="shared" si="2"/>
        <v>170</v>
      </c>
      <c r="FW20" s="128">
        <f t="shared" si="2"/>
        <v>171</v>
      </c>
      <c r="FX20" s="128">
        <f t="shared" si="2"/>
        <v>172</v>
      </c>
      <c r="FY20" s="128">
        <f t="shared" si="2"/>
        <v>173</v>
      </c>
      <c r="FZ20" s="128">
        <f t="shared" si="2"/>
        <v>174</v>
      </c>
      <c r="GA20" s="128">
        <f t="shared" si="2"/>
        <v>175</v>
      </c>
      <c r="GB20" s="128">
        <f t="shared" si="2"/>
        <v>176</v>
      </c>
      <c r="GC20" s="128">
        <f t="shared" si="2"/>
        <v>177</v>
      </c>
      <c r="GD20" s="128">
        <f t="shared" si="2"/>
        <v>178</v>
      </c>
      <c r="GE20" s="128">
        <f t="shared" si="2"/>
        <v>179</v>
      </c>
      <c r="GF20" s="128">
        <f t="shared" si="2"/>
        <v>180</v>
      </c>
      <c r="GG20" s="128" t="str">
        <f t="shared" si="2"/>
        <v/>
      </c>
      <c r="GH20" s="128" t="str">
        <f t="shared" si="2"/>
        <v xml:space="preserve"> </v>
      </c>
      <c r="GI20" s="128" t="str">
        <f t="shared" si="2"/>
        <v xml:space="preserve"> </v>
      </c>
      <c r="GJ20" s="128" t="str">
        <f t="shared" si="2"/>
        <v xml:space="preserve"> </v>
      </c>
      <c r="GK20" s="128" t="str">
        <f t="shared" si="2"/>
        <v xml:space="preserve"> </v>
      </c>
      <c r="GL20" s="128" t="str">
        <f t="shared" si="2"/>
        <v xml:space="preserve"> </v>
      </c>
      <c r="GM20" s="128" t="str">
        <f t="shared" si="2"/>
        <v xml:space="preserve"> </v>
      </c>
      <c r="GN20" s="128" t="str">
        <f t="shared" si="2"/>
        <v xml:space="preserve"> </v>
      </c>
      <c r="GO20" s="128" t="str">
        <f t="shared" si="2"/>
        <v xml:space="preserve"> </v>
      </c>
      <c r="GP20" s="128" t="str">
        <f t="shared" si="2"/>
        <v xml:space="preserve"> </v>
      </c>
      <c r="GQ20" s="128" t="str">
        <f t="shared" si="2"/>
        <v xml:space="preserve"> </v>
      </c>
      <c r="GR20" s="128" t="str">
        <f t="shared" si="2"/>
        <v xml:space="preserve"> </v>
      </c>
      <c r="GS20" s="128" t="str">
        <f t="shared" si="2"/>
        <v xml:space="preserve"> </v>
      </c>
      <c r="GT20" s="128" t="str">
        <f t="shared" si="2"/>
        <v xml:space="preserve"> </v>
      </c>
      <c r="GU20" s="128" t="str">
        <f t="shared" ref="GU20:JF20" si="3">IFERROR(IF(GT20+1&lt;=$D$13,GT20+1,"")," ")</f>
        <v xml:space="preserve"> </v>
      </c>
      <c r="GV20" s="128" t="str">
        <f t="shared" si="3"/>
        <v xml:space="preserve"> </v>
      </c>
      <c r="GW20" s="128" t="str">
        <f t="shared" si="3"/>
        <v xml:space="preserve"> </v>
      </c>
      <c r="GX20" s="128" t="str">
        <f t="shared" si="3"/>
        <v xml:space="preserve"> </v>
      </c>
      <c r="GY20" s="128" t="str">
        <f t="shared" si="3"/>
        <v xml:space="preserve"> </v>
      </c>
      <c r="GZ20" s="128" t="str">
        <f t="shared" si="3"/>
        <v xml:space="preserve"> </v>
      </c>
      <c r="HA20" s="128" t="str">
        <f t="shared" si="3"/>
        <v xml:space="preserve"> </v>
      </c>
      <c r="HB20" s="128" t="str">
        <f t="shared" si="3"/>
        <v xml:space="preserve"> </v>
      </c>
      <c r="HC20" s="128" t="str">
        <f t="shared" si="3"/>
        <v xml:space="preserve"> </v>
      </c>
      <c r="HD20" s="128" t="str">
        <f t="shared" si="3"/>
        <v xml:space="preserve"> </v>
      </c>
      <c r="HE20" s="128" t="str">
        <f t="shared" si="3"/>
        <v xml:space="preserve"> </v>
      </c>
      <c r="HF20" s="128" t="str">
        <f t="shared" si="3"/>
        <v xml:space="preserve"> </v>
      </c>
      <c r="HG20" s="128" t="str">
        <f t="shared" si="3"/>
        <v xml:space="preserve"> </v>
      </c>
      <c r="HH20" s="128" t="str">
        <f t="shared" si="3"/>
        <v xml:space="preserve"> </v>
      </c>
      <c r="HI20" s="128" t="str">
        <f t="shared" si="3"/>
        <v xml:space="preserve"> </v>
      </c>
      <c r="HJ20" s="128" t="str">
        <f t="shared" si="3"/>
        <v xml:space="preserve"> </v>
      </c>
      <c r="HK20" s="128" t="str">
        <f t="shared" si="3"/>
        <v xml:space="preserve"> </v>
      </c>
      <c r="HL20" s="128" t="str">
        <f t="shared" si="3"/>
        <v xml:space="preserve"> </v>
      </c>
      <c r="HM20" s="128" t="str">
        <f t="shared" si="3"/>
        <v xml:space="preserve"> </v>
      </c>
      <c r="HN20" s="128" t="str">
        <f t="shared" si="3"/>
        <v xml:space="preserve"> </v>
      </c>
      <c r="HO20" s="128" t="str">
        <f t="shared" si="3"/>
        <v xml:space="preserve"> </v>
      </c>
      <c r="HP20" s="128" t="str">
        <f t="shared" si="3"/>
        <v xml:space="preserve"> </v>
      </c>
      <c r="HQ20" s="128" t="str">
        <f t="shared" si="3"/>
        <v xml:space="preserve"> </v>
      </c>
      <c r="HR20" s="128" t="str">
        <f t="shared" si="3"/>
        <v xml:space="preserve"> </v>
      </c>
      <c r="HS20" s="128" t="str">
        <f t="shared" si="3"/>
        <v xml:space="preserve"> </v>
      </c>
      <c r="HT20" s="128" t="str">
        <f t="shared" si="3"/>
        <v xml:space="preserve"> </v>
      </c>
      <c r="HU20" s="128" t="str">
        <f t="shared" si="3"/>
        <v xml:space="preserve"> </v>
      </c>
      <c r="HV20" s="128" t="str">
        <f t="shared" si="3"/>
        <v xml:space="preserve"> </v>
      </c>
      <c r="HW20" s="128" t="str">
        <f t="shared" si="3"/>
        <v xml:space="preserve"> </v>
      </c>
      <c r="HX20" s="128" t="str">
        <f t="shared" si="3"/>
        <v xml:space="preserve"> </v>
      </c>
      <c r="HY20" s="128" t="str">
        <f t="shared" si="3"/>
        <v xml:space="preserve"> </v>
      </c>
      <c r="HZ20" s="128" t="str">
        <f t="shared" si="3"/>
        <v xml:space="preserve"> </v>
      </c>
      <c r="IA20" s="128" t="str">
        <f t="shared" si="3"/>
        <v xml:space="preserve"> </v>
      </c>
      <c r="IB20" s="128" t="str">
        <f t="shared" si="3"/>
        <v xml:space="preserve"> </v>
      </c>
      <c r="IC20" s="128" t="str">
        <f t="shared" si="3"/>
        <v xml:space="preserve"> </v>
      </c>
      <c r="ID20" s="128" t="str">
        <f t="shared" si="3"/>
        <v xml:space="preserve"> </v>
      </c>
      <c r="IE20" s="128" t="str">
        <f t="shared" si="3"/>
        <v xml:space="preserve"> </v>
      </c>
      <c r="IF20" s="128" t="str">
        <f t="shared" si="3"/>
        <v xml:space="preserve"> </v>
      </c>
      <c r="IG20" s="128" t="str">
        <f t="shared" si="3"/>
        <v xml:space="preserve"> </v>
      </c>
      <c r="IH20" s="128" t="str">
        <f t="shared" si="3"/>
        <v xml:space="preserve"> </v>
      </c>
      <c r="II20" s="128" t="str">
        <f t="shared" si="3"/>
        <v xml:space="preserve"> </v>
      </c>
      <c r="IJ20" s="128" t="str">
        <f t="shared" si="3"/>
        <v xml:space="preserve"> </v>
      </c>
      <c r="IK20" s="128" t="str">
        <f t="shared" si="3"/>
        <v xml:space="preserve"> </v>
      </c>
      <c r="IL20" s="128" t="str">
        <f t="shared" si="3"/>
        <v xml:space="preserve"> </v>
      </c>
      <c r="IM20" s="128" t="str">
        <f t="shared" si="3"/>
        <v xml:space="preserve"> </v>
      </c>
      <c r="IN20" s="128" t="str">
        <f t="shared" si="3"/>
        <v xml:space="preserve"> </v>
      </c>
      <c r="IO20" s="128" t="str">
        <f t="shared" si="3"/>
        <v xml:space="preserve"> </v>
      </c>
      <c r="IP20" s="128" t="str">
        <f t="shared" si="3"/>
        <v xml:space="preserve"> </v>
      </c>
      <c r="IQ20" s="128" t="str">
        <f t="shared" si="3"/>
        <v xml:space="preserve"> </v>
      </c>
      <c r="IR20" s="128" t="str">
        <f t="shared" si="3"/>
        <v xml:space="preserve"> </v>
      </c>
      <c r="IS20" s="128" t="str">
        <f t="shared" si="3"/>
        <v xml:space="preserve"> </v>
      </c>
      <c r="IT20" s="128" t="str">
        <f t="shared" si="3"/>
        <v xml:space="preserve"> </v>
      </c>
      <c r="IU20" s="128" t="str">
        <f t="shared" si="3"/>
        <v xml:space="preserve"> </v>
      </c>
      <c r="IV20" s="128" t="str">
        <f t="shared" si="3"/>
        <v xml:space="preserve"> </v>
      </c>
      <c r="IW20" s="128" t="str">
        <f t="shared" si="3"/>
        <v xml:space="preserve"> </v>
      </c>
      <c r="IX20" s="128" t="str">
        <f t="shared" si="3"/>
        <v xml:space="preserve"> </v>
      </c>
      <c r="IY20" s="128" t="str">
        <f t="shared" si="3"/>
        <v xml:space="preserve"> </v>
      </c>
      <c r="IZ20" s="128" t="str">
        <f t="shared" si="3"/>
        <v xml:space="preserve"> </v>
      </c>
      <c r="JA20" s="128" t="str">
        <f t="shared" si="3"/>
        <v xml:space="preserve"> </v>
      </c>
      <c r="JB20" s="128" t="str">
        <f t="shared" si="3"/>
        <v xml:space="preserve"> </v>
      </c>
      <c r="JC20" s="128" t="str">
        <f t="shared" si="3"/>
        <v xml:space="preserve"> </v>
      </c>
      <c r="JD20" s="128" t="str">
        <f t="shared" si="3"/>
        <v xml:space="preserve"> </v>
      </c>
      <c r="JE20" s="128" t="str">
        <f t="shared" si="3"/>
        <v xml:space="preserve"> </v>
      </c>
      <c r="JF20" s="128" t="str">
        <f t="shared" si="3"/>
        <v xml:space="preserve"> </v>
      </c>
      <c r="JG20" s="128" t="str">
        <f t="shared" ref="JG20:LR20" si="4">IFERROR(IF(JF20+1&lt;=$D$13,JF20+1,"")," ")</f>
        <v xml:space="preserve"> </v>
      </c>
      <c r="JH20" s="128" t="str">
        <f t="shared" si="4"/>
        <v xml:space="preserve"> </v>
      </c>
      <c r="JI20" s="128" t="str">
        <f t="shared" si="4"/>
        <v xml:space="preserve"> </v>
      </c>
      <c r="JJ20" s="128" t="str">
        <f t="shared" si="4"/>
        <v xml:space="preserve"> </v>
      </c>
      <c r="JK20" s="128" t="str">
        <f t="shared" si="4"/>
        <v xml:space="preserve"> </v>
      </c>
      <c r="JL20" s="128" t="str">
        <f t="shared" si="4"/>
        <v xml:space="preserve"> </v>
      </c>
      <c r="JM20" s="128" t="str">
        <f t="shared" si="4"/>
        <v xml:space="preserve"> </v>
      </c>
      <c r="JN20" s="128" t="str">
        <f t="shared" si="4"/>
        <v xml:space="preserve"> </v>
      </c>
      <c r="JO20" s="128" t="str">
        <f t="shared" si="4"/>
        <v xml:space="preserve"> </v>
      </c>
      <c r="JP20" s="128" t="str">
        <f t="shared" si="4"/>
        <v xml:space="preserve"> </v>
      </c>
      <c r="JQ20" s="128" t="str">
        <f t="shared" si="4"/>
        <v xml:space="preserve"> </v>
      </c>
      <c r="JR20" s="128" t="str">
        <f t="shared" si="4"/>
        <v xml:space="preserve"> </v>
      </c>
      <c r="JS20" s="128" t="str">
        <f t="shared" si="4"/>
        <v xml:space="preserve"> </v>
      </c>
      <c r="JT20" s="128" t="str">
        <f t="shared" si="4"/>
        <v xml:space="preserve"> </v>
      </c>
      <c r="JU20" s="128" t="str">
        <f t="shared" si="4"/>
        <v xml:space="preserve"> </v>
      </c>
      <c r="JV20" s="128" t="str">
        <f t="shared" si="4"/>
        <v xml:space="preserve"> </v>
      </c>
      <c r="JW20" s="128" t="str">
        <f t="shared" si="4"/>
        <v xml:space="preserve"> </v>
      </c>
      <c r="JX20" s="128" t="str">
        <f t="shared" si="4"/>
        <v xml:space="preserve"> </v>
      </c>
      <c r="JY20" s="128" t="str">
        <f t="shared" si="4"/>
        <v xml:space="preserve"> </v>
      </c>
      <c r="JZ20" s="128" t="str">
        <f t="shared" si="4"/>
        <v xml:space="preserve"> </v>
      </c>
      <c r="KA20" s="128" t="str">
        <f t="shared" si="4"/>
        <v xml:space="preserve"> </v>
      </c>
      <c r="KB20" s="128" t="str">
        <f t="shared" si="4"/>
        <v xml:space="preserve"> </v>
      </c>
      <c r="KC20" s="128" t="str">
        <f t="shared" si="4"/>
        <v xml:space="preserve"> </v>
      </c>
      <c r="KD20" s="128" t="str">
        <f t="shared" si="4"/>
        <v xml:space="preserve"> </v>
      </c>
      <c r="KE20" s="128" t="str">
        <f t="shared" si="4"/>
        <v xml:space="preserve"> </v>
      </c>
      <c r="KF20" s="128" t="str">
        <f t="shared" si="4"/>
        <v xml:space="preserve"> </v>
      </c>
      <c r="KG20" s="128" t="str">
        <f t="shared" si="4"/>
        <v xml:space="preserve"> </v>
      </c>
      <c r="KH20" s="128" t="str">
        <f t="shared" si="4"/>
        <v xml:space="preserve"> </v>
      </c>
      <c r="KI20" s="128" t="str">
        <f t="shared" si="4"/>
        <v xml:space="preserve"> </v>
      </c>
      <c r="KJ20" s="128" t="str">
        <f t="shared" si="4"/>
        <v xml:space="preserve"> </v>
      </c>
      <c r="KK20" s="128" t="str">
        <f t="shared" si="4"/>
        <v xml:space="preserve"> </v>
      </c>
      <c r="KL20" s="128" t="str">
        <f t="shared" si="4"/>
        <v xml:space="preserve"> </v>
      </c>
      <c r="KM20" s="128" t="str">
        <f t="shared" si="4"/>
        <v xml:space="preserve"> </v>
      </c>
      <c r="KN20" s="128" t="str">
        <f t="shared" si="4"/>
        <v xml:space="preserve"> </v>
      </c>
      <c r="KO20" s="128" t="str">
        <f t="shared" si="4"/>
        <v xml:space="preserve"> </v>
      </c>
      <c r="KP20" s="128" t="str">
        <f t="shared" si="4"/>
        <v xml:space="preserve"> </v>
      </c>
      <c r="KQ20" s="128" t="str">
        <f t="shared" si="4"/>
        <v xml:space="preserve"> </v>
      </c>
      <c r="KR20" s="128" t="str">
        <f t="shared" si="4"/>
        <v xml:space="preserve"> </v>
      </c>
      <c r="KS20" s="128" t="str">
        <f t="shared" si="4"/>
        <v xml:space="preserve"> </v>
      </c>
      <c r="KT20" s="128" t="str">
        <f t="shared" si="4"/>
        <v xml:space="preserve"> </v>
      </c>
      <c r="KU20" s="128" t="str">
        <f t="shared" si="4"/>
        <v xml:space="preserve"> </v>
      </c>
      <c r="KV20" s="128" t="str">
        <f t="shared" si="4"/>
        <v xml:space="preserve"> </v>
      </c>
      <c r="KW20" s="128" t="str">
        <f t="shared" si="4"/>
        <v xml:space="preserve"> </v>
      </c>
      <c r="KX20" s="128" t="str">
        <f t="shared" si="4"/>
        <v xml:space="preserve"> </v>
      </c>
      <c r="KY20" s="128" t="str">
        <f t="shared" si="4"/>
        <v xml:space="preserve"> </v>
      </c>
      <c r="KZ20" s="128" t="str">
        <f t="shared" si="4"/>
        <v xml:space="preserve"> </v>
      </c>
      <c r="LA20" s="128" t="str">
        <f t="shared" si="4"/>
        <v xml:space="preserve"> </v>
      </c>
      <c r="LB20" s="128" t="str">
        <f t="shared" si="4"/>
        <v xml:space="preserve"> </v>
      </c>
      <c r="LC20" s="128" t="str">
        <f t="shared" si="4"/>
        <v xml:space="preserve"> </v>
      </c>
      <c r="LD20" s="128" t="str">
        <f t="shared" si="4"/>
        <v xml:space="preserve"> </v>
      </c>
      <c r="LE20" s="128" t="str">
        <f t="shared" si="4"/>
        <v xml:space="preserve"> </v>
      </c>
      <c r="LF20" s="128" t="str">
        <f t="shared" si="4"/>
        <v xml:space="preserve"> </v>
      </c>
      <c r="LG20" s="128" t="str">
        <f t="shared" si="4"/>
        <v xml:space="preserve"> </v>
      </c>
      <c r="LH20" s="128" t="str">
        <f t="shared" si="4"/>
        <v xml:space="preserve"> </v>
      </c>
      <c r="LI20" s="128" t="str">
        <f t="shared" si="4"/>
        <v xml:space="preserve"> </v>
      </c>
      <c r="LJ20" s="128" t="str">
        <f t="shared" si="4"/>
        <v xml:space="preserve"> </v>
      </c>
      <c r="LK20" s="128" t="str">
        <f t="shared" si="4"/>
        <v xml:space="preserve"> </v>
      </c>
      <c r="LL20" s="128" t="str">
        <f t="shared" si="4"/>
        <v xml:space="preserve"> </v>
      </c>
      <c r="LM20" s="128" t="str">
        <f t="shared" si="4"/>
        <v xml:space="preserve"> </v>
      </c>
      <c r="LN20" s="128" t="str">
        <f t="shared" si="4"/>
        <v xml:space="preserve"> </v>
      </c>
      <c r="LO20" s="128" t="str">
        <f t="shared" si="4"/>
        <v xml:space="preserve"> </v>
      </c>
      <c r="LP20" s="128" t="str">
        <f t="shared" si="4"/>
        <v xml:space="preserve"> </v>
      </c>
      <c r="LQ20" s="128" t="str">
        <f t="shared" si="4"/>
        <v xml:space="preserve"> </v>
      </c>
      <c r="LR20" s="128" t="str">
        <f t="shared" si="4"/>
        <v xml:space="preserve"> </v>
      </c>
      <c r="LS20" s="128" t="str">
        <f t="shared" ref="LS20:ND20" si="5">IFERROR(IF(LR20+1&lt;=$D$13,LR20+1,"")," ")</f>
        <v xml:space="preserve"> </v>
      </c>
      <c r="LT20" s="128" t="str">
        <f t="shared" si="5"/>
        <v xml:space="preserve"> </v>
      </c>
      <c r="LU20" s="128" t="str">
        <f t="shared" si="5"/>
        <v xml:space="preserve"> </v>
      </c>
      <c r="LV20" s="128" t="str">
        <f t="shared" si="5"/>
        <v xml:space="preserve"> </v>
      </c>
      <c r="LW20" s="128" t="str">
        <f t="shared" si="5"/>
        <v xml:space="preserve"> </v>
      </c>
      <c r="LX20" s="128" t="str">
        <f t="shared" si="5"/>
        <v xml:space="preserve"> </v>
      </c>
      <c r="LY20" s="128" t="str">
        <f t="shared" si="5"/>
        <v xml:space="preserve"> </v>
      </c>
      <c r="LZ20" s="128" t="str">
        <f t="shared" si="5"/>
        <v xml:space="preserve"> </v>
      </c>
      <c r="MA20" s="128" t="str">
        <f t="shared" si="5"/>
        <v xml:space="preserve"> </v>
      </c>
      <c r="MB20" s="128" t="str">
        <f t="shared" si="5"/>
        <v xml:space="preserve"> </v>
      </c>
      <c r="MC20" s="128" t="str">
        <f t="shared" si="5"/>
        <v xml:space="preserve"> </v>
      </c>
      <c r="MD20" s="128" t="str">
        <f t="shared" si="5"/>
        <v xml:space="preserve"> </v>
      </c>
      <c r="ME20" s="128" t="str">
        <f t="shared" si="5"/>
        <v xml:space="preserve"> </v>
      </c>
      <c r="MF20" s="128" t="str">
        <f t="shared" si="5"/>
        <v xml:space="preserve"> </v>
      </c>
      <c r="MG20" s="128" t="str">
        <f t="shared" si="5"/>
        <v xml:space="preserve"> </v>
      </c>
      <c r="MH20" s="128" t="str">
        <f t="shared" si="5"/>
        <v xml:space="preserve"> </v>
      </c>
      <c r="MI20" s="128" t="str">
        <f t="shared" si="5"/>
        <v xml:space="preserve"> </v>
      </c>
      <c r="MJ20" s="128" t="str">
        <f t="shared" si="5"/>
        <v xml:space="preserve"> </v>
      </c>
      <c r="MK20" s="128" t="str">
        <f t="shared" si="5"/>
        <v xml:space="preserve"> </v>
      </c>
      <c r="ML20" s="128" t="str">
        <f t="shared" si="5"/>
        <v xml:space="preserve"> </v>
      </c>
      <c r="MM20" s="128" t="str">
        <f t="shared" si="5"/>
        <v xml:space="preserve"> </v>
      </c>
      <c r="MN20" s="128" t="str">
        <f t="shared" si="5"/>
        <v xml:space="preserve"> </v>
      </c>
      <c r="MO20" s="128" t="str">
        <f t="shared" si="5"/>
        <v xml:space="preserve"> </v>
      </c>
      <c r="MP20" s="128" t="str">
        <f t="shared" si="5"/>
        <v xml:space="preserve"> </v>
      </c>
      <c r="MQ20" s="128" t="str">
        <f t="shared" si="5"/>
        <v xml:space="preserve"> </v>
      </c>
      <c r="MR20" s="128" t="str">
        <f t="shared" si="5"/>
        <v xml:space="preserve"> </v>
      </c>
      <c r="MS20" s="128" t="str">
        <f t="shared" si="5"/>
        <v xml:space="preserve"> </v>
      </c>
      <c r="MT20" s="128" t="str">
        <f t="shared" si="5"/>
        <v xml:space="preserve"> </v>
      </c>
      <c r="MU20" s="128" t="str">
        <f t="shared" si="5"/>
        <v xml:space="preserve"> </v>
      </c>
      <c r="MV20" s="128" t="str">
        <f t="shared" si="5"/>
        <v xml:space="preserve"> </v>
      </c>
      <c r="MW20" s="128" t="str">
        <f t="shared" si="5"/>
        <v xml:space="preserve"> </v>
      </c>
      <c r="MX20" s="128" t="str">
        <f t="shared" si="5"/>
        <v xml:space="preserve"> </v>
      </c>
      <c r="MY20" s="128" t="str">
        <f t="shared" si="5"/>
        <v xml:space="preserve"> </v>
      </c>
      <c r="MZ20" s="128" t="str">
        <f t="shared" si="5"/>
        <v xml:space="preserve"> </v>
      </c>
      <c r="NA20" s="128" t="str">
        <f t="shared" si="5"/>
        <v xml:space="preserve"> </v>
      </c>
      <c r="NB20" s="128" t="str">
        <f t="shared" si="5"/>
        <v xml:space="preserve"> </v>
      </c>
      <c r="NC20" s="128" t="str">
        <f t="shared" si="5"/>
        <v xml:space="preserve"> </v>
      </c>
      <c r="ND20" s="128" t="str">
        <f t="shared" si="5"/>
        <v xml:space="preserve"> </v>
      </c>
      <c r="NE20" s="214"/>
      <c r="NF20" s="214"/>
      <c r="NG20" s="214"/>
      <c r="NH20" s="214"/>
      <c r="NI20" s="214"/>
      <c r="NJ20" s="214"/>
      <c r="NK20" s="214"/>
      <c r="NL20" s="214"/>
      <c r="NM20" s="214"/>
      <c r="NN20" s="214"/>
      <c r="NO20" s="214"/>
      <c r="NP20" s="214"/>
      <c r="NQ20" s="214"/>
      <c r="NR20" s="214"/>
    </row>
    <row r="21" spans="2:382" ht="14" x14ac:dyDescent="0.2">
      <c r="C21" s="76" t="s">
        <v>64</v>
      </c>
      <c r="D21" s="130"/>
      <c r="E21" s="130"/>
      <c r="F21" s="131"/>
      <c r="G21" s="131"/>
      <c r="H21" s="132">
        <f>purchase_date</f>
        <v>46266</v>
      </c>
      <c r="I21" s="132">
        <f>'Monthly P&amp;L'!G8</f>
        <v>46296</v>
      </c>
      <c r="J21" s="132">
        <f>EDATE(I21,1)</f>
        <v>46327</v>
      </c>
      <c r="K21" s="132">
        <f t="shared" ref="K21:BV21" si="6">EDATE(J21,1)</f>
        <v>46357</v>
      </c>
      <c r="L21" s="132">
        <f t="shared" si="6"/>
        <v>46388</v>
      </c>
      <c r="M21" s="132">
        <f t="shared" si="6"/>
        <v>46419</v>
      </c>
      <c r="N21" s="132">
        <f t="shared" si="6"/>
        <v>46447</v>
      </c>
      <c r="O21" s="132">
        <f t="shared" si="6"/>
        <v>46478</v>
      </c>
      <c r="P21" s="132">
        <f t="shared" si="6"/>
        <v>46508</v>
      </c>
      <c r="Q21" s="132">
        <f t="shared" si="6"/>
        <v>46539</v>
      </c>
      <c r="R21" s="132">
        <f t="shared" si="6"/>
        <v>46569</v>
      </c>
      <c r="S21" s="132">
        <f t="shared" si="6"/>
        <v>46600</v>
      </c>
      <c r="T21" s="132">
        <f t="shared" si="6"/>
        <v>46631</v>
      </c>
      <c r="U21" s="132">
        <f t="shared" si="6"/>
        <v>46661</v>
      </c>
      <c r="V21" s="132">
        <f t="shared" si="6"/>
        <v>46692</v>
      </c>
      <c r="W21" s="132">
        <f t="shared" si="6"/>
        <v>46722</v>
      </c>
      <c r="X21" s="132">
        <f t="shared" si="6"/>
        <v>46753</v>
      </c>
      <c r="Y21" s="132">
        <f t="shared" si="6"/>
        <v>46784</v>
      </c>
      <c r="Z21" s="132">
        <f t="shared" si="6"/>
        <v>46813</v>
      </c>
      <c r="AA21" s="132">
        <f t="shared" si="6"/>
        <v>46844</v>
      </c>
      <c r="AB21" s="132">
        <f t="shared" si="6"/>
        <v>46874</v>
      </c>
      <c r="AC21" s="132">
        <f t="shared" si="6"/>
        <v>46905</v>
      </c>
      <c r="AD21" s="132">
        <f t="shared" si="6"/>
        <v>46935</v>
      </c>
      <c r="AE21" s="132">
        <f t="shared" si="6"/>
        <v>46966</v>
      </c>
      <c r="AF21" s="132">
        <f t="shared" si="6"/>
        <v>46997</v>
      </c>
      <c r="AG21" s="132">
        <f t="shared" si="6"/>
        <v>47027</v>
      </c>
      <c r="AH21" s="132">
        <f t="shared" si="6"/>
        <v>47058</v>
      </c>
      <c r="AI21" s="132">
        <f t="shared" si="6"/>
        <v>47088</v>
      </c>
      <c r="AJ21" s="132">
        <f t="shared" si="6"/>
        <v>47119</v>
      </c>
      <c r="AK21" s="132">
        <f t="shared" si="6"/>
        <v>47150</v>
      </c>
      <c r="AL21" s="132">
        <f t="shared" si="6"/>
        <v>47178</v>
      </c>
      <c r="AM21" s="132">
        <f t="shared" si="6"/>
        <v>47209</v>
      </c>
      <c r="AN21" s="132">
        <f t="shared" si="6"/>
        <v>47239</v>
      </c>
      <c r="AO21" s="132">
        <f t="shared" si="6"/>
        <v>47270</v>
      </c>
      <c r="AP21" s="132">
        <f t="shared" si="6"/>
        <v>47300</v>
      </c>
      <c r="AQ21" s="132">
        <f t="shared" si="6"/>
        <v>47331</v>
      </c>
      <c r="AR21" s="132">
        <f t="shared" si="6"/>
        <v>47362</v>
      </c>
      <c r="AS21" s="132">
        <f t="shared" si="6"/>
        <v>47392</v>
      </c>
      <c r="AT21" s="132">
        <f t="shared" si="6"/>
        <v>47423</v>
      </c>
      <c r="AU21" s="132">
        <f t="shared" si="6"/>
        <v>47453</v>
      </c>
      <c r="AV21" s="132">
        <f t="shared" si="6"/>
        <v>47484</v>
      </c>
      <c r="AW21" s="132">
        <f t="shared" si="6"/>
        <v>47515</v>
      </c>
      <c r="AX21" s="132">
        <f t="shared" si="6"/>
        <v>47543</v>
      </c>
      <c r="AY21" s="132">
        <f t="shared" si="6"/>
        <v>47574</v>
      </c>
      <c r="AZ21" s="132">
        <f t="shared" si="6"/>
        <v>47604</v>
      </c>
      <c r="BA21" s="132">
        <f t="shared" si="6"/>
        <v>47635</v>
      </c>
      <c r="BB21" s="132">
        <f t="shared" si="6"/>
        <v>47665</v>
      </c>
      <c r="BC21" s="132">
        <f t="shared" si="6"/>
        <v>47696</v>
      </c>
      <c r="BD21" s="132">
        <f t="shared" si="6"/>
        <v>47727</v>
      </c>
      <c r="BE21" s="132">
        <f t="shared" si="6"/>
        <v>47757</v>
      </c>
      <c r="BF21" s="132">
        <f t="shared" si="6"/>
        <v>47788</v>
      </c>
      <c r="BG21" s="132">
        <f t="shared" si="6"/>
        <v>47818</v>
      </c>
      <c r="BH21" s="132">
        <f t="shared" si="6"/>
        <v>47849</v>
      </c>
      <c r="BI21" s="132">
        <f t="shared" si="6"/>
        <v>47880</v>
      </c>
      <c r="BJ21" s="132">
        <f t="shared" si="6"/>
        <v>47908</v>
      </c>
      <c r="BK21" s="132">
        <f t="shared" si="6"/>
        <v>47939</v>
      </c>
      <c r="BL21" s="132">
        <f t="shared" si="6"/>
        <v>47969</v>
      </c>
      <c r="BM21" s="132">
        <f t="shared" si="6"/>
        <v>48000</v>
      </c>
      <c r="BN21" s="132">
        <f t="shared" si="6"/>
        <v>48030</v>
      </c>
      <c r="BO21" s="132">
        <f t="shared" si="6"/>
        <v>48061</v>
      </c>
      <c r="BP21" s="132">
        <f t="shared" si="6"/>
        <v>48092</v>
      </c>
      <c r="BQ21" s="132">
        <f t="shared" si="6"/>
        <v>48122</v>
      </c>
      <c r="BR21" s="132">
        <f t="shared" si="6"/>
        <v>48153</v>
      </c>
      <c r="BS21" s="132">
        <f t="shared" si="6"/>
        <v>48183</v>
      </c>
      <c r="BT21" s="132">
        <f t="shared" si="6"/>
        <v>48214</v>
      </c>
      <c r="BU21" s="132">
        <f t="shared" si="6"/>
        <v>48245</v>
      </c>
      <c r="BV21" s="132">
        <f t="shared" si="6"/>
        <v>48274</v>
      </c>
      <c r="BW21" s="132">
        <f t="shared" ref="BW21:CN21" si="7">EDATE(BV21,1)</f>
        <v>48305</v>
      </c>
      <c r="BX21" s="132">
        <f t="shared" si="7"/>
        <v>48335</v>
      </c>
      <c r="BY21" s="132">
        <f t="shared" si="7"/>
        <v>48366</v>
      </c>
      <c r="BZ21" s="132">
        <f t="shared" si="7"/>
        <v>48396</v>
      </c>
      <c r="CA21" s="132">
        <f t="shared" si="7"/>
        <v>48427</v>
      </c>
      <c r="CB21" s="132">
        <f t="shared" si="7"/>
        <v>48458</v>
      </c>
      <c r="CC21" s="132">
        <f t="shared" si="7"/>
        <v>48488</v>
      </c>
      <c r="CD21" s="132">
        <f t="shared" si="7"/>
        <v>48519</v>
      </c>
      <c r="CE21" s="132">
        <f t="shared" si="7"/>
        <v>48549</v>
      </c>
      <c r="CF21" s="132">
        <f t="shared" si="7"/>
        <v>48580</v>
      </c>
      <c r="CG21" s="132">
        <f t="shared" si="7"/>
        <v>48611</v>
      </c>
      <c r="CH21" s="132">
        <f t="shared" si="7"/>
        <v>48639</v>
      </c>
      <c r="CI21" s="132">
        <f t="shared" si="7"/>
        <v>48670</v>
      </c>
      <c r="CJ21" s="132">
        <f t="shared" si="7"/>
        <v>48700</v>
      </c>
      <c r="CK21" s="132">
        <f t="shared" si="7"/>
        <v>48731</v>
      </c>
      <c r="CL21" s="132">
        <f t="shared" si="7"/>
        <v>48761</v>
      </c>
      <c r="CM21" s="132">
        <f t="shared" si="7"/>
        <v>48792</v>
      </c>
      <c r="CN21" s="132">
        <f t="shared" si="7"/>
        <v>48823</v>
      </c>
      <c r="CO21" s="132">
        <f t="shared" ref="CO21" si="8">EDATE(CN21,1)</f>
        <v>48853</v>
      </c>
      <c r="CP21" s="132">
        <f t="shared" ref="CP21" si="9">EDATE(CO21,1)</f>
        <v>48884</v>
      </c>
      <c r="CQ21" s="132">
        <f t="shared" ref="CQ21" si="10">EDATE(CP21,1)</f>
        <v>48914</v>
      </c>
      <c r="CR21" s="132">
        <f t="shared" ref="CR21" si="11">EDATE(CQ21,1)</f>
        <v>48945</v>
      </c>
      <c r="CS21" s="132">
        <f t="shared" ref="CS21" si="12">EDATE(CR21,1)</f>
        <v>48976</v>
      </c>
      <c r="CT21" s="132">
        <f t="shared" ref="CT21" si="13">EDATE(CS21,1)</f>
        <v>49004</v>
      </c>
      <c r="CU21" s="132">
        <f t="shared" ref="CU21" si="14">EDATE(CT21,1)</f>
        <v>49035</v>
      </c>
      <c r="CV21" s="132">
        <f t="shared" ref="CV21" si="15">EDATE(CU21,1)</f>
        <v>49065</v>
      </c>
      <c r="CW21" s="132">
        <f t="shared" ref="CW21" si="16">EDATE(CV21,1)</f>
        <v>49096</v>
      </c>
      <c r="CX21" s="132">
        <f t="shared" ref="CX21" si="17">EDATE(CW21,1)</f>
        <v>49126</v>
      </c>
      <c r="CY21" s="132">
        <f t="shared" ref="CY21" si="18">EDATE(CX21,1)</f>
        <v>49157</v>
      </c>
      <c r="CZ21" s="132">
        <f t="shared" ref="CZ21" si="19">EDATE(CY21,1)</f>
        <v>49188</v>
      </c>
      <c r="DA21" s="132">
        <f t="shared" ref="DA21" si="20">EDATE(CZ21,1)</f>
        <v>49218</v>
      </c>
      <c r="DB21" s="132">
        <f t="shared" ref="DB21" si="21">EDATE(DA21,1)</f>
        <v>49249</v>
      </c>
      <c r="DC21" s="132">
        <f t="shared" ref="DC21" si="22">EDATE(DB21,1)</f>
        <v>49279</v>
      </c>
      <c r="DD21" s="132">
        <f t="shared" ref="DD21" si="23">EDATE(DC21,1)</f>
        <v>49310</v>
      </c>
      <c r="DE21" s="132">
        <f t="shared" ref="DE21" si="24">EDATE(DD21,1)</f>
        <v>49341</v>
      </c>
      <c r="DF21" s="132">
        <f t="shared" ref="DF21" si="25">EDATE(DE21,1)</f>
        <v>49369</v>
      </c>
      <c r="DG21" s="132">
        <f t="shared" ref="DG21" si="26">EDATE(DF21,1)</f>
        <v>49400</v>
      </c>
      <c r="DH21" s="132">
        <f t="shared" ref="DH21" si="27">EDATE(DG21,1)</f>
        <v>49430</v>
      </c>
      <c r="DI21" s="132">
        <f t="shared" ref="DI21" si="28">EDATE(DH21,1)</f>
        <v>49461</v>
      </c>
      <c r="DJ21" s="132">
        <f t="shared" ref="DJ21" si="29">EDATE(DI21,1)</f>
        <v>49491</v>
      </c>
      <c r="DK21" s="132">
        <f t="shared" ref="DK21" si="30">EDATE(DJ21,1)</f>
        <v>49522</v>
      </c>
      <c r="DL21" s="132">
        <f t="shared" ref="DL21" si="31">EDATE(DK21,1)</f>
        <v>49553</v>
      </c>
      <c r="DM21" s="132">
        <f t="shared" ref="DM21" si="32">EDATE(DL21,1)</f>
        <v>49583</v>
      </c>
      <c r="DN21" s="132">
        <f t="shared" ref="DN21" si="33">EDATE(DM21,1)</f>
        <v>49614</v>
      </c>
      <c r="DO21" s="132">
        <f t="shared" ref="DO21" si="34">EDATE(DN21,1)</f>
        <v>49644</v>
      </c>
      <c r="DP21" s="132">
        <f t="shared" ref="DP21" si="35">EDATE(DO21,1)</f>
        <v>49675</v>
      </c>
      <c r="DQ21" s="132">
        <f t="shared" ref="DQ21" si="36">EDATE(DP21,1)</f>
        <v>49706</v>
      </c>
      <c r="DR21" s="132">
        <f t="shared" ref="DR21" si="37">EDATE(DQ21,1)</f>
        <v>49735</v>
      </c>
      <c r="DS21" s="132">
        <f t="shared" ref="DS21" si="38">EDATE(DR21,1)</f>
        <v>49766</v>
      </c>
      <c r="DT21" s="132">
        <f t="shared" ref="DT21" si="39">EDATE(DS21,1)</f>
        <v>49796</v>
      </c>
      <c r="DU21" s="132">
        <f t="shared" ref="DU21" si="40">EDATE(DT21,1)</f>
        <v>49827</v>
      </c>
      <c r="DV21" s="132">
        <f t="shared" ref="DV21" si="41">EDATE(DU21,1)</f>
        <v>49857</v>
      </c>
      <c r="DW21" s="132">
        <f t="shared" ref="DW21" si="42">EDATE(DV21,1)</f>
        <v>49888</v>
      </c>
      <c r="DX21" s="132">
        <f t="shared" ref="DX21" si="43">EDATE(DW21,1)</f>
        <v>49919</v>
      </c>
      <c r="DY21" s="132">
        <f t="shared" ref="DY21" si="44">EDATE(DX21,1)</f>
        <v>49949</v>
      </c>
      <c r="DZ21" s="132">
        <f t="shared" ref="DZ21" si="45">EDATE(DY21,1)</f>
        <v>49980</v>
      </c>
      <c r="EA21" s="132">
        <f t="shared" ref="EA21" si="46">EDATE(DZ21,1)</f>
        <v>50010</v>
      </c>
      <c r="EB21" s="132">
        <f t="shared" ref="EB21" si="47">EDATE(EA21,1)</f>
        <v>50041</v>
      </c>
      <c r="EC21" s="132">
        <f t="shared" ref="EC21" si="48">EDATE(EB21,1)</f>
        <v>50072</v>
      </c>
      <c r="ED21" s="132">
        <f t="shared" ref="ED21" si="49">EDATE(EC21,1)</f>
        <v>50100</v>
      </c>
      <c r="EE21" s="132">
        <f t="shared" ref="EE21" si="50">EDATE(ED21,1)</f>
        <v>50131</v>
      </c>
      <c r="EF21" s="132">
        <f t="shared" ref="EF21" si="51">EDATE(EE21,1)</f>
        <v>50161</v>
      </c>
      <c r="EG21" s="132">
        <f t="shared" ref="EG21" si="52">EDATE(EF21,1)</f>
        <v>50192</v>
      </c>
      <c r="EH21" s="132">
        <f t="shared" ref="EH21" si="53">EDATE(EG21,1)</f>
        <v>50222</v>
      </c>
      <c r="EI21" s="132">
        <f t="shared" ref="EI21" si="54">EDATE(EH21,1)</f>
        <v>50253</v>
      </c>
      <c r="EJ21" s="132">
        <f t="shared" ref="EJ21" si="55">EDATE(EI21,1)</f>
        <v>50284</v>
      </c>
      <c r="EK21" s="132">
        <f t="shared" ref="EK21" si="56">EDATE(EJ21,1)</f>
        <v>50314</v>
      </c>
      <c r="EL21" s="132">
        <f t="shared" ref="EL21" si="57">EDATE(EK21,1)</f>
        <v>50345</v>
      </c>
      <c r="EM21" s="132">
        <f t="shared" ref="EM21" si="58">EDATE(EL21,1)</f>
        <v>50375</v>
      </c>
      <c r="EN21" s="132">
        <f t="shared" ref="EN21" si="59">EDATE(EM21,1)</f>
        <v>50406</v>
      </c>
      <c r="EO21" s="132">
        <f t="shared" ref="EO21" si="60">EDATE(EN21,1)</f>
        <v>50437</v>
      </c>
      <c r="EP21" s="132">
        <f t="shared" ref="EP21" si="61">EDATE(EO21,1)</f>
        <v>50465</v>
      </c>
      <c r="EQ21" s="132">
        <f t="shared" ref="EQ21" si="62">EDATE(EP21,1)</f>
        <v>50496</v>
      </c>
      <c r="ER21" s="132">
        <f t="shared" ref="ER21" si="63">EDATE(EQ21,1)</f>
        <v>50526</v>
      </c>
      <c r="ES21" s="132">
        <f t="shared" ref="ES21" si="64">EDATE(ER21,1)</f>
        <v>50557</v>
      </c>
      <c r="ET21" s="132">
        <f t="shared" ref="ET21" si="65">EDATE(ES21,1)</f>
        <v>50587</v>
      </c>
      <c r="EU21" s="132">
        <f t="shared" ref="EU21" si="66">EDATE(ET21,1)</f>
        <v>50618</v>
      </c>
      <c r="EV21" s="132">
        <f t="shared" ref="EV21" si="67">EDATE(EU21,1)</f>
        <v>50649</v>
      </c>
      <c r="EW21" s="132">
        <f t="shared" ref="EW21" si="68">EDATE(EV21,1)</f>
        <v>50679</v>
      </c>
      <c r="EX21" s="132">
        <f t="shared" ref="EX21" si="69">EDATE(EW21,1)</f>
        <v>50710</v>
      </c>
      <c r="EY21" s="132">
        <f t="shared" ref="EY21" si="70">EDATE(EX21,1)</f>
        <v>50740</v>
      </c>
      <c r="EZ21" s="132">
        <f t="shared" ref="EZ21" si="71">EDATE(EY21,1)</f>
        <v>50771</v>
      </c>
      <c r="FA21" s="132">
        <f t="shared" ref="FA21" si="72">EDATE(EZ21,1)</f>
        <v>50802</v>
      </c>
      <c r="FB21" s="132">
        <f t="shared" ref="FB21" si="73">EDATE(FA21,1)</f>
        <v>50830</v>
      </c>
      <c r="FC21" s="132">
        <f t="shared" ref="FC21" si="74">EDATE(FB21,1)</f>
        <v>50861</v>
      </c>
      <c r="FD21" s="132">
        <f t="shared" ref="FD21" si="75">EDATE(FC21,1)</f>
        <v>50891</v>
      </c>
      <c r="FE21" s="132">
        <f t="shared" ref="FE21" si="76">EDATE(FD21,1)</f>
        <v>50922</v>
      </c>
      <c r="FF21" s="132">
        <f t="shared" ref="FF21" si="77">EDATE(FE21,1)</f>
        <v>50952</v>
      </c>
      <c r="FG21" s="132">
        <f t="shared" ref="FG21" si="78">EDATE(FF21,1)</f>
        <v>50983</v>
      </c>
      <c r="FH21" s="132">
        <f t="shared" ref="FH21" si="79">EDATE(FG21,1)</f>
        <v>51014</v>
      </c>
      <c r="FI21" s="132">
        <f t="shared" ref="FI21" si="80">EDATE(FH21,1)</f>
        <v>51044</v>
      </c>
      <c r="FJ21" s="132">
        <f t="shared" ref="FJ21" si="81">EDATE(FI21,1)</f>
        <v>51075</v>
      </c>
      <c r="FK21" s="132">
        <f t="shared" ref="FK21" si="82">EDATE(FJ21,1)</f>
        <v>51105</v>
      </c>
      <c r="FL21" s="132">
        <f t="shared" ref="FL21" si="83">EDATE(FK21,1)</f>
        <v>51136</v>
      </c>
      <c r="FM21" s="132">
        <f t="shared" ref="FM21" si="84">EDATE(FL21,1)</f>
        <v>51167</v>
      </c>
      <c r="FN21" s="132">
        <f t="shared" ref="FN21" si="85">EDATE(FM21,1)</f>
        <v>51196</v>
      </c>
      <c r="FO21" s="132">
        <f t="shared" ref="FO21" si="86">EDATE(FN21,1)</f>
        <v>51227</v>
      </c>
      <c r="FP21" s="132">
        <f t="shared" ref="FP21" si="87">EDATE(FO21,1)</f>
        <v>51257</v>
      </c>
      <c r="FQ21" s="132">
        <f t="shared" ref="FQ21" si="88">EDATE(FP21,1)</f>
        <v>51288</v>
      </c>
      <c r="FR21" s="132">
        <f t="shared" ref="FR21" si="89">EDATE(FQ21,1)</f>
        <v>51318</v>
      </c>
      <c r="FS21" s="132">
        <f t="shared" ref="FS21" si="90">EDATE(FR21,1)</f>
        <v>51349</v>
      </c>
      <c r="FT21" s="132">
        <f t="shared" ref="FT21" si="91">EDATE(FS21,1)</f>
        <v>51380</v>
      </c>
      <c r="FU21" s="132">
        <f t="shared" ref="FU21" si="92">EDATE(FT21,1)</f>
        <v>51410</v>
      </c>
      <c r="FV21" s="132">
        <f t="shared" ref="FV21" si="93">EDATE(FU21,1)</f>
        <v>51441</v>
      </c>
      <c r="FW21" s="132">
        <f t="shared" ref="FW21" si="94">EDATE(FV21,1)</f>
        <v>51471</v>
      </c>
      <c r="FX21" s="132">
        <f t="shared" ref="FX21" si="95">EDATE(FW21,1)</f>
        <v>51502</v>
      </c>
      <c r="FY21" s="132">
        <f t="shared" ref="FY21" si="96">EDATE(FX21,1)</f>
        <v>51533</v>
      </c>
      <c r="FZ21" s="132">
        <f t="shared" ref="FZ21" si="97">EDATE(FY21,1)</f>
        <v>51561</v>
      </c>
      <c r="GA21" s="132">
        <f t="shared" ref="GA21" si="98">EDATE(FZ21,1)</f>
        <v>51592</v>
      </c>
      <c r="GB21" s="132">
        <f t="shared" ref="GB21" si="99">EDATE(GA21,1)</f>
        <v>51622</v>
      </c>
      <c r="GC21" s="132">
        <f t="shared" ref="GC21" si="100">EDATE(GB21,1)</f>
        <v>51653</v>
      </c>
      <c r="GD21" s="132">
        <f t="shared" ref="GD21" si="101">EDATE(GC21,1)</f>
        <v>51683</v>
      </c>
      <c r="GE21" s="132">
        <f t="shared" ref="GE21" si="102">EDATE(GD21,1)</f>
        <v>51714</v>
      </c>
      <c r="GF21" s="132">
        <f t="shared" ref="GF21" si="103">EDATE(GE21,1)</f>
        <v>51745</v>
      </c>
      <c r="GG21" s="132">
        <f t="shared" ref="GG21" si="104">EDATE(GF21,1)</f>
        <v>51775</v>
      </c>
      <c r="GH21" s="132">
        <f t="shared" ref="GH21" si="105">EDATE(GG21,1)</f>
        <v>51806</v>
      </c>
      <c r="GI21" s="132">
        <f t="shared" ref="GI21" si="106">EDATE(GH21,1)</f>
        <v>51836</v>
      </c>
      <c r="GJ21" s="132">
        <f t="shared" ref="GJ21" si="107">EDATE(GI21,1)</f>
        <v>51867</v>
      </c>
      <c r="GK21" s="132">
        <f t="shared" ref="GK21" si="108">EDATE(GJ21,1)</f>
        <v>51898</v>
      </c>
      <c r="GL21" s="132">
        <f t="shared" ref="GL21" si="109">EDATE(GK21,1)</f>
        <v>51926</v>
      </c>
      <c r="GM21" s="132">
        <f t="shared" ref="GM21" si="110">EDATE(GL21,1)</f>
        <v>51957</v>
      </c>
      <c r="GN21" s="132">
        <f t="shared" ref="GN21" si="111">EDATE(GM21,1)</f>
        <v>51987</v>
      </c>
      <c r="GO21" s="132">
        <f t="shared" ref="GO21" si="112">EDATE(GN21,1)</f>
        <v>52018</v>
      </c>
      <c r="GP21" s="132">
        <f t="shared" ref="GP21" si="113">EDATE(GO21,1)</f>
        <v>52048</v>
      </c>
      <c r="GQ21" s="132">
        <f t="shared" ref="GQ21" si="114">EDATE(GP21,1)</f>
        <v>52079</v>
      </c>
      <c r="GR21" s="132">
        <f t="shared" ref="GR21" si="115">EDATE(GQ21,1)</f>
        <v>52110</v>
      </c>
      <c r="GS21" s="132">
        <f t="shared" ref="GS21" si="116">EDATE(GR21,1)</f>
        <v>52140</v>
      </c>
      <c r="GT21" s="132">
        <f t="shared" ref="GT21" si="117">EDATE(GS21,1)</f>
        <v>52171</v>
      </c>
      <c r="GU21" s="132">
        <f t="shared" ref="GU21" si="118">EDATE(GT21,1)</f>
        <v>52201</v>
      </c>
      <c r="GV21" s="132">
        <f t="shared" ref="GV21" si="119">EDATE(GU21,1)</f>
        <v>52232</v>
      </c>
      <c r="GW21" s="132">
        <f t="shared" ref="GW21" si="120">EDATE(GV21,1)</f>
        <v>52263</v>
      </c>
      <c r="GX21" s="132">
        <f t="shared" ref="GX21" si="121">EDATE(GW21,1)</f>
        <v>52291</v>
      </c>
      <c r="GY21" s="132">
        <f t="shared" ref="GY21" si="122">EDATE(GX21,1)</f>
        <v>52322</v>
      </c>
      <c r="GZ21" s="132">
        <f t="shared" ref="GZ21" si="123">EDATE(GY21,1)</f>
        <v>52352</v>
      </c>
      <c r="HA21" s="132">
        <f t="shared" ref="HA21" si="124">EDATE(GZ21,1)</f>
        <v>52383</v>
      </c>
      <c r="HB21" s="132">
        <f t="shared" ref="HB21" si="125">EDATE(HA21,1)</f>
        <v>52413</v>
      </c>
      <c r="HC21" s="132">
        <f t="shared" ref="HC21" si="126">EDATE(HB21,1)</f>
        <v>52444</v>
      </c>
      <c r="HD21" s="132">
        <f t="shared" ref="HD21" si="127">EDATE(HC21,1)</f>
        <v>52475</v>
      </c>
      <c r="HE21" s="132">
        <f t="shared" ref="HE21" si="128">EDATE(HD21,1)</f>
        <v>52505</v>
      </c>
      <c r="HF21" s="132">
        <f t="shared" ref="HF21" si="129">EDATE(HE21,1)</f>
        <v>52536</v>
      </c>
      <c r="HG21" s="132">
        <f t="shared" ref="HG21" si="130">EDATE(HF21,1)</f>
        <v>52566</v>
      </c>
      <c r="HH21" s="132">
        <f t="shared" ref="HH21" si="131">EDATE(HG21,1)</f>
        <v>52597</v>
      </c>
      <c r="HI21" s="132">
        <f t="shared" ref="HI21" si="132">EDATE(HH21,1)</f>
        <v>52628</v>
      </c>
      <c r="HJ21" s="132">
        <f t="shared" ref="HJ21" si="133">EDATE(HI21,1)</f>
        <v>52657</v>
      </c>
      <c r="HK21" s="132">
        <f t="shared" ref="HK21" si="134">EDATE(HJ21,1)</f>
        <v>52688</v>
      </c>
      <c r="HL21" s="132">
        <f t="shared" ref="HL21" si="135">EDATE(HK21,1)</f>
        <v>52718</v>
      </c>
      <c r="HM21" s="132">
        <f t="shared" ref="HM21" si="136">EDATE(HL21,1)</f>
        <v>52749</v>
      </c>
      <c r="HN21" s="132">
        <f t="shared" ref="HN21" si="137">EDATE(HM21,1)</f>
        <v>52779</v>
      </c>
      <c r="HO21" s="132">
        <f t="shared" ref="HO21" si="138">EDATE(HN21,1)</f>
        <v>52810</v>
      </c>
      <c r="HP21" s="132">
        <f t="shared" ref="HP21" si="139">EDATE(HO21,1)</f>
        <v>52841</v>
      </c>
      <c r="HQ21" s="132">
        <f t="shared" ref="HQ21" si="140">EDATE(HP21,1)</f>
        <v>52871</v>
      </c>
      <c r="HR21" s="132">
        <f t="shared" ref="HR21" si="141">EDATE(HQ21,1)</f>
        <v>52902</v>
      </c>
      <c r="HS21" s="132">
        <f t="shared" ref="HS21" si="142">EDATE(HR21,1)</f>
        <v>52932</v>
      </c>
      <c r="HT21" s="132">
        <f t="shared" ref="HT21" si="143">EDATE(HS21,1)</f>
        <v>52963</v>
      </c>
      <c r="HU21" s="132">
        <f t="shared" ref="HU21" si="144">EDATE(HT21,1)</f>
        <v>52994</v>
      </c>
      <c r="HV21" s="132">
        <f t="shared" ref="HV21" si="145">EDATE(HU21,1)</f>
        <v>53022</v>
      </c>
      <c r="HW21" s="132">
        <f t="shared" ref="HW21" si="146">EDATE(HV21,1)</f>
        <v>53053</v>
      </c>
      <c r="HX21" s="132">
        <f t="shared" ref="HX21" si="147">EDATE(HW21,1)</f>
        <v>53083</v>
      </c>
      <c r="HY21" s="132">
        <f t="shared" ref="HY21" si="148">EDATE(HX21,1)</f>
        <v>53114</v>
      </c>
      <c r="HZ21" s="132">
        <f t="shared" ref="HZ21" si="149">EDATE(HY21,1)</f>
        <v>53144</v>
      </c>
      <c r="IA21" s="132">
        <f t="shared" ref="IA21" si="150">EDATE(HZ21,1)</f>
        <v>53175</v>
      </c>
      <c r="IB21" s="132">
        <f t="shared" ref="IB21" si="151">EDATE(IA21,1)</f>
        <v>53206</v>
      </c>
      <c r="IC21" s="132">
        <f t="shared" ref="IC21" si="152">EDATE(IB21,1)</f>
        <v>53236</v>
      </c>
      <c r="ID21" s="132">
        <f t="shared" ref="ID21" si="153">EDATE(IC21,1)</f>
        <v>53267</v>
      </c>
      <c r="IE21" s="132">
        <f t="shared" ref="IE21" si="154">EDATE(ID21,1)</f>
        <v>53297</v>
      </c>
      <c r="IF21" s="132">
        <f t="shared" ref="IF21" si="155">EDATE(IE21,1)</f>
        <v>53328</v>
      </c>
      <c r="IG21" s="132">
        <f t="shared" ref="IG21" si="156">EDATE(IF21,1)</f>
        <v>53359</v>
      </c>
      <c r="IH21" s="132">
        <f t="shared" ref="IH21" si="157">EDATE(IG21,1)</f>
        <v>53387</v>
      </c>
      <c r="II21" s="132">
        <f t="shared" ref="II21" si="158">EDATE(IH21,1)</f>
        <v>53418</v>
      </c>
      <c r="IJ21" s="132">
        <f t="shared" ref="IJ21" si="159">EDATE(II21,1)</f>
        <v>53448</v>
      </c>
      <c r="IK21" s="132">
        <f t="shared" ref="IK21" si="160">EDATE(IJ21,1)</f>
        <v>53479</v>
      </c>
      <c r="IL21" s="132">
        <f t="shared" ref="IL21" si="161">EDATE(IK21,1)</f>
        <v>53509</v>
      </c>
      <c r="IM21" s="132">
        <f t="shared" ref="IM21" si="162">EDATE(IL21,1)</f>
        <v>53540</v>
      </c>
      <c r="IN21" s="132">
        <f t="shared" ref="IN21" si="163">EDATE(IM21,1)</f>
        <v>53571</v>
      </c>
      <c r="IO21" s="132">
        <f t="shared" ref="IO21" si="164">EDATE(IN21,1)</f>
        <v>53601</v>
      </c>
      <c r="IP21" s="132">
        <f t="shared" ref="IP21" si="165">EDATE(IO21,1)</f>
        <v>53632</v>
      </c>
      <c r="IQ21" s="132">
        <f t="shared" ref="IQ21" si="166">EDATE(IP21,1)</f>
        <v>53662</v>
      </c>
      <c r="IR21" s="132">
        <f t="shared" ref="IR21" si="167">EDATE(IQ21,1)</f>
        <v>53693</v>
      </c>
      <c r="IS21" s="132">
        <f t="shared" ref="IS21" si="168">EDATE(IR21,1)</f>
        <v>53724</v>
      </c>
      <c r="IT21" s="132">
        <f t="shared" ref="IT21" si="169">EDATE(IS21,1)</f>
        <v>53752</v>
      </c>
      <c r="IU21" s="132">
        <f t="shared" ref="IU21" si="170">EDATE(IT21,1)</f>
        <v>53783</v>
      </c>
      <c r="IV21" s="132">
        <f t="shared" ref="IV21" si="171">EDATE(IU21,1)</f>
        <v>53813</v>
      </c>
      <c r="IW21" s="132">
        <f t="shared" ref="IW21" si="172">EDATE(IV21,1)</f>
        <v>53844</v>
      </c>
      <c r="IX21" s="132">
        <f t="shared" ref="IX21" si="173">EDATE(IW21,1)</f>
        <v>53874</v>
      </c>
      <c r="IY21" s="132">
        <f t="shared" ref="IY21" si="174">EDATE(IX21,1)</f>
        <v>53905</v>
      </c>
      <c r="IZ21" s="132">
        <f t="shared" ref="IZ21" si="175">EDATE(IY21,1)</f>
        <v>53936</v>
      </c>
      <c r="JA21" s="132">
        <f t="shared" ref="JA21" si="176">EDATE(IZ21,1)</f>
        <v>53966</v>
      </c>
      <c r="JB21" s="132">
        <f t="shared" ref="JB21" si="177">EDATE(JA21,1)</f>
        <v>53997</v>
      </c>
      <c r="JC21" s="132">
        <f t="shared" ref="JC21" si="178">EDATE(JB21,1)</f>
        <v>54027</v>
      </c>
      <c r="JD21" s="132">
        <f t="shared" ref="JD21" si="179">EDATE(JC21,1)</f>
        <v>54058</v>
      </c>
      <c r="JE21" s="132">
        <f t="shared" ref="JE21" si="180">EDATE(JD21,1)</f>
        <v>54089</v>
      </c>
      <c r="JF21" s="132">
        <f t="shared" ref="JF21" si="181">EDATE(JE21,1)</f>
        <v>54118</v>
      </c>
      <c r="JG21" s="132">
        <f t="shared" ref="JG21" si="182">EDATE(JF21,1)</f>
        <v>54149</v>
      </c>
      <c r="JH21" s="132">
        <f t="shared" ref="JH21" si="183">EDATE(JG21,1)</f>
        <v>54179</v>
      </c>
      <c r="JI21" s="132">
        <f t="shared" ref="JI21" si="184">EDATE(JH21,1)</f>
        <v>54210</v>
      </c>
      <c r="JJ21" s="132">
        <f t="shared" ref="JJ21" si="185">EDATE(JI21,1)</f>
        <v>54240</v>
      </c>
      <c r="JK21" s="132">
        <f t="shared" ref="JK21" si="186">EDATE(JJ21,1)</f>
        <v>54271</v>
      </c>
      <c r="JL21" s="132">
        <f t="shared" ref="JL21" si="187">EDATE(JK21,1)</f>
        <v>54302</v>
      </c>
      <c r="JM21" s="132">
        <f t="shared" ref="JM21" si="188">EDATE(JL21,1)</f>
        <v>54332</v>
      </c>
      <c r="JN21" s="132">
        <f t="shared" ref="JN21" si="189">EDATE(JM21,1)</f>
        <v>54363</v>
      </c>
      <c r="JO21" s="132">
        <f t="shared" ref="JO21" si="190">EDATE(JN21,1)</f>
        <v>54393</v>
      </c>
      <c r="JP21" s="132">
        <f t="shared" ref="JP21" si="191">EDATE(JO21,1)</f>
        <v>54424</v>
      </c>
      <c r="JQ21" s="132">
        <f t="shared" ref="JQ21" si="192">EDATE(JP21,1)</f>
        <v>54455</v>
      </c>
      <c r="JR21" s="132">
        <f t="shared" ref="JR21" si="193">EDATE(JQ21,1)</f>
        <v>54483</v>
      </c>
      <c r="JS21" s="132">
        <f t="shared" ref="JS21" si="194">EDATE(JR21,1)</f>
        <v>54514</v>
      </c>
      <c r="JT21" s="132">
        <f t="shared" ref="JT21" si="195">EDATE(JS21,1)</f>
        <v>54544</v>
      </c>
      <c r="JU21" s="132">
        <f t="shared" ref="JU21" si="196">EDATE(JT21,1)</f>
        <v>54575</v>
      </c>
      <c r="JV21" s="132">
        <f t="shared" ref="JV21" si="197">EDATE(JU21,1)</f>
        <v>54605</v>
      </c>
      <c r="JW21" s="132">
        <f t="shared" ref="JW21" si="198">EDATE(JV21,1)</f>
        <v>54636</v>
      </c>
      <c r="JX21" s="132">
        <f t="shared" ref="JX21" si="199">EDATE(JW21,1)</f>
        <v>54667</v>
      </c>
      <c r="JY21" s="132">
        <f t="shared" ref="JY21" si="200">EDATE(JX21,1)</f>
        <v>54697</v>
      </c>
      <c r="JZ21" s="132">
        <f t="shared" ref="JZ21" si="201">EDATE(JY21,1)</f>
        <v>54728</v>
      </c>
      <c r="KA21" s="132">
        <f t="shared" ref="KA21" si="202">EDATE(JZ21,1)</f>
        <v>54758</v>
      </c>
      <c r="KB21" s="132">
        <f t="shared" ref="KB21" si="203">EDATE(KA21,1)</f>
        <v>54789</v>
      </c>
      <c r="KC21" s="132">
        <f t="shared" ref="KC21" si="204">EDATE(KB21,1)</f>
        <v>54820</v>
      </c>
      <c r="KD21" s="132">
        <f t="shared" ref="KD21" si="205">EDATE(KC21,1)</f>
        <v>54848</v>
      </c>
      <c r="KE21" s="132">
        <f t="shared" ref="KE21" si="206">EDATE(KD21,1)</f>
        <v>54879</v>
      </c>
      <c r="KF21" s="132">
        <f t="shared" ref="KF21" si="207">EDATE(KE21,1)</f>
        <v>54909</v>
      </c>
      <c r="KG21" s="132">
        <f t="shared" ref="KG21" si="208">EDATE(KF21,1)</f>
        <v>54940</v>
      </c>
      <c r="KH21" s="132">
        <f t="shared" ref="KH21" si="209">EDATE(KG21,1)</f>
        <v>54970</v>
      </c>
      <c r="KI21" s="132">
        <f t="shared" ref="KI21" si="210">EDATE(KH21,1)</f>
        <v>55001</v>
      </c>
      <c r="KJ21" s="132">
        <f t="shared" ref="KJ21" si="211">EDATE(KI21,1)</f>
        <v>55032</v>
      </c>
      <c r="KK21" s="132">
        <f t="shared" ref="KK21" si="212">EDATE(KJ21,1)</f>
        <v>55062</v>
      </c>
      <c r="KL21" s="132">
        <f t="shared" ref="KL21" si="213">EDATE(KK21,1)</f>
        <v>55093</v>
      </c>
      <c r="KM21" s="132">
        <f t="shared" ref="KM21" si="214">EDATE(KL21,1)</f>
        <v>55123</v>
      </c>
      <c r="KN21" s="132">
        <f t="shared" ref="KN21" si="215">EDATE(KM21,1)</f>
        <v>55154</v>
      </c>
      <c r="KO21" s="132">
        <f t="shared" ref="KO21" si="216">EDATE(KN21,1)</f>
        <v>55185</v>
      </c>
      <c r="KP21" s="132">
        <f t="shared" ref="KP21" si="217">EDATE(KO21,1)</f>
        <v>55213</v>
      </c>
      <c r="KQ21" s="132">
        <f t="shared" ref="KQ21" si="218">EDATE(KP21,1)</f>
        <v>55244</v>
      </c>
      <c r="KR21" s="132">
        <f t="shared" ref="KR21" si="219">EDATE(KQ21,1)</f>
        <v>55274</v>
      </c>
      <c r="KS21" s="132">
        <f t="shared" ref="KS21" si="220">EDATE(KR21,1)</f>
        <v>55305</v>
      </c>
      <c r="KT21" s="132">
        <f t="shared" ref="KT21" si="221">EDATE(KS21,1)</f>
        <v>55335</v>
      </c>
      <c r="KU21" s="132">
        <f t="shared" ref="KU21" si="222">EDATE(KT21,1)</f>
        <v>55366</v>
      </c>
      <c r="KV21" s="132">
        <f t="shared" ref="KV21" si="223">EDATE(KU21,1)</f>
        <v>55397</v>
      </c>
      <c r="KW21" s="132">
        <f t="shared" ref="KW21" si="224">EDATE(KV21,1)</f>
        <v>55427</v>
      </c>
      <c r="KX21" s="132">
        <f t="shared" ref="KX21" si="225">EDATE(KW21,1)</f>
        <v>55458</v>
      </c>
      <c r="KY21" s="132">
        <f t="shared" ref="KY21" si="226">EDATE(KX21,1)</f>
        <v>55488</v>
      </c>
      <c r="KZ21" s="132">
        <f t="shared" ref="KZ21" si="227">EDATE(KY21,1)</f>
        <v>55519</v>
      </c>
      <c r="LA21" s="132">
        <f t="shared" ref="LA21" si="228">EDATE(KZ21,1)</f>
        <v>55550</v>
      </c>
      <c r="LB21" s="132">
        <f t="shared" ref="LB21" si="229">EDATE(LA21,1)</f>
        <v>55579</v>
      </c>
      <c r="LC21" s="132">
        <f t="shared" ref="LC21" si="230">EDATE(LB21,1)</f>
        <v>55610</v>
      </c>
      <c r="LD21" s="132">
        <f t="shared" ref="LD21" si="231">EDATE(LC21,1)</f>
        <v>55640</v>
      </c>
      <c r="LE21" s="132">
        <f t="shared" ref="LE21" si="232">EDATE(LD21,1)</f>
        <v>55671</v>
      </c>
      <c r="LF21" s="132">
        <f t="shared" ref="LF21" si="233">EDATE(LE21,1)</f>
        <v>55701</v>
      </c>
      <c r="LG21" s="132">
        <f t="shared" ref="LG21" si="234">EDATE(LF21,1)</f>
        <v>55732</v>
      </c>
      <c r="LH21" s="132">
        <f t="shared" ref="LH21" si="235">EDATE(LG21,1)</f>
        <v>55763</v>
      </c>
      <c r="LI21" s="132">
        <f t="shared" ref="LI21" si="236">EDATE(LH21,1)</f>
        <v>55793</v>
      </c>
      <c r="LJ21" s="132">
        <f t="shared" ref="LJ21" si="237">EDATE(LI21,1)</f>
        <v>55824</v>
      </c>
      <c r="LK21" s="132">
        <f t="shared" ref="LK21" si="238">EDATE(LJ21,1)</f>
        <v>55854</v>
      </c>
      <c r="LL21" s="132">
        <f t="shared" ref="LL21" si="239">EDATE(LK21,1)</f>
        <v>55885</v>
      </c>
      <c r="LM21" s="132">
        <f t="shared" ref="LM21" si="240">EDATE(LL21,1)</f>
        <v>55916</v>
      </c>
      <c r="LN21" s="132">
        <f t="shared" ref="LN21" si="241">EDATE(LM21,1)</f>
        <v>55944</v>
      </c>
      <c r="LO21" s="132">
        <f t="shared" ref="LO21" si="242">EDATE(LN21,1)</f>
        <v>55975</v>
      </c>
      <c r="LP21" s="132">
        <f t="shared" ref="LP21" si="243">EDATE(LO21,1)</f>
        <v>56005</v>
      </c>
      <c r="LQ21" s="132">
        <f t="shared" ref="LQ21" si="244">EDATE(LP21,1)</f>
        <v>56036</v>
      </c>
      <c r="LR21" s="132">
        <f t="shared" ref="LR21" si="245">EDATE(LQ21,1)</f>
        <v>56066</v>
      </c>
      <c r="LS21" s="132">
        <f t="shared" ref="LS21" si="246">EDATE(LR21,1)</f>
        <v>56097</v>
      </c>
      <c r="LT21" s="132">
        <f t="shared" ref="LT21" si="247">EDATE(LS21,1)</f>
        <v>56128</v>
      </c>
      <c r="LU21" s="132">
        <f t="shared" ref="LU21" si="248">EDATE(LT21,1)</f>
        <v>56158</v>
      </c>
      <c r="LV21" s="132">
        <f t="shared" ref="LV21" si="249">EDATE(LU21,1)</f>
        <v>56189</v>
      </c>
      <c r="LW21" s="132">
        <f t="shared" ref="LW21" si="250">EDATE(LV21,1)</f>
        <v>56219</v>
      </c>
      <c r="LX21" s="132">
        <f t="shared" ref="LX21" si="251">EDATE(LW21,1)</f>
        <v>56250</v>
      </c>
      <c r="LY21" s="132">
        <f t="shared" ref="LY21" si="252">EDATE(LX21,1)</f>
        <v>56281</v>
      </c>
      <c r="LZ21" s="132">
        <f t="shared" ref="LZ21" si="253">EDATE(LY21,1)</f>
        <v>56309</v>
      </c>
      <c r="MA21" s="132">
        <f t="shared" ref="MA21" si="254">EDATE(LZ21,1)</f>
        <v>56340</v>
      </c>
      <c r="MB21" s="132">
        <f t="shared" ref="MB21" si="255">EDATE(MA21,1)</f>
        <v>56370</v>
      </c>
      <c r="MC21" s="132">
        <f t="shared" ref="MC21" si="256">EDATE(MB21,1)</f>
        <v>56401</v>
      </c>
      <c r="MD21" s="132">
        <f t="shared" ref="MD21" si="257">EDATE(MC21,1)</f>
        <v>56431</v>
      </c>
      <c r="ME21" s="132">
        <f t="shared" ref="ME21" si="258">EDATE(MD21,1)</f>
        <v>56462</v>
      </c>
      <c r="MF21" s="132">
        <f t="shared" ref="MF21" si="259">EDATE(ME21,1)</f>
        <v>56493</v>
      </c>
      <c r="MG21" s="132">
        <f t="shared" ref="MG21" si="260">EDATE(MF21,1)</f>
        <v>56523</v>
      </c>
      <c r="MH21" s="132">
        <f t="shared" ref="MH21" si="261">EDATE(MG21,1)</f>
        <v>56554</v>
      </c>
      <c r="MI21" s="132">
        <f t="shared" ref="MI21" si="262">EDATE(MH21,1)</f>
        <v>56584</v>
      </c>
      <c r="MJ21" s="132">
        <f t="shared" ref="MJ21" si="263">EDATE(MI21,1)</f>
        <v>56615</v>
      </c>
      <c r="MK21" s="132">
        <f t="shared" ref="MK21" si="264">EDATE(MJ21,1)</f>
        <v>56646</v>
      </c>
      <c r="ML21" s="132">
        <f t="shared" ref="ML21" si="265">EDATE(MK21,1)</f>
        <v>56674</v>
      </c>
      <c r="MM21" s="132">
        <f t="shared" ref="MM21" si="266">EDATE(ML21,1)</f>
        <v>56705</v>
      </c>
      <c r="MN21" s="132">
        <f t="shared" ref="MN21" si="267">EDATE(MM21,1)</f>
        <v>56735</v>
      </c>
      <c r="MO21" s="132">
        <f t="shared" ref="MO21" si="268">EDATE(MN21,1)</f>
        <v>56766</v>
      </c>
      <c r="MP21" s="132">
        <f t="shared" ref="MP21" si="269">EDATE(MO21,1)</f>
        <v>56796</v>
      </c>
      <c r="MQ21" s="132">
        <f t="shared" ref="MQ21" si="270">EDATE(MP21,1)</f>
        <v>56827</v>
      </c>
      <c r="MR21" s="132">
        <f t="shared" ref="MR21" si="271">EDATE(MQ21,1)</f>
        <v>56858</v>
      </c>
      <c r="MS21" s="132">
        <f t="shared" ref="MS21" si="272">EDATE(MR21,1)</f>
        <v>56888</v>
      </c>
      <c r="MT21" s="132">
        <f t="shared" ref="MT21" si="273">EDATE(MS21,1)</f>
        <v>56919</v>
      </c>
      <c r="MU21" s="132">
        <f t="shared" ref="MU21" si="274">EDATE(MT21,1)</f>
        <v>56949</v>
      </c>
      <c r="MV21" s="132">
        <f t="shared" ref="MV21" si="275">EDATE(MU21,1)</f>
        <v>56980</v>
      </c>
      <c r="MW21" s="132">
        <f t="shared" ref="MW21" si="276">EDATE(MV21,1)</f>
        <v>57011</v>
      </c>
      <c r="MX21" s="132">
        <f t="shared" ref="MX21" si="277">EDATE(MW21,1)</f>
        <v>57040</v>
      </c>
      <c r="MY21" s="132">
        <f t="shared" ref="MY21" si="278">EDATE(MX21,1)</f>
        <v>57071</v>
      </c>
      <c r="MZ21" s="132">
        <f t="shared" ref="MZ21" si="279">EDATE(MY21,1)</f>
        <v>57101</v>
      </c>
      <c r="NA21" s="132">
        <f t="shared" ref="NA21" si="280">EDATE(MZ21,1)</f>
        <v>57132</v>
      </c>
      <c r="NB21" s="132">
        <f t="shared" ref="NB21" si="281">EDATE(NA21,1)</f>
        <v>57162</v>
      </c>
      <c r="NC21" s="132">
        <f t="shared" ref="NC21" si="282">EDATE(NB21,1)</f>
        <v>57193</v>
      </c>
      <c r="ND21" s="132">
        <f t="shared" ref="ND21" si="283">EDATE(NC21,1)</f>
        <v>57224</v>
      </c>
      <c r="NE21" s="215"/>
      <c r="NF21" s="215"/>
      <c r="NG21" s="215"/>
      <c r="NH21" s="215"/>
      <c r="NI21" s="215"/>
      <c r="NJ21" s="215"/>
      <c r="NK21" s="215"/>
      <c r="NL21" s="215"/>
      <c r="NM21" s="215"/>
      <c r="NN21" s="215"/>
      <c r="NO21" s="215"/>
      <c r="NP21" s="215"/>
      <c r="NQ21" s="215"/>
      <c r="NR21" s="215"/>
    </row>
    <row r="22" spans="2:382" x14ac:dyDescent="0.15">
      <c r="D22" s="40"/>
      <c r="E22" s="40"/>
      <c r="F22" s="112"/>
      <c r="G22" s="112"/>
      <c r="H22" s="40"/>
      <c r="I22" s="40"/>
      <c r="J22" s="40"/>
      <c r="K22" s="40"/>
      <c r="L22" s="40"/>
      <c r="M22" s="40"/>
      <c r="N22" s="40"/>
      <c r="O22" s="40"/>
      <c r="P22" s="40"/>
      <c r="Q22" s="40"/>
      <c r="R22" s="40"/>
      <c r="S22" s="40"/>
      <c r="T22" s="40"/>
      <c r="U22" s="40"/>
      <c r="V22" s="40"/>
      <c r="W22" s="40"/>
      <c r="X22" s="55"/>
      <c r="Y22" s="55"/>
      <c r="Z22" s="55"/>
      <c r="AA22" s="55"/>
      <c r="AB22" s="55"/>
    </row>
    <row r="23" spans="2:382" x14ac:dyDescent="0.15">
      <c r="C23" s="113" t="s">
        <v>163</v>
      </c>
      <c r="D23" s="40"/>
      <c r="E23" s="40"/>
      <c r="F23" s="112"/>
      <c r="G23" s="112"/>
      <c r="H23" s="40"/>
      <c r="I23" s="1">
        <f>'Monthly P&amp;L'!G78</f>
        <v>-106461.711075</v>
      </c>
      <c r="J23" s="1">
        <f>'Monthly P&amp;L'!H78</f>
        <v>-106461.711075</v>
      </c>
      <c r="K23" s="1">
        <f>'Monthly P&amp;L'!I78</f>
        <v>-106461.711075</v>
      </c>
      <c r="L23" s="1">
        <f>'Monthly P&amp;L'!J78</f>
        <v>0</v>
      </c>
      <c r="M23" s="1">
        <f>'Monthly P&amp;L'!K78</f>
        <v>0</v>
      </c>
      <c r="N23" s="1">
        <f>'Monthly P&amp;L'!L78</f>
        <v>0</v>
      </c>
      <c r="O23" s="1">
        <f>'Monthly P&amp;L'!M78</f>
        <v>0</v>
      </c>
      <c r="P23" s="1">
        <f>'Monthly P&amp;L'!N78</f>
        <v>0</v>
      </c>
      <c r="Q23" s="1">
        <f>'Monthly P&amp;L'!O78</f>
        <v>0</v>
      </c>
      <c r="R23" s="1">
        <f>'Monthly P&amp;L'!P78</f>
        <v>0</v>
      </c>
      <c r="S23" s="1">
        <f>'Monthly P&amp;L'!Q78</f>
        <v>0</v>
      </c>
      <c r="T23" s="1">
        <f>'Monthly P&amp;L'!R78</f>
        <v>0</v>
      </c>
      <c r="U23" s="1">
        <f>'Monthly P&amp;L'!S78</f>
        <v>0</v>
      </c>
      <c r="V23" s="1">
        <f>'Monthly P&amp;L'!T78</f>
        <v>0</v>
      </c>
      <c r="W23" s="1">
        <f>'Monthly P&amp;L'!U78</f>
        <v>0</v>
      </c>
      <c r="X23" s="1">
        <f>'Monthly P&amp;L'!V78</f>
        <v>0</v>
      </c>
      <c r="Y23" s="1">
        <f>'Monthly P&amp;L'!W78</f>
        <v>0</v>
      </c>
      <c r="Z23" s="1">
        <f>'Monthly P&amp;L'!X78</f>
        <v>0</v>
      </c>
      <c r="AA23" s="1">
        <f>'Monthly P&amp;L'!Y78</f>
        <v>0</v>
      </c>
      <c r="AB23" s="1">
        <f>'Monthly P&amp;L'!Z78</f>
        <v>0</v>
      </c>
      <c r="AC23" s="1">
        <f>'Monthly P&amp;L'!AA78</f>
        <v>0</v>
      </c>
      <c r="AD23" s="1">
        <f>'Monthly P&amp;L'!AB78</f>
        <v>0</v>
      </c>
      <c r="AE23" s="1">
        <f>'Monthly P&amp;L'!AC78</f>
        <v>0</v>
      </c>
      <c r="AF23" s="1">
        <f>'Monthly P&amp;L'!AD78</f>
        <v>0</v>
      </c>
      <c r="AG23" s="1">
        <f>'Monthly P&amp;L'!AE78</f>
        <v>0</v>
      </c>
      <c r="AH23" s="1">
        <f>'Monthly P&amp;L'!AF78</f>
        <v>0</v>
      </c>
      <c r="AI23" s="1">
        <f>'Monthly P&amp;L'!AG78</f>
        <v>0</v>
      </c>
      <c r="AJ23" s="1">
        <f>'Monthly P&amp;L'!AH78</f>
        <v>0</v>
      </c>
      <c r="AK23" s="1">
        <f>'Monthly P&amp;L'!AI78</f>
        <v>0</v>
      </c>
      <c r="AL23" s="1">
        <f>'Monthly P&amp;L'!AJ78</f>
        <v>0</v>
      </c>
      <c r="AM23" s="1">
        <f>'Monthly P&amp;L'!AK78</f>
        <v>0</v>
      </c>
      <c r="AN23" s="1">
        <f>'Monthly P&amp;L'!AL78</f>
        <v>0</v>
      </c>
      <c r="AO23" s="1">
        <f>'Monthly P&amp;L'!AM78</f>
        <v>0</v>
      </c>
      <c r="AP23" s="1">
        <f>'Monthly P&amp;L'!AN78</f>
        <v>0</v>
      </c>
      <c r="AQ23" s="1">
        <f>'Monthly P&amp;L'!AO78</f>
        <v>0</v>
      </c>
      <c r="AR23" s="1">
        <f>'Monthly P&amp;L'!AP78</f>
        <v>0</v>
      </c>
      <c r="AS23" s="1">
        <f>'Monthly P&amp;L'!AQ78</f>
        <v>369.08414719279244</v>
      </c>
      <c r="AT23" s="1">
        <f>'Monthly P&amp;L'!AR78</f>
        <v>369.08414719279244</v>
      </c>
      <c r="AU23" s="1">
        <f>'Monthly P&amp;L'!AS78</f>
        <v>369.08414719279244</v>
      </c>
      <c r="AV23" s="1">
        <f>'Monthly P&amp;L'!AT78</f>
        <v>369.08414719279244</v>
      </c>
      <c r="AW23" s="1">
        <f>'Monthly P&amp;L'!AU78</f>
        <v>369.08414719279244</v>
      </c>
      <c r="AX23" s="1">
        <f>'Monthly P&amp;L'!AV78</f>
        <v>369.08414719279244</v>
      </c>
      <c r="AY23" s="1">
        <f>'Monthly P&amp;L'!AW78</f>
        <v>369.08414719279244</v>
      </c>
      <c r="AZ23" s="1">
        <f>'Monthly P&amp;L'!AX78</f>
        <v>369.08414719279244</v>
      </c>
      <c r="BA23" s="1">
        <f>'Monthly P&amp;L'!AY78</f>
        <v>369.08414719279244</v>
      </c>
      <c r="BB23" s="1">
        <f>'Monthly P&amp;L'!AZ78</f>
        <v>369.08414719279244</v>
      </c>
      <c r="BC23" s="1">
        <f>'Monthly P&amp;L'!BA78</f>
        <v>369.08414719279244</v>
      </c>
      <c r="BD23" s="1">
        <f>'Monthly P&amp;L'!BB78</f>
        <v>369.08414719279244</v>
      </c>
      <c r="BE23" s="1">
        <f>'Monthly P&amp;L'!BC78</f>
        <v>1312.5480714578298</v>
      </c>
      <c r="BF23" s="1">
        <f>'Monthly P&amp;L'!BD78</f>
        <v>1312.5480714578298</v>
      </c>
      <c r="BG23" s="1">
        <f>'Monthly P&amp;L'!BE78</f>
        <v>1312.5480714578298</v>
      </c>
      <c r="BH23" s="1">
        <f>'Monthly P&amp;L'!BF78</f>
        <v>1312.5480714578298</v>
      </c>
      <c r="BI23" s="1">
        <f>'Monthly P&amp;L'!BG78</f>
        <v>1312.5480714578298</v>
      </c>
      <c r="BJ23" s="1">
        <f>'Monthly P&amp;L'!BH78</f>
        <v>1312.5480714578298</v>
      </c>
      <c r="BK23" s="1">
        <f>'Monthly P&amp;L'!BI78</f>
        <v>1312.5480714578298</v>
      </c>
      <c r="BL23" s="1">
        <f>'Monthly P&amp;L'!BJ78</f>
        <v>1312.5480714578298</v>
      </c>
      <c r="BM23" s="1">
        <f>'Monthly P&amp;L'!BK78</f>
        <v>1312.5480714578298</v>
      </c>
      <c r="BN23" s="1">
        <f>'Monthly P&amp;L'!BL78</f>
        <v>1312.5480714578298</v>
      </c>
      <c r="BO23" s="1">
        <f>'Monthly P&amp;L'!BM78</f>
        <v>1312.5480714578298</v>
      </c>
      <c r="BP23" s="1">
        <f>'Monthly P&amp;L'!BN78</f>
        <v>1312.5480714578298</v>
      </c>
      <c r="BQ23" s="1">
        <f>'Monthly P&amp;L'!BO78</f>
        <v>2285.626816434662</v>
      </c>
      <c r="BR23" s="1">
        <f>'Monthly P&amp;L'!BP78</f>
        <v>2285.626816434662</v>
      </c>
      <c r="BS23" s="1">
        <f>'Monthly P&amp;L'!BQ78</f>
        <v>2285.626816434662</v>
      </c>
      <c r="BT23" s="1">
        <f>'Monthly P&amp;L'!BR78</f>
        <v>2285.626816434662</v>
      </c>
      <c r="BU23" s="1">
        <f>'Monthly P&amp;L'!BS78</f>
        <v>2285.626816434662</v>
      </c>
      <c r="BV23" s="1">
        <f>'Monthly P&amp;L'!BT78</f>
        <v>2285.626816434662</v>
      </c>
      <c r="BW23" s="1">
        <f>'Monthly P&amp;L'!BU78</f>
        <v>2285.626816434662</v>
      </c>
      <c r="BX23" s="1">
        <f>'Monthly P&amp;L'!BV78</f>
        <v>2285.626816434662</v>
      </c>
      <c r="BY23" s="1">
        <f>'Monthly P&amp;L'!BW78</f>
        <v>2285.626816434662</v>
      </c>
      <c r="BZ23" s="1">
        <f>'Monthly P&amp;L'!BX78</f>
        <v>2285.626816434662</v>
      </c>
      <c r="CA23" s="1">
        <f>'Monthly P&amp;L'!BY78</f>
        <v>2285.626816434662</v>
      </c>
      <c r="CB23" s="1">
        <f>'Monthly P&amp;L'!BZ78</f>
        <v>2285.626816434662</v>
      </c>
      <c r="CC23" s="1">
        <f>'Monthly P&amp;L'!CA78</f>
        <v>3289.2368009212696</v>
      </c>
      <c r="CD23" s="1">
        <f>'Monthly P&amp;L'!CB78</f>
        <v>3289.2368009212696</v>
      </c>
      <c r="CE23" s="1">
        <f>'Monthly P&amp;L'!CC78</f>
        <v>3289.2368009212696</v>
      </c>
      <c r="CF23" s="1">
        <f>'Monthly P&amp;L'!CD78</f>
        <v>3289.2368009212696</v>
      </c>
      <c r="CG23" s="1">
        <f>'Monthly P&amp;L'!CE78</f>
        <v>3289.2368009212696</v>
      </c>
      <c r="CH23" s="1">
        <f>'Monthly P&amp;L'!CF78</f>
        <v>3289.2368009212696</v>
      </c>
      <c r="CI23" s="1">
        <f>'Monthly P&amp;L'!CG78</f>
        <v>3289.2368009212696</v>
      </c>
      <c r="CJ23" s="1">
        <f>'Monthly P&amp;L'!CH78</f>
        <v>3289.2368009212696</v>
      </c>
      <c r="CK23" s="1">
        <f>'Monthly P&amp;L'!CI78</f>
        <v>3289.2368009212696</v>
      </c>
      <c r="CL23" s="1">
        <f>'Monthly P&amp;L'!CJ78</f>
        <v>3289.2368009212696</v>
      </c>
      <c r="CM23" s="1">
        <f>'Monthly P&amp;L'!CK78</f>
        <v>3289.2368009212696</v>
      </c>
      <c r="CN23" s="1">
        <f>'Monthly P&amp;L'!CL78</f>
        <v>3289.2368009212696</v>
      </c>
      <c r="CO23" s="1">
        <f>'Monthly P&amp;L'!CM78</f>
        <v>4324.3225396660127</v>
      </c>
      <c r="CP23" s="1">
        <f>'Monthly P&amp;L'!CN78</f>
        <v>4324.3225396660127</v>
      </c>
      <c r="CQ23" s="1">
        <f>'Monthly P&amp;L'!CO78</f>
        <v>4324.3225396660127</v>
      </c>
      <c r="CR23" s="1">
        <f>'Monthly P&amp;L'!CP78</f>
        <v>4324.3225396660127</v>
      </c>
      <c r="CS23" s="1">
        <f>'Monthly P&amp;L'!CQ78</f>
        <v>4324.3225396660127</v>
      </c>
      <c r="CT23" s="1">
        <f>'Monthly P&amp;L'!CR78</f>
        <v>4324.3225396660127</v>
      </c>
      <c r="CU23" s="1">
        <f>'Monthly P&amp;L'!CS78</f>
        <v>4324.3225396660127</v>
      </c>
      <c r="CV23" s="1">
        <f>'Monthly P&amp;L'!CT78</f>
        <v>4324.3225396660127</v>
      </c>
      <c r="CW23" s="1">
        <f>'Monthly P&amp;L'!CU78</f>
        <v>4324.3225396660127</v>
      </c>
      <c r="CX23" s="1">
        <f>'Monthly P&amp;L'!CV78</f>
        <v>4324.3225396660127</v>
      </c>
      <c r="CY23" s="1">
        <f>'Monthly P&amp;L'!CW78</f>
        <v>4324.3225396660127</v>
      </c>
      <c r="CZ23" s="1">
        <f>'Monthly P&amp;L'!CX78</f>
        <v>4324.3225396660127</v>
      </c>
      <c r="DA23" s="1">
        <f>'Monthly P&amp;L'!CY78</f>
        <v>5391.8574994115043</v>
      </c>
      <c r="DB23" s="1">
        <f>'Monthly P&amp;L'!CZ78</f>
        <v>5391.8574994115043</v>
      </c>
      <c r="DC23" s="1">
        <f>'Monthly P&amp;L'!DA78</f>
        <v>5391.8574994115043</v>
      </c>
      <c r="DD23" s="1">
        <f>'Monthly P&amp;L'!DB78</f>
        <v>5391.8574994115043</v>
      </c>
      <c r="DE23" s="1">
        <f>'Monthly P&amp;L'!DC78</f>
        <v>5391.8574994115043</v>
      </c>
      <c r="DF23" s="1">
        <f>'Monthly P&amp;L'!DD78</f>
        <v>5391.8574994115043</v>
      </c>
      <c r="DG23" s="1">
        <f>'Monthly P&amp;L'!DE78</f>
        <v>5391.8574994115043</v>
      </c>
      <c r="DH23" s="1">
        <f>'Monthly P&amp;L'!DF78</f>
        <v>5391.8574994115043</v>
      </c>
      <c r="DI23" s="1">
        <f>'Monthly P&amp;L'!DG78</f>
        <v>5391.8574994115043</v>
      </c>
      <c r="DJ23" s="1">
        <f>'Monthly P&amp;L'!DH78</f>
        <v>5391.8574994115043</v>
      </c>
      <c r="DK23" s="1">
        <f>'Monthly P&amp;L'!DI78</f>
        <v>5391.8574994115043</v>
      </c>
      <c r="DL23" s="1">
        <f>'Monthly P&amp;L'!DJ78</f>
        <v>5391.8574994115043</v>
      </c>
      <c r="DM23" s="1">
        <f>'Monthly P&amp;L'!DK78</f>
        <v>6492.8449809103913</v>
      </c>
      <c r="DN23" s="1">
        <f>'Monthly P&amp;L'!DL78</f>
        <v>6492.8449809103913</v>
      </c>
      <c r="DO23" s="1">
        <f>'Monthly P&amp;L'!DM78</f>
        <v>6492.8449809103913</v>
      </c>
      <c r="DP23" s="1">
        <f>'Monthly P&amp;L'!DN78</f>
        <v>6492.8449809103913</v>
      </c>
      <c r="DQ23" s="1">
        <f>'Monthly P&amp;L'!DO78</f>
        <v>6492.8449809103913</v>
      </c>
      <c r="DR23" s="1">
        <f>'Monthly P&amp;L'!DP78</f>
        <v>6492.8449809103913</v>
      </c>
      <c r="DS23" s="1">
        <f>'Monthly P&amp;L'!DQ78</f>
        <v>6492.8449809103913</v>
      </c>
      <c r="DT23" s="1">
        <f>'Monthly P&amp;L'!DR78</f>
        <v>6492.8449809103913</v>
      </c>
      <c r="DU23" s="1">
        <f>'Monthly P&amp;L'!DS78</f>
        <v>6492.8449809103913</v>
      </c>
      <c r="DV23" s="1">
        <f>'Monthly P&amp;L'!DT78</f>
        <v>6492.8449809103913</v>
      </c>
      <c r="DW23" s="1">
        <f>'Monthly P&amp;L'!DU78</f>
        <v>6492.8449809103913</v>
      </c>
      <c r="DX23" s="1">
        <f>'Monthly P&amp;L'!DV78</f>
        <v>6492.8449809103931</v>
      </c>
      <c r="DY23" s="1">
        <f>'Monthly P&amp;L'!DW78</f>
        <v>7628.3190276990499</v>
      </c>
      <c r="DZ23" s="1">
        <f>'Monthly P&amp;L'!DX78</f>
        <v>7628.3190276990481</v>
      </c>
      <c r="EA23" s="1">
        <f>'Monthly P&amp;L'!DY78</f>
        <v>7628.3190276990499</v>
      </c>
      <c r="EB23" s="1">
        <f>'Monthly P&amp;L'!DZ78</f>
        <v>7628.3190276990499</v>
      </c>
      <c r="EC23" s="1">
        <f>'Monthly P&amp;L'!EA78</f>
        <v>7628.3190276990499</v>
      </c>
      <c r="ED23" s="1">
        <f>'Monthly P&amp;L'!EB78</f>
        <v>7628.3190276990517</v>
      </c>
      <c r="EE23" s="1">
        <f>'Monthly P&amp;L'!EC78</f>
        <v>7628.3190276990499</v>
      </c>
      <c r="EF23" s="1">
        <f>'Monthly P&amp;L'!ED78</f>
        <v>7628.3190276990499</v>
      </c>
      <c r="EG23" s="1">
        <f>'Monthly P&amp;L'!EE78</f>
        <v>7628.3190276990499</v>
      </c>
      <c r="EH23" s="1">
        <f>'Monthly P&amp;L'!EF78</f>
        <v>7628.3190276990499</v>
      </c>
      <c r="EI23" s="1">
        <f>'Monthly P&amp;L'!EG78</f>
        <v>7628.3190276990499</v>
      </c>
      <c r="EJ23" s="1">
        <f>'Monthly P&amp;L'!EH78</f>
        <v>7628.3190276990499</v>
      </c>
      <c r="EK23" s="1">
        <f>'Monthly P&amp;L'!EI78</f>
        <v>8799.3453624382018</v>
      </c>
      <c r="EL23" s="1">
        <f>'Monthly P&amp;L'!EJ78</f>
        <v>8799.3453624382</v>
      </c>
      <c r="EM23" s="1">
        <f>'Monthly P&amp;L'!EK78</f>
        <v>8799.3453624382037</v>
      </c>
      <c r="EN23" s="1">
        <f>'Monthly P&amp;L'!EL78</f>
        <v>8799.3453624382018</v>
      </c>
      <c r="EO23" s="1">
        <f>'Monthly P&amp;L'!EM78</f>
        <v>8799.3453624382018</v>
      </c>
      <c r="EP23" s="1">
        <f>'Monthly P&amp;L'!EN78</f>
        <v>8799.3453624382018</v>
      </c>
      <c r="EQ23" s="1">
        <f>'Monthly P&amp;L'!EO78</f>
        <v>8799.3453624382037</v>
      </c>
      <c r="ER23" s="1">
        <f>'Monthly P&amp;L'!EP78</f>
        <v>8799.3453624382037</v>
      </c>
      <c r="ES23" s="1">
        <f>'Monthly P&amp;L'!EQ78</f>
        <v>8799.3453624382018</v>
      </c>
      <c r="ET23" s="1">
        <f>'Monthly P&amp;L'!ER78</f>
        <v>8799.3453624382018</v>
      </c>
      <c r="EU23" s="1">
        <f>'Monthly P&amp;L'!ES78</f>
        <v>8799.3453624382018</v>
      </c>
      <c r="EV23" s="1">
        <f>'Monthly P&amp;L'!ET78</f>
        <v>8799.3453624382</v>
      </c>
      <c r="EW23" s="1">
        <f>'Monthly P&amp;L'!EU78</f>
        <v>10007.022351654545</v>
      </c>
      <c r="EX23" s="1">
        <f>'Monthly P&amp;L'!EV78</f>
        <v>10007.022351654545</v>
      </c>
      <c r="EY23" s="1">
        <f>'Monthly P&amp;L'!EW78</f>
        <v>10007.022351654543</v>
      </c>
      <c r="EZ23" s="1">
        <f>'Monthly P&amp;L'!EX78</f>
        <v>10007.022351654543</v>
      </c>
      <c r="FA23" s="1">
        <f>'Monthly P&amp;L'!EY78</f>
        <v>10007.022351654545</v>
      </c>
      <c r="FB23" s="1">
        <f>'Monthly P&amp;L'!EZ78</f>
        <v>10007.022351654545</v>
      </c>
      <c r="FC23" s="1">
        <f>'Monthly P&amp;L'!FA78</f>
        <v>10007.022351654543</v>
      </c>
      <c r="FD23" s="1">
        <f>'Monthly P&amp;L'!FB78</f>
        <v>10007.022351654545</v>
      </c>
      <c r="FE23" s="1">
        <f>'Monthly P&amp;L'!FC78</f>
        <v>10007.022351654545</v>
      </c>
      <c r="FF23" s="1">
        <f>'Monthly P&amp;L'!FD78</f>
        <v>10007.022351654547</v>
      </c>
      <c r="FG23" s="1">
        <f>'Monthly P&amp;L'!FE78</f>
        <v>10007.022351654543</v>
      </c>
      <c r="FH23" s="1">
        <f>'Monthly P&amp;L'!FF78</f>
        <v>10007.022351654545</v>
      </c>
      <c r="FI23" s="1">
        <f>'Monthly P&amp;L'!FG78</f>
        <v>11252.481999742327</v>
      </c>
      <c r="FJ23" s="1">
        <f>'Monthly P&amp;L'!FH78</f>
        <v>11252.481999742326</v>
      </c>
      <c r="FK23" s="1">
        <f>'Monthly P&amp;L'!FI78</f>
        <v>11252.481999742326</v>
      </c>
      <c r="FL23" s="1">
        <f>'Monthly P&amp;L'!FJ78</f>
        <v>11252.481999742326</v>
      </c>
      <c r="FM23" s="1">
        <f>'Monthly P&amp;L'!FK78</f>
        <v>11252.481999742327</v>
      </c>
      <c r="FN23" s="1">
        <f>'Monthly P&amp;L'!FL78</f>
        <v>11252.481999742326</v>
      </c>
      <c r="FO23" s="1">
        <f>'Monthly P&amp;L'!FM78</f>
        <v>11252.481999742324</v>
      </c>
      <c r="FP23" s="1">
        <f>'Monthly P&amp;L'!FN78</f>
        <v>11252.481999742327</v>
      </c>
      <c r="FQ23" s="1">
        <f>'Monthly P&amp;L'!FO78</f>
        <v>11252.481999742326</v>
      </c>
      <c r="FR23" s="1">
        <f>'Monthly P&amp;L'!FP78</f>
        <v>11252.481999742324</v>
      </c>
      <c r="FS23" s="1">
        <f>'Monthly P&amp;L'!FQ78</f>
        <v>11252.481999742326</v>
      </c>
      <c r="FT23" s="1">
        <f>'Monthly P&amp;L'!FR78</f>
        <v>11252.481999742326</v>
      </c>
      <c r="FU23" s="1">
        <f>'Monthly P&amp;L'!FS78</f>
        <v>12536.89097310957</v>
      </c>
      <c r="FV23" s="1">
        <f>'Monthly P&amp;L'!FT78</f>
        <v>12536.89097310957</v>
      </c>
      <c r="FW23" s="1">
        <f>'Monthly P&amp;L'!FU78</f>
        <v>12536.890973109572</v>
      </c>
      <c r="FX23" s="1">
        <f>'Monthly P&amp;L'!FV78</f>
        <v>12536.89097310957</v>
      </c>
      <c r="FY23" s="1">
        <f>'Monthly P&amp;L'!FW78</f>
        <v>12536.890973109572</v>
      </c>
      <c r="FZ23" s="1">
        <f>'Monthly P&amp;L'!FX78</f>
        <v>12536.89097310957</v>
      </c>
      <c r="GA23" s="1">
        <f>'Monthly P&amp;L'!FY78</f>
        <v>12536.890973109568</v>
      </c>
      <c r="GB23" s="1">
        <f>'Monthly P&amp;L'!FZ78</f>
        <v>12536.89097310957</v>
      </c>
      <c r="GC23" s="1">
        <f>'Monthly P&amp;L'!GA78</f>
        <v>0</v>
      </c>
      <c r="GD23" s="1">
        <f>'Monthly P&amp;L'!GB78</f>
        <v>0</v>
      </c>
      <c r="GE23" s="1">
        <f>'Monthly P&amp;L'!GC78</f>
        <v>0</v>
      </c>
      <c r="GF23" s="1">
        <f ca="1">'Monthly P&amp;L'!GD78</f>
        <v>7138752.9354456458</v>
      </c>
      <c r="GG23" s="1">
        <f ca="1">'Monthly P&amp;L'!GE78</f>
        <v>0</v>
      </c>
      <c r="GH23" s="1">
        <f ca="1">'Monthly P&amp;L'!GF78</f>
        <v>0</v>
      </c>
      <c r="GI23" s="1">
        <f ca="1">'Monthly P&amp;L'!GG78</f>
        <v>0</v>
      </c>
      <c r="GJ23" s="1">
        <f ca="1">'Monthly P&amp;L'!GH78</f>
        <v>0</v>
      </c>
      <c r="GK23" s="1">
        <f ca="1">'Monthly P&amp;L'!GI78</f>
        <v>0</v>
      </c>
      <c r="GL23" s="1">
        <f ca="1">'Monthly P&amp;L'!GJ78</f>
        <v>0</v>
      </c>
      <c r="GM23" s="1">
        <f ca="1">'Monthly P&amp;L'!GK78</f>
        <v>0</v>
      </c>
      <c r="GN23" s="1">
        <f ca="1">'Monthly P&amp;L'!GL78</f>
        <v>0</v>
      </c>
      <c r="GO23" s="1">
        <f ca="1">'Monthly P&amp;L'!GM78</f>
        <v>0</v>
      </c>
      <c r="GP23" s="1">
        <f ca="1">'Monthly P&amp;L'!GN78</f>
        <v>0</v>
      </c>
      <c r="GQ23" s="1">
        <f ca="1">'Monthly P&amp;L'!GO78</f>
        <v>0</v>
      </c>
      <c r="GR23" s="1">
        <f ca="1">'Monthly P&amp;L'!GP78</f>
        <v>0</v>
      </c>
      <c r="GS23" s="1">
        <f ca="1">'Monthly P&amp;L'!GQ78</f>
        <v>0</v>
      </c>
      <c r="GT23" s="1">
        <f ca="1">'Monthly P&amp;L'!GR78</f>
        <v>0</v>
      </c>
      <c r="GU23" s="1">
        <f ca="1">'Monthly P&amp;L'!GS78</f>
        <v>0</v>
      </c>
      <c r="GV23" s="1">
        <f ca="1">'Monthly P&amp;L'!GT78</f>
        <v>0</v>
      </c>
      <c r="GW23" s="1">
        <f ca="1">'Monthly P&amp;L'!GU78</f>
        <v>0</v>
      </c>
      <c r="GX23" s="1">
        <f ca="1">'Monthly P&amp;L'!GV78</f>
        <v>0</v>
      </c>
      <c r="GY23" s="1">
        <f ca="1">'Monthly P&amp;L'!GW78</f>
        <v>0</v>
      </c>
      <c r="GZ23" s="1">
        <f ca="1">'Monthly P&amp;L'!GX78</f>
        <v>0</v>
      </c>
      <c r="HA23" s="1">
        <f ca="1">'Monthly P&amp;L'!GY78</f>
        <v>0</v>
      </c>
      <c r="HB23" s="1">
        <f ca="1">'Monthly P&amp;L'!GZ78</f>
        <v>0</v>
      </c>
      <c r="HC23" s="1">
        <f ca="1">'Monthly P&amp;L'!HA78</f>
        <v>0</v>
      </c>
      <c r="HD23" s="1">
        <f ca="1">'Monthly P&amp;L'!HB78</f>
        <v>0</v>
      </c>
      <c r="HE23" s="1">
        <f ca="1">'Monthly P&amp;L'!HC78</f>
        <v>0</v>
      </c>
      <c r="HF23" s="1">
        <f ca="1">'Monthly P&amp;L'!HD78</f>
        <v>0</v>
      </c>
      <c r="HG23" s="1">
        <f ca="1">'Monthly P&amp;L'!HE78</f>
        <v>0</v>
      </c>
      <c r="HH23" s="1">
        <f ca="1">'Monthly P&amp;L'!HF78</f>
        <v>0</v>
      </c>
      <c r="HI23" s="1">
        <f ca="1">'Monthly P&amp;L'!HG78</f>
        <v>0</v>
      </c>
      <c r="HJ23" s="1">
        <f ca="1">'Monthly P&amp;L'!HH78</f>
        <v>0</v>
      </c>
      <c r="HK23" s="1">
        <f ca="1">'Monthly P&amp;L'!HI78</f>
        <v>0</v>
      </c>
      <c r="HL23" s="1">
        <f ca="1">'Monthly P&amp;L'!HJ78</f>
        <v>0</v>
      </c>
      <c r="HM23" s="1">
        <f ca="1">'Monthly P&amp;L'!HK78</f>
        <v>0</v>
      </c>
      <c r="HN23" s="1">
        <f ca="1">'Monthly P&amp;L'!HL78</f>
        <v>0</v>
      </c>
      <c r="HO23" s="1">
        <f ca="1">'Monthly P&amp;L'!HM78</f>
        <v>0</v>
      </c>
      <c r="HP23" s="1">
        <f ca="1">'Monthly P&amp;L'!HN78</f>
        <v>0</v>
      </c>
      <c r="HQ23" s="1">
        <f ca="1">'Monthly P&amp;L'!HO78</f>
        <v>0</v>
      </c>
      <c r="HR23" s="1">
        <f ca="1">'Monthly P&amp;L'!HP78</f>
        <v>0</v>
      </c>
      <c r="HS23" s="1">
        <f ca="1">'Monthly P&amp;L'!HQ78</f>
        <v>0</v>
      </c>
      <c r="HT23" s="1">
        <f ca="1">'Monthly P&amp;L'!HR78</f>
        <v>0</v>
      </c>
      <c r="HU23" s="1">
        <f ca="1">'Monthly P&amp;L'!HS78</f>
        <v>0</v>
      </c>
      <c r="HV23" s="1">
        <f ca="1">'Monthly P&amp;L'!HT78</f>
        <v>0</v>
      </c>
      <c r="HW23" s="1">
        <f ca="1">'Monthly P&amp;L'!HU78</f>
        <v>0</v>
      </c>
      <c r="HX23" s="1">
        <f ca="1">'Monthly P&amp;L'!HV78</f>
        <v>0</v>
      </c>
      <c r="HY23" s="1">
        <f ca="1">'Monthly P&amp;L'!HW78</f>
        <v>0</v>
      </c>
      <c r="HZ23" s="1">
        <f ca="1">'Monthly P&amp;L'!HX78</f>
        <v>0</v>
      </c>
      <c r="IA23" s="1">
        <f ca="1">'Monthly P&amp;L'!HY78</f>
        <v>0</v>
      </c>
      <c r="IB23" s="1">
        <f ca="1">'Monthly P&amp;L'!HZ78</f>
        <v>0</v>
      </c>
      <c r="IC23" s="1">
        <f ca="1">'Monthly P&amp;L'!IA78</f>
        <v>0</v>
      </c>
      <c r="ID23" s="1">
        <f ca="1">'Monthly P&amp;L'!IB78</f>
        <v>0</v>
      </c>
      <c r="IE23" s="1">
        <f ca="1">'Monthly P&amp;L'!IC78</f>
        <v>0</v>
      </c>
      <c r="IF23" s="1">
        <f ca="1">'Monthly P&amp;L'!ID78</f>
        <v>0</v>
      </c>
      <c r="IG23" s="1">
        <f ca="1">'Monthly P&amp;L'!IE78</f>
        <v>0</v>
      </c>
      <c r="IH23" s="1">
        <f ca="1">'Monthly P&amp;L'!IF78</f>
        <v>0</v>
      </c>
      <c r="II23" s="1">
        <f ca="1">'Monthly P&amp;L'!IG78</f>
        <v>0</v>
      </c>
      <c r="IJ23" s="1">
        <f ca="1">'Monthly P&amp;L'!IH78</f>
        <v>0</v>
      </c>
      <c r="IK23" s="1">
        <f ca="1">'Monthly P&amp;L'!II78</f>
        <v>0</v>
      </c>
      <c r="IL23" s="1">
        <f ca="1">'Monthly P&amp;L'!IJ78</f>
        <v>0</v>
      </c>
      <c r="IM23" s="1">
        <f ca="1">'Monthly P&amp;L'!IK78</f>
        <v>0</v>
      </c>
      <c r="IN23" s="1">
        <f ca="1">'Monthly P&amp;L'!IL78</f>
        <v>0</v>
      </c>
      <c r="IO23" s="1">
        <f ca="1">'Monthly P&amp;L'!IM78</f>
        <v>0</v>
      </c>
      <c r="IP23" s="1">
        <f ca="1">'Monthly P&amp;L'!IN78</f>
        <v>0</v>
      </c>
      <c r="IQ23" s="1">
        <f ca="1">'Monthly P&amp;L'!IO78</f>
        <v>0</v>
      </c>
      <c r="IR23" s="1">
        <f ca="1">'Monthly P&amp;L'!IP78</f>
        <v>0</v>
      </c>
      <c r="IS23" s="1">
        <f ca="1">'Monthly P&amp;L'!IQ78</f>
        <v>0</v>
      </c>
      <c r="IT23" s="1">
        <f ca="1">'Monthly P&amp;L'!IR78</f>
        <v>0</v>
      </c>
      <c r="IU23" s="1">
        <f ca="1">'Monthly P&amp;L'!IS78</f>
        <v>0</v>
      </c>
      <c r="IV23" s="1">
        <f ca="1">'Monthly P&amp;L'!IT78</f>
        <v>0</v>
      </c>
      <c r="IW23" s="1">
        <f ca="1">'Monthly P&amp;L'!IU78</f>
        <v>0</v>
      </c>
      <c r="IX23" s="1">
        <f ca="1">'Monthly P&amp;L'!IV78</f>
        <v>0</v>
      </c>
      <c r="IY23" s="1">
        <f ca="1">'Monthly P&amp;L'!IW78</f>
        <v>0</v>
      </c>
      <c r="IZ23" s="1">
        <f ca="1">'Monthly P&amp;L'!IX78</f>
        <v>0</v>
      </c>
      <c r="JA23" s="1">
        <f ca="1">'Monthly P&amp;L'!IY78</f>
        <v>0</v>
      </c>
      <c r="JB23" s="1">
        <f ca="1">'Monthly P&amp;L'!IZ78</f>
        <v>0</v>
      </c>
      <c r="JC23" s="1">
        <f ca="1">'Monthly P&amp;L'!JA78</f>
        <v>0</v>
      </c>
      <c r="JD23" s="1">
        <f ca="1">'Monthly P&amp;L'!JB78</f>
        <v>0</v>
      </c>
      <c r="JE23" s="1">
        <f ca="1">'Monthly P&amp;L'!JC78</f>
        <v>0</v>
      </c>
      <c r="JF23" s="1">
        <f ca="1">'Monthly P&amp;L'!JD78</f>
        <v>0</v>
      </c>
      <c r="JG23" s="1">
        <f ca="1">'Monthly P&amp;L'!JE78</f>
        <v>0</v>
      </c>
      <c r="JH23" s="1">
        <f ca="1">'Monthly P&amp;L'!JF78</f>
        <v>0</v>
      </c>
      <c r="JI23" s="1">
        <f ca="1">'Monthly P&amp;L'!JG78</f>
        <v>0</v>
      </c>
      <c r="JJ23" s="1">
        <f ca="1">'Monthly P&amp;L'!JH78</f>
        <v>0</v>
      </c>
      <c r="JK23" s="1">
        <f ca="1">'Monthly P&amp;L'!JI78</f>
        <v>0</v>
      </c>
      <c r="JL23" s="1">
        <f ca="1">'Monthly P&amp;L'!JJ78</f>
        <v>0</v>
      </c>
      <c r="JM23" s="1">
        <f ca="1">'Monthly P&amp;L'!JK78</f>
        <v>0</v>
      </c>
      <c r="JN23" s="1">
        <f ca="1">'Monthly P&amp;L'!JL78</f>
        <v>0</v>
      </c>
      <c r="JO23" s="1">
        <f ca="1">'Monthly P&amp;L'!JM78</f>
        <v>0</v>
      </c>
      <c r="JP23" s="1">
        <f ca="1">'Monthly P&amp;L'!JN78</f>
        <v>0</v>
      </c>
      <c r="JQ23" s="1">
        <f ca="1">'Monthly P&amp;L'!JO78</f>
        <v>0</v>
      </c>
      <c r="JR23" s="1">
        <f ca="1">'Monthly P&amp;L'!JP78</f>
        <v>0</v>
      </c>
      <c r="JS23" s="1">
        <f ca="1">'Monthly P&amp;L'!JQ78</f>
        <v>0</v>
      </c>
      <c r="JT23" s="1">
        <f ca="1">'Monthly P&amp;L'!JR78</f>
        <v>0</v>
      </c>
      <c r="JU23" s="1">
        <f ca="1">'Monthly P&amp;L'!JS78</f>
        <v>0</v>
      </c>
      <c r="JV23" s="1">
        <f ca="1">'Monthly P&amp;L'!JT78</f>
        <v>0</v>
      </c>
      <c r="JW23" s="1">
        <f ca="1">'Monthly P&amp;L'!JU78</f>
        <v>0</v>
      </c>
      <c r="JX23" s="1">
        <f ca="1">'Monthly P&amp;L'!JV78</f>
        <v>0</v>
      </c>
      <c r="JY23" s="1">
        <f ca="1">'Monthly P&amp;L'!JW78</f>
        <v>0</v>
      </c>
      <c r="JZ23" s="1">
        <f ca="1">'Monthly P&amp;L'!JX78</f>
        <v>0</v>
      </c>
      <c r="KA23" s="1">
        <f ca="1">'Monthly P&amp;L'!JY78</f>
        <v>0</v>
      </c>
      <c r="KB23" s="1">
        <f ca="1">'Monthly P&amp;L'!JZ78</f>
        <v>0</v>
      </c>
      <c r="KC23" s="1">
        <f ca="1">'Monthly P&amp;L'!KA78</f>
        <v>0</v>
      </c>
      <c r="KD23" s="1">
        <f ca="1">'Monthly P&amp;L'!KB78</f>
        <v>0</v>
      </c>
      <c r="KE23" s="1">
        <f ca="1">'Monthly P&amp;L'!KC78</f>
        <v>0</v>
      </c>
      <c r="KF23" s="1">
        <f ca="1">'Monthly P&amp;L'!KD78</f>
        <v>0</v>
      </c>
      <c r="KG23" s="1">
        <f ca="1">'Monthly P&amp;L'!KE78</f>
        <v>0</v>
      </c>
      <c r="KH23" s="1">
        <f ca="1">'Monthly P&amp;L'!KF78</f>
        <v>0</v>
      </c>
      <c r="KI23" s="1">
        <f ca="1">'Monthly P&amp;L'!KG78</f>
        <v>0</v>
      </c>
      <c r="KJ23" s="1">
        <f ca="1">'Monthly P&amp;L'!KH78</f>
        <v>0</v>
      </c>
      <c r="KK23" s="1">
        <f ca="1">'Monthly P&amp;L'!KI78</f>
        <v>0</v>
      </c>
      <c r="KL23" s="1">
        <f ca="1">'Monthly P&amp;L'!KJ78</f>
        <v>0</v>
      </c>
      <c r="KM23" s="1">
        <f ca="1">'Monthly P&amp;L'!KK78</f>
        <v>0</v>
      </c>
      <c r="KN23" s="1">
        <f ca="1">'Monthly P&amp;L'!KL78</f>
        <v>0</v>
      </c>
      <c r="KO23" s="1">
        <f ca="1">'Monthly P&amp;L'!KM78</f>
        <v>0</v>
      </c>
      <c r="KP23" s="1">
        <f ca="1">'Monthly P&amp;L'!KN78</f>
        <v>0</v>
      </c>
      <c r="KQ23" s="1">
        <f ca="1">'Monthly P&amp;L'!KO78</f>
        <v>0</v>
      </c>
      <c r="KR23" s="1">
        <f ca="1">'Monthly P&amp;L'!KP78</f>
        <v>0</v>
      </c>
      <c r="KS23" s="1">
        <f ca="1">'Monthly P&amp;L'!KQ78</f>
        <v>0</v>
      </c>
      <c r="KT23" s="1">
        <f ca="1">'Monthly P&amp;L'!KR78</f>
        <v>0</v>
      </c>
      <c r="KU23" s="1">
        <f ca="1">'Monthly P&amp;L'!KS78</f>
        <v>0</v>
      </c>
      <c r="KV23" s="1">
        <f ca="1">'Monthly P&amp;L'!KT78</f>
        <v>0</v>
      </c>
      <c r="KW23" s="1">
        <f ca="1">'Monthly P&amp;L'!KU78</f>
        <v>0</v>
      </c>
      <c r="KX23" s="1">
        <f ca="1">'Monthly P&amp;L'!KV78</f>
        <v>0</v>
      </c>
      <c r="KY23" s="1">
        <f ca="1">'Monthly P&amp;L'!KW78</f>
        <v>0</v>
      </c>
      <c r="KZ23" s="1">
        <f ca="1">'Monthly P&amp;L'!KX78</f>
        <v>0</v>
      </c>
      <c r="LA23" s="1">
        <f ca="1">'Monthly P&amp;L'!KY78</f>
        <v>0</v>
      </c>
      <c r="LB23" s="1">
        <f ca="1">'Monthly P&amp;L'!KZ78</f>
        <v>0</v>
      </c>
      <c r="LC23" s="1">
        <f ca="1">'Monthly P&amp;L'!LA78</f>
        <v>0</v>
      </c>
      <c r="LD23" s="1">
        <f ca="1">'Monthly P&amp;L'!LB78</f>
        <v>0</v>
      </c>
      <c r="LE23" s="1">
        <f ca="1">'Monthly P&amp;L'!LC78</f>
        <v>0</v>
      </c>
      <c r="LF23" s="1">
        <f ca="1">'Monthly P&amp;L'!LD78</f>
        <v>0</v>
      </c>
      <c r="LG23" s="1">
        <f ca="1">'Monthly P&amp;L'!LE78</f>
        <v>0</v>
      </c>
      <c r="LH23" s="1">
        <f ca="1">'Monthly P&amp;L'!LF78</f>
        <v>0</v>
      </c>
      <c r="LI23" s="1">
        <f ca="1">'Monthly P&amp;L'!LG78</f>
        <v>0</v>
      </c>
      <c r="LJ23" s="1">
        <f ca="1">'Monthly P&amp;L'!LH78</f>
        <v>0</v>
      </c>
      <c r="LK23" s="1">
        <f ca="1">'Monthly P&amp;L'!LI78</f>
        <v>0</v>
      </c>
      <c r="LL23" s="1">
        <f ca="1">'Monthly P&amp;L'!LJ78</f>
        <v>0</v>
      </c>
      <c r="LM23" s="1">
        <f ca="1">'Monthly P&amp;L'!LK78</f>
        <v>0</v>
      </c>
      <c r="LN23" s="1">
        <f ca="1">'Monthly P&amp;L'!LL78</f>
        <v>0</v>
      </c>
      <c r="LO23" s="1">
        <f ca="1">'Monthly P&amp;L'!LM78</f>
        <v>0</v>
      </c>
      <c r="LP23" s="1">
        <f ca="1">'Monthly P&amp;L'!LN78</f>
        <v>0</v>
      </c>
      <c r="LQ23" s="1">
        <f ca="1">'Monthly P&amp;L'!LO78</f>
        <v>0</v>
      </c>
      <c r="LR23" s="1">
        <f ca="1">'Monthly P&amp;L'!LP78</f>
        <v>0</v>
      </c>
      <c r="LS23" s="1">
        <f ca="1">'Monthly P&amp;L'!LQ78</f>
        <v>0</v>
      </c>
      <c r="LT23" s="1">
        <f ca="1">'Monthly P&amp;L'!LR78</f>
        <v>0</v>
      </c>
      <c r="LU23" s="1">
        <f ca="1">'Monthly P&amp;L'!LS78</f>
        <v>0</v>
      </c>
      <c r="LV23" s="1">
        <f ca="1">'Monthly P&amp;L'!LT78</f>
        <v>0</v>
      </c>
      <c r="LW23" s="1">
        <f ca="1">'Monthly P&amp;L'!LU78</f>
        <v>0</v>
      </c>
      <c r="LX23" s="1">
        <f ca="1">'Monthly P&amp;L'!LV78</f>
        <v>0</v>
      </c>
      <c r="LY23" s="1">
        <f ca="1">'Monthly P&amp;L'!LW78</f>
        <v>0</v>
      </c>
      <c r="LZ23" s="1">
        <f ca="1">'Monthly P&amp;L'!LX78</f>
        <v>0</v>
      </c>
      <c r="MA23" s="1">
        <f ca="1">'Monthly P&amp;L'!LY78</f>
        <v>0</v>
      </c>
      <c r="MB23" s="1">
        <f ca="1">'Monthly P&amp;L'!LZ78</f>
        <v>0</v>
      </c>
      <c r="MC23" s="1">
        <f ca="1">'Monthly P&amp;L'!MA78</f>
        <v>0</v>
      </c>
      <c r="MD23" s="1">
        <f ca="1">'Monthly P&amp;L'!MB78</f>
        <v>0</v>
      </c>
      <c r="ME23" s="1">
        <f ca="1">'Monthly P&amp;L'!MC78</f>
        <v>0</v>
      </c>
      <c r="MF23" s="1">
        <f ca="1">'Monthly P&amp;L'!MD78</f>
        <v>0</v>
      </c>
      <c r="MG23" s="1">
        <f ca="1">'Monthly P&amp;L'!ME78</f>
        <v>0</v>
      </c>
      <c r="MH23" s="1">
        <f ca="1">'Monthly P&amp;L'!MF78</f>
        <v>0</v>
      </c>
      <c r="MI23" s="1">
        <f ca="1">'Monthly P&amp;L'!MG78</f>
        <v>0</v>
      </c>
      <c r="MJ23" s="1">
        <f ca="1">'Monthly P&amp;L'!MH78</f>
        <v>0</v>
      </c>
      <c r="MK23" s="1">
        <f ca="1">'Monthly P&amp;L'!MI78</f>
        <v>0</v>
      </c>
      <c r="ML23" s="1">
        <f ca="1">'Monthly P&amp;L'!MJ78</f>
        <v>0</v>
      </c>
      <c r="MM23" s="1">
        <f ca="1">'Monthly P&amp;L'!MK78</f>
        <v>0</v>
      </c>
      <c r="MN23" s="1">
        <f ca="1">'Monthly P&amp;L'!ML78</f>
        <v>0</v>
      </c>
      <c r="MO23" s="1">
        <f ca="1">'Monthly P&amp;L'!MM78</f>
        <v>0</v>
      </c>
      <c r="MP23" s="1">
        <f ca="1">'Monthly P&amp;L'!MN78</f>
        <v>0</v>
      </c>
      <c r="MQ23" s="1">
        <f ca="1">'Monthly P&amp;L'!MO78</f>
        <v>0</v>
      </c>
      <c r="MR23" s="1">
        <f ca="1">'Monthly P&amp;L'!MP78</f>
        <v>0</v>
      </c>
      <c r="MS23" s="1">
        <f ca="1">'Monthly P&amp;L'!MQ78</f>
        <v>0</v>
      </c>
      <c r="MT23" s="1">
        <f ca="1">'Monthly P&amp;L'!MR78</f>
        <v>0</v>
      </c>
      <c r="MU23" s="1">
        <f ca="1">'Monthly P&amp;L'!MS78</f>
        <v>0</v>
      </c>
      <c r="MV23" s="1">
        <f ca="1">'Monthly P&amp;L'!MT78</f>
        <v>0</v>
      </c>
      <c r="MW23" s="1">
        <f ca="1">'Monthly P&amp;L'!MU78</f>
        <v>0</v>
      </c>
      <c r="MX23" s="1">
        <f ca="1">'Monthly P&amp;L'!MV78</f>
        <v>0</v>
      </c>
      <c r="MY23" s="1">
        <f ca="1">'Monthly P&amp;L'!MW78</f>
        <v>0</v>
      </c>
      <c r="MZ23" s="1">
        <f ca="1">'Monthly P&amp;L'!MX78</f>
        <v>0</v>
      </c>
      <c r="NA23" s="1">
        <f ca="1">'Monthly P&amp;L'!MY78</f>
        <v>0</v>
      </c>
      <c r="NB23" s="1">
        <f ca="1">'Monthly P&amp;L'!MZ78</f>
        <v>0</v>
      </c>
      <c r="NC23" s="1">
        <f ca="1">'Monthly P&amp;L'!NA78</f>
        <v>0</v>
      </c>
      <c r="ND23" s="1">
        <f ca="1">'Monthly P&amp;L'!NB78</f>
        <v>0</v>
      </c>
      <c r="NE23" s="100"/>
      <c r="NF23" s="100"/>
      <c r="NG23" s="100"/>
      <c r="NH23" s="100"/>
      <c r="NI23" s="100"/>
      <c r="NJ23" s="100"/>
      <c r="NK23" s="100"/>
      <c r="NL23" s="100"/>
      <c r="NM23" s="100"/>
      <c r="NN23" s="100"/>
      <c r="NO23" s="100"/>
      <c r="NP23" s="100"/>
      <c r="NQ23" s="100"/>
      <c r="NR23" s="100"/>
    </row>
    <row r="24" spans="2:382" x14ac:dyDescent="0.15">
      <c r="D24" s="40"/>
      <c r="E24" s="40"/>
      <c r="F24" s="40"/>
      <c r="G24" s="114"/>
      <c r="H24" s="40"/>
      <c r="I24" s="40"/>
      <c r="J24" s="40"/>
      <c r="K24" s="40"/>
      <c r="L24" s="40"/>
      <c r="M24" s="40"/>
      <c r="N24" s="40"/>
      <c r="O24" s="40"/>
      <c r="P24" s="40"/>
      <c r="Q24" s="40"/>
      <c r="R24" s="40"/>
      <c r="S24" s="40"/>
      <c r="T24" s="40"/>
      <c r="U24" s="40"/>
      <c r="V24" s="40"/>
      <c r="W24" s="40"/>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40"/>
      <c r="AW24" s="40"/>
      <c r="AX24" s="40"/>
      <c r="AY24" s="40"/>
      <c r="AZ24" s="40"/>
      <c r="BA24" s="40"/>
      <c r="BB24" s="40"/>
      <c r="BC24" s="40"/>
      <c r="BD24" s="40"/>
      <c r="BE24" s="40"/>
      <c r="BF24" s="40"/>
      <c r="BG24" s="40"/>
      <c r="BH24" s="40"/>
      <c r="BI24" s="40"/>
      <c r="BJ24" s="40"/>
      <c r="BK24" s="40"/>
      <c r="BL24" s="40"/>
      <c r="BM24" s="40"/>
      <c r="BN24" s="40"/>
      <c r="BO24" s="40"/>
      <c r="BP24" s="40"/>
      <c r="BQ24" s="40"/>
      <c r="BR24" s="40"/>
      <c r="BS24" s="40"/>
      <c r="BT24" s="40"/>
      <c r="BU24" s="40"/>
      <c r="BV24" s="40"/>
      <c r="BW24" s="40"/>
      <c r="BX24" s="40"/>
      <c r="BY24" s="40"/>
      <c r="BZ24" s="40"/>
      <c r="CA24" s="40"/>
      <c r="CB24" s="40"/>
      <c r="CC24" s="40"/>
      <c r="CD24" s="40"/>
      <c r="CE24" s="40"/>
      <c r="CF24" s="40"/>
      <c r="CG24" s="40"/>
      <c r="CH24" s="40"/>
      <c r="CI24" s="40"/>
      <c r="CJ24" s="40"/>
      <c r="CK24" s="40"/>
      <c r="CL24" s="40"/>
      <c r="CM24" s="40"/>
      <c r="CN24" s="40"/>
      <c r="CO24" s="40"/>
      <c r="CP24" s="40"/>
      <c r="CQ24" s="40"/>
      <c r="CR24" s="40"/>
      <c r="CS24" s="40"/>
      <c r="CT24" s="40"/>
      <c r="CU24" s="40"/>
      <c r="CV24" s="40"/>
      <c r="CW24" s="40"/>
      <c r="CX24" s="40"/>
      <c r="CY24" s="40"/>
      <c r="CZ24" s="40"/>
      <c r="DA24" s="40"/>
      <c r="DB24" s="40"/>
      <c r="DC24" s="40"/>
      <c r="DD24" s="40"/>
      <c r="DE24" s="40"/>
      <c r="DF24" s="40"/>
      <c r="DG24" s="40"/>
      <c r="DH24" s="40"/>
      <c r="DI24" s="40"/>
      <c r="DJ24" s="40"/>
      <c r="DK24" s="40"/>
      <c r="DL24" s="40"/>
      <c r="DM24" s="40"/>
      <c r="DN24" s="40"/>
      <c r="DO24" s="40"/>
      <c r="DP24" s="40"/>
      <c r="DQ24" s="40"/>
      <c r="DR24" s="40"/>
      <c r="DS24" s="40"/>
      <c r="DT24" s="40"/>
      <c r="DU24" s="40"/>
      <c r="DV24" s="40"/>
      <c r="DW24" s="40"/>
      <c r="DX24" s="40"/>
      <c r="DY24" s="40"/>
      <c r="DZ24" s="40"/>
      <c r="EA24" s="40"/>
      <c r="EB24" s="40"/>
      <c r="EC24" s="40"/>
      <c r="ED24" s="40"/>
      <c r="EE24" s="40"/>
      <c r="EF24" s="40"/>
      <c r="EG24" s="40"/>
      <c r="EH24" s="40"/>
      <c r="EI24" s="40"/>
      <c r="EJ24" s="40"/>
      <c r="EK24" s="40"/>
      <c r="EL24" s="40"/>
      <c r="EM24" s="40"/>
      <c r="EN24" s="40"/>
      <c r="EO24" s="40"/>
      <c r="EP24" s="40"/>
      <c r="EQ24" s="40"/>
      <c r="ER24" s="40"/>
      <c r="ES24" s="40"/>
      <c r="ET24" s="40"/>
      <c r="EU24" s="40"/>
      <c r="EV24" s="40"/>
      <c r="EW24" s="40"/>
      <c r="EX24" s="40"/>
      <c r="EY24" s="40"/>
      <c r="EZ24" s="40"/>
      <c r="FA24" s="40"/>
      <c r="FB24" s="40"/>
      <c r="FC24" s="40"/>
      <c r="FD24" s="40"/>
      <c r="FE24" s="40"/>
      <c r="FF24" s="40"/>
      <c r="FG24" s="40"/>
      <c r="FH24" s="40"/>
      <c r="FI24" s="40"/>
      <c r="FJ24" s="40"/>
      <c r="FK24" s="40"/>
      <c r="FL24" s="40"/>
      <c r="FM24" s="40"/>
      <c r="FN24" s="40"/>
      <c r="FO24" s="40"/>
      <c r="FP24" s="40"/>
      <c r="FQ24" s="40"/>
      <c r="FR24" s="40"/>
      <c r="FS24" s="40"/>
      <c r="FT24" s="40"/>
      <c r="FU24" s="40"/>
      <c r="FV24" s="40"/>
      <c r="FW24" s="40"/>
      <c r="FX24" s="40"/>
      <c r="FY24" s="40"/>
      <c r="FZ24" s="40"/>
      <c r="GA24" s="40"/>
      <c r="GB24" s="40"/>
      <c r="GC24" s="40"/>
      <c r="GD24" s="40"/>
      <c r="GE24" s="40"/>
      <c r="GF24" s="40"/>
      <c r="GG24" s="40"/>
      <c r="GH24" s="40"/>
      <c r="GI24" s="40"/>
      <c r="GJ24" s="40"/>
      <c r="GK24" s="40"/>
      <c r="GL24" s="40"/>
      <c r="GM24" s="40"/>
      <c r="GN24" s="40"/>
      <c r="GO24" s="40"/>
      <c r="GP24" s="40"/>
      <c r="GQ24" s="40"/>
      <c r="GR24" s="40"/>
      <c r="GS24" s="40"/>
      <c r="GT24" s="40"/>
      <c r="GU24" s="40"/>
      <c r="GV24" s="40"/>
      <c r="GW24" s="40"/>
      <c r="GX24" s="40"/>
      <c r="GY24" s="40"/>
      <c r="GZ24" s="40"/>
      <c r="HA24" s="40"/>
      <c r="HB24" s="40"/>
      <c r="HC24" s="40"/>
      <c r="HD24" s="40"/>
      <c r="HE24" s="40"/>
      <c r="HF24" s="40"/>
      <c r="HG24" s="40"/>
      <c r="HH24" s="40"/>
      <c r="HI24" s="40"/>
      <c r="HJ24" s="40"/>
      <c r="HK24" s="40"/>
      <c r="HL24" s="40"/>
      <c r="HM24" s="40"/>
      <c r="HN24" s="40"/>
      <c r="HO24" s="40"/>
      <c r="HP24" s="40"/>
      <c r="HQ24" s="40"/>
      <c r="HR24" s="40"/>
      <c r="HS24" s="40"/>
      <c r="HT24" s="40"/>
      <c r="HU24" s="40"/>
      <c r="HV24" s="40"/>
      <c r="HW24" s="40"/>
      <c r="HX24" s="40"/>
      <c r="HY24" s="40"/>
      <c r="HZ24" s="40"/>
      <c r="IA24" s="40"/>
      <c r="IB24" s="40"/>
      <c r="IC24" s="40"/>
      <c r="ID24" s="40"/>
      <c r="IE24" s="40"/>
      <c r="IF24" s="40"/>
      <c r="IG24" s="40"/>
      <c r="IH24" s="40"/>
      <c r="II24" s="40"/>
      <c r="IJ24" s="40"/>
      <c r="IK24" s="40"/>
      <c r="IL24" s="40"/>
      <c r="IM24" s="40"/>
      <c r="IN24" s="40"/>
      <c r="IO24" s="40"/>
      <c r="IP24" s="40"/>
      <c r="IQ24" s="40"/>
      <c r="IR24" s="40"/>
      <c r="IS24" s="40"/>
      <c r="IT24" s="40"/>
      <c r="IU24" s="40"/>
      <c r="IV24" s="40"/>
      <c r="IW24" s="40"/>
      <c r="IX24" s="40"/>
      <c r="IY24" s="40"/>
      <c r="IZ24" s="40"/>
      <c r="JA24" s="40"/>
      <c r="JB24" s="40"/>
      <c r="JC24" s="40"/>
      <c r="JD24" s="40"/>
      <c r="JE24" s="40"/>
      <c r="JF24" s="40"/>
      <c r="JG24" s="40"/>
      <c r="JH24" s="40"/>
      <c r="JI24" s="40"/>
      <c r="JJ24" s="40"/>
      <c r="JK24" s="40"/>
      <c r="JL24" s="40"/>
      <c r="JM24" s="40"/>
      <c r="JN24" s="40"/>
      <c r="JO24" s="40"/>
      <c r="JP24" s="40"/>
      <c r="JQ24" s="40"/>
      <c r="JR24" s="40"/>
      <c r="JS24" s="40"/>
      <c r="JT24" s="40"/>
      <c r="JU24" s="40"/>
      <c r="JV24" s="40"/>
      <c r="JW24" s="40"/>
      <c r="JX24" s="40"/>
      <c r="JY24" s="40"/>
      <c r="JZ24" s="40"/>
      <c r="KA24" s="40"/>
      <c r="KB24" s="40"/>
      <c r="KC24" s="40"/>
      <c r="KD24" s="40"/>
      <c r="KE24" s="40"/>
      <c r="KF24" s="40"/>
      <c r="KG24" s="40"/>
      <c r="KH24" s="40"/>
      <c r="KI24" s="40"/>
      <c r="KJ24" s="40"/>
      <c r="KK24" s="40"/>
      <c r="KL24" s="40"/>
      <c r="KM24" s="40"/>
      <c r="KN24" s="40"/>
      <c r="KO24" s="40"/>
      <c r="KP24" s="40"/>
      <c r="KQ24" s="40"/>
      <c r="KR24" s="40"/>
      <c r="KS24" s="40"/>
      <c r="KT24" s="40"/>
      <c r="KU24" s="40"/>
      <c r="KV24" s="40"/>
      <c r="KW24" s="40"/>
      <c r="KX24" s="40"/>
      <c r="KY24" s="40"/>
      <c r="KZ24" s="40"/>
      <c r="LA24" s="40"/>
      <c r="LB24" s="40"/>
      <c r="LC24" s="40"/>
      <c r="LD24" s="40"/>
      <c r="LE24" s="40"/>
      <c r="LF24" s="40"/>
      <c r="LG24" s="40"/>
      <c r="LH24" s="40"/>
      <c r="LI24" s="40"/>
      <c r="LJ24" s="40"/>
      <c r="LK24" s="40"/>
      <c r="LL24" s="40"/>
      <c r="LM24" s="40"/>
      <c r="LN24" s="40"/>
      <c r="LO24" s="40"/>
      <c r="LP24" s="40"/>
      <c r="LQ24" s="40"/>
      <c r="LR24" s="40"/>
      <c r="LS24" s="40"/>
      <c r="LT24" s="40"/>
      <c r="LU24" s="40"/>
      <c r="LV24" s="40"/>
      <c r="LW24" s="40"/>
      <c r="LX24" s="40"/>
      <c r="LY24" s="40"/>
      <c r="LZ24" s="40"/>
      <c r="MA24" s="40"/>
      <c r="MB24" s="40"/>
      <c r="MC24" s="40"/>
      <c r="MD24" s="40"/>
      <c r="ME24" s="40"/>
      <c r="MF24" s="40"/>
      <c r="MG24" s="40"/>
      <c r="MH24" s="40"/>
      <c r="MI24" s="40"/>
      <c r="MJ24" s="40"/>
      <c r="MK24" s="40"/>
      <c r="ML24" s="40"/>
      <c r="MM24" s="40"/>
      <c r="MN24" s="40"/>
      <c r="MO24" s="40"/>
      <c r="MP24" s="40"/>
      <c r="MQ24" s="40"/>
      <c r="MR24" s="40"/>
      <c r="MS24" s="40"/>
      <c r="MT24" s="40"/>
      <c r="MU24" s="40"/>
      <c r="MV24" s="40"/>
      <c r="MW24" s="40"/>
      <c r="MX24" s="40"/>
      <c r="MY24" s="40"/>
      <c r="MZ24" s="40"/>
      <c r="NA24" s="40"/>
      <c r="NB24" s="40"/>
      <c r="NC24" s="40"/>
      <c r="ND24" s="40"/>
      <c r="NE24" s="40"/>
      <c r="NF24" s="40"/>
      <c r="NG24" s="40"/>
      <c r="NH24" s="40"/>
      <c r="NI24" s="40"/>
      <c r="NJ24" s="40"/>
      <c r="NK24" s="40"/>
      <c r="NL24" s="40"/>
      <c r="NM24" s="40"/>
      <c r="NN24" s="40"/>
      <c r="NO24" s="40"/>
      <c r="NP24" s="40"/>
      <c r="NQ24" s="40"/>
      <c r="NR24" s="40"/>
    </row>
    <row r="25" spans="2:382" x14ac:dyDescent="0.15">
      <c r="B25" s="518" t="s">
        <v>164</v>
      </c>
      <c r="C25" s="115" t="str">
        <f>_xlfn.CONCAT(C3, " Equity")</f>
        <v>Aaron (Manager) Equity</v>
      </c>
      <c r="D25" s="52">
        <f>D3</f>
        <v>0.30000000000000004</v>
      </c>
      <c r="E25" s="40">
        <f>$D$25*D10</f>
        <v>755905.20000000007</v>
      </c>
      <c r="F25" s="40"/>
      <c r="G25" s="114"/>
      <c r="H25" s="40"/>
      <c r="I25" s="40">
        <f>$E$25</f>
        <v>755905.20000000007</v>
      </c>
      <c r="J25" s="40">
        <f>I25-I29</f>
        <v>755905.20000000007</v>
      </c>
      <c r="K25" s="40">
        <f t="shared" ref="K25:BV25" si="284">J25-J29</f>
        <v>755905.20000000007</v>
      </c>
      <c r="L25" s="40">
        <f t="shared" si="284"/>
        <v>755905.20000000007</v>
      </c>
      <c r="M25" s="40">
        <f t="shared" si="284"/>
        <v>755905.20000000007</v>
      </c>
      <c r="N25" s="40">
        <f t="shared" si="284"/>
        <v>755905.20000000007</v>
      </c>
      <c r="O25" s="40">
        <f t="shared" si="284"/>
        <v>755905.20000000007</v>
      </c>
      <c r="P25" s="40">
        <f t="shared" si="284"/>
        <v>755905.20000000007</v>
      </c>
      <c r="Q25" s="40">
        <f t="shared" si="284"/>
        <v>755905.20000000007</v>
      </c>
      <c r="R25" s="40">
        <f t="shared" si="284"/>
        <v>755905.20000000007</v>
      </c>
      <c r="S25" s="40">
        <f t="shared" si="284"/>
        <v>755905.20000000007</v>
      </c>
      <c r="T25" s="40">
        <f t="shared" si="284"/>
        <v>755905.20000000007</v>
      </c>
      <c r="U25" s="40">
        <f t="shared" si="284"/>
        <v>755905.20000000007</v>
      </c>
      <c r="V25" s="40">
        <f t="shared" si="284"/>
        <v>755905.20000000007</v>
      </c>
      <c r="W25" s="40">
        <f t="shared" si="284"/>
        <v>755905.20000000007</v>
      </c>
      <c r="X25" s="40">
        <f t="shared" si="284"/>
        <v>755905.20000000007</v>
      </c>
      <c r="Y25" s="40">
        <f t="shared" si="284"/>
        <v>755905.20000000007</v>
      </c>
      <c r="Z25" s="40">
        <f t="shared" si="284"/>
        <v>755905.20000000007</v>
      </c>
      <c r="AA25" s="40">
        <f t="shared" si="284"/>
        <v>755905.20000000007</v>
      </c>
      <c r="AB25" s="40">
        <f t="shared" si="284"/>
        <v>755905.20000000007</v>
      </c>
      <c r="AC25" s="40">
        <f t="shared" si="284"/>
        <v>755905.20000000007</v>
      </c>
      <c r="AD25" s="40">
        <f t="shared" si="284"/>
        <v>755905.20000000007</v>
      </c>
      <c r="AE25" s="40">
        <f t="shared" si="284"/>
        <v>755905.20000000007</v>
      </c>
      <c r="AF25" s="40">
        <f t="shared" si="284"/>
        <v>755905.20000000007</v>
      </c>
      <c r="AG25" s="40">
        <f t="shared" si="284"/>
        <v>755905.20000000007</v>
      </c>
      <c r="AH25" s="40">
        <f t="shared" si="284"/>
        <v>755905.20000000007</v>
      </c>
      <c r="AI25" s="40">
        <f t="shared" si="284"/>
        <v>755905.20000000007</v>
      </c>
      <c r="AJ25" s="40">
        <f t="shared" si="284"/>
        <v>755905.20000000007</v>
      </c>
      <c r="AK25" s="40">
        <f t="shared" si="284"/>
        <v>755905.20000000007</v>
      </c>
      <c r="AL25" s="40">
        <f t="shared" si="284"/>
        <v>755905.20000000007</v>
      </c>
      <c r="AM25" s="40">
        <f t="shared" si="284"/>
        <v>755905.20000000007</v>
      </c>
      <c r="AN25" s="40">
        <f t="shared" si="284"/>
        <v>755905.20000000007</v>
      </c>
      <c r="AO25" s="40">
        <f t="shared" si="284"/>
        <v>755905.20000000007</v>
      </c>
      <c r="AP25" s="40">
        <f t="shared" si="284"/>
        <v>755905.20000000007</v>
      </c>
      <c r="AQ25" s="40">
        <f t="shared" si="284"/>
        <v>755905.20000000007</v>
      </c>
      <c r="AR25" s="40">
        <f t="shared" si="284"/>
        <v>755905.20000000007</v>
      </c>
      <c r="AS25" s="40">
        <f t="shared" si="284"/>
        <v>755905.20000000007</v>
      </c>
      <c r="AT25" s="40">
        <f t="shared" si="284"/>
        <v>755905.20000000007</v>
      </c>
      <c r="AU25" s="40">
        <f t="shared" si="284"/>
        <v>755905.20000000007</v>
      </c>
      <c r="AV25" s="40">
        <f t="shared" si="284"/>
        <v>755905.20000000007</v>
      </c>
      <c r="AW25" s="40">
        <f t="shared" si="284"/>
        <v>755905.20000000007</v>
      </c>
      <c r="AX25" s="40">
        <f t="shared" si="284"/>
        <v>755905.20000000007</v>
      </c>
      <c r="AY25" s="40">
        <f t="shared" si="284"/>
        <v>755905.20000000007</v>
      </c>
      <c r="AZ25" s="40">
        <f t="shared" si="284"/>
        <v>755905.20000000007</v>
      </c>
      <c r="BA25" s="40">
        <f t="shared" si="284"/>
        <v>755905.20000000007</v>
      </c>
      <c r="BB25" s="40">
        <f t="shared" si="284"/>
        <v>755905.20000000007</v>
      </c>
      <c r="BC25" s="40">
        <f t="shared" si="284"/>
        <v>755905.20000000007</v>
      </c>
      <c r="BD25" s="40">
        <f t="shared" si="284"/>
        <v>755905.20000000007</v>
      </c>
      <c r="BE25" s="40">
        <f t="shared" si="284"/>
        <v>755905.20000000007</v>
      </c>
      <c r="BF25" s="40">
        <f t="shared" si="284"/>
        <v>755905.20000000007</v>
      </c>
      <c r="BG25" s="40">
        <f t="shared" si="284"/>
        <v>755905.20000000007</v>
      </c>
      <c r="BH25" s="40">
        <f t="shared" si="284"/>
        <v>755905.20000000007</v>
      </c>
      <c r="BI25" s="40">
        <f t="shared" si="284"/>
        <v>755905.20000000007</v>
      </c>
      <c r="BJ25" s="40">
        <f t="shared" si="284"/>
        <v>755905.20000000007</v>
      </c>
      <c r="BK25" s="40">
        <f t="shared" si="284"/>
        <v>755905.20000000007</v>
      </c>
      <c r="BL25" s="40">
        <f t="shared" si="284"/>
        <v>755905.20000000007</v>
      </c>
      <c r="BM25" s="40">
        <f t="shared" si="284"/>
        <v>755905.20000000007</v>
      </c>
      <c r="BN25" s="40">
        <f t="shared" si="284"/>
        <v>755905.20000000007</v>
      </c>
      <c r="BO25" s="40">
        <f t="shared" si="284"/>
        <v>755905.20000000007</v>
      </c>
      <c r="BP25" s="40">
        <f t="shared" si="284"/>
        <v>755905.20000000007</v>
      </c>
      <c r="BQ25" s="40">
        <f t="shared" si="284"/>
        <v>755905.20000000007</v>
      </c>
      <c r="BR25" s="40">
        <f t="shared" si="284"/>
        <v>755905.20000000007</v>
      </c>
      <c r="BS25" s="40">
        <f t="shared" si="284"/>
        <v>755905.20000000007</v>
      </c>
      <c r="BT25" s="40">
        <f t="shared" si="284"/>
        <v>755905.20000000007</v>
      </c>
      <c r="BU25" s="40">
        <f t="shared" si="284"/>
        <v>755905.20000000007</v>
      </c>
      <c r="BV25" s="40">
        <f t="shared" si="284"/>
        <v>755905.20000000007</v>
      </c>
      <c r="BW25" s="40">
        <f t="shared" ref="BW25:EH25" si="285">BV25-BV29</f>
        <v>755905.20000000007</v>
      </c>
      <c r="BX25" s="40">
        <f t="shared" si="285"/>
        <v>755905.20000000007</v>
      </c>
      <c r="BY25" s="40">
        <f t="shared" si="285"/>
        <v>755905.20000000007</v>
      </c>
      <c r="BZ25" s="40">
        <f t="shared" si="285"/>
        <v>755905.20000000007</v>
      </c>
      <c r="CA25" s="40">
        <f t="shared" si="285"/>
        <v>755905.20000000007</v>
      </c>
      <c r="CB25" s="40">
        <f t="shared" si="285"/>
        <v>755905.20000000007</v>
      </c>
      <c r="CC25" s="40">
        <f t="shared" si="285"/>
        <v>755905.20000000007</v>
      </c>
      <c r="CD25" s="40">
        <f t="shared" si="285"/>
        <v>755905.20000000007</v>
      </c>
      <c r="CE25" s="40">
        <f t="shared" si="285"/>
        <v>755905.20000000007</v>
      </c>
      <c r="CF25" s="40">
        <f t="shared" si="285"/>
        <v>755905.20000000007</v>
      </c>
      <c r="CG25" s="40">
        <f t="shared" si="285"/>
        <v>755905.20000000007</v>
      </c>
      <c r="CH25" s="40">
        <f t="shared" si="285"/>
        <v>755905.20000000007</v>
      </c>
      <c r="CI25" s="40">
        <f t="shared" si="285"/>
        <v>755905.20000000007</v>
      </c>
      <c r="CJ25" s="40">
        <f t="shared" si="285"/>
        <v>755905.20000000007</v>
      </c>
      <c r="CK25" s="40">
        <f t="shared" si="285"/>
        <v>755905.20000000007</v>
      </c>
      <c r="CL25" s="40">
        <f t="shared" si="285"/>
        <v>755905.20000000007</v>
      </c>
      <c r="CM25" s="40">
        <f t="shared" si="285"/>
        <v>755905.20000000007</v>
      </c>
      <c r="CN25" s="40">
        <f t="shared" si="285"/>
        <v>755905.20000000007</v>
      </c>
      <c r="CO25" s="40">
        <f t="shared" si="285"/>
        <v>755905.20000000007</v>
      </c>
      <c r="CP25" s="40">
        <f t="shared" si="285"/>
        <v>755905.20000000007</v>
      </c>
      <c r="CQ25" s="40">
        <f t="shared" si="285"/>
        <v>755905.20000000007</v>
      </c>
      <c r="CR25" s="40">
        <f t="shared" si="285"/>
        <v>755905.20000000007</v>
      </c>
      <c r="CS25" s="40">
        <f t="shared" si="285"/>
        <v>755905.20000000007</v>
      </c>
      <c r="CT25" s="40">
        <f t="shared" si="285"/>
        <v>755905.20000000007</v>
      </c>
      <c r="CU25" s="40">
        <f t="shared" si="285"/>
        <v>755905.20000000007</v>
      </c>
      <c r="CV25" s="40">
        <f t="shared" si="285"/>
        <v>755905.20000000007</v>
      </c>
      <c r="CW25" s="40">
        <f t="shared" si="285"/>
        <v>755905.20000000007</v>
      </c>
      <c r="CX25" s="40">
        <f t="shared" si="285"/>
        <v>755905.20000000007</v>
      </c>
      <c r="CY25" s="40">
        <f t="shared" si="285"/>
        <v>755905.20000000007</v>
      </c>
      <c r="CZ25" s="40">
        <f t="shared" si="285"/>
        <v>755905.20000000007</v>
      </c>
      <c r="DA25" s="40">
        <f t="shared" si="285"/>
        <v>755905.20000000007</v>
      </c>
      <c r="DB25" s="40">
        <f t="shared" si="285"/>
        <v>755905.20000000007</v>
      </c>
      <c r="DC25" s="40">
        <f t="shared" si="285"/>
        <v>755905.20000000007</v>
      </c>
      <c r="DD25" s="40">
        <f t="shared" si="285"/>
        <v>755905.20000000007</v>
      </c>
      <c r="DE25" s="40">
        <f t="shared" si="285"/>
        <v>755905.20000000007</v>
      </c>
      <c r="DF25" s="40">
        <f t="shared" si="285"/>
        <v>755905.20000000007</v>
      </c>
      <c r="DG25" s="40">
        <f t="shared" si="285"/>
        <v>755905.20000000007</v>
      </c>
      <c r="DH25" s="40">
        <f t="shared" si="285"/>
        <v>755905.20000000007</v>
      </c>
      <c r="DI25" s="40">
        <f t="shared" si="285"/>
        <v>755905.20000000007</v>
      </c>
      <c r="DJ25" s="40">
        <f t="shared" si="285"/>
        <v>755905.20000000007</v>
      </c>
      <c r="DK25" s="40">
        <f t="shared" si="285"/>
        <v>755905.20000000007</v>
      </c>
      <c r="DL25" s="40">
        <f t="shared" si="285"/>
        <v>755905.20000000007</v>
      </c>
      <c r="DM25" s="40">
        <f t="shared" si="285"/>
        <v>755905.20000000007</v>
      </c>
      <c r="DN25" s="40">
        <f t="shared" si="285"/>
        <v>755905.20000000007</v>
      </c>
      <c r="DO25" s="40">
        <f t="shared" si="285"/>
        <v>755905.20000000007</v>
      </c>
      <c r="DP25" s="40">
        <f t="shared" si="285"/>
        <v>755905.20000000007</v>
      </c>
      <c r="DQ25" s="40">
        <f t="shared" si="285"/>
        <v>755905.20000000007</v>
      </c>
      <c r="DR25" s="40">
        <f t="shared" si="285"/>
        <v>755905.20000000007</v>
      </c>
      <c r="DS25" s="40">
        <f t="shared" si="285"/>
        <v>755905.20000000007</v>
      </c>
      <c r="DT25" s="40">
        <f t="shared" si="285"/>
        <v>755905.20000000007</v>
      </c>
      <c r="DU25" s="40">
        <f t="shared" si="285"/>
        <v>755905.20000000007</v>
      </c>
      <c r="DV25" s="40">
        <f t="shared" si="285"/>
        <v>755905.20000000007</v>
      </c>
      <c r="DW25" s="40">
        <f t="shared" si="285"/>
        <v>755905.20000000007</v>
      </c>
      <c r="DX25" s="40">
        <f t="shared" si="285"/>
        <v>755905.20000000007</v>
      </c>
      <c r="DY25" s="40">
        <f t="shared" si="285"/>
        <v>755905.20000000007</v>
      </c>
      <c r="DZ25" s="40">
        <f t="shared" si="285"/>
        <v>755905.20000000007</v>
      </c>
      <c r="EA25" s="40">
        <f t="shared" si="285"/>
        <v>755905.20000000007</v>
      </c>
      <c r="EB25" s="40">
        <f t="shared" si="285"/>
        <v>755905.20000000007</v>
      </c>
      <c r="EC25" s="40">
        <f t="shared" si="285"/>
        <v>755905.20000000007</v>
      </c>
      <c r="ED25" s="40">
        <f t="shared" si="285"/>
        <v>755905.20000000007</v>
      </c>
      <c r="EE25" s="40">
        <f t="shared" si="285"/>
        <v>755905.20000000007</v>
      </c>
      <c r="EF25" s="40">
        <f t="shared" si="285"/>
        <v>755905.20000000007</v>
      </c>
      <c r="EG25" s="40">
        <f t="shared" si="285"/>
        <v>755905.20000000007</v>
      </c>
      <c r="EH25" s="40">
        <f t="shared" si="285"/>
        <v>755905.20000000007</v>
      </c>
      <c r="EI25" s="40">
        <f t="shared" ref="EI25:GT25" si="286">EH25-EH29</f>
        <v>755905.20000000007</v>
      </c>
      <c r="EJ25" s="40">
        <f t="shared" si="286"/>
        <v>755905.20000000007</v>
      </c>
      <c r="EK25" s="40">
        <f t="shared" si="286"/>
        <v>755905.20000000007</v>
      </c>
      <c r="EL25" s="40">
        <f t="shared" si="286"/>
        <v>755905.20000000007</v>
      </c>
      <c r="EM25" s="40">
        <f t="shared" si="286"/>
        <v>755905.20000000007</v>
      </c>
      <c r="EN25" s="40">
        <f t="shared" si="286"/>
        <v>755905.20000000007</v>
      </c>
      <c r="EO25" s="40">
        <f t="shared" si="286"/>
        <v>755905.20000000007</v>
      </c>
      <c r="EP25" s="40">
        <f t="shared" si="286"/>
        <v>755905.20000000007</v>
      </c>
      <c r="EQ25" s="40">
        <f t="shared" si="286"/>
        <v>755905.20000000007</v>
      </c>
      <c r="ER25" s="40">
        <f t="shared" si="286"/>
        <v>755905.20000000007</v>
      </c>
      <c r="ES25" s="40">
        <f t="shared" si="286"/>
        <v>755905.20000000007</v>
      </c>
      <c r="ET25" s="40">
        <f t="shared" si="286"/>
        <v>755905.20000000007</v>
      </c>
      <c r="EU25" s="40">
        <f t="shared" si="286"/>
        <v>755905.20000000007</v>
      </c>
      <c r="EV25" s="40">
        <f t="shared" si="286"/>
        <v>755905.20000000007</v>
      </c>
      <c r="EW25" s="40">
        <f t="shared" si="286"/>
        <v>755905.20000000007</v>
      </c>
      <c r="EX25" s="40">
        <f t="shared" si="286"/>
        <v>755905.20000000007</v>
      </c>
      <c r="EY25" s="40">
        <f t="shared" si="286"/>
        <v>755905.20000000007</v>
      </c>
      <c r="EZ25" s="40">
        <f t="shared" si="286"/>
        <v>755905.20000000007</v>
      </c>
      <c r="FA25" s="40">
        <f t="shared" si="286"/>
        <v>755905.20000000007</v>
      </c>
      <c r="FB25" s="40">
        <f t="shared" si="286"/>
        <v>755905.20000000007</v>
      </c>
      <c r="FC25" s="40">
        <f t="shared" si="286"/>
        <v>755905.20000000007</v>
      </c>
      <c r="FD25" s="40">
        <f t="shared" si="286"/>
        <v>755905.20000000007</v>
      </c>
      <c r="FE25" s="40">
        <f t="shared" si="286"/>
        <v>755905.20000000007</v>
      </c>
      <c r="FF25" s="40">
        <f t="shared" si="286"/>
        <v>755905.20000000007</v>
      </c>
      <c r="FG25" s="40">
        <f t="shared" si="286"/>
        <v>755905.20000000007</v>
      </c>
      <c r="FH25" s="40">
        <f t="shared" si="286"/>
        <v>755905.20000000007</v>
      </c>
      <c r="FI25" s="40">
        <f t="shared" si="286"/>
        <v>755905.20000000007</v>
      </c>
      <c r="FJ25" s="40">
        <f t="shared" si="286"/>
        <v>755905.20000000007</v>
      </c>
      <c r="FK25" s="40">
        <f t="shared" si="286"/>
        <v>755905.20000000007</v>
      </c>
      <c r="FL25" s="40">
        <f t="shared" si="286"/>
        <v>755905.20000000007</v>
      </c>
      <c r="FM25" s="40">
        <f t="shared" si="286"/>
        <v>755905.20000000007</v>
      </c>
      <c r="FN25" s="40">
        <f t="shared" si="286"/>
        <v>755905.20000000007</v>
      </c>
      <c r="FO25" s="40">
        <f t="shared" si="286"/>
        <v>755905.20000000007</v>
      </c>
      <c r="FP25" s="40">
        <f t="shared" si="286"/>
        <v>755905.20000000007</v>
      </c>
      <c r="FQ25" s="40">
        <f t="shared" si="286"/>
        <v>755905.20000000007</v>
      </c>
      <c r="FR25" s="40">
        <f t="shared" si="286"/>
        <v>755905.20000000007</v>
      </c>
      <c r="FS25" s="40">
        <f t="shared" si="286"/>
        <v>755905.20000000007</v>
      </c>
      <c r="FT25" s="40">
        <f t="shared" si="286"/>
        <v>755905.20000000007</v>
      </c>
      <c r="FU25" s="40">
        <f t="shared" si="286"/>
        <v>755905.20000000007</v>
      </c>
      <c r="FV25" s="40">
        <f t="shared" si="286"/>
        <v>755905.20000000007</v>
      </c>
      <c r="FW25" s="40">
        <f t="shared" si="286"/>
        <v>755905.20000000007</v>
      </c>
      <c r="FX25" s="40">
        <f t="shared" si="286"/>
        <v>755905.20000000007</v>
      </c>
      <c r="FY25" s="40">
        <f t="shared" si="286"/>
        <v>755905.20000000007</v>
      </c>
      <c r="FZ25" s="40">
        <f t="shared" si="286"/>
        <v>755905.20000000007</v>
      </c>
      <c r="GA25" s="40">
        <f t="shared" si="286"/>
        <v>755905.20000000007</v>
      </c>
      <c r="GB25" s="40">
        <f t="shared" si="286"/>
        <v>755905.20000000007</v>
      </c>
      <c r="GC25" s="40">
        <f t="shared" si="286"/>
        <v>755905.20000000007</v>
      </c>
      <c r="GD25" s="40">
        <f t="shared" si="286"/>
        <v>755905.20000000007</v>
      </c>
      <c r="GE25" s="40">
        <f t="shared" si="286"/>
        <v>755905.20000000007</v>
      </c>
      <c r="GF25" s="40">
        <f t="shared" si="286"/>
        <v>755905.20000000007</v>
      </c>
      <c r="GG25" s="40">
        <f t="shared" ca="1" si="286"/>
        <v>0</v>
      </c>
      <c r="GH25" s="40">
        <f t="shared" ca="1" si="286"/>
        <v>0</v>
      </c>
      <c r="GI25" s="40">
        <f t="shared" ca="1" si="286"/>
        <v>0</v>
      </c>
      <c r="GJ25" s="40">
        <f t="shared" ca="1" si="286"/>
        <v>0</v>
      </c>
      <c r="GK25" s="40">
        <f t="shared" ca="1" si="286"/>
        <v>0</v>
      </c>
      <c r="GL25" s="40">
        <f t="shared" ca="1" si="286"/>
        <v>0</v>
      </c>
      <c r="GM25" s="40">
        <f t="shared" ca="1" si="286"/>
        <v>0</v>
      </c>
      <c r="GN25" s="40">
        <f t="shared" ca="1" si="286"/>
        <v>0</v>
      </c>
      <c r="GO25" s="40">
        <f t="shared" ca="1" si="286"/>
        <v>0</v>
      </c>
      <c r="GP25" s="40">
        <f t="shared" ca="1" si="286"/>
        <v>0</v>
      </c>
      <c r="GQ25" s="40">
        <f t="shared" ca="1" si="286"/>
        <v>0</v>
      </c>
      <c r="GR25" s="40">
        <f t="shared" ca="1" si="286"/>
        <v>0</v>
      </c>
      <c r="GS25" s="40">
        <f t="shared" ca="1" si="286"/>
        <v>0</v>
      </c>
      <c r="GT25" s="40">
        <f t="shared" ca="1" si="286"/>
        <v>0</v>
      </c>
      <c r="GU25" s="40">
        <f t="shared" ref="GU25:IN25" ca="1" si="287">GT25-GT29</f>
        <v>0</v>
      </c>
      <c r="GV25" s="40">
        <f t="shared" ca="1" si="287"/>
        <v>0</v>
      </c>
      <c r="GW25" s="40">
        <f t="shared" ca="1" si="287"/>
        <v>0</v>
      </c>
      <c r="GX25" s="40">
        <f t="shared" ca="1" si="287"/>
        <v>0</v>
      </c>
      <c r="GY25" s="40">
        <f t="shared" ca="1" si="287"/>
        <v>0</v>
      </c>
      <c r="GZ25" s="40">
        <f t="shared" ca="1" si="287"/>
        <v>0</v>
      </c>
      <c r="HA25" s="40">
        <f t="shared" ca="1" si="287"/>
        <v>0</v>
      </c>
      <c r="HB25" s="40">
        <f t="shared" ca="1" si="287"/>
        <v>0</v>
      </c>
      <c r="HC25" s="40">
        <f t="shared" ca="1" si="287"/>
        <v>0</v>
      </c>
      <c r="HD25" s="40">
        <f t="shared" ca="1" si="287"/>
        <v>0</v>
      </c>
      <c r="HE25" s="40">
        <f t="shared" ca="1" si="287"/>
        <v>0</v>
      </c>
      <c r="HF25" s="40">
        <f t="shared" ca="1" si="287"/>
        <v>0</v>
      </c>
      <c r="HG25" s="40">
        <f t="shared" ca="1" si="287"/>
        <v>0</v>
      </c>
      <c r="HH25" s="40">
        <f t="shared" ca="1" si="287"/>
        <v>0</v>
      </c>
      <c r="HI25" s="40">
        <f t="shared" ca="1" si="287"/>
        <v>0</v>
      </c>
      <c r="HJ25" s="40">
        <f t="shared" ca="1" si="287"/>
        <v>0</v>
      </c>
      <c r="HK25" s="40">
        <f t="shared" ca="1" si="287"/>
        <v>0</v>
      </c>
      <c r="HL25" s="40">
        <f t="shared" ca="1" si="287"/>
        <v>0</v>
      </c>
      <c r="HM25" s="40">
        <f t="shared" ca="1" si="287"/>
        <v>0</v>
      </c>
      <c r="HN25" s="40">
        <f t="shared" ca="1" si="287"/>
        <v>0</v>
      </c>
      <c r="HO25" s="40">
        <f t="shared" ca="1" si="287"/>
        <v>0</v>
      </c>
      <c r="HP25" s="40">
        <f t="shared" ca="1" si="287"/>
        <v>0</v>
      </c>
      <c r="HQ25" s="40">
        <f t="shared" ca="1" si="287"/>
        <v>0</v>
      </c>
      <c r="HR25" s="40">
        <f t="shared" ca="1" si="287"/>
        <v>0</v>
      </c>
      <c r="HS25" s="40">
        <f t="shared" ca="1" si="287"/>
        <v>0</v>
      </c>
      <c r="HT25" s="40">
        <f t="shared" ca="1" si="287"/>
        <v>0</v>
      </c>
      <c r="HU25" s="40">
        <f t="shared" ca="1" si="287"/>
        <v>0</v>
      </c>
      <c r="HV25" s="40">
        <f t="shared" ca="1" si="287"/>
        <v>0</v>
      </c>
      <c r="HW25" s="40">
        <f t="shared" ca="1" si="287"/>
        <v>0</v>
      </c>
      <c r="HX25" s="40">
        <f t="shared" ca="1" si="287"/>
        <v>0</v>
      </c>
      <c r="HY25" s="40">
        <f t="shared" ca="1" si="287"/>
        <v>0</v>
      </c>
      <c r="HZ25" s="40">
        <f t="shared" ca="1" si="287"/>
        <v>0</v>
      </c>
      <c r="IA25" s="40">
        <f t="shared" ca="1" si="287"/>
        <v>0</v>
      </c>
      <c r="IB25" s="40">
        <f t="shared" ca="1" si="287"/>
        <v>0</v>
      </c>
      <c r="IC25" s="40">
        <f t="shared" ca="1" si="287"/>
        <v>0</v>
      </c>
      <c r="ID25" s="40">
        <f t="shared" ca="1" si="287"/>
        <v>0</v>
      </c>
      <c r="IE25" s="40">
        <f t="shared" ca="1" si="287"/>
        <v>0</v>
      </c>
      <c r="IF25" s="40">
        <f t="shared" ca="1" si="287"/>
        <v>0</v>
      </c>
      <c r="IG25" s="40">
        <f t="shared" ca="1" si="287"/>
        <v>0</v>
      </c>
      <c r="IH25" s="40">
        <f t="shared" ca="1" si="287"/>
        <v>0</v>
      </c>
      <c r="II25" s="40">
        <f t="shared" ca="1" si="287"/>
        <v>0</v>
      </c>
      <c r="IJ25" s="40">
        <f t="shared" ca="1" si="287"/>
        <v>0</v>
      </c>
      <c r="IK25" s="40">
        <f t="shared" ca="1" si="287"/>
        <v>0</v>
      </c>
      <c r="IL25" s="40">
        <f t="shared" ca="1" si="287"/>
        <v>0</v>
      </c>
      <c r="IM25" s="40">
        <f t="shared" ca="1" si="287"/>
        <v>0</v>
      </c>
      <c r="IN25" s="40">
        <f t="shared" ca="1" si="287"/>
        <v>0</v>
      </c>
      <c r="IO25" s="40">
        <f t="shared" ref="IO25" ca="1" si="288">IN25-IN29</f>
        <v>0</v>
      </c>
      <c r="IP25" s="40">
        <f t="shared" ref="IP25" ca="1" si="289">IO25-IO29</f>
        <v>0</v>
      </c>
      <c r="IQ25" s="40">
        <f t="shared" ref="IQ25" ca="1" si="290">IP25-IP29</f>
        <v>0</v>
      </c>
      <c r="IR25" s="40">
        <f t="shared" ref="IR25" ca="1" si="291">IQ25-IQ29</f>
        <v>0</v>
      </c>
      <c r="IS25" s="40">
        <f t="shared" ref="IS25" ca="1" si="292">IR25-IR29</f>
        <v>0</v>
      </c>
      <c r="IT25" s="40">
        <f t="shared" ref="IT25" ca="1" si="293">IS25-IS29</f>
        <v>0</v>
      </c>
      <c r="IU25" s="40">
        <f t="shared" ref="IU25" ca="1" si="294">IT25-IT29</f>
        <v>0</v>
      </c>
      <c r="IV25" s="40">
        <f t="shared" ref="IV25" ca="1" si="295">IU25-IU29</f>
        <v>0</v>
      </c>
      <c r="IW25" s="40">
        <f t="shared" ref="IW25" ca="1" si="296">IV25-IV29</f>
        <v>0</v>
      </c>
      <c r="IX25" s="40">
        <f t="shared" ref="IX25" ca="1" si="297">IW25-IW29</f>
        <v>0</v>
      </c>
      <c r="IY25" s="40">
        <f t="shared" ref="IY25" ca="1" si="298">IX25-IX29</f>
        <v>0</v>
      </c>
      <c r="IZ25" s="40">
        <f t="shared" ref="IZ25" ca="1" si="299">IY25-IY29</f>
        <v>0</v>
      </c>
      <c r="JA25" s="40">
        <f t="shared" ref="JA25" ca="1" si="300">IZ25-IZ29</f>
        <v>0</v>
      </c>
      <c r="JB25" s="40">
        <f t="shared" ref="JB25" ca="1" si="301">JA25-JA29</f>
        <v>0</v>
      </c>
      <c r="JC25" s="40">
        <f t="shared" ref="JC25" ca="1" si="302">JB25-JB29</f>
        <v>0</v>
      </c>
      <c r="JD25" s="40">
        <f t="shared" ref="JD25" ca="1" si="303">JC25-JC29</f>
        <v>0</v>
      </c>
      <c r="JE25" s="40">
        <f t="shared" ref="JE25" ca="1" si="304">JD25-JD29</f>
        <v>0</v>
      </c>
      <c r="JF25" s="40">
        <f t="shared" ref="JF25" ca="1" si="305">JE25-JE29</f>
        <v>0</v>
      </c>
      <c r="JG25" s="40">
        <f t="shared" ref="JG25" ca="1" si="306">JF25-JF29</f>
        <v>0</v>
      </c>
      <c r="JH25" s="40">
        <f t="shared" ref="JH25" ca="1" si="307">JG25-JG29</f>
        <v>0</v>
      </c>
      <c r="JI25" s="40">
        <f t="shared" ref="JI25" ca="1" si="308">JH25-JH29</f>
        <v>0</v>
      </c>
      <c r="JJ25" s="40">
        <f t="shared" ref="JJ25" ca="1" si="309">JI25-JI29</f>
        <v>0</v>
      </c>
      <c r="JK25" s="40">
        <f t="shared" ref="JK25" ca="1" si="310">JJ25-JJ29</f>
        <v>0</v>
      </c>
      <c r="JL25" s="40">
        <f t="shared" ref="JL25" ca="1" si="311">JK25-JK29</f>
        <v>0</v>
      </c>
      <c r="JM25" s="40">
        <f t="shared" ref="JM25" ca="1" si="312">JL25-JL29</f>
        <v>0</v>
      </c>
      <c r="JN25" s="40">
        <f t="shared" ref="JN25" ca="1" si="313">JM25-JM29</f>
        <v>0</v>
      </c>
      <c r="JO25" s="40">
        <f t="shared" ref="JO25" ca="1" si="314">JN25-JN29</f>
        <v>0</v>
      </c>
      <c r="JP25" s="40">
        <f t="shared" ref="JP25" ca="1" si="315">JO25-JO29</f>
        <v>0</v>
      </c>
      <c r="JQ25" s="40">
        <f t="shared" ref="JQ25" ca="1" si="316">JP25-JP29</f>
        <v>0</v>
      </c>
      <c r="JR25" s="40">
        <f t="shared" ref="JR25" ca="1" si="317">JQ25-JQ29</f>
        <v>0</v>
      </c>
      <c r="JS25" s="40">
        <f t="shared" ref="JS25" ca="1" si="318">JR25-JR29</f>
        <v>0</v>
      </c>
      <c r="JT25" s="40">
        <f t="shared" ref="JT25" ca="1" si="319">JS25-JS29</f>
        <v>0</v>
      </c>
      <c r="JU25" s="40">
        <f t="shared" ref="JU25" ca="1" si="320">JT25-JT29</f>
        <v>0</v>
      </c>
      <c r="JV25" s="40">
        <f t="shared" ref="JV25" ca="1" si="321">JU25-JU29</f>
        <v>0</v>
      </c>
      <c r="JW25" s="40">
        <f t="shared" ref="JW25" ca="1" si="322">JV25-JV29</f>
        <v>0</v>
      </c>
      <c r="JX25" s="40">
        <f t="shared" ref="JX25" ca="1" si="323">JW25-JW29</f>
        <v>0</v>
      </c>
      <c r="JY25" s="40">
        <f t="shared" ref="JY25" ca="1" si="324">JX25-JX29</f>
        <v>0</v>
      </c>
      <c r="JZ25" s="40">
        <f t="shared" ref="JZ25" ca="1" si="325">JY25-JY29</f>
        <v>0</v>
      </c>
      <c r="KA25" s="40">
        <f t="shared" ref="KA25" ca="1" si="326">JZ25-JZ29</f>
        <v>0</v>
      </c>
      <c r="KB25" s="40">
        <f t="shared" ref="KB25" ca="1" si="327">KA25-KA29</f>
        <v>0</v>
      </c>
      <c r="KC25" s="40">
        <f t="shared" ref="KC25" ca="1" si="328">KB25-KB29</f>
        <v>0</v>
      </c>
      <c r="KD25" s="40">
        <f t="shared" ref="KD25" ca="1" si="329">KC25-KC29</f>
        <v>0</v>
      </c>
      <c r="KE25" s="40">
        <f t="shared" ref="KE25" ca="1" si="330">KD25-KD29</f>
        <v>0</v>
      </c>
      <c r="KF25" s="40">
        <f t="shared" ref="KF25" ca="1" si="331">KE25-KE29</f>
        <v>0</v>
      </c>
      <c r="KG25" s="40">
        <f t="shared" ref="KG25" ca="1" si="332">KF25-KF29</f>
        <v>0</v>
      </c>
      <c r="KH25" s="40">
        <f t="shared" ref="KH25" ca="1" si="333">KG25-KG29</f>
        <v>0</v>
      </c>
      <c r="KI25" s="40">
        <f t="shared" ref="KI25" ca="1" si="334">KH25-KH29</f>
        <v>0</v>
      </c>
      <c r="KJ25" s="40">
        <f t="shared" ref="KJ25" ca="1" si="335">KI25-KI29</f>
        <v>0</v>
      </c>
      <c r="KK25" s="40">
        <f t="shared" ref="KK25" ca="1" si="336">KJ25-KJ29</f>
        <v>0</v>
      </c>
      <c r="KL25" s="40">
        <f t="shared" ref="KL25" ca="1" si="337">KK25-KK29</f>
        <v>0</v>
      </c>
      <c r="KM25" s="40">
        <f t="shared" ref="KM25" ca="1" si="338">KL25-KL29</f>
        <v>0</v>
      </c>
      <c r="KN25" s="40">
        <f t="shared" ref="KN25" ca="1" si="339">KM25-KM29</f>
        <v>0</v>
      </c>
      <c r="KO25" s="40">
        <f t="shared" ref="KO25" ca="1" si="340">KN25-KN29</f>
        <v>0</v>
      </c>
      <c r="KP25" s="40">
        <f t="shared" ref="KP25" ca="1" si="341">KO25-KO29</f>
        <v>0</v>
      </c>
      <c r="KQ25" s="40">
        <f t="shared" ref="KQ25" ca="1" si="342">KP25-KP29</f>
        <v>0</v>
      </c>
      <c r="KR25" s="40">
        <f t="shared" ref="KR25" ca="1" si="343">KQ25-KQ29</f>
        <v>0</v>
      </c>
      <c r="KS25" s="40">
        <f t="shared" ref="KS25" ca="1" si="344">KR25-KR29</f>
        <v>0</v>
      </c>
      <c r="KT25" s="40">
        <f t="shared" ref="KT25" ca="1" si="345">KS25-KS29</f>
        <v>0</v>
      </c>
      <c r="KU25" s="40">
        <f t="shared" ref="KU25" ca="1" si="346">KT25-KT29</f>
        <v>0</v>
      </c>
      <c r="KV25" s="40">
        <f t="shared" ref="KV25" ca="1" si="347">KU25-KU29</f>
        <v>0</v>
      </c>
      <c r="KW25" s="40">
        <f t="shared" ref="KW25" ca="1" si="348">KV25-KV29</f>
        <v>0</v>
      </c>
      <c r="KX25" s="40">
        <f t="shared" ref="KX25" ca="1" si="349">KW25-KW29</f>
        <v>0</v>
      </c>
      <c r="KY25" s="40">
        <f t="shared" ref="KY25" ca="1" si="350">KX25-KX29</f>
        <v>0</v>
      </c>
      <c r="KZ25" s="40">
        <f t="shared" ref="KZ25" ca="1" si="351">KY25-KY29</f>
        <v>0</v>
      </c>
      <c r="LA25" s="40">
        <f t="shared" ref="LA25" ca="1" si="352">KZ25-KZ29</f>
        <v>0</v>
      </c>
      <c r="LB25" s="40">
        <f t="shared" ref="LB25" ca="1" si="353">LA25-LA29</f>
        <v>0</v>
      </c>
      <c r="LC25" s="40">
        <f t="shared" ref="LC25" ca="1" si="354">LB25-LB29</f>
        <v>0</v>
      </c>
      <c r="LD25" s="40">
        <f t="shared" ref="LD25" ca="1" si="355">LC25-LC29</f>
        <v>0</v>
      </c>
      <c r="LE25" s="40">
        <f t="shared" ref="LE25" ca="1" si="356">LD25-LD29</f>
        <v>0</v>
      </c>
      <c r="LF25" s="40">
        <f t="shared" ref="LF25" ca="1" si="357">LE25-LE29</f>
        <v>0</v>
      </c>
      <c r="LG25" s="40">
        <f t="shared" ref="LG25" ca="1" si="358">LF25-LF29</f>
        <v>0</v>
      </c>
      <c r="LH25" s="40">
        <f t="shared" ref="LH25" ca="1" si="359">LG25-LG29</f>
        <v>0</v>
      </c>
      <c r="LI25" s="40">
        <f t="shared" ref="LI25" ca="1" si="360">LH25-LH29</f>
        <v>0</v>
      </c>
      <c r="LJ25" s="40">
        <f t="shared" ref="LJ25" ca="1" si="361">LI25-LI29</f>
        <v>0</v>
      </c>
      <c r="LK25" s="40">
        <f t="shared" ref="LK25" ca="1" si="362">LJ25-LJ29</f>
        <v>0</v>
      </c>
      <c r="LL25" s="40">
        <f t="shared" ref="LL25" ca="1" si="363">LK25-LK29</f>
        <v>0</v>
      </c>
      <c r="LM25" s="40">
        <f t="shared" ref="LM25" ca="1" si="364">LL25-LL29</f>
        <v>0</v>
      </c>
      <c r="LN25" s="40">
        <f t="shared" ref="LN25" ca="1" si="365">LM25-LM29</f>
        <v>0</v>
      </c>
      <c r="LO25" s="40">
        <f t="shared" ref="LO25" ca="1" si="366">LN25-LN29</f>
        <v>0</v>
      </c>
      <c r="LP25" s="40">
        <f t="shared" ref="LP25" ca="1" si="367">LO25-LO29</f>
        <v>0</v>
      </c>
      <c r="LQ25" s="40">
        <f t="shared" ref="LQ25" ca="1" si="368">LP25-LP29</f>
        <v>0</v>
      </c>
      <c r="LR25" s="40">
        <f t="shared" ref="LR25" ca="1" si="369">LQ25-LQ29</f>
        <v>0</v>
      </c>
      <c r="LS25" s="40">
        <f t="shared" ref="LS25" ca="1" si="370">LR25-LR29</f>
        <v>0</v>
      </c>
      <c r="LT25" s="40">
        <f t="shared" ref="LT25" ca="1" si="371">LS25-LS29</f>
        <v>0</v>
      </c>
      <c r="LU25" s="40">
        <f t="shared" ref="LU25" ca="1" si="372">LT25-LT29</f>
        <v>0</v>
      </c>
      <c r="LV25" s="40">
        <f t="shared" ref="LV25" ca="1" si="373">LU25-LU29</f>
        <v>0</v>
      </c>
      <c r="LW25" s="40">
        <f t="shared" ref="LW25" ca="1" si="374">LV25-LV29</f>
        <v>0</v>
      </c>
      <c r="LX25" s="40">
        <f t="shared" ref="LX25" ca="1" si="375">LW25-LW29</f>
        <v>0</v>
      </c>
      <c r="LY25" s="40">
        <f t="shared" ref="LY25" ca="1" si="376">LX25-LX29</f>
        <v>0</v>
      </c>
      <c r="LZ25" s="40">
        <f t="shared" ref="LZ25" ca="1" si="377">LY25-LY29</f>
        <v>0</v>
      </c>
      <c r="MA25" s="40">
        <f t="shared" ref="MA25" ca="1" si="378">LZ25-LZ29</f>
        <v>0</v>
      </c>
      <c r="MB25" s="40">
        <f t="shared" ref="MB25" ca="1" si="379">MA25-MA29</f>
        <v>0</v>
      </c>
      <c r="MC25" s="40">
        <f t="shared" ref="MC25" ca="1" si="380">MB25-MB29</f>
        <v>0</v>
      </c>
      <c r="MD25" s="40">
        <f t="shared" ref="MD25" ca="1" si="381">MC25-MC29</f>
        <v>0</v>
      </c>
      <c r="ME25" s="40">
        <f t="shared" ref="ME25" ca="1" si="382">MD25-MD29</f>
        <v>0</v>
      </c>
      <c r="MF25" s="40">
        <f t="shared" ref="MF25" ca="1" si="383">ME25-ME29</f>
        <v>0</v>
      </c>
      <c r="MG25" s="40">
        <f t="shared" ref="MG25" ca="1" si="384">MF25-MF29</f>
        <v>0</v>
      </c>
      <c r="MH25" s="40">
        <f t="shared" ref="MH25" ca="1" si="385">MG25-MG29</f>
        <v>0</v>
      </c>
      <c r="MI25" s="40">
        <f t="shared" ref="MI25" ca="1" si="386">MH25-MH29</f>
        <v>0</v>
      </c>
      <c r="MJ25" s="40">
        <f t="shared" ref="MJ25" ca="1" si="387">MI25-MI29</f>
        <v>0</v>
      </c>
      <c r="MK25" s="40">
        <f t="shared" ref="MK25" ca="1" si="388">MJ25-MJ29</f>
        <v>0</v>
      </c>
      <c r="ML25" s="40">
        <f t="shared" ref="ML25" ca="1" si="389">MK25-MK29</f>
        <v>0</v>
      </c>
      <c r="MM25" s="40">
        <f t="shared" ref="MM25" ca="1" si="390">ML25-ML29</f>
        <v>0</v>
      </c>
      <c r="MN25" s="40">
        <f t="shared" ref="MN25" ca="1" si="391">MM25-MM29</f>
        <v>0</v>
      </c>
      <c r="MO25" s="40">
        <f t="shared" ref="MO25" ca="1" si="392">MN25-MN29</f>
        <v>0</v>
      </c>
      <c r="MP25" s="40">
        <f t="shared" ref="MP25" ca="1" si="393">MO25-MO29</f>
        <v>0</v>
      </c>
      <c r="MQ25" s="40">
        <f t="shared" ref="MQ25" ca="1" si="394">MP25-MP29</f>
        <v>0</v>
      </c>
      <c r="MR25" s="40">
        <f t="shared" ref="MR25" ca="1" si="395">MQ25-MQ29</f>
        <v>0</v>
      </c>
      <c r="MS25" s="40">
        <f t="shared" ref="MS25" ca="1" si="396">MR25-MR29</f>
        <v>0</v>
      </c>
      <c r="MT25" s="40">
        <f t="shared" ref="MT25" ca="1" si="397">MS25-MS29</f>
        <v>0</v>
      </c>
      <c r="MU25" s="40">
        <f t="shared" ref="MU25" ca="1" si="398">MT25-MT29</f>
        <v>0</v>
      </c>
      <c r="MV25" s="40">
        <f t="shared" ref="MV25" ca="1" si="399">MU25-MU29</f>
        <v>0</v>
      </c>
      <c r="MW25" s="40">
        <f t="shared" ref="MW25" ca="1" si="400">MV25-MV29</f>
        <v>0</v>
      </c>
      <c r="MX25" s="40">
        <f t="shared" ref="MX25" ca="1" si="401">MW25-MW29</f>
        <v>0</v>
      </c>
      <c r="MY25" s="40">
        <f t="shared" ref="MY25" ca="1" si="402">MX25-MX29</f>
        <v>0</v>
      </c>
      <c r="MZ25" s="40">
        <f t="shared" ref="MZ25" ca="1" si="403">MY25-MY29</f>
        <v>0</v>
      </c>
      <c r="NA25" s="40">
        <f t="shared" ref="NA25" ca="1" si="404">MZ25-MZ29</f>
        <v>0</v>
      </c>
      <c r="NB25" s="40">
        <f t="shared" ref="NB25" ca="1" si="405">NA25-NA29</f>
        <v>0</v>
      </c>
      <c r="NC25" s="40">
        <f t="shared" ref="NC25" ca="1" si="406">NB25-NB29</f>
        <v>0</v>
      </c>
      <c r="ND25" s="40">
        <f t="shared" ref="ND25" ca="1" si="407">NC25-NC29</f>
        <v>0</v>
      </c>
      <c r="NE25" s="40"/>
      <c r="NF25" s="40"/>
      <c r="NG25" s="40"/>
      <c r="NH25" s="40"/>
      <c r="NI25" s="40"/>
      <c r="NJ25" s="40"/>
      <c r="NK25" s="40"/>
      <c r="NL25" s="40"/>
      <c r="NM25" s="40"/>
      <c r="NN25" s="40"/>
      <c r="NO25" s="40"/>
      <c r="NP25" s="40"/>
      <c r="NQ25" s="40"/>
      <c r="NR25" s="40"/>
    </row>
    <row r="26" spans="2:382" x14ac:dyDescent="0.15">
      <c r="B26" s="518"/>
      <c r="C26" s="115" t="str">
        <f>_xlfn.CONCAT($C$3," Preferred Return")</f>
        <v>Aaron (Manager) Preferred Return</v>
      </c>
      <c r="D26" s="52">
        <f>$K$4</f>
        <v>0.12</v>
      </c>
      <c r="E26" s="40"/>
      <c r="F26" s="40"/>
      <c r="G26" s="114"/>
      <c r="H26" s="40"/>
      <c r="I26" s="40">
        <f>$D$26/12*I25</f>
        <v>7559.0520000000006</v>
      </c>
      <c r="J26" s="40">
        <f t="shared" ref="J26" si="408">$D$26/12*J25</f>
        <v>7559.0520000000006</v>
      </c>
      <c r="K26" s="40">
        <f t="shared" ref="K26:BV26" si="409">$D$26/12*K25</f>
        <v>7559.0520000000006</v>
      </c>
      <c r="L26" s="40">
        <f t="shared" si="409"/>
        <v>7559.0520000000006</v>
      </c>
      <c r="M26" s="40">
        <f t="shared" si="409"/>
        <v>7559.0520000000006</v>
      </c>
      <c r="N26" s="40">
        <f t="shared" si="409"/>
        <v>7559.0520000000006</v>
      </c>
      <c r="O26" s="40">
        <f t="shared" si="409"/>
        <v>7559.0520000000006</v>
      </c>
      <c r="P26" s="40">
        <f t="shared" si="409"/>
        <v>7559.0520000000006</v>
      </c>
      <c r="Q26" s="40">
        <f t="shared" si="409"/>
        <v>7559.0520000000006</v>
      </c>
      <c r="R26" s="40">
        <f t="shared" si="409"/>
        <v>7559.0520000000006</v>
      </c>
      <c r="S26" s="40">
        <f t="shared" si="409"/>
        <v>7559.0520000000006</v>
      </c>
      <c r="T26" s="40">
        <f t="shared" si="409"/>
        <v>7559.0520000000006</v>
      </c>
      <c r="U26" s="40">
        <f t="shared" si="409"/>
        <v>7559.0520000000006</v>
      </c>
      <c r="V26" s="40">
        <f t="shared" si="409"/>
        <v>7559.0520000000006</v>
      </c>
      <c r="W26" s="40">
        <f t="shared" si="409"/>
        <v>7559.0520000000006</v>
      </c>
      <c r="X26" s="40">
        <f t="shared" si="409"/>
        <v>7559.0520000000006</v>
      </c>
      <c r="Y26" s="40">
        <f t="shared" si="409"/>
        <v>7559.0520000000006</v>
      </c>
      <c r="Z26" s="40">
        <f t="shared" si="409"/>
        <v>7559.0520000000006</v>
      </c>
      <c r="AA26" s="40">
        <f t="shared" si="409"/>
        <v>7559.0520000000006</v>
      </c>
      <c r="AB26" s="40">
        <f t="shared" si="409"/>
        <v>7559.0520000000006</v>
      </c>
      <c r="AC26" s="40">
        <f t="shared" si="409"/>
        <v>7559.0520000000006</v>
      </c>
      <c r="AD26" s="40">
        <f t="shared" si="409"/>
        <v>7559.0520000000006</v>
      </c>
      <c r="AE26" s="40">
        <f t="shared" si="409"/>
        <v>7559.0520000000006</v>
      </c>
      <c r="AF26" s="40">
        <f t="shared" si="409"/>
        <v>7559.0520000000006</v>
      </c>
      <c r="AG26" s="40">
        <f t="shared" si="409"/>
        <v>7559.0520000000006</v>
      </c>
      <c r="AH26" s="40">
        <f t="shared" si="409"/>
        <v>7559.0520000000006</v>
      </c>
      <c r="AI26" s="40">
        <f t="shared" si="409"/>
        <v>7559.0520000000006</v>
      </c>
      <c r="AJ26" s="40">
        <f t="shared" si="409"/>
        <v>7559.0520000000006</v>
      </c>
      <c r="AK26" s="40">
        <f t="shared" si="409"/>
        <v>7559.0520000000006</v>
      </c>
      <c r="AL26" s="40">
        <f t="shared" si="409"/>
        <v>7559.0520000000006</v>
      </c>
      <c r="AM26" s="40">
        <f t="shared" si="409"/>
        <v>7559.0520000000006</v>
      </c>
      <c r="AN26" s="40">
        <f t="shared" si="409"/>
        <v>7559.0520000000006</v>
      </c>
      <c r="AO26" s="40">
        <f t="shared" si="409"/>
        <v>7559.0520000000006</v>
      </c>
      <c r="AP26" s="40">
        <f t="shared" si="409"/>
        <v>7559.0520000000006</v>
      </c>
      <c r="AQ26" s="40">
        <f t="shared" si="409"/>
        <v>7559.0520000000006</v>
      </c>
      <c r="AR26" s="40">
        <f t="shared" si="409"/>
        <v>7559.0520000000006</v>
      </c>
      <c r="AS26" s="40">
        <f t="shared" si="409"/>
        <v>7559.0520000000006</v>
      </c>
      <c r="AT26" s="40">
        <f t="shared" si="409"/>
        <v>7559.0520000000006</v>
      </c>
      <c r="AU26" s="40">
        <f t="shared" si="409"/>
        <v>7559.0520000000006</v>
      </c>
      <c r="AV26" s="40">
        <f t="shared" si="409"/>
        <v>7559.0520000000006</v>
      </c>
      <c r="AW26" s="40">
        <f t="shared" si="409"/>
        <v>7559.0520000000006</v>
      </c>
      <c r="AX26" s="40">
        <f t="shared" si="409"/>
        <v>7559.0520000000006</v>
      </c>
      <c r="AY26" s="40">
        <f t="shared" si="409"/>
        <v>7559.0520000000006</v>
      </c>
      <c r="AZ26" s="40">
        <f t="shared" si="409"/>
        <v>7559.0520000000006</v>
      </c>
      <c r="BA26" s="40">
        <f t="shared" si="409"/>
        <v>7559.0520000000006</v>
      </c>
      <c r="BB26" s="40">
        <f t="shared" si="409"/>
        <v>7559.0520000000006</v>
      </c>
      <c r="BC26" s="40">
        <f t="shared" si="409"/>
        <v>7559.0520000000006</v>
      </c>
      <c r="BD26" s="40">
        <f t="shared" si="409"/>
        <v>7559.0520000000006</v>
      </c>
      <c r="BE26" s="40">
        <f t="shared" si="409"/>
        <v>7559.0520000000006</v>
      </c>
      <c r="BF26" s="40">
        <f t="shared" si="409"/>
        <v>7559.0520000000006</v>
      </c>
      <c r="BG26" s="40">
        <f t="shared" si="409"/>
        <v>7559.0520000000006</v>
      </c>
      <c r="BH26" s="40">
        <f t="shared" si="409"/>
        <v>7559.0520000000006</v>
      </c>
      <c r="BI26" s="40">
        <f t="shared" si="409"/>
        <v>7559.0520000000006</v>
      </c>
      <c r="BJ26" s="40">
        <f t="shared" si="409"/>
        <v>7559.0520000000006</v>
      </c>
      <c r="BK26" s="40">
        <f t="shared" si="409"/>
        <v>7559.0520000000006</v>
      </c>
      <c r="BL26" s="40">
        <f t="shared" si="409"/>
        <v>7559.0520000000006</v>
      </c>
      <c r="BM26" s="40">
        <f t="shared" si="409"/>
        <v>7559.0520000000006</v>
      </c>
      <c r="BN26" s="40">
        <f t="shared" si="409"/>
        <v>7559.0520000000006</v>
      </c>
      <c r="BO26" s="40">
        <f t="shared" si="409"/>
        <v>7559.0520000000006</v>
      </c>
      <c r="BP26" s="40">
        <f t="shared" si="409"/>
        <v>7559.0520000000006</v>
      </c>
      <c r="BQ26" s="40">
        <f t="shared" si="409"/>
        <v>7559.0520000000006</v>
      </c>
      <c r="BR26" s="40">
        <f t="shared" si="409"/>
        <v>7559.0520000000006</v>
      </c>
      <c r="BS26" s="40">
        <f t="shared" si="409"/>
        <v>7559.0520000000006</v>
      </c>
      <c r="BT26" s="40">
        <f t="shared" si="409"/>
        <v>7559.0520000000006</v>
      </c>
      <c r="BU26" s="40">
        <f t="shared" si="409"/>
        <v>7559.0520000000006</v>
      </c>
      <c r="BV26" s="40">
        <f t="shared" si="409"/>
        <v>7559.0520000000006</v>
      </c>
      <c r="BW26" s="40">
        <f t="shared" ref="BW26:EH26" si="410">$D$26/12*BW25</f>
        <v>7559.0520000000006</v>
      </c>
      <c r="BX26" s="40">
        <f t="shared" si="410"/>
        <v>7559.0520000000006</v>
      </c>
      <c r="BY26" s="40">
        <f t="shared" si="410"/>
        <v>7559.0520000000006</v>
      </c>
      <c r="BZ26" s="40">
        <f t="shared" si="410"/>
        <v>7559.0520000000006</v>
      </c>
      <c r="CA26" s="40">
        <f t="shared" si="410"/>
        <v>7559.0520000000006</v>
      </c>
      <c r="CB26" s="40">
        <f t="shared" si="410"/>
        <v>7559.0520000000006</v>
      </c>
      <c r="CC26" s="40">
        <f t="shared" si="410"/>
        <v>7559.0520000000006</v>
      </c>
      <c r="CD26" s="40">
        <f t="shared" si="410"/>
        <v>7559.0520000000006</v>
      </c>
      <c r="CE26" s="40">
        <f t="shared" si="410"/>
        <v>7559.0520000000006</v>
      </c>
      <c r="CF26" s="40">
        <f t="shared" si="410"/>
        <v>7559.0520000000006</v>
      </c>
      <c r="CG26" s="40">
        <f t="shared" si="410"/>
        <v>7559.0520000000006</v>
      </c>
      <c r="CH26" s="40">
        <f t="shared" si="410"/>
        <v>7559.0520000000006</v>
      </c>
      <c r="CI26" s="40">
        <f t="shared" si="410"/>
        <v>7559.0520000000006</v>
      </c>
      <c r="CJ26" s="40">
        <f t="shared" si="410"/>
        <v>7559.0520000000006</v>
      </c>
      <c r="CK26" s="40">
        <f t="shared" si="410"/>
        <v>7559.0520000000006</v>
      </c>
      <c r="CL26" s="40">
        <f t="shared" si="410"/>
        <v>7559.0520000000006</v>
      </c>
      <c r="CM26" s="40">
        <f t="shared" si="410"/>
        <v>7559.0520000000006</v>
      </c>
      <c r="CN26" s="40">
        <f t="shared" si="410"/>
        <v>7559.0520000000006</v>
      </c>
      <c r="CO26" s="40">
        <f t="shared" si="410"/>
        <v>7559.0520000000006</v>
      </c>
      <c r="CP26" s="40">
        <f t="shared" si="410"/>
        <v>7559.0520000000006</v>
      </c>
      <c r="CQ26" s="40">
        <f t="shared" si="410"/>
        <v>7559.0520000000006</v>
      </c>
      <c r="CR26" s="40">
        <f t="shared" si="410"/>
        <v>7559.0520000000006</v>
      </c>
      <c r="CS26" s="40">
        <f t="shared" si="410"/>
        <v>7559.0520000000006</v>
      </c>
      <c r="CT26" s="40">
        <f t="shared" si="410"/>
        <v>7559.0520000000006</v>
      </c>
      <c r="CU26" s="40">
        <f t="shared" si="410"/>
        <v>7559.0520000000006</v>
      </c>
      <c r="CV26" s="40">
        <f t="shared" si="410"/>
        <v>7559.0520000000006</v>
      </c>
      <c r="CW26" s="40">
        <f t="shared" si="410"/>
        <v>7559.0520000000006</v>
      </c>
      <c r="CX26" s="40">
        <f t="shared" si="410"/>
        <v>7559.0520000000006</v>
      </c>
      <c r="CY26" s="40">
        <f t="shared" si="410"/>
        <v>7559.0520000000006</v>
      </c>
      <c r="CZ26" s="40">
        <f t="shared" si="410"/>
        <v>7559.0520000000006</v>
      </c>
      <c r="DA26" s="40">
        <f t="shared" si="410"/>
        <v>7559.0520000000006</v>
      </c>
      <c r="DB26" s="40">
        <f t="shared" si="410"/>
        <v>7559.0520000000006</v>
      </c>
      <c r="DC26" s="40">
        <f t="shared" si="410"/>
        <v>7559.0520000000006</v>
      </c>
      <c r="DD26" s="40">
        <f t="shared" si="410"/>
        <v>7559.0520000000006</v>
      </c>
      <c r="DE26" s="40">
        <f t="shared" si="410"/>
        <v>7559.0520000000006</v>
      </c>
      <c r="DF26" s="40">
        <f t="shared" si="410"/>
        <v>7559.0520000000006</v>
      </c>
      <c r="DG26" s="40">
        <f t="shared" si="410"/>
        <v>7559.0520000000006</v>
      </c>
      <c r="DH26" s="40">
        <f t="shared" si="410"/>
        <v>7559.0520000000006</v>
      </c>
      <c r="DI26" s="40">
        <f t="shared" si="410"/>
        <v>7559.0520000000006</v>
      </c>
      <c r="DJ26" s="40">
        <f t="shared" si="410"/>
        <v>7559.0520000000006</v>
      </c>
      <c r="DK26" s="40">
        <f t="shared" si="410"/>
        <v>7559.0520000000006</v>
      </c>
      <c r="DL26" s="40">
        <f t="shared" si="410"/>
        <v>7559.0520000000006</v>
      </c>
      <c r="DM26" s="40">
        <f t="shared" si="410"/>
        <v>7559.0520000000006</v>
      </c>
      <c r="DN26" s="40">
        <f t="shared" si="410"/>
        <v>7559.0520000000006</v>
      </c>
      <c r="DO26" s="40">
        <f t="shared" si="410"/>
        <v>7559.0520000000006</v>
      </c>
      <c r="DP26" s="40">
        <f t="shared" si="410"/>
        <v>7559.0520000000006</v>
      </c>
      <c r="DQ26" s="40">
        <f t="shared" si="410"/>
        <v>7559.0520000000006</v>
      </c>
      <c r="DR26" s="40">
        <f t="shared" si="410"/>
        <v>7559.0520000000006</v>
      </c>
      <c r="DS26" s="40">
        <f t="shared" si="410"/>
        <v>7559.0520000000006</v>
      </c>
      <c r="DT26" s="40">
        <f t="shared" si="410"/>
        <v>7559.0520000000006</v>
      </c>
      <c r="DU26" s="40">
        <f t="shared" si="410"/>
        <v>7559.0520000000006</v>
      </c>
      <c r="DV26" s="40">
        <f t="shared" si="410"/>
        <v>7559.0520000000006</v>
      </c>
      <c r="DW26" s="40">
        <f t="shared" si="410"/>
        <v>7559.0520000000006</v>
      </c>
      <c r="DX26" s="40">
        <f t="shared" si="410"/>
        <v>7559.0520000000006</v>
      </c>
      <c r="DY26" s="40">
        <f t="shared" si="410"/>
        <v>7559.0520000000006</v>
      </c>
      <c r="DZ26" s="40">
        <f t="shared" si="410"/>
        <v>7559.0520000000006</v>
      </c>
      <c r="EA26" s="40">
        <f t="shared" si="410"/>
        <v>7559.0520000000006</v>
      </c>
      <c r="EB26" s="40">
        <f t="shared" si="410"/>
        <v>7559.0520000000006</v>
      </c>
      <c r="EC26" s="40">
        <f t="shared" si="410"/>
        <v>7559.0520000000006</v>
      </c>
      <c r="ED26" s="40">
        <f t="shared" si="410"/>
        <v>7559.0520000000006</v>
      </c>
      <c r="EE26" s="40">
        <f t="shared" si="410"/>
        <v>7559.0520000000006</v>
      </c>
      <c r="EF26" s="40">
        <f t="shared" si="410"/>
        <v>7559.0520000000006</v>
      </c>
      <c r="EG26" s="40">
        <f t="shared" si="410"/>
        <v>7559.0520000000006</v>
      </c>
      <c r="EH26" s="40">
        <f t="shared" si="410"/>
        <v>7559.0520000000006</v>
      </c>
      <c r="EI26" s="40">
        <f t="shared" ref="EI26:GT26" si="411">$D$26/12*EI25</f>
        <v>7559.0520000000006</v>
      </c>
      <c r="EJ26" s="40">
        <f t="shared" si="411"/>
        <v>7559.0520000000006</v>
      </c>
      <c r="EK26" s="40">
        <f t="shared" si="411"/>
        <v>7559.0520000000006</v>
      </c>
      <c r="EL26" s="40">
        <f t="shared" si="411"/>
        <v>7559.0520000000006</v>
      </c>
      <c r="EM26" s="40">
        <f t="shared" si="411"/>
        <v>7559.0520000000006</v>
      </c>
      <c r="EN26" s="40">
        <f t="shared" si="411"/>
        <v>7559.0520000000006</v>
      </c>
      <c r="EO26" s="40">
        <f t="shared" si="411"/>
        <v>7559.0520000000006</v>
      </c>
      <c r="EP26" s="40">
        <f t="shared" si="411"/>
        <v>7559.0520000000006</v>
      </c>
      <c r="EQ26" s="40">
        <f t="shared" si="411"/>
        <v>7559.0520000000006</v>
      </c>
      <c r="ER26" s="40">
        <f t="shared" si="411"/>
        <v>7559.0520000000006</v>
      </c>
      <c r="ES26" s="40">
        <f t="shared" si="411"/>
        <v>7559.0520000000006</v>
      </c>
      <c r="ET26" s="40">
        <f t="shared" si="411"/>
        <v>7559.0520000000006</v>
      </c>
      <c r="EU26" s="40">
        <f t="shared" si="411"/>
        <v>7559.0520000000006</v>
      </c>
      <c r="EV26" s="40">
        <f t="shared" si="411"/>
        <v>7559.0520000000006</v>
      </c>
      <c r="EW26" s="40">
        <f t="shared" si="411"/>
        <v>7559.0520000000006</v>
      </c>
      <c r="EX26" s="40">
        <f t="shared" si="411"/>
        <v>7559.0520000000006</v>
      </c>
      <c r="EY26" s="40">
        <f t="shared" si="411"/>
        <v>7559.0520000000006</v>
      </c>
      <c r="EZ26" s="40">
        <f t="shared" si="411"/>
        <v>7559.0520000000006</v>
      </c>
      <c r="FA26" s="40">
        <f t="shared" si="411"/>
        <v>7559.0520000000006</v>
      </c>
      <c r="FB26" s="40">
        <f t="shared" si="411"/>
        <v>7559.0520000000006</v>
      </c>
      <c r="FC26" s="40">
        <f t="shared" si="411"/>
        <v>7559.0520000000006</v>
      </c>
      <c r="FD26" s="40">
        <f t="shared" si="411"/>
        <v>7559.0520000000006</v>
      </c>
      <c r="FE26" s="40">
        <f t="shared" si="411"/>
        <v>7559.0520000000006</v>
      </c>
      <c r="FF26" s="40">
        <f t="shared" si="411"/>
        <v>7559.0520000000006</v>
      </c>
      <c r="FG26" s="40">
        <f t="shared" si="411"/>
        <v>7559.0520000000006</v>
      </c>
      <c r="FH26" s="40">
        <f t="shared" si="411"/>
        <v>7559.0520000000006</v>
      </c>
      <c r="FI26" s="40">
        <f t="shared" si="411"/>
        <v>7559.0520000000006</v>
      </c>
      <c r="FJ26" s="40">
        <f t="shared" si="411"/>
        <v>7559.0520000000006</v>
      </c>
      <c r="FK26" s="40">
        <f t="shared" si="411"/>
        <v>7559.0520000000006</v>
      </c>
      <c r="FL26" s="40">
        <f t="shared" si="411"/>
        <v>7559.0520000000006</v>
      </c>
      <c r="FM26" s="40">
        <f t="shared" si="411"/>
        <v>7559.0520000000006</v>
      </c>
      <c r="FN26" s="40">
        <f t="shared" si="411"/>
        <v>7559.0520000000006</v>
      </c>
      <c r="FO26" s="40">
        <f t="shared" si="411"/>
        <v>7559.0520000000006</v>
      </c>
      <c r="FP26" s="40">
        <f t="shared" si="411"/>
        <v>7559.0520000000006</v>
      </c>
      <c r="FQ26" s="40">
        <f t="shared" si="411"/>
        <v>7559.0520000000006</v>
      </c>
      <c r="FR26" s="40">
        <f t="shared" si="411"/>
        <v>7559.0520000000006</v>
      </c>
      <c r="FS26" s="40">
        <f t="shared" si="411"/>
        <v>7559.0520000000006</v>
      </c>
      <c r="FT26" s="40">
        <f t="shared" si="411"/>
        <v>7559.0520000000006</v>
      </c>
      <c r="FU26" s="40">
        <f t="shared" si="411"/>
        <v>7559.0520000000006</v>
      </c>
      <c r="FV26" s="40">
        <f t="shared" si="411"/>
        <v>7559.0520000000006</v>
      </c>
      <c r="FW26" s="40">
        <f t="shared" si="411"/>
        <v>7559.0520000000006</v>
      </c>
      <c r="FX26" s="40">
        <f t="shared" si="411"/>
        <v>7559.0520000000006</v>
      </c>
      <c r="FY26" s="40">
        <f t="shared" si="411"/>
        <v>7559.0520000000006</v>
      </c>
      <c r="FZ26" s="40">
        <f t="shared" si="411"/>
        <v>7559.0520000000006</v>
      </c>
      <c r="GA26" s="40">
        <f t="shared" si="411"/>
        <v>7559.0520000000006</v>
      </c>
      <c r="GB26" s="40">
        <f t="shared" si="411"/>
        <v>7559.0520000000006</v>
      </c>
      <c r="GC26" s="40">
        <f t="shared" si="411"/>
        <v>7559.0520000000006</v>
      </c>
      <c r="GD26" s="40">
        <f t="shared" si="411"/>
        <v>7559.0520000000006</v>
      </c>
      <c r="GE26" s="40">
        <f t="shared" si="411"/>
        <v>7559.0520000000006</v>
      </c>
      <c r="GF26" s="40">
        <f t="shared" si="411"/>
        <v>7559.0520000000006</v>
      </c>
      <c r="GG26" s="40">
        <f t="shared" ca="1" si="411"/>
        <v>0</v>
      </c>
      <c r="GH26" s="40">
        <f t="shared" ca="1" si="411"/>
        <v>0</v>
      </c>
      <c r="GI26" s="40">
        <f t="shared" ca="1" si="411"/>
        <v>0</v>
      </c>
      <c r="GJ26" s="40">
        <f t="shared" ca="1" si="411"/>
        <v>0</v>
      </c>
      <c r="GK26" s="40">
        <f t="shared" ca="1" si="411"/>
        <v>0</v>
      </c>
      <c r="GL26" s="40">
        <f t="shared" ca="1" si="411"/>
        <v>0</v>
      </c>
      <c r="GM26" s="40">
        <f t="shared" ca="1" si="411"/>
        <v>0</v>
      </c>
      <c r="GN26" s="40">
        <f t="shared" ca="1" si="411"/>
        <v>0</v>
      </c>
      <c r="GO26" s="40">
        <f t="shared" ca="1" si="411"/>
        <v>0</v>
      </c>
      <c r="GP26" s="40">
        <f t="shared" ca="1" si="411"/>
        <v>0</v>
      </c>
      <c r="GQ26" s="40">
        <f t="shared" ca="1" si="411"/>
        <v>0</v>
      </c>
      <c r="GR26" s="40">
        <f t="shared" ca="1" si="411"/>
        <v>0</v>
      </c>
      <c r="GS26" s="40">
        <f t="shared" ca="1" si="411"/>
        <v>0</v>
      </c>
      <c r="GT26" s="40">
        <f t="shared" ca="1" si="411"/>
        <v>0</v>
      </c>
      <c r="GU26" s="40">
        <f t="shared" ref="GU26:IN26" ca="1" si="412">$D$26/12*GU25</f>
        <v>0</v>
      </c>
      <c r="GV26" s="40">
        <f t="shared" ca="1" si="412"/>
        <v>0</v>
      </c>
      <c r="GW26" s="40">
        <f t="shared" ca="1" si="412"/>
        <v>0</v>
      </c>
      <c r="GX26" s="40">
        <f t="shared" ca="1" si="412"/>
        <v>0</v>
      </c>
      <c r="GY26" s="40">
        <f t="shared" ca="1" si="412"/>
        <v>0</v>
      </c>
      <c r="GZ26" s="40">
        <f t="shared" ca="1" si="412"/>
        <v>0</v>
      </c>
      <c r="HA26" s="40">
        <f t="shared" ca="1" si="412"/>
        <v>0</v>
      </c>
      <c r="HB26" s="40">
        <f t="shared" ca="1" si="412"/>
        <v>0</v>
      </c>
      <c r="HC26" s="40">
        <f t="shared" ca="1" si="412"/>
        <v>0</v>
      </c>
      <c r="HD26" s="40">
        <f t="shared" ca="1" si="412"/>
        <v>0</v>
      </c>
      <c r="HE26" s="40">
        <f t="shared" ca="1" si="412"/>
        <v>0</v>
      </c>
      <c r="HF26" s="40">
        <f t="shared" ca="1" si="412"/>
        <v>0</v>
      </c>
      <c r="HG26" s="40">
        <f t="shared" ca="1" si="412"/>
        <v>0</v>
      </c>
      <c r="HH26" s="40">
        <f t="shared" ca="1" si="412"/>
        <v>0</v>
      </c>
      <c r="HI26" s="40">
        <f t="shared" ca="1" si="412"/>
        <v>0</v>
      </c>
      <c r="HJ26" s="40">
        <f t="shared" ca="1" si="412"/>
        <v>0</v>
      </c>
      <c r="HK26" s="40">
        <f t="shared" ca="1" si="412"/>
        <v>0</v>
      </c>
      <c r="HL26" s="40">
        <f t="shared" ca="1" si="412"/>
        <v>0</v>
      </c>
      <c r="HM26" s="40">
        <f t="shared" ca="1" si="412"/>
        <v>0</v>
      </c>
      <c r="HN26" s="40">
        <f t="shared" ca="1" si="412"/>
        <v>0</v>
      </c>
      <c r="HO26" s="40">
        <f t="shared" ca="1" si="412"/>
        <v>0</v>
      </c>
      <c r="HP26" s="40">
        <f t="shared" ca="1" si="412"/>
        <v>0</v>
      </c>
      <c r="HQ26" s="40">
        <f t="shared" ca="1" si="412"/>
        <v>0</v>
      </c>
      <c r="HR26" s="40">
        <f t="shared" ca="1" si="412"/>
        <v>0</v>
      </c>
      <c r="HS26" s="40">
        <f t="shared" ca="1" si="412"/>
        <v>0</v>
      </c>
      <c r="HT26" s="40">
        <f t="shared" ca="1" si="412"/>
        <v>0</v>
      </c>
      <c r="HU26" s="40">
        <f t="shared" ca="1" si="412"/>
        <v>0</v>
      </c>
      <c r="HV26" s="40">
        <f t="shared" ca="1" si="412"/>
        <v>0</v>
      </c>
      <c r="HW26" s="40">
        <f t="shared" ca="1" si="412"/>
        <v>0</v>
      </c>
      <c r="HX26" s="40">
        <f t="shared" ca="1" si="412"/>
        <v>0</v>
      </c>
      <c r="HY26" s="40">
        <f t="shared" ca="1" si="412"/>
        <v>0</v>
      </c>
      <c r="HZ26" s="40">
        <f t="shared" ca="1" si="412"/>
        <v>0</v>
      </c>
      <c r="IA26" s="40">
        <f t="shared" ca="1" si="412"/>
        <v>0</v>
      </c>
      <c r="IB26" s="40">
        <f t="shared" ca="1" si="412"/>
        <v>0</v>
      </c>
      <c r="IC26" s="40">
        <f t="shared" ca="1" si="412"/>
        <v>0</v>
      </c>
      <c r="ID26" s="40">
        <f t="shared" ca="1" si="412"/>
        <v>0</v>
      </c>
      <c r="IE26" s="40">
        <f t="shared" ca="1" si="412"/>
        <v>0</v>
      </c>
      <c r="IF26" s="40">
        <f t="shared" ca="1" si="412"/>
        <v>0</v>
      </c>
      <c r="IG26" s="40">
        <f t="shared" ca="1" si="412"/>
        <v>0</v>
      </c>
      <c r="IH26" s="40">
        <f t="shared" ca="1" si="412"/>
        <v>0</v>
      </c>
      <c r="II26" s="40">
        <f t="shared" ca="1" si="412"/>
        <v>0</v>
      </c>
      <c r="IJ26" s="40">
        <f t="shared" ca="1" si="412"/>
        <v>0</v>
      </c>
      <c r="IK26" s="40">
        <f t="shared" ca="1" si="412"/>
        <v>0</v>
      </c>
      <c r="IL26" s="40">
        <f t="shared" ca="1" si="412"/>
        <v>0</v>
      </c>
      <c r="IM26" s="40">
        <f t="shared" ca="1" si="412"/>
        <v>0</v>
      </c>
      <c r="IN26" s="40">
        <f t="shared" ca="1" si="412"/>
        <v>0</v>
      </c>
      <c r="IO26" s="40">
        <f t="shared" ref="IO26:KZ26" ca="1" si="413">$D$26/12*IO25</f>
        <v>0</v>
      </c>
      <c r="IP26" s="40">
        <f t="shared" ca="1" si="413"/>
        <v>0</v>
      </c>
      <c r="IQ26" s="40">
        <f t="shared" ca="1" si="413"/>
        <v>0</v>
      </c>
      <c r="IR26" s="40">
        <f t="shared" ca="1" si="413"/>
        <v>0</v>
      </c>
      <c r="IS26" s="40">
        <f t="shared" ca="1" si="413"/>
        <v>0</v>
      </c>
      <c r="IT26" s="40">
        <f t="shared" ca="1" si="413"/>
        <v>0</v>
      </c>
      <c r="IU26" s="40">
        <f t="shared" ca="1" si="413"/>
        <v>0</v>
      </c>
      <c r="IV26" s="40">
        <f t="shared" ca="1" si="413"/>
        <v>0</v>
      </c>
      <c r="IW26" s="40">
        <f t="shared" ca="1" si="413"/>
        <v>0</v>
      </c>
      <c r="IX26" s="40">
        <f t="shared" ca="1" si="413"/>
        <v>0</v>
      </c>
      <c r="IY26" s="40">
        <f t="shared" ca="1" si="413"/>
        <v>0</v>
      </c>
      <c r="IZ26" s="40">
        <f t="shared" ca="1" si="413"/>
        <v>0</v>
      </c>
      <c r="JA26" s="40">
        <f t="shared" ca="1" si="413"/>
        <v>0</v>
      </c>
      <c r="JB26" s="40">
        <f t="shared" ca="1" si="413"/>
        <v>0</v>
      </c>
      <c r="JC26" s="40">
        <f t="shared" ca="1" si="413"/>
        <v>0</v>
      </c>
      <c r="JD26" s="40">
        <f t="shared" ca="1" si="413"/>
        <v>0</v>
      </c>
      <c r="JE26" s="40">
        <f t="shared" ca="1" si="413"/>
        <v>0</v>
      </c>
      <c r="JF26" s="40">
        <f t="shared" ca="1" si="413"/>
        <v>0</v>
      </c>
      <c r="JG26" s="40">
        <f t="shared" ca="1" si="413"/>
        <v>0</v>
      </c>
      <c r="JH26" s="40">
        <f t="shared" ca="1" si="413"/>
        <v>0</v>
      </c>
      <c r="JI26" s="40">
        <f t="shared" ca="1" si="413"/>
        <v>0</v>
      </c>
      <c r="JJ26" s="40">
        <f t="shared" ca="1" si="413"/>
        <v>0</v>
      </c>
      <c r="JK26" s="40">
        <f t="shared" ca="1" si="413"/>
        <v>0</v>
      </c>
      <c r="JL26" s="40">
        <f t="shared" ca="1" si="413"/>
        <v>0</v>
      </c>
      <c r="JM26" s="40">
        <f t="shared" ca="1" si="413"/>
        <v>0</v>
      </c>
      <c r="JN26" s="40">
        <f t="shared" ca="1" si="413"/>
        <v>0</v>
      </c>
      <c r="JO26" s="40">
        <f t="shared" ca="1" si="413"/>
        <v>0</v>
      </c>
      <c r="JP26" s="40">
        <f t="shared" ca="1" si="413"/>
        <v>0</v>
      </c>
      <c r="JQ26" s="40">
        <f t="shared" ca="1" si="413"/>
        <v>0</v>
      </c>
      <c r="JR26" s="40">
        <f t="shared" ca="1" si="413"/>
        <v>0</v>
      </c>
      <c r="JS26" s="40">
        <f t="shared" ca="1" si="413"/>
        <v>0</v>
      </c>
      <c r="JT26" s="40">
        <f t="shared" ca="1" si="413"/>
        <v>0</v>
      </c>
      <c r="JU26" s="40">
        <f t="shared" ca="1" si="413"/>
        <v>0</v>
      </c>
      <c r="JV26" s="40">
        <f t="shared" ca="1" si="413"/>
        <v>0</v>
      </c>
      <c r="JW26" s="40">
        <f t="shared" ca="1" si="413"/>
        <v>0</v>
      </c>
      <c r="JX26" s="40">
        <f t="shared" ca="1" si="413"/>
        <v>0</v>
      </c>
      <c r="JY26" s="40">
        <f t="shared" ca="1" si="413"/>
        <v>0</v>
      </c>
      <c r="JZ26" s="40">
        <f t="shared" ca="1" si="413"/>
        <v>0</v>
      </c>
      <c r="KA26" s="40">
        <f t="shared" ca="1" si="413"/>
        <v>0</v>
      </c>
      <c r="KB26" s="40">
        <f t="shared" ca="1" si="413"/>
        <v>0</v>
      </c>
      <c r="KC26" s="40">
        <f t="shared" ca="1" si="413"/>
        <v>0</v>
      </c>
      <c r="KD26" s="40">
        <f t="shared" ca="1" si="413"/>
        <v>0</v>
      </c>
      <c r="KE26" s="40">
        <f t="shared" ca="1" si="413"/>
        <v>0</v>
      </c>
      <c r="KF26" s="40">
        <f t="shared" ca="1" si="413"/>
        <v>0</v>
      </c>
      <c r="KG26" s="40">
        <f t="shared" ca="1" si="413"/>
        <v>0</v>
      </c>
      <c r="KH26" s="40">
        <f t="shared" ca="1" si="413"/>
        <v>0</v>
      </c>
      <c r="KI26" s="40">
        <f t="shared" ca="1" si="413"/>
        <v>0</v>
      </c>
      <c r="KJ26" s="40">
        <f t="shared" ca="1" si="413"/>
        <v>0</v>
      </c>
      <c r="KK26" s="40">
        <f t="shared" ca="1" si="413"/>
        <v>0</v>
      </c>
      <c r="KL26" s="40">
        <f t="shared" ca="1" si="413"/>
        <v>0</v>
      </c>
      <c r="KM26" s="40">
        <f t="shared" ca="1" si="413"/>
        <v>0</v>
      </c>
      <c r="KN26" s="40">
        <f t="shared" ca="1" si="413"/>
        <v>0</v>
      </c>
      <c r="KO26" s="40">
        <f t="shared" ca="1" si="413"/>
        <v>0</v>
      </c>
      <c r="KP26" s="40">
        <f t="shared" ca="1" si="413"/>
        <v>0</v>
      </c>
      <c r="KQ26" s="40">
        <f t="shared" ca="1" si="413"/>
        <v>0</v>
      </c>
      <c r="KR26" s="40">
        <f t="shared" ca="1" si="413"/>
        <v>0</v>
      </c>
      <c r="KS26" s="40">
        <f t="shared" ca="1" si="413"/>
        <v>0</v>
      </c>
      <c r="KT26" s="40">
        <f t="shared" ca="1" si="413"/>
        <v>0</v>
      </c>
      <c r="KU26" s="40">
        <f t="shared" ca="1" si="413"/>
        <v>0</v>
      </c>
      <c r="KV26" s="40">
        <f t="shared" ca="1" si="413"/>
        <v>0</v>
      </c>
      <c r="KW26" s="40">
        <f t="shared" ca="1" si="413"/>
        <v>0</v>
      </c>
      <c r="KX26" s="40">
        <f t="shared" ca="1" si="413"/>
        <v>0</v>
      </c>
      <c r="KY26" s="40">
        <f t="shared" ca="1" si="413"/>
        <v>0</v>
      </c>
      <c r="KZ26" s="40">
        <f t="shared" ca="1" si="413"/>
        <v>0</v>
      </c>
      <c r="LA26" s="40">
        <f t="shared" ref="LA26:ND26" ca="1" si="414">$D$26/12*LA25</f>
        <v>0</v>
      </c>
      <c r="LB26" s="40">
        <f t="shared" ca="1" si="414"/>
        <v>0</v>
      </c>
      <c r="LC26" s="40">
        <f t="shared" ca="1" si="414"/>
        <v>0</v>
      </c>
      <c r="LD26" s="40">
        <f t="shared" ca="1" si="414"/>
        <v>0</v>
      </c>
      <c r="LE26" s="40">
        <f t="shared" ca="1" si="414"/>
        <v>0</v>
      </c>
      <c r="LF26" s="40">
        <f t="shared" ca="1" si="414"/>
        <v>0</v>
      </c>
      <c r="LG26" s="40">
        <f t="shared" ca="1" si="414"/>
        <v>0</v>
      </c>
      <c r="LH26" s="40">
        <f t="shared" ca="1" si="414"/>
        <v>0</v>
      </c>
      <c r="LI26" s="40">
        <f t="shared" ca="1" si="414"/>
        <v>0</v>
      </c>
      <c r="LJ26" s="40">
        <f t="shared" ca="1" si="414"/>
        <v>0</v>
      </c>
      <c r="LK26" s="40">
        <f t="shared" ca="1" si="414"/>
        <v>0</v>
      </c>
      <c r="LL26" s="40">
        <f t="shared" ca="1" si="414"/>
        <v>0</v>
      </c>
      <c r="LM26" s="40">
        <f t="shared" ca="1" si="414"/>
        <v>0</v>
      </c>
      <c r="LN26" s="40">
        <f t="shared" ca="1" si="414"/>
        <v>0</v>
      </c>
      <c r="LO26" s="40">
        <f t="shared" ca="1" si="414"/>
        <v>0</v>
      </c>
      <c r="LP26" s="40">
        <f t="shared" ca="1" si="414"/>
        <v>0</v>
      </c>
      <c r="LQ26" s="40">
        <f t="shared" ca="1" si="414"/>
        <v>0</v>
      </c>
      <c r="LR26" s="40">
        <f t="shared" ca="1" si="414"/>
        <v>0</v>
      </c>
      <c r="LS26" s="40">
        <f t="shared" ca="1" si="414"/>
        <v>0</v>
      </c>
      <c r="LT26" s="40">
        <f t="shared" ca="1" si="414"/>
        <v>0</v>
      </c>
      <c r="LU26" s="40">
        <f t="shared" ca="1" si="414"/>
        <v>0</v>
      </c>
      <c r="LV26" s="40">
        <f t="shared" ca="1" si="414"/>
        <v>0</v>
      </c>
      <c r="LW26" s="40">
        <f t="shared" ca="1" si="414"/>
        <v>0</v>
      </c>
      <c r="LX26" s="40">
        <f t="shared" ca="1" si="414"/>
        <v>0</v>
      </c>
      <c r="LY26" s="40">
        <f t="shared" ca="1" si="414"/>
        <v>0</v>
      </c>
      <c r="LZ26" s="40">
        <f t="shared" ca="1" si="414"/>
        <v>0</v>
      </c>
      <c r="MA26" s="40">
        <f t="shared" ca="1" si="414"/>
        <v>0</v>
      </c>
      <c r="MB26" s="40">
        <f t="shared" ca="1" si="414"/>
        <v>0</v>
      </c>
      <c r="MC26" s="40">
        <f t="shared" ca="1" si="414"/>
        <v>0</v>
      </c>
      <c r="MD26" s="40">
        <f t="shared" ca="1" si="414"/>
        <v>0</v>
      </c>
      <c r="ME26" s="40">
        <f t="shared" ca="1" si="414"/>
        <v>0</v>
      </c>
      <c r="MF26" s="40">
        <f t="shared" ca="1" si="414"/>
        <v>0</v>
      </c>
      <c r="MG26" s="40">
        <f t="shared" ca="1" si="414"/>
        <v>0</v>
      </c>
      <c r="MH26" s="40">
        <f t="shared" ca="1" si="414"/>
        <v>0</v>
      </c>
      <c r="MI26" s="40">
        <f t="shared" ca="1" si="414"/>
        <v>0</v>
      </c>
      <c r="MJ26" s="40">
        <f t="shared" ca="1" si="414"/>
        <v>0</v>
      </c>
      <c r="MK26" s="40">
        <f t="shared" ca="1" si="414"/>
        <v>0</v>
      </c>
      <c r="ML26" s="40">
        <f t="shared" ca="1" si="414"/>
        <v>0</v>
      </c>
      <c r="MM26" s="40">
        <f t="shared" ca="1" si="414"/>
        <v>0</v>
      </c>
      <c r="MN26" s="40">
        <f t="shared" ca="1" si="414"/>
        <v>0</v>
      </c>
      <c r="MO26" s="40">
        <f t="shared" ca="1" si="414"/>
        <v>0</v>
      </c>
      <c r="MP26" s="40">
        <f t="shared" ca="1" si="414"/>
        <v>0</v>
      </c>
      <c r="MQ26" s="40">
        <f t="shared" ca="1" si="414"/>
        <v>0</v>
      </c>
      <c r="MR26" s="40">
        <f t="shared" ca="1" si="414"/>
        <v>0</v>
      </c>
      <c r="MS26" s="40">
        <f t="shared" ca="1" si="414"/>
        <v>0</v>
      </c>
      <c r="MT26" s="40">
        <f t="shared" ca="1" si="414"/>
        <v>0</v>
      </c>
      <c r="MU26" s="40">
        <f t="shared" ca="1" si="414"/>
        <v>0</v>
      </c>
      <c r="MV26" s="40">
        <f t="shared" ca="1" si="414"/>
        <v>0</v>
      </c>
      <c r="MW26" s="40">
        <f t="shared" ca="1" si="414"/>
        <v>0</v>
      </c>
      <c r="MX26" s="40">
        <f t="shared" ca="1" si="414"/>
        <v>0</v>
      </c>
      <c r="MY26" s="40">
        <f t="shared" ca="1" si="414"/>
        <v>0</v>
      </c>
      <c r="MZ26" s="40">
        <f t="shared" ca="1" si="414"/>
        <v>0</v>
      </c>
      <c r="NA26" s="40">
        <f t="shared" ca="1" si="414"/>
        <v>0</v>
      </c>
      <c r="NB26" s="40">
        <f t="shared" ca="1" si="414"/>
        <v>0</v>
      </c>
      <c r="NC26" s="40">
        <f t="shared" ca="1" si="414"/>
        <v>0</v>
      </c>
      <c r="ND26" s="40">
        <f t="shared" ca="1" si="414"/>
        <v>0</v>
      </c>
      <c r="NE26" s="40"/>
      <c r="NF26" s="40"/>
      <c r="NG26" s="40"/>
      <c r="NH26" s="40"/>
      <c r="NI26" s="40"/>
      <c r="NJ26" s="40"/>
      <c r="NK26" s="40"/>
      <c r="NL26" s="40"/>
      <c r="NM26" s="40"/>
      <c r="NN26" s="40"/>
      <c r="NO26" s="40"/>
      <c r="NP26" s="40"/>
      <c r="NQ26" s="40"/>
      <c r="NR26" s="40"/>
    </row>
    <row r="27" spans="2:382" x14ac:dyDescent="0.15">
      <c r="B27" s="518"/>
      <c r="C27" s="115" t="str">
        <f>_xlfn.CONCAT($C$3," Preferred Return Account")</f>
        <v>Aaron (Manager) Preferred Return Account</v>
      </c>
      <c r="D27" s="52"/>
      <c r="E27" s="40"/>
      <c r="F27" s="40"/>
      <c r="G27" s="114"/>
      <c r="H27" s="40"/>
      <c r="I27" s="40">
        <f>G27-G28+I26</f>
        <v>7559.0520000000006</v>
      </c>
      <c r="J27" s="40">
        <f t="shared" ref="J27" si="415">I27-I28+J26</f>
        <v>47056.617322500009</v>
      </c>
      <c r="K27" s="40">
        <f t="shared" ref="K27" si="416">J27-J28+K26</f>
        <v>86554.182645000023</v>
      </c>
      <c r="L27" s="40">
        <f t="shared" ref="L27" si="417">K27-K28+L26</f>
        <v>126051.74796750002</v>
      </c>
      <c r="M27" s="40">
        <f t="shared" ref="M27" si="418">L27-L28+M26</f>
        <v>133610.79996750003</v>
      </c>
      <c r="N27" s="40">
        <f t="shared" ref="N27" si="419">M27-M28+N26</f>
        <v>141169.85196750003</v>
      </c>
      <c r="O27" s="40">
        <f t="shared" ref="O27" si="420">N27-N28+O26</f>
        <v>148728.90396750002</v>
      </c>
      <c r="P27" s="40">
        <f t="shared" ref="P27" si="421">O27-O28+P26</f>
        <v>156287.95596750002</v>
      </c>
      <c r="Q27" s="40">
        <f t="shared" ref="Q27" si="422">P27-P28+Q26</f>
        <v>163847.00796750002</v>
      </c>
      <c r="R27" s="40">
        <f t="shared" ref="R27" si="423">Q27-Q28+R26</f>
        <v>171406.05996750001</v>
      </c>
      <c r="S27" s="40">
        <f t="shared" ref="S27" si="424">R27-R28+S26</f>
        <v>178965.11196750001</v>
      </c>
      <c r="T27" s="40">
        <f>S27-S28+T26</f>
        <v>186524.1639675</v>
      </c>
      <c r="U27" s="40">
        <f t="shared" ref="U27" si="425">T27-T28+U26</f>
        <v>194083.2159675</v>
      </c>
      <c r="V27" s="40">
        <f t="shared" ref="V27" si="426">U27-U28+V26</f>
        <v>201642.2679675</v>
      </c>
      <c r="W27" s="40">
        <f t="shared" ref="W27" si="427">V27-V28+W26</f>
        <v>209201.31996749999</v>
      </c>
      <c r="X27" s="40">
        <f t="shared" ref="X27" si="428">W27-W28+X26</f>
        <v>216760.37196749999</v>
      </c>
      <c r="Y27" s="40">
        <f t="shared" ref="Y27" si="429">X27-X28+Y26</f>
        <v>224319.42396749998</v>
      </c>
      <c r="Z27" s="40">
        <f t="shared" ref="Z27" si="430">Y27-Y28+Z26</f>
        <v>231878.47596749998</v>
      </c>
      <c r="AA27" s="40">
        <f t="shared" ref="AA27" si="431">Z27-Z28+AA26</f>
        <v>239437.52796749998</v>
      </c>
      <c r="AB27" s="40">
        <f t="shared" ref="AB27" si="432">AA27-AA28+AB26</f>
        <v>246996.57996749997</v>
      </c>
      <c r="AC27" s="40">
        <f t="shared" ref="AC27" si="433">AB27-AB28+AC26</f>
        <v>254555.63196749997</v>
      </c>
      <c r="AD27" s="40">
        <f t="shared" ref="AD27" si="434">AC27-AC28+AD26</f>
        <v>262114.68396749996</v>
      </c>
      <c r="AE27" s="40">
        <f t="shared" ref="AE27" si="435">AD27-AD28+AE26</f>
        <v>269673.73596749996</v>
      </c>
      <c r="AF27" s="40">
        <f t="shared" ref="AF27" si="436">AE27-AE28+AF26</f>
        <v>277232.78796749999</v>
      </c>
      <c r="AG27" s="40">
        <f t="shared" ref="AG27" si="437">AF27-AF28+AG26</f>
        <v>284791.83996750001</v>
      </c>
      <c r="AH27" s="40">
        <f t="shared" ref="AH27" si="438">AG27-AG28+AH26</f>
        <v>292350.89196750004</v>
      </c>
      <c r="AI27" s="40">
        <f t="shared" ref="AI27" si="439">AH27-AH28+AI26</f>
        <v>299909.94396750006</v>
      </c>
      <c r="AJ27" s="40">
        <f t="shared" ref="AJ27" si="440">AI27-AI28+AJ26</f>
        <v>307468.99596750009</v>
      </c>
      <c r="AK27" s="40">
        <f t="shared" ref="AK27" si="441">AJ27-AJ28+AK26</f>
        <v>315028.04796750011</v>
      </c>
      <c r="AL27" s="40">
        <f t="shared" ref="AL27" si="442">AK27-AK28+AL26</f>
        <v>322587.09996750014</v>
      </c>
      <c r="AM27" s="40">
        <f t="shared" ref="AM27" si="443">AL27-AL28+AM26</f>
        <v>330146.15196750016</v>
      </c>
      <c r="AN27" s="40">
        <f t="shared" ref="AN27" si="444">AM27-AM28+AN26</f>
        <v>337705.20396750019</v>
      </c>
      <c r="AO27" s="40">
        <f t="shared" ref="AO27" si="445">AN27-AN28+AO26</f>
        <v>345264.25596750021</v>
      </c>
      <c r="AP27" s="40">
        <f t="shared" ref="AP27" si="446">AO27-AO28+AP26</f>
        <v>352823.30796750024</v>
      </c>
      <c r="AQ27" s="40">
        <f t="shared" ref="AQ27" si="447">AP27-AP28+AQ26</f>
        <v>360382.35996750026</v>
      </c>
      <c r="AR27" s="40">
        <f t="shared" ref="AR27" si="448">AQ27-AQ28+AR26</f>
        <v>367941.41196750029</v>
      </c>
      <c r="AS27" s="40">
        <f t="shared" ref="AS27" si="449">AR27-AR28+AS26</f>
        <v>375500.46396750031</v>
      </c>
      <c r="AT27" s="40">
        <f t="shared" ref="AT27" si="450">AS27-AS28+AT26</f>
        <v>382948.79072334251</v>
      </c>
      <c r="AU27" s="40">
        <f t="shared" ref="AU27" si="451">AT27-AT28+AU26</f>
        <v>390397.1174791847</v>
      </c>
      <c r="AV27" s="40">
        <f t="shared" ref="AV27" si="452">AU27-AU28+AV26</f>
        <v>397845.44423502689</v>
      </c>
      <c r="AW27" s="40">
        <f t="shared" ref="AW27" si="453">AV27-AV28+AW26</f>
        <v>405293.77099086909</v>
      </c>
      <c r="AX27" s="40">
        <f t="shared" ref="AX27" si="454">AW27-AW28+AX26</f>
        <v>412742.09774671128</v>
      </c>
      <c r="AY27" s="40">
        <f t="shared" ref="AY27" si="455">AX27-AX28+AY26</f>
        <v>420190.42450255348</v>
      </c>
      <c r="AZ27" s="40">
        <f t="shared" ref="AZ27" si="456">AY27-AY28+AZ26</f>
        <v>427638.75125839567</v>
      </c>
      <c r="BA27" s="40">
        <f t="shared" ref="BA27" si="457">AZ27-AZ28+BA26</f>
        <v>435087.07801423786</v>
      </c>
      <c r="BB27" s="40">
        <f t="shared" ref="BB27" si="458">BA27-BA28+BB26</f>
        <v>442535.40477008006</v>
      </c>
      <c r="BC27" s="40">
        <f t="shared" ref="BC27" si="459">BB27-BB28+BC26</f>
        <v>449983.73152592225</v>
      </c>
      <c r="BD27" s="40">
        <f t="shared" ref="BD27" si="460">BC27-BC28+BD26</f>
        <v>457432.05828176445</v>
      </c>
      <c r="BE27" s="40">
        <f t="shared" ref="BE27" si="461">BD27-BD28+BE26</f>
        <v>464880.38503760664</v>
      </c>
      <c r="BF27" s="40">
        <f t="shared" ref="BF27" si="462">BE27-BE28+BF26</f>
        <v>472045.67261616932</v>
      </c>
      <c r="BG27" s="40">
        <f t="shared" ref="BG27" si="463">BF27-BF28+BG26</f>
        <v>479210.960194732</v>
      </c>
      <c r="BH27" s="40">
        <f t="shared" ref="BH27" si="464">BG27-BG28+BH26</f>
        <v>486376.24777329469</v>
      </c>
      <c r="BI27" s="40">
        <f t="shared" ref="BI27" si="465">BH27-BH28+BI26</f>
        <v>493541.53535185737</v>
      </c>
      <c r="BJ27" s="40">
        <f t="shared" ref="BJ27" si="466">BI27-BI28+BJ26</f>
        <v>500706.82293042005</v>
      </c>
      <c r="BK27" s="40">
        <f t="shared" ref="BK27" si="467">BJ27-BJ28+BK26</f>
        <v>507872.11050898273</v>
      </c>
      <c r="BL27" s="40">
        <f t="shared" ref="BL27" si="468">BK27-BK28+BL26</f>
        <v>515037.39808754541</v>
      </c>
      <c r="BM27" s="40">
        <f t="shared" ref="BM27" si="469">BL27-BL28+BM26</f>
        <v>522202.6856661081</v>
      </c>
      <c r="BN27" s="40">
        <f t="shared" ref="BN27" si="470">BM27-BM28+BN26</f>
        <v>529367.97324467078</v>
      </c>
      <c r="BO27" s="40">
        <f t="shared" ref="BO27" si="471">BN27-BN28+BO26</f>
        <v>536533.2608232334</v>
      </c>
      <c r="BP27" s="40">
        <f t="shared" ref="BP27" si="472">BO27-BO28+BP26</f>
        <v>543698.54840179603</v>
      </c>
      <c r="BQ27" s="40">
        <f t="shared" ref="BQ27" si="473">BP27-BP28+BQ26</f>
        <v>550863.83598035865</v>
      </c>
      <c r="BR27" s="40">
        <f t="shared" ref="BR27" si="474">BQ27-BQ28+BR26</f>
        <v>557737.19993542833</v>
      </c>
      <c r="BS27" s="40">
        <f t="shared" ref="BS27" si="475">BR27-BR28+BS26</f>
        <v>564610.56389049802</v>
      </c>
      <c r="BT27" s="40">
        <f t="shared" ref="BT27" si="476">BS27-BS28+BT26</f>
        <v>571483.9278455677</v>
      </c>
      <c r="BU27" s="40">
        <f t="shared" ref="BU27" si="477">BT27-BT28+BU26</f>
        <v>578357.29180063738</v>
      </c>
      <c r="BV27" s="40">
        <f t="shared" ref="BV27" si="478">BU27-BU28+BV26</f>
        <v>585230.65575570706</v>
      </c>
      <c r="BW27" s="40">
        <f t="shared" ref="BW27" si="479">BV27-BV28+BW26</f>
        <v>592104.01971077675</v>
      </c>
      <c r="BX27" s="40">
        <f t="shared" ref="BX27" si="480">BW27-BW28+BX26</f>
        <v>598977.38366584643</v>
      </c>
      <c r="BY27" s="40">
        <f t="shared" ref="BY27" si="481">BX27-BX28+BY26</f>
        <v>605850.74762091611</v>
      </c>
      <c r="BZ27" s="40">
        <f t="shared" ref="BZ27" si="482">BY27-BY28+BZ26</f>
        <v>612724.11157598579</v>
      </c>
      <c r="CA27" s="40">
        <f t="shared" ref="CA27" si="483">BZ27-BZ28+CA26</f>
        <v>619597.47553105548</v>
      </c>
      <c r="CB27" s="40">
        <f t="shared" ref="CB27" si="484">CA27-CA28+CB26</f>
        <v>626470.83948612516</v>
      </c>
      <c r="CC27" s="40">
        <f t="shared" ref="CC27" si="485">CB27-CB28+CC26</f>
        <v>633344.20344119484</v>
      </c>
      <c r="CD27" s="40">
        <f t="shared" ref="CD27" si="486">CC27-CC28+CD26</f>
        <v>639916.48440091847</v>
      </c>
      <c r="CE27" s="40">
        <f t="shared" ref="CE27" si="487">CD27-CD28+CE26</f>
        <v>646488.76536064211</v>
      </c>
      <c r="CF27" s="40">
        <f t="shared" ref="CF27" si="488">CE27-CE28+CF26</f>
        <v>653061.04632036574</v>
      </c>
      <c r="CG27" s="40">
        <f t="shared" ref="CG27" si="489">CF27-CF28+CG26</f>
        <v>659633.32728008938</v>
      </c>
      <c r="CH27" s="40">
        <f t="shared" ref="CH27" si="490">CG27-CG28+CH26</f>
        <v>666205.60823981301</v>
      </c>
      <c r="CI27" s="40">
        <f t="shared" ref="CI27" si="491">CH27-CH28+CI26</f>
        <v>672777.88919953664</v>
      </c>
      <c r="CJ27" s="40">
        <f t="shared" ref="CJ27" si="492">CI27-CI28+CJ26</f>
        <v>679350.17015926028</v>
      </c>
      <c r="CK27" s="40">
        <f t="shared" ref="CK27" si="493">CJ27-CJ28+CK26</f>
        <v>685922.45111898391</v>
      </c>
      <c r="CL27" s="40">
        <f t="shared" ref="CL27" si="494">CK27-CK28+CL26</f>
        <v>692494.73207870754</v>
      </c>
      <c r="CM27" s="40">
        <f t="shared" ref="CM27" si="495">CL27-CL28+CM26</f>
        <v>699067.01303843118</v>
      </c>
      <c r="CN27" s="40">
        <f t="shared" ref="CN27" si="496">CM27-CM28+CN26</f>
        <v>705639.29399815481</v>
      </c>
      <c r="CO27" s="40">
        <f t="shared" ref="CO27" si="497">CN27-CN28+CO26</f>
        <v>712211.57495787845</v>
      </c>
      <c r="CP27" s="40">
        <f t="shared" ref="CP27" si="498">CO27-CO28+CP26</f>
        <v>718473.33019597863</v>
      </c>
      <c r="CQ27" s="40">
        <f t="shared" ref="CQ27" si="499">CP27-CP28+CQ26</f>
        <v>724735.08543407882</v>
      </c>
      <c r="CR27" s="40">
        <f t="shared" ref="CR27" si="500">CQ27-CQ28+CR26</f>
        <v>730996.84067217901</v>
      </c>
      <c r="CS27" s="40">
        <f t="shared" ref="CS27" si="501">CR27-CR28+CS26</f>
        <v>737258.5959102792</v>
      </c>
      <c r="CT27" s="40">
        <f t="shared" ref="CT27" si="502">CS27-CS28+CT26</f>
        <v>743520.35114837938</v>
      </c>
      <c r="CU27" s="40">
        <f t="shared" ref="CU27" si="503">CT27-CT28+CU26</f>
        <v>749782.10638647957</v>
      </c>
      <c r="CV27" s="40">
        <f t="shared" ref="CV27" si="504">CU27-CU28+CV26</f>
        <v>756043.86162457976</v>
      </c>
      <c r="CW27" s="40">
        <f t="shared" ref="CW27" si="505">CV27-CV28+CW26</f>
        <v>762305.61686267995</v>
      </c>
      <c r="CX27" s="40">
        <f t="shared" ref="CX27" si="506">CW27-CW28+CX26</f>
        <v>768567.37210078014</v>
      </c>
      <c r="CY27" s="40">
        <f t="shared" ref="CY27" si="507">CX27-CX28+CY26</f>
        <v>774829.12733888032</v>
      </c>
      <c r="CZ27" s="40">
        <f t="shared" ref="CZ27" si="508">CY27-CY28+CZ26</f>
        <v>781090.88257698051</v>
      </c>
      <c r="DA27" s="40">
        <f t="shared" ref="DA27" si="509">CZ27-CZ28+DA26</f>
        <v>787352.6378150807</v>
      </c>
      <c r="DB27" s="40">
        <f t="shared" ref="DB27" si="510">DA27-DA28+DB26</f>
        <v>793294.13256525726</v>
      </c>
      <c r="DC27" s="40">
        <f t="shared" ref="DC27" si="511">DB27-DB28+DC26</f>
        <v>799235.62731543381</v>
      </c>
      <c r="DD27" s="40">
        <f t="shared" ref="DD27" si="512">DC27-DC28+DD26</f>
        <v>805177.12206561037</v>
      </c>
      <c r="DE27" s="40">
        <f t="shared" ref="DE27" si="513">DD27-DD28+DE26</f>
        <v>811118.61681578693</v>
      </c>
      <c r="DF27" s="40">
        <f t="shared" ref="DF27" si="514">DE27-DE28+DF26</f>
        <v>817060.11156596348</v>
      </c>
      <c r="DG27" s="40">
        <f t="shared" ref="DG27" si="515">DF27-DF28+DG26</f>
        <v>823001.60631614004</v>
      </c>
      <c r="DH27" s="40">
        <f t="shared" ref="DH27" si="516">DG27-DG28+DH26</f>
        <v>828943.10106631659</v>
      </c>
      <c r="DI27" s="40">
        <f t="shared" ref="DI27" si="517">DH27-DH28+DI26</f>
        <v>834884.59581649315</v>
      </c>
      <c r="DJ27" s="40">
        <f t="shared" ref="DJ27" si="518">DI27-DI28+DJ26</f>
        <v>840826.09056666971</v>
      </c>
      <c r="DK27" s="40">
        <f t="shared" ref="DK27" si="519">DJ27-DJ28+DK26</f>
        <v>846767.58531684626</v>
      </c>
      <c r="DL27" s="40">
        <f t="shared" ref="DL27" si="520">DK27-DK28+DL26</f>
        <v>852709.08006702282</v>
      </c>
      <c r="DM27" s="40">
        <f t="shared" ref="DM27" si="521">DL27-DL28+DM26</f>
        <v>858650.57481719938</v>
      </c>
      <c r="DN27" s="40">
        <f t="shared" ref="DN27" si="522">DM27-DM28+DN26</f>
        <v>864261.77332292625</v>
      </c>
      <c r="DO27" s="40">
        <f t="shared" ref="DO27" si="523">DN27-DN28+DO26</f>
        <v>869872.97182865313</v>
      </c>
      <c r="DP27" s="40">
        <f t="shared" ref="DP27" si="524">DO27-DO28+DP26</f>
        <v>875484.17033438</v>
      </c>
      <c r="DQ27" s="40">
        <f t="shared" ref="DQ27" si="525">DP27-DP28+DQ26</f>
        <v>881095.36884010688</v>
      </c>
      <c r="DR27" s="40">
        <f t="shared" ref="DR27" si="526">DQ27-DQ28+DR26</f>
        <v>886706.56734583376</v>
      </c>
      <c r="DS27" s="40">
        <f t="shared" ref="DS27" si="527">DR27-DR28+DS26</f>
        <v>892317.76585156063</v>
      </c>
      <c r="DT27" s="40">
        <f t="shared" ref="DT27" si="528">DS27-DS28+DT26</f>
        <v>897928.96435728751</v>
      </c>
      <c r="DU27" s="40">
        <f t="shared" ref="DU27" si="529">DT27-DT28+DU26</f>
        <v>903540.16286301438</v>
      </c>
      <c r="DV27" s="40">
        <f t="shared" ref="DV27" si="530">DU27-DU28+DV26</f>
        <v>909151.36136874126</v>
      </c>
      <c r="DW27" s="40">
        <f t="shared" ref="DW27" si="531">DV27-DV28+DW26</f>
        <v>914762.55987446813</v>
      </c>
      <c r="DX27" s="40">
        <f t="shared" ref="DX27" si="532">DW27-DW28+DX26</f>
        <v>920373.75838019501</v>
      </c>
      <c r="DY27" s="40">
        <f t="shared" ref="DY27" si="533">DX27-DX28+DY26</f>
        <v>925984.95688592189</v>
      </c>
      <c r="DZ27" s="40">
        <f t="shared" ref="DZ27" si="534">DY27-DY28+DZ26</f>
        <v>931255.51317761221</v>
      </c>
      <c r="EA27" s="40">
        <f t="shared" ref="EA27" si="535">DZ27-DZ28+EA26</f>
        <v>936526.06946930254</v>
      </c>
      <c r="EB27" s="40">
        <f t="shared" ref="EB27" si="536">EA27-EA28+EB26</f>
        <v>941796.62576099287</v>
      </c>
      <c r="EC27" s="40">
        <f t="shared" ref="EC27" si="537">EB27-EB28+EC26</f>
        <v>947067.1820526832</v>
      </c>
      <c r="ED27" s="40">
        <f t="shared" ref="ED27" si="538">EC27-EC28+ED26</f>
        <v>952337.73834437353</v>
      </c>
      <c r="EE27" s="40">
        <f t="shared" ref="EE27" si="539">ED27-ED28+EE26</f>
        <v>957608.29463606386</v>
      </c>
      <c r="EF27" s="40">
        <f t="shared" ref="EF27" si="540">EE27-EE28+EF26</f>
        <v>962878.85092775419</v>
      </c>
      <c r="EG27" s="40">
        <f t="shared" ref="EG27" si="541">EF27-EF28+EG26</f>
        <v>968149.40721944452</v>
      </c>
      <c r="EH27" s="40">
        <f t="shared" ref="EH27" si="542">EG27-EG28+EH26</f>
        <v>973419.96351113485</v>
      </c>
      <c r="EI27" s="40">
        <f t="shared" ref="EI27" si="543">EH27-EH28+EI26</f>
        <v>978690.51980282518</v>
      </c>
      <c r="EJ27" s="40">
        <f t="shared" ref="EJ27" si="544">EI27-EI28+EJ26</f>
        <v>983961.07609451551</v>
      </c>
      <c r="EK27" s="40">
        <f t="shared" ref="EK27" si="545">EJ27-EJ28+EK26</f>
        <v>989231.63238620583</v>
      </c>
      <c r="EL27" s="40">
        <f t="shared" ref="EL27" si="546">EK27-EK28+EL26</f>
        <v>994150.88077747438</v>
      </c>
      <c r="EM27" s="40">
        <f t="shared" ref="EM27" si="547">EL27-EL28+EM26</f>
        <v>999070.12916874292</v>
      </c>
      <c r="EN27" s="40">
        <f t="shared" ref="EN27" si="548">EM27-EM28+EN26</f>
        <v>1003989.3775600115</v>
      </c>
      <c r="EO27" s="40">
        <f t="shared" ref="EO27" si="549">EN27-EN28+EO26</f>
        <v>1008908.62595128</v>
      </c>
      <c r="EP27" s="40">
        <f t="shared" ref="EP27" si="550">EO27-EO28+EP26</f>
        <v>1013827.8743425485</v>
      </c>
      <c r="EQ27" s="40">
        <f t="shared" ref="EQ27" si="551">EP27-EP28+EQ26</f>
        <v>1018747.1227338171</v>
      </c>
      <c r="ER27" s="40">
        <f t="shared" ref="ER27" si="552">EQ27-EQ28+ER26</f>
        <v>1023666.3711250856</v>
      </c>
      <c r="ES27" s="40">
        <f t="shared" ref="ES27" si="553">ER27-ER28+ES26</f>
        <v>1028585.6195163542</v>
      </c>
      <c r="ET27" s="40">
        <f t="shared" ref="ET27" si="554">ES27-ES28+ET26</f>
        <v>1033504.8679076227</v>
      </c>
      <c r="EU27" s="40">
        <f t="shared" ref="EU27" si="555">ET27-ET28+EU26</f>
        <v>1038424.1162988913</v>
      </c>
      <c r="EV27" s="40">
        <f t="shared" ref="EV27" si="556">EU27-EU28+EV26</f>
        <v>1043343.3646901598</v>
      </c>
      <c r="EW27" s="40">
        <f t="shared" ref="EW27" si="557">EV27-EV28+EW26</f>
        <v>1048262.6130814283</v>
      </c>
      <c r="EX27" s="40">
        <f t="shared" ref="EX27" si="558">EW27-EW28+EX26</f>
        <v>1052819.558375932</v>
      </c>
      <c r="EY27" s="40">
        <f t="shared" ref="EY27" si="559">EX27-EX28+EY26</f>
        <v>1057376.5036704356</v>
      </c>
      <c r="EZ27" s="40">
        <f t="shared" ref="EZ27" si="560">EY27-EY28+EZ26</f>
        <v>1061933.4489649392</v>
      </c>
      <c r="FA27" s="40">
        <f t="shared" ref="FA27" si="561">EZ27-EZ28+FA26</f>
        <v>1066490.3942594428</v>
      </c>
      <c r="FB27" s="40">
        <f t="shared" ref="FB27" si="562">FA27-FA28+FB26</f>
        <v>1071047.3395539464</v>
      </c>
      <c r="FC27" s="40">
        <f t="shared" ref="FC27" si="563">FB27-FB28+FC26</f>
        <v>1075604.28484845</v>
      </c>
      <c r="FD27" s="40">
        <f t="shared" ref="FD27" si="564">FC27-FC28+FD26</f>
        <v>1080161.2301429536</v>
      </c>
      <c r="FE27" s="40">
        <f t="shared" ref="FE27" si="565">FD27-FD28+FE26</f>
        <v>1084718.1754374572</v>
      </c>
      <c r="FF27" s="40">
        <f t="shared" ref="FF27" si="566">FE27-FE28+FF26</f>
        <v>1089275.1207319607</v>
      </c>
      <c r="FG27" s="40">
        <f t="shared" ref="FG27" si="567">FF27-FF28+FG26</f>
        <v>1093832.0660264643</v>
      </c>
      <c r="FH27" s="40">
        <f t="shared" ref="FH27" si="568">FG27-FG28+FH26</f>
        <v>1098389.0113209679</v>
      </c>
      <c r="FI27" s="40">
        <f t="shared" ref="FI27" si="569">FH27-FH28+FI26</f>
        <v>1102945.9566154715</v>
      </c>
      <c r="FJ27" s="40">
        <f t="shared" ref="FJ27" si="570">FI27-FI28+FJ26</f>
        <v>1107129.2640155486</v>
      </c>
      <c r="FK27" s="40">
        <f t="shared" ref="FK27" si="571">FJ27-FJ28+FK26</f>
        <v>1111312.5714156257</v>
      </c>
      <c r="FL27" s="40">
        <f t="shared" ref="FL27" si="572">FK27-FK28+FL26</f>
        <v>1115495.8788157029</v>
      </c>
      <c r="FM27" s="40">
        <f t="shared" ref="FM27" si="573">FL27-FL28+FM26</f>
        <v>1119679.18621578</v>
      </c>
      <c r="FN27" s="40">
        <f t="shared" ref="FN27" si="574">FM27-FM28+FN26</f>
        <v>1123862.4936158571</v>
      </c>
      <c r="FO27" s="40">
        <f t="shared" ref="FO27" si="575">FN27-FN28+FO26</f>
        <v>1128045.8010159342</v>
      </c>
      <c r="FP27" s="40">
        <f t="shared" ref="FP27" si="576">FO27-FO28+FP26</f>
        <v>1132229.1084160113</v>
      </c>
      <c r="FQ27" s="40">
        <f t="shared" ref="FQ27" si="577">FP27-FP28+FQ26</f>
        <v>1136412.4158160884</v>
      </c>
      <c r="FR27" s="40">
        <f t="shared" ref="FR27" si="578">FQ27-FQ28+FR26</f>
        <v>1140595.7232161656</v>
      </c>
      <c r="FS27" s="40">
        <f t="shared" ref="FS27" si="579">FR27-FR28+FS26</f>
        <v>1144779.0306162427</v>
      </c>
      <c r="FT27" s="40">
        <f t="shared" ref="FT27" si="580">FS27-FS28+FT26</f>
        <v>1148962.3380163198</v>
      </c>
      <c r="FU27" s="40">
        <f t="shared" ref="FU27" si="581">FT27-FT28+FU26</f>
        <v>1153145.6454163969</v>
      </c>
      <c r="FV27" s="40">
        <f t="shared" ref="FV27" si="582">FU27-FU28+FV26</f>
        <v>1156943.6301244639</v>
      </c>
      <c r="FW27" s="40">
        <f t="shared" ref="FW27" si="583">FV27-FV28+FW26</f>
        <v>1160741.614832531</v>
      </c>
      <c r="FX27" s="40">
        <f t="shared" ref="FX27" si="584">FW27-FW28+FX26</f>
        <v>1164539.599540598</v>
      </c>
      <c r="FY27" s="40">
        <f t="shared" ref="FY27" si="585">FX27-FX28+FY26</f>
        <v>1168337.584248665</v>
      </c>
      <c r="FZ27" s="40">
        <f t="shared" ref="FZ27" si="586">FY27-FY28+FZ26</f>
        <v>1172135.5689567321</v>
      </c>
      <c r="GA27" s="40">
        <f t="shared" ref="GA27" si="587">FZ27-FZ28+GA26</f>
        <v>1175933.5536647991</v>
      </c>
      <c r="GB27" s="40">
        <f t="shared" ref="GB27" si="588">GA27-GA28+GB26</f>
        <v>1179731.5383728661</v>
      </c>
      <c r="GC27" s="40">
        <f t="shared" ref="GC27" si="589">GB27-GB28+GC26</f>
        <v>1183529.5230809331</v>
      </c>
      <c r="GD27" s="40">
        <f t="shared" ref="GD27" si="590">GC27-GC28+GD26</f>
        <v>1191088.575080933</v>
      </c>
      <c r="GE27" s="40">
        <f t="shared" ref="GE27" si="591">GD27-GD28+GE26</f>
        <v>1198647.627080933</v>
      </c>
      <c r="GF27" s="40">
        <f t="shared" ref="GF27" si="592">GE27-GE28+GF26</f>
        <v>1206206.6790809329</v>
      </c>
      <c r="GG27" s="40">
        <f t="shared" ref="GG27" ca="1" si="593">GF27-GF28+GG26</f>
        <v>0</v>
      </c>
      <c r="GH27" s="40">
        <f t="shared" ref="GH27" ca="1" si="594">GG27-GG28+GH26</f>
        <v>0</v>
      </c>
      <c r="GI27" s="40">
        <f t="shared" ref="GI27" ca="1" si="595">GH27-GH28+GI26</f>
        <v>0</v>
      </c>
      <c r="GJ27" s="40">
        <f t="shared" ref="GJ27" ca="1" si="596">GI27-GI28+GJ26</f>
        <v>0</v>
      </c>
      <c r="GK27" s="40">
        <f t="shared" ref="GK27" ca="1" si="597">GJ27-GJ28+GK26</f>
        <v>0</v>
      </c>
      <c r="GL27" s="40">
        <f t="shared" ref="GL27" ca="1" si="598">GK27-GK28+GL26</f>
        <v>0</v>
      </c>
      <c r="GM27" s="40">
        <f t="shared" ref="GM27" ca="1" si="599">GL27-GL28+GM26</f>
        <v>0</v>
      </c>
      <c r="GN27" s="40">
        <f t="shared" ref="GN27" ca="1" si="600">GM27-GM28+GN26</f>
        <v>0</v>
      </c>
      <c r="GO27" s="40">
        <f t="shared" ref="GO27" ca="1" si="601">GN27-GN28+GO26</f>
        <v>0</v>
      </c>
      <c r="GP27" s="40">
        <f t="shared" ref="GP27" ca="1" si="602">GO27-GO28+GP26</f>
        <v>0</v>
      </c>
      <c r="GQ27" s="40">
        <f t="shared" ref="GQ27" ca="1" si="603">GP27-GP28+GQ26</f>
        <v>0</v>
      </c>
      <c r="GR27" s="40">
        <f t="shared" ref="GR27" ca="1" si="604">GQ27-GQ28+GR26</f>
        <v>0</v>
      </c>
      <c r="GS27" s="40">
        <f t="shared" ref="GS27" ca="1" si="605">GR27-GR28+GS26</f>
        <v>0</v>
      </c>
      <c r="GT27" s="40">
        <f t="shared" ref="GT27" ca="1" si="606">GS27-GS28+GT26</f>
        <v>0</v>
      </c>
      <c r="GU27" s="40">
        <f t="shared" ref="GU27" ca="1" si="607">GT27-GT28+GU26</f>
        <v>0</v>
      </c>
      <c r="GV27" s="40">
        <f t="shared" ref="GV27" ca="1" si="608">GU27-GU28+GV26</f>
        <v>0</v>
      </c>
      <c r="GW27" s="40">
        <f t="shared" ref="GW27" ca="1" si="609">GV27-GV28+GW26</f>
        <v>0</v>
      </c>
      <c r="GX27" s="40">
        <f t="shared" ref="GX27" ca="1" si="610">GW27-GW28+GX26</f>
        <v>0</v>
      </c>
      <c r="GY27" s="40">
        <f t="shared" ref="GY27" ca="1" si="611">GX27-GX28+GY26</f>
        <v>0</v>
      </c>
      <c r="GZ27" s="40">
        <f t="shared" ref="GZ27" ca="1" si="612">GY27-GY28+GZ26</f>
        <v>0</v>
      </c>
      <c r="HA27" s="40">
        <f t="shared" ref="HA27" ca="1" si="613">GZ27-GZ28+HA26</f>
        <v>0</v>
      </c>
      <c r="HB27" s="40">
        <f t="shared" ref="HB27" ca="1" si="614">HA27-HA28+HB26</f>
        <v>0</v>
      </c>
      <c r="HC27" s="40">
        <f t="shared" ref="HC27" ca="1" si="615">HB27-HB28+HC26</f>
        <v>0</v>
      </c>
      <c r="HD27" s="40">
        <f t="shared" ref="HD27" ca="1" si="616">HC27-HC28+HD26</f>
        <v>0</v>
      </c>
      <c r="HE27" s="40">
        <f t="shared" ref="HE27" ca="1" si="617">HD27-HD28+HE26</f>
        <v>0</v>
      </c>
      <c r="HF27" s="40">
        <f t="shared" ref="HF27" ca="1" si="618">HE27-HE28+HF26</f>
        <v>0</v>
      </c>
      <c r="HG27" s="40">
        <f t="shared" ref="HG27" ca="1" si="619">HF27-HF28+HG26</f>
        <v>0</v>
      </c>
      <c r="HH27" s="40">
        <f t="shared" ref="HH27" ca="1" si="620">HG27-HG28+HH26</f>
        <v>0</v>
      </c>
      <c r="HI27" s="40">
        <f t="shared" ref="HI27" ca="1" si="621">HH27-HH28+HI26</f>
        <v>0</v>
      </c>
      <c r="HJ27" s="40">
        <f t="shared" ref="HJ27" ca="1" si="622">HI27-HI28+HJ26</f>
        <v>0</v>
      </c>
      <c r="HK27" s="40">
        <f t="shared" ref="HK27" ca="1" si="623">HJ27-HJ28+HK26</f>
        <v>0</v>
      </c>
      <c r="HL27" s="40">
        <f t="shared" ref="HL27" ca="1" si="624">HK27-HK28+HL26</f>
        <v>0</v>
      </c>
      <c r="HM27" s="40">
        <f t="shared" ref="HM27" ca="1" si="625">HL27-HL28+HM26</f>
        <v>0</v>
      </c>
      <c r="HN27" s="40">
        <f t="shared" ref="HN27" ca="1" si="626">HM27-HM28+HN26</f>
        <v>0</v>
      </c>
      <c r="HO27" s="40">
        <f t="shared" ref="HO27" ca="1" si="627">HN27-HN28+HO26</f>
        <v>0</v>
      </c>
      <c r="HP27" s="40">
        <f t="shared" ref="HP27" ca="1" si="628">HO27-HO28+HP26</f>
        <v>0</v>
      </c>
      <c r="HQ27" s="40">
        <f t="shared" ref="HQ27" ca="1" si="629">HP27-HP28+HQ26</f>
        <v>0</v>
      </c>
      <c r="HR27" s="40">
        <f t="shared" ref="HR27" ca="1" si="630">HQ27-HQ28+HR26</f>
        <v>0</v>
      </c>
      <c r="HS27" s="40">
        <f t="shared" ref="HS27" ca="1" si="631">HR27-HR28+HS26</f>
        <v>0</v>
      </c>
      <c r="HT27" s="40">
        <f t="shared" ref="HT27" ca="1" si="632">HS27-HS28+HT26</f>
        <v>0</v>
      </c>
      <c r="HU27" s="40">
        <f t="shared" ref="HU27" ca="1" si="633">HT27-HT28+HU26</f>
        <v>0</v>
      </c>
      <c r="HV27" s="40">
        <f t="shared" ref="HV27" ca="1" si="634">HU27-HU28+HV26</f>
        <v>0</v>
      </c>
      <c r="HW27" s="40">
        <f t="shared" ref="HW27" ca="1" si="635">HV27-HV28+HW26</f>
        <v>0</v>
      </c>
      <c r="HX27" s="40">
        <f t="shared" ref="HX27" ca="1" si="636">HW27-HW28+HX26</f>
        <v>0</v>
      </c>
      <c r="HY27" s="40">
        <f t="shared" ref="HY27" ca="1" si="637">HX27-HX28+HY26</f>
        <v>0</v>
      </c>
      <c r="HZ27" s="40">
        <f t="shared" ref="HZ27" ca="1" si="638">HY27-HY28+HZ26</f>
        <v>0</v>
      </c>
      <c r="IA27" s="40">
        <f t="shared" ref="IA27" ca="1" si="639">HZ27-HZ28+IA26</f>
        <v>0</v>
      </c>
      <c r="IB27" s="40">
        <f t="shared" ref="IB27" ca="1" si="640">IA27-IA28+IB26</f>
        <v>0</v>
      </c>
      <c r="IC27" s="40">
        <f t="shared" ref="IC27" ca="1" si="641">IB27-IB28+IC26</f>
        <v>0</v>
      </c>
      <c r="ID27" s="40">
        <f t="shared" ref="ID27" ca="1" si="642">IC27-IC28+ID26</f>
        <v>0</v>
      </c>
      <c r="IE27" s="40">
        <f t="shared" ref="IE27" ca="1" si="643">ID27-ID28+IE26</f>
        <v>0</v>
      </c>
      <c r="IF27" s="40">
        <f t="shared" ref="IF27" ca="1" si="644">IE27-IE28+IF26</f>
        <v>0</v>
      </c>
      <c r="IG27" s="40">
        <f t="shared" ref="IG27" ca="1" si="645">IF27-IF28+IG26</f>
        <v>0</v>
      </c>
      <c r="IH27" s="40">
        <f t="shared" ref="IH27" ca="1" si="646">IG27-IG28+IH26</f>
        <v>0</v>
      </c>
      <c r="II27" s="40">
        <f t="shared" ref="II27" ca="1" si="647">IH27-IH28+II26</f>
        <v>0</v>
      </c>
      <c r="IJ27" s="40">
        <f t="shared" ref="IJ27" ca="1" si="648">II27-II28+IJ26</f>
        <v>0</v>
      </c>
      <c r="IK27" s="40">
        <f t="shared" ref="IK27" ca="1" si="649">IJ27-IJ28+IK26</f>
        <v>0</v>
      </c>
      <c r="IL27" s="40">
        <f t="shared" ref="IL27" ca="1" si="650">IK27-IK28+IL26</f>
        <v>0</v>
      </c>
      <c r="IM27" s="40">
        <f t="shared" ref="IM27" ca="1" si="651">IL27-IL28+IM26</f>
        <v>0</v>
      </c>
      <c r="IN27" s="40">
        <f t="shared" ref="IN27" ca="1" si="652">IM27-IM28+IN26</f>
        <v>0</v>
      </c>
      <c r="IO27" s="40">
        <f t="shared" ref="IO27" ca="1" si="653">IN27-IN28+IO26</f>
        <v>0</v>
      </c>
      <c r="IP27" s="40">
        <f t="shared" ref="IP27" ca="1" si="654">IO27-IO28+IP26</f>
        <v>0</v>
      </c>
      <c r="IQ27" s="40">
        <f t="shared" ref="IQ27" ca="1" si="655">IP27-IP28+IQ26</f>
        <v>0</v>
      </c>
      <c r="IR27" s="40">
        <f t="shared" ref="IR27" ca="1" si="656">IQ27-IQ28+IR26</f>
        <v>0</v>
      </c>
      <c r="IS27" s="40">
        <f t="shared" ref="IS27" ca="1" si="657">IR27-IR28+IS26</f>
        <v>0</v>
      </c>
      <c r="IT27" s="40">
        <f t="shared" ref="IT27" ca="1" si="658">IS27-IS28+IT26</f>
        <v>0</v>
      </c>
      <c r="IU27" s="40">
        <f t="shared" ref="IU27" ca="1" si="659">IT27-IT28+IU26</f>
        <v>0</v>
      </c>
      <c r="IV27" s="40">
        <f t="shared" ref="IV27" ca="1" si="660">IU27-IU28+IV26</f>
        <v>0</v>
      </c>
      <c r="IW27" s="40">
        <f t="shared" ref="IW27" ca="1" si="661">IV27-IV28+IW26</f>
        <v>0</v>
      </c>
      <c r="IX27" s="40">
        <f t="shared" ref="IX27" ca="1" si="662">IW27-IW28+IX26</f>
        <v>0</v>
      </c>
      <c r="IY27" s="40">
        <f t="shared" ref="IY27" ca="1" si="663">IX27-IX28+IY26</f>
        <v>0</v>
      </c>
      <c r="IZ27" s="40">
        <f t="shared" ref="IZ27" ca="1" si="664">IY27-IY28+IZ26</f>
        <v>0</v>
      </c>
      <c r="JA27" s="40">
        <f t="shared" ref="JA27" ca="1" si="665">IZ27-IZ28+JA26</f>
        <v>0</v>
      </c>
      <c r="JB27" s="40">
        <f t="shared" ref="JB27" ca="1" si="666">JA27-JA28+JB26</f>
        <v>0</v>
      </c>
      <c r="JC27" s="40">
        <f t="shared" ref="JC27" ca="1" si="667">JB27-JB28+JC26</f>
        <v>0</v>
      </c>
      <c r="JD27" s="40">
        <f t="shared" ref="JD27" ca="1" si="668">JC27-JC28+JD26</f>
        <v>0</v>
      </c>
      <c r="JE27" s="40">
        <f t="shared" ref="JE27" ca="1" si="669">JD27-JD28+JE26</f>
        <v>0</v>
      </c>
      <c r="JF27" s="40">
        <f t="shared" ref="JF27" ca="1" si="670">JE27-JE28+JF26</f>
        <v>0</v>
      </c>
      <c r="JG27" s="40">
        <f t="shared" ref="JG27" ca="1" si="671">JF27-JF28+JG26</f>
        <v>0</v>
      </c>
      <c r="JH27" s="40">
        <f t="shared" ref="JH27" ca="1" si="672">JG27-JG28+JH26</f>
        <v>0</v>
      </c>
      <c r="JI27" s="40">
        <f t="shared" ref="JI27" ca="1" si="673">JH27-JH28+JI26</f>
        <v>0</v>
      </c>
      <c r="JJ27" s="40">
        <f t="shared" ref="JJ27" ca="1" si="674">JI27-JI28+JJ26</f>
        <v>0</v>
      </c>
      <c r="JK27" s="40">
        <f t="shared" ref="JK27" ca="1" si="675">JJ27-JJ28+JK26</f>
        <v>0</v>
      </c>
      <c r="JL27" s="40">
        <f t="shared" ref="JL27" ca="1" si="676">JK27-JK28+JL26</f>
        <v>0</v>
      </c>
      <c r="JM27" s="40">
        <f t="shared" ref="JM27" ca="1" si="677">JL27-JL28+JM26</f>
        <v>0</v>
      </c>
      <c r="JN27" s="40">
        <f t="shared" ref="JN27" ca="1" si="678">JM27-JM28+JN26</f>
        <v>0</v>
      </c>
      <c r="JO27" s="40">
        <f t="shared" ref="JO27" ca="1" si="679">JN27-JN28+JO26</f>
        <v>0</v>
      </c>
      <c r="JP27" s="40">
        <f t="shared" ref="JP27" ca="1" si="680">JO27-JO28+JP26</f>
        <v>0</v>
      </c>
      <c r="JQ27" s="40">
        <f t="shared" ref="JQ27" ca="1" si="681">JP27-JP28+JQ26</f>
        <v>0</v>
      </c>
      <c r="JR27" s="40">
        <f t="shared" ref="JR27" ca="1" si="682">JQ27-JQ28+JR26</f>
        <v>0</v>
      </c>
      <c r="JS27" s="40">
        <f t="shared" ref="JS27" ca="1" si="683">JR27-JR28+JS26</f>
        <v>0</v>
      </c>
      <c r="JT27" s="40">
        <f t="shared" ref="JT27" ca="1" si="684">JS27-JS28+JT26</f>
        <v>0</v>
      </c>
      <c r="JU27" s="40">
        <f t="shared" ref="JU27" ca="1" si="685">JT27-JT28+JU26</f>
        <v>0</v>
      </c>
      <c r="JV27" s="40">
        <f t="shared" ref="JV27" ca="1" si="686">JU27-JU28+JV26</f>
        <v>0</v>
      </c>
      <c r="JW27" s="40">
        <f t="shared" ref="JW27" ca="1" si="687">JV27-JV28+JW26</f>
        <v>0</v>
      </c>
      <c r="JX27" s="40">
        <f t="shared" ref="JX27" ca="1" si="688">JW27-JW28+JX26</f>
        <v>0</v>
      </c>
      <c r="JY27" s="40">
        <f t="shared" ref="JY27" ca="1" si="689">JX27-JX28+JY26</f>
        <v>0</v>
      </c>
      <c r="JZ27" s="40">
        <f t="shared" ref="JZ27" ca="1" si="690">JY27-JY28+JZ26</f>
        <v>0</v>
      </c>
      <c r="KA27" s="40">
        <f t="shared" ref="KA27" ca="1" si="691">JZ27-JZ28+KA26</f>
        <v>0</v>
      </c>
      <c r="KB27" s="40">
        <f t="shared" ref="KB27" ca="1" si="692">KA27-KA28+KB26</f>
        <v>0</v>
      </c>
      <c r="KC27" s="40">
        <f t="shared" ref="KC27" ca="1" si="693">KB27-KB28+KC26</f>
        <v>0</v>
      </c>
      <c r="KD27" s="40">
        <f t="shared" ref="KD27" ca="1" si="694">KC27-KC28+KD26</f>
        <v>0</v>
      </c>
      <c r="KE27" s="40">
        <f t="shared" ref="KE27" ca="1" si="695">KD27-KD28+KE26</f>
        <v>0</v>
      </c>
      <c r="KF27" s="40">
        <f t="shared" ref="KF27" ca="1" si="696">KE27-KE28+KF26</f>
        <v>0</v>
      </c>
      <c r="KG27" s="40">
        <f t="shared" ref="KG27" ca="1" si="697">KF27-KF28+KG26</f>
        <v>0</v>
      </c>
      <c r="KH27" s="40">
        <f t="shared" ref="KH27" ca="1" si="698">KG27-KG28+KH26</f>
        <v>0</v>
      </c>
      <c r="KI27" s="40">
        <f t="shared" ref="KI27" ca="1" si="699">KH27-KH28+KI26</f>
        <v>0</v>
      </c>
      <c r="KJ27" s="40">
        <f t="shared" ref="KJ27" ca="1" si="700">KI27-KI28+KJ26</f>
        <v>0</v>
      </c>
      <c r="KK27" s="40">
        <f t="shared" ref="KK27" ca="1" si="701">KJ27-KJ28+KK26</f>
        <v>0</v>
      </c>
      <c r="KL27" s="40">
        <f t="shared" ref="KL27" ca="1" si="702">KK27-KK28+KL26</f>
        <v>0</v>
      </c>
      <c r="KM27" s="40">
        <f t="shared" ref="KM27" ca="1" si="703">KL27-KL28+KM26</f>
        <v>0</v>
      </c>
      <c r="KN27" s="40">
        <f t="shared" ref="KN27" ca="1" si="704">KM27-KM28+KN26</f>
        <v>0</v>
      </c>
      <c r="KO27" s="40">
        <f t="shared" ref="KO27" ca="1" si="705">KN27-KN28+KO26</f>
        <v>0</v>
      </c>
      <c r="KP27" s="40">
        <f t="shared" ref="KP27" ca="1" si="706">KO27-KO28+KP26</f>
        <v>0</v>
      </c>
      <c r="KQ27" s="40">
        <f t="shared" ref="KQ27" ca="1" si="707">KP27-KP28+KQ26</f>
        <v>0</v>
      </c>
      <c r="KR27" s="40">
        <f t="shared" ref="KR27" ca="1" si="708">KQ27-KQ28+KR26</f>
        <v>0</v>
      </c>
      <c r="KS27" s="40">
        <f t="shared" ref="KS27" ca="1" si="709">KR27-KR28+KS26</f>
        <v>0</v>
      </c>
      <c r="KT27" s="40">
        <f t="shared" ref="KT27" ca="1" si="710">KS27-KS28+KT26</f>
        <v>0</v>
      </c>
      <c r="KU27" s="40">
        <f t="shared" ref="KU27" ca="1" si="711">KT27-KT28+KU26</f>
        <v>0</v>
      </c>
      <c r="KV27" s="40">
        <f t="shared" ref="KV27" ca="1" si="712">KU27-KU28+KV26</f>
        <v>0</v>
      </c>
      <c r="KW27" s="40">
        <f t="shared" ref="KW27" ca="1" si="713">KV27-KV28+KW26</f>
        <v>0</v>
      </c>
      <c r="KX27" s="40">
        <f t="shared" ref="KX27" ca="1" si="714">KW27-KW28+KX26</f>
        <v>0</v>
      </c>
      <c r="KY27" s="40">
        <f t="shared" ref="KY27" ca="1" si="715">KX27-KX28+KY26</f>
        <v>0</v>
      </c>
      <c r="KZ27" s="40">
        <f t="shared" ref="KZ27" ca="1" si="716">KY27-KY28+KZ26</f>
        <v>0</v>
      </c>
      <c r="LA27" s="40">
        <f t="shared" ref="LA27" ca="1" si="717">KZ27-KZ28+LA26</f>
        <v>0</v>
      </c>
      <c r="LB27" s="40">
        <f t="shared" ref="LB27" ca="1" si="718">LA27-LA28+LB26</f>
        <v>0</v>
      </c>
      <c r="LC27" s="40">
        <f t="shared" ref="LC27" ca="1" si="719">LB27-LB28+LC26</f>
        <v>0</v>
      </c>
      <c r="LD27" s="40">
        <f t="shared" ref="LD27" ca="1" si="720">LC27-LC28+LD26</f>
        <v>0</v>
      </c>
      <c r="LE27" s="40">
        <f t="shared" ref="LE27" ca="1" si="721">LD27-LD28+LE26</f>
        <v>0</v>
      </c>
      <c r="LF27" s="40">
        <f t="shared" ref="LF27" ca="1" si="722">LE27-LE28+LF26</f>
        <v>0</v>
      </c>
      <c r="LG27" s="40">
        <f t="shared" ref="LG27" ca="1" si="723">LF27-LF28+LG26</f>
        <v>0</v>
      </c>
      <c r="LH27" s="40">
        <f t="shared" ref="LH27" ca="1" si="724">LG27-LG28+LH26</f>
        <v>0</v>
      </c>
      <c r="LI27" s="40">
        <f t="shared" ref="LI27" ca="1" si="725">LH27-LH28+LI26</f>
        <v>0</v>
      </c>
      <c r="LJ27" s="40">
        <f t="shared" ref="LJ27" ca="1" si="726">LI27-LI28+LJ26</f>
        <v>0</v>
      </c>
      <c r="LK27" s="40">
        <f t="shared" ref="LK27" ca="1" si="727">LJ27-LJ28+LK26</f>
        <v>0</v>
      </c>
      <c r="LL27" s="40">
        <f t="shared" ref="LL27" ca="1" si="728">LK27-LK28+LL26</f>
        <v>0</v>
      </c>
      <c r="LM27" s="40">
        <f t="shared" ref="LM27" ca="1" si="729">LL27-LL28+LM26</f>
        <v>0</v>
      </c>
      <c r="LN27" s="40">
        <f t="shared" ref="LN27" ca="1" si="730">LM27-LM28+LN26</f>
        <v>0</v>
      </c>
      <c r="LO27" s="40">
        <f t="shared" ref="LO27" ca="1" si="731">LN27-LN28+LO26</f>
        <v>0</v>
      </c>
      <c r="LP27" s="40">
        <f t="shared" ref="LP27" ca="1" si="732">LO27-LO28+LP26</f>
        <v>0</v>
      </c>
      <c r="LQ27" s="40">
        <f t="shared" ref="LQ27" ca="1" si="733">LP27-LP28+LQ26</f>
        <v>0</v>
      </c>
      <c r="LR27" s="40">
        <f t="shared" ref="LR27" ca="1" si="734">LQ27-LQ28+LR26</f>
        <v>0</v>
      </c>
      <c r="LS27" s="40">
        <f t="shared" ref="LS27" ca="1" si="735">LR27-LR28+LS26</f>
        <v>0</v>
      </c>
      <c r="LT27" s="40">
        <f t="shared" ref="LT27" ca="1" si="736">LS27-LS28+LT26</f>
        <v>0</v>
      </c>
      <c r="LU27" s="40">
        <f t="shared" ref="LU27" ca="1" si="737">LT27-LT28+LU26</f>
        <v>0</v>
      </c>
      <c r="LV27" s="40">
        <f t="shared" ref="LV27" ca="1" si="738">LU27-LU28+LV26</f>
        <v>0</v>
      </c>
      <c r="LW27" s="40">
        <f t="shared" ref="LW27" ca="1" si="739">LV27-LV28+LW26</f>
        <v>0</v>
      </c>
      <c r="LX27" s="40">
        <f t="shared" ref="LX27" ca="1" si="740">LW27-LW28+LX26</f>
        <v>0</v>
      </c>
      <c r="LY27" s="40">
        <f t="shared" ref="LY27" ca="1" si="741">LX27-LX28+LY26</f>
        <v>0</v>
      </c>
      <c r="LZ27" s="40">
        <f t="shared" ref="LZ27" ca="1" si="742">LY27-LY28+LZ26</f>
        <v>0</v>
      </c>
      <c r="MA27" s="40">
        <f t="shared" ref="MA27" ca="1" si="743">LZ27-LZ28+MA26</f>
        <v>0</v>
      </c>
      <c r="MB27" s="40">
        <f t="shared" ref="MB27" ca="1" si="744">MA27-MA28+MB26</f>
        <v>0</v>
      </c>
      <c r="MC27" s="40">
        <f t="shared" ref="MC27" ca="1" si="745">MB27-MB28+MC26</f>
        <v>0</v>
      </c>
      <c r="MD27" s="40">
        <f t="shared" ref="MD27" ca="1" si="746">MC27-MC28+MD26</f>
        <v>0</v>
      </c>
      <c r="ME27" s="40">
        <f t="shared" ref="ME27" ca="1" si="747">MD27-MD28+ME26</f>
        <v>0</v>
      </c>
      <c r="MF27" s="40">
        <f t="shared" ref="MF27" ca="1" si="748">ME27-ME28+MF26</f>
        <v>0</v>
      </c>
      <c r="MG27" s="40">
        <f t="shared" ref="MG27" ca="1" si="749">MF27-MF28+MG26</f>
        <v>0</v>
      </c>
      <c r="MH27" s="40">
        <f t="shared" ref="MH27" ca="1" si="750">MG27-MG28+MH26</f>
        <v>0</v>
      </c>
      <c r="MI27" s="40">
        <f t="shared" ref="MI27" ca="1" si="751">MH27-MH28+MI26</f>
        <v>0</v>
      </c>
      <c r="MJ27" s="40">
        <f t="shared" ref="MJ27" ca="1" si="752">MI27-MI28+MJ26</f>
        <v>0</v>
      </c>
      <c r="MK27" s="40">
        <f t="shared" ref="MK27" ca="1" si="753">MJ27-MJ28+MK26</f>
        <v>0</v>
      </c>
      <c r="ML27" s="40">
        <f t="shared" ref="ML27" ca="1" si="754">MK27-MK28+ML26</f>
        <v>0</v>
      </c>
      <c r="MM27" s="40">
        <f t="shared" ref="MM27" ca="1" si="755">ML27-ML28+MM26</f>
        <v>0</v>
      </c>
      <c r="MN27" s="40">
        <f t="shared" ref="MN27" ca="1" si="756">MM27-MM28+MN26</f>
        <v>0</v>
      </c>
      <c r="MO27" s="40">
        <f t="shared" ref="MO27" ca="1" si="757">MN27-MN28+MO26</f>
        <v>0</v>
      </c>
      <c r="MP27" s="40">
        <f t="shared" ref="MP27" ca="1" si="758">MO27-MO28+MP26</f>
        <v>0</v>
      </c>
      <c r="MQ27" s="40">
        <f t="shared" ref="MQ27" ca="1" si="759">MP27-MP28+MQ26</f>
        <v>0</v>
      </c>
      <c r="MR27" s="40">
        <f t="shared" ref="MR27" ca="1" si="760">MQ27-MQ28+MR26</f>
        <v>0</v>
      </c>
      <c r="MS27" s="40">
        <f t="shared" ref="MS27" ca="1" si="761">MR27-MR28+MS26</f>
        <v>0</v>
      </c>
      <c r="MT27" s="40">
        <f t="shared" ref="MT27" ca="1" si="762">MS27-MS28+MT26</f>
        <v>0</v>
      </c>
      <c r="MU27" s="40">
        <f t="shared" ref="MU27" ca="1" si="763">MT27-MT28+MU26</f>
        <v>0</v>
      </c>
      <c r="MV27" s="40">
        <f t="shared" ref="MV27" ca="1" si="764">MU27-MU28+MV26</f>
        <v>0</v>
      </c>
      <c r="MW27" s="40">
        <f t="shared" ref="MW27" ca="1" si="765">MV27-MV28+MW26</f>
        <v>0</v>
      </c>
      <c r="MX27" s="40">
        <f t="shared" ref="MX27" ca="1" si="766">MW27-MW28+MX26</f>
        <v>0</v>
      </c>
      <c r="MY27" s="40">
        <f t="shared" ref="MY27" ca="1" si="767">MX27-MX28+MY26</f>
        <v>0</v>
      </c>
      <c r="MZ27" s="40">
        <f t="shared" ref="MZ27" ca="1" si="768">MY27-MY28+MZ26</f>
        <v>0</v>
      </c>
      <c r="NA27" s="40">
        <f t="shared" ref="NA27" ca="1" si="769">MZ27-MZ28+NA26</f>
        <v>0</v>
      </c>
      <c r="NB27" s="40">
        <f t="shared" ref="NB27" ca="1" si="770">NA27-NA28+NB26</f>
        <v>0</v>
      </c>
      <c r="NC27" s="40">
        <f t="shared" ref="NC27" ca="1" si="771">NB27-NB28+NC26</f>
        <v>0</v>
      </c>
      <c r="ND27" s="40">
        <f t="shared" ref="ND27" ca="1" si="772">NC27-NC28+ND26</f>
        <v>0</v>
      </c>
      <c r="NE27" s="40"/>
      <c r="NF27" s="40"/>
      <c r="NG27" s="40"/>
      <c r="NH27" s="40"/>
      <c r="NI27" s="40"/>
      <c r="NJ27" s="40"/>
      <c r="NK27" s="40"/>
      <c r="NL27" s="40"/>
      <c r="NM27" s="40"/>
      <c r="NN27" s="40"/>
      <c r="NO27" s="40"/>
      <c r="NP27" s="40"/>
      <c r="NQ27" s="40"/>
      <c r="NR27" s="40"/>
    </row>
    <row r="28" spans="2:382" x14ac:dyDescent="0.15">
      <c r="B28" s="518"/>
      <c r="C28" s="115" t="str">
        <f>_xlfn.CONCAT($C$3," Preferred Return Paid")</f>
        <v>Aaron (Manager) Preferred Return Paid</v>
      </c>
      <c r="D28" s="52"/>
      <c r="E28" s="40"/>
      <c r="F28" s="40"/>
      <c r="G28" s="114"/>
      <c r="H28" s="40"/>
      <c r="I28" s="40">
        <f>IF(SUM(I$27,I$35,I$43,I$51,I$59)&gt;0,MIN(I27,I27/SUM(I$27,I$35,I$43,I$51,I$59)*I$23),0)</f>
        <v>-31938.513322500003</v>
      </c>
      <c r="J28" s="40">
        <f>IF(SUM(J$27,J$35,J$43,J$51,J$59)&gt;0,MIN(J27,J27/SUM(J$27,J$35,J$43,J$51,J$59)*J$23),0)</f>
        <v>-31938.51332250001</v>
      </c>
      <c r="K28" s="40">
        <f t="shared" ref="K28:BV28" si="773">IF(SUM(K$27,K$35,K$43,K$51,K$59)&gt;0,MIN(K27,K27/SUM(K$27,K$35,K$43,K$51,K$59)*K$23),0)</f>
        <v>-31938.513322500003</v>
      </c>
      <c r="L28" s="40">
        <f t="shared" si="773"/>
        <v>0</v>
      </c>
      <c r="M28" s="40">
        <f t="shared" si="773"/>
        <v>0</v>
      </c>
      <c r="N28" s="40">
        <f t="shared" si="773"/>
        <v>0</v>
      </c>
      <c r="O28" s="40">
        <f t="shared" si="773"/>
        <v>0</v>
      </c>
      <c r="P28" s="40">
        <f t="shared" si="773"/>
        <v>0</v>
      </c>
      <c r="Q28" s="40">
        <f t="shared" si="773"/>
        <v>0</v>
      </c>
      <c r="R28" s="40">
        <f t="shared" si="773"/>
        <v>0</v>
      </c>
      <c r="S28" s="40">
        <f t="shared" si="773"/>
        <v>0</v>
      </c>
      <c r="T28" s="40">
        <f t="shared" si="773"/>
        <v>0</v>
      </c>
      <c r="U28" s="40">
        <f t="shared" si="773"/>
        <v>0</v>
      </c>
      <c r="V28" s="40">
        <f t="shared" si="773"/>
        <v>0</v>
      </c>
      <c r="W28" s="40">
        <f t="shared" si="773"/>
        <v>0</v>
      </c>
      <c r="X28" s="40">
        <f t="shared" si="773"/>
        <v>0</v>
      </c>
      <c r="Y28" s="40">
        <f t="shared" si="773"/>
        <v>0</v>
      </c>
      <c r="Z28" s="40">
        <f t="shared" si="773"/>
        <v>0</v>
      </c>
      <c r="AA28" s="40">
        <f t="shared" si="773"/>
        <v>0</v>
      </c>
      <c r="AB28" s="40">
        <f t="shared" si="773"/>
        <v>0</v>
      </c>
      <c r="AC28" s="40">
        <f t="shared" si="773"/>
        <v>0</v>
      </c>
      <c r="AD28" s="40">
        <f t="shared" si="773"/>
        <v>0</v>
      </c>
      <c r="AE28" s="40">
        <f t="shared" si="773"/>
        <v>0</v>
      </c>
      <c r="AF28" s="40">
        <f t="shared" si="773"/>
        <v>0</v>
      </c>
      <c r="AG28" s="40">
        <f t="shared" si="773"/>
        <v>0</v>
      </c>
      <c r="AH28" s="40">
        <f t="shared" si="773"/>
        <v>0</v>
      </c>
      <c r="AI28" s="40">
        <f t="shared" si="773"/>
        <v>0</v>
      </c>
      <c r="AJ28" s="40">
        <f t="shared" si="773"/>
        <v>0</v>
      </c>
      <c r="AK28" s="40">
        <f t="shared" si="773"/>
        <v>0</v>
      </c>
      <c r="AL28" s="40">
        <f t="shared" si="773"/>
        <v>0</v>
      </c>
      <c r="AM28" s="40">
        <f t="shared" si="773"/>
        <v>0</v>
      </c>
      <c r="AN28" s="40">
        <f t="shared" si="773"/>
        <v>0</v>
      </c>
      <c r="AO28" s="40">
        <f t="shared" si="773"/>
        <v>0</v>
      </c>
      <c r="AP28" s="40">
        <f t="shared" si="773"/>
        <v>0</v>
      </c>
      <c r="AQ28" s="40">
        <f t="shared" si="773"/>
        <v>0</v>
      </c>
      <c r="AR28" s="40">
        <f t="shared" si="773"/>
        <v>0</v>
      </c>
      <c r="AS28" s="40">
        <f t="shared" si="773"/>
        <v>110.72524415783781</v>
      </c>
      <c r="AT28" s="40">
        <f t="shared" si="773"/>
        <v>110.72524415783784</v>
      </c>
      <c r="AU28" s="40">
        <f t="shared" si="773"/>
        <v>110.72524415783784</v>
      </c>
      <c r="AV28" s="40">
        <f t="shared" si="773"/>
        <v>110.72524415783784</v>
      </c>
      <c r="AW28" s="40">
        <f t="shared" si="773"/>
        <v>110.72524415783784</v>
      </c>
      <c r="AX28" s="40">
        <f t="shared" si="773"/>
        <v>110.72524415783784</v>
      </c>
      <c r="AY28" s="40">
        <f t="shared" si="773"/>
        <v>110.72524415783784</v>
      </c>
      <c r="AZ28" s="40">
        <f t="shared" si="773"/>
        <v>110.72524415783784</v>
      </c>
      <c r="BA28" s="40">
        <f t="shared" si="773"/>
        <v>110.72524415783784</v>
      </c>
      <c r="BB28" s="40">
        <f t="shared" si="773"/>
        <v>110.72524415783784</v>
      </c>
      <c r="BC28" s="40">
        <f t="shared" si="773"/>
        <v>110.72524415783784</v>
      </c>
      <c r="BD28" s="40">
        <f t="shared" si="773"/>
        <v>110.72524415783781</v>
      </c>
      <c r="BE28" s="40">
        <f t="shared" si="773"/>
        <v>393.7644214373492</v>
      </c>
      <c r="BF28" s="40">
        <f t="shared" si="773"/>
        <v>393.76442143734914</v>
      </c>
      <c r="BG28" s="40">
        <f t="shared" si="773"/>
        <v>393.7644214373492</v>
      </c>
      <c r="BH28" s="40">
        <f t="shared" si="773"/>
        <v>393.76442143734914</v>
      </c>
      <c r="BI28" s="40">
        <f t="shared" si="773"/>
        <v>393.7644214373492</v>
      </c>
      <c r="BJ28" s="40">
        <f t="shared" si="773"/>
        <v>393.76442143734914</v>
      </c>
      <c r="BK28" s="40">
        <f t="shared" si="773"/>
        <v>393.76442143734914</v>
      </c>
      <c r="BL28" s="40">
        <f t="shared" si="773"/>
        <v>393.76442143734909</v>
      </c>
      <c r="BM28" s="40">
        <f t="shared" si="773"/>
        <v>393.76442143734914</v>
      </c>
      <c r="BN28" s="40">
        <f t="shared" si="773"/>
        <v>393.76442143734909</v>
      </c>
      <c r="BO28" s="40">
        <f t="shared" si="773"/>
        <v>393.76442143734914</v>
      </c>
      <c r="BP28" s="40">
        <f t="shared" si="773"/>
        <v>393.76442143734909</v>
      </c>
      <c r="BQ28" s="40">
        <f t="shared" si="773"/>
        <v>685.68804493039886</v>
      </c>
      <c r="BR28" s="40">
        <f t="shared" si="773"/>
        <v>685.68804493039886</v>
      </c>
      <c r="BS28" s="40">
        <f t="shared" si="773"/>
        <v>685.68804493039886</v>
      </c>
      <c r="BT28" s="40">
        <f t="shared" si="773"/>
        <v>685.68804493039886</v>
      </c>
      <c r="BU28" s="40">
        <f t="shared" si="773"/>
        <v>685.68804493039897</v>
      </c>
      <c r="BV28" s="40">
        <f t="shared" si="773"/>
        <v>685.68804493039886</v>
      </c>
      <c r="BW28" s="40">
        <f t="shared" ref="BW28:EH28" si="774">IF(SUM(BW$27,BW$35,BW$43,BW$51,BW$59)&gt;0,MIN(BW27,BW27/SUM(BW$27,BW$35,BW$43,BW$51,BW$59)*BW$23),0)</f>
        <v>685.68804493039897</v>
      </c>
      <c r="BX28" s="40">
        <f t="shared" si="774"/>
        <v>685.68804493039897</v>
      </c>
      <c r="BY28" s="40">
        <f t="shared" si="774"/>
        <v>685.68804493039909</v>
      </c>
      <c r="BZ28" s="40">
        <f t="shared" si="774"/>
        <v>685.68804493039897</v>
      </c>
      <c r="CA28" s="40">
        <f t="shared" si="774"/>
        <v>685.68804493039909</v>
      </c>
      <c r="CB28" s="40">
        <f t="shared" si="774"/>
        <v>685.68804493039897</v>
      </c>
      <c r="CC28" s="40">
        <f t="shared" si="774"/>
        <v>986.77104027638154</v>
      </c>
      <c r="CD28" s="40">
        <f t="shared" si="774"/>
        <v>986.77104027638154</v>
      </c>
      <c r="CE28" s="40">
        <f t="shared" si="774"/>
        <v>986.77104027638154</v>
      </c>
      <c r="CF28" s="40">
        <f t="shared" si="774"/>
        <v>986.77104027638143</v>
      </c>
      <c r="CG28" s="40">
        <f t="shared" si="774"/>
        <v>986.77104027638154</v>
      </c>
      <c r="CH28" s="40">
        <f t="shared" si="774"/>
        <v>986.77104027638143</v>
      </c>
      <c r="CI28" s="40">
        <f t="shared" si="774"/>
        <v>986.77104027638143</v>
      </c>
      <c r="CJ28" s="40">
        <f t="shared" si="774"/>
        <v>986.7710402763812</v>
      </c>
      <c r="CK28" s="40">
        <f t="shared" si="774"/>
        <v>986.77104027638143</v>
      </c>
      <c r="CL28" s="40">
        <f t="shared" si="774"/>
        <v>986.77104027638143</v>
      </c>
      <c r="CM28" s="40">
        <f t="shared" si="774"/>
        <v>986.77104027638143</v>
      </c>
      <c r="CN28" s="40">
        <f t="shared" si="774"/>
        <v>986.7710402763812</v>
      </c>
      <c r="CO28" s="40">
        <f t="shared" si="774"/>
        <v>1297.2967618998046</v>
      </c>
      <c r="CP28" s="40">
        <f t="shared" si="774"/>
        <v>1297.2967618998046</v>
      </c>
      <c r="CQ28" s="40">
        <f t="shared" si="774"/>
        <v>1297.2967618998043</v>
      </c>
      <c r="CR28" s="40">
        <f t="shared" si="774"/>
        <v>1297.2967618998043</v>
      </c>
      <c r="CS28" s="40">
        <f t="shared" si="774"/>
        <v>1297.2967618998043</v>
      </c>
      <c r="CT28" s="40">
        <f t="shared" si="774"/>
        <v>1297.2967618998043</v>
      </c>
      <c r="CU28" s="40">
        <f t="shared" si="774"/>
        <v>1297.2967618998043</v>
      </c>
      <c r="CV28" s="40">
        <f t="shared" si="774"/>
        <v>1297.2967618998043</v>
      </c>
      <c r="CW28" s="40">
        <f t="shared" si="774"/>
        <v>1297.2967618998043</v>
      </c>
      <c r="CX28" s="40">
        <f t="shared" si="774"/>
        <v>1297.2967618998043</v>
      </c>
      <c r="CY28" s="40">
        <f t="shared" si="774"/>
        <v>1297.2967618998043</v>
      </c>
      <c r="CZ28" s="40">
        <f t="shared" si="774"/>
        <v>1297.2967618998041</v>
      </c>
      <c r="DA28" s="40">
        <f t="shared" si="774"/>
        <v>1617.5572498234515</v>
      </c>
      <c r="DB28" s="40">
        <f t="shared" si="774"/>
        <v>1617.5572498234515</v>
      </c>
      <c r="DC28" s="40">
        <f t="shared" si="774"/>
        <v>1617.5572498234515</v>
      </c>
      <c r="DD28" s="40">
        <f t="shared" si="774"/>
        <v>1617.5572498234515</v>
      </c>
      <c r="DE28" s="40">
        <f t="shared" si="774"/>
        <v>1617.5572498234515</v>
      </c>
      <c r="DF28" s="40">
        <f t="shared" si="774"/>
        <v>1617.5572498234515</v>
      </c>
      <c r="DG28" s="40">
        <f t="shared" si="774"/>
        <v>1617.5572498234515</v>
      </c>
      <c r="DH28" s="40">
        <f t="shared" si="774"/>
        <v>1617.5572498234515</v>
      </c>
      <c r="DI28" s="40">
        <f t="shared" si="774"/>
        <v>1617.5572498234515</v>
      </c>
      <c r="DJ28" s="40">
        <f t="shared" si="774"/>
        <v>1617.5572498234515</v>
      </c>
      <c r="DK28" s="40">
        <f t="shared" si="774"/>
        <v>1617.5572498234515</v>
      </c>
      <c r="DL28" s="40">
        <f t="shared" si="774"/>
        <v>1617.5572498234515</v>
      </c>
      <c r="DM28" s="40">
        <f t="shared" si="774"/>
        <v>1947.8534942731176</v>
      </c>
      <c r="DN28" s="40">
        <f t="shared" si="774"/>
        <v>1947.8534942731176</v>
      </c>
      <c r="DO28" s="40">
        <f t="shared" si="774"/>
        <v>1947.853494273118</v>
      </c>
      <c r="DP28" s="40">
        <f t="shared" si="774"/>
        <v>1947.8534942731176</v>
      </c>
      <c r="DQ28" s="40">
        <f t="shared" si="774"/>
        <v>1947.8534942731173</v>
      </c>
      <c r="DR28" s="40">
        <f t="shared" si="774"/>
        <v>1947.8534942731176</v>
      </c>
      <c r="DS28" s="40">
        <f t="shared" si="774"/>
        <v>1947.8534942731176</v>
      </c>
      <c r="DT28" s="40">
        <f t="shared" si="774"/>
        <v>1947.8534942731173</v>
      </c>
      <c r="DU28" s="40">
        <f t="shared" si="774"/>
        <v>1947.8534942731173</v>
      </c>
      <c r="DV28" s="40">
        <f t="shared" si="774"/>
        <v>1947.8534942731173</v>
      </c>
      <c r="DW28" s="40">
        <f t="shared" si="774"/>
        <v>1947.8534942731173</v>
      </c>
      <c r="DX28" s="40">
        <f t="shared" si="774"/>
        <v>1947.8534942731178</v>
      </c>
      <c r="DY28" s="40">
        <f t="shared" si="774"/>
        <v>2288.4957083097142</v>
      </c>
      <c r="DZ28" s="40">
        <f t="shared" si="774"/>
        <v>2288.4957083097142</v>
      </c>
      <c r="EA28" s="40">
        <f t="shared" si="774"/>
        <v>2288.4957083097147</v>
      </c>
      <c r="EB28" s="40">
        <f t="shared" si="774"/>
        <v>2288.4957083097147</v>
      </c>
      <c r="EC28" s="40">
        <f t="shared" si="774"/>
        <v>2288.4957083097147</v>
      </c>
      <c r="ED28" s="40">
        <f t="shared" si="774"/>
        <v>2288.4957083097156</v>
      </c>
      <c r="EE28" s="40">
        <f t="shared" si="774"/>
        <v>2288.4957083097152</v>
      </c>
      <c r="EF28" s="40">
        <f t="shared" si="774"/>
        <v>2288.4957083097152</v>
      </c>
      <c r="EG28" s="40">
        <f t="shared" si="774"/>
        <v>2288.4957083097147</v>
      </c>
      <c r="EH28" s="40">
        <f t="shared" si="774"/>
        <v>2288.4957083097152</v>
      </c>
      <c r="EI28" s="40">
        <f t="shared" ref="EI28:GT28" si="775">IF(SUM(EI$27,EI$35,EI$43,EI$51,EI$59)&gt;0,MIN(EI27,EI27/SUM(EI$27,EI$35,EI$43,EI$51,EI$59)*EI$23),0)</f>
        <v>2288.4957083097152</v>
      </c>
      <c r="EJ28" s="40">
        <f t="shared" si="775"/>
        <v>2288.4957083097152</v>
      </c>
      <c r="EK28" s="40">
        <f t="shared" si="775"/>
        <v>2639.8036087314608</v>
      </c>
      <c r="EL28" s="40">
        <f t="shared" si="775"/>
        <v>2639.8036087314604</v>
      </c>
      <c r="EM28" s="40">
        <f t="shared" si="775"/>
        <v>2639.8036087314622</v>
      </c>
      <c r="EN28" s="40">
        <f t="shared" si="775"/>
        <v>2639.8036087314613</v>
      </c>
      <c r="EO28" s="40">
        <f t="shared" si="775"/>
        <v>2639.8036087314608</v>
      </c>
      <c r="EP28" s="40">
        <f t="shared" si="775"/>
        <v>2639.8036087314613</v>
      </c>
      <c r="EQ28" s="40">
        <f t="shared" si="775"/>
        <v>2639.8036087314622</v>
      </c>
      <c r="ER28" s="40">
        <f t="shared" si="775"/>
        <v>2639.8036087314622</v>
      </c>
      <c r="ES28" s="40">
        <f t="shared" si="775"/>
        <v>2639.8036087314613</v>
      </c>
      <c r="ET28" s="40">
        <f t="shared" si="775"/>
        <v>2639.8036087314613</v>
      </c>
      <c r="EU28" s="40">
        <f t="shared" si="775"/>
        <v>2639.8036087314617</v>
      </c>
      <c r="EV28" s="40">
        <f t="shared" si="775"/>
        <v>2639.8036087314608</v>
      </c>
      <c r="EW28" s="40">
        <f t="shared" si="775"/>
        <v>3002.1067054963646</v>
      </c>
      <c r="EX28" s="40">
        <f t="shared" si="775"/>
        <v>3002.1067054963651</v>
      </c>
      <c r="EY28" s="40">
        <f t="shared" si="775"/>
        <v>3002.1067054963646</v>
      </c>
      <c r="EZ28" s="40">
        <f t="shared" si="775"/>
        <v>3002.1067054963646</v>
      </c>
      <c r="FA28" s="40">
        <f t="shared" si="775"/>
        <v>3002.1067054963646</v>
      </c>
      <c r="FB28" s="40">
        <f t="shared" si="775"/>
        <v>3002.1067054963651</v>
      </c>
      <c r="FC28" s="40">
        <f t="shared" si="775"/>
        <v>3002.1067054963646</v>
      </c>
      <c r="FD28" s="40">
        <f t="shared" si="775"/>
        <v>3002.1067054963646</v>
      </c>
      <c r="FE28" s="40">
        <f t="shared" si="775"/>
        <v>3002.1067054963646</v>
      </c>
      <c r="FF28" s="40">
        <f t="shared" si="775"/>
        <v>3002.1067054963651</v>
      </c>
      <c r="FG28" s="40">
        <f t="shared" si="775"/>
        <v>3002.1067054963637</v>
      </c>
      <c r="FH28" s="40">
        <f t="shared" si="775"/>
        <v>3002.1067054963646</v>
      </c>
      <c r="FI28" s="40">
        <f t="shared" si="775"/>
        <v>3375.7445999226989</v>
      </c>
      <c r="FJ28" s="40">
        <f t="shared" si="775"/>
        <v>3375.7445999226979</v>
      </c>
      <c r="FK28" s="40">
        <f t="shared" si="775"/>
        <v>3375.7445999226979</v>
      </c>
      <c r="FL28" s="40">
        <f t="shared" si="775"/>
        <v>3375.7445999226979</v>
      </c>
      <c r="FM28" s="40">
        <f t="shared" si="775"/>
        <v>3375.7445999226979</v>
      </c>
      <c r="FN28" s="40">
        <f t="shared" si="775"/>
        <v>3375.7445999226975</v>
      </c>
      <c r="FO28" s="40">
        <f t="shared" si="775"/>
        <v>3375.744599922697</v>
      </c>
      <c r="FP28" s="40">
        <f t="shared" si="775"/>
        <v>3375.7445999226975</v>
      </c>
      <c r="FQ28" s="40">
        <f t="shared" si="775"/>
        <v>3375.744599922697</v>
      </c>
      <c r="FR28" s="40">
        <f t="shared" si="775"/>
        <v>3375.7445999226966</v>
      </c>
      <c r="FS28" s="40">
        <f t="shared" si="775"/>
        <v>3375.744599922697</v>
      </c>
      <c r="FT28" s="40">
        <f t="shared" si="775"/>
        <v>3375.7445999226961</v>
      </c>
      <c r="FU28" s="40">
        <f t="shared" si="775"/>
        <v>3761.067291932869</v>
      </c>
      <c r="FV28" s="40">
        <f t="shared" si="775"/>
        <v>3761.067291932869</v>
      </c>
      <c r="FW28" s="40">
        <f t="shared" si="775"/>
        <v>3761.0672919328695</v>
      </c>
      <c r="FX28" s="40">
        <f t="shared" si="775"/>
        <v>3761.067291932869</v>
      </c>
      <c r="FY28" s="40">
        <f t="shared" si="775"/>
        <v>3761.0672919328686</v>
      </c>
      <c r="FZ28" s="40">
        <f t="shared" si="775"/>
        <v>3761.0672919328681</v>
      </c>
      <c r="GA28" s="40">
        <f t="shared" si="775"/>
        <v>3761.0672919328676</v>
      </c>
      <c r="GB28" s="40">
        <f t="shared" si="775"/>
        <v>3761.0672919328681</v>
      </c>
      <c r="GC28" s="40">
        <f t="shared" si="775"/>
        <v>0</v>
      </c>
      <c r="GD28" s="40">
        <f t="shared" si="775"/>
        <v>0</v>
      </c>
      <c r="GE28" s="40">
        <f t="shared" si="775"/>
        <v>0</v>
      </c>
      <c r="GF28" s="40">
        <f t="shared" ca="1" si="775"/>
        <v>1206206.6790809329</v>
      </c>
      <c r="GG28" s="40">
        <f t="shared" ca="1" si="775"/>
        <v>0</v>
      </c>
      <c r="GH28" s="40">
        <f t="shared" ca="1" si="775"/>
        <v>0</v>
      </c>
      <c r="GI28" s="40">
        <f t="shared" ca="1" si="775"/>
        <v>0</v>
      </c>
      <c r="GJ28" s="40">
        <f t="shared" ca="1" si="775"/>
        <v>0</v>
      </c>
      <c r="GK28" s="40">
        <f t="shared" ca="1" si="775"/>
        <v>0</v>
      </c>
      <c r="GL28" s="40">
        <f t="shared" ca="1" si="775"/>
        <v>0</v>
      </c>
      <c r="GM28" s="40">
        <f t="shared" ca="1" si="775"/>
        <v>0</v>
      </c>
      <c r="GN28" s="40">
        <f t="shared" ca="1" si="775"/>
        <v>0</v>
      </c>
      <c r="GO28" s="40">
        <f t="shared" ca="1" si="775"/>
        <v>0</v>
      </c>
      <c r="GP28" s="40">
        <f t="shared" ca="1" si="775"/>
        <v>0</v>
      </c>
      <c r="GQ28" s="40">
        <f t="shared" ca="1" si="775"/>
        <v>0</v>
      </c>
      <c r="GR28" s="40">
        <f t="shared" ca="1" si="775"/>
        <v>0</v>
      </c>
      <c r="GS28" s="40">
        <f t="shared" ca="1" si="775"/>
        <v>0</v>
      </c>
      <c r="GT28" s="40">
        <f t="shared" ca="1" si="775"/>
        <v>0</v>
      </c>
      <c r="GU28" s="40">
        <f t="shared" ref="GU28:IN28" ca="1" si="776">IF(SUM(GU$27,GU$35,GU$43,GU$51,GU$59)&gt;0,MIN(GU27,GU27/SUM(GU$27,GU$35,GU$43,GU$51,GU$59)*GU$23),0)</f>
        <v>0</v>
      </c>
      <c r="GV28" s="40">
        <f t="shared" ca="1" si="776"/>
        <v>0</v>
      </c>
      <c r="GW28" s="40">
        <f t="shared" ca="1" si="776"/>
        <v>0</v>
      </c>
      <c r="GX28" s="40">
        <f t="shared" ca="1" si="776"/>
        <v>0</v>
      </c>
      <c r="GY28" s="40">
        <f t="shared" ca="1" si="776"/>
        <v>0</v>
      </c>
      <c r="GZ28" s="40">
        <f t="shared" ca="1" si="776"/>
        <v>0</v>
      </c>
      <c r="HA28" s="40">
        <f t="shared" ca="1" si="776"/>
        <v>0</v>
      </c>
      <c r="HB28" s="40">
        <f t="shared" ca="1" si="776"/>
        <v>0</v>
      </c>
      <c r="HC28" s="40">
        <f t="shared" ca="1" si="776"/>
        <v>0</v>
      </c>
      <c r="HD28" s="40">
        <f t="shared" ca="1" si="776"/>
        <v>0</v>
      </c>
      <c r="HE28" s="40">
        <f t="shared" ca="1" si="776"/>
        <v>0</v>
      </c>
      <c r="HF28" s="40">
        <f t="shared" ca="1" si="776"/>
        <v>0</v>
      </c>
      <c r="HG28" s="40">
        <f t="shared" ca="1" si="776"/>
        <v>0</v>
      </c>
      <c r="HH28" s="40">
        <f t="shared" ca="1" si="776"/>
        <v>0</v>
      </c>
      <c r="HI28" s="40">
        <f t="shared" ca="1" si="776"/>
        <v>0</v>
      </c>
      <c r="HJ28" s="40">
        <f t="shared" ca="1" si="776"/>
        <v>0</v>
      </c>
      <c r="HK28" s="40">
        <f t="shared" ca="1" si="776"/>
        <v>0</v>
      </c>
      <c r="HL28" s="40">
        <f t="shared" ca="1" si="776"/>
        <v>0</v>
      </c>
      <c r="HM28" s="40">
        <f t="shared" ca="1" si="776"/>
        <v>0</v>
      </c>
      <c r="HN28" s="40">
        <f t="shared" ca="1" si="776"/>
        <v>0</v>
      </c>
      <c r="HO28" s="40">
        <f t="shared" ca="1" si="776"/>
        <v>0</v>
      </c>
      <c r="HP28" s="40">
        <f t="shared" ca="1" si="776"/>
        <v>0</v>
      </c>
      <c r="HQ28" s="40">
        <f t="shared" ca="1" si="776"/>
        <v>0</v>
      </c>
      <c r="HR28" s="40">
        <f t="shared" ca="1" si="776"/>
        <v>0</v>
      </c>
      <c r="HS28" s="40">
        <f t="shared" ca="1" si="776"/>
        <v>0</v>
      </c>
      <c r="HT28" s="40">
        <f t="shared" ca="1" si="776"/>
        <v>0</v>
      </c>
      <c r="HU28" s="40">
        <f t="shared" ca="1" si="776"/>
        <v>0</v>
      </c>
      <c r="HV28" s="40">
        <f t="shared" ca="1" si="776"/>
        <v>0</v>
      </c>
      <c r="HW28" s="40">
        <f t="shared" ca="1" si="776"/>
        <v>0</v>
      </c>
      <c r="HX28" s="40">
        <f t="shared" ca="1" si="776"/>
        <v>0</v>
      </c>
      <c r="HY28" s="40">
        <f t="shared" ca="1" si="776"/>
        <v>0</v>
      </c>
      <c r="HZ28" s="40">
        <f t="shared" ca="1" si="776"/>
        <v>0</v>
      </c>
      <c r="IA28" s="40">
        <f t="shared" ca="1" si="776"/>
        <v>0</v>
      </c>
      <c r="IB28" s="40">
        <f t="shared" ca="1" si="776"/>
        <v>0</v>
      </c>
      <c r="IC28" s="40">
        <f t="shared" ca="1" si="776"/>
        <v>0</v>
      </c>
      <c r="ID28" s="40">
        <f t="shared" ca="1" si="776"/>
        <v>0</v>
      </c>
      <c r="IE28" s="40">
        <f t="shared" ca="1" si="776"/>
        <v>0</v>
      </c>
      <c r="IF28" s="40">
        <f t="shared" ca="1" si="776"/>
        <v>0</v>
      </c>
      <c r="IG28" s="40">
        <f t="shared" ca="1" si="776"/>
        <v>0</v>
      </c>
      <c r="IH28" s="40">
        <f t="shared" ca="1" si="776"/>
        <v>0</v>
      </c>
      <c r="II28" s="40">
        <f t="shared" ca="1" si="776"/>
        <v>0</v>
      </c>
      <c r="IJ28" s="40">
        <f t="shared" ca="1" si="776"/>
        <v>0</v>
      </c>
      <c r="IK28" s="40">
        <f t="shared" ca="1" si="776"/>
        <v>0</v>
      </c>
      <c r="IL28" s="40">
        <f t="shared" ca="1" si="776"/>
        <v>0</v>
      </c>
      <c r="IM28" s="40">
        <f t="shared" ca="1" si="776"/>
        <v>0</v>
      </c>
      <c r="IN28" s="40">
        <f t="shared" ca="1" si="776"/>
        <v>0</v>
      </c>
      <c r="IO28" s="40">
        <f t="shared" ref="IO28:KZ28" ca="1" si="777">IF(SUM(IO$27,IO$35,IO$43,IO$51,IO$59)&gt;0,MIN(IO27,IO27/SUM(IO$27,IO$35,IO$43,IO$51,IO$59)*IO$23),0)</f>
        <v>0</v>
      </c>
      <c r="IP28" s="40">
        <f t="shared" ca="1" si="777"/>
        <v>0</v>
      </c>
      <c r="IQ28" s="40">
        <f t="shared" ca="1" si="777"/>
        <v>0</v>
      </c>
      <c r="IR28" s="40">
        <f t="shared" ca="1" si="777"/>
        <v>0</v>
      </c>
      <c r="IS28" s="40">
        <f t="shared" ca="1" si="777"/>
        <v>0</v>
      </c>
      <c r="IT28" s="40">
        <f t="shared" ca="1" si="777"/>
        <v>0</v>
      </c>
      <c r="IU28" s="40">
        <f t="shared" ca="1" si="777"/>
        <v>0</v>
      </c>
      <c r="IV28" s="40">
        <f t="shared" ca="1" si="777"/>
        <v>0</v>
      </c>
      <c r="IW28" s="40">
        <f t="shared" ca="1" si="777"/>
        <v>0</v>
      </c>
      <c r="IX28" s="40">
        <f t="shared" ca="1" si="777"/>
        <v>0</v>
      </c>
      <c r="IY28" s="40">
        <f t="shared" ca="1" si="777"/>
        <v>0</v>
      </c>
      <c r="IZ28" s="40">
        <f t="shared" ca="1" si="777"/>
        <v>0</v>
      </c>
      <c r="JA28" s="40">
        <f t="shared" ca="1" si="777"/>
        <v>0</v>
      </c>
      <c r="JB28" s="40">
        <f t="shared" ca="1" si="777"/>
        <v>0</v>
      </c>
      <c r="JC28" s="40">
        <f t="shared" ca="1" si="777"/>
        <v>0</v>
      </c>
      <c r="JD28" s="40">
        <f t="shared" ca="1" si="777"/>
        <v>0</v>
      </c>
      <c r="JE28" s="40">
        <f t="shared" ca="1" si="777"/>
        <v>0</v>
      </c>
      <c r="JF28" s="40">
        <f t="shared" ca="1" si="777"/>
        <v>0</v>
      </c>
      <c r="JG28" s="40">
        <f t="shared" ca="1" si="777"/>
        <v>0</v>
      </c>
      <c r="JH28" s="40">
        <f t="shared" ca="1" si="777"/>
        <v>0</v>
      </c>
      <c r="JI28" s="40">
        <f t="shared" ca="1" si="777"/>
        <v>0</v>
      </c>
      <c r="JJ28" s="40">
        <f t="shared" ca="1" si="777"/>
        <v>0</v>
      </c>
      <c r="JK28" s="40">
        <f t="shared" ca="1" si="777"/>
        <v>0</v>
      </c>
      <c r="JL28" s="40">
        <f t="shared" ca="1" si="777"/>
        <v>0</v>
      </c>
      <c r="JM28" s="40">
        <f t="shared" ca="1" si="777"/>
        <v>0</v>
      </c>
      <c r="JN28" s="40">
        <f t="shared" ca="1" si="777"/>
        <v>0</v>
      </c>
      <c r="JO28" s="40">
        <f t="shared" ca="1" si="777"/>
        <v>0</v>
      </c>
      <c r="JP28" s="40">
        <f t="shared" ca="1" si="777"/>
        <v>0</v>
      </c>
      <c r="JQ28" s="40">
        <f t="shared" ca="1" si="777"/>
        <v>0</v>
      </c>
      <c r="JR28" s="40">
        <f t="shared" ca="1" si="777"/>
        <v>0</v>
      </c>
      <c r="JS28" s="40">
        <f t="shared" ca="1" si="777"/>
        <v>0</v>
      </c>
      <c r="JT28" s="40">
        <f t="shared" ca="1" si="777"/>
        <v>0</v>
      </c>
      <c r="JU28" s="40">
        <f t="shared" ca="1" si="777"/>
        <v>0</v>
      </c>
      <c r="JV28" s="40">
        <f t="shared" ca="1" si="777"/>
        <v>0</v>
      </c>
      <c r="JW28" s="40">
        <f t="shared" ca="1" si="777"/>
        <v>0</v>
      </c>
      <c r="JX28" s="40">
        <f t="shared" ca="1" si="777"/>
        <v>0</v>
      </c>
      <c r="JY28" s="40">
        <f t="shared" ca="1" si="777"/>
        <v>0</v>
      </c>
      <c r="JZ28" s="40">
        <f t="shared" ca="1" si="777"/>
        <v>0</v>
      </c>
      <c r="KA28" s="40">
        <f t="shared" ca="1" si="777"/>
        <v>0</v>
      </c>
      <c r="KB28" s="40">
        <f t="shared" ca="1" si="777"/>
        <v>0</v>
      </c>
      <c r="KC28" s="40">
        <f t="shared" ca="1" si="777"/>
        <v>0</v>
      </c>
      <c r="KD28" s="40">
        <f t="shared" ca="1" si="777"/>
        <v>0</v>
      </c>
      <c r="KE28" s="40">
        <f t="shared" ca="1" si="777"/>
        <v>0</v>
      </c>
      <c r="KF28" s="40">
        <f t="shared" ca="1" si="777"/>
        <v>0</v>
      </c>
      <c r="KG28" s="40">
        <f t="shared" ca="1" si="777"/>
        <v>0</v>
      </c>
      <c r="KH28" s="40">
        <f t="shared" ca="1" si="777"/>
        <v>0</v>
      </c>
      <c r="KI28" s="40">
        <f t="shared" ca="1" si="777"/>
        <v>0</v>
      </c>
      <c r="KJ28" s="40">
        <f t="shared" ca="1" si="777"/>
        <v>0</v>
      </c>
      <c r="KK28" s="40">
        <f t="shared" ca="1" si="777"/>
        <v>0</v>
      </c>
      <c r="KL28" s="40">
        <f t="shared" ca="1" si="777"/>
        <v>0</v>
      </c>
      <c r="KM28" s="40">
        <f t="shared" ca="1" si="777"/>
        <v>0</v>
      </c>
      <c r="KN28" s="40">
        <f t="shared" ca="1" si="777"/>
        <v>0</v>
      </c>
      <c r="KO28" s="40">
        <f t="shared" ca="1" si="777"/>
        <v>0</v>
      </c>
      <c r="KP28" s="40">
        <f t="shared" ca="1" si="777"/>
        <v>0</v>
      </c>
      <c r="KQ28" s="40">
        <f t="shared" ca="1" si="777"/>
        <v>0</v>
      </c>
      <c r="KR28" s="40">
        <f t="shared" ca="1" si="777"/>
        <v>0</v>
      </c>
      <c r="KS28" s="40">
        <f t="shared" ca="1" si="777"/>
        <v>0</v>
      </c>
      <c r="KT28" s="40">
        <f t="shared" ca="1" si="777"/>
        <v>0</v>
      </c>
      <c r="KU28" s="40">
        <f t="shared" ca="1" si="777"/>
        <v>0</v>
      </c>
      <c r="KV28" s="40">
        <f t="shared" ca="1" si="777"/>
        <v>0</v>
      </c>
      <c r="KW28" s="40">
        <f t="shared" ca="1" si="777"/>
        <v>0</v>
      </c>
      <c r="KX28" s="40">
        <f t="shared" ca="1" si="777"/>
        <v>0</v>
      </c>
      <c r="KY28" s="40">
        <f t="shared" ca="1" si="777"/>
        <v>0</v>
      </c>
      <c r="KZ28" s="40">
        <f t="shared" ca="1" si="777"/>
        <v>0</v>
      </c>
      <c r="LA28" s="40">
        <f t="shared" ref="LA28:ND28" ca="1" si="778">IF(SUM(LA$27,LA$35,LA$43,LA$51,LA$59)&gt;0,MIN(LA27,LA27/SUM(LA$27,LA$35,LA$43,LA$51,LA$59)*LA$23),0)</f>
        <v>0</v>
      </c>
      <c r="LB28" s="40">
        <f t="shared" ca="1" si="778"/>
        <v>0</v>
      </c>
      <c r="LC28" s="40">
        <f t="shared" ca="1" si="778"/>
        <v>0</v>
      </c>
      <c r="LD28" s="40">
        <f t="shared" ca="1" si="778"/>
        <v>0</v>
      </c>
      <c r="LE28" s="40">
        <f t="shared" ca="1" si="778"/>
        <v>0</v>
      </c>
      <c r="LF28" s="40">
        <f t="shared" ca="1" si="778"/>
        <v>0</v>
      </c>
      <c r="LG28" s="40">
        <f t="shared" ca="1" si="778"/>
        <v>0</v>
      </c>
      <c r="LH28" s="40">
        <f t="shared" ca="1" si="778"/>
        <v>0</v>
      </c>
      <c r="LI28" s="40">
        <f t="shared" ca="1" si="778"/>
        <v>0</v>
      </c>
      <c r="LJ28" s="40">
        <f t="shared" ca="1" si="778"/>
        <v>0</v>
      </c>
      <c r="LK28" s="40">
        <f t="shared" ca="1" si="778"/>
        <v>0</v>
      </c>
      <c r="LL28" s="40">
        <f t="shared" ca="1" si="778"/>
        <v>0</v>
      </c>
      <c r="LM28" s="40">
        <f t="shared" ca="1" si="778"/>
        <v>0</v>
      </c>
      <c r="LN28" s="40">
        <f t="shared" ca="1" si="778"/>
        <v>0</v>
      </c>
      <c r="LO28" s="40">
        <f t="shared" ca="1" si="778"/>
        <v>0</v>
      </c>
      <c r="LP28" s="40">
        <f t="shared" ca="1" si="778"/>
        <v>0</v>
      </c>
      <c r="LQ28" s="40">
        <f t="shared" ca="1" si="778"/>
        <v>0</v>
      </c>
      <c r="LR28" s="40">
        <f t="shared" ca="1" si="778"/>
        <v>0</v>
      </c>
      <c r="LS28" s="40">
        <f t="shared" ca="1" si="778"/>
        <v>0</v>
      </c>
      <c r="LT28" s="40">
        <f t="shared" ca="1" si="778"/>
        <v>0</v>
      </c>
      <c r="LU28" s="40">
        <f t="shared" ca="1" si="778"/>
        <v>0</v>
      </c>
      <c r="LV28" s="40">
        <f t="shared" ca="1" si="778"/>
        <v>0</v>
      </c>
      <c r="LW28" s="40">
        <f t="shared" ca="1" si="778"/>
        <v>0</v>
      </c>
      <c r="LX28" s="40">
        <f t="shared" ca="1" si="778"/>
        <v>0</v>
      </c>
      <c r="LY28" s="40">
        <f t="shared" ca="1" si="778"/>
        <v>0</v>
      </c>
      <c r="LZ28" s="40">
        <f t="shared" ca="1" si="778"/>
        <v>0</v>
      </c>
      <c r="MA28" s="40">
        <f t="shared" ca="1" si="778"/>
        <v>0</v>
      </c>
      <c r="MB28" s="40">
        <f t="shared" ca="1" si="778"/>
        <v>0</v>
      </c>
      <c r="MC28" s="40">
        <f t="shared" ca="1" si="778"/>
        <v>0</v>
      </c>
      <c r="MD28" s="40">
        <f t="shared" ca="1" si="778"/>
        <v>0</v>
      </c>
      <c r="ME28" s="40">
        <f t="shared" ca="1" si="778"/>
        <v>0</v>
      </c>
      <c r="MF28" s="40">
        <f t="shared" ca="1" si="778"/>
        <v>0</v>
      </c>
      <c r="MG28" s="40">
        <f t="shared" ca="1" si="778"/>
        <v>0</v>
      </c>
      <c r="MH28" s="40">
        <f t="shared" ca="1" si="778"/>
        <v>0</v>
      </c>
      <c r="MI28" s="40">
        <f t="shared" ca="1" si="778"/>
        <v>0</v>
      </c>
      <c r="MJ28" s="40">
        <f t="shared" ca="1" si="778"/>
        <v>0</v>
      </c>
      <c r="MK28" s="40">
        <f t="shared" ca="1" si="778"/>
        <v>0</v>
      </c>
      <c r="ML28" s="40">
        <f t="shared" ca="1" si="778"/>
        <v>0</v>
      </c>
      <c r="MM28" s="40">
        <f t="shared" ca="1" si="778"/>
        <v>0</v>
      </c>
      <c r="MN28" s="40">
        <f t="shared" ca="1" si="778"/>
        <v>0</v>
      </c>
      <c r="MO28" s="40">
        <f t="shared" ca="1" si="778"/>
        <v>0</v>
      </c>
      <c r="MP28" s="40">
        <f t="shared" ca="1" si="778"/>
        <v>0</v>
      </c>
      <c r="MQ28" s="40">
        <f t="shared" ca="1" si="778"/>
        <v>0</v>
      </c>
      <c r="MR28" s="40">
        <f t="shared" ca="1" si="778"/>
        <v>0</v>
      </c>
      <c r="MS28" s="40">
        <f t="shared" ca="1" si="778"/>
        <v>0</v>
      </c>
      <c r="MT28" s="40">
        <f t="shared" ca="1" si="778"/>
        <v>0</v>
      </c>
      <c r="MU28" s="40">
        <f t="shared" ca="1" si="778"/>
        <v>0</v>
      </c>
      <c r="MV28" s="40">
        <f t="shared" ca="1" si="778"/>
        <v>0</v>
      </c>
      <c r="MW28" s="40">
        <f t="shared" ca="1" si="778"/>
        <v>0</v>
      </c>
      <c r="MX28" s="40">
        <f t="shared" ca="1" si="778"/>
        <v>0</v>
      </c>
      <c r="MY28" s="40">
        <f t="shared" ca="1" si="778"/>
        <v>0</v>
      </c>
      <c r="MZ28" s="40">
        <f t="shared" ca="1" si="778"/>
        <v>0</v>
      </c>
      <c r="NA28" s="40">
        <f t="shared" ca="1" si="778"/>
        <v>0</v>
      </c>
      <c r="NB28" s="40">
        <f t="shared" ca="1" si="778"/>
        <v>0</v>
      </c>
      <c r="NC28" s="40">
        <f t="shared" ca="1" si="778"/>
        <v>0</v>
      </c>
      <c r="ND28" s="40">
        <f t="shared" ca="1" si="778"/>
        <v>0</v>
      </c>
      <c r="NE28" s="40"/>
      <c r="NF28" s="40"/>
      <c r="NG28" s="40"/>
      <c r="NH28" s="40"/>
      <c r="NI28" s="40"/>
      <c r="NJ28" s="40"/>
      <c r="NK28" s="40"/>
      <c r="NL28" s="40"/>
      <c r="NM28" s="40"/>
      <c r="NN28" s="40"/>
      <c r="NO28" s="40"/>
      <c r="NP28" s="40"/>
      <c r="NQ28" s="40"/>
      <c r="NR28" s="40"/>
    </row>
    <row r="29" spans="2:382" x14ac:dyDescent="0.15">
      <c r="B29" s="518"/>
      <c r="C29" s="115" t="str">
        <f>_xlfn.CONCAT($C$3," Equity Repaid")</f>
        <v>Aaron (Manager) Equity Repaid</v>
      </c>
      <c r="D29" s="52"/>
      <c r="E29" s="40"/>
      <c r="F29" s="40"/>
      <c r="G29" s="114"/>
      <c r="H29" s="40"/>
      <c r="I29" s="40">
        <f>IF(SUM(I$25,I$33,I$41,I$49,I$57)&gt;0,MIN(I25,I25/SUM(I$25,I$33,I$41,I$49,I$57)*ROUND(I$23-SUM(I$28,I$36,I$44,I$52,I$60),10)),0)</f>
        <v>0</v>
      </c>
      <c r="J29" s="40">
        <f>IF(SUM(J$25,J$33,J$41,J$49,J$57)&gt;0,MIN(J25,J25/SUM(J$25,J$33,J$41,J$49,J$57)*ROUND(J$23-SUM(J$28,J$36,J$44,J$52,J$60),10)),0)</f>
        <v>0</v>
      </c>
      <c r="K29" s="40">
        <f t="shared" ref="K29:BV29" si="779">IF(SUM(K$25,K$33,K$41,K$49,K$57)&gt;0,MIN(K25,K25/SUM(K$25,K$33,K$41,K$49,K$57)*ROUND(K$23-SUM(K$28,K$36,K$44,K$52,K$60),10)),0)</f>
        <v>0</v>
      </c>
      <c r="L29" s="40">
        <f t="shared" si="779"/>
        <v>0</v>
      </c>
      <c r="M29" s="40">
        <f t="shared" si="779"/>
        <v>0</v>
      </c>
      <c r="N29" s="40">
        <f t="shared" si="779"/>
        <v>0</v>
      </c>
      <c r="O29" s="40">
        <f t="shared" si="779"/>
        <v>0</v>
      </c>
      <c r="P29" s="40">
        <f t="shared" si="779"/>
        <v>0</v>
      </c>
      <c r="Q29" s="40">
        <f t="shared" si="779"/>
        <v>0</v>
      </c>
      <c r="R29" s="40">
        <f t="shared" si="779"/>
        <v>0</v>
      </c>
      <c r="S29" s="40">
        <f t="shared" si="779"/>
        <v>0</v>
      </c>
      <c r="T29" s="40">
        <f t="shared" si="779"/>
        <v>0</v>
      </c>
      <c r="U29" s="40">
        <f t="shared" si="779"/>
        <v>0</v>
      </c>
      <c r="V29" s="40">
        <f t="shared" si="779"/>
        <v>0</v>
      </c>
      <c r="W29" s="40">
        <f t="shared" si="779"/>
        <v>0</v>
      </c>
      <c r="X29" s="40">
        <f t="shared" si="779"/>
        <v>0</v>
      </c>
      <c r="Y29" s="40">
        <f t="shared" si="779"/>
        <v>0</v>
      </c>
      <c r="Z29" s="40">
        <f t="shared" si="779"/>
        <v>0</v>
      </c>
      <c r="AA29" s="40">
        <f t="shared" si="779"/>
        <v>0</v>
      </c>
      <c r="AB29" s="40">
        <f t="shared" si="779"/>
        <v>0</v>
      </c>
      <c r="AC29" s="40">
        <f t="shared" si="779"/>
        <v>0</v>
      </c>
      <c r="AD29" s="40">
        <f t="shared" si="779"/>
        <v>0</v>
      </c>
      <c r="AE29" s="40">
        <f t="shared" si="779"/>
        <v>0</v>
      </c>
      <c r="AF29" s="40">
        <f t="shared" si="779"/>
        <v>0</v>
      </c>
      <c r="AG29" s="40">
        <f t="shared" si="779"/>
        <v>0</v>
      </c>
      <c r="AH29" s="40">
        <f t="shared" si="779"/>
        <v>0</v>
      </c>
      <c r="AI29" s="40">
        <f t="shared" si="779"/>
        <v>0</v>
      </c>
      <c r="AJ29" s="40">
        <f t="shared" si="779"/>
        <v>0</v>
      </c>
      <c r="AK29" s="40">
        <f t="shared" si="779"/>
        <v>0</v>
      </c>
      <c r="AL29" s="40">
        <f t="shared" si="779"/>
        <v>0</v>
      </c>
      <c r="AM29" s="40">
        <f t="shared" si="779"/>
        <v>0</v>
      </c>
      <c r="AN29" s="40">
        <f t="shared" si="779"/>
        <v>0</v>
      </c>
      <c r="AO29" s="40">
        <f t="shared" si="779"/>
        <v>0</v>
      </c>
      <c r="AP29" s="40">
        <f t="shared" si="779"/>
        <v>0</v>
      </c>
      <c r="AQ29" s="40">
        <f t="shared" si="779"/>
        <v>0</v>
      </c>
      <c r="AR29" s="40">
        <f t="shared" si="779"/>
        <v>0</v>
      </c>
      <c r="AS29" s="40">
        <f t="shared" si="779"/>
        <v>0</v>
      </c>
      <c r="AT29" s="40">
        <f t="shared" si="779"/>
        <v>0</v>
      </c>
      <c r="AU29" s="40">
        <f t="shared" si="779"/>
        <v>0</v>
      </c>
      <c r="AV29" s="40">
        <f t="shared" si="779"/>
        <v>0</v>
      </c>
      <c r="AW29" s="40">
        <f t="shared" si="779"/>
        <v>0</v>
      </c>
      <c r="AX29" s="40">
        <f t="shared" si="779"/>
        <v>0</v>
      </c>
      <c r="AY29" s="40">
        <f t="shared" si="779"/>
        <v>0</v>
      </c>
      <c r="AZ29" s="40">
        <f t="shared" si="779"/>
        <v>0</v>
      </c>
      <c r="BA29" s="40">
        <f t="shared" si="779"/>
        <v>0</v>
      </c>
      <c r="BB29" s="40">
        <f t="shared" si="779"/>
        <v>0</v>
      </c>
      <c r="BC29" s="40">
        <f t="shared" si="779"/>
        <v>0</v>
      </c>
      <c r="BD29" s="40">
        <f t="shared" si="779"/>
        <v>0</v>
      </c>
      <c r="BE29" s="40">
        <f t="shared" si="779"/>
        <v>0</v>
      </c>
      <c r="BF29" s="40">
        <f t="shared" si="779"/>
        <v>0</v>
      </c>
      <c r="BG29" s="40">
        <f t="shared" si="779"/>
        <v>0</v>
      </c>
      <c r="BH29" s="40">
        <f t="shared" si="779"/>
        <v>0</v>
      </c>
      <c r="BI29" s="40">
        <f t="shared" si="779"/>
        <v>0</v>
      </c>
      <c r="BJ29" s="40">
        <f t="shared" si="779"/>
        <v>0</v>
      </c>
      <c r="BK29" s="40">
        <f t="shared" si="779"/>
        <v>0</v>
      </c>
      <c r="BL29" s="40">
        <f t="shared" si="779"/>
        <v>0</v>
      </c>
      <c r="BM29" s="40">
        <f t="shared" si="779"/>
        <v>0</v>
      </c>
      <c r="BN29" s="40">
        <f t="shared" si="779"/>
        <v>0</v>
      </c>
      <c r="BO29" s="40">
        <f t="shared" si="779"/>
        <v>0</v>
      </c>
      <c r="BP29" s="40">
        <f t="shared" si="779"/>
        <v>0</v>
      </c>
      <c r="BQ29" s="40">
        <f t="shared" si="779"/>
        <v>0</v>
      </c>
      <c r="BR29" s="40">
        <f t="shared" si="779"/>
        <v>0</v>
      </c>
      <c r="BS29" s="40">
        <f t="shared" si="779"/>
        <v>0</v>
      </c>
      <c r="BT29" s="40">
        <f t="shared" si="779"/>
        <v>0</v>
      </c>
      <c r="BU29" s="40">
        <f t="shared" si="779"/>
        <v>0</v>
      </c>
      <c r="BV29" s="40">
        <f t="shared" si="779"/>
        <v>0</v>
      </c>
      <c r="BW29" s="40">
        <f t="shared" ref="BW29:EH29" si="780">IF(SUM(BW$25,BW$33,BW$41,BW$49,BW$57)&gt;0,MIN(BW25,BW25/SUM(BW$25,BW$33,BW$41,BW$49,BW$57)*ROUND(BW$23-SUM(BW$28,BW$36,BW$44,BW$52,BW$60),10)),0)</f>
        <v>0</v>
      </c>
      <c r="BX29" s="40">
        <f t="shared" si="780"/>
        <v>0</v>
      </c>
      <c r="BY29" s="40">
        <f t="shared" si="780"/>
        <v>0</v>
      </c>
      <c r="BZ29" s="40">
        <f t="shared" si="780"/>
        <v>0</v>
      </c>
      <c r="CA29" s="40">
        <f t="shared" si="780"/>
        <v>0</v>
      </c>
      <c r="CB29" s="40">
        <f t="shared" si="780"/>
        <v>0</v>
      </c>
      <c r="CC29" s="40">
        <f t="shared" si="780"/>
        <v>0</v>
      </c>
      <c r="CD29" s="40">
        <f t="shared" si="780"/>
        <v>0</v>
      </c>
      <c r="CE29" s="40">
        <f t="shared" si="780"/>
        <v>0</v>
      </c>
      <c r="CF29" s="40">
        <f t="shared" si="780"/>
        <v>0</v>
      </c>
      <c r="CG29" s="40">
        <f t="shared" si="780"/>
        <v>0</v>
      </c>
      <c r="CH29" s="40">
        <f t="shared" si="780"/>
        <v>0</v>
      </c>
      <c r="CI29" s="40">
        <f t="shared" si="780"/>
        <v>0</v>
      </c>
      <c r="CJ29" s="40">
        <f t="shared" si="780"/>
        <v>0</v>
      </c>
      <c r="CK29" s="40">
        <f t="shared" si="780"/>
        <v>0</v>
      </c>
      <c r="CL29" s="40">
        <f t="shared" si="780"/>
        <v>0</v>
      </c>
      <c r="CM29" s="40">
        <f t="shared" si="780"/>
        <v>0</v>
      </c>
      <c r="CN29" s="40">
        <f t="shared" si="780"/>
        <v>0</v>
      </c>
      <c r="CO29" s="40">
        <f t="shared" si="780"/>
        <v>0</v>
      </c>
      <c r="CP29" s="40">
        <f t="shared" si="780"/>
        <v>0</v>
      </c>
      <c r="CQ29" s="40">
        <f t="shared" si="780"/>
        <v>0</v>
      </c>
      <c r="CR29" s="40">
        <f t="shared" si="780"/>
        <v>0</v>
      </c>
      <c r="CS29" s="40">
        <f t="shared" si="780"/>
        <v>0</v>
      </c>
      <c r="CT29" s="40">
        <f t="shared" si="780"/>
        <v>0</v>
      </c>
      <c r="CU29" s="40">
        <f t="shared" si="780"/>
        <v>0</v>
      </c>
      <c r="CV29" s="40">
        <f t="shared" si="780"/>
        <v>0</v>
      </c>
      <c r="CW29" s="40">
        <f t="shared" si="780"/>
        <v>0</v>
      </c>
      <c r="CX29" s="40">
        <f t="shared" si="780"/>
        <v>0</v>
      </c>
      <c r="CY29" s="40">
        <f t="shared" si="780"/>
        <v>0</v>
      </c>
      <c r="CZ29" s="40">
        <f t="shared" si="780"/>
        <v>0</v>
      </c>
      <c r="DA29" s="40">
        <f t="shared" si="780"/>
        <v>0</v>
      </c>
      <c r="DB29" s="40">
        <f t="shared" si="780"/>
        <v>0</v>
      </c>
      <c r="DC29" s="40">
        <f t="shared" si="780"/>
        <v>0</v>
      </c>
      <c r="DD29" s="40">
        <f t="shared" si="780"/>
        <v>0</v>
      </c>
      <c r="DE29" s="40">
        <f t="shared" si="780"/>
        <v>0</v>
      </c>
      <c r="DF29" s="40">
        <f t="shared" si="780"/>
        <v>0</v>
      </c>
      <c r="DG29" s="40">
        <f t="shared" si="780"/>
        <v>0</v>
      </c>
      <c r="DH29" s="40">
        <f t="shared" si="780"/>
        <v>0</v>
      </c>
      <c r="DI29" s="40">
        <f t="shared" si="780"/>
        <v>0</v>
      </c>
      <c r="DJ29" s="40">
        <f t="shared" si="780"/>
        <v>0</v>
      </c>
      <c r="DK29" s="40">
        <f t="shared" si="780"/>
        <v>0</v>
      </c>
      <c r="DL29" s="40">
        <f t="shared" si="780"/>
        <v>0</v>
      </c>
      <c r="DM29" s="40">
        <f t="shared" si="780"/>
        <v>0</v>
      </c>
      <c r="DN29" s="40">
        <f t="shared" si="780"/>
        <v>0</v>
      </c>
      <c r="DO29" s="40">
        <f t="shared" si="780"/>
        <v>0</v>
      </c>
      <c r="DP29" s="40">
        <f t="shared" si="780"/>
        <v>0</v>
      </c>
      <c r="DQ29" s="40">
        <f t="shared" si="780"/>
        <v>0</v>
      </c>
      <c r="DR29" s="40">
        <f t="shared" si="780"/>
        <v>0</v>
      </c>
      <c r="DS29" s="40">
        <f t="shared" si="780"/>
        <v>0</v>
      </c>
      <c r="DT29" s="40">
        <f t="shared" si="780"/>
        <v>0</v>
      </c>
      <c r="DU29" s="40">
        <f t="shared" si="780"/>
        <v>0</v>
      </c>
      <c r="DV29" s="40">
        <f t="shared" si="780"/>
        <v>0</v>
      </c>
      <c r="DW29" s="40">
        <f t="shared" si="780"/>
        <v>0</v>
      </c>
      <c r="DX29" s="40">
        <f t="shared" si="780"/>
        <v>0</v>
      </c>
      <c r="DY29" s="40">
        <f t="shared" si="780"/>
        <v>0</v>
      </c>
      <c r="DZ29" s="40">
        <f t="shared" si="780"/>
        <v>0</v>
      </c>
      <c r="EA29" s="40">
        <f t="shared" si="780"/>
        <v>0</v>
      </c>
      <c r="EB29" s="40">
        <f t="shared" si="780"/>
        <v>0</v>
      </c>
      <c r="EC29" s="40">
        <f t="shared" si="780"/>
        <v>0</v>
      </c>
      <c r="ED29" s="40">
        <f t="shared" si="780"/>
        <v>0</v>
      </c>
      <c r="EE29" s="40">
        <f t="shared" si="780"/>
        <v>0</v>
      </c>
      <c r="EF29" s="40">
        <f t="shared" si="780"/>
        <v>0</v>
      </c>
      <c r="EG29" s="40">
        <f t="shared" si="780"/>
        <v>0</v>
      </c>
      <c r="EH29" s="40">
        <f t="shared" si="780"/>
        <v>0</v>
      </c>
      <c r="EI29" s="40">
        <f t="shared" ref="EI29:GT29" si="781">IF(SUM(EI$25,EI$33,EI$41,EI$49,EI$57)&gt;0,MIN(EI25,EI25/SUM(EI$25,EI$33,EI$41,EI$49,EI$57)*ROUND(EI$23-SUM(EI$28,EI$36,EI$44,EI$52,EI$60),10)),0)</f>
        <v>0</v>
      </c>
      <c r="EJ29" s="40">
        <f t="shared" si="781"/>
        <v>0</v>
      </c>
      <c r="EK29" s="40">
        <f t="shared" si="781"/>
        <v>0</v>
      </c>
      <c r="EL29" s="40">
        <f t="shared" si="781"/>
        <v>0</v>
      </c>
      <c r="EM29" s="40">
        <f t="shared" si="781"/>
        <v>0</v>
      </c>
      <c r="EN29" s="40">
        <f t="shared" si="781"/>
        <v>0</v>
      </c>
      <c r="EO29" s="40">
        <f t="shared" si="781"/>
        <v>0</v>
      </c>
      <c r="EP29" s="40">
        <f t="shared" si="781"/>
        <v>0</v>
      </c>
      <c r="EQ29" s="40">
        <f t="shared" si="781"/>
        <v>0</v>
      </c>
      <c r="ER29" s="40">
        <f t="shared" si="781"/>
        <v>0</v>
      </c>
      <c r="ES29" s="40">
        <f t="shared" si="781"/>
        <v>0</v>
      </c>
      <c r="ET29" s="40">
        <f t="shared" si="781"/>
        <v>0</v>
      </c>
      <c r="EU29" s="40">
        <f t="shared" si="781"/>
        <v>0</v>
      </c>
      <c r="EV29" s="40">
        <f t="shared" si="781"/>
        <v>0</v>
      </c>
      <c r="EW29" s="40">
        <f t="shared" si="781"/>
        <v>0</v>
      </c>
      <c r="EX29" s="40">
        <f t="shared" si="781"/>
        <v>0</v>
      </c>
      <c r="EY29" s="40">
        <f t="shared" si="781"/>
        <v>0</v>
      </c>
      <c r="EZ29" s="40">
        <f t="shared" si="781"/>
        <v>0</v>
      </c>
      <c r="FA29" s="40">
        <f t="shared" si="781"/>
        <v>0</v>
      </c>
      <c r="FB29" s="40">
        <f t="shared" si="781"/>
        <v>0</v>
      </c>
      <c r="FC29" s="40">
        <f t="shared" si="781"/>
        <v>0</v>
      </c>
      <c r="FD29" s="40">
        <f t="shared" si="781"/>
        <v>0</v>
      </c>
      <c r="FE29" s="40">
        <f t="shared" si="781"/>
        <v>0</v>
      </c>
      <c r="FF29" s="40">
        <f t="shared" si="781"/>
        <v>0</v>
      </c>
      <c r="FG29" s="40">
        <f t="shared" si="781"/>
        <v>0</v>
      </c>
      <c r="FH29" s="40">
        <f t="shared" si="781"/>
        <v>0</v>
      </c>
      <c r="FI29" s="40">
        <f t="shared" si="781"/>
        <v>0</v>
      </c>
      <c r="FJ29" s="40">
        <f t="shared" si="781"/>
        <v>0</v>
      </c>
      <c r="FK29" s="40">
        <f t="shared" si="781"/>
        <v>0</v>
      </c>
      <c r="FL29" s="40">
        <f t="shared" si="781"/>
        <v>0</v>
      </c>
      <c r="FM29" s="40">
        <f t="shared" si="781"/>
        <v>0</v>
      </c>
      <c r="FN29" s="40">
        <f t="shared" si="781"/>
        <v>0</v>
      </c>
      <c r="FO29" s="40">
        <f t="shared" si="781"/>
        <v>0</v>
      </c>
      <c r="FP29" s="40">
        <f t="shared" si="781"/>
        <v>0</v>
      </c>
      <c r="FQ29" s="40">
        <f t="shared" si="781"/>
        <v>0</v>
      </c>
      <c r="FR29" s="40">
        <f t="shared" si="781"/>
        <v>0</v>
      </c>
      <c r="FS29" s="40">
        <f t="shared" si="781"/>
        <v>0</v>
      </c>
      <c r="FT29" s="40">
        <f t="shared" si="781"/>
        <v>0</v>
      </c>
      <c r="FU29" s="40">
        <f t="shared" si="781"/>
        <v>0</v>
      </c>
      <c r="FV29" s="40">
        <f t="shared" si="781"/>
        <v>0</v>
      </c>
      <c r="FW29" s="40">
        <f t="shared" si="781"/>
        <v>0</v>
      </c>
      <c r="FX29" s="40">
        <f t="shared" si="781"/>
        <v>0</v>
      </c>
      <c r="FY29" s="40">
        <f t="shared" si="781"/>
        <v>0</v>
      </c>
      <c r="FZ29" s="40">
        <f t="shared" si="781"/>
        <v>0</v>
      </c>
      <c r="GA29" s="40">
        <f t="shared" si="781"/>
        <v>0</v>
      </c>
      <c r="GB29" s="40">
        <f t="shared" si="781"/>
        <v>0</v>
      </c>
      <c r="GC29" s="40">
        <f t="shared" si="781"/>
        <v>0</v>
      </c>
      <c r="GD29" s="40">
        <f t="shared" si="781"/>
        <v>0</v>
      </c>
      <c r="GE29" s="40">
        <f t="shared" si="781"/>
        <v>0</v>
      </c>
      <c r="GF29" s="40">
        <f t="shared" ca="1" si="781"/>
        <v>755905.20000000007</v>
      </c>
      <c r="GG29" s="40">
        <f t="shared" ca="1" si="781"/>
        <v>0</v>
      </c>
      <c r="GH29" s="40">
        <f t="shared" ca="1" si="781"/>
        <v>0</v>
      </c>
      <c r="GI29" s="40">
        <f t="shared" ca="1" si="781"/>
        <v>0</v>
      </c>
      <c r="GJ29" s="40">
        <f t="shared" ca="1" si="781"/>
        <v>0</v>
      </c>
      <c r="GK29" s="40">
        <f t="shared" ca="1" si="781"/>
        <v>0</v>
      </c>
      <c r="GL29" s="40">
        <f t="shared" ca="1" si="781"/>
        <v>0</v>
      </c>
      <c r="GM29" s="40">
        <f t="shared" ca="1" si="781"/>
        <v>0</v>
      </c>
      <c r="GN29" s="40">
        <f t="shared" ca="1" si="781"/>
        <v>0</v>
      </c>
      <c r="GO29" s="40">
        <f t="shared" ca="1" si="781"/>
        <v>0</v>
      </c>
      <c r="GP29" s="40">
        <f t="shared" ca="1" si="781"/>
        <v>0</v>
      </c>
      <c r="GQ29" s="40">
        <f t="shared" ca="1" si="781"/>
        <v>0</v>
      </c>
      <c r="GR29" s="40">
        <f t="shared" ca="1" si="781"/>
        <v>0</v>
      </c>
      <c r="GS29" s="40">
        <f t="shared" ca="1" si="781"/>
        <v>0</v>
      </c>
      <c r="GT29" s="40">
        <f t="shared" ca="1" si="781"/>
        <v>0</v>
      </c>
      <c r="GU29" s="40">
        <f t="shared" ref="GU29:IN29" ca="1" si="782">IF(SUM(GU$25,GU$33,GU$41,GU$49,GU$57)&gt;0,MIN(GU25,GU25/SUM(GU$25,GU$33,GU$41,GU$49,GU$57)*ROUND(GU$23-SUM(GU$28,GU$36,GU$44,GU$52,GU$60),10)),0)</f>
        <v>0</v>
      </c>
      <c r="GV29" s="40">
        <f t="shared" ca="1" si="782"/>
        <v>0</v>
      </c>
      <c r="GW29" s="40">
        <f t="shared" ca="1" si="782"/>
        <v>0</v>
      </c>
      <c r="GX29" s="40">
        <f t="shared" ca="1" si="782"/>
        <v>0</v>
      </c>
      <c r="GY29" s="40">
        <f t="shared" ca="1" si="782"/>
        <v>0</v>
      </c>
      <c r="GZ29" s="40">
        <f t="shared" ca="1" si="782"/>
        <v>0</v>
      </c>
      <c r="HA29" s="40">
        <f t="shared" ca="1" si="782"/>
        <v>0</v>
      </c>
      <c r="HB29" s="40">
        <f t="shared" ca="1" si="782"/>
        <v>0</v>
      </c>
      <c r="HC29" s="40">
        <f t="shared" ca="1" si="782"/>
        <v>0</v>
      </c>
      <c r="HD29" s="40">
        <f t="shared" ca="1" si="782"/>
        <v>0</v>
      </c>
      <c r="HE29" s="40">
        <f t="shared" ca="1" si="782"/>
        <v>0</v>
      </c>
      <c r="HF29" s="40">
        <f t="shared" ca="1" si="782"/>
        <v>0</v>
      </c>
      <c r="HG29" s="40">
        <f t="shared" ca="1" si="782"/>
        <v>0</v>
      </c>
      <c r="HH29" s="40">
        <f t="shared" ca="1" si="782"/>
        <v>0</v>
      </c>
      <c r="HI29" s="40">
        <f t="shared" ca="1" si="782"/>
        <v>0</v>
      </c>
      <c r="HJ29" s="40">
        <f t="shared" ca="1" si="782"/>
        <v>0</v>
      </c>
      <c r="HK29" s="40">
        <f t="shared" ca="1" si="782"/>
        <v>0</v>
      </c>
      <c r="HL29" s="40">
        <f t="shared" ca="1" si="782"/>
        <v>0</v>
      </c>
      <c r="HM29" s="40">
        <f t="shared" ca="1" si="782"/>
        <v>0</v>
      </c>
      <c r="HN29" s="40">
        <f t="shared" ca="1" si="782"/>
        <v>0</v>
      </c>
      <c r="HO29" s="40">
        <f t="shared" ca="1" si="782"/>
        <v>0</v>
      </c>
      <c r="HP29" s="40">
        <f t="shared" ca="1" si="782"/>
        <v>0</v>
      </c>
      <c r="HQ29" s="40">
        <f t="shared" ca="1" si="782"/>
        <v>0</v>
      </c>
      <c r="HR29" s="40">
        <f t="shared" ca="1" si="782"/>
        <v>0</v>
      </c>
      <c r="HS29" s="40">
        <f t="shared" ca="1" si="782"/>
        <v>0</v>
      </c>
      <c r="HT29" s="40">
        <f t="shared" ca="1" si="782"/>
        <v>0</v>
      </c>
      <c r="HU29" s="40">
        <f t="shared" ca="1" si="782"/>
        <v>0</v>
      </c>
      <c r="HV29" s="40">
        <f t="shared" ca="1" si="782"/>
        <v>0</v>
      </c>
      <c r="HW29" s="40">
        <f t="shared" ca="1" si="782"/>
        <v>0</v>
      </c>
      <c r="HX29" s="40">
        <f t="shared" ca="1" si="782"/>
        <v>0</v>
      </c>
      <c r="HY29" s="40">
        <f t="shared" ca="1" si="782"/>
        <v>0</v>
      </c>
      <c r="HZ29" s="40">
        <f t="shared" ca="1" si="782"/>
        <v>0</v>
      </c>
      <c r="IA29" s="40">
        <f t="shared" ca="1" si="782"/>
        <v>0</v>
      </c>
      <c r="IB29" s="40">
        <f t="shared" ca="1" si="782"/>
        <v>0</v>
      </c>
      <c r="IC29" s="40">
        <f t="shared" ca="1" si="782"/>
        <v>0</v>
      </c>
      <c r="ID29" s="40">
        <f t="shared" ca="1" si="782"/>
        <v>0</v>
      </c>
      <c r="IE29" s="40">
        <f t="shared" ca="1" si="782"/>
        <v>0</v>
      </c>
      <c r="IF29" s="40">
        <f t="shared" ca="1" si="782"/>
        <v>0</v>
      </c>
      <c r="IG29" s="40">
        <f t="shared" ca="1" si="782"/>
        <v>0</v>
      </c>
      <c r="IH29" s="40">
        <f t="shared" ca="1" si="782"/>
        <v>0</v>
      </c>
      <c r="II29" s="40">
        <f t="shared" ca="1" si="782"/>
        <v>0</v>
      </c>
      <c r="IJ29" s="40">
        <f t="shared" ca="1" si="782"/>
        <v>0</v>
      </c>
      <c r="IK29" s="40">
        <f t="shared" ca="1" si="782"/>
        <v>0</v>
      </c>
      <c r="IL29" s="40">
        <f t="shared" ca="1" si="782"/>
        <v>0</v>
      </c>
      <c r="IM29" s="40">
        <f t="shared" ca="1" si="782"/>
        <v>0</v>
      </c>
      <c r="IN29" s="40">
        <f t="shared" ca="1" si="782"/>
        <v>0</v>
      </c>
      <c r="IO29" s="40">
        <f t="shared" ref="IO29:KZ29" ca="1" si="783">IF(SUM(IO$25,IO$33,IO$41,IO$49,IO$57)&gt;0,MIN(IO25,IO25/SUM(IO$25,IO$33,IO$41,IO$49,IO$57)*ROUND(IO$23-SUM(IO$28,IO$36,IO$44,IO$52,IO$60),10)),0)</f>
        <v>0</v>
      </c>
      <c r="IP29" s="40">
        <f t="shared" ca="1" si="783"/>
        <v>0</v>
      </c>
      <c r="IQ29" s="40">
        <f t="shared" ca="1" si="783"/>
        <v>0</v>
      </c>
      <c r="IR29" s="40">
        <f t="shared" ca="1" si="783"/>
        <v>0</v>
      </c>
      <c r="IS29" s="40">
        <f t="shared" ca="1" si="783"/>
        <v>0</v>
      </c>
      <c r="IT29" s="40">
        <f t="shared" ca="1" si="783"/>
        <v>0</v>
      </c>
      <c r="IU29" s="40">
        <f t="shared" ca="1" si="783"/>
        <v>0</v>
      </c>
      <c r="IV29" s="40">
        <f t="shared" ca="1" si="783"/>
        <v>0</v>
      </c>
      <c r="IW29" s="40">
        <f t="shared" ca="1" si="783"/>
        <v>0</v>
      </c>
      <c r="IX29" s="40">
        <f t="shared" ca="1" si="783"/>
        <v>0</v>
      </c>
      <c r="IY29" s="40">
        <f t="shared" ca="1" si="783"/>
        <v>0</v>
      </c>
      <c r="IZ29" s="40">
        <f t="shared" ca="1" si="783"/>
        <v>0</v>
      </c>
      <c r="JA29" s="40">
        <f t="shared" ca="1" si="783"/>
        <v>0</v>
      </c>
      <c r="JB29" s="40">
        <f t="shared" ca="1" si="783"/>
        <v>0</v>
      </c>
      <c r="JC29" s="40">
        <f t="shared" ca="1" si="783"/>
        <v>0</v>
      </c>
      <c r="JD29" s="40">
        <f t="shared" ca="1" si="783"/>
        <v>0</v>
      </c>
      <c r="JE29" s="40">
        <f t="shared" ca="1" si="783"/>
        <v>0</v>
      </c>
      <c r="JF29" s="40">
        <f t="shared" ca="1" si="783"/>
        <v>0</v>
      </c>
      <c r="JG29" s="40">
        <f t="shared" ca="1" si="783"/>
        <v>0</v>
      </c>
      <c r="JH29" s="40">
        <f t="shared" ca="1" si="783"/>
        <v>0</v>
      </c>
      <c r="JI29" s="40">
        <f t="shared" ca="1" si="783"/>
        <v>0</v>
      </c>
      <c r="JJ29" s="40">
        <f t="shared" ca="1" si="783"/>
        <v>0</v>
      </c>
      <c r="JK29" s="40">
        <f t="shared" ca="1" si="783"/>
        <v>0</v>
      </c>
      <c r="JL29" s="40">
        <f t="shared" ca="1" si="783"/>
        <v>0</v>
      </c>
      <c r="JM29" s="40">
        <f t="shared" ca="1" si="783"/>
        <v>0</v>
      </c>
      <c r="JN29" s="40">
        <f t="shared" ca="1" si="783"/>
        <v>0</v>
      </c>
      <c r="JO29" s="40">
        <f t="shared" ca="1" si="783"/>
        <v>0</v>
      </c>
      <c r="JP29" s="40">
        <f t="shared" ca="1" si="783"/>
        <v>0</v>
      </c>
      <c r="JQ29" s="40">
        <f t="shared" ca="1" si="783"/>
        <v>0</v>
      </c>
      <c r="JR29" s="40">
        <f t="shared" ca="1" si="783"/>
        <v>0</v>
      </c>
      <c r="JS29" s="40">
        <f t="shared" ca="1" si="783"/>
        <v>0</v>
      </c>
      <c r="JT29" s="40">
        <f t="shared" ca="1" si="783"/>
        <v>0</v>
      </c>
      <c r="JU29" s="40">
        <f t="shared" ca="1" si="783"/>
        <v>0</v>
      </c>
      <c r="JV29" s="40">
        <f t="shared" ca="1" si="783"/>
        <v>0</v>
      </c>
      <c r="JW29" s="40">
        <f t="shared" ca="1" si="783"/>
        <v>0</v>
      </c>
      <c r="JX29" s="40">
        <f t="shared" ca="1" si="783"/>
        <v>0</v>
      </c>
      <c r="JY29" s="40">
        <f t="shared" ca="1" si="783"/>
        <v>0</v>
      </c>
      <c r="JZ29" s="40">
        <f t="shared" ca="1" si="783"/>
        <v>0</v>
      </c>
      <c r="KA29" s="40">
        <f t="shared" ca="1" si="783"/>
        <v>0</v>
      </c>
      <c r="KB29" s="40">
        <f t="shared" ca="1" si="783"/>
        <v>0</v>
      </c>
      <c r="KC29" s="40">
        <f t="shared" ca="1" si="783"/>
        <v>0</v>
      </c>
      <c r="KD29" s="40">
        <f t="shared" ca="1" si="783"/>
        <v>0</v>
      </c>
      <c r="KE29" s="40">
        <f t="shared" ca="1" si="783"/>
        <v>0</v>
      </c>
      <c r="KF29" s="40">
        <f t="shared" ca="1" si="783"/>
        <v>0</v>
      </c>
      <c r="KG29" s="40">
        <f t="shared" ca="1" si="783"/>
        <v>0</v>
      </c>
      <c r="KH29" s="40">
        <f t="shared" ca="1" si="783"/>
        <v>0</v>
      </c>
      <c r="KI29" s="40">
        <f t="shared" ca="1" si="783"/>
        <v>0</v>
      </c>
      <c r="KJ29" s="40">
        <f t="shared" ca="1" si="783"/>
        <v>0</v>
      </c>
      <c r="KK29" s="40">
        <f t="shared" ca="1" si="783"/>
        <v>0</v>
      </c>
      <c r="KL29" s="40">
        <f t="shared" ca="1" si="783"/>
        <v>0</v>
      </c>
      <c r="KM29" s="40">
        <f t="shared" ca="1" si="783"/>
        <v>0</v>
      </c>
      <c r="KN29" s="40">
        <f t="shared" ca="1" si="783"/>
        <v>0</v>
      </c>
      <c r="KO29" s="40">
        <f t="shared" ca="1" si="783"/>
        <v>0</v>
      </c>
      <c r="KP29" s="40">
        <f t="shared" ca="1" si="783"/>
        <v>0</v>
      </c>
      <c r="KQ29" s="40">
        <f t="shared" ca="1" si="783"/>
        <v>0</v>
      </c>
      <c r="KR29" s="40">
        <f t="shared" ca="1" si="783"/>
        <v>0</v>
      </c>
      <c r="KS29" s="40">
        <f t="shared" ca="1" si="783"/>
        <v>0</v>
      </c>
      <c r="KT29" s="40">
        <f t="shared" ca="1" si="783"/>
        <v>0</v>
      </c>
      <c r="KU29" s="40">
        <f t="shared" ca="1" si="783"/>
        <v>0</v>
      </c>
      <c r="KV29" s="40">
        <f t="shared" ca="1" si="783"/>
        <v>0</v>
      </c>
      <c r="KW29" s="40">
        <f t="shared" ca="1" si="783"/>
        <v>0</v>
      </c>
      <c r="KX29" s="40">
        <f t="shared" ca="1" si="783"/>
        <v>0</v>
      </c>
      <c r="KY29" s="40">
        <f t="shared" ca="1" si="783"/>
        <v>0</v>
      </c>
      <c r="KZ29" s="40">
        <f t="shared" ca="1" si="783"/>
        <v>0</v>
      </c>
      <c r="LA29" s="40">
        <f t="shared" ref="LA29:ND29" ca="1" si="784">IF(SUM(LA$25,LA$33,LA$41,LA$49,LA$57)&gt;0,MIN(LA25,LA25/SUM(LA$25,LA$33,LA$41,LA$49,LA$57)*ROUND(LA$23-SUM(LA$28,LA$36,LA$44,LA$52,LA$60),10)),0)</f>
        <v>0</v>
      </c>
      <c r="LB29" s="40">
        <f t="shared" ca="1" si="784"/>
        <v>0</v>
      </c>
      <c r="LC29" s="40">
        <f t="shared" ca="1" si="784"/>
        <v>0</v>
      </c>
      <c r="LD29" s="40">
        <f t="shared" ca="1" si="784"/>
        <v>0</v>
      </c>
      <c r="LE29" s="40">
        <f t="shared" ca="1" si="784"/>
        <v>0</v>
      </c>
      <c r="LF29" s="40">
        <f t="shared" ca="1" si="784"/>
        <v>0</v>
      </c>
      <c r="LG29" s="40">
        <f t="shared" ca="1" si="784"/>
        <v>0</v>
      </c>
      <c r="LH29" s="40">
        <f t="shared" ca="1" si="784"/>
        <v>0</v>
      </c>
      <c r="LI29" s="40">
        <f t="shared" ca="1" si="784"/>
        <v>0</v>
      </c>
      <c r="LJ29" s="40">
        <f t="shared" ca="1" si="784"/>
        <v>0</v>
      </c>
      <c r="LK29" s="40">
        <f t="shared" ca="1" si="784"/>
        <v>0</v>
      </c>
      <c r="LL29" s="40">
        <f t="shared" ca="1" si="784"/>
        <v>0</v>
      </c>
      <c r="LM29" s="40">
        <f t="shared" ca="1" si="784"/>
        <v>0</v>
      </c>
      <c r="LN29" s="40">
        <f t="shared" ca="1" si="784"/>
        <v>0</v>
      </c>
      <c r="LO29" s="40">
        <f t="shared" ca="1" si="784"/>
        <v>0</v>
      </c>
      <c r="LP29" s="40">
        <f t="shared" ca="1" si="784"/>
        <v>0</v>
      </c>
      <c r="LQ29" s="40">
        <f t="shared" ca="1" si="784"/>
        <v>0</v>
      </c>
      <c r="LR29" s="40">
        <f t="shared" ca="1" si="784"/>
        <v>0</v>
      </c>
      <c r="LS29" s="40">
        <f t="shared" ca="1" si="784"/>
        <v>0</v>
      </c>
      <c r="LT29" s="40">
        <f t="shared" ca="1" si="784"/>
        <v>0</v>
      </c>
      <c r="LU29" s="40">
        <f t="shared" ca="1" si="784"/>
        <v>0</v>
      </c>
      <c r="LV29" s="40">
        <f t="shared" ca="1" si="784"/>
        <v>0</v>
      </c>
      <c r="LW29" s="40">
        <f t="shared" ca="1" si="784"/>
        <v>0</v>
      </c>
      <c r="LX29" s="40">
        <f t="shared" ca="1" si="784"/>
        <v>0</v>
      </c>
      <c r="LY29" s="40">
        <f t="shared" ca="1" si="784"/>
        <v>0</v>
      </c>
      <c r="LZ29" s="40">
        <f t="shared" ca="1" si="784"/>
        <v>0</v>
      </c>
      <c r="MA29" s="40">
        <f t="shared" ca="1" si="784"/>
        <v>0</v>
      </c>
      <c r="MB29" s="40">
        <f t="shared" ca="1" si="784"/>
        <v>0</v>
      </c>
      <c r="MC29" s="40">
        <f t="shared" ca="1" si="784"/>
        <v>0</v>
      </c>
      <c r="MD29" s="40">
        <f t="shared" ca="1" si="784"/>
        <v>0</v>
      </c>
      <c r="ME29" s="40">
        <f t="shared" ca="1" si="784"/>
        <v>0</v>
      </c>
      <c r="MF29" s="40">
        <f t="shared" ca="1" si="784"/>
        <v>0</v>
      </c>
      <c r="MG29" s="40">
        <f t="shared" ca="1" si="784"/>
        <v>0</v>
      </c>
      <c r="MH29" s="40">
        <f t="shared" ca="1" si="784"/>
        <v>0</v>
      </c>
      <c r="MI29" s="40">
        <f t="shared" ca="1" si="784"/>
        <v>0</v>
      </c>
      <c r="MJ29" s="40">
        <f t="shared" ca="1" si="784"/>
        <v>0</v>
      </c>
      <c r="MK29" s="40">
        <f t="shared" ca="1" si="784"/>
        <v>0</v>
      </c>
      <c r="ML29" s="40">
        <f t="shared" ca="1" si="784"/>
        <v>0</v>
      </c>
      <c r="MM29" s="40">
        <f t="shared" ca="1" si="784"/>
        <v>0</v>
      </c>
      <c r="MN29" s="40">
        <f t="shared" ca="1" si="784"/>
        <v>0</v>
      </c>
      <c r="MO29" s="40">
        <f t="shared" ca="1" si="784"/>
        <v>0</v>
      </c>
      <c r="MP29" s="40">
        <f t="shared" ca="1" si="784"/>
        <v>0</v>
      </c>
      <c r="MQ29" s="40">
        <f t="shared" ca="1" si="784"/>
        <v>0</v>
      </c>
      <c r="MR29" s="40">
        <f t="shared" ca="1" si="784"/>
        <v>0</v>
      </c>
      <c r="MS29" s="40">
        <f t="shared" ca="1" si="784"/>
        <v>0</v>
      </c>
      <c r="MT29" s="40">
        <f t="shared" ca="1" si="784"/>
        <v>0</v>
      </c>
      <c r="MU29" s="40">
        <f t="shared" ca="1" si="784"/>
        <v>0</v>
      </c>
      <c r="MV29" s="40">
        <f t="shared" ca="1" si="784"/>
        <v>0</v>
      </c>
      <c r="MW29" s="40">
        <f t="shared" ca="1" si="784"/>
        <v>0</v>
      </c>
      <c r="MX29" s="40">
        <f t="shared" ca="1" si="784"/>
        <v>0</v>
      </c>
      <c r="MY29" s="40">
        <f t="shared" ca="1" si="784"/>
        <v>0</v>
      </c>
      <c r="MZ29" s="40">
        <f t="shared" ca="1" si="784"/>
        <v>0</v>
      </c>
      <c r="NA29" s="40">
        <f t="shared" ca="1" si="784"/>
        <v>0</v>
      </c>
      <c r="NB29" s="40">
        <f t="shared" ca="1" si="784"/>
        <v>0</v>
      </c>
      <c r="NC29" s="40">
        <f t="shared" ca="1" si="784"/>
        <v>0</v>
      </c>
      <c r="ND29" s="40">
        <f t="shared" ca="1" si="784"/>
        <v>0</v>
      </c>
      <c r="NE29" s="40"/>
      <c r="NF29" s="40"/>
      <c r="NG29" s="40"/>
      <c r="NH29" s="40"/>
      <c r="NI29" s="40"/>
      <c r="NJ29" s="40"/>
      <c r="NK29" s="40"/>
      <c r="NL29" s="40"/>
      <c r="NM29" s="40"/>
      <c r="NN29" s="40"/>
      <c r="NO29" s="40"/>
      <c r="NP29" s="40"/>
      <c r="NQ29" s="40"/>
      <c r="NR29" s="40"/>
    </row>
    <row r="30" spans="2:382" x14ac:dyDescent="0.15">
      <c r="B30" s="518"/>
      <c r="C30" s="115" t="s">
        <v>165</v>
      </c>
      <c r="D30" s="52"/>
      <c r="E30" s="40"/>
      <c r="F30" s="40"/>
      <c r="G30" s="114"/>
      <c r="H30" s="40"/>
      <c r="I30" s="40">
        <f>I28+I29+G30</f>
        <v>-31938.513322500003</v>
      </c>
      <c r="J30" s="40">
        <f t="shared" ref="J30" si="785">J28+J29+I30</f>
        <v>-63877.026645000013</v>
      </c>
      <c r="K30" s="40">
        <f t="shared" ref="K30" si="786">K28+K29+J30</f>
        <v>-95815.539967500023</v>
      </c>
      <c r="L30" s="40">
        <f t="shared" ref="L30" si="787">L28+L29+K30</f>
        <v>-95815.539967500023</v>
      </c>
      <c r="M30" s="40">
        <f t="shared" ref="M30" si="788">M28+M29+L30</f>
        <v>-95815.539967500023</v>
      </c>
      <c r="N30" s="40">
        <f t="shared" ref="N30" si="789">N28+N29+M30</f>
        <v>-95815.539967500023</v>
      </c>
      <c r="O30" s="40">
        <f t="shared" ref="O30" si="790">O28+O29+N30</f>
        <v>-95815.539967500023</v>
      </c>
      <c r="P30" s="40">
        <f t="shared" ref="P30" si="791">P28+P29+O30</f>
        <v>-95815.539967500023</v>
      </c>
      <c r="Q30" s="40">
        <f t="shared" ref="Q30" si="792">Q28+Q29+P30</f>
        <v>-95815.539967500023</v>
      </c>
      <c r="R30" s="40">
        <f t="shared" ref="R30" si="793">R28+R29+Q30</f>
        <v>-95815.539967500023</v>
      </c>
      <c r="S30" s="40">
        <f t="shared" ref="S30" si="794">S28+S29+R30</f>
        <v>-95815.539967500023</v>
      </c>
      <c r="T30" s="40">
        <f t="shared" ref="T30" si="795">T28+T29+S30</f>
        <v>-95815.539967500023</v>
      </c>
      <c r="U30" s="40">
        <f t="shared" ref="U30" si="796">U28+U29+T30</f>
        <v>-95815.539967500023</v>
      </c>
      <c r="V30" s="40">
        <f t="shared" ref="V30" si="797">V28+V29+U30</f>
        <v>-95815.539967500023</v>
      </c>
      <c r="W30" s="40">
        <f t="shared" ref="W30" si="798">W28+W29+V30</f>
        <v>-95815.539967500023</v>
      </c>
      <c r="X30" s="40">
        <f t="shared" ref="X30" si="799">X28+X29+W30</f>
        <v>-95815.539967500023</v>
      </c>
      <c r="Y30" s="40">
        <f t="shared" ref="Y30" si="800">Y28+Y29+X30</f>
        <v>-95815.539967500023</v>
      </c>
      <c r="Z30" s="40">
        <f t="shared" ref="Z30" si="801">Z28+Z29+Y30</f>
        <v>-95815.539967500023</v>
      </c>
      <c r="AA30" s="40">
        <f t="shared" ref="AA30" si="802">AA28+AA29+Z30</f>
        <v>-95815.539967500023</v>
      </c>
      <c r="AB30" s="40">
        <f t="shared" ref="AB30" si="803">AB28+AB29+AA30</f>
        <v>-95815.539967500023</v>
      </c>
      <c r="AC30" s="40">
        <f t="shared" ref="AC30" si="804">AC28+AC29+AB30</f>
        <v>-95815.539967500023</v>
      </c>
      <c r="AD30" s="40">
        <f t="shared" ref="AD30" si="805">AD28+AD29+AC30</f>
        <v>-95815.539967500023</v>
      </c>
      <c r="AE30" s="40">
        <f t="shared" ref="AE30" si="806">AE28+AE29+AD30</f>
        <v>-95815.539967500023</v>
      </c>
      <c r="AF30" s="40">
        <f t="shared" ref="AF30" si="807">AF28+AF29+AE30</f>
        <v>-95815.539967500023</v>
      </c>
      <c r="AG30" s="40">
        <f t="shared" ref="AG30" si="808">AG28+AG29+AF30</f>
        <v>-95815.539967500023</v>
      </c>
      <c r="AH30" s="40">
        <f t="shared" ref="AH30" si="809">AH28+AH29+AG30</f>
        <v>-95815.539967500023</v>
      </c>
      <c r="AI30" s="40">
        <f t="shared" ref="AI30" si="810">AI28+AI29+AH30</f>
        <v>-95815.539967500023</v>
      </c>
      <c r="AJ30" s="40">
        <f t="shared" ref="AJ30" si="811">AJ28+AJ29+AI30</f>
        <v>-95815.539967500023</v>
      </c>
      <c r="AK30" s="40">
        <f t="shared" ref="AK30" si="812">AK28+AK29+AJ30</f>
        <v>-95815.539967500023</v>
      </c>
      <c r="AL30" s="40">
        <f t="shared" ref="AL30" si="813">AL28+AL29+AK30</f>
        <v>-95815.539967500023</v>
      </c>
      <c r="AM30" s="40">
        <f t="shared" ref="AM30" si="814">AM28+AM29+AL30</f>
        <v>-95815.539967500023</v>
      </c>
      <c r="AN30" s="40">
        <f t="shared" ref="AN30" si="815">AN28+AN29+AM30</f>
        <v>-95815.539967500023</v>
      </c>
      <c r="AO30" s="40">
        <f t="shared" ref="AO30" si="816">AO28+AO29+AN30</f>
        <v>-95815.539967500023</v>
      </c>
      <c r="AP30" s="40">
        <f t="shared" ref="AP30" si="817">AP28+AP29+AO30</f>
        <v>-95815.539967500023</v>
      </c>
      <c r="AQ30" s="40">
        <f t="shared" ref="AQ30" si="818">AQ28+AQ29+AP30</f>
        <v>-95815.539967500023</v>
      </c>
      <c r="AR30" s="40">
        <f t="shared" ref="AR30" si="819">AR28+AR29+AQ30</f>
        <v>-95815.539967500023</v>
      </c>
      <c r="AS30" s="40">
        <f t="shared" ref="AS30" si="820">AS28+AS29+AR30</f>
        <v>-95704.814723342191</v>
      </c>
      <c r="AT30" s="40">
        <f t="shared" ref="AT30" si="821">AT28+AT29+AS30</f>
        <v>-95594.08947918436</v>
      </c>
      <c r="AU30" s="40">
        <f t="shared" ref="AU30" si="822">AU28+AU29+AT30</f>
        <v>-95483.364235026529</v>
      </c>
      <c r="AV30" s="40">
        <f t="shared" ref="AV30" si="823">AV28+AV29+AU30</f>
        <v>-95372.638990868698</v>
      </c>
      <c r="AW30" s="40">
        <f t="shared" ref="AW30" si="824">AW28+AW29+AV30</f>
        <v>-95261.913746710867</v>
      </c>
      <c r="AX30" s="40">
        <f t="shared" ref="AX30" si="825">AX28+AX29+AW30</f>
        <v>-95151.188502553036</v>
      </c>
      <c r="AY30" s="40">
        <f t="shared" ref="AY30" si="826">AY28+AY29+AX30</f>
        <v>-95040.463258395204</v>
      </c>
      <c r="AZ30" s="40">
        <f t="shared" ref="AZ30" si="827">AZ28+AZ29+AY30</f>
        <v>-94929.738014237373</v>
      </c>
      <c r="BA30" s="40">
        <f t="shared" ref="BA30" si="828">BA28+BA29+AZ30</f>
        <v>-94819.012770079542</v>
      </c>
      <c r="BB30" s="40">
        <f t="shared" ref="BB30" si="829">BB28+BB29+BA30</f>
        <v>-94708.287525921711</v>
      </c>
      <c r="BC30" s="40">
        <f t="shared" ref="BC30" si="830">BC28+BC29+BB30</f>
        <v>-94597.56228176388</v>
      </c>
      <c r="BD30" s="40">
        <f t="shared" ref="BD30" si="831">BD28+BD29+BC30</f>
        <v>-94486.837037606048</v>
      </c>
      <c r="BE30" s="40">
        <f t="shared" ref="BE30" si="832">BE28+BE29+BD30</f>
        <v>-94093.072616168705</v>
      </c>
      <c r="BF30" s="40">
        <f t="shared" ref="BF30" si="833">BF28+BF29+BE30</f>
        <v>-93699.308194731362</v>
      </c>
      <c r="BG30" s="40">
        <f t="shared" ref="BG30" si="834">BG28+BG29+BF30</f>
        <v>-93305.543773294019</v>
      </c>
      <c r="BH30" s="40">
        <f t="shared" ref="BH30" si="835">BH28+BH29+BG30</f>
        <v>-92911.779351856676</v>
      </c>
      <c r="BI30" s="40">
        <f t="shared" ref="BI30" si="836">BI28+BI29+BH30</f>
        <v>-92518.014930419333</v>
      </c>
      <c r="BJ30" s="40">
        <f t="shared" ref="BJ30" si="837">BJ28+BJ29+BI30</f>
        <v>-92124.25050898199</v>
      </c>
      <c r="BK30" s="40">
        <f t="shared" ref="BK30" si="838">BK28+BK29+BJ30</f>
        <v>-91730.486087544647</v>
      </c>
      <c r="BL30" s="40">
        <f t="shared" ref="BL30" si="839">BL28+BL29+BK30</f>
        <v>-91336.721666107303</v>
      </c>
      <c r="BM30" s="40">
        <f t="shared" ref="BM30" si="840">BM28+BM29+BL30</f>
        <v>-90942.95724466996</v>
      </c>
      <c r="BN30" s="40">
        <f t="shared" ref="BN30" si="841">BN28+BN29+BM30</f>
        <v>-90549.192823232617</v>
      </c>
      <c r="BO30" s="40">
        <f t="shared" ref="BO30" si="842">BO28+BO29+BN30</f>
        <v>-90155.428401795274</v>
      </c>
      <c r="BP30" s="40">
        <f t="shared" ref="BP30" si="843">BP28+BP29+BO30</f>
        <v>-89761.663980357931</v>
      </c>
      <c r="BQ30" s="40">
        <f t="shared" ref="BQ30" si="844">BQ28+BQ29+BP30</f>
        <v>-89075.97593542753</v>
      </c>
      <c r="BR30" s="40">
        <f t="shared" ref="BR30" si="845">BR28+BR29+BQ30</f>
        <v>-88390.287890497129</v>
      </c>
      <c r="BS30" s="40">
        <f t="shared" ref="BS30" si="846">BS28+BS29+BR30</f>
        <v>-87704.599845566729</v>
      </c>
      <c r="BT30" s="40">
        <f t="shared" ref="BT30" si="847">BT28+BT29+BS30</f>
        <v>-87018.911800636328</v>
      </c>
      <c r="BU30" s="40">
        <f t="shared" ref="BU30" si="848">BU28+BU29+BT30</f>
        <v>-86333.223755705927</v>
      </c>
      <c r="BV30" s="40">
        <f t="shared" ref="BV30" si="849">BV28+BV29+BU30</f>
        <v>-85647.535710775526</v>
      </c>
      <c r="BW30" s="40">
        <f t="shared" ref="BW30" si="850">BW28+BW29+BV30</f>
        <v>-84961.847665845125</v>
      </c>
      <c r="BX30" s="40">
        <f t="shared" ref="BX30" si="851">BX28+BX29+BW30</f>
        <v>-84276.159620914725</v>
      </c>
      <c r="BY30" s="40">
        <f t="shared" ref="BY30" si="852">BY28+BY29+BX30</f>
        <v>-83590.471575984324</v>
      </c>
      <c r="BZ30" s="40">
        <f t="shared" ref="BZ30" si="853">BZ28+BZ29+BY30</f>
        <v>-82904.783531053923</v>
      </c>
      <c r="CA30" s="40">
        <f t="shared" ref="CA30" si="854">CA28+CA29+BZ30</f>
        <v>-82219.095486123522</v>
      </c>
      <c r="CB30" s="40">
        <f t="shared" ref="CB30" si="855">CB28+CB29+CA30</f>
        <v>-81533.407441193121</v>
      </c>
      <c r="CC30" s="40">
        <f t="shared" ref="CC30" si="856">CC28+CC29+CB30</f>
        <v>-80546.636400916745</v>
      </c>
      <c r="CD30" s="40">
        <f t="shared" ref="CD30" si="857">CD28+CD29+CC30</f>
        <v>-79559.865360640368</v>
      </c>
      <c r="CE30" s="40">
        <f t="shared" ref="CE30" si="858">CE28+CE29+CD30</f>
        <v>-78573.094320363991</v>
      </c>
      <c r="CF30" s="40">
        <f t="shared" ref="CF30" si="859">CF28+CF29+CE30</f>
        <v>-77586.323280087614</v>
      </c>
      <c r="CG30" s="40">
        <f t="shared" ref="CG30" si="860">CG28+CG29+CF30</f>
        <v>-76599.552239811237</v>
      </c>
      <c r="CH30" s="40">
        <f t="shared" ref="CH30" si="861">CH28+CH29+CG30</f>
        <v>-75612.78119953486</v>
      </c>
      <c r="CI30" s="40">
        <f t="shared" ref="CI30" si="862">CI28+CI29+CH30</f>
        <v>-74626.010159258483</v>
      </c>
      <c r="CJ30" s="40">
        <f t="shared" ref="CJ30" si="863">CJ28+CJ29+CI30</f>
        <v>-73639.239118982106</v>
      </c>
      <c r="CK30" s="40">
        <f t="shared" ref="CK30" si="864">CK28+CK29+CJ30</f>
        <v>-72652.46807870573</v>
      </c>
      <c r="CL30" s="40">
        <f t="shared" ref="CL30" si="865">CL28+CL29+CK30</f>
        <v>-71665.697038429353</v>
      </c>
      <c r="CM30" s="40">
        <f t="shared" ref="CM30" si="866">CM28+CM29+CL30</f>
        <v>-70678.925998152976</v>
      </c>
      <c r="CN30" s="40">
        <f t="shared" ref="CN30" si="867">CN28+CN29+CM30</f>
        <v>-69692.154957876599</v>
      </c>
      <c r="CO30" s="40">
        <f t="shared" ref="CO30" si="868">CO28+CO29+CN30</f>
        <v>-68394.858195976791</v>
      </c>
      <c r="CP30" s="40">
        <f t="shared" ref="CP30" si="869">CP28+CP29+CO30</f>
        <v>-67097.561434076983</v>
      </c>
      <c r="CQ30" s="40">
        <f t="shared" ref="CQ30" si="870">CQ28+CQ29+CP30</f>
        <v>-65800.264672177174</v>
      </c>
      <c r="CR30" s="40">
        <f t="shared" ref="CR30" si="871">CR28+CR29+CQ30</f>
        <v>-64502.967910277373</v>
      </c>
      <c r="CS30" s="40">
        <f t="shared" ref="CS30" si="872">CS28+CS29+CR30</f>
        <v>-63205.671148377573</v>
      </c>
      <c r="CT30" s="40">
        <f t="shared" ref="CT30" si="873">CT28+CT29+CS30</f>
        <v>-61908.374386477772</v>
      </c>
      <c r="CU30" s="40">
        <f t="shared" ref="CU30" si="874">CU28+CU29+CT30</f>
        <v>-60611.077624577971</v>
      </c>
      <c r="CV30" s="40">
        <f t="shared" ref="CV30" si="875">CV28+CV29+CU30</f>
        <v>-59313.78086267817</v>
      </c>
      <c r="CW30" s="40">
        <f t="shared" ref="CW30" si="876">CW28+CW29+CV30</f>
        <v>-58016.484100778369</v>
      </c>
      <c r="CX30" s="40">
        <f t="shared" ref="CX30" si="877">CX28+CX29+CW30</f>
        <v>-56719.187338878568</v>
      </c>
      <c r="CY30" s="40">
        <f t="shared" ref="CY30" si="878">CY28+CY29+CX30</f>
        <v>-55421.890576978767</v>
      </c>
      <c r="CZ30" s="40">
        <f t="shared" ref="CZ30" si="879">CZ28+CZ29+CY30</f>
        <v>-54124.593815078966</v>
      </c>
      <c r="DA30" s="40">
        <f t="shared" ref="DA30" si="880">DA28+DA29+CZ30</f>
        <v>-52507.036565255512</v>
      </c>
      <c r="DB30" s="40">
        <f t="shared" ref="DB30" si="881">DB28+DB29+DA30</f>
        <v>-50889.479315432058</v>
      </c>
      <c r="DC30" s="40">
        <f t="shared" ref="DC30" si="882">DC28+DC29+DB30</f>
        <v>-49271.922065608604</v>
      </c>
      <c r="DD30" s="40">
        <f t="shared" ref="DD30" si="883">DD28+DD29+DC30</f>
        <v>-47654.364815785149</v>
      </c>
      <c r="DE30" s="40">
        <f t="shared" ref="DE30" si="884">DE28+DE29+DD30</f>
        <v>-46036.807565961695</v>
      </c>
      <c r="DF30" s="40">
        <f t="shared" ref="DF30" si="885">DF28+DF29+DE30</f>
        <v>-44419.250316138241</v>
      </c>
      <c r="DG30" s="40">
        <f t="shared" ref="DG30" si="886">DG28+DG29+DF30</f>
        <v>-42801.693066314787</v>
      </c>
      <c r="DH30" s="40">
        <f t="shared" ref="DH30" si="887">DH28+DH29+DG30</f>
        <v>-41184.135816491333</v>
      </c>
      <c r="DI30" s="40">
        <f t="shared" ref="DI30" si="888">DI28+DI29+DH30</f>
        <v>-39566.578566667878</v>
      </c>
      <c r="DJ30" s="40">
        <f t="shared" ref="DJ30" si="889">DJ28+DJ29+DI30</f>
        <v>-37949.021316844424</v>
      </c>
      <c r="DK30" s="40">
        <f t="shared" ref="DK30" si="890">DK28+DK29+DJ30</f>
        <v>-36331.46406702097</v>
      </c>
      <c r="DL30" s="40">
        <f t="shared" ref="DL30" si="891">DL28+DL29+DK30</f>
        <v>-34713.906817197516</v>
      </c>
      <c r="DM30" s="40">
        <f t="shared" ref="DM30" si="892">DM28+DM29+DL30</f>
        <v>-32766.053322924399</v>
      </c>
      <c r="DN30" s="40">
        <f t="shared" ref="DN30" si="893">DN28+DN29+DM30</f>
        <v>-30818.199828651283</v>
      </c>
      <c r="DO30" s="40">
        <f t="shared" ref="DO30" si="894">DO28+DO29+DN30</f>
        <v>-28870.346334378166</v>
      </c>
      <c r="DP30" s="40">
        <f t="shared" ref="DP30" si="895">DP28+DP29+DO30</f>
        <v>-26922.492840105049</v>
      </c>
      <c r="DQ30" s="40">
        <f t="shared" ref="DQ30" si="896">DQ28+DQ29+DP30</f>
        <v>-24974.639345831933</v>
      </c>
      <c r="DR30" s="40">
        <f t="shared" ref="DR30" si="897">DR28+DR29+DQ30</f>
        <v>-23026.785851558816</v>
      </c>
      <c r="DS30" s="40">
        <f t="shared" ref="DS30" si="898">DS28+DS29+DR30</f>
        <v>-21078.932357285699</v>
      </c>
      <c r="DT30" s="40">
        <f t="shared" ref="DT30" si="899">DT28+DT29+DS30</f>
        <v>-19131.078863012583</v>
      </c>
      <c r="DU30" s="40">
        <f t="shared" ref="DU30" si="900">DU28+DU29+DT30</f>
        <v>-17183.225368739466</v>
      </c>
      <c r="DV30" s="40">
        <f t="shared" ref="DV30" si="901">DV28+DV29+DU30</f>
        <v>-15235.371874466349</v>
      </c>
      <c r="DW30" s="40">
        <f t="shared" ref="DW30" si="902">DW28+DW29+DV30</f>
        <v>-13287.518380193233</v>
      </c>
      <c r="DX30" s="40">
        <f t="shared" ref="DX30" si="903">DX28+DX29+DW30</f>
        <v>-11339.664885920114</v>
      </c>
      <c r="DY30" s="40">
        <f t="shared" ref="DY30" si="904">DY28+DY29+DX30</f>
        <v>-9051.1691776103999</v>
      </c>
      <c r="DZ30" s="40">
        <f t="shared" ref="DZ30" si="905">DZ28+DZ29+DY30</f>
        <v>-6762.6734693006856</v>
      </c>
      <c r="EA30" s="40">
        <f t="shared" ref="EA30" si="906">EA28+EA29+DZ30</f>
        <v>-4474.1777609909714</v>
      </c>
      <c r="EB30" s="40">
        <f t="shared" ref="EB30" si="907">EB28+EB29+EA30</f>
        <v>-2185.6820526812567</v>
      </c>
      <c r="EC30" s="40">
        <f t="shared" ref="EC30" si="908">EC28+EC29+EB30</f>
        <v>102.81365562845804</v>
      </c>
      <c r="ED30" s="40">
        <f t="shared" ref="ED30" si="909">ED28+ED29+EC30</f>
        <v>2391.3093639381736</v>
      </c>
      <c r="EE30" s="40">
        <f t="shared" ref="EE30" si="910">EE28+EE29+ED30</f>
        <v>4679.8050722478893</v>
      </c>
      <c r="EF30" s="40">
        <f t="shared" ref="EF30" si="911">EF28+EF29+EE30</f>
        <v>6968.3007805576044</v>
      </c>
      <c r="EG30" s="40">
        <f t="shared" ref="EG30" si="912">EG28+EG29+EF30</f>
        <v>9256.7964888673196</v>
      </c>
      <c r="EH30" s="40">
        <f t="shared" ref="EH30" si="913">EH28+EH29+EG30</f>
        <v>11545.292197177034</v>
      </c>
      <c r="EI30" s="40">
        <f t="shared" ref="EI30" si="914">EI28+EI29+EH30</f>
        <v>13833.787905486748</v>
      </c>
      <c r="EJ30" s="40">
        <f t="shared" ref="EJ30" si="915">EJ28+EJ29+EI30</f>
        <v>16122.283613796462</v>
      </c>
      <c r="EK30" s="40">
        <f t="shared" ref="EK30" si="916">EK28+EK29+EJ30</f>
        <v>18762.087222527924</v>
      </c>
      <c r="EL30" s="40">
        <f t="shared" ref="EL30" si="917">EL28+EL29+EK30</f>
        <v>21401.890831259385</v>
      </c>
      <c r="EM30" s="40">
        <f t="shared" ref="EM30" si="918">EM28+EM29+EL30</f>
        <v>24041.694439990846</v>
      </c>
      <c r="EN30" s="40">
        <f t="shared" ref="EN30" si="919">EN28+EN29+EM30</f>
        <v>26681.498048722307</v>
      </c>
      <c r="EO30" s="40">
        <f t="shared" ref="EO30" si="920">EO28+EO29+EN30</f>
        <v>29321.301657453769</v>
      </c>
      <c r="EP30" s="40">
        <f t="shared" ref="EP30" si="921">EP28+EP29+EO30</f>
        <v>31961.10526618523</v>
      </c>
      <c r="EQ30" s="40">
        <f t="shared" ref="EQ30" si="922">EQ28+EQ29+EP30</f>
        <v>34600.908874916691</v>
      </c>
      <c r="ER30" s="40">
        <f t="shared" ref="ER30" si="923">ER28+ER29+EQ30</f>
        <v>37240.712483648153</v>
      </c>
      <c r="ES30" s="40">
        <f t="shared" ref="ES30" si="924">ES28+ES29+ER30</f>
        <v>39880.516092379614</v>
      </c>
      <c r="ET30" s="40">
        <f t="shared" ref="ET30" si="925">ET28+ET29+ES30</f>
        <v>42520.319701111075</v>
      </c>
      <c r="EU30" s="40">
        <f t="shared" ref="EU30" si="926">EU28+EU29+ET30</f>
        <v>45160.123309842536</v>
      </c>
      <c r="EV30" s="40">
        <f t="shared" ref="EV30" si="927">EV28+EV29+EU30</f>
        <v>47799.926918573998</v>
      </c>
      <c r="EW30" s="40">
        <f t="shared" ref="EW30" si="928">EW28+EW29+EV30</f>
        <v>50802.033624070362</v>
      </c>
      <c r="EX30" s="40">
        <f t="shared" ref="EX30" si="929">EX28+EX29+EW30</f>
        <v>53804.140329566726</v>
      </c>
      <c r="EY30" s="40">
        <f t="shared" ref="EY30" si="930">EY28+EY29+EX30</f>
        <v>56806.24703506309</v>
      </c>
      <c r="EZ30" s="40">
        <f t="shared" ref="EZ30" si="931">EZ28+EZ29+EY30</f>
        <v>59808.353740559454</v>
      </c>
      <c r="FA30" s="40">
        <f t="shared" ref="FA30" si="932">FA28+FA29+EZ30</f>
        <v>62810.460446055818</v>
      </c>
      <c r="FB30" s="40">
        <f t="shared" ref="FB30" si="933">FB28+FB29+FA30</f>
        <v>65812.567151552183</v>
      </c>
      <c r="FC30" s="40">
        <f t="shared" ref="FC30" si="934">FC28+FC29+FB30</f>
        <v>68814.673857048547</v>
      </c>
      <c r="FD30" s="40">
        <f t="shared" ref="FD30" si="935">FD28+FD29+FC30</f>
        <v>71816.780562544911</v>
      </c>
      <c r="FE30" s="40">
        <f t="shared" ref="FE30" si="936">FE28+FE29+FD30</f>
        <v>74818.887268041275</v>
      </c>
      <c r="FF30" s="40">
        <f t="shared" ref="FF30" si="937">FF28+FF29+FE30</f>
        <v>77820.993973537639</v>
      </c>
      <c r="FG30" s="40">
        <f t="shared" ref="FG30" si="938">FG28+FG29+FF30</f>
        <v>80823.100679034003</v>
      </c>
      <c r="FH30" s="40">
        <f t="shared" ref="FH30" si="939">FH28+FH29+FG30</f>
        <v>83825.207384530368</v>
      </c>
      <c r="FI30" s="40">
        <f t="shared" ref="FI30" si="940">FI28+FI29+FH30</f>
        <v>87200.951984453073</v>
      </c>
      <c r="FJ30" s="40">
        <f t="shared" ref="FJ30" si="941">FJ28+FJ29+FI30</f>
        <v>90576.696584375764</v>
      </c>
      <c r="FK30" s="40">
        <f t="shared" ref="FK30" si="942">FK28+FK29+FJ30</f>
        <v>93952.441184298455</v>
      </c>
      <c r="FL30" s="40">
        <f t="shared" ref="FL30" si="943">FL28+FL29+FK30</f>
        <v>97328.185784221147</v>
      </c>
      <c r="FM30" s="40">
        <f t="shared" ref="FM30" si="944">FM28+FM29+FL30</f>
        <v>100703.93038414384</v>
      </c>
      <c r="FN30" s="40">
        <f t="shared" ref="FN30" si="945">FN28+FN29+FM30</f>
        <v>104079.67498406653</v>
      </c>
      <c r="FO30" s="40">
        <f t="shared" ref="FO30" si="946">FO28+FO29+FN30</f>
        <v>107455.41958398922</v>
      </c>
      <c r="FP30" s="40">
        <f t="shared" ref="FP30" si="947">FP28+FP29+FO30</f>
        <v>110831.16418391191</v>
      </c>
      <c r="FQ30" s="40">
        <f t="shared" ref="FQ30" si="948">FQ28+FQ29+FP30</f>
        <v>114206.9087838346</v>
      </c>
      <c r="FR30" s="40">
        <f t="shared" ref="FR30" si="949">FR28+FR29+FQ30</f>
        <v>117582.65338375729</v>
      </c>
      <c r="FS30" s="40">
        <f t="shared" ref="FS30" si="950">FS28+FS29+FR30</f>
        <v>120958.39798367998</v>
      </c>
      <c r="FT30" s="40">
        <f t="shared" ref="FT30" si="951">FT28+FT29+FS30</f>
        <v>124334.14258360268</v>
      </c>
      <c r="FU30" s="40">
        <f t="shared" ref="FU30" si="952">FU28+FU29+FT30</f>
        <v>128095.20987553554</v>
      </c>
      <c r="FV30" s="40">
        <f t="shared" ref="FV30" si="953">FV28+FV29+FU30</f>
        <v>131856.27716746842</v>
      </c>
      <c r="FW30" s="40">
        <f t="shared" ref="FW30" si="954">FW28+FW29+FV30</f>
        <v>135617.3444594013</v>
      </c>
      <c r="FX30" s="40">
        <f t="shared" ref="FX30" si="955">FX28+FX29+FW30</f>
        <v>139378.41175133418</v>
      </c>
      <c r="FY30" s="40">
        <f t="shared" ref="FY30" si="956">FY28+FY29+FX30</f>
        <v>143139.47904326706</v>
      </c>
      <c r="FZ30" s="40">
        <f t="shared" ref="FZ30" si="957">FZ28+FZ29+FY30</f>
        <v>146900.54633519994</v>
      </c>
      <c r="GA30" s="40">
        <f t="shared" ref="GA30" si="958">GA28+GA29+FZ30</f>
        <v>150661.61362713281</v>
      </c>
      <c r="GB30" s="40">
        <f t="shared" ref="GB30" si="959">GB28+GB29+GA30</f>
        <v>154422.68091906569</v>
      </c>
      <c r="GC30" s="40">
        <f t="shared" ref="GC30" si="960">GC28+GC29+GB30</f>
        <v>154422.68091906569</v>
      </c>
      <c r="GD30" s="40">
        <f t="shared" ref="GD30" si="961">GD28+GD29+GC30</f>
        <v>154422.68091906569</v>
      </c>
      <c r="GE30" s="40">
        <f t="shared" ref="GE30" si="962">GE28+GE29+GD30</f>
        <v>154422.68091906569</v>
      </c>
      <c r="GF30" s="40">
        <f t="shared" ref="GF30" ca="1" si="963">GF28+GF29+GE30</f>
        <v>2116534.5599999987</v>
      </c>
      <c r="GG30" s="40">
        <f t="shared" ref="GG30" ca="1" si="964">GG28+GG29+GF30</f>
        <v>2116534.5599999987</v>
      </c>
      <c r="GH30" s="40">
        <f t="shared" ref="GH30" ca="1" si="965">GH28+GH29+GG30</f>
        <v>2116534.5599999987</v>
      </c>
      <c r="GI30" s="40">
        <f t="shared" ref="GI30" ca="1" si="966">GI28+GI29+GH30</f>
        <v>2116534.5599999987</v>
      </c>
      <c r="GJ30" s="40">
        <f t="shared" ref="GJ30" ca="1" si="967">GJ28+GJ29+GI30</f>
        <v>2116534.5599999987</v>
      </c>
      <c r="GK30" s="40">
        <f t="shared" ref="GK30" ca="1" si="968">GK28+GK29+GJ30</f>
        <v>2116534.5599999987</v>
      </c>
      <c r="GL30" s="40">
        <f t="shared" ref="GL30" ca="1" si="969">GL28+GL29+GK30</f>
        <v>2116534.5599999987</v>
      </c>
      <c r="GM30" s="40">
        <f t="shared" ref="GM30" ca="1" si="970">GM28+GM29+GL30</f>
        <v>2116534.5599999987</v>
      </c>
      <c r="GN30" s="40">
        <f t="shared" ref="GN30" ca="1" si="971">GN28+GN29+GM30</f>
        <v>2116534.5599999987</v>
      </c>
      <c r="GO30" s="40">
        <f t="shared" ref="GO30" ca="1" si="972">GO28+GO29+GN30</f>
        <v>2116534.5599999987</v>
      </c>
      <c r="GP30" s="40">
        <f t="shared" ref="GP30" ca="1" si="973">GP28+GP29+GO30</f>
        <v>2116534.5599999987</v>
      </c>
      <c r="GQ30" s="40">
        <f t="shared" ref="GQ30" ca="1" si="974">GQ28+GQ29+GP30</f>
        <v>2116534.5599999987</v>
      </c>
      <c r="GR30" s="40">
        <f t="shared" ref="GR30" ca="1" si="975">GR28+GR29+GQ30</f>
        <v>2116534.5599999987</v>
      </c>
      <c r="GS30" s="40">
        <f t="shared" ref="GS30" ca="1" si="976">GS28+GS29+GR30</f>
        <v>2116534.5599999987</v>
      </c>
      <c r="GT30" s="40">
        <f t="shared" ref="GT30" ca="1" si="977">GT28+GT29+GS30</f>
        <v>2116534.5599999987</v>
      </c>
      <c r="GU30" s="40">
        <f t="shared" ref="GU30" ca="1" si="978">GU28+GU29+GT30</f>
        <v>2116534.5599999987</v>
      </c>
      <c r="GV30" s="40">
        <f t="shared" ref="GV30" ca="1" si="979">GV28+GV29+GU30</f>
        <v>2116534.5599999987</v>
      </c>
      <c r="GW30" s="40">
        <f t="shared" ref="GW30" ca="1" si="980">GW28+GW29+GV30</f>
        <v>2116534.5599999987</v>
      </c>
      <c r="GX30" s="40">
        <f t="shared" ref="GX30" ca="1" si="981">GX28+GX29+GW30</f>
        <v>2116534.5599999987</v>
      </c>
      <c r="GY30" s="40">
        <f t="shared" ref="GY30" ca="1" si="982">GY28+GY29+GX30</f>
        <v>2116534.5599999987</v>
      </c>
      <c r="GZ30" s="40">
        <f t="shared" ref="GZ30" ca="1" si="983">GZ28+GZ29+GY30</f>
        <v>2116534.5599999987</v>
      </c>
      <c r="HA30" s="40">
        <f t="shared" ref="HA30" ca="1" si="984">HA28+HA29+GZ30</f>
        <v>2116534.5599999987</v>
      </c>
      <c r="HB30" s="40">
        <f t="shared" ref="HB30" ca="1" si="985">HB28+HB29+HA30</f>
        <v>2116534.5599999987</v>
      </c>
      <c r="HC30" s="40">
        <f t="shared" ref="HC30" ca="1" si="986">HC28+HC29+HB30</f>
        <v>2116534.5599999987</v>
      </c>
      <c r="HD30" s="40">
        <f t="shared" ref="HD30" ca="1" si="987">HD28+HD29+HC30</f>
        <v>2116534.5599999987</v>
      </c>
      <c r="HE30" s="40">
        <f t="shared" ref="HE30" ca="1" si="988">HE28+HE29+HD30</f>
        <v>2116534.5599999987</v>
      </c>
      <c r="HF30" s="40">
        <f t="shared" ref="HF30" ca="1" si="989">HF28+HF29+HE30</f>
        <v>2116534.5599999987</v>
      </c>
      <c r="HG30" s="40">
        <f t="shared" ref="HG30" ca="1" si="990">HG28+HG29+HF30</f>
        <v>2116534.5599999987</v>
      </c>
      <c r="HH30" s="40">
        <f t="shared" ref="HH30" ca="1" si="991">HH28+HH29+HG30</f>
        <v>2116534.5599999987</v>
      </c>
      <c r="HI30" s="40">
        <f t="shared" ref="HI30" ca="1" si="992">HI28+HI29+HH30</f>
        <v>2116534.5599999987</v>
      </c>
      <c r="HJ30" s="40">
        <f t="shared" ref="HJ30" ca="1" si="993">HJ28+HJ29+HI30</f>
        <v>2116534.5599999987</v>
      </c>
      <c r="HK30" s="40">
        <f t="shared" ref="HK30" ca="1" si="994">HK28+HK29+HJ30</f>
        <v>2116534.5599999987</v>
      </c>
      <c r="HL30" s="40">
        <f t="shared" ref="HL30" ca="1" si="995">HL28+HL29+HK30</f>
        <v>2116534.5599999987</v>
      </c>
      <c r="HM30" s="40">
        <f t="shared" ref="HM30" ca="1" si="996">HM28+HM29+HL30</f>
        <v>2116534.5599999987</v>
      </c>
      <c r="HN30" s="40">
        <f t="shared" ref="HN30" ca="1" si="997">HN28+HN29+HM30</f>
        <v>2116534.5599999987</v>
      </c>
      <c r="HO30" s="40">
        <f t="shared" ref="HO30" ca="1" si="998">HO28+HO29+HN30</f>
        <v>2116534.5599999987</v>
      </c>
      <c r="HP30" s="40">
        <f t="shared" ref="HP30" ca="1" si="999">HP28+HP29+HO30</f>
        <v>2116534.5599999987</v>
      </c>
      <c r="HQ30" s="40">
        <f t="shared" ref="HQ30" ca="1" si="1000">HQ28+HQ29+HP30</f>
        <v>2116534.5599999987</v>
      </c>
      <c r="HR30" s="40">
        <f t="shared" ref="HR30" ca="1" si="1001">HR28+HR29+HQ30</f>
        <v>2116534.5599999987</v>
      </c>
      <c r="HS30" s="40">
        <f t="shared" ref="HS30" ca="1" si="1002">HS28+HS29+HR30</f>
        <v>2116534.5599999987</v>
      </c>
      <c r="HT30" s="40">
        <f t="shared" ref="HT30" ca="1" si="1003">HT28+HT29+HS30</f>
        <v>2116534.5599999987</v>
      </c>
      <c r="HU30" s="40">
        <f t="shared" ref="HU30" ca="1" si="1004">HU28+HU29+HT30</f>
        <v>2116534.5599999987</v>
      </c>
      <c r="HV30" s="40">
        <f t="shared" ref="HV30" ca="1" si="1005">HV28+HV29+HU30</f>
        <v>2116534.5599999987</v>
      </c>
      <c r="HW30" s="40">
        <f t="shared" ref="HW30" ca="1" si="1006">HW28+HW29+HV30</f>
        <v>2116534.5599999987</v>
      </c>
      <c r="HX30" s="40">
        <f t="shared" ref="HX30" ca="1" si="1007">HX28+HX29+HW30</f>
        <v>2116534.5599999987</v>
      </c>
      <c r="HY30" s="40">
        <f t="shared" ref="HY30" ca="1" si="1008">HY28+HY29+HX30</f>
        <v>2116534.5599999987</v>
      </c>
      <c r="HZ30" s="40">
        <f t="shared" ref="HZ30" ca="1" si="1009">HZ28+HZ29+HY30</f>
        <v>2116534.5599999987</v>
      </c>
      <c r="IA30" s="40">
        <f t="shared" ref="IA30" ca="1" si="1010">IA28+IA29+HZ30</f>
        <v>2116534.5599999987</v>
      </c>
      <c r="IB30" s="40">
        <f t="shared" ref="IB30" ca="1" si="1011">IB28+IB29+IA30</f>
        <v>2116534.5599999987</v>
      </c>
      <c r="IC30" s="40">
        <f t="shared" ref="IC30" ca="1" si="1012">IC28+IC29+IB30</f>
        <v>2116534.5599999987</v>
      </c>
      <c r="ID30" s="40">
        <f t="shared" ref="ID30" ca="1" si="1013">ID28+ID29+IC30</f>
        <v>2116534.5599999987</v>
      </c>
      <c r="IE30" s="40">
        <f t="shared" ref="IE30" ca="1" si="1014">IE28+IE29+ID30</f>
        <v>2116534.5599999987</v>
      </c>
      <c r="IF30" s="40">
        <f t="shared" ref="IF30" ca="1" si="1015">IF28+IF29+IE30</f>
        <v>2116534.5599999987</v>
      </c>
      <c r="IG30" s="40">
        <f t="shared" ref="IG30" ca="1" si="1016">IG28+IG29+IF30</f>
        <v>2116534.5599999987</v>
      </c>
      <c r="IH30" s="40">
        <f t="shared" ref="IH30" ca="1" si="1017">IH28+IH29+IG30</f>
        <v>2116534.5599999987</v>
      </c>
      <c r="II30" s="40">
        <f t="shared" ref="II30" ca="1" si="1018">II28+II29+IH30</f>
        <v>2116534.5599999987</v>
      </c>
      <c r="IJ30" s="40">
        <f t="shared" ref="IJ30" ca="1" si="1019">IJ28+IJ29+II30</f>
        <v>2116534.5599999987</v>
      </c>
      <c r="IK30" s="40">
        <f t="shared" ref="IK30" ca="1" si="1020">IK28+IK29+IJ30</f>
        <v>2116534.5599999987</v>
      </c>
      <c r="IL30" s="40">
        <f t="shared" ref="IL30" ca="1" si="1021">IL28+IL29+IK30</f>
        <v>2116534.5599999987</v>
      </c>
      <c r="IM30" s="40">
        <f t="shared" ref="IM30" ca="1" si="1022">IM28+IM29+IL30</f>
        <v>2116534.5599999987</v>
      </c>
      <c r="IN30" s="40">
        <f t="shared" ref="IN30" ca="1" si="1023">IN28+IN29+IM30</f>
        <v>2116534.5599999987</v>
      </c>
      <c r="IO30" s="40">
        <f t="shared" ref="IO30" ca="1" si="1024">IO28+IO29+IN30</f>
        <v>2116534.5599999987</v>
      </c>
      <c r="IP30" s="40">
        <f t="shared" ref="IP30" ca="1" si="1025">IP28+IP29+IO30</f>
        <v>2116534.5599999987</v>
      </c>
      <c r="IQ30" s="40">
        <f t="shared" ref="IQ30" ca="1" si="1026">IQ28+IQ29+IP30</f>
        <v>2116534.5599999987</v>
      </c>
      <c r="IR30" s="40">
        <f t="shared" ref="IR30" ca="1" si="1027">IR28+IR29+IQ30</f>
        <v>2116534.5599999987</v>
      </c>
      <c r="IS30" s="40">
        <f t="shared" ref="IS30" ca="1" si="1028">IS28+IS29+IR30</f>
        <v>2116534.5599999987</v>
      </c>
      <c r="IT30" s="40">
        <f t="shared" ref="IT30" ca="1" si="1029">IT28+IT29+IS30</f>
        <v>2116534.5599999987</v>
      </c>
      <c r="IU30" s="40">
        <f t="shared" ref="IU30" ca="1" si="1030">IU28+IU29+IT30</f>
        <v>2116534.5599999987</v>
      </c>
      <c r="IV30" s="40">
        <f t="shared" ref="IV30" ca="1" si="1031">IV28+IV29+IU30</f>
        <v>2116534.5599999987</v>
      </c>
      <c r="IW30" s="40">
        <f t="shared" ref="IW30" ca="1" si="1032">IW28+IW29+IV30</f>
        <v>2116534.5599999987</v>
      </c>
      <c r="IX30" s="40">
        <f t="shared" ref="IX30" ca="1" si="1033">IX28+IX29+IW30</f>
        <v>2116534.5599999987</v>
      </c>
      <c r="IY30" s="40">
        <f t="shared" ref="IY30" ca="1" si="1034">IY28+IY29+IX30</f>
        <v>2116534.5599999987</v>
      </c>
      <c r="IZ30" s="40">
        <f t="shared" ref="IZ30" ca="1" si="1035">IZ28+IZ29+IY30</f>
        <v>2116534.5599999987</v>
      </c>
      <c r="JA30" s="40">
        <f t="shared" ref="JA30" ca="1" si="1036">JA28+JA29+IZ30</f>
        <v>2116534.5599999987</v>
      </c>
      <c r="JB30" s="40">
        <f t="shared" ref="JB30" ca="1" si="1037">JB28+JB29+JA30</f>
        <v>2116534.5599999987</v>
      </c>
      <c r="JC30" s="40">
        <f t="shared" ref="JC30" ca="1" si="1038">JC28+JC29+JB30</f>
        <v>2116534.5599999987</v>
      </c>
      <c r="JD30" s="40">
        <f t="shared" ref="JD30" ca="1" si="1039">JD28+JD29+JC30</f>
        <v>2116534.5599999987</v>
      </c>
      <c r="JE30" s="40">
        <f t="shared" ref="JE30" ca="1" si="1040">JE28+JE29+JD30</f>
        <v>2116534.5599999987</v>
      </c>
      <c r="JF30" s="40">
        <f t="shared" ref="JF30" ca="1" si="1041">JF28+JF29+JE30</f>
        <v>2116534.5599999987</v>
      </c>
      <c r="JG30" s="40">
        <f t="shared" ref="JG30" ca="1" si="1042">JG28+JG29+JF30</f>
        <v>2116534.5599999987</v>
      </c>
      <c r="JH30" s="40">
        <f t="shared" ref="JH30" ca="1" si="1043">JH28+JH29+JG30</f>
        <v>2116534.5599999987</v>
      </c>
      <c r="JI30" s="40">
        <f t="shared" ref="JI30" ca="1" si="1044">JI28+JI29+JH30</f>
        <v>2116534.5599999987</v>
      </c>
      <c r="JJ30" s="40">
        <f t="shared" ref="JJ30" ca="1" si="1045">JJ28+JJ29+JI30</f>
        <v>2116534.5599999987</v>
      </c>
      <c r="JK30" s="40">
        <f t="shared" ref="JK30" ca="1" si="1046">JK28+JK29+JJ30</f>
        <v>2116534.5599999987</v>
      </c>
      <c r="JL30" s="40">
        <f t="shared" ref="JL30" ca="1" si="1047">JL28+JL29+JK30</f>
        <v>2116534.5599999987</v>
      </c>
      <c r="JM30" s="40">
        <f t="shared" ref="JM30" ca="1" si="1048">JM28+JM29+JL30</f>
        <v>2116534.5599999987</v>
      </c>
      <c r="JN30" s="40">
        <f t="shared" ref="JN30" ca="1" si="1049">JN28+JN29+JM30</f>
        <v>2116534.5599999987</v>
      </c>
      <c r="JO30" s="40">
        <f t="shared" ref="JO30" ca="1" si="1050">JO28+JO29+JN30</f>
        <v>2116534.5599999987</v>
      </c>
      <c r="JP30" s="40">
        <f t="shared" ref="JP30" ca="1" si="1051">JP28+JP29+JO30</f>
        <v>2116534.5599999987</v>
      </c>
      <c r="JQ30" s="40">
        <f t="shared" ref="JQ30" ca="1" si="1052">JQ28+JQ29+JP30</f>
        <v>2116534.5599999987</v>
      </c>
      <c r="JR30" s="40">
        <f t="shared" ref="JR30" ca="1" si="1053">JR28+JR29+JQ30</f>
        <v>2116534.5599999987</v>
      </c>
      <c r="JS30" s="40">
        <f t="shared" ref="JS30" ca="1" si="1054">JS28+JS29+JR30</f>
        <v>2116534.5599999987</v>
      </c>
      <c r="JT30" s="40">
        <f t="shared" ref="JT30" ca="1" si="1055">JT28+JT29+JS30</f>
        <v>2116534.5599999987</v>
      </c>
      <c r="JU30" s="40">
        <f t="shared" ref="JU30" ca="1" si="1056">JU28+JU29+JT30</f>
        <v>2116534.5599999987</v>
      </c>
      <c r="JV30" s="40">
        <f t="shared" ref="JV30" ca="1" si="1057">JV28+JV29+JU30</f>
        <v>2116534.5599999987</v>
      </c>
      <c r="JW30" s="40">
        <f t="shared" ref="JW30" ca="1" si="1058">JW28+JW29+JV30</f>
        <v>2116534.5599999987</v>
      </c>
      <c r="JX30" s="40">
        <f t="shared" ref="JX30" ca="1" si="1059">JX28+JX29+JW30</f>
        <v>2116534.5599999987</v>
      </c>
      <c r="JY30" s="40">
        <f t="shared" ref="JY30" ca="1" si="1060">JY28+JY29+JX30</f>
        <v>2116534.5599999987</v>
      </c>
      <c r="JZ30" s="40">
        <f t="shared" ref="JZ30" ca="1" si="1061">JZ28+JZ29+JY30</f>
        <v>2116534.5599999987</v>
      </c>
      <c r="KA30" s="40">
        <f t="shared" ref="KA30" ca="1" si="1062">KA28+KA29+JZ30</f>
        <v>2116534.5599999987</v>
      </c>
      <c r="KB30" s="40">
        <f t="shared" ref="KB30" ca="1" si="1063">KB28+KB29+KA30</f>
        <v>2116534.5599999987</v>
      </c>
      <c r="KC30" s="40">
        <f t="shared" ref="KC30" ca="1" si="1064">KC28+KC29+KB30</f>
        <v>2116534.5599999987</v>
      </c>
      <c r="KD30" s="40">
        <f t="shared" ref="KD30" ca="1" si="1065">KD28+KD29+KC30</f>
        <v>2116534.5599999987</v>
      </c>
      <c r="KE30" s="40">
        <f t="shared" ref="KE30" ca="1" si="1066">KE28+KE29+KD30</f>
        <v>2116534.5599999987</v>
      </c>
      <c r="KF30" s="40">
        <f t="shared" ref="KF30" ca="1" si="1067">KF28+KF29+KE30</f>
        <v>2116534.5599999987</v>
      </c>
      <c r="KG30" s="40">
        <f t="shared" ref="KG30" ca="1" si="1068">KG28+KG29+KF30</f>
        <v>2116534.5599999987</v>
      </c>
      <c r="KH30" s="40">
        <f t="shared" ref="KH30" ca="1" si="1069">KH28+KH29+KG30</f>
        <v>2116534.5599999987</v>
      </c>
      <c r="KI30" s="40">
        <f t="shared" ref="KI30" ca="1" si="1070">KI28+KI29+KH30</f>
        <v>2116534.5599999987</v>
      </c>
      <c r="KJ30" s="40">
        <f t="shared" ref="KJ30" ca="1" si="1071">KJ28+KJ29+KI30</f>
        <v>2116534.5599999987</v>
      </c>
      <c r="KK30" s="40">
        <f t="shared" ref="KK30" ca="1" si="1072">KK28+KK29+KJ30</f>
        <v>2116534.5599999987</v>
      </c>
      <c r="KL30" s="40">
        <f t="shared" ref="KL30" ca="1" si="1073">KL28+KL29+KK30</f>
        <v>2116534.5599999987</v>
      </c>
      <c r="KM30" s="40">
        <f t="shared" ref="KM30" ca="1" si="1074">KM28+KM29+KL30</f>
        <v>2116534.5599999987</v>
      </c>
      <c r="KN30" s="40">
        <f t="shared" ref="KN30" ca="1" si="1075">KN28+KN29+KM30</f>
        <v>2116534.5599999987</v>
      </c>
      <c r="KO30" s="40">
        <f t="shared" ref="KO30" ca="1" si="1076">KO28+KO29+KN30</f>
        <v>2116534.5599999987</v>
      </c>
      <c r="KP30" s="40">
        <f t="shared" ref="KP30" ca="1" si="1077">KP28+KP29+KO30</f>
        <v>2116534.5599999987</v>
      </c>
      <c r="KQ30" s="40">
        <f t="shared" ref="KQ30" ca="1" si="1078">KQ28+KQ29+KP30</f>
        <v>2116534.5599999987</v>
      </c>
      <c r="KR30" s="40">
        <f t="shared" ref="KR30" ca="1" si="1079">KR28+KR29+KQ30</f>
        <v>2116534.5599999987</v>
      </c>
      <c r="KS30" s="40">
        <f t="shared" ref="KS30" ca="1" si="1080">KS28+KS29+KR30</f>
        <v>2116534.5599999987</v>
      </c>
      <c r="KT30" s="40">
        <f t="shared" ref="KT30" ca="1" si="1081">KT28+KT29+KS30</f>
        <v>2116534.5599999987</v>
      </c>
      <c r="KU30" s="40">
        <f t="shared" ref="KU30" ca="1" si="1082">KU28+KU29+KT30</f>
        <v>2116534.5599999987</v>
      </c>
      <c r="KV30" s="40">
        <f t="shared" ref="KV30" ca="1" si="1083">KV28+KV29+KU30</f>
        <v>2116534.5599999987</v>
      </c>
      <c r="KW30" s="40">
        <f t="shared" ref="KW30" ca="1" si="1084">KW28+KW29+KV30</f>
        <v>2116534.5599999987</v>
      </c>
      <c r="KX30" s="40">
        <f t="shared" ref="KX30" ca="1" si="1085">KX28+KX29+KW30</f>
        <v>2116534.5599999987</v>
      </c>
      <c r="KY30" s="40">
        <f t="shared" ref="KY30" ca="1" si="1086">KY28+KY29+KX30</f>
        <v>2116534.5599999987</v>
      </c>
      <c r="KZ30" s="40">
        <f t="shared" ref="KZ30" ca="1" si="1087">KZ28+KZ29+KY30</f>
        <v>2116534.5599999987</v>
      </c>
      <c r="LA30" s="40">
        <f t="shared" ref="LA30" ca="1" si="1088">LA28+LA29+KZ30</f>
        <v>2116534.5599999987</v>
      </c>
      <c r="LB30" s="40">
        <f t="shared" ref="LB30" ca="1" si="1089">LB28+LB29+LA30</f>
        <v>2116534.5599999987</v>
      </c>
      <c r="LC30" s="40">
        <f t="shared" ref="LC30" ca="1" si="1090">LC28+LC29+LB30</f>
        <v>2116534.5599999987</v>
      </c>
      <c r="LD30" s="40">
        <f t="shared" ref="LD30" ca="1" si="1091">LD28+LD29+LC30</f>
        <v>2116534.5599999987</v>
      </c>
      <c r="LE30" s="40">
        <f t="shared" ref="LE30" ca="1" si="1092">LE28+LE29+LD30</f>
        <v>2116534.5599999987</v>
      </c>
      <c r="LF30" s="40">
        <f t="shared" ref="LF30" ca="1" si="1093">LF28+LF29+LE30</f>
        <v>2116534.5599999987</v>
      </c>
      <c r="LG30" s="40">
        <f t="shared" ref="LG30" ca="1" si="1094">LG28+LG29+LF30</f>
        <v>2116534.5599999987</v>
      </c>
      <c r="LH30" s="40">
        <f t="shared" ref="LH30" ca="1" si="1095">LH28+LH29+LG30</f>
        <v>2116534.5599999987</v>
      </c>
      <c r="LI30" s="40">
        <f t="shared" ref="LI30" ca="1" si="1096">LI28+LI29+LH30</f>
        <v>2116534.5599999987</v>
      </c>
      <c r="LJ30" s="40">
        <f t="shared" ref="LJ30" ca="1" si="1097">LJ28+LJ29+LI30</f>
        <v>2116534.5599999987</v>
      </c>
      <c r="LK30" s="40">
        <f t="shared" ref="LK30" ca="1" si="1098">LK28+LK29+LJ30</f>
        <v>2116534.5599999987</v>
      </c>
      <c r="LL30" s="40">
        <f t="shared" ref="LL30" ca="1" si="1099">LL28+LL29+LK30</f>
        <v>2116534.5599999987</v>
      </c>
      <c r="LM30" s="40">
        <f t="shared" ref="LM30" ca="1" si="1100">LM28+LM29+LL30</f>
        <v>2116534.5599999987</v>
      </c>
      <c r="LN30" s="40">
        <f t="shared" ref="LN30" ca="1" si="1101">LN28+LN29+LM30</f>
        <v>2116534.5599999987</v>
      </c>
      <c r="LO30" s="40">
        <f t="shared" ref="LO30" ca="1" si="1102">LO28+LO29+LN30</f>
        <v>2116534.5599999987</v>
      </c>
      <c r="LP30" s="40">
        <f t="shared" ref="LP30" ca="1" si="1103">LP28+LP29+LO30</f>
        <v>2116534.5599999987</v>
      </c>
      <c r="LQ30" s="40">
        <f t="shared" ref="LQ30" ca="1" si="1104">LQ28+LQ29+LP30</f>
        <v>2116534.5599999987</v>
      </c>
      <c r="LR30" s="40">
        <f t="shared" ref="LR30" ca="1" si="1105">LR28+LR29+LQ30</f>
        <v>2116534.5599999987</v>
      </c>
      <c r="LS30" s="40">
        <f t="shared" ref="LS30" ca="1" si="1106">LS28+LS29+LR30</f>
        <v>2116534.5599999987</v>
      </c>
      <c r="LT30" s="40">
        <f t="shared" ref="LT30" ca="1" si="1107">LT28+LT29+LS30</f>
        <v>2116534.5599999987</v>
      </c>
      <c r="LU30" s="40">
        <f t="shared" ref="LU30" ca="1" si="1108">LU28+LU29+LT30</f>
        <v>2116534.5599999987</v>
      </c>
      <c r="LV30" s="40">
        <f t="shared" ref="LV30" ca="1" si="1109">LV28+LV29+LU30</f>
        <v>2116534.5599999987</v>
      </c>
      <c r="LW30" s="40">
        <f t="shared" ref="LW30" ca="1" si="1110">LW28+LW29+LV30</f>
        <v>2116534.5599999987</v>
      </c>
      <c r="LX30" s="40">
        <f t="shared" ref="LX30" ca="1" si="1111">LX28+LX29+LW30</f>
        <v>2116534.5599999987</v>
      </c>
      <c r="LY30" s="40">
        <f t="shared" ref="LY30" ca="1" si="1112">LY28+LY29+LX30</f>
        <v>2116534.5599999987</v>
      </c>
      <c r="LZ30" s="40">
        <f t="shared" ref="LZ30" ca="1" si="1113">LZ28+LZ29+LY30</f>
        <v>2116534.5599999987</v>
      </c>
      <c r="MA30" s="40">
        <f t="shared" ref="MA30" ca="1" si="1114">MA28+MA29+LZ30</f>
        <v>2116534.5599999987</v>
      </c>
      <c r="MB30" s="40">
        <f t="shared" ref="MB30" ca="1" si="1115">MB28+MB29+MA30</f>
        <v>2116534.5599999987</v>
      </c>
      <c r="MC30" s="40">
        <f t="shared" ref="MC30" ca="1" si="1116">MC28+MC29+MB30</f>
        <v>2116534.5599999987</v>
      </c>
      <c r="MD30" s="40">
        <f t="shared" ref="MD30" ca="1" si="1117">MD28+MD29+MC30</f>
        <v>2116534.5599999987</v>
      </c>
      <c r="ME30" s="40">
        <f t="shared" ref="ME30" ca="1" si="1118">ME28+ME29+MD30</f>
        <v>2116534.5599999987</v>
      </c>
      <c r="MF30" s="40">
        <f t="shared" ref="MF30" ca="1" si="1119">MF28+MF29+ME30</f>
        <v>2116534.5599999987</v>
      </c>
      <c r="MG30" s="40">
        <f t="shared" ref="MG30" ca="1" si="1120">MG28+MG29+MF30</f>
        <v>2116534.5599999987</v>
      </c>
      <c r="MH30" s="40">
        <f t="shared" ref="MH30" ca="1" si="1121">MH28+MH29+MG30</f>
        <v>2116534.5599999987</v>
      </c>
      <c r="MI30" s="40">
        <f t="shared" ref="MI30" ca="1" si="1122">MI28+MI29+MH30</f>
        <v>2116534.5599999987</v>
      </c>
      <c r="MJ30" s="40">
        <f t="shared" ref="MJ30" ca="1" si="1123">MJ28+MJ29+MI30</f>
        <v>2116534.5599999987</v>
      </c>
      <c r="MK30" s="40">
        <f t="shared" ref="MK30" ca="1" si="1124">MK28+MK29+MJ30</f>
        <v>2116534.5599999987</v>
      </c>
      <c r="ML30" s="40">
        <f t="shared" ref="ML30" ca="1" si="1125">ML28+ML29+MK30</f>
        <v>2116534.5599999987</v>
      </c>
      <c r="MM30" s="40">
        <f t="shared" ref="MM30" ca="1" si="1126">MM28+MM29+ML30</f>
        <v>2116534.5599999987</v>
      </c>
      <c r="MN30" s="40">
        <f t="shared" ref="MN30" ca="1" si="1127">MN28+MN29+MM30</f>
        <v>2116534.5599999987</v>
      </c>
      <c r="MO30" s="40">
        <f t="shared" ref="MO30" ca="1" si="1128">MO28+MO29+MN30</f>
        <v>2116534.5599999987</v>
      </c>
      <c r="MP30" s="40">
        <f t="shared" ref="MP30" ca="1" si="1129">MP28+MP29+MO30</f>
        <v>2116534.5599999987</v>
      </c>
      <c r="MQ30" s="40">
        <f t="shared" ref="MQ30" ca="1" si="1130">MQ28+MQ29+MP30</f>
        <v>2116534.5599999987</v>
      </c>
      <c r="MR30" s="40">
        <f t="shared" ref="MR30" ca="1" si="1131">MR28+MR29+MQ30</f>
        <v>2116534.5599999987</v>
      </c>
      <c r="MS30" s="40">
        <f t="shared" ref="MS30" ca="1" si="1132">MS28+MS29+MR30</f>
        <v>2116534.5599999987</v>
      </c>
      <c r="MT30" s="40">
        <f t="shared" ref="MT30" ca="1" si="1133">MT28+MT29+MS30</f>
        <v>2116534.5599999987</v>
      </c>
      <c r="MU30" s="40">
        <f t="shared" ref="MU30" ca="1" si="1134">MU28+MU29+MT30</f>
        <v>2116534.5599999987</v>
      </c>
      <c r="MV30" s="40">
        <f t="shared" ref="MV30" ca="1" si="1135">MV28+MV29+MU30</f>
        <v>2116534.5599999987</v>
      </c>
      <c r="MW30" s="40">
        <f t="shared" ref="MW30" ca="1" si="1136">MW28+MW29+MV30</f>
        <v>2116534.5599999987</v>
      </c>
      <c r="MX30" s="40">
        <f t="shared" ref="MX30" ca="1" si="1137">MX28+MX29+MW30</f>
        <v>2116534.5599999987</v>
      </c>
      <c r="MY30" s="40">
        <f t="shared" ref="MY30" ca="1" si="1138">MY28+MY29+MX30</f>
        <v>2116534.5599999987</v>
      </c>
      <c r="MZ30" s="40">
        <f t="shared" ref="MZ30" ca="1" si="1139">MZ28+MZ29+MY30</f>
        <v>2116534.5599999987</v>
      </c>
      <c r="NA30" s="40">
        <f t="shared" ref="NA30" ca="1" si="1140">NA28+NA29+MZ30</f>
        <v>2116534.5599999987</v>
      </c>
      <c r="NB30" s="40">
        <f t="shared" ref="NB30" ca="1" si="1141">NB28+NB29+NA30</f>
        <v>2116534.5599999987</v>
      </c>
      <c r="NC30" s="40">
        <f t="shared" ref="NC30" ca="1" si="1142">NC28+NC29+NB30</f>
        <v>2116534.5599999987</v>
      </c>
      <c r="ND30" s="40">
        <f t="shared" ref="ND30" ca="1" si="1143">ND28+ND29+NC30</f>
        <v>2116534.5599999987</v>
      </c>
      <c r="NE30" s="40"/>
      <c r="NF30" s="40"/>
      <c r="NG30" s="40"/>
      <c r="NH30" s="40"/>
      <c r="NI30" s="40"/>
      <c r="NJ30" s="40"/>
      <c r="NK30" s="40"/>
      <c r="NL30" s="40"/>
      <c r="NM30" s="40"/>
      <c r="NN30" s="40"/>
      <c r="NO30" s="40"/>
      <c r="NP30" s="40"/>
      <c r="NQ30" s="40"/>
      <c r="NR30" s="40"/>
    </row>
    <row r="31" spans="2:382" x14ac:dyDescent="0.15">
      <c r="B31" s="518"/>
      <c r="C31" s="115" t="s">
        <v>166</v>
      </c>
      <c r="D31" s="116">
        <f>MAX(I31:CN31)</f>
        <v>0</v>
      </c>
      <c r="E31" s="40" t="s">
        <v>190</v>
      </c>
      <c r="F31" s="40"/>
      <c r="G31" s="114"/>
      <c r="H31" s="40"/>
      <c r="I31" s="40">
        <f>IF(AND(I30&gt;$E$25,SUM($G$31:G$31)=0),I20,0)</f>
        <v>0</v>
      </c>
      <c r="J31" s="40">
        <f>IF(AND(J30&gt;$E$25,SUM($G$31:I$31)=0),J20,0)</f>
        <v>0</v>
      </c>
      <c r="K31" s="40">
        <f>IF(AND(K30&gt;$E$25,SUM($G$31:J$31)=0),K20,0)</f>
        <v>0</v>
      </c>
      <c r="L31" s="40">
        <f>IF(AND(L30&gt;$E$25,SUM($G$31:K$31)=0),L20,0)</f>
        <v>0</v>
      </c>
      <c r="M31" s="40">
        <f>IF(AND(M30&gt;$E$25,SUM($G$31:L$31)=0),M20,0)</f>
        <v>0</v>
      </c>
      <c r="N31" s="40">
        <f>IF(AND(N30&gt;$E$25,SUM($G$31:M$31)=0),N20,0)</f>
        <v>0</v>
      </c>
      <c r="O31" s="40">
        <f>IF(AND(O30&gt;$E$25,SUM($G$31:N$31)=0),O20,0)</f>
        <v>0</v>
      </c>
      <c r="P31" s="40">
        <f>IF(AND(P30&gt;$E$25,SUM($G$31:O$31)=0),P20,0)</f>
        <v>0</v>
      </c>
      <c r="Q31" s="40">
        <f>IF(AND(Q30&gt;$E$25,SUM($G$31:P$31)=0),Q20,0)</f>
        <v>0</v>
      </c>
      <c r="R31" s="40">
        <f>IF(AND(R30&gt;$E$25,SUM($G$31:Q$31)=0),R20,0)</f>
        <v>0</v>
      </c>
      <c r="S31" s="40">
        <f>IF(AND(S30&gt;$E$25,SUM($G$31:R$31)=0),S20,0)</f>
        <v>0</v>
      </c>
      <c r="T31" s="40">
        <f>IF(AND(T30&gt;$E$25,SUM($G$31:S$31)=0),T20,0)</f>
        <v>0</v>
      </c>
      <c r="U31" s="40">
        <f>IF(AND(U30&gt;$E$25,SUM($G$31:T$31)=0),U20,0)</f>
        <v>0</v>
      </c>
      <c r="V31" s="40">
        <f>IF(AND(V30&gt;$E$25,SUM($G$31:U$31)=0),V20,0)</f>
        <v>0</v>
      </c>
      <c r="W31" s="40">
        <f>IF(AND(W30&gt;$E$25,SUM($G$31:V$31)=0),W20,0)</f>
        <v>0</v>
      </c>
      <c r="X31" s="40">
        <f>IF(AND(X30&gt;$E$25,SUM($G$31:W$31)=0),X20,0)</f>
        <v>0</v>
      </c>
      <c r="Y31" s="40">
        <f>IF(AND(Y30&gt;$E$25,SUM($G$31:X$31)=0),Y20,0)</f>
        <v>0</v>
      </c>
      <c r="Z31" s="40">
        <f>IF(AND(Z30&gt;$E$25,SUM($G$31:Y$31)=0),Z20,0)</f>
        <v>0</v>
      </c>
      <c r="AA31" s="40">
        <f>IF(AND(AA30&gt;$E$25,SUM($G$31:Z$31)=0),AA20,0)</f>
        <v>0</v>
      </c>
      <c r="AB31" s="40">
        <f>IF(AND(AB30&gt;$E$25,SUM($G$31:AA$31)=0),AB20,0)</f>
        <v>0</v>
      </c>
      <c r="AC31" s="40">
        <f>IF(AND(AC30&gt;$E$25,SUM($G$31:AB$31)=0),AC20,0)</f>
        <v>0</v>
      </c>
      <c r="AD31" s="40">
        <f>IF(AND(AD30&gt;$E$25,SUM($G$31:AC$31)=0),AD20,0)</f>
        <v>0</v>
      </c>
      <c r="AE31" s="40">
        <f>IF(AND(AE30&gt;$E$25,SUM($G$31:AD$31)=0),AE20,0)</f>
        <v>0</v>
      </c>
      <c r="AF31" s="40">
        <f>IF(AND(AF30&gt;$E$25,SUM($G$31:AE$31)=0),AF20,0)</f>
        <v>0</v>
      </c>
      <c r="AG31" s="40">
        <f>IF(AND(AG30&gt;$E$25,SUM($G$31:AF$31)=0),AG20,0)</f>
        <v>0</v>
      </c>
      <c r="AH31" s="40">
        <f>IF(AND(AH30&gt;$E$25,SUM($G$31:AG$31)=0),AH20,0)</f>
        <v>0</v>
      </c>
      <c r="AI31" s="40">
        <f>IF(AND(AI30&gt;$E$25,SUM($G$31:AH$31)=0),AI20,0)</f>
        <v>0</v>
      </c>
      <c r="AJ31" s="40">
        <f>IF(AND(AJ30&gt;$E$25,SUM($G$31:AI$31)=0),AJ20,0)</f>
        <v>0</v>
      </c>
      <c r="AK31" s="40">
        <f>IF(AND(AK30&gt;$E$25,SUM($G$31:AJ$31)=0),AK20,0)</f>
        <v>0</v>
      </c>
      <c r="AL31" s="40">
        <f>IF(AND(AL30&gt;$E$25,SUM($G$31:AK$31)=0),AL20,0)</f>
        <v>0</v>
      </c>
      <c r="AM31" s="40">
        <f>IF(AND(AM30&gt;$E$25,SUM($G$31:AL$31)=0),AM20,0)</f>
        <v>0</v>
      </c>
      <c r="AN31" s="40">
        <f>IF(AND(AN30&gt;$E$25,SUM($G$31:AM$31)=0),AN20,0)</f>
        <v>0</v>
      </c>
      <c r="AO31" s="40">
        <f>IF(AND(AO30&gt;$E$25,SUM($G$31:AN$31)=0),AO20,0)</f>
        <v>0</v>
      </c>
      <c r="AP31" s="40">
        <f>IF(AND(AP30&gt;$E$25,SUM($G$31:AO$31)=0),AP20,0)</f>
        <v>0</v>
      </c>
      <c r="AQ31" s="40">
        <f>IF(AND(AQ30&gt;$E$25,SUM($G$31:AP$31)=0),AQ20,0)</f>
        <v>0</v>
      </c>
      <c r="AR31" s="40">
        <f>IF(AND(AR30&gt;$E$25,SUM($G$31:AQ$31)=0),AR20,0)</f>
        <v>0</v>
      </c>
      <c r="AS31" s="40">
        <f>IF(AND(AS30&gt;$E$25,SUM($G$31:AR$31)=0),AS20,0)</f>
        <v>0</v>
      </c>
      <c r="AT31" s="40">
        <f>IF(AND(AT30&gt;$E$25,SUM($G$31:AS$31)=0),AT20,0)</f>
        <v>0</v>
      </c>
      <c r="AU31" s="40">
        <f>IF(AND(AU30&gt;$E$25,SUM($G$31:AT$31)=0),AU20,0)</f>
        <v>0</v>
      </c>
      <c r="AV31" s="40">
        <f>IF(AND(AV30&gt;$E$25,SUM($G$31:AU$31)=0),AV20,0)</f>
        <v>0</v>
      </c>
      <c r="AW31" s="40">
        <f>IF(AND(AW30&gt;$E$25,SUM($G$31:AV$31)=0),AW20,0)</f>
        <v>0</v>
      </c>
      <c r="AX31" s="40">
        <f>IF(AND(AX30&gt;$E$25,SUM($G$31:AW$31)=0),AX20,0)</f>
        <v>0</v>
      </c>
      <c r="AY31" s="40">
        <f>IF(AND(AY30&gt;$E$25,SUM($G$31:AX$31)=0),AY20,0)</f>
        <v>0</v>
      </c>
      <c r="AZ31" s="40">
        <f>IF(AND(AZ30&gt;$E$25,SUM($G$31:AY$31)=0),AZ20,0)</f>
        <v>0</v>
      </c>
      <c r="BA31" s="40">
        <f>IF(AND(BA30&gt;$E$25,SUM($G$31:AZ$31)=0),BA20,0)</f>
        <v>0</v>
      </c>
      <c r="BB31" s="40">
        <f>IF(AND(BB30&gt;$E$25,SUM($G$31:BA$31)=0),BB20,0)</f>
        <v>0</v>
      </c>
      <c r="BC31" s="40">
        <f>IF(AND(BC30&gt;$E$25,SUM($G$31:BB$31)=0),BC20,0)</f>
        <v>0</v>
      </c>
      <c r="BD31" s="40">
        <f>IF(AND(BD30&gt;$E$25,SUM($G$31:BC$31)=0),BD20,0)</f>
        <v>0</v>
      </c>
      <c r="BE31" s="40">
        <f>IF(AND(BE30&gt;$E$25,SUM($G$31:BD$31)=0),BE20,0)</f>
        <v>0</v>
      </c>
      <c r="BF31" s="40">
        <f>IF(AND(BF30&gt;$E$25,SUM($G$31:BE$31)=0),BF20,0)</f>
        <v>0</v>
      </c>
      <c r="BG31" s="40">
        <f>IF(AND(BG30&gt;$E$25,SUM($G$31:BF$31)=0),BG20,0)</f>
        <v>0</v>
      </c>
      <c r="BH31" s="40">
        <f>IF(AND(BH30&gt;$E$25,SUM($G$31:BG$31)=0),BH20,0)</f>
        <v>0</v>
      </c>
      <c r="BI31" s="40">
        <f>IF(AND(BI30&gt;$E$25,SUM($G$31:BH$31)=0),BI20,0)</f>
        <v>0</v>
      </c>
      <c r="BJ31" s="40">
        <f>IF(AND(BJ30&gt;$E$25,SUM($G$31:BI$31)=0),BJ20,0)</f>
        <v>0</v>
      </c>
      <c r="BK31" s="40">
        <f>IF(AND(BK30&gt;$E$25,SUM($G$31:BJ$31)=0),BK20,0)</f>
        <v>0</v>
      </c>
      <c r="BL31" s="40">
        <f>IF(AND(BL30&gt;$E$25,SUM($G$31:BK$31)=0),BL20,0)</f>
        <v>0</v>
      </c>
      <c r="BM31" s="40">
        <f>IF(AND(BM30&gt;$E$25,SUM($G$31:BL$31)=0),BM20,0)</f>
        <v>0</v>
      </c>
      <c r="BN31" s="40">
        <f>IF(AND(BN30&gt;$E$25,SUM($G$31:BM$31)=0),BN20,0)</f>
        <v>0</v>
      </c>
      <c r="BO31" s="40">
        <f>IF(AND(BO30&gt;$E$25,SUM($G$31:BN$31)=0),BO20,0)</f>
        <v>0</v>
      </c>
      <c r="BP31" s="40">
        <f>IF(AND(BP30&gt;$E$25,SUM($G$31:BO$31)=0),BP20,0)</f>
        <v>0</v>
      </c>
      <c r="BQ31" s="40">
        <f>IF(AND(BQ30&gt;$E$25,SUM($G$31:BP$31)=0),BQ20,0)</f>
        <v>0</v>
      </c>
      <c r="BR31" s="40">
        <f>IF(AND(BR30&gt;$E$25,SUM($G$31:BQ$31)=0),BR20,0)</f>
        <v>0</v>
      </c>
      <c r="BS31" s="40">
        <f>IF(AND(BS30&gt;$E$25,SUM($G$31:BR$31)=0),BS20,0)</f>
        <v>0</v>
      </c>
      <c r="BT31" s="40">
        <f>IF(AND(BT30&gt;$E$25,SUM($G$31:BS$31)=0),BT20,0)</f>
        <v>0</v>
      </c>
      <c r="BU31" s="40">
        <f>IF(AND(BU30&gt;$E$25,SUM($G$31:BT$31)=0),BU20,0)</f>
        <v>0</v>
      </c>
      <c r="BV31" s="40">
        <f>IF(AND(BV30&gt;$E$25,SUM($G$31:BU$31)=0),BV20,0)</f>
        <v>0</v>
      </c>
      <c r="BW31" s="40">
        <f>IF(AND(BW30&gt;$E$25,SUM($G$31:BV$31)=0),BW20,0)</f>
        <v>0</v>
      </c>
      <c r="BX31" s="40">
        <f>IF(AND(BX30&gt;$E$25,SUM($G$31:BW$31)=0),BX20,0)</f>
        <v>0</v>
      </c>
      <c r="BY31" s="40">
        <f>IF(AND(BY30&gt;$E$25,SUM($G$31:BX$31)=0),BY20,0)</f>
        <v>0</v>
      </c>
      <c r="BZ31" s="40">
        <f>IF(AND(BZ30&gt;$E$25,SUM($G$31:BY$31)=0),BZ20,0)</f>
        <v>0</v>
      </c>
      <c r="CA31" s="40">
        <f>IF(AND(CA30&gt;$E$25,SUM($G$31:BZ$31)=0),CA20,0)</f>
        <v>0</v>
      </c>
      <c r="CB31" s="40">
        <f>IF(AND(CB30&gt;$E$25,SUM($G$31:CA$31)=0),CB20,0)</f>
        <v>0</v>
      </c>
      <c r="CC31" s="40">
        <f>IF(AND(CC30&gt;$E$25,SUM($G$31:CB$31)=0),CC20,0)</f>
        <v>0</v>
      </c>
      <c r="CD31" s="40">
        <f>IF(AND(CD30&gt;$E$25,SUM($G$31:CC$31)=0),CD20,0)</f>
        <v>0</v>
      </c>
      <c r="CE31" s="40">
        <f>IF(AND(CE30&gt;$E$25,SUM($G$31:CD$31)=0),CE20,0)</f>
        <v>0</v>
      </c>
      <c r="CF31" s="40">
        <f>IF(AND(CF30&gt;$E$25,SUM($G$31:CE$31)=0),CF20,0)</f>
        <v>0</v>
      </c>
      <c r="CG31" s="40">
        <f>IF(AND(CG30&gt;$E$25,SUM($G$31:CF$31)=0),CG20,0)</f>
        <v>0</v>
      </c>
      <c r="CH31" s="40">
        <f>IF(AND(CH30&gt;$E$25,SUM($G$31:CG$31)=0),CH20,0)</f>
        <v>0</v>
      </c>
      <c r="CI31" s="40">
        <f>IF(AND(CI30&gt;$E$25,SUM($G$31:CH$31)=0),CI20,0)</f>
        <v>0</v>
      </c>
      <c r="CJ31" s="40">
        <f>IF(AND(CJ30&gt;$E$25,SUM($G$31:CI$31)=0),CJ20,0)</f>
        <v>0</v>
      </c>
      <c r="CK31" s="40">
        <f>IF(AND(CK30&gt;$E$25,SUM($G$31:CJ$31)=0),CK20,0)</f>
        <v>0</v>
      </c>
      <c r="CL31" s="40">
        <f>IF(AND(CL30&gt;$E$25,SUM($G$31:CK$31)=0),CL20,0)</f>
        <v>0</v>
      </c>
      <c r="CM31" s="40">
        <f>IF(AND(CM30&gt;$E$25,SUM($G$31:CL$31)=0),CM20,0)</f>
        <v>0</v>
      </c>
      <c r="CN31" s="40">
        <f>IF(AND(CN30&gt;$E$25,SUM($G$31:CM$31)=0),CN20,0)</f>
        <v>0</v>
      </c>
      <c r="CO31" s="40">
        <f>IF(AND(CO30&gt;$E$25,SUM($G$31:CN$31)=0),CO20,0)</f>
        <v>0</v>
      </c>
      <c r="CP31" s="40">
        <f>IF(AND(CP30&gt;$E$25,SUM($G$31:CO$31)=0),CP20,0)</f>
        <v>0</v>
      </c>
      <c r="CQ31" s="40">
        <f>IF(AND(CQ30&gt;$E$25,SUM($G$31:CP$31)=0),CQ20,0)</f>
        <v>0</v>
      </c>
      <c r="CR31" s="40">
        <f>IF(AND(CR30&gt;$E$25,SUM($G$31:CQ$31)=0),CR20,0)</f>
        <v>0</v>
      </c>
      <c r="CS31" s="40">
        <f>IF(AND(CS30&gt;$E$25,SUM($G$31:CR$31)=0),CS20,0)</f>
        <v>0</v>
      </c>
      <c r="CT31" s="40">
        <f>IF(AND(CT30&gt;$E$25,SUM($G$31:CS$31)=0),CT20,0)</f>
        <v>0</v>
      </c>
      <c r="CU31" s="40">
        <f>IF(AND(CU30&gt;$E$25,SUM($G$31:CT$31)=0),CU20,0)</f>
        <v>0</v>
      </c>
      <c r="CV31" s="40">
        <f>IF(AND(CV30&gt;$E$25,SUM($G$31:CU$31)=0),CV20,0)</f>
        <v>0</v>
      </c>
      <c r="CW31" s="40">
        <f>IF(AND(CW30&gt;$E$25,SUM($G$31:CV$31)=0),CW20,0)</f>
        <v>0</v>
      </c>
      <c r="CX31" s="40">
        <f>IF(AND(CX30&gt;$E$25,SUM($G$31:CW$31)=0),CX20,0)</f>
        <v>0</v>
      </c>
      <c r="CY31" s="40">
        <f>IF(AND(CY30&gt;$E$25,SUM($G$31:CX$31)=0),CY20,0)</f>
        <v>0</v>
      </c>
      <c r="CZ31" s="40">
        <f>IF(AND(CZ30&gt;$E$25,SUM($G$31:CY$31)=0),CZ20,0)</f>
        <v>0</v>
      </c>
      <c r="DA31" s="40">
        <f>IF(AND(DA30&gt;$E$25,SUM($G$31:CZ$31)=0),DA20,0)</f>
        <v>0</v>
      </c>
      <c r="DB31" s="40">
        <f>IF(AND(DB30&gt;$E$25,SUM($G$31:DA$31)=0),DB20,0)</f>
        <v>0</v>
      </c>
      <c r="DC31" s="40">
        <f>IF(AND(DC30&gt;$E$25,SUM($G$31:DB$31)=0),DC20,0)</f>
        <v>0</v>
      </c>
      <c r="DD31" s="40">
        <f>IF(AND(DD30&gt;$E$25,SUM($G$31:DC$31)=0),DD20,0)</f>
        <v>0</v>
      </c>
      <c r="DE31" s="40">
        <f>IF(AND(DE30&gt;$E$25,SUM($G$31:DD$31)=0),DE20,0)</f>
        <v>0</v>
      </c>
      <c r="DF31" s="40">
        <f>IF(AND(DF30&gt;$E$25,SUM($G$31:DE$31)=0),DF20,0)</f>
        <v>0</v>
      </c>
      <c r="DG31" s="40">
        <f>IF(AND(DG30&gt;$E$25,SUM($G$31:DF$31)=0),DG20,0)</f>
        <v>0</v>
      </c>
      <c r="DH31" s="40">
        <f>IF(AND(DH30&gt;$E$25,SUM($G$31:DG$31)=0),DH20,0)</f>
        <v>0</v>
      </c>
      <c r="DI31" s="40">
        <f>IF(AND(DI30&gt;$E$25,SUM($G$31:DH$31)=0),DI20,0)</f>
        <v>0</v>
      </c>
      <c r="DJ31" s="40">
        <f>IF(AND(DJ30&gt;$E$25,SUM($G$31:DI$31)=0),DJ20,0)</f>
        <v>0</v>
      </c>
      <c r="DK31" s="40">
        <f>IF(AND(DK30&gt;$E$25,SUM($G$31:DJ$31)=0),DK20,0)</f>
        <v>0</v>
      </c>
      <c r="DL31" s="40">
        <f>IF(AND(DL30&gt;$E$25,SUM($G$31:DK$31)=0),DL20,0)</f>
        <v>0</v>
      </c>
      <c r="DM31" s="40">
        <f>IF(AND(DM30&gt;$E$25,SUM($G$31:DL$31)=0),DM20,0)</f>
        <v>0</v>
      </c>
      <c r="DN31" s="40">
        <f>IF(AND(DN30&gt;$E$25,SUM($G$31:DM$31)=0),DN20,0)</f>
        <v>0</v>
      </c>
      <c r="DO31" s="40">
        <f>IF(AND(DO30&gt;$E$25,SUM($G$31:DN$31)=0),DO20,0)</f>
        <v>0</v>
      </c>
      <c r="DP31" s="40">
        <f>IF(AND(DP30&gt;$E$25,SUM($G$31:DO$31)=0),DP20,0)</f>
        <v>0</v>
      </c>
      <c r="DQ31" s="40">
        <f>IF(AND(DQ30&gt;$E$25,SUM($G$31:DP$31)=0),DQ20,0)</f>
        <v>0</v>
      </c>
      <c r="DR31" s="40">
        <f>IF(AND(DR30&gt;$E$25,SUM($G$31:DQ$31)=0),DR20,0)</f>
        <v>0</v>
      </c>
      <c r="DS31" s="40">
        <f>IF(AND(DS30&gt;$E$25,SUM($G$31:DR$31)=0),DS20,0)</f>
        <v>0</v>
      </c>
      <c r="DT31" s="40">
        <f>IF(AND(DT30&gt;$E$25,SUM($G$31:DS$31)=0),DT20,0)</f>
        <v>0</v>
      </c>
      <c r="DU31" s="40">
        <f>IF(AND(DU30&gt;$E$25,SUM($G$31:DT$31)=0),DU20,0)</f>
        <v>0</v>
      </c>
      <c r="DV31" s="40">
        <f>IF(AND(DV30&gt;$E$25,SUM($G$31:DU$31)=0),DV20,0)</f>
        <v>0</v>
      </c>
      <c r="DW31" s="40">
        <f>IF(AND(DW30&gt;$E$25,SUM($G$31:DV$31)=0),DW20,0)</f>
        <v>0</v>
      </c>
      <c r="DX31" s="40">
        <f>IF(AND(DX30&gt;$E$25,SUM($G$31:DW$31)=0),DX20,0)</f>
        <v>0</v>
      </c>
      <c r="DY31" s="40">
        <f>IF(AND(DY30&gt;$E$25,SUM($G$31:DX$31)=0),DY20,0)</f>
        <v>0</v>
      </c>
      <c r="DZ31" s="40">
        <f>IF(AND(DZ30&gt;$E$25,SUM($G$31:DY$31)=0),DZ20,0)</f>
        <v>0</v>
      </c>
      <c r="EA31" s="40">
        <f>IF(AND(EA30&gt;$E$25,SUM($G$31:DZ$31)=0),EA20,0)</f>
        <v>0</v>
      </c>
      <c r="EB31" s="40">
        <f>IF(AND(EB30&gt;$E$25,SUM($G$31:EA$31)=0),EB20,0)</f>
        <v>0</v>
      </c>
      <c r="EC31" s="40">
        <f>IF(AND(EC30&gt;$E$25,SUM($G$31:EB$31)=0),EC20,0)</f>
        <v>0</v>
      </c>
      <c r="ED31" s="40">
        <f>IF(AND(ED30&gt;$E$25,SUM($G$31:EC$31)=0),ED20,0)</f>
        <v>0</v>
      </c>
      <c r="EE31" s="40">
        <f>IF(AND(EE30&gt;$E$25,SUM($G$31:ED$31)=0),EE20,0)</f>
        <v>0</v>
      </c>
      <c r="EF31" s="40">
        <f>IF(AND(EF30&gt;$E$25,SUM($G$31:EE$31)=0),EF20,0)</f>
        <v>0</v>
      </c>
      <c r="EG31" s="40">
        <f>IF(AND(EG30&gt;$E$25,SUM($G$31:EF$31)=0),EG20,0)</f>
        <v>0</v>
      </c>
      <c r="EH31" s="40">
        <f>IF(AND(EH30&gt;$E$25,SUM($G$31:EG$31)=0),EH20,0)</f>
        <v>0</v>
      </c>
      <c r="EI31" s="40">
        <f>IF(AND(EI30&gt;$E$25,SUM($G$31:EH$31)=0),EI20,0)</f>
        <v>0</v>
      </c>
      <c r="EJ31" s="40">
        <f>IF(AND(EJ30&gt;$E$25,SUM($G$31:EI$31)=0),EJ20,0)</f>
        <v>0</v>
      </c>
      <c r="EK31" s="40">
        <f>IF(AND(EK30&gt;$E$25,SUM($G$31:EJ$31)=0),EK20,0)</f>
        <v>0</v>
      </c>
      <c r="EL31" s="40">
        <f>IF(AND(EL30&gt;$E$25,SUM($G$31:EK$31)=0),EL20,0)</f>
        <v>0</v>
      </c>
      <c r="EM31" s="40">
        <f>IF(AND(EM30&gt;$E$25,SUM($G$31:EL$31)=0),EM20,0)</f>
        <v>0</v>
      </c>
      <c r="EN31" s="40">
        <f>IF(AND(EN30&gt;$E$25,SUM($G$31:EM$31)=0),EN20,0)</f>
        <v>0</v>
      </c>
      <c r="EO31" s="40">
        <f>IF(AND(EO30&gt;$E$25,SUM($G$31:EN$31)=0),EO20,0)</f>
        <v>0</v>
      </c>
      <c r="EP31" s="40">
        <f>IF(AND(EP30&gt;$E$25,SUM($G$31:EO$31)=0),EP20,0)</f>
        <v>0</v>
      </c>
      <c r="EQ31" s="40">
        <f>IF(AND(EQ30&gt;$E$25,SUM($G$31:EP$31)=0),EQ20,0)</f>
        <v>0</v>
      </c>
      <c r="ER31" s="40">
        <f>IF(AND(ER30&gt;$E$25,SUM($G$31:EQ$31)=0),ER20,0)</f>
        <v>0</v>
      </c>
      <c r="ES31" s="40">
        <f>IF(AND(ES30&gt;$E$25,SUM($G$31:ER$31)=0),ES20,0)</f>
        <v>0</v>
      </c>
      <c r="ET31" s="40">
        <f>IF(AND(ET30&gt;$E$25,SUM($G$31:ES$31)=0),ET20,0)</f>
        <v>0</v>
      </c>
      <c r="EU31" s="40">
        <f>IF(AND(EU30&gt;$E$25,SUM($G$31:ET$31)=0),EU20,0)</f>
        <v>0</v>
      </c>
      <c r="EV31" s="40">
        <f>IF(AND(EV30&gt;$E$25,SUM($G$31:EU$31)=0),EV20,0)</f>
        <v>0</v>
      </c>
      <c r="EW31" s="40">
        <f>IF(AND(EW30&gt;$E$25,SUM($G$31:EV$31)=0),EW20,0)</f>
        <v>0</v>
      </c>
      <c r="EX31" s="40">
        <f>IF(AND(EX30&gt;$E$25,SUM($G$31:EW$31)=0),EX20,0)</f>
        <v>0</v>
      </c>
      <c r="EY31" s="40">
        <f>IF(AND(EY30&gt;$E$25,SUM($G$31:EX$31)=0),EY20,0)</f>
        <v>0</v>
      </c>
      <c r="EZ31" s="40">
        <f>IF(AND(EZ30&gt;$E$25,SUM($G$31:EY$31)=0),EZ20,0)</f>
        <v>0</v>
      </c>
      <c r="FA31" s="40">
        <f>IF(AND(FA30&gt;$E$25,SUM($G$31:EZ$31)=0),FA20,0)</f>
        <v>0</v>
      </c>
      <c r="FB31" s="40">
        <f>IF(AND(FB30&gt;$E$25,SUM($G$31:FA$31)=0),FB20,0)</f>
        <v>0</v>
      </c>
      <c r="FC31" s="40">
        <f>IF(AND(FC30&gt;$E$25,SUM($G$31:FB$31)=0),FC20,0)</f>
        <v>0</v>
      </c>
      <c r="FD31" s="40">
        <f>IF(AND(FD30&gt;$E$25,SUM($G$31:FC$31)=0),FD20,0)</f>
        <v>0</v>
      </c>
      <c r="FE31" s="40">
        <f>IF(AND(FE30&gt;$E$25,SUM($G$31:FD$31)=0),FE20,0)</f>
        <v>0</v>
      </c>
      <c r="FF31" s="40">
        <f>IF(AND(FF30&gt;$E$25,SUM($G$31:FE$31)=0),FF20,0)</f>
        <v>0</v>
      </c>
      <c r="FG31" s="40">
        <f>IF(AND(FG30&gt;$E$25,SUM($G$31:FF$31)=0),FG20,0)</f>
        <v>0</v>
      </c>
      <c r="FH31" s="40">
        <f>IF(AND(FH30&gt;$E$25,SUM($G$31:FG$31)=0),FH20,0)</f>
        <v>0</v>
      </c>
      <c r="FI31" s="40">
        <f>IF(AND(FI30&gt;$E$25,SUM($G$31:FH$31)=0),FI20,0)</f>
        <v>0</v>
      </c>
      <c r="FJ31" s="40">
        <f>IF(AND(FJ30&gt;$E$25,SUM($G$31:FI$31)=0),FJ20,0)</f>
        <v>0</v>
      </c>
      <c r="FK31" s="40">
        <f>IF(AND(FK30&gt;$E$25,SUM($G$31:FJ$31)=0),FK20,0)</f>
        <v>0</v>
      </c>
      <c r="FL31" s="40">
        <f>IF(AND(FL30&gt;$E$25,SUM($G$31:FK$31)=0),FL20,0)</f>
        <v>0</v>
      </c>
      <c r="FM31" s="40">
        <f>IF(AND(FM30&gt;$E$25,SUM($G$31:FL$31)=0),FM20,0)</f>
        <v>0</v>
      </c>
      <c r="FN31" s="40">
        <f>IF(AND(FN30&gt;$E$25,SUM($G$31:FM$31)=0),FN20,0)</f>
        <v>0</v>
      </c>
      <c r="FO31" s="40">
        <f>IF(AND(FO30&gt;$E$25,SUM($G$31:FN$31)=0),FO20,0)</f>
        <v>0</v>
      </c>
      <c r="FP31" s="40">
        <f>IF(AND(FP30&gt;$E$25,SUM($G$31:FO$31)=0),FP20,0)</f>
        <v>0</v>
      </c>
      <c r="FQ31" s="40">
        <f>IF(AND(FQ30&gt;$E$25,SUM($G$31:FP$31)=0),FQ20,0)</f>
        <v>0</v>
      </c>
      <c r="FR31" s="40">
        <f>IF(AND(FR30&gt;$E$25,SUM($G$31:FQ$31)=0),FR20,0)</f>
        <v>0</v>
      </c>
      <c r="FS31" s="40">
        <f>IF(AND(FS30&gt;$E$25,SUM($G$31:FR$31)=0),FS20,0)</f>
        <v>0</v>
      </c>
      <c r="FT31" s="40">
        <f>IF(AND(FT30&gt;$E$25,SUM($G$31:FS$31)=0),FT20,0)</f>
        <v>0</v>
      </c>
      <c r="FU31" s="40">
        <f>IF(AND(FU30&gt;$E$25,SUM($G$31:FT$31)=0),FU20,0)</f>
        <v>0</v>
      </c>
      <c r="FV31" s="40">
        <f>IF(AND(FV30&gt;$E$25,SUM($G$31:FU$31)=0),FV20,0)</f>
        <v>0</v>
      </c>
      <c r="FW31" s="40">
        <f>IF(AND(FW30&gt;$E$25,SUM($G$31:FV$31)=0),FW20,0)</f>
        <v>0</v>
      </c>
      <c r="FX31" s="40">
        <f>IF(AND(FX30&gt;$E$25,SUM($G$31:FW$31)=0),FX20,0)</f>
        <v>0</v>
      </c>
      <c r="FY31" s="40">
        <f>IF(AND(FY30&gt;$E$25,SUM($G$31:FX$31)=0),FY20,0)</f>
        <v>0</v>
      </c>
      <c r="FZ31" s="40">
        <f>IF(AND(FZ30&gt;$E$25,SUM($G$31:FY$31)=0),FZ20,0)</f>
        <v>0</v>
      </c>
      <c r="GA31" s="40">
        <f>IF(AND(GA30&gt;$E$25,SUM($G$31:FZ$31)=0),GA20,0)</f>
        <v>0</v>
      </c>
      <c r="GB31" s="40">
        <f>IF(AND(GB30&gt;$E$25,SUM($G$31:GA$31)=0),GB20,0)</f>
        <v>0</v>
      </c>
      <c r="GC31" s="40">
        <f>IF(AND(GC30&gt;$E$25,SUM($G$31:GB$31)=0),GC20,0)</f>
        <v>0</v>
      </c>
      <c r="GD31" s="40">
        <f>IF(AND(GD30&gt;$E$25,SUM($G$31:GC$31)=0),GD20,0)</f>
        <v>0</v>
      </c>
      <c r="GE31" s="40">
        <f>IF(AND(GE30&gt;$E$25,SUM($G$31:GD$31)=0),GE20,0)</f>
        <v>0</v>
      </c>
      <c r="GF31" s="40">
        <f ca="1">IF(AND(GF30&gt;$E$25,SUM($G$31:GE$31)=0),GF20,0)</f>
        <v>180</v>
      </c>
      <c r="GG31" s="40">
        <f ca="1">IF(AND(GG30&gt;$E$25,SUM($G$31:GF$31)=0),GG20,0)</f>
        <v>0</v>
      </c>
      <c r="GH31" s="40">
        <f ca="1">IF(AND(GH30&gt;$E$25,SUM($G$31:GG$31)=0),GH20,0)</f>
        <v>0</v>
      </c>
      <c r="GI31" s="40">
        <f ca="1">IF(AND(GI30&gt;$E$25,SUM($G$31:GH$31)=0),GI20,0)</f>
        <v>0</v>
      </c>
      <c r="GJ31" s="40">
        <f ca="1">IF(AND(GJ30&gt;$E$25,SUM($G$31:GI$31)=0),GJ20,0)</f>
        <v>0</v>
      </c>
      <c r="GK31" s="40">
        <f ca="1">IF(AND(GK30&gt;$E$25,SUM($G$31:GJ$31)=0),GK20,0)</f>
        <v>0</v>
      </c>
      <c r="GL31" s="40">
        <f ca="1">IF(AND(GL30&gt;$E$25,SUM($G$31:GK$31)=0),GL20,0)</f>
        <v>0</v>
      </c>
      <c r="GM31" s="40">
        <f ca="1">IF(AND(GM30&gt;$E$25,SUM($G$31:GL$31)=0),GM20,0)</f>
        <v>0</v>
      </c>
      <c r="GN31" s="40">
        <f ca="1">IF(AND(GN30&gt;$E$25,SUM($G$31:GM$31)=0),GN20,0)</f>
        <v>0</v>
      </c>
      <c r="GO31" s="40">
        <f ca="1">IF(AND(GO30&gt;$E$25,SUM($G$31:GN$31)=0),GO20,0)</f>
        <v>0</v>
      </c>
      <c r="GP31" s="40">
        <f ca="1">IF(AND(GP30&gt;$E$25,SUM($G$31:GO$31)=0),GP20,0)</f>
        <v>0</v>
      </c>
      <c r="GQ31" s="40">
        <f ca="1">IF(AND(GQ30&gt;$E$25,SUM($G$31:GP$31)=0),GQ20,0)</f>
        <v>0</v>
      </c>
      <c r="GR31" s="40">
        <f ca="1">IF(AND(GR30&gt;$E$25,SUM($G$31:GQ$31)=0),GR20,0)</f>
        <v>0</v>
      </c>
      <c r="GS31" s="40">
        <f ca="1">IF(AND(GS30&gt;$E$25,SUM($G$31:GR$31)=0),GS20,0)</f>
        <v>0</v>
      </c>
      <c r="GT31" s="40">
        <f ca="1">IF(AND(GT30&gt;$E$25,SUM($G$31:GS$31)=0),GT20,0)</f>
        <v>0</v>
      </c>
      <c r="GU31" s="40">
        <f ca="1">IF(AND(GU30&gt;$E$25,SUM($G$31:GT$31)=0),GU20,0)</f>
        <v>0</v>
      </c>
      <c r="GV31" s="40">
        <f ca="1">IF(AND(GV30&gt;$E$25,SUM($G$31:GU$31)=0),GV20,0)</f>
        <v>0</v>
      </c>
      <c r="GW31" s="40">
        <f ca="1">IF(AND(GW30&gt;$E$25,SUM($G$31:GV$31)=0),GW20,0)</f>
        <v>0</v>
      </c>
      <c r="GX31" s="40">
        <f ca="1">IF(AND(GX30&gt;$E$25,SUM($G$31:GW$31)=0),GX20,0)</f>
        <v>0</v>
      </c>
      <c r="GY31" s="40">
        <f ca="1">IF(AND(GY30&gt;$E$25,SUM($G$31:GX$31)=0),GY20,0)</f>
        <v>0</v>
      </c>
      <c r="GZ31" s="40">
        <f ca="1">IF(AND(GZ30&gt;$E$25,SUM($G$31:GY$31)=0),GZ20,0)</f>
        <v>0</v>
      </c>
      <c r="HA31" s="40">
        <f ca="1">IF(AND(HA30&gt;$E$25,SUM($G$31:GZ$31)=0),HA20,0)</f>
        <v>0</v>
      </c>
      <c r="HB31" s="40">
        <f ca="1">IF(AND(HB30&gt;$E$25,SUM($G$31:HA$31)=0),HB20,0)</f>
        <v>0</v>
      </c>
      <c r="HC31" s="40">
        <f ca="1">IF(AND(HC30&gt;$E$25,SUM($G$31:HB$31)=0),HC20,0)</f>
        <v>0</v>
      </c>
      <c r="HD31" s="40">
        <f ca="1">IF(AND(HD30&gt;$E$25,SUM($G$31:HC$31)=0),HD20,0)</f>
        <v>0</v>
      </c>
      <c r="HE31" s="40">
        <f ca="1">IF(AND(HE30&gt;$E$25,SUM($G$31:HD$31)=0),HE20,0)</f>
        <v>0</v>
      </c>
      <c r="HF31" s="40">
        <f ca="1">IF(AND(HF30&gt;$E$25,SUM($G$31:HE$31)=0),HF20,0)</f>
        <v>0</v>
      </c>
      <c r="HG31" s="40">
        <f ca="1">IF(AND(HG30&gt;$E$25,SUM($G$31:HF$31)=0),HG20,0)</f>
        <v>0</v>
      </c>
      <c r="HH31" s="40">
        <f ca="1">IF(AND(HH30&gt;$E$25,SUM($G$31:HG$31)=0),HH20,0)</f>
        <v>0</v>
      </c>
      <c r="HI31" s="40">
        <f ca="1">IF(AND(HI30&gt;$E$25,SUM($G$31:HH$31)=0),HI20,0)</f>
        <v>0</v>
      </c>
      <c r="HJ31" s="40">
        <f ca="1">IF(AND(HJ30&gt;$E$25,SUM($G$31:HI$31)=0),HJ20,0)</f>
        <v>0</v>
      </c>
      <c r="HK31" s="40">
        <f ca="1">IF(AND(HK30&gt;$E$25,SUM($G$31:HJ$31)=0),HK20,0)</f>
        <v>0</v>
      </c>
      <c r="HL31" s="40">
        <f ca="1">IF(AND(HL30&gt;$E$25,SUM($G$31:HK$31)=0),HL20,0)</f>
        <v>0</v>
      </c>
      <c r="HM31" s="40">
        <f ca="1">IF(AND(HM30&gt;$E$25,SUM($G$31:HL$31)=0),HM20,0)</f>
        <v>0</v>
      </c>
      <c r="HN31" s="40">
        <f ca="1">IF(AND(HN30&gt;$E$25,SUM($G$31:HM$31)=0),HN20,0)</f>
        <v>0</v>
      </c>
      <c r="HO31" s="40">
        <f ca="1">IF(AND(HO30&gt;$E$25,SUM($G$31:HN$31)=0),HO20,0)</f>
        <v>0</v>
      </c>
      <c r="HP31" s="40">
        <f ca="1">IF(AND(HP30&gt;$E$25,SUM($G$31:HO$31)=0),HP20,0)</f>
        <v>0</v>
      </c>
      <c r="HQ31" s="40">
        <f ca="1">IF(AND(HQ30&gt;$E$25,SUM($G$31:HP$31)=0),HQ20,0)</f>
        <v>0</v>
      </c>
      <c r="HR31" s="40">
        <f ca="1">IF(AND(HR30&gt;$E$25,SUM($G$31:HQ$31)=0),HR20,0)</f>
        <v>0</v>
      </c>
      <c r="HS31" s="40">
        <f ca="1">IF(AND(HS30&gt;$E$25,SUM($G$31:HR$31)=0),HS20,0)</f>
        <v>0</v>
      </c>
      <c r="HT31" s="40">
        <f ca="1">IF(AND(HT30&gt;$E$25,SUM($G$31:HS$31)=0),HT20,0)</f>
        <v>0</v>
      </c>
      <c r="HU31" s="40">
        <f ca="1">IF(AND(HU30&gt;$E$25,SUM($G$31:HT$31)=0),HU20,0)</f>
        <v>0</v>
      </c>
      <c r="HV31" s="40">
        <f ca="1">IF(AND(HV30&gt;$E$25,SUM($G$31:HU$31)=0),HV20,0)</f>
        <v>0</v>
      </c>
      <c r="HW31" s="40">
        <f ca="1">IF(AND(HW30&gt;$E$25,SUM($G$31:HV$31)=0),HW20,0)</f>
        <v>0</v>
      </c>
      <c r="HX31" s="40">
        <f ca="1">IF(AND(HX30&gt;$E$25,SUM($G$31:HW$31)=0),HX20,0)</f>
        <v>0</v>
      </c>
      <c r="HY31" s="40">
        <f ca="1">IF(AND(HY30&gt;$E$25,SUM($G$31:HX$31)=0),HY20,0)</f>
        <v>0</v>
      </c>
      <c r="HZ31" s="40">
        <f ca="1">IF(AND(HZ30&gt;$E$25,SUM($G$31:HY$31)=0),HZ20,0)</f>
        <v>0</v>
      </c>
      <c r="IA31" s="40">
        <f ca="1">IF(AND(IA30&gt;$E$25,SUM($G$31:HZ$31)=0),IA20,0)</f>
        <v>0</v>
      </c>
      <c r="IB31" s="40">
        <f ca="1">IF(AND(IB30&gt;$E$25,SUM($G$31:IA$31)=0),IB20,0)</f>
        <v>0</v>
      </c>
      <c r="IC31" s="40">
        <f ca="1">IF(AND(IC30&gt;$E$25,SUM($G$31:IB$31)=0),IC20,0)</f>
        <v>0</v>
      </c>
      <c r="ID31" s="40">
        <f ca="1">IF(AND(ID30&gt;$E$25,SUM($G$31:IC$31)=0),ID20,0)</f>
        <v>0</v>
      </c>
      <c r="IE31" s="40">
        <f ca="1">IF(AND(IE30&gt;$E$25,SUM($G$31:ID$31)=0),IE20,0)</f>
        <v>0</v>
      </c>
      <c r="IF31" s="40">
        <f ca="1">IF(AND(IF30&gt;$E$25,SUM($G$31:IE$31)=0),IF20,0)</f>
        <v>0</v>
      </c>
      <c r="IG31" s="40">
        <f ca="1">IF(AND(IG30&gt;$E$25,SUM($G$31:IF$31)=0),IG20,0)</f>
        <v>0</v>
      </c>
      <c r="IH31" s="40">
        <f ca="1">IF(AND(IH30&gt;$E$25,SUM($G$31:IG$31)=0),IH20,0)</f>
        <v>0</v>
      </c>
      <c r="II31" s="40">
        <f ca="1">IF(AND(II30&gt;$E$25,SUM($G$31:IH$31)=0),II20,0)</f>
        <v>0</v>
      </c>
      <c r="IJ31" s="40">
        <f ca="1">IF(AND(IJ30&gt;$E$25,SUM($G$31:II$31)=0),IJ20,0)</f>
        <v>0</v>
      </c>
      <c r="IK31" s="40">
        <f ca="1">IF(AND(IK30&gt;$E$25,SUM($G$31:IJ$31)=0),IK20,0)</f>
        <v>0</v>
      </c>
      <c r="IL31" s="40">
        <f ca="1">IF(AND(IL30&gt;$E$25,SUM($G$31:IK$31)=0),IL20,0)</f>
        <v>0</v>
      </c>
      <c r="IM31" s="40">
        <f ca="1">IF(AND(IM30&gt;$E$25,SUM($G$31:IL$31)=0),IM20,0)</f>
        <v>0</v>
      </c>
      <c r="IN31" s="40">
        <f ca="1">IF(AND(IN30&gt;$E$25,SUM($G$31:IM$31)=0),IN20,0)</f>
        <v>0</v>
      </c>
      <c r="IO31" s="40">
        <f ca="1">IF(AND(IO30&gt;$E$25,SUM($G$31:IN$31)=0),IO20,0)</f>
        <v>0</v>
      </c>
      <c r="IP31" s="40">
        <f ca="1">IF(AND(IP30&gt;$E$25,SUM($G$31:IO$31)=0),IP20,0)</f>
        <v>0</v>
      </c>
      <c r="IQ31" s="40">
        <f ca="1">IF(AND(IQ30&gt;$E$25,SUM($G$31:IP$31)=0),IQ20,0)</f>
        <v>0</v>
      </c>
      <c r="IR31" s="40">
        <f ca="1">IF(AND(IR30&gt;$E$25,SUM($G$31:IQ$31)=0),IR20,0)</f>
        <v>0</v>
      </c>
      <c r="IS31" s="40">
        <f ca="1">IF(AND(IS30&gt;$E$25,SUM($G$31:IR$31)=0),IS20,0)</f>
        <v>0</v>
      </c>
      <c r="IT31" s="40">
        <f ca="1">IF(AND(IT30&gt;$E$25,SUM($G$31:IS$31)=0),IT20,0)</f>
        <v>0</v>
      </c>
      <c r="IU31" s="40">
        <f ca="1">IF(AND(IU30&gt;$E$25,SUM($G$31:IT$31)=0),IU20,0)</f>
        <v>0</v>
      </c>
      <c r="IV31" s="40">
        <f ca="1">IF(AND(IV30&gt;$E$25,SUM($G$31:IU$31)=0),IV20,0)</f>
        <v>0</v>
      </c>
      <c r="IW31" s="40">
        <f ca="1">IF(AND(IW30&gt;$E$25,SUM($G$31:IV$31)=0),IW20,0)</f>
        <v>0</v>
      </c>
      <c r="IX31" s="40">
        <f ca="1">IF(AND(IX30&gt;$E$25,SUM($G$31:IW$31)=0),IX20,0)</f>
        <v>0</v>
      </c>
      <c r="IY31" s="40">
        <f ca="1">IF(AND(IY30&gt;$E$25,SUM($G$31:IX$31)=0),IY20,0)</f>
        <v>0</v>
      </c>
      <c r="IZ31" s="40">
        <f ca="1">IF(AND(IZ30&gt;$E$25,SUM($G$31:IY$31)=0),IZ20,0)</f>
        <v>0</v>
      </c>
      <c r="JA31" s="40">
        <f ca="1">IF(AND(JA30&gt;$E$25,SUM($G$31:IZ$31)=0),JA20,0)</f>
        <v>0</v>
      </c>
      <c r="JB31" s="40">
        <f ca="1">IF(AND(JB30&gt;$E$25,SUM($G$31:JA$31)=0),JB20,0)</f>
        <v>0</v>
      </c>
      <c r="JC31" s="40">
        <f ca="1">IF(AND(JC30&gt;$E$25,SUM($G$31:JB$31)=0),JC20,0)</f>
        <v>0</v>
      </c>
      <c r="JD31" s="40">
        <f ca="1">IF(AND(JD30&gt;$E$25,SUM($G$31:JC$31)=0),JD20,0)</f>
        <v>0</v>
      </c>
      <c r="JE31" s="40">
        <f ca="1">IF(AND(JE30&gt;$E$25,SUM($G$31:JD$31)=0),JE20,0)</f>
        <v>0</v>
      </c>
      <c r="JF31" s="40">
        <f ca="1">IF(AND(JF30&gt;$E$25,SUM($G$31:JE$31)=0),JF20,0)</f>
        <v>0</v>
      </c>
      <c r="JG31" s="40">
        <f ca="1">IF(AND(JG30&gt;$E$25,SUM($G$31:JF$31)=0),JG20,0)</f>
        <v>0</v>
      </c>
      <c r="JH31" s="40">
        <f ca="1">IF(AND(JH30&gt;$E$25,SUM($G$31:JG$31)=0),JH20,0)</f>
        <v>0</v>
      </c>
      <c r="JI31" s="40">
        <f ca="1">IF(AND(JI30&gt;$E$25,SUM($G$31:JH$31)=0),JI20,0)</f>
        <v>0</v>
      </c>
      <c r="JJ31" s="40">
        <f ca="1">IF(AND(JJ30&gt;$E$25,SUM($G$31:JI$31)=0),JJ20,0)</f>
        <v>0</v>
      </c>
      <c r="JK31" s="40">
        <f ca="1">IF(AND(JK30&gt;$E$25,SUM($G$31:JJ$31)=0),JK20,0)</f>
        <v>0</v>
      </c>
      <c r="JL31" s="40">
        <f ca="1">IF(AND(JL30&gt;$E$25,SUM($G$31:JK$31)=0),JL20,0)</f>
        <v>0</v>
      </c>
      <c r="JM31" s="40">
        <f ca="1">IF(AND(JM30&gt;$E$25,SUM($G$31:JL$31)=0),JM20,0)</f>
        <v>0</v>
      </c>
      <c r="JN31" s="40">
        <f ca="1">IF(AND(JN30&gt;$E$25,SUM($G$31:JM$31)=0),JN20,0)</f>
        <v>0</v>
      </c>
      <c r="JO31" s="40">
        <f ca="1">IF(AND(JO30&gt;$E$25,SUM($G$31:JN$31)=0),JO20,0)</f>
        <v>0</v>
      </c>
      <c r="JP31" s="40">
        <f ca="1">IF(AND(JP30&gt;$E$25,SUM($G$31:JO$31)=0),JP20,0)</f>
        <v>0</v>
      </c>
      <c r="JQ31" s="40">
        <f ca="1">IF(AND(JQ30&gt;$E$25,SUM($G$31:JP$31)=0),JQ20,0)</f>
        <v>0</v>
      </c>
      <c r="JR31" s="40">
        <f ca="1">IF(AND(JR30&gt;$E$25,SUM($G$31:JQ$31)=0),JR20,0)</f>
        <v>0</v>
      </c>
      <c r="JS31" s="40">
        <f ca="1">IF(AND(JS30&gt;$E$25,SUM($G$31:JR$31)=0),JS20,0)</f>
        <v>0</v>
      </c>
      <c r="JT31" s="40">
        <f ca="1">IF(AND(JT30&gt;$E$25,SUM($G$31:JS$31)=0),JT20,0)</f>
        <v>0</v>
      </c>
      <c r="JU31" s="40">
        <f ca="1">IF(AND(JU30&gt;$E$25,SUM($G$31:JT$31)=0),JU20,0)</f>
        <v>0</v>
      </c>
      <c r="JV31" s="40">
        <f ca="1">IF(AND(JV30&gt;$E$25,SUM($G$31:JU$31)=0),JV20,0)</f>
        <v>0</v>
      </c>
      <c r="JW31" s="40">
        <f ca="1">IF(AND(JW30&gt;$E$25,SUM($G$31:JV$31)=0),JW20,0)</f>
        <v>0</v>
      </c>
      <c r="JX31" s="40">
        <f ca="1">IF(AND(JX30&gt;$E$25,SUM($G$31:JW$31)=0),JX20,0)</f>
        <v>0</v>
      </c>
      <c r="JY31" s="40">
        <f ca="1">IF(AND(JY30&gt;$E$25,SUM($G$31:JX$31)=0),JY20,0)</f>
        <v>0</v>
      </c>
      <c r="JZ31" s="40">
        <f ca="1">IF(AND(JZ30&gt;$E$25,SUM($G$31:JY$31)=0),JZ20,0)</f>
        <v>0</v>
      </c>
      <c r="KA31" s="40">
        <f ca="1">IF(AND(KA30&gt;$E$25,SUM($G$31:JZ$31)=0),KA20,0)</f>
        <v>0</v>
      </c>
      <c r="KB31" s="40">
        <f ca="1">IF(AND(KB30&gt;$E$25,SUM($G$31:KA$31)=0),KB20,0)</f>
        <v>0</v>
      </c>
      <c r="KC31" s="40">
        <f ca="1">IF(AND(KC30&gt;$E$25,SUM($G$31:KB$31)=0),KC20,0)</f>
        <v>0</v>
      </c>
      <c r="KD31" s="40">
        <f ca="1">IF(AND(KD30&gt;$E$25,SUM($G$31:KC$31)=0),KD20,0)</f>
        <v>0</v>
      </c>
      <c r="KE31" s="40">
        <f ca="1">IF(AND(KE30&gt;$E$25,SUM($G$31:KD$31)=0),KE20,0)</f>
        <v>0</v>
      </c>
      <c r="KF31" s="40">
        <f ca="1">IF(AND(KF30&gt;$E$25,SUM($G$31:KE$31)=0),KF20,0)</f>
        <v>0</v>
      </c>
      <c r="KG31" s="40">
        <f ca="1">IF(AND(KG30&gt;$E$25,SUM($G$31:KF$31)=0),KG20,0)</f>
        <v>0</v>
      </c>
      <c r="KH31" s="40">
        <f ca="1">IF(AND(KH30&gt;$E$25,SUM($G$31:KG$31)=0),KH20,0)</f>
        <v>0</v>
      </c>
      <c r="KI31" s="40">
        <f ca="1">IF(AND(KI30&gt;$E$25,SUM($G$31:KH$31)=0),KI20,0)</f>
        <v>0</v>
      </c>
      <c r="KJ31" s="40">
        <f ca="1">IF(AND(KJ30&gt;$E$25,SUM($G$31:KI$31)=0),KJ20,0)</f>
        <v>0</v>
      </c>
      <c r="KK31" s="40">
        <f ca="1">IF(AND(KK30&gt;$E$25,SUM($G$31:KJ$31)=0),KK20,0)</f>
        <v>0</v>
      </c>
      <c r="KL31" s="40">
        <f ca="1">IF(AND(KL30&gt;$E$25,SUM($G$31:KK$31)=0),KL20,0)</f>
        <v>0</v>
      </c>
      <c r="KM31" s="40">
        <f ca="1">IF(AND(KM30&gt;$E$25,SUM($G$31:KL$31)=0),KM20,0)</f>
        <v>0</v>
      </c>
      <c r="KN31" s="40">
        <f ca="1">IF(AND(KN30&gt;$E$25,SUM($G$31:KM$31)=0),KN20,0)</f>
        <v>0</v>
      </c>
      <c r="KO31" s="40">
        <f ca="1">IF(AND(KO30&gt;$E$25,SUM($G$31:KN$31)=0),KO20,0)</f>
        <v>0</v>
      </c>
      <c r="KP31" s="40">
        <f ca="1">IF(AND(KP30&gt;$E$25,SUM($G$31:KO$31)=0),KP20,0)</f>
        <v>0</v>
      </c>
      <c r="KQ31" s="40">
        <f ca="1">IF(AND(KQ30&gt;$E$25,SUM($G$31:KP$31)=0),KQ20,0)</f>
        <v>0</v>
      </c>
      <c r="KR31" s="40">
        <f ca="1">IF(AND(KR30&gt;$E$25,SUM($G$31:KQ$31)=0),KR20,0)</f>
        <v>0</v>
      </c>
      <c r="KS31" s="40">
        <f ca="1">IF(AND(KS30&gt;$E$25,SUM($G$31:KR$31)=0),KS20,0)</f>
        <v>0</v>
      </c>
      <c r="KT31" s="40">
        <f ca="1">IF(AND(KT30&gt;$E$25,SUM($G$31:KS$31)=0),KT20,0)</f>
        <v>0</v>
      </c>
      <c r="KU31" s="40">
        <f ca="1">IF(AND(KU30&gt;$E$25,SUM($G$31:KT$31)=0),KU20,0)</f>
        <v>0</v>
      </c>
      <c r="KV31" s="40">
        <f ca="1">IF(AND(KV30&gt;$E$25,SUM($G$31:KU$31)=0),KV20,0)</f>
        <v>0</v>
      </c>
      <c r="KW31" s="40">
        <f ca="1">IF(AND(KW30&gt;$E$25,SUM($G$31:KV$31)=0),KW20,0)</f>
        <v>0</v>
      </c>
      <c r="KX31" s="40">
        <f ca="1">IF(AND(KX30&gt;$E$25,SUM($G$31:KW$31)=0),KX20,0)</f>
        <v>0</v>
      </c>
      <c r="KY31" s="40">
        <f ca="1">IF(AND(KY30&gt;$E$25,SUM($G$31:KX$31)=0),KY20,0)</f>
        <v>0</v>
      </c>
      <c r="KZ31" s="40">
        <f ca="1">IF(AND(KZ30&gt;$E$25,SUM($G$31:KY$31)=0),KZ20,0)</f>
        <v>0</v>
      </c>
      <c r="LA31" s="40">
        <f ca="1">IF(AND(LA30&gt;$E$25,SUM($G$31:KZ$31)=0),LA20,0)</f>
        <v>0</v>
      </c>
      <c r="LB31" s="40">
        <f ca="1">IF(AND(LB30&gt;$E$25,SUM($G$31:LA$31)=0),LB20,0)</f>
        <v>0</v>
      </c>
      <c r="LC31" s="40">
        <f ca="1">IF(AND(LC30&gt;$E$25,SUM($G$31:LB$31)=0),LC20,0)</f>
        <v>0</v>
      </c>
      <c r="LD31" s="40">
        <f ca="1">IF(AND(LD30&gt;$E$25,SUM($G$31:LC$31)=0),LD20,0)</f>
        <v>0</v>
      </c>
      <c r="LE31" s="40">
        <f ca="1">IF(AND(LE30&gt;$E$25,SUM($G$31:LD$31)=0),LE20,0)</f>
        <v>0</v>
      </c>
      <c r="LF31" s="40">
        <f ca="1">IF(AND(LF30&gt;$E$25,SUM($G$31:LE$31)=0),LF20,0)</f>
        <v>0</v>
      </c>
      <c r="LG31" s="40">
        <f ca="1">IF(AND(LG30&gt;$E$25,SUM($G$31:LF$31)=0),LG20,0)</f>
        <v>0</v>
      </c>
      <c r="LH31" s="40">
        <f ca="1">IF(AND(LH30&gt;$E$25,SUM($G$31:LG$31)=0),LH20,0)</f>
        <v>0</v>
      </c>
      <c r="LI31" s="40">
        <f ca="1">IF(AND(LI30&gt;$E$25,SUM($G$31:LH$31)=0),LI20,0)</f>
        <v>0</v>
      </c>
      <c r="LJ31" s="40">
        <f ca="1">IF(AND(LJ30&gt;$E$25,SUM($G$31:LI$31)=0),LJ20,0)</f>
        <v>0</v>
      </c>
      <c r="LK31" s="40">
        <f ca="1">IF(AND(LK30&gt;$E$25,SUM($G$31:LJ$31)=0),LK20,0)</f>
        <v>0</v>
      </c>
      <c r="LL31" s="40">
        <f ca="1">IF(AND(LL30&gt;$E$25,SUM($G$31:LK$31)=0),LL20,0)</f>
        <v>0</v>
      </c>
      <c r="LM31" s="40">
        <f ca="1">IF(AND(LM30&gt;$E$25,SUM($G$31:LL$31)=0),LM20,0)</f>
        <v>0</v>
      </c>
      <c r="LN31" s="40">
        <f ca="1">IF(AND(LN30&gt;$E$25,SUM($G$31:LM$31)=0),LN20,0)</f>
        <v>0</v>
      </c>
      <c r="LO31" s="40">
        <f ca="1">IF(AND(LO30&gt;$E$25,SUM($G$31:LN$31)=0),LO20,0)</f>
        <v>0</v>
      </c>
      <c r="LP31" s="40">
        <f ca="1">IF(AND(LP30&gt;$E$25,SUM($G$31:LO$31)=0),LP20,0)</f>
        <v>0</v>
      </c>
      <c r="LQ31" s="40">
        <f ca="1">IF(AND(LQ30&gt;$E$25,SUM($G$31:LP$31)=0),LQ20,0)</f>
        <v>0</v>
      </c>
      <c r="LR31" s="40">
        <f ca="1">IF(AND(LR30&gt;$E$25,SUM($G$31:LQ$31)=0),LR20,0)</f>
        <v>0</v>
      </c>
      <c r="LS31" s="40">
        <f ca="1">IF(AND(LS30&gt;$E$25,SUM($G$31:LR$31)=0),LS20,0)</f>
        <v>0</v>
      </c>
      <c r="LT31" s="40">
        <f ca="1">IF(AND(LT30&gt;$E$25,SUM($G$31:LS$31)=0),LT20,0)</f>
        <v>0</v>
      </c>
      <c r="LU31" s="40">
        <f ca="1">IF(AND(LU30&gt;$E$25,SUM($G$31:LT$31)=0),LU20,0)</f>
        <v>0</v>
      </c>
      <c r="LV31" s="40">
        <f ca="1">IF(AND(LV30&gt;$E$25,SUM($G$31:LU$31)=0),LV20,0)</f>
        <v>0</v>
      </c>
      <c r="LW31" s="40">
        <f ca="1">IF(AND(LW30&gt;$E$25,SUM($G$31:LV$31)=0),LW20,0)</f>
        <v>0</v>
      </c>
      <c r="LX31" s="40">
        <f ca="1">IF(AND(LX30&gt;$E$25,SUM($G$31:LW$31)=0),LX20,0)</f>
        <v>0</v>
      </c>
      <c r="LY31" s="40">
        <f ca="1">IF(AND(LY30&gt;$E$25,SUM($G$31:LX$31)=0),LY20,0)</f>
        <v>0</v>
      </c>
      <c r="LZ31" s="40">
        <f ca="1">IF(AND(LZ30&gt;$E$25,SUM($G$31:LY$31)=0),LZ20,0)</f>
        <v>0</v>
      </c>
      <c r="MA31" s="40">
        <f ca="1">IF(AND(MA30&gt;$E$25,SUM($G$31:LZ$31)=0),MA20,0)</f>
        <v>0</v>
      </c>
      <c r="MB31" s="40">
        <f ca="1">IF(AND(MB30&gt;$E$25,SUM($G$31:MA$31)=0),MB20,0)</f>
        <v>0</v>
      </c>
      <c r="MC31" s="40">
        <f ca="1">IF(AND(MC30&gt;$E$25,SUM($G$31:MB$31)=0),MC20,0)</f>
        <v>0</v>
      </c>
      <c r="MD31" s="40">
        <f ca="1">IF(AND(MD30&gt;$E$25,SUM($G$31:MC$31)=0),MD20,0)</f>
        <v>0</v>
      </c>
      <c r="ME31" s="40">
        <f ca="1">IF(AND(ME30&gt;$E$25,SUM($G$31:MD$31)=0),ME20,0)</f>
        <v>0</v>
      </c>
      <c r="MF31" s="40">
        <f ca="1">IF(AND(MF30&gt;$E$25,SUM($G$31:ME$31)=0),MF20,0)</f>
        <v>0</v>
      </c>
      <c r="MG31" s="40">
        <f ca="1">IF(AND(MG30&gt;$E$25,SUM($G$31:MF$31)=0),MG20,0)</f>
        <v>0</v>
      </c>
      <c r="MH31" s="40">
        <f ca="1">IF(AND(MH30&gt;$E$25,SUM($G$31:MG$31)=0),MH20,0)</f>
        <v>0</v>
      </c>
      <c r="MI31" s="40">
        <f ca="1">IF(AND(MI30&gt;$E$25,SUM($G$31:MH$31)=0),MI20,0)</f>
        <v>0</v>
      </c>
      <c r="MJ31" s="40">
        <f ca="1">IF(AND(MJ30&gt;$E$25,SUM($G$31:MI$31)=0),MJ20,0)</f>
        <v>0</v>
      </c>
      <c r="MK31" s="40">
        <f ca="1">IF(AND(MK30&gt;$E$25,SUM($G$31:MJ$31)=0),MK20,0)</f>
        <v>0</v>
      </c>
      <c r="ML31" s="40">
        <f ca="1">IF(AND(ML30&gt;$E$25,SUM($G$31:MK$31)=0),ML20,0)</f>
        <v>0</v>
      </c>
      <c r="MM31" s="40">
        <f ca="1">IF(AND(MM30&gt;$E$25,SUM($G$31:ML$31)=0),MM20,0)</f>
        <v>0</v>
      </c>
      <c r="MN31" s="40">
        <f ca="1">IF(AND(MN30&gt;$E$25,SUM($G$31:MM$31)=0),MN20,0)</f>
        <v>0</v>
      </c>
      <c r="MO31" s="40">
        <f ca="1">IF(AND(MO30&gt;$E$25,SUM($G$31:MN$31)=0),MO20,0)</f>
        <v>0</v>
      </c>
      <c r="MP31" s="40">
        <f ca="1">IF(AND(MP30&gt;$E$25,SUM($G$31:MO$31)=0),MP20,0)</f>
        <v>0</v>
      </c>
      <c r="MQ31" s="40">
        <f ca="1">IF(AND(MQ30&gt;$E$25,SUM($G$31:MP$31)=0),MQ20,0)</f>
        <v>0</v>
      </c>
      <c r="MR31" s="40">
        <f ca="1">IF(AND(MR30&gt;$E$25,SUM($G$31:MQ$31)=0),MR20,0)</f>
        <v>0</v>
      </c>
      <c r="MS31" s="40">
        <f ca="1">IF(AND(MS30&gt;$E$25,SUM($G$31:MR$31)=0),MS20,0)</f>
        <v>0</v>
      </c>
      <c r="MT31" s="40">
        <f ca="1">IF(AND(MT30&gt;$E$25,SUM($G$31:MS$31)=0),MT20,0)</f>
        <v>0</v>
      </c>
      <c r="MU31" s="40">
        <f ca="1">IF(AND(MU30&gt;$E$25,SUM($G$31:MT$31)=0),MU20,0)</f>
        <v>0</v>
      </c>
      <c r="MV31" s="40">
        <f ca="1">IF(AND(MV30&gt;$E$25,SUM($G$31:MU$31)=0),MV20,0)</f>
        <v>0</v>
      </c>
      <c r="MW31" s="40">
        <f ca="1">IF(AND(MW30&gt;$E$25,SUM($G$31:MV$31)=0),MW20,0)</f>
        <v>0</v>
      </c>
      <c r="MX31" s="40">
        <f ca="1">IF(AND(MX30&gt;$E$25,SUM($G$31:MW$31)=0),MX20,0)</f>
        <v>0</v>
      </c>
      <c r="MY31" s="40">
        <f ca="1">IF(AND(MY30&gt;$E$25,SUM($G$31:MX$31)=0),MY20,0)</f>
        <v>0</v>
      </c>
      <c r="MZ31" s="40">
        <f ca="1">IF(AND(MZ30&gt;$E$25,SUM($G$31:MY$31)=0),MZ20,0)</f>
        <v>0</v>
      </c>
      <c r="NA31" s="40">
        <f ca="1">IF(AND(NA30&gt;$E$25,SUM($G$31:MZ$31)=0),NA20,0)</f>
        <v>0</v>
      </c>
      <c r="NB31" s="40">
        <f ca="1">IF(AND(NB30&gt;$E$25,SUM($G$31:NA$31)=0),NB20,0)</f>
        <v>0</v>
      </c>
      <c r="NC31" s="40">
        <f ca="1">IF(AND(NC30&gt;$E$25,SUM($G$31:NB$31)=0),NC20,0)</f>
        <v>0</v>
      </c>
      <c r="ND31" s="40">
        <f ca="1">IF(AND(ND30&gt;$E$25,SUM($G$31:NC$31)=0),ND20,0)</f>
        <v>0</v>
      </c>
      <c r="NE31" s="40"/>
      <c r="NF31" s="40"/>
      <c r="NG31" s="40"/>
      <c r="NH31" s="40"/>
      <c r="NI31" s="40"/>
      <c r="NJ31" s="40"/>
      <c r="NK31" s="40"/>
      <c r="NL31" s="40"/>
      <c r="NM31" s="40"/>
      <c r="NN31" s="40"/>
      <c r="NO31" s="40"/>
      <c r="NP31" s="40"/>
      <c r="NQ31" s="40"/>
      <c r="NR31" s="40"/>
    </row>
    <row r="32" spans="2:382" x14ac:dyDescent="0.15">
      <c r="B32" s="518"/>
      <c r="C32" s="45"/>
      <c r="D32" s="52"/>
      <c r="E32" s="40"/>
      <c r="F32" s="40"/>
      <c r="G32" s="114"/>
      <c r="H32" s="40"/>
      <c r="I32" s="40"/>
      <c r="J32" s="40"/>
      <c r="K32" s="40"/>
      <c r="L32" s="40"/>
      <c r="M32" s="40"/>
      <c r="N32" s="40"/>
      <c r="O32" s="40"/>
      <c r="P32" s="40"/>
      <c r="Q32" s="40"/>
      <c r="R32" s="40"/>
      <c r="S32" s="40"/>
      <c r="T32" s="40"/>
      <c r="U32" s="40"/>
      <c r="V32" s="40"/>
      <c r="W32" s="40"/>
      <c r="X32" s="40"/>
      <c r="Y32" s="40"/>
      <c r="Z32" s="40"/>
      <c r="AA32" s="40"/>
      <c r="AB32" s="40"/>
      <c r="AC32" s="40"/>
      <c r="AD32" s="40"/>
      <c r="AE32" s="40"/>
      <c r="AF32" s="40"/>
      <c r="AG32" s="40"/>
      <c r="AH32" s="40"/>
      <c r="AI32" s="40"/>
      <c r="AJ32" s="40"/>
      <c r="AK32" s="40"/>
      <c r="AL32" s="40"/>
      <c r="AM32" s="40"/>
      <c r="AN32" s="40"/>
      <c r="AO32" s="40"/>
      <c r="AP32" s="40"/>
      <c r="AQ32" s="40"/>
      <c r="AR32" s="40"/>
      <c r="AS32" s="40"/>
      <c r="AT32" s="40"/>
      <c r="AU32" s="40"/>
      <c r="AV32" s="40"/>
      <c r="AW32" s="40"/>
      <c r="AX32" s="40"/>
      <c r="AY32" s="40"/>
      <c r="AZ32" s="40"/>
      <c r="BA32" s="40"/>
      <c r="BB32" s="40"/>
      <c r="BC32" s="40"/>
      <c r="BD32" s="40"/>
      <c r="BE32" s="40"/>
      <c r="BF32" s="40"/>
      <c r="BG32" s="40"/>
      <c r="BH32" s="40"/>
      <c r="BI32" s="40"/>
      <c r="BJ32" s="40"/>
      <c r="BK32" s="40"/>
      <c r="BL32" s="40"/>
      <c r="BM32" s="40"/>
      <c r="BN32" s="40"/>
      <c r="BO32" s="40"/>
      <c r="BP32" s="40"/>
      <c r="BQ32" s="40"/>
      <c r="BR32" s="40"/>
      <c r="BS32" s="40"/>
      <c r="BT32" s="40"/>
      <c r="BU32" s="40"/>
      <c r="BV32" s="40"/>
      <c r="BW32" s="40"/>
      <c r="BX32" s="40"/>
      <c r="BY32" s="40"/>
      <c r="BZ32" s="40"/>
      <c r="CA32" s="40"/>
      <c r="CB32" s="40"/>
      <c r="CC32" s="40"/>
      <c r="CD32" s="40"/>
      <c r="CE32" s="40"/>
      <c r="CF32" s="40"/>
      <c r="CG32" s="40"/>
      <c r="CH32" s="40"/>
      <c r="CI32" s="40"/>
      <c r="CJ32" s="40"/>
      <c r="CK32" s="40"/>
      <c r="CL32" s="40"/>
      <c r="CM32" s="40"/>
      <c r="CN32" s="40"/>
      <c r="CO32" s="40"/>
      <c r="CP32" s="40"/>
      <c r="CQ32" s="40"/>
      <c r="CR32" s="40"/>
      <c r="CS32" s="40"/>
      <c r="CT32" s="40"/>
      <c r="CU32" s="40"/>
      <c r="CV32" s="40"/>
      <c r="CW32" s="40"/>
      <c r="CX32" s="40"/>
      <c r="CY32" s="40"/>
      <c r="CZ32" s="40"/>
      <c r="DA32" s="40"/>
      <c r="DB32" s="40"/>
      <c r="DC32" s="40"/>
      <c r="DD32" s="40"/>
      <c r="DE32" s="40"/>
      <c r="DF32" s="40"/>
      <c r="DG32" s="40"/>
      <c r="DH32" s="40"/>
      <c r="DI32" s="40"/>
      <c r="DJ32" s="40"/>
      <c r="DK32" s="40"/>
      <c r="DL32" s="40"/>
      <c r="DM32" s="40"/>
      <c r="DN32" s="40"/>
      <c r="DO32" s="40"/>
      <c r="DP32" s="40"/>
      <c r="DQ32" s="40"/>
      <c r="DR32" s="40"/>
      <c r="DS32" s="40"/>
      <c r="DT32" s="40"/>
      <c r="DU32" s="40"/>
      <c r="DV32" s="40"/>
      <c r="DW32" s="40"/>
      <c r="DX32" s="40"/>
      <c r="DY32" s="40"/>
      <c r="DZ32" s="40"/>
      <c r="EA32" s="40"/>
      <c r="EB32" s="40"/>
      <c r="EC32" s="40"/>
      <c r="ED32" s="40"/>
      <c r="EE32" s="40"/>
      <c r="EF32" s="40"/>
      <c r="EG32" s="40"/>
      <c r="EH32" s="40"/>
      <c r="EI32" s="40"/>
      <c r="EJ32" s="40"/>
      <c r="EK32" s="40"/>
      <c r="EL32" s="40"/>
      <c r="EM32" s="40"/>
      <c r="EN32" s="40"/>
      <c r="EO32" s="40"/>
      <c r="EP32" s="40"/>
      <c r="EQ32" s="40"/>
      <c r="ER32" s="40"/>
      <c r="ES32" s="40"/>
      <c r="ET32" s="40"/>
      <c r="EU32" s="40"/>
      <c r="EV32" s="40"/>
      <c r="EW32" s="40"/>
      <c r="EX32" s="40"/>
      <c r="EY32" s="40"/>
      <c r="EZ32" s="40"/>
      <c r="FA32" s="40"/>
      <c r="FB32" s="40"/>
      <c r="FC32" s="40"/>
      <c r="FD32" s="40"/>
      <c r="FE32" s="40"/>
      <c r="FF32" s="40"/>
      <c r="FG32" s="40"/>
      <c r="FH32" s="40"/>
      <c r="FI32" s="40"/>
      <c r="FJ32" s="40"/>
      <c r="FK32" s="40"/>
      <c r="FL32" s="40"/>
      <c r="FM32" s="40"/>
      <c r="FN32" s="40"/>
      <c r="FO32" s="40"/>
      <c r="FP32" s="40"/>
      <c r="FQ32" s="40"/>
      <c r="FR32" s="40"/>
      <c r="FS32" s="40"/>
      <c r="FT32" s="40"/>
      <c r="FU32" s="40"/>
      <c r="FV32" s="40"/>
      <c r="FW32" s="40"/>
      <c r="FX32" s="40"/>
      <c r="FY32" s="40"/>
      <c r="FZ32" s="40"/>
      <c r="GA32" s="40"/>
      <c r="GB32" s="40"/>
      <c r="GC32" s="40"/>
      <c r="GD32" s="40"/>
      <c r="GE32" s="40"/>
      <c r="GF32" s="40"/>
      <c r="GG32" s="40"/>
      <c r="GH32" s="40"/>
      <c r="GI32" s="40"/>
      <c r="GJ32" s="40"/>
      <c r="GK32" s="40"/>
      <c r="GL32" s="40"/>
      <c r="GM32" s="40"/>
      <c r="GN32" s="40"/>
      <c r="GO32" s="40"/>
      <c r="GP32" s="40"/>
      <c r="GQ32" s="40"/>
      <c r="GR32" s="40"/>
      <c r="GS32" s="40"/>
      <c r="GT32" s="40"/>
      <c r="GU32" s="40"/>
      <c r="GV32" s="40"/>
      <c r="GW32" s="40"/>
      <c r="GX32" s="40"/>
      <c r="GY32" s="40"/>
      <c r="GZ32" s="40"/>
      <c r="HA32" s="40"/>
      <c r="HB32" s="40"/>
      <c r="HC32" s="40"/>
      <c r="HD32" s="40"/>
      <c r="HE32" s="40"/>
      <c r="HF32" s="40"/>
      <c r="HG32" s="40"/>
      <c r="HH32" s="40"/>
      <c r="HI32" s="40"/>
      <c r="HJ32" s="40"/>
      <c r="HK32" s="40"/>
      <c r="HL32" s="40"/>
      <c r="HM32" s="40"/>
      <c r="HN32" s="40"/>
      <c r="HO32" s="40"/>
      <c r="HP32" s="40"/>
      <c r="HQ32" s="40"/>
      <c r="HR32" s="40"/>
      <c r="HS32" s="40"/>
      <c r="HT32" s="40"/>
      <c r="HU32" s="40"/>
      <c r="HV32" s="40"/>
      <c r="HW32" s="40"/>
      <c r="HX32" s="40"/>
      <c r="HY32" s="40"/>
      <c r="HZ32" s="40"/>
      <c r="IA32" s="40"/>
      <c r="IB32" s="40"/>
      <c r="IC32" s="40"/>
      <c r="ID32" s="40"/>
      <c r="IE32" s="40"/>
      <c r="IF32" s="40"/>
      <c r="IG32" s="40"/>
      <c r="IH32" s="40"/>
      <c r="II32" s="40"/>
      <c r="IJ32" s="40"/>
      <c r="IK32" s="40"/>
      <c r="IL32" s="40"/>
      <c r="IM32" s="40"/>
      <c r="IN32" s="40"/>
      <c r="IO32" s="40"/>
      <c r="IP32" s="40"/>
      <c r="IQ32" s="40"/>
      <c r="IR32" s="40"/>
      <c r="IS32" s="40"/>
      <c r="IT32" s="40"/>
      <c r="IU32" s="40"/>
      <c r="IV32" s="40"/>
      <c r="IW32" s="40"/>
      <c r="IX32" s="40"/>
      <c r="IY32" s="40"/>
      <c r="IZ32" s="40"/>
      <c r="JA32" s="40"/>
      <c r="JB32" s="40"/>
      <c r="JC32" s="40"/>
      <c r="JD32" s="40"/>
      <c r="JE32" s="40"/>
      <c r="JF32" s="40"/>
      <c r="JG32" s="40"/>
      <c r="JH32" s="40"/>
      <c r="JI32" s="40"/>
      <c r="JJ32" s="40"/>
      <c r="JK32" s="40"/>
      <c r="JL32" s="40"/>
      <c r="JM32" s="40"/>
      <c r="JN32" s="40"/>
      <c r="JO32" s="40"/>
      <c r="JP32" s="40"/>
      <c r="JQ32" s="40"/>
      <c r="JR32" s="40"/>
      <c r="JS32" s="40"/>
      <c r="JT32" s="40"/>
      <c r="JU32" s="40"/>
      <c r="JV32" s="40"/>
      <c r="JW32" s="40"/>
      <c r="JX32" s="40"/>
      <c r="JY32" s="40"/>
      <c r="JZ32" s="40"/>
      <c r="KA32" s="40"/>
      <c r="KB32" s="40"/>
      <c r="KC32" s="40"/>
      <c r="KD32" s="40"/>
      <c r="KE32" s="40"/>
      <c r="KF32" s="40"/>
      <c r="KG32" s="40"/>
      <c r="KH32" s="40"/>
      <c r="KI32" s="40"/>
      <c r="KJ32" s="40"/>
      <c r="KK32" s="40"/>
      <c r="KL32" s="40"/>
      <c r="KM32" s="40"/>
      <c r="KN32" s="40"/>
      <c r="KO32" s="40"/>
      <c r="KP32" s="40"/>
      <c r="KQ32" s="40"/>
      <c r="KR32" s="40"/>
      <c r="KS32" s="40"/>
      <c r="KT32" s="40"/>
      <c r="KU32" s="40"/>
      <c r="KV32" s="40"/>
      <c r="KW32" s="40"/>
      <c r="KX32" s="40"/>
      <c r="KY32" s="40"/>
      <c r="KZ32" s="40"/>
      <c r="LA32" s="40"/>
      <c r="LB32" s="40"/>
      <c r="LC32" s="40"/>
      <c r="LD32" s="40"/>
      <c r="LE32" s="40"/>
      <c r="LF32" s="40"/>
      <c r="LG32" s="40"/>
      <c r="LH32" s="40"/>
      <c r="LI32" s="40"/>
      <c r="LJ32" s="40"/>
      <c r="LK32" s="40"/>
      <c r="LL32" s="40"/>
      <c r="LM32" s="40"/>
      <c r="LN32" s="40"/>
      <c r="LO32" s="40"/>
      <c r="LP32" s="40"/>
      <c r="LQ32" s="40"/>
      <c r="LR32" s="40"/>
      <c r="LS32" s="40"/>
      <c r="LT32" s="40"/>
      <c r="LU32" s="40"/>
      <c r="LV32" s="40"/>
      <c r="LW32" s="40"/>
      <c r="LX32" s="40"/>
      <c r="LY32" s="40"/>
      <c r="LZ32" s="40"/>
      <c r="MA32" s="40"/>
      <c r="MB32" s="40"/>
      <c r="MC32" s="40"/>
      <c r="MD32" s="40"/>
      <c r="ME32" s="40"/>
      <c r="MF32" s="40"/>
      <c r="MG32" s="40"/>
      <c r="MH32" s="40"/>
      <c r="MI32" s="40"/>
      <c r="MJ32" s="40"/>
      <c r="MK32" s="40"/>
      <c r="ML32" s="40"/>
      <c r="MM32" s="40"/>
      <c r="MN32" s="40"/>
      <c r="MO32" s="40"/>
      <c r="MP32" s="40"/>
      <c r="MQ32" s="40"/>
      <c r="MR32" s="40"/>
      <c r="MS32" s="40"/>
      <c r="MT32" s="40"/>
      <c r="MU32" s="40"/>
      <c r="MV32" s="40"/>
      <c r="MW32" s="40"/>
      <c r="MX32" s="40"/>
      <c r="MY32" s="40"/>
      <c r="MZ32" s="40"/>
      <c r="NA32" s="40"/>
      <c r="NB32" s="40"/>
      <c r="NC32" s="40"/>
      <c r="ND32" s="40"/>
      <c r="NE32" s="40"/>
      <c r="NF32" s="40"/>
      <c r="NG32" s="40"/>
      <c r="NH32" s="40"/>
      <c r="NI32" s="40"/>
      <c r="NJ32" s="40"/>
      <c r="NK32" s="40"/>
      <c r="NL32" s="40"/>
      <c r="NM32" s="40"/>
      <c r="NN32" s="40"/>
      <c r="NO32" s="40"/>
      <c r="NP32" s="40"/>
      <c r="NQ32" s="40"/>
      <c r="NR32" s="40"/>
    </row>
    <row r="33" spans="2:382" x14ac:dyDescent="0.15">
      <c r="B33" s="518"/>
      <c r="C33" s="115" t="str">
        <f>_xlfn.CONCAT($C$4, " Equity")</f>
        <v>Brian Equity</v>
      </c>
      <c r="D33" s="52">
        <f>D4</f>
        <v>0.3</v>
      </c>
      <c r="E33" s="1">
        <f>D33*Total_Investment</f>
        <v>755905.2</v>
      </c>
      <c r="F33" s="40"/>
      <c r="G33" s="114"/>
      <c r="H33" s="40"/>
      <c r="I33" s="40">
        <f>$E$33</f>
        <v>755905.2</v>
      </c>
      <c r="J33" s="40">
        <f>I33-I37</f>
        <v>755905.2</v>
      </c>
      <c r="K33" s="40">
        <f t="shared" ref="K33:BV33" si="1144">J33-J37</f>
        <v>755905.2</v>
      </c>
      <c r="L33" s="40">
        <f t="shared" si="1144"/>
        <v>755905.2</v>
      </c>
      <c r="M33" s="40">
        <f t="shared" si="1144"/>
        <v>755905.2</v>
      </c>
      <c r="N33" s="40">
        <f t="shared" si="1144"/>
        <v>755905.2</v>
      </c>
      <c r="O33" s="40">
        <f t="shared" si="1144"/>
        <v>755905.2</v>
      </c>
      <c r="P33" s="40">
        <f t="shared" si="1144"/>
        <v>755905.2</v>
      </c>
      <c r="Q33" s="40">
        <f t="shared" si="1144"/>
        <v>755905.2</v>
      </c>
      <c r="R33" s="40">
        <f t="shared" si="1144"/>
        <v>755905.2</v>
      </c>
      <c r="S33" s="40">
        <f t="shared" si="1144"/>
        <v>755905.2</v>
      </c>
      <c r="T33" s="40">
        <f t="shared" si="1144"/>
        <v>755905.2</v>
      </c>
      <c r="U33" s="40">
        <f t="shared" si="1144"/>
        <v>755905.2</v>
      </c>
      <c r="V33" s="40">
        <f t="shared" si="1144"/>
        <v>755905.2</v>
      </c>
      <c r="W33" s="40">
        <f t="shared" si="1144"/>
        <v>755905.2</v>
      </c>
      <c r="X33" s="40">
        <f t="shared" si="1144"/>
        <v>755905.2</v>
      </c>
      <c r="Y33" s="40">
        <f t="shared" si="1144"/>
        <v>755905.2</v>
      </c>
      <c r="Z33" s="40">
        <f t="shared" si="1144"/>
        <v>755905.2</v>
      </c>
      <c r="AA33" s="40">
        <f t="shared" si="1144"/>
        <v>755905.2</v>
      </c>
      <c r="AB33" s="40">
        <f t="shared" si="1144"/>
        <v>755905.2</v>
      </c>
      <c r="AC33" s="40">
        <f t="shared" si="1144"/>
        <v>755905.2</v>
      </c>
      <c r="AD33" s="40">
        <f t="shared" si="1144"/>
        <v>755905.2</v>
      </c>
      <c r="AE33" s="40">
        <f t="shared" si="1144"/>
        <v>755905.2</v>
      </c>
      <c r="AF33" s="40">
        <f t="shared" si="1144"/>
        <v>755905.2</v>
      </c>
      <c r="AG33" s="40">
        <f t="shared" si="1144"/>
        <v>755905.2</v>
      </c>
      <c r="AH33" s="40">
        <f t="shared" si="1144"/>
        <v>755905.2</v>
      </c>
      <c r="AI33" s="40">
        <f t="shared" si="1144"/>
        <v>755905.2</v>
      </c>
      <c r="AJ33" s="40">
        <f t="shared" si="1144"/>
        <v>755905.2</v>
      </c>
      <c r="AK33" s="40">
        <f t="shared" si="1144"/>
        <v>755905.2</v>
      </c>
      <c r="AL33" s="40">
        <f t="shared" si="1144"/>
        <v>755905.2</v>
      </c>
      <c r="AM33" s="40">
        <f t="shared" si="1144"/>
        <v>755905.2</v>
      </c>
      <c r="AN33" s="40">
        <f t="shared" si="1144"/>
        <v>755905.2</v>
      </c>
      <c r="AO33" s="40">
        <f t="shared" si="1144"/>
        <v>755905.2</v>
      </c>
      <c r="AP33" s="40">
        <f t="shared" si="1144"/>
        <v>755905.2</v>
      </c>
      <c r="AQ33" s="40">
        <f t="shared" si="1144"/>
        <v>755905.2</v>
      </c>
      <c r="AR33" s="40">
        <f t="shared" si="1144"/>
        <v>755905.2</v>
      </c>
      <c r="AS33" s="40">
        <f t="shared" si="1144"/>
        <v>755905.2</v>
      </c>
      <c r="AT33" s="40">
        <f t="shared" si="1144"/>
        <v>755905.2</v>
      </c>
      <c r="AU33" s="40">
        <f t="shared" si="1144"/>
        <v>755905.2</v>
      </c>
      <c r="AV33" s="40">
        <f t="shared" si="1144"/>
        <v>755905.2</v>
      </c>
      <c r="AW33" s="40">
        <f t="shared" si="1144"/>
        <v>755905.2</v>
      </c>
      <c r="AX33" s="40">
        <f t="shared" si="1144"/>
        <v>755905.2</v>
      </c>
      <c r="AY33" s="40">
        <f t="shared" si="1144"/>
        <v>755905.2</v>
      </c>
      <c r="AZ33" s="40">
        <f t="shared" si="1144"/>
        <v>755905.2</v>
      </c>
      <c r="BA33" s="40">
        <f t="shared" si="1144"/>
        <v>755905.2</v>
      </c>
      <c r="BB33" s="40">
        <f t="shared" si="1144"/>
        <v>755905.2</v>
      </c>
      <c r="BC33" s="40">
        <f t="shared" si="1144"/>
        <v>755905.2</v>
      </c>
      <c r="BD33" s="40">
        <f t="shared" si="1144"/>
        <v>755905.2</v>
      </c>
      <c r="BE33" s="40">
        <f t="shared" si="1144"/>
        <v>755905.2</v>
      </c>
      <c r="BF33" s="40">
        <f t="shared" si="1144"/>
        <v>755905.2</v>
      </c>
      <c r="BG33" s="40">
        <f t="shared" si="1144"/>
        <v>755905.2</v>
      </c>
      <c r="BH33" s="40">
        <f t="shared" si="1144"/>
        <v>755905.2</v>
      </c>
      <c r="BI33" s="40">
        <f t="shared" si="1144"/>
        <v>755905.2</v>
      </c>
      <c r="BJ33" s="40">
        <f t="shared" si="1144"/>
        <v>755905.2</v>
      </c>
      <c r="BK33" s="40">
        <f t="shared" si="1144"/>
        <v>755905.2</v>
      </c>
      <c r="BL33" s="40">
        <f t="shared" si="1144"/>
        <v>755905.2</v>
      </c>
      <c r="BM33" s="40">
        <f t="shared" si="1144"/>
        <v>755905.2</v>
      </c>
      <c r="BN33" s="40">
        <f t="shared" si="1144"/>
        <v>755905.2</v>
      </c>
      <c r="BO33" s="40">
        <f t="shared" si="1144"/>
        <v>755905.2</v>
      </c>
      <c r="BP33" s="40">
        <f t="shared" si="1144"/>
        <v>755905.2</v>
      </c>
      <c r="BQ33" s="40">
        <f t="shared" si="1144"/>
        <v>755905.2</v>
      </c>
      <c r="BR33" s="40">
        <f t="shared" si="1144"/>
        <v>755905.2</v>
      </c>
      <c r="BS33" s="40">
        <f t="shared" si="1144"/>
        <v>755905.2</v>
      </c>
      <c r="BT33" s="40">
        <f t="shared" si="1144"/>
        <v>755905.2</v>
      </c>
      <c r="BU33" s="40">
        <f t="shared" si="1144"/>
        <v>755905.2</v>
      </c>
      <c r="BV33" s="40">
        <f t="shared" si="1144"/>
        <v>755905.2</v>
      </c>
      <c r="BW33" s="40">
        <f t="shared" ref="BW33:EH33" si="1145">BV33-BV37</f>
        <v>755905.2</v>
      </c>
      <c r="BX33" s="40">
        <f t="shared" si="1145"/>
        <v>755905.2</v>
      </c>
      <c r="BY33" s="40">
        <f t="shared" si="1145"/>
        <v>755905.2</v>
      </c>
      <c r="BZ33" s="40">
        <f t="shared" si="1145"/>
        <v>755905.2</v>
      </c>
      <c r="CA33" s="40">
        <f t="shared" si="1145"/>
        <v>755905.2</v>
      </c>
      <c r="CB33" s="40">
        <f t="shared" si="1145"/>
        <v>755905.2</v>
      </c>
      <c r="CC33" s="40">
        <f t="shared" si="1145"/>
        <v>755905.2</v>
      </c>
      <c r="CD33" s="40">
        <f t="shared" si="1145"/>
        <v>755905.2</v>
      </c>
      <c r="CE33" s="40">
        <f t="shared" si="1145"/>
        <v>755905.2</v>
      </c>
      <c r="CF33" s="40">
        <f t="shared" si="1145"/>
        <v>755905.2</v>
      </c>
      <c r="CG33" s="40">
        <f t="shared" si="1145"/>
        <v>755905.2</v>
      </c>
      <c r="CH33" s="40">
        <f t="shared" si="1145"/>
        <v>755905.2</v>
      </c>
      <c r="CI33" s="40">
        <f t="shared" si="1145"/>
        <v>755905.2</v>
      </c>
      <c r="CJ33" s="40">
        <f t="shared" si="1145"/>
        <v>755905.2</v>
      </c>
      <c r="CK33" s="40">
        <f t="shared" si="1145"/>
        <v>755905.2</v>
      </c>
      <c r="CL33" s="40">
        <f t="shared" si="1145"/>
        <v>755905.2</v>
      </c>
      <c r="CM33" s="40">
        <f t="shared" si="1145"/>
        <v>755905.2</v>
      </c>
      <c r="CN33" s="40">
        <f t="shared" si="1145"/>
        <v>755905.2</v>
      </c>
      <c r="CO33" s="40">
        <f t="shared" si="1145"/>
        <v>755905.2</v>
      </c>
      <c r="CP33" s="40">
        <f t="shared" si="1145"/>
        <v>755905.2</v>
      </c>
      <c r="CQ33" s="40">
        <f t="shared" si="1145"/>
        <v>755905.2</v>
      </c>
      <c r="CR33" s="40">
        <f t="shared" si="1145"/>
        <v>755905.2</v>
      </c>
      <c r="CS33" s="40">
        <f t="shared" si="1145"/>
        <v>755905.2</v>
      </c>
      <c r="CT33" s="40">
        <f t="shared" si="1145"/>
        <v>755905.2</v>
      </c>
      <c r="CU33" s="40">
        <f t="shared" si="1145"/>
        <v>755905.2</v>
      </c>
      <c r="CV33" s="40">
        <f t="shared" si="1145"/>
        <v>755905.2</v>
      </c>
      <c r="CW33" s="40">
        <f t="shared" si="1145"/>
        <v>755905.2</v>
      </c>
      <c r="CX33" s="40">
        <f t="shared" si="1145"/>
        <v>755905.2</v>
      </c>
      <c r="CY33" s="40">
        <f t="shared" si="1145"/>
        <v>755905.2</v>
      </c>
      <c r="CZ33" s="40">
        <f t="shared" si="1145"/>
        <v>755905.2</v>
      </c>
      <c r="DA33" s="40">
        <f t="shared" si="1145"/>
        <v>755905.2</v>
      </c>
      <c r="DB33" s="40">
        <f t="shared" si="1145"/>
        <v>755905.2</v>
      </c>
      <c r="DC33" s="40">
        <f t="shared" si="1145"/>
        <v>755905.2</v>
      </c>
      <c r="DD33" s="40">
        <f t="shared" si="1145"/>
        <v>755905.2</v>
      </c>
      <c r="DE33" s="40">
        <f t="shared" si="1145"/>
        <v>755905.2</v>
      </c>
      <c r="DF33" s="40">
        <f t="shared" si="1145"/>
        <v>755905.2</v>
      </c>
      <c r="DG33" s="40">
        <f t="shared" si="1145"/>
        <v>755905.2</v>
      </c>
      <c r="DH33" s="40">
        <f t="shared" si="1145"/>
        <v>755905.2</v>
      </c>
      <c r="DI33" s="40">
        <f t="shared" si="1145"/>
        <v>755905.2</v>
      </c>
      <c r="DJ33" s="40">
        <f t="shared" si="1145"/>
        <v>755905.2</v>
      </c>
      <c r="DK33" s="40">
        <f t="shared" si="1145"/>
        <v>755905.2</v>
      </c>
      <c r="DL33" s="40">
        <f t="shared" si="1145"/>
        <v>755905.2</v>
      </c>
      <c r="DM33" s="40">
        <f t="shared" si="1145"/>
        <v>755905.2</v>
      </c>
      <c r="DN33" s="40">
        <f t="shared" si="1145"/>
        <v>755905.2</v>
      </c>
      <c r="DO33" s="40">
        <f t="shared" si="1145"/>
        <v>755905.2</v>
      </c>
      <c r="DP33" s="40">
        <f t="shared" si="1145"/>
        <v>755905.2</v>
      </c>
      <c r="DQ33" s="40">
        <f t="shared" si="1145"/>
        <v>755905.2</v>
      </c>
      <c r="DR33" s="40">
        <f t="shared" si="1145"/>
        <v>755905.2</v>
      </c>
      <c r="DS33" s="40">
        <f t="shared" si="1145"/>
        <v>755905.2</v>
      </c>
      <c r="DT33" s="40">
        <f t="shared" si="1145"/>
        <v>755905.2</v>
      </c>
      <c r="DU33" s="40">
        <f t="shared" si="1145"/>
        <v>755905.2</v>
      </c>
      <c r="DV33" s="40">
        <f t="shared" si="1145"/>
        <v>755905.2</v>
      </c>
      <c r="DW33" s="40">
        <f t="shared" si="1145"/>
        <v>755905.2</v>
      </c>
      <c r="DX33" s="40">
        <f t="shared" si="1145"/>
        <v>755905.2</v>
      </c>
      <c r="DY33" s="40">
        <f t="shared" si="1145"/>
        <v>755905.2</v>
      </c>
      <c r="DZ33" s="40">
        <f t="shared" si="1145"/>
        <v>755905.2</v>
      </c>
      <c r="EA33" s="40">
        <f t="shared" si="1145"/>
        <v>755905.2</v>
      </c>
      <c r="EB33" s="40">
        <f t="shared" si="1145"/>
        <v>755905.2</v>
      </c>
      <c r="EC33" s="40">
        <f t="shared" si="1145"/>
        <v>755905.2</v>
      </c>
      <c r="ED33" s="40">
        <f t="shared" si="1145"/>
        <v>755905.2</v>
      </c>
      <c r="EE33" s="40">
        <f t="shared" si="1145"/>
        <v>755905.2</v>
      </c>
      <c r="EF33" s="40">
        <f t="shared" si="1145"/>
        <v>755905.2</v>
      </c>
      <c r="EG33" s="40">
        <f t="shared" si="1145"/>
        <v>755905.2</v>
      </c>
      <c r="EH33" s="40">
        <f t="shared" si="1145"/>
        <v>755905.2</v>
      </c>
      <c r="EI33" s="40">
        <f t="shared" ref="EI33:GT33" si="1146">EH33-EH37</f>
        <v>755905.2</v>
      </c>
      <c r="EJ33" s="40">
        <f t="shared" si="1146"/>
        <v>755905.2</v>
      </c>
      <c r="EK33" s="40">
        <f t="shared" si="1146"/>
        <v>755905.2</v>
      </c>
      <c r="EL33" s="40">
        <f t="shared" si="1146"/>
        <v>755905.2</v>
      </c>
      <c r="EM33" s="40">
        <f t="shared" si="1146"/>
        <v>755905.2</v>
      </c>
      <c r="EN33" s="40">
        <f t="shared" si="1146"/>
        <v>755905.2</v>
      </c>
      <c r="EO33" s="40">
        <f t="shared" si="1146"/>
        <v>755905.2</v>
      </c>
      <c r="EP33" s="40">
        <f t="shared" si="1146"/>
        <v>755905.2</v>
      </c>
      <c r="EQ33" s="40">
        <f t="shared" si="1146"/>
        <v>755905.2</v>
      </c>
      <c r="ER33" s="40">
        <f t="shared" si="1146"/>
        <v>755905.2</v>
      </c>
      <c r="ES33" s="40">
        <f t="shared" si="1146"/>
        <v>755905.2</v>
      </c>
      <c r="ET33" s="40">
        <f t="shared" si="1146"/>
        <v>755905.2</v>
      </c>
      <c r="EU33" s="40">
        <f t="shared" si="1146"/>
        <v>755905.2</v>
      </c>
      <c r="EV33" s="40">
        <f t="shared" si="1146"/>
        <v>755905.2</v>
      </c>
      <c r="EW33" s="40">
        <f t="shared" si="1146"/>
        <v>755905.2</v>
      </c>
      <c r="EX33" s="40">
        <f t="shared" si="1146"/>
        <v>755905.2</v>
      </c>
      <c r="EY33" s="40">
        <f t="shared" si="1146"/>
        <v>755905.2</v>
      </c>
      <c r="EZ33" s="40">
        <f t="shared" si="1146"/>
        <v>755905.2</v>
      </c>
      <c r="FA33" s="40">
        <f t="shared" si="1146"/>
        <v>755905.2</v>
      </c>
      <c r="FB33" s="40">
        <f t="shared" si="1146"/>
        <v>755905.2</v>
      </c>
      <c r="FC33" s="40">
        <f t="shared" si="1146"/>
        <v>755905.2</v>
      </c>
      <c r="FD33" s="40">
        <f t="shared" si="1146"/>
        <v>755905.2</v>
      </c>
      <c r="FE33" s="40">
        <f t="shared" si="1146"/>
        <v>755905.2</v>
      </c>
      <c r="FF33" s="40">
        <f t="shared" si="1146"/>
        <v>755905.2</v>
      </c>
      <c r="FG33" s="40">
        <f t="shared" si="1146"/>
        <v>755905.2</v>
      </c>
      <c r="FH33" s="40">
        <f t="shared" si="1146"/>
        <v>755905.2</v>
      </c>
      <c r="FI33" s="40">
        <f t="shared" si="1146"/>
        <v>755905.2</v>
      </c>
      <c r="FJ33" s="40">
        <f t="shared" si="1146"/>
        <v>755905.2</v>
      </c>
      <c r="FK33" s="40">
        <f t="shared" si="1146"/>
        <v>755905.2</v>
      </c>
      <c r="FL33" s="40">
        <f t="shared" si="1146"/>
        <v>755905.2</v>
      </c>
      <c r="FM33" s="40">
        <f t="shared" si="1146"/>
        <v>755905.2</v>
      </c>
      <c r="FN33" s="40">
        <f t="shared" si="1146"/>
        <v>755905.2</v>
      </c>
      <c r="FO33" s="40">
        <f t="shared" si="1146"/>
        <v>755905.2</v>
      </c>
      <c r="FP33" s="40">
        <f t="shared" si="1146"/>
        <v>755905.2</v>
      </c>
      <c r="FQ33" s="40">
        <f t="shared" si="1146"/>
        <v>755905.2</v>
      </c>
      <c r="FR33" s="40">
        <f t="shared" si="1146"/>
        <v>755905.2</v>
      </c>
      <c r="FS33" s="40">
        <f t="shared" si="1146"/>
        <v>755905.2</v>
      </c>
      <c r="FT33" s="40">
        <f t="shared" si="1146"/>
        <v>755905.2</v>
      </c>
      <c r="FU33" s="40">
        <f t="shared" si="1146"/>
        <v>755905.2</v>
      </c>
      <c r="FV33" s="40">
        <f t="shared" si="1146"/>
        <v>755905.2</v>
      </c>
      <c r="FW33" s="40">
        <f t="shared" si="1146"/>
        <v>755905.2</v>
      </c>
      <c r="FX33" s="40">
        <f t="shared" si="1146"/>
        <v>755905.2</v>
      </c>
      <c r="FY33" s="40">
        <f t="shared" si="1146"/>
        <v>755905.2</v>
      </c>
      <c r="FZ33" s="40">
        <f t="shared" si="1146"/>
        <v>755905.2</v>
      </c>
      <c r="GA33" s="40">
        <f t="shared" si="1146"/>
        <v>755905.2</v>
      </c>
      <c r="GB33" s="40">
        <f t="shared" si="1146"/>
        <v>755905.2</v>
      </c>
      <c r="GC33" s="40">
        <f t="shared" si="1146"/>
        <v>755905.2</v>
      </c>
      <c r="GD33" s="40">
        <f t="shared" si="1146"/>
        <v>755905.2</v>
      </c>
      <c r="GE33" s="40">
        <f t="shared" si="1146"/>
        <v>755905.2</v>
      </c>
      <c r="GF33" s="40">
        <f t="shared" si="1146"/>
        <v>755905.2</v>
      </c>
      <c r="GG33" s="40">
        <f t="shared" ca="1" si="1146"/>
        <v>0</v>
      </c>
      <c r="GH33" s="40">
        <f t="shared" ca="1" si="1146"/>
        <v>0</v>
      </c>
      <c r="GI33" s="40">
        <f t="shared" ca="1" si="1146"/>
        <v>0</v>
      </c>
      <c r="GJ33" s="40">
        <f t="shared" ca="1" si="1146"/>
        <v>0</v>
      </c>
      <c r="GK33" s="40">
        <f t="shared" ca="1" si="1146"/>
        <v>0</v>
      </c>
      <c r="GL33" s="40">
        <f t="shared" ca="1" si="1146"/>
        <v>0</v>
      </c>
      <c r="GM33" s="40">
        <f t="shared" ca="1" si="1146"/>
        <v>0</v>
      </c>
      <c r="GN33" s="40">
        <f t="shared" ca="1" si="1146"/>
        <v>0</v>
      </c>
      <c r="GO33" s="40">
        <f t="shared" ca="1" si="1146"/>
        <v>0</v>
      </c>
      <c r="GP33" s="40">
        <f t="shared" ca="1" si="1146"/>
        <v>0</v>
      </c>
      <c r="GQ33" s="40">
        <f t="shared" ca="1" si="1146"/>
        <v>0</v>
      </c>
      <c r="GR33" s="40">
        <f t="shared" ca="1" si="1146"/>
        <v>0</v>
      </c>
      <c r="GS33" s="40">
        <f t="shared" ca="1" si="1146"/>
        <v>0</v>
      </c>
      <c r="GT33" s="40">
        <f t="shared" ca="1" si="1146"/>
        <v>0</v>
      </c>
      <c r="GU33" s="40">
        <f t="shared" ref="GU33:IN33" ca="1" si="1147">GT33-GT37</f>
        <v>0</v>
      </c>
      <c r="GV33" s="40">
        <f t="shared" ca="1" si="1147"/>
        <v>0</v>
      </c>
      <c r="GW33" s="40">
        <f t="shared" ca="1" si="1147"/>
        <v>0</v>
      </c>
      <c r="GX33" s="40">
        <f t="shared" ca="1" si="1147"/>
        <v>0</v>
      </c>
      <c r="GY33" s="40">
        <f t="shared" ca="1" si="1147"/>
        <v>0</v>
      </c>
      <c r="GZ33" s="40">
        <f t="shared" ca="1" si="1147"/>
        <v>0</v>
      </c>
      <c r="HA33" s="40">
        <f t="shared" ca="1" si="1147"/>
        <v>0</v>
      </c>
      <c r="HB33" s="40">
        <f t="shared" ca="1" si="1147"/>
        <v>0</v>
      </c>
      <c r="HC33" s="40">
        <f t="shared" ca="1" si="1147"/>
        <v>0</v>
      </c>
      <c r="HD33" s="40">
        <f t="shared" ca="1" si="1147"/>
        <v>0</v>
      </c>
      <c r="HE33" s="40">
        <f t="shared" ca="1" si="1147"/>
        <v>0</v>
      </c>
      <c r="HF33" s="40">
        <f t="shared" ca="1" si="1147"/>
        <v>0</v>
      </c>
      <c r="HG33" s="40">
        <f t="shared" ca="1" si="1147"/>
        <v>0</v>
      </c>
      <c r="HH33" s="40">
        <f t="shared" ca="1" si="1147"/>
        <v>0</v>
      </c>
      <c r="HI33" s="40">
        <f t="shared" ca="1" si="1147"/>
        <v>0</v>
      </c>
      <c r="HJ33" s="40">
        <f t="shared" ca="1" si="1147"/>
        <v>0</v>
      </c>
      <c r="HK33" s="40">
        <f t="shared" ca="1" si="1147"/>
        <v>0</v>
      </c>
      <c r="HL33" s="40">
        <f t="shared" ca="1" si="1147"/>
        <v>0</v>
      </c>
      <c r="HM33" s="40">
        <f t="shared" ca="1" si="1147"/>
        <v>0</v>
      </c>
      <c r="HN33" s="40">
        <f t="shared" ca="1" si="1147"/>
        <v>0</v>
      </c>
      <c r="HO33" s="40">
        <f t="shared" ca="1" si="1147"/>
        <v>0</v>
      </c>
      <c r="HP33" s="40">
        <f t="shared" ca="1" si="1147"/>
        <v>0</v>
      </c>
      <c r="HQ33" s="40">
        <f t="shared" ca="1" si="1147"/>
        <v>0</v>
      </c>
      <c r="HR33" s="40">
        <f t="shared" ca="1" si="1147"/>
        <v>0</v>
      </c>
      <c r="HS33" s="40">
        <f t="shared" ca="1" si="1147"/>
        <v>0</v>
      </c>
      <c r="HT33" s="40">
        <f t="shared" ca="1" si="1147"/>
        <v>0</v>
      </c>
      <c r="HU33" s="40">
        <f t="shared" ca="1" si="1147"/>
        <v>0</v>
      </c>
      <c r="HV33" s="40">
        <f t="shared" ca="1" si="1147"/>
        <v>0</v>
      </c>
      <c r="HW33" s="40">
        <f t="shared" ca="1" si="1147"/>
        <v>0</v>
      </c>
      <c r="HX33" s="40">
        <f t="shared" ca="1" si="1147"/>
        <v>0</v>
      </c>
      <c r="HY33" s="40">
        <f t="shared" ca="1" si="1147"/>
        <v>0</v>
      </c>
      <c r="HZ33" s="40">
        <f t="shared" ca="1" si="1147"/>
        <v>0</v>
      </c>
      <c r="IA33" s="40">
        <f t="shared" ca="1" si="1147"/>
        <v>0</v>
      </c>
      <c r="IB33" s="40">
        <f t="shared" ca="1" si="1147"/>
        <v>0</v>
      </c>
      <c r="IC33" s="40">
        <f t="shared" ca="1" si="1147"/>
        <v>0</v>
      </c>
      <c r="ID33" s="40">
        <f t="shared" ca="1" si="1147"/>
        <v>0</v>
      </c>
      <c r="IE33" s="40">
        <f t="shared" ca="1" si="1147"/>
        <v>0</v>
      </c>
      <c r="IF33" s="40">
        <f t="shared" ca="1" si="1147"/>
        <v>0</v>
      </c>
      <c r="IG33" s="40">
        <f t="shared" ca="1" si="1147"/>
        <v>0</v>
      </c>
      <c r="IH33" s="40">
        <f t="shared" ca="1" si="1147"/>
        <v>0</v>
      </c>
      <c r="II33" s="40">
        <f t="shared" ca="1" si="1147"/>
        <v>0</v>
      </c>
      <c r="IJ33" s="40">
        <f t="shared" ca="1" si="1147"/>
        <v>0</v>
      </c>
      <c r="IK33" s="40">
        <f t="shared" ca="1" si="1147"/>
        <v>0</v>
      </c>
      <c r="IL33" s="40">
        <f t="shared" ca="1" si="1147"/>
        <v>0</v>
      </c>
      <c r="IM33" s="40">
        <f t="shared" ca="1" si="1147"/>
        <v>0</v>
      </c>
      <c r="IN33" s="40">
        <f t="shared" ca="1" si="1147"/>
        <v>0</v>
      </c>
      <c r="IO33" s="40">
        <f t="shared" ref="IO33" ca="1" si="1148">IN33-IN37</f>
        <v>0</v>
      </c>
      <c r="IP33" s="40">
        <f t="shared" ref="IP33" ca="1" si="1149">IO33-IO37</f>
        <v>0</v>
      </c>
      <c r="IQ33" s="40">
        <f t="shared" ref="IQ33" ca="1" si="1150">IP33-IP37</f>
        <v>0</v>
      </c>
      <c r="IR33" s="40">
        <f t="shared" ref="IR33" ca="1" si="1151">IQ33-IQ37</f>
        <v>0</v>
      </c>
      <c r="IS33" s="40">
        <f t="shared" ref="IS33" ca="1" si="1152">IR33-IR37</f>
        <v>0</v>
      </c>
      <c r="IT33" s="40">
        <f t="shared" ref="IT33" ca="1" si="1153">IS33-IS37</f>
        <v>0</v>
      </c>
      <c r="IU33" s="40">
        <f t="shared" ref="IU33" ca="1" si="1154">IT33-IT37</f>
        <v>0</v>
      </c>
      <c r="IV33" s="40">
        <f t="shared" ref="IV33" ca="1" si="1155">IU33-IU37</f>
        <v>0</v>
      </c>
      <c r="IW33" s="40">
        <f t="shared" ref="IW33" ca="1" si="1156">IV33-IV37</f>
        <v>0</v>
      </c>
      <c r="IX33" s="40">
        <f t="shared" ref="IX33" ca="1" si="1157">IW33-IW37</f>
        <v>0</v>
      </c>
      <c r="IY33" s="40">
        <f t="shared" ref="IY33" ca="1" si="1158">IX33-IX37</f>
        <v>0</v>
      </c>
      <c r="IZ33" s="40">
        <f t="shared" ref="IZ33" ca="1" si="1159">IY33-IY37</f>
        <v>0</v>
      </c>
      <c r="JA33" s="40">
        <f t="shared" ref="JA33" ca="1" si="1160">IZ33-IZ37</f>
        <v>0</v>
      </c>
      <c r="JB33" s="40">
        <f t="shared" ref="JB33" ca="1" si="1161">JA33-JA37</f>
        <v>0</v>
      </c>
      <c r="JC33" s="40">
        <f t="shared" ref="JC33" ca="1" si="1162">JB33-JB37</f>
        <v>0</v>
      </c>
      <c r="JD33" s="40">
        <f t="shared" ref="JD33" ca="1" si="1163">JC33-JC37</f>
        <v>0</v>
      </c>
      <c r="JE33" s="40">
        <f t="shared" ref="JE33" ca="1" si="1164">JD33-JD37</f>
        <v>0</v>
      </c>
      <c r="JF33" s="40">
        <f t="shared" ref="JF33" ca="1" si="1165">JE33-JE37</f>
        <v>0</v>
      </c>
      <c r="JG33" s="40">
        <f t="shared" ref="JG33" ca="1" si="1166">JF33-JF37</f>
        <v>0</v>
      </c>
      <c r="JH33" s="40">
        <f t="shared" ref="JH33" ca="1" si="1167">JG33-JG37</f>
        <v>0</v>
      </c>
      <c r="JI33" s="40">
        <f t="shared" ref="JI33" ca="1" si="1168">JH33-JH37</f>
        <v>0</v>
      </c>
      <c r="JJ33" s="40">
        <f t="shared" ref="JJ33" ca="1" si="1169">JI33-JI37</f>
        <v>0</v>
      </c>
      <c r="JK33" s="40">
        <f t="shared" ref="JK33" ca="1" si="1170">JJ33-JJ37</f>
        <v>0</v>
      </c>
      <c r="JL33" s="40">
        <f t="shared" ref="JL33" ca="1" si="1171">JK33-JK37</f>
        <v>0</v>
      </c>
      <c r="JM33" s="40">
        <f t="shared" ref="JM33" ca="1" si="1172">JL33-JL37</f>
        <v>0</v>
      </c>
      <c r="JN33" s="40">
        <f t="shared" ref="JN33" ca="1" si="1173">JM33-JM37</f>
        <v>0</v>
      </c>
      <c r="JO33" s="40">
        <f t="shared" ref="JO33" ca="1" si="1174">JN33-JN37</f>
        <v>0</v>
      </c>
      <c r="JP33" s="40">
        <f t="shared" ref="JP33" ca="1" si="1175">JO33-JO37</f>
        <v>0</v>
      </c>
      <c r="JQ33" s="40">
        <f t="shared" ref="JQ33" ca="1" si="1176">JP33-JP37</f>
        <v>0</v>
      </c>
      <c r="JR33" s="40">
        <f t="shared" ref="JR33" ca="1" si="1177">JQ33-JQ37</f>
        <v>0</v>
      </c>
      <c r="JS33" s="40">
        <f t="shared" ref="JS33" ca="1" si="1178">JR33-JR37</f>
        <v>0</v>
      </c>
      <c r="JT33" s="40">
        <f t="shared" ref="JT33" ca="1" si="1179">JS33-JS37</f>
        <v>0</v>
      </c>
      <c r="JU33" s="40">
        <f t="shared" ref="JU33" ca="1" si="1180">JT33-JT37</f>
        <v>0</v>
      </c>
      <c r="JV33" s="40">
        <f t="shared" ref="JV33" ca="1" si="1181">JU33-JU37</f>
        <v>0</v>
      </c>
      <c r="JW33" s="40">
        <f t="shared" ref="JW33" ca="1" si="1182">JV33-JV37</f>
        <v>0</v>
      </c>
      <c r="JX33" s="40">
        <f t="shared" ref="JX33" ca="1" si="1183">JW33-JW37</f>
        <v>0</v>
      </c>
      <c r="JY33" s="40">
        <f t="shared" ref="JY33" ca="1" si="1184">JX33-JX37</f>
        <v>0</v>
      </c>
      <c r="JZ33" s="40">
        <f t="shared" ref="JZ33" ca="1" si="1185">JY33-JY37</f>
        <v>0</v>
      </c>
      <c r="KA33" s="40">
        <f t="shared" ref="KA33" ca="1" si="1186">JZ33-JZ37</f>
        <v>0</v>
      </c>
      <c r="KB33" s="40">
        <f t="shared" ref="KB33" ca="1" si="1187">KA33-KA37</f>
        <v>0</v>
      </c>
      <c r="KC33" s="40">
        <f t="shared" ref="KC33" ca="1" si="1188">KB33-KB37</f>
        <v>0</v>
      </c>
      <c r="KD33" s="40">
        <f t="shared" ref="KD33" ca="1" si="1189">KC33-KC37</f>
        <v>0</v>
      </c>
      <c r="KE33" s="40">
        <f t="shared" ref="KE33" ca="1" si="1190">KD33-KD37</f>
        <v>0</v>
      </c>
      <c r="KF33" s="40">
        <f t="shared" ref="KF33" ca="1" si="1191">KE33-KE37</f>
        <v>0</v>
      </c>
      <c r="KG33" s="40">
        <f t="shared" ref="KG33" ca="1" si="1192">KF33-KF37</f>
        <v>0</v>
      </c>
      <c r="KH33" s="40">
        <f t="shared" ref="KH33" ca="1" si="1193">KG33-KG37</f>
        <v>0</v>
      </c>
      <c r="KI33" s="40">
        <f t="shared" ref="KI33" ca="1" si="1194">KH33-KH37</f>
        <v>0</v>
      </c>
      <c r="KJ33" s="40">
        <f t="shared" ref="KJ33" ca="1" si="1195">KI33-KI37</f>
        <v>0</v>
      </c>
      <c r="KK33" s="40">
        <f t="shared" ref="KK33" ca="1" si="1196">KJ33-KJ37</f>
        <v>0</v>
      </c>
      <c r="KL33" s="40">
        <f t="shared" ref="KL33" ca="1" si="1197">KK33-KK37</f>
        <v>0</v>
      </c>
      <c r="KM33" s="40">
        <f t="shared" ref="KM33" ca="1" si="1198">KL33-KL37</f>
        <v>0</v>
      </c>
      <c r="KN33" s="40">
        <f t="shared" ref="KN33" ca="1" si="1199">KM33-KM37</f>
        <v>0</v>
      </c>
      <c r="KO33" s="40">
        <f t="shared" ref="KO33" ca="1" si="1200">KN33-KN37</f>
        <v>0</v>
      </c>
      <c r="KP33" s="40">
        <f t="shared" ref="KP33" ca="1" si="1201">KO33-KO37</f>
        <v>0</v>
      </c>
      <c r="KQ33" s="40">
        <f t="shared" ref="KQ33" ca="1" si="1202">KP33-KP37</f>
        <v>0</v>
      </c>
      <c r="KR33" s="40">
        <f t="shared" ref="KR33" ca="1" si="1203">KQ33-KQ37</f>
        <v>0</v>
      </c>
      <c r="KS33" s="40">
        <f t="shared" ref="KS33" ca="1" si="1204">KR33-KR37</f>
        <v>0</v>
      </c>
      <c r="KT33" s="40">
        <f t="shared" ref="KT33" ca="1" si="1205">KS33-KS37</f>
        <v>0</v>
      </c>
      <c r="KU33" s="40">
        <f t="shared" ref="KU33" ca="1" si="1206">KT33-KT37</f>
        <v>0</v>
      </c>
      <c r="KV33" s="40">
        <f t="shared" ref="KV33" ca="1" si="1207">KU33-KU37</f>
        <v>0</v>
      </c>
      <c r="KW33" s="40">
        <f t="shared" ref="KW33" ca="1" si="1208">KV33-KV37</f>
        <v>0</v>
      </c>
      <c r="KX33" s="40">
        <f t="shared" ref="KX33" ca="1" si="1209">KW33-KW37</f>
        <v>0</v>
      </c>
      <c r="KY33" s="40">
        <f t="shared" ref="KY33" ca="1" si="1210">KX33-KX37</f>
        <v>0</v>
      </c>
      <c r="KZ33" s="40">
        <f t="shared" ref="KZ33" ca="1" si="1211">KY33-KY37</f>
        <v>0</v>
      </c>
      <c r="LA33" s="40">
        <f t="shared" ref="LA33" ca="1" si="1212">KZ33-KZ37</f>
        <v>0</v>
      </c>
      <c r="LB33" s="40">
        <f t="shared" ref="LB33" ca="1" si="1213">LA33-LA37</f>
        <v>0</v>
      </c>
      <c r="LC33" s="40">
        <f t="shared" ref="LC33" ca="1" si="1214">LB33-LB37</f>
        <v>0</v>
      </c>
      <c r="LD33" s="40">
        <f t="shared" ref="LD33" ca="1" si="1215">LC33-LC37</f>
        <v>0</v>
      </c>
      <c r="LE33" s="40">
        <f t="shared" ref="LE33" ca="1" si="1216">LD33-LD37</f>
        <v>0</v>
      </c>
      <c r="LF33" s="40">
        <f t="shared" ref="LF33" ca="1" si="1217">LE33-LE37</f>
        <v>0</v>
      </c>
      <c r="LG33" s="40">
        <f t="shared" ref="LG33" ca="1" si="1218">LF33-LF37</f>
        <v>0</v>
      </c>
      <c r="LH33" s="40">
        <f t="shared" ref="LH33" ca="1" si="1219">LG33-LG37</f>
        <v>0</v>
      </c>
      <c r="LI33" s="40">
        <f t="shared" ref="LI33" ca="1" si="1220">LH33-LH37</f>
        <v>0</v>
      </c>
      <c r="LJ33" s="40">
        <f t="shared" ref="LJ33" ca="1" si="1221">LI33-LI37</f>
        <v>0</v>
      </c>
      <c r="LK33" s="40">
        <f t="shared" ref="LK33" ca="1" si="1222">LJ33-LJ37</f>
        <v>0</v>
      </c>
      <c r="LL33" s="40">
        <f t="shared" ref="LL33" ca="1" si="1223">LK33-LK37</f>
        <v>0</v>
      </c>
      <c r="LM33" s="40">
        <f t="shared" ref="LM33" ca="1" si="1224">LL33-LL37</f>
        <v>0</v>
      </c>
      <c r="LN33" s="40">
        <f t="shared" ref="LN33" ca="1" si="1225">LM33-LM37</f>
        <v>0</v>
      </c>
      <c r="LO33" s="40">
        <f t="shared" ref="LO33" ca="1" si="1226">LN33-LN37</f>
        <v>0</v>
      </c>
      <c r="LP33" s="40">
        <f t="shared" ref="LP33" ca="1" si="1227">LO33-LO37</f>
        <v>0</v>
      </c>
      <c r="LQ33" s="40">
        <f t="shared" ref="LQ33" ca="1" si="1228">LP33-LP37</f>
        <v>0</v>
      </c>
      <c r="LR33" s="40">
        <f t="shared" ref="LR33" ca="1" si="1229">LQ33-LQ37</f>
        <v>0</v>
      </c>
      <c r="LS33" s="40">
        <f t="shared" ref="LS33" ca="1" si="1230">LR33-LR37</f>
        <v>0</v>
      </c>
      <c r="LT33" s="40">
        <f t="shared" ref="LT33" ca="1" si="1231">LS33-LS37</f>
        <v>0</v>
      </c>
      <c r="LU33" s="40">
        <f t="shared" ref="LU33" ca="1" si="1232">LT33-LT37</f>
        <v>0</v>
      </c>
      <c r="LV33" s="40">
        <f t="shared" ref="LV33" ca="1" si="1233">LU33-LU37</f>
        <v>0</v>
      </c>
      <c r="LW33" s="40">
        <f t="shared" ref="LW33" ca="1" si="1234">LV33-LV37</f>
        <v>0</v>
      </c>
      <c r="LX33" s="40">
        <f t="shared" ref="LX33" ca="1" si="1235">LW33-LW37</f>
        <v>0</v>
      </c>
      <c r="LY33" s="40">
        <f t="shared" ref="LY33" ca="1" si="1236">LX33-LX37</f>
        <v>0</v>
      </c>
      <c r="LZ33" s="40">
        <f t="shared" ref="LZ33" ca="1" si="1237">LY33-LY37</f>
        <v>0</v>
      </c>
      <c r="MA33" s="40">
        <f t="shared" ref="MA33" ca="1" si="1238">LZ33-LZ37</f>
        <v>0</v>
      </c>
      <c r="MB33" s="40">
        <f t="shared" ref="MB33" ca="1" si="1239">MA33-MA37</f>
        <v>0</v>
      </c>
      <c r="MC33" s="40">
        <f t="shared" ref="MC33" ca="1" si="1240">MB33-MB37</f>
        <v>0</v>
      </c>
      <c r="MD33" s="40">
        <f t="shared" ref="MD33" ca="1" si="1241">MC33-MC37</f>
        <v>0</v>
      </c>
      <c r="ME33" s="40">
        <f t="shared" ref="ME33" ca="1" si="1242">MD33-MD37</f>
        <v>0</v>
      </c>
      <c r="MF33" s="40">
        <f t="shared" ref="MF33" ca="1" si="1243">ME33-ME37</f>
        <v>0</v>
      </c>
      <c r="MG33" s="40">
        <f t="shared" ref="MG33" ca="1" si="1244">MF33-MF37</f>
        <v>0</v>
      </c>
      <c r="MH33" s="40">
        <f t="shared" ref="MH33" ca="1" si="1245">MG33-MG37</f>
        <v>0</v>
      </c>
      <c r="MI33" s="40">
        <f t="shared" ref="MI33" ca="1" si="1246">MH33-MH37</f>
        <v>0</v>
      </c>
      <c r="MJ33" s="40">
        <f t="shared" ref="MJ33" ca="1" si="1247">MI33-MI37</f>
        <v>0</v>
      </c>
      <c r="MK33" s="40">
        <f t="shared" ref="MK33" ca="1" si="1248">MJ33-MJ37</f>
        <v>0</v>
      </c>
      <c r="ML33" s="40">
        <f t="shared" ref="ML33" ca="1" si="1249">MK33-MK37</f>
        <v>0</v>
      </c>
      <c r="MM33" s="40">
        <f t="shared" ref="MM33" ca="1" si="1250">ML33-ML37</f>
        <v>0</v>
      </c>
      <c r="MN33" s="40">
        <f t="shared" ref="MN33" ca="1" si="1251">MM33-MM37</f>
        <v>0</v>
      </c>
      <c r="MO33" s="40">
        <f t="shared" ref="MO33" ca="1" si="1252">MN33-MN37</f>
        <v>0</v>
      </c>
      <c r="MP33" s="40">
        <f t="shared" ref="MP33" ca="1" si="1253">MO33-MO37</f>
        <v>0</v>
      </c>
      <c r="MQ33" s="40">
        <f t="shared" ref="MQ33" ca="1" si="1254">MP33-MP37</f>
        <v>0</v>
      </c>
      <c r="MR33" s="40">
        <f t="shared" ref="MR33" ca="1" si="1255">MQ33-MQ37</f>
        <v>0</v>
      </c>
      <c r="MS33" s="40">
        <f t="shared" ref="MS33" ca="1" si="1256">MR33-MR37</f>
        <v>0</v>
      </c>
      <c r="MT33" s="40">
        <f t="shared" ref="MT33" ca="1" si="1257">MS33-MS37</f>
        <v>0</v>
      </c>
      <c r="MU33" s="40">
        <f t="shared" ref="MU33" ca="1" si="1258">MT33-MT37</f>
        <v>0</v>
      </c>
      <c r="MV33" s="40">
        <f t="shared" ref="MV33" ca="1" si="1259">MU33-MU37</f>
        <v>0</v>
      </c>
      <c r="MW33" s="40">
        <f t="shared" ref="MW33" ca="1" si="1260">MV33-MV37</f>
        <v>0</v>
      </c>
      <c r="MX33" s="40">
        <f t="shared" ref="MX33" ca="1" si="1261">MW33-MW37</f>
        <v>0</v>
      </c>
      <c r="MY33" s="40">
        <f t="shared" ref="MY33" ca="1" si="1262">MX33-MX37</f>
        <v>0</v>
      </c>
      <c r="MZ33" s="40">
        <f t="shared" ref="MZ33" ca="1" si="1263">MY33-MY37</f>
        <v>0</v>
      </c>
      <c r="NA33" s="40">
        <f t="shared" ref="NA33" ca="1" si="1264">MZ33-MZ37</f>
        <v>0</v>
      </c>
      <c r="NB33" s="40">
        <f t="shared" ref="NB33" ca="1" si="1265">NA33-NA37</f>
        <v>0</v>
      </c>
      <c r="NC33" s="40">
        <f t="shared" ref="NC33" ca="1" si="1266">NB33-NB37</f>
        <v>0</v>
      </c>
      <c r="ND33" s="40">
        <f t="shared" ref="ND33" ca="1" si="1267">NC33-NC37</f>
        <v>0</v>
      </c>
      <c r="NE33" s="40"/>
      <c r="NF33" s="40"/>
      <c r="NG33" s="40"/>
      <c r="NH33" s="40"/>
      <c r="NI33" s="40"/>
      <c r="NJ33" s="40"/>
      <c r="NK33" s="40"/>
      <c r="NL33" s="40"/>
      <c r="NM33" s="40"/>
      <c r="NN33" s="40"/>
      <c r="NO33" s="40"/>
      <c r="NP33" s="40"/>
      <c r="NQ33" s="40"/>
      <c r="NR33" s="40"/>
    </row>
    <row r="34" spans="2:382" x14ac:dyDescent="0.15">
      <c r="B34" s="518"/>
      <c r="C34" s="115" t="str">
        <f>_xlfn.CONCAT($C$4," Preferred Return")</f>
        <v>Brian Preferred Return</v>
      </c>
      <c r="D34" s="52">
        <f>K4</f>
        <v>0.12</v>
      </c>
      <c r="E34" s="40"/>
      <c r="F34" s="40"/>
      <c r="G34" s="114"/>
      <c r="H34" s="40"/>
      <c r="I34" s="40">
        <f>$D$34/12*I33</f>
        <v>7559.0519999999997</v>
      </c>
      <c r="J34" s="40">
        <f t="shared" ref="J34" si="1268">$D$34/12*J33</f>
        <v>7559.0519999999997</v>
      </c>
      <c r="K34" s="40">
        <f t="shared" ref="K34:BV34" si="1269">$D$34/12*K33</f>
        <v>7559.0519999999997</v>
      </c>
      <c r="L34" s="40">
        <f t="shared" si="1269"/>
        <v>7559.0519999999997</v>
      </c>
      <c r="M34" s="40">
        <f t="shared" si="1269"/>
        <v>7559.0519999999997</v>
      </c>
      <c r="N34" s="40">
        <f t="shared" si="1269"/>
        <v>7559.0519999999997</v>
      </c>
      <c r="O34" s="40">
        <f t="shared" si="1269"/>
        <v>7559.0519999999997</v>
      </c>
      <c r="P34" s="40">
        <f t="shared" si="1269"/>
        <v>7559.0519999999997</v>
      </c>
      <c r="Q34" s="40">
        <f t="shared" si="1269"/>
        <v>7559.0519999999997</v>
      </c>
      <c r="R34" s="40">
        <f t="shared" si="1269"/>
        <v>7559.0519999999997</v>
      </c>
      <c r="S34" s="40">
        <f t="shared" si="1269"/>
        <v>7559.0519999999997</v>
      </c>
      <c r="T34" s="40">
        <f t="shared" si="1269"/>
        <v>7559.0519999999997</v>
      </c>
      <c r="U34" s="40">
        <f t="shared" si="1269"/>
        <v>7559.0519999999997</v>
      </c>
      <c r="V34" s="40">
        <f t="shared" si="1269"/>
        <v>7559.0519999999997</v>
      </c>
      <c r="W34" s="40">
        <f t="shared" si="1269"/>
        <v>7559.0519999999997</v>
      </c>
      <c r="X34" s="40">
        <f t="shared" si="1269"/>
        <v>7559.0519999999997</v>
      </c>
      <c r="Y34" s="40">
        <f t="shared" si="1269"/>
        <v>7559.0519999999997</v>
      </c>
      <c r="Z34" s="40">
        <f t="shared" si="1269"/>
        <v>7559.0519999999997</v>
      </c>
      <c r="AA34" s="40">
        <f t="shared" si="1269"/>
        <v>7559.0519999999997</v>
      </c>
      <c r="AB34" s="40">
        <f t="shared" si="1269"/>
        <v>7559.0519999999997</v>
      </c>
      <c r="AC34" s="40">
        <f t="shared" si="1269"/>
        <v>7559.0519999999997</v>
      </c>
      <c r="AD34" s="40">
        <f t="shared" si="1269"/>
        <v>7559.0519999999997</v>
      </c>
      <c r="AE34" s="40">
        <f t="shared" si="1269"/>
        <v>7559.0519999999997</v>
      </c>
      <c r="AF34" s="40">
        <f t="shared" si="1269"/>
        <v>7559.0519999999997</v>
      </c>
      <c r="AG34" s="40">
        <f t="shared" si="1269"/>
        <v>7559.0519999999997</v>
      </c>
      <c r="AH34" s="40">
        <f t="shared" si="1269"/>
        <v>7559.0519999999997</v>
      </c>
      <c r="AI34" s="40">
        <f t="shared" si="1269"/>
        <v>7559.0519999999997</v>
      </c>
      <c r="AJ34" s="40">
        <f t="shared" si="1269"/>
        <v>7559.0519999999997</v>
      </c>
      <c r="AK34" s="40">
        <f t="shared" si="1269"/>
        <v>7559.0519999999997</v>
      </c>
      <c r="AL34" s="40">
        <f t="shared" si="1269"/>
        <v>7559.0519999999997</v>
      </c>
      <c r="AM34" s="40">
        <f t="shared" si="1269"/>
        <v>7559.0519999999997</v>
      </c>
      <c r="AN34" s="40">
        <f t="shared" si="1269"/>
        <v>7559.0519999999997</v>
      </c>
      <c r="AO34" s="40">
        <f t="shared" si="1269"/>
        <v>7559.0519999999997</v>
      </c>
      <c r="AP34" s="40">
        <f t="shared" si="1269"/>
        <v>7559.0519999999997</v>
      </c>
      <c r="AQ34" s="40">
        <f t="shared" si="1269"/>
        <v>7559.0519999999997</v>
      </c>
      <c r="AR34" s="40">
        <f t="shared" si="1269"/>
        <v>7559.0519999999997</v>
      </c>
      <c r="AS34" s="40">
        <f t="shared" si="1269"/>
        <v>7559.0519999999997</v>
      </c>
      <c r="AT34" s="40">
        <f t="shared" si="1269"/>
        <v>7559.0519999999997</v>
      </c>
      <c r="AU34" s="40">
        <f t="shared" si="1269"/>
        <v>7559.0519999999997</v>
      </c>
      <c r="AV34" s="40">
        <f t="shared" si="1269"/>
        <v>7559.0519999999997</v>
      </c>
      <c r="AW34" s="40">
        <f t="shared" si="1269"/>
        <v>7559.0519999999997</v>
      </c>
      <c r="AX34" s="40">
        <f t="shared" si="1269"/>
        <v>7559.0519999999997</v>
      </c>
      <c r="AY34" s="40">
        <f t="shared" si="1269"/>
        <v>7559.0519999999997</v>
      </c>
      <c r="AZ34" s="40">
        <f t="shared" si="1269"/>
        <v>7559.0519999999997</v>
      </c>
      <c r="BA34" s="40">
        <f t="shared" si="1269"/>
        <v>7559.0519999999997</v>
      </c>
      <c r="BB34" s="40">
        <f t="shared" si="1269"/>
        <v>7559.0519999999997</v>
      </c>
      <c r="BC34" s="40">
        <f t="shared" si="1269"/>
        <v>7559.0519999999997</v>
      </c>
      <c r="BD34" s="40">
        <f t="shared" si="1269"/>
        <v>7559.0519999999997</v>
      </c>
      <c r="BE34" s="40">
        <f t="shared" si="1269"/>
        <v>7559.0519999999997</v>
      </c>
      <c r="BF34" s="40">
        <f t="shared" si="1269"/>
        <v>7559.0519999999997</v>
      </c>
      <c r="BG34" s="40">
        <f t="shared" si="1269"/>
        <v>7559.0519999999997</v>
      </c>
      <c r="BH34" s="40">
        <f t="shared" si="1269"/>
        <v>7559.0519999999997</v>
      </c>
      <c r="BI34" s="40">
        <f t="shared" si="1269"/>
        <v>7559.0519999999997</v>
      </c>
      <c r="BJ34" s="40">
        <f t="shared" si="1269"/>
        <v>7559.0519999999997</v>
      </c>
      <c r="BK34" s="40">
        <f t="shared" si="1269"/>
        <v>7559.0519999999997</v>
      </c>
      <c r="BL34" s="40">
        <f t="shared" si="1269"/>
        <v>7559.0519999999997</v>
      </c>
      <c r="BM34" s="40">
        <f t="shared" si="1269"/>
        <v>7559.0519999999997</v>
      </c>
      <c r="BN34" s="40">
        <f t="shared" si="1269"/>
        <v>7559.0519999999997</v>
      </c>
      <c r="BO34" s="40">
        <f t="shared" si="1269"/>
        <v>7559.0519999999997</v>
      </c>
      <c r="BP34" s="40">
        <f t="shared" si="1269"/>
        <v>7559.0519999999997</v>
      </c>
      <c r="BQ34" s="40">
        <f t="shared" si="1269"/>
        <v>7559.0519999999997</v>
      </c>
      <c r="BR34" s="40">
        <f t="shared" si="1269"/>
        <v>7559.0519999999997</v>
      </c>
      <c r="BS34" s="40">
        <f t="shared" si="1269"/>
        <v>7559.0519999999997</v>
      </c>
      <c r="BT34" s="40">
        <f t="shared" si="1269"/>
        <v>7559.0519999999997</v>
      </c>
      <c r="BU34" s="40">
        <f t="shared" si="1269"/>
        <v>7559.0519999999997</v>
      </c>
      <c r="BV34" s="40">
        <f t="shared" si="1269"/>
        <v>7559.0519999999997</v>
      </c>
      <c r="BW34" s="40">
        <f t="shared" ref="BW34:EH34" si="1270">$D$34/12*BW33</f>
        <v>7559.0519999999997</v>
      </c>
      <c r="BX34" s="40">
        <f t="shared" si="1270"/>
        <v>7559.0519999999997</v>
      </c>
      <c r="BY34" s="40">
        <f t="shared" si="1270"/>
        <v>7559.0519999999997</v>
      </c>
      <c r="BZ34" s="40">
        <f t="shared" si="1270"/>
        <v>7559.0519999999997</v>
      </c>
      <c r="CA34" s="40">
        <f t="shared" si="1270"/>
        <v>7559.0519999999997</v>
      </c>
      <c r="CB34" s="40">
        <f t="shared" si="1270"/>
        <v>7559.0519999999997</v>
      </c>
      <c r="CC34" s="40">
        <f t="shared" si="1270"/>
        <v>7559.0519999999997</v>
      </c>
      <c r="CD34" s="40">
        <f t="shared" si="1270"/>
        <v>7559.0519999999997</v>
      </c>
      <c r="CE34" s="40">
        <f t="shared" si="1270"/>
        <v>7559.0519999999997</v>
      </c>
      <c r="CF34" s="40">
        <f t="shared" si="1270"/>
        <v>7559.0519999999997</v>
      </c>
      <c r="CG34" s="40">
        <f t="shared" si="1270"/>
        <v>7559.0519999999997</v>
      </c>
      <c r="CH34" s="40">
        <f t="shared" si="1270"/>
        <v>7559.0519999999997</v>
      </c>
      <c r="CI34" s="40">
        <f t="shared" si="1270"/>
        <v>7559.0519999999997</v>
      </c>
      <c r="CJ34" s="40">
        <f t="shared" si="1270"/>
        <v>7559.0519999999997</v>
      </c>
      <c r="CK34" s="40">
        <f t="shared" si="1270"/>
        <v>7559.0519999999997</v>
      </c>
      <c r="CL34" s="40">
        <f t="shared" si="1270"/>
        <v>7559.0519999999997</v>
      </c>
      <c r="CM34" s="40">
        <f t="shared" si="1270"/>
        <v>7559.0519999999997</v>
      </c>
      <c r="CN34" s="40">
        <f t="shared" si="1270"/>
        <v>7559.0519999999997</v>
      </c>
      <c r="CO34" s="40">
        <f t="shared" si="1270"/>
        <v>7559.0519999999997</v>
      </c>
      <c r="CP34" s="40">
        <f t="shared" si="1270"/>
        <v>7559.0519999999997</v>
      </c>
      <c r="CQ34" s="40">
        <f t="shared" si="1270"/>
        <v>7559.0519999999997</v>
      </c>
      <c r="CR34" s="40">
        <f t="shared" si="1270"/>
        <v>7559.0519999999997</v>
      </c>
      <c r="CS34" s="40">
        <f t="shared" si="1270"/>
        <v>7559.0519999999997</v>
      </c>
      <c r="CT34" s="40">
        <f t="shared" si="1270"/>
        <v>7559.0519999999997</v>
      </c>
      <c r="CU34" s="40">
        <f t="shared" si="1270"/>
        <v>7559.0519999999997</v>
      </c>
      <c r="CV34" s="40">
        <f t="shared" si="1270"/>
        <v>7559.0519999999997</v>
      </c>
      <c r="CW34" s="40">
        <f t="shared" si="1270"/>
        <v>7559.0519999999997</v>
      </c>
      <c r="CX34" s="40">
        <f t="shared" si="1270"/>
        <v>7559.0519999999997</v>
      </c>
      <c r="CY34" s="40">
        <f t="shared" si="1270"/>
        <v>7559.0519999999997</v>
      </c>
      <c r="CZ34" s="40">
        <f t="shared" si="1270"/>
        <v>7559.0519999999997</v>
      </c>
      <c r="DA34" s="40">
        <f t="shared" si="1270"/>
        <v>7559.0519999999997</v>
      </c>
      <c r="DB34" s="40">
        <f t="shared" si="1270"/>
        <v>7559.0519999999997</v>
      </c>
      <c r="DC34" s="40">
        <f t="shared" si="1270"/>
        <v>7559.0519999999997</v>
      </c>
      <c r="DD34" s="40">
        <f t="shared" si="1270"/>
        <v>7559.0519999999997</v>
      </c>
      <c r="DE34" s="40">
        <f t="shared" si="1270"/>
        <v>7559.0519999999997</v>
      </c>
      <c r="DF34" s="40">
        <f t="shared" si="1270"/>
        <v>7559.0519999999997</v>
      </c>
      <c r="DG34" s="40">
        <f t="shared" si="1270"/>
        <v>7559.0519999999997</v>
      </c>
      <c r="DH34" s="40">
        <f t="shared" si="1270"/>
        <v>7559.0519999999997</v>
      </c>
      <c r="DI34" s="40">
        <f t="shared" si="1270"/>
        <v>7559.0519999999997</v>
      </c>
      <c r="DJ34" s="40">
        <f t="shared" si="1270"/>
        <v>7559.0519999999997</v>
      </c>
      <c r="DK34" s="40">
        <f t="shared" si="1270"/>
        <v>7559.0519999999997</v>
      </c>
      <c r="DL34" s="40">
        <f t="shared" si="1270"/>
        <v>7559.0519999999997</v>
      </c>
      <c r="DM34" s="40">
        <f t="shared" si="1270"/>
        <v>7559.0519999999997</v>
      </c>
      <c r="DN34" s="40">
        <f t="shared" si="1270"/>
        <v>7559.0519999999997</v>
      </c>
      <c r="DO34" s="40">
        <f t="shared" si="1270"/>
        <v>7559.0519999999997</v>
      </c>
      <c r="DP34" s="40">
        <f t="shared" si="1270"/>
        <v>7559.0519999999997</v>
      </c>
      <c r="DQ34" s="40">
        <f t="shared" si="1270"/>
        <v>7559.0519999999997</v>
      </c>
      <c r="DR34" s="40">
        <f t="shared" si="1270"/>
        <v>7559.0519999999997</v>
      </c>
      <c r="DS34" s="40">
        <f t="shared" si="1270"/>
        <v>7559.0519999999997</v>
      </c>
      <c r="DT34" s="40">
        <f t="shared" si="1270"/>
        <v>7559.0519999999997</v>
      </c>
      <c r="DU34" s="40">
        <f t="shared" si="1270"/>
        <v>7559.0519999999997</v>
      </c>
      <c r="DV34" s="40">
        <f t="shared" si="1270"/>
        <v>7559.0519999999997</v>
      </c>
      <c r="DW34" s="40">
        <f t="shared" si="1270"/>
        <v>7559.0519999999997</v>
      </c>
      <c r="DX34" s="40">
        <f t="shared" si="1270"/>
        <v>7559.0519999999997</v>
      </c>
      <c r="DY34" s="40">
        <f t="shared" si="1270"/>
        <v>7559.0519999999997</v>
      </c>
      <c r="DZ34" s="40">
        <f t="shared" si="1270"/>
        <v>7559.0519999999997</v>
      </c>
      <c r="EA34" s="40">
        <f t="shared" si="1270"/>
        <v>7559.0519999999997</v>
      </c>
      <c r="EB34" s="40">
        <f t="shared" si="1270"/>
        <v>7559.0519999999997</v>
      </c>
      <c r="EC34" s="40">
        <f t="shared" si="1270"/>
        <v>7559.0519999999997</v>
      </c>
      <c r="ED34" s="40">
        <f t="shared" si="1270"/>
        <v>7559.0519999999997</v>
      </c>
      <c r="EE34" s="40">
        <f t="shared" si="1270"/>
        <v>7559.0519999999997</v>
      </c>
      <c r="EF34" s="40">
        <f t="shared" si="1270"/>
        <v>7559.0519999999997</v>
      </c>
      <c r="EG34" s="40">
        <f t="shared" si="1270"/>
        <v>7559.0519999999997</v>
      </c>
      <c r="EH34" s="40">
        <f t="shared" si="1270"/>
        <v>7559.0519999999997</v>
      </c>
      <c r="EI34" s="40">
        <f t="shared" ref="EI34:GT34" si="1271">$D$34/12*EI33</f>
        <v>7559.0519999999997</v>
      </c>
      <c r="EJ34" s="40">
        <f t="shared" si="1271"/>
        <v>7559.0519999999997</v>
      </c>
      <c r="EK34" s="40">
        <f t="shared" si="1271"/>
        <v>7559.0519999999997</v>
      </c>
      <c r="EL34" s="40">
        <f t="shared" si="1271"/>
        <v>7559.0519999999997</v>
      </c>
      <c r="EM34" s="40">
        <f t="shared" si="1271"/>
        <v>7559.0519999999997</v>
      </c>
      <c r="EN34" s="40">
        <f t="shared" si="1271"/>
        <v>7559.0519999999997</v>
      </c>
      <c r="EO34" s="40">
        <f t="shared" si="1271"/>
        <v>7559.0519999999997</v>
      </c>
      <c r="EP34" s="40">
        <f t="shared" si="1271"/>
        <v>7559.0519999999997</v>
      </c>
      <c r="EQ34" s="40">
        <f t="shared" si="1271"/>
        <v>7559.0519999999997</v>
      </c>
      <c r="ER34" s="40">
        <f t="shared" si="1271"/>
        <v>7559.0519999999997</v>
      </c>
      <c r="ES34" s="40">
        <f t="shared" si="1271"/>
        <v>7559.0519999999997</v>
      </c>
      <c r="ET34" s="40">
        <f t="shared" si="1271"/>
        <v>7559.0519999999997</v>
      </c>
      <c r="EU34" s="40">
        <f t="shared" si="1271"/>
        <v>7559.0519999999997</v>
      </c>
      <c r="EV34" s="40">
        <f t="shared" si="1271"/>
        <v>7559.0519999999997</v>
      </c>
      <c r="EW34" s="40">
        <f t="shared" si="1271"/>
        <v>7559.0519999999997</v>
      </c>
      <c r="EX34" s="40">
        <f t="shared" si="1271"/>
        <v>7559.0519999999997</v>
      </c>
      <c r="EY34" s="40">
        <f t="shared" si="1271"/>
        <v>7559.0519999999997</v>
      </c>
      <c r="EZ34" s="40">
        <f t="shared" si="1271"/>
        <v>7559.0519999999997</v>
      </c>
      <c r="FA34" s="40">
        <f t="shared" si="1271"/>
        <v>7559.0519999999997</v>
      </c>
      <c r="FB34" s="40">
        <f t="shared" si="1271"/>
        <v>7559.0519999999997</v>
      </c>
      <c r="FC34" s="40">
        <f t="shared" si="1271"/>
        <v>7559.0519999999997</v>
      </c>
      <c r="FD34" s="40">
        <f t="shared" si="1271"/>
        <v>7559.0519999999997</v>
      </c>
      <c r="FE34" s="40">
        <f t="shared" si="1271"/>
        <v>7559.0519999999997</v>
      </c>
      <c r="FF34" s="40">
        <f t="shared" si="1271"/>
        <v>7559.0519999999997</v>
      </c>
      <c r="FG34" s="40">
        <f t="shared" si="1271"/>
        <v>7559.0519999999997</v>
      </c>
      <c r="FH34" s="40">
        <f t="shared" si="1271"/>
        <v>7559.0519999999997</v>
      </c>
      <c r="FI34" s="40">
        <f t="shared" si="1271"/>
        <v>7559.0519999999997</v>
      </c>
      <c r="FJ34" s="40">
        <f t="shared" si="1271"/>
        <v>7559.0519999999997</v>
      </c>
      <c r="FK34" s="40">
        <f t="shared" si="1271"/>
        <v>7559.0519999999997</v>
      </c>
      <c r="FL34" s="40">
        <f t="shared" si="1271"/>
        <v>7559.0519999999997</v>
      </c>
      <c r="FM34" s="40">
        <f t="shared" si="1271"/>
        <v>7559.0519999999997</v>
      </c>
      <c r="FN34" s="40">
        <f t="shared" si="1271"/>
        <v>7559.0519999999997</v>
      </c>
      <c r="FO34" s="40">
        <f t="shared" si="1271"/>
        <v>7559.0519999999997</v>
      </c>
      <c r="FP34" s="40">
        <f t="shared" si="1271"/>
        <v>7559.0519999999997</v>
      </c>
      <c r="FQ34" s="40">
        <f t="shared" si="1271"/>
        <v>7559.0519999999997</v>
      </c>
      <c r="FR34" s="40">
        <f t="shared" si="1271"/>
        <v>7559.0519999999997</v>
      </c>
      <c r="FS34" s="40">
        <f t="shared" si="1271"/>
        <v>7559.0519999999997</v>
      </c>
      <c r="FT34" s="40">
        <f t="shared" si="1271"/>
        <v>7559.0519999999997</v>
      </c>
      <c r="FU34" s="40">
        <f t="shared" si="1271"/>
        <v>7559.0519999999997</v>
      </c>
      <c r="FV34" s="40">
        <f t="shared" si="1271"/>
        <v>7559.0519999999997</v>
      </c>
      <c r="FW34" s="40">
        <f t="shared" si="1271"/>
        <v>7559.0519999999997</v>
      </c>
      <c r="FX34" s="40">
        <f t="shared" si="1271"/>
        <v>7559.0519999999997</v>
      </c>
      <c r="FY34" s="40">
        <f t="shared" si="1271"/>
        <v>7559.0519999999997</v>
      </c>
      <c r="FZ34" s="40">
        <f t="shared" si="1271"/>
        <v>7559.0519999999997</v>
      </c>
      <c r="GA34" s="40">
        <f t="shared" si="1271"/>
        <v>7559.0519999999997</v>
      </c>
      <c r="GB34" s="40">
        <f t="shared" si="1271"/>
        <v>7559.0519999999997</v>
      </c>
      <c r="GC34" s="40">
        <f t="shared" si="1271"/>
        <v>7559.0519999999997</v>
      </c>
      <c r="GD34" s="40">
        <f t="shared" si="1271"/>
        <v>7559.0519999999997</v>
      </c>
      <c r="GE34" s="40">
        <f t="shared" si="1271"/>
        <v>7559.0519999999997</v>
      </c>
      <c r="GF34" s="40">
        <f t="shared" si="1271"/>
        <v>7559.0519999999997</v>
      </c>
      <c r="GG34" s="40">
        <f t="shared" ca="1" si="1271"/>
        <v>0</v>
      </c>
      <c r="GH34" s="40">
        <f t="shared" ca="1" si="1271"/>
        <v>0</v>
      </c>
      <c r="GI34" s="40">
        <f t="shared" ca="1" si="1271"/>
        <v>0</v>
      </c>
      <c r="GJ34" s="40">
        <f t="shared" ca="1" si="1271"/>
        <v>0</v>
      </c>
      <c r="GK34" s="40">
        <f t="shared" ca="1" si="1271"/>
        <v>0</v>
      </c>
      <c r="GL34" s="40">
        <f t="shared" ca="1" si="1271"/>
        <v>0</v>
      </c>
      <c r="GM34" s="40">
        <f t="shared" ca="1" si="1271"/>
        <v>0</v>
      </c>
      <c r="GN34" s="40">
        <f t="shared" ca="1" si="1271"/>
        <v>0</v>
      </c>
      <c r="GO34" s="40">
        <f t="shared" ca="1" si="1271"/>
        <v>0</v>
      </c>
      <c r="GP34" s="40">
        <f t="shared" ca="1" si="1271"/>
        <v>0</v>
      </c>
      <c r="GQ34" s="40">
        <f t="shared" ca="1" si="1271"/>
        <v>0</v>
      </c>
      <c r="GR34" s="40">
        <f t="shared" ca="1" si="1271"/>
        <v>0</v>
      </c>
      <c r="GS34" s="40">
        <f t="shared" ca="1" si="1271"/>
        <v>0</v>
      </c>
      <c r="GT34" s="40">
        <f t="shared" ca="1" si="1271"/>
        <v>0</v>
      </c>
      <c r="GU34" s="40">
        <f t="shared" ref="GU34:IN34" ca="1" si="1272">$D$34/12*GU33</f>
        <v>0</v>
      </c>
      <c r="GV34" s="40">
        <f t="shared" ca="1" si="1272"/>
        <v>0</v>
      </c>
      <c r="GW34" s="40">
        <f t="shared" ca="1" si="1272"/>
        <v>0</v>
      </c>
      <c r="GX34" s="40">
        <f t="shared" ca="1" si="1272"/>
        <v>0</v>
      </c>
      <c r="GY34" s="40">
        <f t="shared" ca="1" si="1272"/>
        <v>0</v>
      </c>
      <c r="GZ34" s="40">
        <f t="shared" ca="1" si="1272"/>
        <v>0</v>
      </c>
      <c r="HA34" s="40">
        <f t="shared" ca="1" si="1272"/>
        <v>0</v>
      </c>
      <c r="HB34" s="40">
        <f t="shared" ca="1" si="1272"/>
        <v>0</v>
      </c>
      <c r="HC34" s="40">
        <f t="shared" ca="1" si="1272"/>
        <v>0</v>
      </c>
      <c r="HD34" s="40">
        <f t="shared" ca="1" si="1272"/>
        <v>0</v>
      </c>
      <c r="HE34" s="40">
        <f t="shared" ca="1" si="1272"/>
        <v>0</v>
      </c>
      <c r="HF34" s="40">
        <f t="shared" ca="1" si="1272"/>
        <v>0</v>
      </c>
      <c r="HG34" s="40">
        <f t="shared" ca="1" si="1272"/>
        <v>0</v>
      </c>
      <c r="HH34" s="40">
        <f t="shared" ca="1" si="1272"/>
        <v>0</v>
      </c>
      <c r="HI34" s="40">
        <f t="shared" ca="1" si="1272"/>
        <v>0</v>
      </c>
      <c r="HJ34" s="40">
        <f t="shared" ca="1" si="1272"/>
        <v>0</v>
      </c>
      <c r="HK34" s="40">
        <f t="shared" ca="1" si="1272"/>
        <v>0</v>
      </c>
      <c r="HL34" s="40">
        <f t="shared" ca="1" si="1272"/>
        <v>0</v>
      </c>
      <c r="HM34" s="40">
        <f t="shared" ca="1" si="1272"/>
        <v>0</v>
      </c>
      <c r="HN34" s="40">
        <f t="shared" ca="1" si="1272"/>
        <v>0</v>
      </c>
      <c r="HO34" s="40">
        <f t="shared" ca="1" si="1272"/>
        <v>0</v>
      </c>
      <c r="HP34" s="40">
        <f t="shared" ca="1" si="1272"/>
        <v>0</v>
      </c>
      <c r="HQ34" s="40">
        <f t="shared" ca="1" si="1272"/>
        <v>0</v>
      </c>
      <c r="HR34" s="40">
        <f t="shared" ca="1" si="1272"/>
        <v>0</v>
      </c>
      <c r="HS34" s="40">
        <f t="shared" ca="1" si="1272"/>
        <v>0</v>
      </c>
      <c r="HT34" s="40">
        <f t="shared" ca="1" si="1272"/>
        <v>0</v>
      </c>
      <c r="HU34" s="40">
        <f t="shared" ca="1" si="1272"/>
        <v>0</v>
      </c>
      <c r="HV34" s="40">
        <f t="shared" ca="1" si="1272"/>
        <v>0</v>
      </c>
      <c r="HW34" s="40">
        <f t="shared" ca="1" si="1272"/>
        <v>0</v>
      </c>
      <c r="HX34" s="40">
        <f t="shared" ca="1" si="1272"/>
        <v>0</v>
      </c>
      <c r="HY34" s="40">
        <f t="shared" ca="1" si="1272"/>
        <v>0</v>
      </c>
      <c r="HZ34" s="40">
        <f t="shared" ca="1" si="1272"/>
        <v>0</v>
      </c>
      <c r="IA34" s="40">
        <f t="shared" ca="1" si="1272"/>
        <v>0</v>
      </c>
      <c r="IB34" s="40">
        <f t="shared" ca="1" si="1272"/>
        <v>0</v>
      </c>
      <c r="IC34" s="40">
        <f t="shared" ca="1" si="1272"/>
        <v>0</v>
      </c>
      <c r="ID34" s="40">
        <f t="shared" ca="1" si="1272"/>
        <v>0</v>
      </c>
      <c r="IE34" s="40">
        <f t="shared" ca="1" si="1272"/>
        <v>0</v>
      </c>
      <c r="IF34" s="40">
        <f t="shared" ca="1" si="1272"/>
        <v>0</v>
      </c>
      <c r="IG34" s="40">
        <f t="shared" ca="1" si="1272"/>
        <v>0</v>
      </c>
      <c r="IH34" s="40">
        <f t="shared" ca="1" si="1272"/>
        <v>0</v>
      </c>
      <c r="II34" s="40">
        <f t="shared" ca="1" si="1272"/>
        <v>0</v>
      </c>
      <c r="IJ34" s="40">
        <f t="shared" ca="1" si="1272"/>
        <v>0</v>
      </c>
      <c r="IK34" s="40">
        <f t="shared" ca="1" si="1272"/>
        <v>0</v>
      </c>
      <c r="IL34" s="40">
        <f t="shared" ca="1" si="1272"/>
        <v>0</v>
      </c>
      <c r="IM34" s="40">
        <f t="shared" ca="1" si="1272"/>
        <v>0</v>
      </c>
      <c r="IN34" s="40">
        <f t="shared" ca="1" si="1272"/>
        <v>0</v>
      </c>
      <c r="IO34" s="40">
        <f t="shared" ref="IO34:KZ34" ca="1" si="1273">$D$34/12*IO33</f>
        <v>0</v>
      </c>
      <c r="IP34" s="40">
        <f t="shared" ca="1" si="1273"/>
        <v>0</v>
      </c>
      <c r="IQ34" s="40">
        <f t="shared" ca="1" si="1273"/>
        <v>0</v>
      </c>
      <c r="IR34" s="40">
        <f t="shared" ca="1" si="1273"/>
        <v>0</v>
      </c>
      <c r="IS34" s="40">
        <f t="shared" ca="1" si="1273"/>
        <v>0</v>
      </c>
      <c r="IT34" s="40">
        <f t="shared" ca="1" si="1273"/>
        <v>0</v>
      </c>
      <c r="IU34" s="40">
        <f t="shared" ca="1" si="1273"/>
        <v>0</v>
      </c>
      <c r="IV34" s="40">
        <f t="shared" ca="1" si="1273"/>
        <v>0</v>
      </c>
      <c r="IW34" s="40">
        <f t="shared" ca="1" si="1273"/>
        <v>0</v>
      </c>
      <c r="IX34" s="40">
        <f t="shared" ca="1" si="1273"/>
        <v>0</v>
      </c>
      <c r="IY34" s="40">
        <f t="shared" ca="1" si="1273"/>
        <v>0</v>
      </c>
      <c r="IZ34" s="40">
        <f t="shared" ca="1" si="1273"/>
        <v>0</v>
      </c>
      <c r="JA34" s="40">
        <f t="shared" ca="1" si="1273"/>
        <v>0</v>
      </c>
      <c r="JB34" s="40">
        <f t="shared" ca="1" si="1273"/>
        <v>0</v>
      </c>
      <c r="JC34" s="40">
        <f t="shared" ca="1" si="1273"/>
        <v>0</v>
      </c>
      <c r="JD34" s="40">
        <f t="shared" ca="1" si="1273"/>
        <v>0</v>
      </c>
      <c r="JE34" s="40">
        <f t="shared" ca="1" si="1273"/>
        <v>0</v>
      </c>
      <c r="JF34" s="40">
        <f t="shared" ca="1" si="1273"/>
        <v>0</v>
      </c>
      <c r="JG34" s="40">
        <f t="shared" ca="1" si="1273"/>
        <v>0</v>
      </c>
      <c r="JH34" s="40">
        <f t="shared" ca="1" si="1273"/>
        <v>0</v>
      </c>
      <c r="JI34" s="40">
        <f t="shared" ca="1" si="1273"/>
        <v>0</v>
      </c>
      <c r="JJ34" s="40">
        <f t="shared" ca="1" si="1273"/>
        <v>0</v>
      </c>
      <c r="JK34" s="40">
        <f t="shared" ca="1" si="1273"/>
        <v>0</v>
      </c>
      <c r="JL34" s="40">
        <f t="shared" ca="1" si="1273"/>
        <v>0</v>
      </c>
      <c r="JM34" s="40">
        <f t="shared" ca="1" si="1273"/>
        <v>0</v>
      </c>
      <c r="JN34" s="40">
        <f t="shared" ca="1" si="1273"/>
        <v>0</v>
      </c>
      <c r="JO34" s="40">
        <f t="shared" ca="1" si="1273"/>
        <v>0</v>
      </c>
      <c r="JP34" s="40">
        <f t="shared" ca="1" si="1273"/>
        <v>0</v>
      </c>
      <c r="JQ34" s="40">
        <f t="shared" ca="1" si="1273"/>
        <v>0</v>
      </c>
      <c r="JR34" s="40">
        <f t="shared" ca="1" si="1273"/>
        <v>0</v>
      </c>
      <c r="JS34" s="40">
        <f t="shared" ca="1" si="1273"/>
        <v>0</v>
      </c>
      <c r="JT34" s="40">
        <f t="shared" ca="1" si="1273"/>
        <v>0</v>
      </c>
      <c r="JU34" s="40">
        <f t="shared" ca="1" si="1273"/>
        <v>0</v>
      </c>
      <c r="JV34" s="40">
        <f t="shared" ca="1" si="1273"/>
        <v>0</v>
      </c>
      <c r="JW34" s="40">
        <f t="shared" ca="1" si="1273"/>
        <v>0</v>
      </c>
      <c r="JX34" s="40">
        <f t="shared" ca="1" si="1273"/>
        <v>0</v>
      </c>
      <c r="JY34" s="40">
        <f t="shared" ca="1" si="1273"/>
        <v>0</v>
      </c>
      <c r="JZ34" s="40">
        <f t="shared" ca="1" si="1273"/>
        <v>0</v>
      </c>
      <c r="KA34" s="40">
        <f t="shared" ca="1" si="1273"/>
        <v>0</v>
      </c>
      <c r="KB34" s="40">
        <f t="shared" ca="1" si="1273"/>
        <v>0</v>
      </c>
      <c r="KC34" s="40">
        <f t="shared" ca="1" si="1273"/>
        <v>0</v>
      </c>
      <c r="KD34" s="40">
        <f t="shared" ca="1" si="1273"/>
        <v>0</v>
      </c>
      <c r="KE34" s="40">
        <f t="shared" ca="1" si="1273"/>
        <v>0</v>
      </c>
      <c r="KF34" s="40">
        <f t="shared" ca="1" si="1273"/>
        <v>0</v>
      </c>
      <c r="KG34" s="40">
        <f t="shared" ca="1" si="1273"/>
        <v>0</v>
      </c>
      <c r="KH34" s="40">
        <f t="shared" ca="1" si="1273"/>
        <v>0</v>
      </c>
      <c r="KI34" s="40">
        <f t="shared" ca="1" si="1273"/>
        <v>0</v>
      </c>
      <c r="KJ34" s="40">
        <f t="shared" ca="1" si="1273"/>
        <v>0</v>
      </c>
      <c r="KK34" s="40">
        <f t="shared" ca="1" si="1273"/>
        <v>0</v>
      </c>
      <c r="KL34" s="40">
        <f t="shared" ca="1" si="1273"/>
        <v>0</v>
      </c>
      <c r="KM34" s="40">
        <f t="shared" ca="1" si="1273"/>
        <v>0</v>
      </c>
      <c r="KN34" s="40">
        <f t="shared" ca="1" si="1273"/>
        <v>0</v>
      </c>
      <c r="KO34" s="40">
        <f t="shared" ca="1" si="1273"/>
        <v>0</v>
      </c>
      <c r="KP34" s="40">
        <f t="shared" ca="1" si="1273"/>
        <v>0</v>
      </c>
      <c r="KQ34" s="40">
        <f t="shared" ca="1" si="1273"/>
        <v>0</v>
      </c>
      <c r="KR34" s="40">
        <f t="shared" ca="1" si="1273"/>
        <v>0</v>
      </c>
      <c r="KS34" s="40">
        <f t="shared" ca="1" si="1273"/>
        <v>0</v>
      </c>
      <c r="KT34" s="40">
        <f t="shared" ca="1" si="1273"/>
        <v>0</v>
      </c>
      <c r="KU34" s="40">
        <f t="shared" ca="1" si="1273"/>
        <v>0</v>
      </c>
      <c r="KV34" s="40">
        <f t="shared" ca="1" si="1273"/>
        <v>0</v>
      </c>
      <c r="KW34" s="40">
        <f t="shared" ca="1" si="1273"/>
        <v>0</v>
      </c>
      <c r="KX34" s="40">
        <f t="shared" ca="1" si="1273"/>
        <v>0</v>
      </c>
      <c r="KY34" s="40">
        <f t="shared" ca="1" si="1273"/>
        <v>0</v>
      </c>
      <c r="KZ34" s="40">
        <f t="shared" ca="1" si="1273"/>
        <v>0</v>
      </c>
      <c r="LA34" s="40">
        <f t="shared" ref="LA34:ND34" ca="1" si="1274">$D$34/12*LA33</f>
        <v>0</v>
      </c>
      <c r="LB34" s="40">
        <f t="shared" ca="1" si="1274"/>
        <v>0</v>
      </c>
      <c r="LC34" s="40">
        <f t="shared" ca="1" si="1274"/>
        <v>0</v>
      </c>
      <c r="LD34" s="40">
        <f t="shared" ca="1" si="1274"/>
        <v>0</v>
      </c>
      <c r="LE34" s="40">
        <f t="shared" ca="1" si="1274"/>
        <v>0</v>
      </c>
      <c r="LF34" s="40">
        <f t="shared" ca="1" si="1274"/>
        <v>0</v>
      </c>
      <c r="LG34" s="40">
        <f t="shared" ca="1" si="1274"/>
        <v>0</v>
      </c>
      <c r="LH34" s="40">
        <f t="shared" ca="1" si="1274"/>
        <v>0</v>
      </c>
      <c r="LI34" s="40">
        <f t="shared" ca="1" si="1274"/>
        <v>0</v>
      </c>
      <c r="LJ34" s="40">
        <f t="shared" ca="1" si="1274"/>
        <v>0</v>
      </c>
      <c r="LK34" s="40">
        <f t="shared" ca="1" si="1274"/>
        <v>0</v>
      </c>
      <c r="LL34" s="40">
        <f t="shared" ca="1" si="1274"/>
        <v>0</v>
      </c>
      <c r="LM34" s="40">
        <f t="shared" ca="1" si="1274"/>
        <v>0</v>
      </c>
      <c r="LN34" s="40">
        <f t="shared" ca="1" si="1274"/>
        <v>0</v>
      </c>
      <c r="LO34" s="40">
        <f t="shared" ca="1" si="1274"/>
        <v>0</v>
      </c>
      <c r="LP34" s="40">
        <f t="shared" ca="1" si="1274"/>
        <v>0</v>
      </c>
      <c r="LQ34" s="40">
        <f t="shared" ca="1" si="1274"/>
        <v>0</v>
      </c>
      <c r="LR34" s="40">
        <f t="shared" ca="1" si="1274"/>
        <v>0</v>
      </c>
      <c r="LS34" s="40">
        <f t="shared" ca="1" si="1274"/>
        <v>0</v>
      </c>
      <c r="LT34" s="40">
        <f t="shared" ca="1" si="1274"/>
        <v>0</v>
      </c>
      <c r="LU34" s="40">
        <f t="shared" ca="1" si="1274"/>
        <v>0</v>
      </c>
      <c r="LV34" s="40">
        <f t="shared" ca="1" si="1274"/>
        <v>0</v>
      </c>
      <c r="LW34" s="40">
        <f t="shared" ca="1" si="1274"/>
        <v>0</v>
      </c>
      <c r="LX34" s="40">
        <f t="shared" ca="1" si="1274"/>
        <v>0</v>
      </c>
      <c r="LY34" s="40">
        <f t="shared" ca="1" si="1274"/>
        <v>0</v>
      </c>
      <c r="LZ34" s="40">
        <f t="shared" ca="1" si="1274"/>
        <v>0</v>
      </c>
      <c r="MA34" s="40">
        <f t="shared" ca="1" si="1274"/>
        <v>0</v>
      </c>
      <c r="MB34" s="40">
        <f t="shared" ca="1" si="1274"/>
        <v>0</v>
      </c>
      <c r="MC34" s="40">
        <f t="shared" ca="1" si="1274"/>
        <v>0</v>
      </c>
      <c r="MD34" s="40">
        <f t="shared" ca="1" si="1274"/>
        <v>0</v>
      </c>
      <c r="ME34" s="40">
        <f t="shared" ca="1" si="1274"/>
        <v>0</v>
      </c>
      <c r="MF34" s="40">
        <f t="shared" ca="1" si="1274"/>
        <v>0</v>
      </c>
      <c r="MG34" s="40">
        <f t="shared" ca="1" si="1274"/>
        <v>0</v>
      </c>
      <c r="MH34" s="40">
        <f t="shared" ca="1" si="1274"/>
        <v>0</v>
      </c>
      <c r="MI34" s="40">
        <f t="shared" ca="1" si="1274"/>
        <v>0</v>
      </c>
      <c r="MJ34" s="40">
        <f t="shared" ca="1" si="1274"/>
        <v>0</v>
      </c>
      <c r="MK34" s="40">
        <f t="shared" ca="1" si="1274"/>
        <v>0</v>
      </c>
      <c r="ML34" s="40">
        <f t="shared" ca="1" si="1274"/>
        <v>0</v>
      </c>
      <c r="MM34" s="40">
        <f t="shared" ca="1" si="1274"/>
        <v>0</v>
      </c>
      <c r="MN34" s="40">
        <f t="shared" ca="1" si="1274"/>
        <v>0</v>
      </c>
      <c r="MO34" s="40">
        <f t="shared" ca="1" si="1274"/>
        <v>0</v>
      </c>
      <c r="MP34" s="40">
        <f t="shared" ca="1" si="1274"/>
        <v>0</v>
      </c>
      <c r="MQ34" s="40">
        <f t="shared" ca="1" si="1274"/>
        <v>0</v>
      </c>
      <c r="MR34" s="40">
        <f t="shared" ca="1" si="1274"/>
        <v>0</v>
      </c>
      <c r="MS34" s="40">
        <f t="shared" ca="1" si="1274"/>
        <v>0</v>
      </c>
      <c r="MT34" s="40">
        <f t="shared" ca="1" si="1274"/>
        <v>0</v>
      </c>
      <c r="MU34" s="40">
        <f t="shared" ca="1" si="1274"/>
        <v>0</v>
      </c>
      <c r="MV34" s="40">
        <f t="shared" ca="1" si="1274"/>
        <v>0</v>
      </c>
      <c r="MW34" s="40">
        <f t="shared" ca="1" si="1274"/>
        <v>0</v>
      </c>
      <c r="MX34" s="40">
        <f t="shared" ca="1" si="1274"/>
        <v>0</v>
      </c>
      <c r="MY34" s="40">
        <f t="shared" ca="1" si="1274"/>
        <v>0</v>
      </c>
      <c r="MZ34" s="40">
        <f t="shared" ca="1" si="1274"/>
        <v>0</v>
      </c>
      <c r="NA34" s="40">
        <f t="shared" ca="1" si="1274"/>
        <v>0</v>
      </c>
      <c r="NB34" s="40">
        <f t="shared" ca="1" si="1274"/>
        <v>0</v>
      </c>
      <c r="NC34" s="40">
        <f t="shared" ca="1" si="1274"/>
        <v>0</v>
      </c>
      <c r="ND34" s="40">
        <f t="shared" ca="1" si="1274"/>
        <v>0</v>
      </c>
      <c r="NE34" s="40"/>
      <c r="NF34" s="40"/>
      <c r="NG34" s="40"/>
      <c r="NH34" s="40"/>
      <c r="NI34" s="40"/>
      <c r="NJ34" s="40"/>
      <c r="NK34" s="40"/>
      <c r="NL34" s="40"/>
      <c r="NM34" s="40"/>
      <c r="NN34" s="40"/>
      <c r="NO34" s="40"/>
      <c r="NP34" s="40"/>
      <c r="NQ34" s="40"/>
      <c r="NR34" s="40"/>
    </row>
    <row r="35" spans="2:382" x14ac:dyDescent="0.15">
      <c r="B35" s="518"/>
      <c r="C35" s="115" t="str">
        <f>_xlfn.CONCAT($C$4," Preferred Return Account")</f>
        <v>Brian Preferred Return Account</v>
      </c>
      <c r="D35" s="52"/>
      <c r="E35" s="40"/>
      <c r="F35" s="40"/>
      <c r="G35" s="114"/>
      <c r="H35" s="40"/>
      <c r="I35" s="40">
        <f>G35-G36+I34</f>
        <v>7559.0519999999997</v>
      </c>
      <c r="J35" s="40">
        <f t="shared" ref="J35" si="1275">I35-I36+J34</f>
        <v>47056.617322499995</v>
      </c>
      <c r="K35" s="40">
        <f t="shared" ref="K35" si="1276">J35-J36+K34</f>
        <v>86554.182644999993</v>
      </c>
      <c r="L35" s="40">
        <f t="shared" ref="L35" si="1277">K35-K36+L34</f>
        <v>126051.74796749998</v>
      </c>
      <c r="M35" s="40">
        <f t="shared" ref="M35" si="1278">L35-L36+M34</f>
        <v>133610.79996749997</v>
      </c>
      <c r="N35" s="40">
        <f t="shared" ref="N35" si="1279">M35-M36+N34</f>
        <v>141169.85196749997</v>
      </c>
      <c r="O35" s="40">
        <f t="shared" ref="O35" si="1280">N35-N36+O34</f>
        <v>148728.90396749997</v>
      </c>
      <c r="P35" s="40">
        <f t="shared" ref="P35" si="1281">O35-O36+P34</f>
        <v>156287.95596749996</v>
      </c>
      <c r="Q35" s="40">
        <f t="shared" ref="Q35" si="1282">P35-P36+Q34</f>
        <v>163847.00796749996</v>
      </c>
      <c r="R35" s="40">
        <f t="shared" ref="R35" si="1283">Q35-Q36+R34</f>
        <v>171406.05996749995</v>
      </c>
      <c r="S35" s="40">
        <f t="shared" ref="S35" si="1284">R35-R36+S34</f>
        <v>178965.11196749995</v>
      </c>
      <c r="T35" s="40">
        <f t="shared" ref="T35" si="1285">S35-S36+T34</f>
        <v>186524.16396749995</v>
      </c>
      <c r="U35" s="40">
        <f t="shared" ref="U35" si="1286">T35-T36+U34</f>
        <v>194083.21596749994</v>
      </c>
      <c r="V35" s="40">
        <f t="shared" ref="V35" si="1287">U35-U36+V34</f>
        <v>201642.26796749994</v>
      </c>
      <c r="W35" s="40">
        <f t="shared" ref="W35" si="1288">V35-V36+W34</f>
        <v>209201.31996749993</v>
      </c>
      <c r="X35" s="40">
        <f t="shared" ref="X35" si="1289">W35-W36+X34</f>
        <v>216760.37196749993</v>
      </c>
      <c r="Y35" s="40">
        <f t="shared" ref="Y35" si="1290">X35-X36+Y34</f>
        <v>224319.42396749993</v>
      </c>
      <c r="Z35" s="40">
        <f t="shared" ref="Z35" si="1291">Y35-Y36+Z34</f>
        <v>231878.47596749992</v>
      </c>
      <c r="AA35" s="40">
        <f t="shared" ref="AA35" si="1292">Z35-Z36+AA34</f>
        <v>239437.52796749992</v>
      </c>
      <c r="AB35" s="40">
        <f t="shared" ref="AB35" si="1293">AA35-AA36+AB34</f>
        <v>246996.57996749991</v>
      </c>
      <c r="AC35" s="40">
        <f t="shared" ref="AC35" si="1294">AB35-AB36+AC34</f>
        <v>254555.63196749991</v>
      </c>
      <c r="AD35" s="40">
        <f t="shared" ref="AD35" si="1295">AC35-AC36+AD34</f>
        <v>262114.68396749991</v>
      </c>
      <c r="AE35" s="40">
        <f t="shared" ref="AE35" si="1296">AD35-AD36+AE34</f>
        <v>269673.7359674999</v>
      </c>
      <c r="AF35" s="40">
        <f t="shared" ref="AF35" si="1297">AE35-AE36+AF34</f>
        <v>277232.78796749993</v>
      </c>
      <c r="AG35" s="40">
        <f t="shared" ref="AG35" si="1298">AF35-AF36+AG34</f>
        <v>284791.83996749995</v>
      </c>
      <c r="AH35" s="40">
        <f t="shared" ref="AH35" si="1299">AG35-AG36+AH34</f>
        <v>292350.89196749998</v>
      </c>
      <c r="AI35" s="40">
        <f t="shared" ref="AI35" si="1300">AH35-AH36+AI34</f>
        <v>299909.9439675</v>
      </c>
      <c r="AJ35" s="40">
        <f t="shared" ref="AJ35" si="1301">AI35-AI36+AJ34</f>
        <v>307468.99596750003</v>
      </c>
      <c r="AK35" s="40">
        <f t="shared" ref="AK35" si="1302">AJ35-AJ36+AK34</f>
        <v>315028.04796750005</v>
      </c>
      <c r="AL35" s="40">
        <f t="shared" ref="AL35" si="1303">AK35-AK36+AL34</f>
        <v>322587.09996750008</v>
      </c>
      <c r="AM35" s="40">
        <f t="shared" ref="AM35" si="1304">AL35-AL36+AM34</f>
        <v>330146.1519675001</v>
      </c>
      <c r="AN35" s="40">
        <f t="shared" ref="AN35" si="1305">AM35-AM36+AN34</f>
        <v>337705.20396750013</v>
      </c>
      <c r="AO35" s="40">
        <f t="shared" ref="AO35" si="1306">AN35-AN36+AO34</f>
        <v>345264.25596750015</v>
      </c>
      <c r="AP35" s="40">
        <f t="shared" ref="AP35" si="1307">AO35-AO36+AP34</f>
        <v>352823.30796750018</v>
      </c>
      <c r="AQ35" s="40">
        <f t="shared" ref="AQ35" si="1308">AP35-AP36+AQ34</f>
        <v>360382.3599675002</v>
      </c>
      <c r="AR35" s="40">
        <f t="shared" ref="AR35" si="1309">AQ35-AQ36+AR34</f>
        <v>367941.41196750023</v>
      </c>
      <c r="AS35" s="40">
        <f t="shared" ref="AS35" si="1310">AR35-AR36+AS34</f>
        <v>375500.46396750025</v>
      </c>
      <c r="AT35" s="40">
        <f t="shared" ref="AT35" si="1311">AS35-AS36+AT34</f>
        <v>382948.79072334245</v>
      </c>
      <c r="AU35" s="40">
        <f t="shared" ref="AU35" si="1312">AT35-AT36+AU34</f>
        <v>390397.11747918464</v>
      </c>
      <c r="AV35" s="40">
        <f t="shared" ref="AV35" si="1313">AU35-AU36+AV34</f>
        <v>397845.44423502684</v>
      </c>
      <c r="AW35" s="40">
        <f t="shared" ref="AW35" si="1314">AV35-AV36+AW34</f>
        <v>405293.77099086903</v>
      </c>
      <c r="AX35" s="40">
        <f t="shared" ref="AX35" si="1315">AW35-AW36+AX34</f>
        <v>412742.09774671122</v>
      </c>
      <c r="AY35" s="40">
        <f t="shared" ref="AY35" si="1316">AX35-AX36+AY34</f>
        <v>420190.42450255342</v>
      </c>
      <c r="AZ35" s="40">
        <f t="shared" ref="AZ35" si="1317">AY35-AY36+AZ34</f>
        <v>427638.75125839561</v>
      </c>
      <c r="BA35" s="40">
        <f t="shared" ref="BA35" si="1318">AZ35-AZ36+BA34</f>
        <v>435087.07801423781</v>
      </c>
      <c r="BB35" s="40">
        <f t="shared" ref="BB35" si="1319">BA35-BA36+BB34</f>
        <v>442535.40477008</v>
      </c>
      <c r="BC35" s="40">
        <f t="shared" ref="BC35" si="1320">BB35-BB36+BC34</f>
        <v>449983.73152592219</v>
      </c>
      <c r="BD35" s="40">
        <f t="shared" ref="BD35" si="1321">BC35-BC36+BD34</f>
        <v>457432.05828176439</v>
      </c>
      <c r="BE35" s="40">
        <f t="shared" ref="BE35" si="1322">BD35-BD36+BE34</f>
        <v>464880.38503760658</v>
      </c>
      <c r="BF35" s="40">
        <f t="shared" ref="BF35" si="1323">BE35-BE36+BF34</f>
        <v>472045.67261616926</v>
      </c>
      <c r="BG35" s="40">
        <f t="shared" ref="BG35" si="1324">BF35-BF36+BG34</f>
        <v>479210.96019473195</v>
      </c>
      <c r="BH35" s="40">
        <f t="shared" ref="BH35" si="1325">BG35-BG36+BH34</f>
        <v>486376.24777329463</v>
      </c>
      <c r="BI35" s="40">
        <f t="shared" ref="BI35" si="1326">BH35-BH36+BI34</f>
        <v>493541.53535185731</v>
      </c>
      <c r="BJ35" s="40">
        <f t="shared" ref="BJ35" si="1327">BI35-BI36+BJ34</f>
        <v>500706.82293041999</v>
      </c>
      <c r="BK35" s="40">
        <f t="shared" ref="BK35" si="1328">BJ35-BJ36+BK34</f>
        <v>507872.11050898267</v>
      </c>
      <c r="BL35" s="40">
        <f t="shared" ref="BL35" si="1329">BK35-BK36+BL34</f>
        <v>515037.39808754536</v>
      </c>
      <c r="BM35" s="40">
        <f t="shared" ref="BM35" si="1330">BL35-BL36+BM34</f>
        <v>522202.68566610804</v>
      </c>
      <c r="BN35" s="40">
        <f t="shared" ref="BN35" si="1331">BM35-BM36+BN34</f>
        <v>529367.97324467066</v>
      </c>
      <c r="BO35" s="40">
        <f t="shared" ref="BO35" si="1332">BN35-BN36+BO34</f>
        <v>536533.26082323329</v>
      </c>
      <c r="BP35" s="40">
        <f t="shared" ref="BP35" si="1333">BO35-BO36+BP34</f>
        <v>543698.54840179591</v>
      </c>
      <c r="BQ35" s="40">
        <f t="shared" ref="BQ35" si="1334">BP35-BP36+BQ34</f>
        <v>550863.83598035853</v>
      </c>
      <c r="BR35" s="40">
        <f t="shared" ref="BR35" si="1335">BQ35-BQ36+BR34</f>
        <v>557737.19993542822</v>
      </c>
      <c r="BS35" s="40">
        <f t="shared" ref="BS35" si="1336">BR35-BR36+BS34</f>
        <v>564610.5638904979</v>
      </c>
      <c r="BT35" s="40">
        <f t="shared" ref="BT35" si="1337">BS35-BS36+BT34</f>
        <v>571483.92784556758</v>
      </c>
      <c r="BU35" s="40">
        <f t="shared" ref="BU35" si="1338">BT35-BT36+BU34</f>
        <v>578357.29180063726</v>
      </c>
      <c r="BV35" s="40">
        <f t="shared" ref="BV35" si="1339">BU35-BU36+BV34</f>
        <v>585230.65575570695</v>
      </c>
      <c r="BW35" s="40">
        <f t="shared" ref="BW35" si="1340">BV35-BV36+BW34</f>
        <v>592104.01971077663</v>
      </c>
      <c r="BX35" s="40">
        <f t="shared" ref="BX35" si="1341">BW35-BW36+BX34</f>
        <v>598977.38366584631</v>
      </c>
      <c r="BY35" s="40">
        <f t="shared" ref="BY35" si="1342">BX35-BX36+BY34</f>
        <v>605850.74762091599</v>
      </c>
      <c r="BZ35" s="40">
        <f t="shared" ref="BZ35" si="1343">BY35-BY36+BZ34</f>
        <v>612724.11157598568</v>
      </c>
      <c r="CA35" s="40">
        <f t="shared" ref="CA35" si="1344">BZ35-BZ36+CA34</f>
        <v>619597.47553105536</v>
      </c>
      <c r="CB35" s="40">
        <f t="shared" ref="CB35" si="1345">CA35-CA36+CB34</f>
        <v>626470.83948612504</v>
      </c>
      <c r="CC35" s="40">
        <f t="shared" ref="CC35" si="1346">CB35-CB36+CC34</f>
        <v>633344.20344119472</v>
      </c>
      <c r="CD35" s="40">
        <f t="shared" ref="CD35" si="1347">CC35-CC36+CD34</f>
        <v>639916.48440091836</v>
      </c>
      <c r="CE35" s="40">
        <f t="shared" ref="CE35" si="1348">CD35-CD36+CE34</f>
        <v>646488.76536064199</v>
      </c>
      <c r="CF35" s="40">
        <f t="shared" ref="CF35" si="1349">CE35-CE36+CF34</f>
        <v>653061.04632036563</v>
      </c>
      <c r="CG35" s="40">
        <f t="shared" ref="CG35" si="1350">CF35-CF36+CG34</f>
        <v>659633.32728008926</v>
      </c>
      <c r="CH35" s="40">
        <f t="shared" ref="CH35" si="1351">CG35-CG36+CH34</f>
        <v>666205.60823981289</v>
      </c>
      <c r="CI35" s="40">
        <f t="shared" ref="CI35" si="1352">CH35-CH36+CI34</f>
        <v>672777.88919953653</v>
      </c>
      <c r="CJ35" s="40">
        <f t="shared" ref="CJ35" si="1353">CI35-CI36+CJ34</f>
        <v>679350.17015926016</v>
      </c>
      <c r="CK35" s="40">
        <f t="shared" ref="CK35" si="1354">CJ35-CJ36+CK34</f>
        <v>685922.45111898379</v>
      </c>
      <c r="CL35" s="40">
        <f t="shared" ref="CL35" si="1355">CK35-CK36+CL34</f>
        <v>692494.73207870743</v>
      </c>
      <c r="CM35" s="40">
        <f t="shared" ref="CM35" si="1356">CL35-CL36+CM34</f>
        <v>699067.01303843106</v>
      </c>
      <c r="CN35" s="40">
        <f t="shared" ref="CN35" si="1357">CM35-CM36+CN34</f>
        <v>705639.2939981547</v>
      </c>
      <c r="CO35" s="40">
        <f t="shared" ref="CO35" si="1358">CN35-CN36+CO34</f>
        <v>712211.57495787833</v>
      </c>
      <c r="CP35" s="40">
        <f t="shared" ref="CP35" si="1359">CO35-CO36+CP34</f>
        <v>718473.33019597852</v>
      </c>
      <c r="CQ35" s="40">
        <f t="shared" ref="CQ35" si="1360">CP35-CP36+CQ34</f>
        <v>724735.0854340787</v>
      </c>
      <c r="CR35" s="40">
        <f t="shared" ref="CR35" si="1361">CQ35-CQ36+CR34</f>
        <v>730996.84067217889</v>
      </c>
      <c r="CS35" s="40">
        <f t="shared" ref="CS35" si="1362">CR35-CR36+CS34</f>
        <v>737258.59591027908</v>
      </c>
      <c r="CT35" s="40">
        <f t="shared" ref="CT35" si="1363">CS35-CS36+CT34</f>
        <v>743520.35114837927</v>
      </c>
      <c r="CU35" s="40">
        <f t="shared" ref="CU35" si="1364">CT35-CT36+CU34</f>
        <v>749782.10638647946</v>
      </c>
      <c r="CV35" s="40">
        <f t="shared" ref="CV35" si="1365">CU35-CU36+CV34</f>
        <v>756043.86162457964</v>
      </c>
      <c r="CW35" s="40">
        <f t="shared" ref="CW35" si="1366">CV35-CV36+CW34</f>
        <v>762305.61686267983</v>
      </c>
      <c r="CX35" s="40">
        <f t="shared" ref="CX35" si="1367">CW35-CW36+CX34</f>
        <v>768567.37210078002</v>
      </c>
      <c r="CY35" s="40">
        <f t="shared" ref="CY35" si="1368">CX35-CX36+CY34</f>
        <v>774829.12733888021</v>
      </c>
      <c r="CZ35" s="40">
        <f t="shared" ref="CZ35" si="1369">CY35-CY36+CZ34</f>
        <v>781090.8825769804</v>
      </c>
      <c r="DA35" s="40">
        <f t="shared" ref="DA35" si="1370">CZ35-CZ36+DA34</f>
        <v>787352.63781508058</v>
      </c>
      <c r="DB35" s="40">
        <f t="shared" ref="DB35" si="1371">DA35-DA36+DB34</f>
        <v>793294.13256525714</v>
      </c>
      <c r="DC35" s="40">
        <f t="shared" ref="DC35" si="1372">DB35-DB36+DC34</f>
        <v>799235.6273154337</v>
      </c>
      <c r="DD35" s="40">
        <f t="shared" ref="DD35" si="1373">DC35-DC36+DD34</f>
        <v>805177.12206561025</v>
      </c>
      <c r="DE35" s="40">
        <f t="shared" ref="DE35" si="1374">DD35-DD36+DE34</f>
        <v>811118.61681578681</v>
      </c>
      <c r="DF35" s="40">
        <f t="shared" ref="DF35" si="1375">DE35-DE36+DF34</f>
        <v>817060.11156596337</v>
      </c>
      <c r="DG35" s="40">
        <f t="shared" ref="DG35" si="1376">DF35-DF36+DG34</f>
        <v>823001.60631613992</v>
      </c>
      <c r="DH35" s="40">
        <f t="shared" ref="DH35" si="1377">DG35-DG36+DH34</f>
        <v>828943.10106631648</v>
      </c>
      <c r="DI35" s="40">
        <f t="shared" ref="DI35" si="1378">DH35-DH36+DI34</f>
        <v>834884.59581649303</v>
      </c>
      <c r="DJ35" s="40">
        <f t="shared" ref="DJ35" si="1379">DI35-DI36+DJ34</f>
        <v>840826.09056666959</v>
      </c>
      <c r="DK35" s="40">
        <f t="shared" ref="DK35" si="1380">DJ35-DJ36+DK34</f>
        <v>846767.58531684615</v>
      </c>
      <c r="DL35" s="40">
        <f t="shared" ref="DL35" si="1381">DK35-DK36+DL34</f>
        <v>852709.0800670227</v>
      </c>
      <c r="DM35" s="40">
        <f t="shared" ref="DM35" si="1382">DL35-DL36+DM34</f>
        <v>858650.57481719926</v>
      </c>
      <c r="DN35" s="40">
        <f t="shared" ref="DN35" si="1383">DM35-DM36+DN34</f>
        <v>864261.77332292614</v>
      </c>
      <c r="DO35" s="40">
        <f t="shared" ref="DO35" si="1384">DN35-DN36+DO34</f>
        <v>869872.97182865301</v>
      </c>
      <c r="DP35" s="40">
        <f t="shared" ref="DP35" si="1385">DO35-DO36+DP34</f>
        <v>875484.17033437989</v>
      </c>
      <c r="DQ35" s="40">
        <f t="shared" ref="DQ35" si="1386">DP35-DP36+DQ34</f>
        <v>881095.36884010676</v>
      </c>
      <c r="DR35" s="40">
        <f t="shared" ref="DR35" si="1387">DQ35-DQ36+DR34</f>
        <v>886706.56734583364</v>
      </c>
      <c r="DS35" s="40">
        <f t="shared" ref="DS35" si="1388">DR35-DR36+DS34</f>
        <v>892317.76585156051</v>
      </c>
      <c r="DT35" s="40">
        <f t="shared" ref="DT35" si="1389">DS35-DS36+DT34</f>
        <v>897928.96435728739</v>
      </c>
      <c r="DU35" s="40">
        <f t="shared" ref="DU35" si="1390">DT35-DT36+DU34</f>
        <v>903540.16286301427</v>
      </c>
      <c r="DV35" s="40">
        <f t="shared" ref="DV35" si="1391">DU35-DU36+DV34</f>
        <v>909151.36136874114</v>
      </c>
      <c r="DW35" s="40">
        <f t="shared" ref="DW35" si="1392">DV35-DV36+DW34</f>
        <v>914762.55987446802</v>
      </c>
      <c r="DX35" s="40">
        <f t="shared" ref="DX35" si="1393">DW35-DW36+DX34</f>
        <v>920373.75838019489</v>
      </c>
      <c r="DY35" s="40">
        <f t="shared" ref="DY35" si="1394">DX35-DX36+DY34</f>
        <v>925984.95688592177</v>
      </c>
      <c r="DZ35" s="40">
        <f t="shared" ref="DZ35" si="1395">DY35-DY36+DZ34</f>
        <v>931255.5131776121</v>
      </c>
      <c r="EA35" s="40">
        <f t="shared" ref="EA35" si="1396">DZ35-DZ36+EA34</f>
        <v>936526.06946930243</v>
      </c>
      <c r="EB35" s="40">
        <f t="shared" ref="EB35" si="1397">EA35-EA36+EB34</f>
        <v>941796.62576099276</v>
      </c>
      <c r="EC35" s="40">
        <f t="shared" ref="EC35" si="1398">EB35-EB36+EC34</f>
        <v>947067.18205268309</v>
      </c>
      <c r="ED35" s="40">
        <f t="shared" ref="ED35" si="1399">EC35-EC36+ED34</f>
        <v>952337.73834437341</v>
      </c>
      <c r="EE35" s="40">
        <f t="shared" ref="EE35" si="1400">ED35-ED36+EE34</f>
        <v>957608.29463606374</v>
      </c>
      <c r="EF35" s="40">
        <f t="shared" ref="EF35" si="1401">EE35-EE36+EF34</f>
        <v>962878.85092775407</v>
      </c>
      <c r="EG35" s="40">
        <f t="shared" ref="EG35" si="1402">EF35-EF36+EG34</f>
        <v>968149.4072194444</v>
      </c>
      <c r="EH35" s="40">
        <f t="shared" ref="EH35" si="1403">EG35-EG36+EH34</f>
        <v>973419.96351113473</v>
      </c>
      <c r="EI35" s="40">
        <f t="shared" ref="EI35" si="1404">EH35-EH36+EI34</f>
        <v>978690.51980282506</v>
      </c>
      <c r="EJ35" s="40">
        <f t="shared" ref="EJ35" si="1405">EI35-EI36+EJ34</f>
        <v>983961.07609451539</v>
      </c>
      <c r="EK35" s="40">
        <f t="shared" ref="EK35" si="1406">EJ35-EJ36+EK34</f>
        <v>989231.63238620572</v>
      </c>
      <c r="EL35" s="40">
        <f t="shared" ref="EL35" si="1407">EK35-EK36+EL34</f>
        <v>994150.88077747426</v>
      </c>
      <c r="EM35" s="40">
        <f t="shared" ref="EM35" si="1408">EL35-EL36+EM34</f>
        <v>999070.1291687428</v>
      </c>
      <c r="EN35" s="40">
        <f t="shared" ref="EN35" si="1409">EM35-EM36+EN34</f>
        <v>1003989.3775600113</v>
      </c>
      <c r="EO35" s="40">
        <f t="shared" ref="EO35" si="1410">EN35-EN36+EO34</f>
        <v>1008908.6259512799</v>
      </c>
      <c r="EP35" s="40">
        <f t="shared" ref="EP35" si="1411">EO35-EO36+EP34</f>
        <v>1013827.8743425484</v>
      </c>
      <c r="EQ35" s="40">
        <f t="shared" ref="EQ35" si="1412">EP35-EP36+EQ34</f>
        <v>1018747.122733817</v>
      </c>
      <c r="ER35" s="40">
        <f t="shared" ref="ER35" si="1413">EQ35-EQ36+ER34</f>
        <v>1023666.3711250855</v>
      </c>
      <c r="ES35" s="40">
        <f t="shared" ref="ES35" si="1414">ER35-ER36+ES34</f>
        <v>1028585.6195163541</v>
      </c>
      <c r="ET35" s="40">
        <f t="shared" ref="ET35" si="1415">ES35-ES36+ET34</f>
        <v>1033504.8679076226</v>
      </c>
      <c r="EU35" s="40">
        <f t="shared" ref="EU35" si="1416">ET35-ET36+EU34</f>
        <v>1038424.1162988911</v>
      </c>
      <c r="EV35" s="40">
        <f t="shared" ref="EV35" si="1417">EU35-EU36+EV34</f>
        <v>1043343.3646901597</v>
      </c>
      <c r="EW35" s="40">
        <f t="shared" ref="EW35" si="1418">EV35-EV36+EW34</f>
        <v>1048262.6130814282</v>
      </c>
      <c r="EX35" s="40">
        <f t="shared" ref="EX35" si="1419">EW35-EW36+EX34</f>
        <v>1052819.5583759318</v>
      </c>
      <c r="EY35" s="40">
        <f t="shared" ref="EY35" si="1420">EX35-EX36+EY34</f>
        <v>1057376.5036704354</v>
      </c>
      <c r="EZ35" s="40">
        <f t="shared" ref="EZ35" si="1421">EY35-EY36+EZ34</f>
        <v>1061933.448964939</v>
      </c>
      <c r="FA35" s="40">
        <f t="shared" ref="FA35" si="1422">EZ35-EZ36+FA34</f>
        <v>1066490.3942594426</v>
      </c>
      <c r="FB35" s="40">
        <f t="shared" ref="FB35" si="1423">FA35-FA36+FB34</f>
        <v>1071047.3395539462</v>
      </c>
      <c r="FC35" s="40">
        <f t="shared" ref="FC35" si="1424">FB35-FB36+FC34</f>
        <v>1075604.2848484498</v>
      </c>
      <c r="FD35" s="40">
        <f t="shared" ref="FD35" si="1425">FC35-FC36+FD34</f>
        <v>1080161.2301429533</v>
      </c>
      <c r="FE35" s="40">
        <f t="shared" ref="FE35" si="1426">FD35-FD36+FE34</f>
        <v>1084718.1754374569</v>
      </c>
      <c r="FF35" s="40">
        <f t="shared" ref="FF35" si="1427">FE35-FE36+FF34</f>
        <v>1089275.1207319605</v>
      </c>
      <c r="FG35" s="40">
        <f t="shared" ref="FG35" si="1428">FF35-FF36+FG34</f>
        <v>1093832.0660264641</v>
      </c>
      <c r="FH35" s="40">
        <f t="shared" ref="FH35" si="1429">FG35-FG36+FH34</f>
        <v>1098389.0113209677</v>
      </c>
      <c r="FI35" s="40">
        <f t="shared" ref="FI35" si="1430">FH35-FH36+FI34</f>
        <v>1102945.9566154713</v>
      </c>
      <c r="FJ35" s="40">
        <f t="shared" ref="FJ35" si="1431">FI35-FI36+FJ34</f>
        <v>1107129.2640155484</v>
      </c>
      <c r="FK35" s="40">
        <f t="shared" ref="FK35" si="1432">FJ35-FJ36+FK34</f>
        <v>1111312.5714156255</v>
      </c>
      <c r="FL35" s="40">
        <f t="shared" ref="FL35" si="1433">FK35-FK36+FL34</f>
        <v>1115495.8788157026</v>
      </c>
      <c r="FM35" s="40">
        <f t="shared" ref="FM35" si="1434">FL35-FL36+FM34</f>
        <v>1119679.1862157797</v>
      </c>
      <c r="FN35" s="40">
        <f t="shared" ref="FN35" si="1435">FM35-FM36+FN34</f>
        <v>1123862.4936158569</v>
      </c>
      <c r="FO35" s="40">
        <f t="shared" ref="FO35" si="1436">FN35-FN36+FO34</f>
        <v>1128045.801015934</v>
      </c>
      <c r="FP35" s="40">
        <f t="shared" ref="FP35" si="1437">FO35-FO36+FP34</f>
        <v>1132229.1084160111</v>
      </c>
      <c r="FQ35" s="40">
        <f t="shared" ref="FQ35" si="1438">FP35-FP36+FQ34</f>
        <v>1136412.4158160882</v>
      </c>
      <c r="FR35" s="40">
        <f t="shared" ref="FR35" si="1439">FQ35-FQ36+FR34</f>
        <v>1140595.7232161653</v>
      </c>
      <c r="FS35" s="40">
        <f t="shared" ref="FS35" si="1440">FR35-FR36+FS34</f>
        <v>1144779.0306162424</v>
      </c>
      <c r="FT35" s="40">
        <f t="shared" ref="FT35" si="1441">FS35-FS36+FT34</f>
        <v>1148962.3380163196</v>
      </c>
      <c r="FU35" s="40">
        <f t="shared" ref="FU35" si="1442">FT35-FT36+FU34</f>
        <v>1153145.6454163967</v>
      </c>
      <c r="FV35" s="40">
        <f t="shared" ref="FV35" si="1443">FU35-FU36+FV34</f>
        <v>1156943.6301244637</v>
      </c>
      <c r="FW35" s="40">
        <f t="shared" ref="FW35" si="1444">FV35-FV36+FW34</f>
        <v>1160741.6148325307</v>
      </c>
      <c r="FX35" s="40">
        <f t="shared" ref="FX35" si="1445">FW35-FW36+FX34</f>
        <v>1164539.5995405978</v>
      </c>
      <c r="FY35" s="40">
        <f t="shared" ref="FY35" si="1446">FX35-FX36+FY34</f>
        <v>1168337.5842486648</v>
      </c>
      <c r="FZ35" s="40">
        <f t="shared" ref="FZ35" si="1447">FY35-FY36+FZ34</f>
        <v>1172135.5689567318</v>
      </c>
      <c r="GA35" s="40">
        <f t="shared" ref="GA35" si="1448">FZ35-FZ36+GA34</f>
        <v>1175933.5536647988</v>
      </c>
      <c r="GB35" s="40">
        <f t="shared" ref="GB35" si="1449">GA35-GA36+GB34</f>
        <v>1179731.5383728659</v>
      </c>
      <c r="GC35" s="40">
        <f t="shared" ref="GC35" si="1450">GB35-GB36+GC34</f>
        <v>1183529.5230809329</v>
      </c>
      <c r="GD35" s="40">
        <f t="shared" ref="GD35" si="1451">GC35-GC36+GD34</f>
        <v>1191088.5750809328</v>
      </c>
      <c r="GE35" s="40">
        <f t="shared" ref="GE35" si="1452">GD35-GD36+GE34</f>
        <v>1198647.6270809327</v>
      </c>
      <c r="GF35" s="40">
        <f t="shared" ref="GF35" si="1453">GE35-GE36+GF34</f>
        <v>1206206.6790809326</v>
      </c>
      <c r="GG35" s="40">
        <f t="shared" ref="GG35" ca="1" si="1454">GF35-GF36+GG34</f>
        <v>0</v>
      </c>
      <c r="GH35" s="40">
        <f t="shared" ref="GH35" ca="1" si="1455">GG35-GG36+GH34</f>
        <v>0</v>
      </c>
      <c r="GI35" s="40">
        <f t="shared" ref="GI35" ca="1" si="1456">GH35-GH36+GI34</f>
        <v>0</v>
      </c>
      <c r="GJ35" s="40">
        <f t="shared" ref="GJ35" ca="1" si="1457">GI35-GI36+GJ34</f>
        <v>0</v>
      </c>
      <c r="GK35" s="40">
        <f t="shared" ref="GK35" ca="1" si="1458">GJ35-GJ36+GK34</f>
        <v>0</v>
      </c>
      <c r="GL35" s="40">
        <f t="shared" ref="GL35" ca="1" si="1459">GK35-GK36+GL34</f>
        <v>0</v>
      </c>
      <c r="GM35" s="40">
        <f t="shared" ref="GM35" ca="1" si="1460">GL35-GL36+GM34</f>
        <v>0</v>
      </c>
      <c r="GN35" s="40">
        <f t="shared" ref="GN35" ca="1" si="1461">GM35-GM36+GN34</f>
        <v>0</v>
      </c>
      <c r="GO35" s="40">
        <f t="shared" ref="GO35" ca="1" si="1462">GN35-GN36+GO34</f>
        <v>0</v>
      </c>
      <c r="GP35" s="40">
        <f t="shared" ref="GP35" ca="1" si="1463">GO35-GO36+GP34</f>
        <v>0</v>
      </c>
      <c r="GQ35" s="40">
        <f t="shared" ref="GQ35" ca="1" si="1464">GP35-GP36+GQ34</f>
        <v>0</v>
      </c>
      <c r="GR35" s="40">
        <f t="shared" ref="GR35" ca="1" si="1465">GQ35-GQ36+GR34</f>
        <v>0</v>
      </c>
      <c r="GS35" s="40">
        <f t="shared" ref="GS35" ca="1" si="1466">GR35-GR36+GS34</f>
        <v>0</v>
      </c>
      <c r="GT35" s="40">
        <f t="shared" ref="GT35" ca="1" si="1467">GS35-GS36+GT34</f>
        <v>0</v>
      </c>
      <c r="GU35" s="40">
        <f t="shared" ref="GU35" ca="1" si="1468">GT35-GT36+GU34</f>
        <v>0</v>
      </c>
      <c r="GV35" s="40">
        <f t="shared" ref="GV35" ca="1" si="1469">GU35-GU36+GV34</f>
        <v>0</v>
      </c>
      <c r="GW35" s="40">
        <f t="shared" ref="GW35" ca="1" si="1470">GV35-GV36+GW34</f>
        <v>0</v>
      </c>
      <c r="GX35" s="40">
        <f t="shared" ref="GX35" ca="1" si="1471">GW35-GW36+GX34</f>
        <v>0</v>
      </c>
      <c r="GY35" s="40">
        <f t="shared" ref="GY35" ca="1" si="1472">GX35-GX36+GY34</f>
        <v>0</v>
      </c>
      <c r="GZ35" s="40">
        <f t="shared" ref="GZ35" ca="1" si="1473">GY35-GY36+GZ34</f>
        <v>0</v>
      </c>
      <c r="HA35" s="40">
        <f t="shared" ref="HA35" ca="1" si="1474">GZ35-GZ36+HA34</f>
        <v>0</v>
      </c>
      <c r="HB35" s="40">
        <f t="shared" ref="HB35" ca="1" si="1475">HA35-HA36+HB34</f>
        <v>0</v>
      </c>
      <c r="HC35" s="40">
        <f t="shared" ref="HC35" ca="1" si="1476">HB35-HB36+HC34</f>
        <v>0</v>
      </c>
      <c r="HD35" s="40">
        <f t="shared" ref="HD35" ca="1" si="1477">HC35-HC36+HD34</f>
        <v>0</v>
      </c>
      <c r="HE35" s="40">
        <f t="shared" ref="HE35" ca="1" si="1478">HD35-HD36+HE34</f>
        <v>0</v>
      </c>
      <c r="HF35" s="40">
        <f t="shared" ref="HF35" ca="1" si="1479">HE35-HE36+HF34</f>
        <v>0</v>
      </c>
      <c r="HG35" s="40">
        <f t="shared" ref="HG35" ca="1" si="1480">HF35-HF36+HG34</f>
        <v>0</v>
      </c>
      <c r="HH35" s="40">
        <f t="shared" ref="HH35" ca="1" si="1481">HG35-HG36+HH34</f>
        <v>0</v>
      </c>
      <c r="HI35" s="40">
        <f t="shared" ref="HI35" ca="1" si="1482">HH35-HH36+HI34</f>
        <v>0</v>
      </c>
      <c r="HJ35" s="40">
        <f t="shared" ref="HJ35" ca="1" si="1483">HI35-HI36+HJ34</f>
        <v>0</v>
      </c>
      <c r="HK35" s="40">
        <f t="shared" ref="HK35" ca="1" si="1484">HJ35-HJ36+HK34</f>
        <v>0</v>
      </c>
      <c r="HL35" s="40">
        <f t="shared" ref="HL35" ca="1" si="1485">HK35-HK36+HL34</f>
        <v>0</v>
      </c>
      <c r="HM35" s="40">
        <f t="shared" ref="HM35" ca="1" si="1486">HL35-HL36+HM34</f>
        <v>0</v>
      </c>
      <c r="HN35" s="40">
        <f t="shared" ref="HN35" ca="1" si="1487">HM35-HM36+HN34</f>
        <v>0</v>
      </c>
      <c r="HO35" s="40">
        <f t="shared" ref="HO35" ca="1" si="1488">HN35-HN36+HO34</f>
        <v>0</v>
      </c>
      <c r="HP35" s="40">
        <f t="shared" ref="HP35" ca="1" si="1489">HO35-HO36+HP34</f>
        <v>0</v>
      </c>
      <c r="HQ35" s="40">
        <f t="shared" ref="HQ35" ca="1" si="1490">HP35-HP36+HQ34</f>
        <v>0</v>
      </c>
      <c r="HR35" s="40">
        <f t="shared" ref="HR35" ca="1" si="1491">HQ35-HQ36+HR34</f>
        <v>0</v>
      </c>
      <c r="HS35" s="40">
        <f t="shared" ref="HS35" ca="1" si="1492">HR35-HR36+HS34</f>
        <v>0</v>
      </c>
      <c r="HT35" s="40">
        <f t="shared" ref="HT35" ca="1" si="1493">HS35-HS36+HT34</f>
        <v>0</v>
      </c>
      <c r="HU35" s="40">
        <f t="shared" ref="HU35" ca="1" si="1494">HT35-HT36+HU34</f>
        <v>0</v>
      </c>
      <c r="HV35" s="40">
        <f t="shared" ref="HV35" ca="1" si="1495">HU35-HU36+HV34</f>
        <v>0</v>
      </c>
      <c r="HW35" s="40">
        <f t="shared" ref="HW35" ca="1" si="1496">HV35-HV36+HW34</f>
        <v>0</v>
      </c>
      <c r="HX35" s="40">
        <f t="shared" ref="HX35" ca="1" si="1497">HW35-HW36+HX34</f>
        <v>0</v>
      </c>
      <c r="HY35" s="40">
        <f t="shared" ref="HY35" ca="1" si="1498">HX35-HX36+HY34</f>
        <v>0</v>
      </c>
      <c r="HZ35" s="40">
        <f t="shared" ref="HZ35" ca="1" si="1499">HY35-HY36+HZ34</f>
        <v>0</v>
      </c>
      <c r="IA35" s="40">
        <f t="shared" ref="IA35" ca="1" si="1500">HZ35-HZ36+IA34</f>
        <v>0</v>
      </c>
      <c r="IB35" s="40">
        <f t="shared" ref="IB35" ca="1" si="1501">IA35-IA36+IB34</f>
        <v>0</v>
      </c>
      <c r="IC35" s="40">
        <f t="shared" ref="IC35" ca="1" si="1502">IB35-IB36+IC34</f>
        <v>0</v>
      </c>
      <c r="ID35" s="40">
        <f t="shared" ref="ID35" ca="1" si="1503">IC35-IC36+ID34</f>
        <v>0</v>
      </c>
      <c r="IE35" s="40">
        <f t="shared" ref="IE35" ca="1" si="1504">ID35-ID36+IE34</f>
        <v>0</v>
      </c>
      <c r="IF35" s="40">
        <f t="shared" ref="IF35" ca="1" si="1505">IE35-IE36+IF34</f>
        <v>0</v>
      </c>
      <c r="IG35" s="40">
        <f t="shared" ref="IG35" ca="1" si="1506">IF35-IF36+IG34</f>
        <v>0</v>
      </c>
      <c r="IH35" s="40">
        <f t="shared" ref="IH35" ca="1" si="1507">IG35-IG36+IH34</f>
        <v>0</v>
      </c>
      <c r="II35" s="40">
        <f t="shared" ref="II35" ca="1" si="1508">IH35-IH36+II34</f>
        <v>0</v>
      </c>
      <c r="IJ35" s="40">
        <f t="shared" ref="IJ35" ca="1" si="1509">II35-II36+IJ34</f>
        <v>0</v>
      </c>
      <c r="IK35" s="40">
        <f t="shared" ref="IK35" ca="1" si="1510">IJ35-IJ36+IK34</f>
        <v>0</v>
      </c>
      <c r="IL35" s="40">
        <f t="shared" ref="IL35" ca="1" si="1511">IK35-IK36+IL34</f>
        <v>0</v>
      </c>
      <c r="IM35" s="40">
        <f t="shared" ref="IM35" ca="1" si="1512">IL35-IL36+IM34</f>
        <v>0</v>
      </c>
      <c r="IN35" s="40">
        <f t="shared" ref="IN35" ca="1" si="1513">IM35-IM36+IN34</f>
        <v>0</v>
      </c>
      <c r="IO35" s="40">
        <f t="shared" ref="IO35" ca="1" si="1514">IN35-IN36+IO34</f>
        <v>0</v>
      </c>
      <c r="IP35" s="40">
        <f t="shared" ref="IP35" ca="1" si="1515">IO35-IO36+IP34</f>
        <v>0</v>
      </c>
      <c r="IQ35" s="40">
        <f t="shared" ref="IQ35" ca="1" si="1516">IP35-IP36+IQ34</f>
        <v>0</v>
      </c>
      <c r="IR35" s="40">
        <f t="shared" ref="IR35" ca="1" si="1517">IQ35-IQ36+IR34</f>
        <v>0</v>
      </c>
      <c r="IS35" s="40">
        <f t="shared" ref="IS35" ca="1" si="1518">IR35-IR36+IS34</f>
        <v>0</v>
      </c>
      <c r="IT35" s="40">
        <f t="shared" ref="IT35" ca="1" si="1519">IS35-IS36+IT34</f>
        <v>0</v>
      </c>
      <c r="IU35" s="40">
        <f t="shared" ref="IU35" ca="1" si="1520">IT35-IT36+IU34</f>
        <v>0</v>
      </c>
      <c r="IV35" s="40">
        <f t="shared" ref="IV35" ca="1" si="1521">IU35-IU36+IV34</f>
        <v>0</v>
      </c>
      <c r="IW35" s="40">
        <f t="shared" ref="IW35" ca="1" si="1522">IV35-IV36+IW34</f>
        <v>0</v>
      </c>
      <c r="IX35" s="40">
        <f t="shared" ref="IX35" ca="1" si="1523">IW35-IW36+IX34</f>
        <v>0</v>
      </c>
      <c r="IY35" s="40">
        <f t="shared" ref="IY35" ca="1" si="1524">IX35-IX36+IY34</f>
        <v>0</v>
      </c>
      <c r="IZ35" s="40">
        <f t="shared" ref="IZ35" ca="1" si="1525">IY35-IY36+IZ34</f>
        <v>0</v>
      </c>
      <c r="JA35" s="40">
        <f t="shared" ref="JA35" ca="1" si="1526">IZ35-IZ36+JA34</f>
        <v>0</v>
      </c>
      <c r="JB35" s="40">
        <f t="shared" ref="JB35" ca="1" si="1527">JA35-JA36+JB34</f>
        <v>0</v>
      </c>
      <c r="JC35" s="40">
        <f t="shared" ref="JC35" ca="1" si="1528">JB35-JB36+JC34</f>
        <v>0</v>
      </c>
      <c r="JD35" s="40">
        <f t="shared" ref="JD35" ca="1" si="1529">JC35-JC36+JD34</f>
        <v>0</v>
      </c>
      <c r="JE35" s="40">
        <f t="shared" ref="JE35" ca="1" si="1530">JD35-JD36+JE34</f>
        <v>0</v>
      </c>
      <c r="JF35" s="40">
        <f t="shared" ref="JF35" ca="1" si="1531">JE35-JE36+JF34</f>
        <v>0</v>
      </c>
      <c r="JG35" s="40">
        <f t="shared" ref="JG35" ca="1" si="1532">JF35-JF36+JG34</f>
        <v>0</v>
      </c>
      <c r="JH35" s="40">
        <f t="shared" ref="JH35" ca="1" si="1533">JG35-JG36+JH34</f>
        <v>0</v>
      </c>
      <c r="JI35" s="40">
        <f t="shared" ref="JI35" ca="1" si="1534">JH35-JH36+JI34</f>
        <v>0</v>
      </c>
      <c r="JJ35" s="40">
        <f t="shared" ref="JJ35" ca="1" si="1535">JI35-JI36+JJ34</f>
        <v>0</v>
      </c>
      <c r="JK35" s="40">
        <f t="shared" ref="JK35" ca="1" si="1536">JJ35-JJ36+JK34</f>
        <v>0</v>
      </c>
      <c r="JL35" s="40">
        <f t="shared" ref="JL35" ca="1" si="1537">JK35-JK36+JL34</f>
        <v>0</v>
      </c>
      <c r="JM35" s="40">
        <f t="shared" ref="JM35" ca="1" si="1538">JL35-JL36+JM34</f>
        <v>0</v>
      </c>
      <c r="JN35" s="40">
        <f t="shared" ref="JN35" ca="1" si="1539">JM35-JM36+JN34</f>
        <v>0</v>
      </c>
      <c r="JO35" s="40">
        <f t="shared" ref="JO35" ca="1" si="1540">JN35-JN36+JO34</f>
        <v>0</v>
      </c>
      <c r="JP35" s="40">
        <f t="shared" ref="JP35" ca="1" si="1541">JO35-JO36+JP34</f>
        <v>0</v>
      </c>
      <c r="JQ35" s="40">
        <f t="shared" ref="JQ35" ca="1" si="1542">JP35-JP36+JQ34</f>
        <v>0</v>
      </c>
      <c r="JR35" s="40">
        <f t="shared" ref="JR35" ca="1" si="1543">JQ35-JQ36+JR34</f>
        <v>0</v>
      </c>
      <c r="JS35" s="40">
        <f t="shared" ref="JS35" ca="1" si="1544">JR35-JR36+JS34</f>
        <v>0</v>
      </c>
      <c r="JT35" s="40">
        <f t="shared" ref="JT35" ca="1" si="1545">JS35-JS36+JT34</f>
        <v>0</v>
      </c>
      <c r="JU35" s="40">
        <f t="shared" ref="JU35" ca="1" si="1546">JT35-JT36+JU34</f>
        <v>0</v>
      </c>
      <c r="JV35" s="40">
        <f t="shared" ref="JV35" ca="1" si="1547">JU35-JU36+JV34</f>
        <v>0</v>
      </c>
      <c r="JW35" s="40">
        <f t="shared" ref="JW35" ca="1" si="1548">JV35-JV36+JW34</f>
        <v>0</v>
      </c>
      <c r="JX35" s="40">
        <f t="shared" ref="JX35" ca="1" si="1549">JW35-JW36+JX34</f>
        <v>0</v>
      </c>
      <c r="JY35" s="40">
        <f t="shared" ref="JY35" ca="1" si="1550">JX35-JX36+JY34</f>
        <v>0</v>
      </c>
      <c r="JZ35" s="40">
        <f t="shared" ref="JZ35" ca="1" si="1551">JY35-JY36+JZ34</f>
        <v>0</v>
      </c>
      <c r="KA35" s="40">
        <f t="shared" ref="KA35" ca="1" si="1552">JZ35-JZ36+KA34</f>
        <v>0</v>
      </c>
      <c r="KB35" s="40">
        <f t="shared" ref="KB35" ca="1" si="1553">KA35-KA36+KB34</f>
        <v>0</v>
      </c>
      <c r="KC35" s="40">
        <f t="shared" ref="KC35" ca="1" si="1554">KB35-KB36+KC34</f>
        <v>0</v>
      </c>
      <c r="KD35" s="40">
        <f t="shared" ref="KD35" ca="1" si="1555">KC35-KC36+KD34</f>
        <v>0</v>
      </c>
      <c r="KE35" s="40">
        <f t="shared" ref="KE35" ca="1" si="1556">KD35-KD36+KE34</f>
        <v>0</v>
      </c>
      <c r="KF35" s="40">
        <f t="shared" ref="KF35" ca="1" si="1557">KE35-KE36+KF34</f>
        <v>0</v>
      </c>
      <c r="KG35" s="40">
        <f t="shared" ref="KG35" ca="1" si="1558">KF35-KF36+KG34</f>
        <v>0</v>
      </c>
      <c r="KH35" s="40">
        <f t="shared" ref="KH35" ca="1" si="1559">KG35-KG36+KH34</f>
        <v>0</v>
      </c>
      <c r="KI35" s="40">
        <f t="shared" ref="KI35" ca="1" si="1560">KH35-KH36+KI34</f>
        <v>0</v>
      </c>
      <c r="KJ35" s="40">
        <f t="shared" ref="KJ35" ca="1" si="1561">KI35-KI36+KJ34</f>
        <v>0</v>
      </c>
      <c r="KK35" s="40">
        <f t="shared" ref="KK35" ca="1" si="1562">KJ35-KJ36+KK34</f>
        <v>0</v>
      </c>
      <c r="KL35" s="40">
        <f t="shared" ref="KL35" ca="1" si="1563">KK35-KK36+KL34</f>
        <v>0</v>
      </c>
      <c r="KM35" s="40">
        <f t="shared" ref="KM35" ca="1" si="1564">KL35-KL36+KM34</f>
        <v>0</v>
      </c>
      <c r="KN35" s="40">
        <f t="shared" ref="KN35" ca="1" si="1565">KM35-KM36+KN34</f>
        <v>0</v>
      </c>
      <c r="KO35" s="40">
        <f t="shared" ref="KO35" ca="1" si="1566">KN35-KN36+KO34</f>
        <v>0</v>
      </c>
      <c r="KP35" s="40">
        <f t="shared" ref="KP35" ca="1" si="1567">KO35-KO36+KP34</f>
        <v>0</v>
      </c>
      <c r="KQ35" s="40">
        <f t="shared" ref="KQ35" ca="1" si="1568">KP35-KP36+KQ34</f>
        <v>0</v>
      </c>
      <c r="KR35" s="40">
        <f t="shared" ref="KR35" ca="1" si="1569">KQ35-KQ36+KR34</f>
        <v>0</v>
      </c>
      <c r="KS35" s="40">
        <f t="shared" ref="KS35" ca="1" si="1570">KR35-KR36+KS34</f>
        <v>0</v>
      </c>
      <c r="KT35" s="40">
        <f t="shared" ref="KT35" ca="1" si="1571">KS35-KS36+KT34</f>
        <v>0</v>
      </c>
      <c r="KU35" s="40">
        <f t="shared" ref="KU35" ca="1" si="1572">KT35-KT36+KU34</f>
        <v>0</v>
      </c>
      <c r="KV35" s="40">
        <f t="shared" ref="KV35" ca="1" si="1573">KU35-KU36+KV34</f>
        <v>0</v>
      </c>
      <c r="KW35" s="40">
        <f t="shared" ref="KW35" ca="1" si="1574">KV35-KV36+KW34</f>
        <v>0</v>
      </c>
      <c r="KX35" s="40">
        <f t="shared" ref="KX35" ca="1" si="1575">KW35-KW36+KX34</f>
        <v>0</v>
      </c>
      <c r="KY35" s="40">
        <f t="shared" ref="KY35" ca="1" si="1576">KX35-KX36+KY34</f>
        <v>0</v>
      </c>
      <c r="KZ35" s="40">
        <f t="shared" ref="KZ35" ca="1" si="1577">KY35-KY36+KZ34</f>
        <v>0</v>
      </c>
      <c r="LA35" s="40">
        <f t="shared" ref="LA35" ca="1" si="1578">KZ35-KZ36+LA34</f>
        <v>0</v>
      </c>
      <c r="LB35" s="40">
        <f t="shared" ref="LB35" ca="1" si="1579">LA35-LA36+LB34</f>
        <v>0</v>
      </c>
      <c r="LC35" s="40">
        <f t="shared" ref="LC35" ca="1" si="1580">LB35-LB36+LC34</f>
        <v>0</v>
      </c>
      <c r="LD35" s="40">
        <f t="shared" ref="LD35" ca="1" si="1581">LC35-LC36+LD34</f>
        <v>0</v>
      </c>
      <c r="LE35" s="40">
        <f t="shared" ref="LE35" ca="1" si="1582">LD35-LD36+LE34</f>
        <v>0</v>
      </c>
      <c r="LF35" s="40">
        <f t="shared" ref="LF35" ca="1" si="1583">LE35-LE36+LF34</f>
        <v>0</v>
      </c>
      <c r="LG35" s="40">
        <f t="shared" ref="LG35" ca="1" si="1584">LF35-LF36+LG34</f>
        <v>0</v>
      </c>
      <c r="LH35" s="40">
        <f t="shared" ref="LH35" ca="1" si="1585">LG35-LG36+LH34</f>
        <v>0</v>
      </c>
      <c r="LI35" s="40">
        <f t="shared" ref="LI35" ca="1" si="1586">LH35-LH36+LI34</f>
        <v>0</v>
      </c>
      <c r="LJ35" s="40">
        <f t="shared" ref="LJ35" ca="1" si="1587">LI35-LI36+LJ34</f>
        <v>0</v>
      </c>
      <c r="LK35" s="40">
        <f t="shared" ref="LK35" ca="1" si="1588">LJ35-LJ36+LK34</f>
        <v>0</v>
      </c>
      <c r="LL35" s="40">
        <f t="shared" ref="LL35" ca="1" si="1589">LK35-LK36+LL34</f>
        <v>0</v>
      </c>
      <c r="LM35" s="40">
        <f t="shared" ref="LM35" ca="1" si="1590">LL35-LL36+LM34</f>
        <v>0</v>
      </c>
      <c r="LN35" s="40">
        <f t="shared" ref="LN35" ca="1" si="1591">LM35-LM36+LN34</f>
        <v>0</v>
      </c>
      <c r="LO35" s="40">
        <f t="shared" ref="LO35" ca="1" si="1592">LN35-LN36+LO34</f>
        <v>0</v>
      </c>
      <c r="LP35" s="40">
        <f t="shared" ref="LP35" ca="1" si="1593">LO35-LO36+LP34</f>
        <v>0</v>
      </c>
      <c r="LQ35" s="40">
        <f t="shared" ref="LQ35" ca="1" si="1594">LP35-LP36+LQ34</f>
        <v>0</v>
      </c>
      <c r="LR35" s="40">
        <f t="shared" ref="LR35" ca="1" si="1595">LQ35-LQ36+LR34</f>
        <v>0</v>
      </c>
      <c r="LS35" s="40">
        <f t="shared" ref="LS35" ca="1" si="1596">LR35-LR36+LS34</f>
        <v>0</v>
      </c>
      <c r="LT35" s="40">
        <f t="shared" ref="LT35" ca="1" si="1597">LS35-LS36+LT34</f>
        <v>0</v>
      </c>
      <c r="LU35" s="40">
        <f t="shared" ref="LU35" ca="1" si="1598">LT35-LT36+LU34</f>
        <v>0</v>
      </c>
      <c r="LV35" s="40">
        <f t="shared" ref="LV35" ca="1" si="1599">LU35-LU36+LV34</f>
        <v>0</v>
      </c>
      <c r="LW35" s="40">
        <f t="shared" ref="LW35" ca="1" si="1600">LV35-LV36+LW34</f>
        <v>0</v>
      </c>
      <c r="LX35" s="40">
        <f t="shared" ref="LX35" ca="1" si="1601">LW35-LW36+LX34</f>
        <v>0</v>
      </c>
      <c r="LY35" s="40">
        <f t="shared" ref="LY35" ca="1" si="1602">LX35-LX36+LY34</f>
        <v>0</v>
      </c>
      <c r="LZ35" s="40">
        <f t="shared" ref="LZ35" ca="1" si="1603">LY35-LY36+LZ34</f>
        <v>0</v>
      </c>
      <c r="MA35" s="40">
        <f t="shared" ref="MA35" ca="1" si="1604">LZ35-LZ36+MA34</f>
        <v>0</v>
      </c>
      <c r="MB35" s="40">
        <f t="shared" ref="MB35" ca="1" si="1605">MA35-MA36+MB34</f>
        <v>0</v>
      </c>
      <c r="MC35" s="40">
        <f t="shared" ref="MC35" ca="1" si="1606">MB35-MB36+MC34</f>
        <v>0</v>
      </c>
      <c r="MD35" s="40">
        <f t="shared" ref="MD35" ca="1" si="1607">MC35-MC36+MD34</f>
        <v>0</v>
      </c>
      <c r="ME35" s="40">
        <f t="shared" ref="ME35" ca="1" si="1608">MD35-MD36+ME34</f>
        <v>0</v>
      </c>
      <c r="MF35" s="40">
        <f t="shared" ref="MF35" ca="1" si="1609">ME35-ME36+MF34</f>
        <v>0</v>
      </c>
      <c r="MG35" s="40">
        <f t="shared" ref="MG35" ca="1" si="1610">MF35-MF36+MG34</f>
        <v>0</v>
      </c>
      <c r="MH35" s="40">
        <f t="shared" ref="MH35" ca="1" si="1611">MG35-MG36+MH34</f>
        <v>0</v>
      </c>
      <c r="MI35" s="40">
        <f t="shared" ref="MI35" ca="1" si="1612">MH35-MH36+MI34</f>
        <v>0</v>
      </c>
      <c r="MJ35" s="40">
        <f t="shared" ref="MJ35" ca="1" si="1613">MI35-MI36+MJ34</f>
        <v>0</v>
      </c>
      <c r="MK35" s="40">
        <f t="shared" ref="MK35" ca="1" si="1614">MJ35-MJ36+MK34</f>
        <v>0</v>
      </c>
      <c r="ML35" s="40">
        <f t="shared" ref="ML35" ca="1" si="1615">MK35-MK36+ML34</f>
        <v>0</v>
      </c>
      <c r="MM35" s="40">
        <f t="shared" ref="MM35" ca="1" si="1616">ML35-ML36+MM34</f>
        <v>0</v>
      </c>
      <c r="MN35" s="40">
        <f t="shared" ref="MN35" ca="1" si="1617">MM35-MM36+MN34</f>
        <v>0</v>
      </c>
      <c r="MO35" s="40">
        <f t="shared" ref="MO35" ca="1" si="1618">MN35-MN36+MO34</f>
        <v>0</v>
      </c>
      <c r="MP35" s="40">
        <f t="shared" ref="MP35" ca="1" si="1619">MO35-MO36+MP34</f>
        <v>0</v>
      </c>
      <c r="MQ35" s="40">
        <f t="shared" ref="MQ35" ca="1" si="1620">MP35-MP36+MQ34</f>
        <v>0</v>
      </c>
      <c r="MR35" s="40">
        <f t="shared" ref="MR35" ca="1" si="1621">MQ35-MQ36+MR34</f>
        <v>0</v>
      </c>
      <c r="MS35" s="40">
        <f t="shared" ref="MS35" ca="1" si="1622">MR35-MR36+MS34</f>
        <v>0</v>
      </c>
      <c r="MT35" s="40">
        <f t="shared" ref="MT35" ca="1" si="1623">MS35-MS36+MT34</f>
        <v>0</v>
      </c>
      <c r="MU35" s="40">
        <f t="shared" ref="MU35" ca="1" si="1624">MT35-MT36+MU34</f>
        <v>0</v>
      </c>
      <c r="MV35" s="40">
        <f t="shared" ref="MV35" ca="1" si="1625">MU35-MU36+MV34</f>
        <v>0</v>
      </c>
      <c r="MW35" s="40">
        <f t="shared" ref="MW35" ca="1" si="1626">MV35-MV36+MW34</f>
        <v>0</v>
      </c>
      <c r="MX35" s="40">
        <f t="shared" ref="MX35" ca="1" si="1627">MW35-MW36+MX34</f>
        <v>0</v>
      </c>
      <c r="MY35" s="40">
        <f t="shared" ref="MY35" ca="1" si="1628">MX35-MX36+MY34</f>
        <v>0</v>
      </c>
      <c r="MZ35" s="40">
        <f t="shared" ref="MZ35" ca="1" si="1629">MY35-MY36+MZ34</f>
        <v>0</v>
      </c>
      <c r="NA35" s="40">
        <f t="shared" ref="NA35" ca="1" si="1630">MZ35-MZ36+NA34</f>
        <v>0</v>
      </c>
      <c r="NB35" s="40">
        <f t="shared" ref="NB35" ca="1" si="1631">NA35-NA36+NB34</f>
        <v>0</v>
      </c>
      <c r="NC35" s="40">
        <f t="shared" ref="NC35" ca="1" si="1632">NB35-NB36+NC34</f>
        <v>0</v>
      </c>
      <c r="ND35" s="40">
        <f t="shared" ref="ND35" ca="1" si="1633">NC35-NC36+ND34</f>
        <v>0</v>
      </c>
      <c r="NE35" s="40"/>
      <c r="NF35" s="40"/>
      <c r="NG35" s="40"/>
      <c r="NH35" s="40"/>
      <c r="NI35" s="40"/>
      <c r="NJ35" s="40"/>
      <c r="NK35" s="40"/>
      <c r="NL35" s="40"/>
      <c r="NM35" s="40"/>
      <c r="NN35" s="40"/>
      <c r="NO35" s="40"/>
      <c r="NP35" s="40"/>
      <c r="NQ35" s="40"/>
      <c r="NR35" s="40"/>
    </row>
    <row r="36" spans="2:382" x14ac:dyDescent="0.15">
      <c r="B36" s="518"/>
      <c r="C36" s="115" t="str">
        <f>_xlfn.CONCAT($C$4," Preferred Return Paid")</f>
        <v>Brian Preferred Return Paid</v>
      </c>
      <c r="D36" s="52"/>
      <c r="E36" s="40"/>
      <c r="F36" s="40"/>
      <c r="G36" s="114"/>
      <c r="H36" s="40"/>
      <c r="I36" s="40">
        <f>IF(SUM(I$27,I$35,I$43,I$51,I$59)&gt;0,MIN(I35,I35/SUM(I$27,I$35,I$43,I$51,I$59)*I$23),0)</f>
        <v>-31938.513322499999</v>
      </c>
      <c r="J36" s="40">
        <f>IF(SUM(J$27,J$35,J$43,J$51,J$59)&gt;0,MIN(J35,J35/SUM(J$27,J$35,J$43,J$51,J$59)*J$23),0)</f>
        <v>-31938.513322499999</v>
      </c>
      <c r="K36" s="40">
        <f t="shared" ref="K36:BV36" si="1634">IF(SUM(K$27,K$35,K$43,K$51,K$59)&gt;0,MIN(K35,K35/SUM(K$27,K$35,K$43,K$51,K$59)*K$23),0)</f>
        <v>-31938.513322499992</v>
      </c>
      <c r="L36" s="40">
        <f t="shared" si="1634"/>
        <v>0</v>
      </c>
      <c r="M36" s="40">
        <f t="shared" si="1634"/>
        <v>0</v>
      </c>
      <c r="N36" s="40">
        <f t="shared" si="1634"/>
        <v>0</v>
      </c>
      <c r="O36" s="40">
        <f t="shared" si="1634"/>
        <v>0</v>
      </c>
      <c r="P36" s="40">
        <f t="shared" si="1634"/>
        <v>0</v>
      </c>
      <c r="Q36" s="40">
        <f t="shared" si="1634"/>
        <v>0</v>
      </c>
      <c r="R36" s="40">
        <f t="shared" si="1634"/>
        <v>0</v>
      </c>
      <c r="S36" s="40">
        <f t="shared" si="1634"/>
        <v>0</v>
      </c>
      <c r="T36" s="40">
        <f t="shared" si="1634"/>
        <v>0</v>
      </c>
      <c r="U36" s="40">
        <f t="shared" si="1634"/>
        <v>0</v>
      </c>
      <c r="V36" s="40">
        <f t="shared" si="1634"/>
        <v>0</v>
      </c>
      <c r="W36" s="40">
        <f t="shared" si="1634"/>
        <v>0</v>
      </c>
      <c r="X36" s="40">
        <f t="shared" si="1634"/>
        <v>0</v>
      </c>
      <c r="Y36" s="40">
        <f t="shared" si="1634"/>
        <v>0</v>
      </c>
      <c r="Z36" s="40">
        <f t="shared" si="1634"/>
        <v>0</v>
      </c>
      <c r="AA36" s="40">
        <f t="shared" si="1634"/>
        <v>0</v>
      </c>
      <c r="AB36" s="40">
        <f t="shared" si="1634"/>
        <v>0</v>
      </c>
      <c r="AC36" s="40">
        <f t="shared" si="1634"/>
        <v>0</v>
      </c>
      <c r="AD36" s="40">
        <f t="shared" si="1634"/>
        <v>0</v>
      </c>
      <c r="AE36" s="40">
        <f t="shared" si="1634"/>
        <v>0</v>
      </c>
      <c r="AF36" s="40">
        <f t="shared" si="1634"/>
        <v>0</v>
      </c>
      <c r="AG36" s="40">
        <f t="shared" si="1634"/>
        <v>0</v>
      </c>
      <c r="AH36" s="40">
        <f t="shared" si="1634"/>
        <v>0</v>
      </c>
      <c r="AI36" s="40">
        <f t="shared" si="1634"/>
        <v>0</v>
      </c>
      <c r="AJ36" s="40">
        <f t="shared" si="1634"/>
        <v>0</v>
      </c>
      <c r="AK36" s="40">
        <f t="shared" si="1634"/>
        <v>0</v>
      </c>
      <c r="AL36" s="40">
        <f t="shared" si="1634"/>
        <v>0</v>
      </c>
      <c r="AM36" s="40">
        <f t="shared" si="1634"/>
        <v>0</v>
      </c>
      <c r="AN36" s="40">
        <f t="shared" si="1634"/>
        <v>0</v>
      </c>
      <c r="AO36" s="40">
        <f t="shared" si="1634"/>
        <v>0</v>
      </c>
      <c r="AP36" s="40">
        <f t="shared" si="1634"/>
        <v>0</v>
      </c>
      <c r="AQ36" s="40">
        <f t="shared" si="1634"/>
        <v>0</v>
      </c>
      <c r="AR36" s="40">
        <f t="shared" si="1634"/>
        <v>0</v>
      </c>
      <c r="AS36" s="40">
        <f t="shared" si="1634"/>
        <v>110.72524415783781</v>
      </c>
      <c r="AT36" s="40">
        <f t="shared" si="1634"/>
        <v>110.72524415783781</v>
      </c>
      <c r="AU36" s="40">
        <f t="shared" si="1634"/>
        <v>110.72524415783781</v>
      </c>
      <c r="AV36" s="40">
        <f t="shared" si="1634"/>
        <v>110.72524415783781</v>
      </c>
      <c r="AW36" s="40">
        <f t="shared" si="1634"/>
        <v>110.72524415783781</v>
      </c>
      <c r="AX36" s="40">
        <f t="shared" si="1634"/>
        <v>110.72524415783781</v>
      </c>
      <c r="AY36" s="40">
        <f t="shared" si="1634"/>
        <v>110.72524415783781</v>
      </c>
      <c r="AZ36" s="40">
        <f t="shared" si="1634"/>
        <v>110.72524415783781</v>
      </c>
      <c r="BA36" s="40">
        <f t="shared" si="1634"/>
        <v>110.72524415783781</v>
      </c>
      <c r="BB36" s="40">
        <f t="shared" si="1634"/>
        <v>110.72524415783781</v>
      </c>
      <c r="BC36" s="40">
        <f t="shared" si="1634"/>
        <v>110.72524415783781</v>
      </c>
      <c r="BD36" s="40">
        <f t="shared" si="1634"/>
        <v>110.72524415783781</v>
      </c>
      <c r="BE36" s="40">
        <f t="shared" si="1634"/>
        <v>393.7644214373492</v>
      </c>
      <c r="BF36" s="40">
        <f t="shared" si="1634"/>
        <v>393.76442143734914</v>
      </c>
      <c r="BG36" s="40">
        <f t="shared" si="1634"/>
        <v>393.76442143734914</v>
      </c>
      <c r="BH36" s="40">
        <f t="shared" si="1634"/>
        <v>393.76442143734909</v>
      </c>
      <c r="BI36" s="40">
        <f t="shared" si="1634"/>
        <v>393.76442143734914</v>
      </c>
      <c r="BJ36" s="40">
        <f t="shared" si="1634"/>
        <v>393.76442143734909</v>
      </c>
      <c r="BK36" s="40">
        <f t="shared" si="1634"/>
        <v>393.76442143734914</v>
      </c>
      <c r="BL36" s="40">
        <f t="shared" si="1634"/>
        <v>393.76442143734909</v>
      </c>
      <c r="BM36" s="40">
        <f t="shared" si="1634"/>
        <v>393.76442143734909</v>
      </c>
      <c r="BN36" s="40">
        <f t="shared" si="1634"/>
        <v>393.76442143734897</v>
      </c>
      <c r="BO36" s="40">
        <f t="shared" si="1634"/>
        <v>393.76442143734909</v>
      </c>
      <c r="BP36" s="40">
        <f t="shared" si="1634"/>
        <v>393.76442143734897</v>
      </c>
      <c r="BQ36" s="40">
        <f t="shared" si="1634"/>
        <v>685.68804493039875</v>
      </c>
      <c r="BR36" s="40">
        <f t="shared" si="1634"/>
        <v>685.68804493039863</v>
      </c>
      <c r="BS36" s="40">
        <f t="shared" si="1634"/>
        <v>685.68804493039875</v>
      </c>
      <c r="BT36" s="40">
        <f t="shared" si="1634"/>
        <v>685.68804493039875</v>
      </c>
      <c r="BU36" s="40">
        <f t="shared" si="1634"/>
        <v>685.68804493039886</v>
      </c>
      <c r="BV36" s="40">
        <f t="shared" si="1634"/>
        <v>685.68804493039875</v>
      </c>
      <c r="BW36" s="40">
        <f t="shared" ref="BW36:EH36" si="1635">IF(SUM(BW$27,BW$35,BW$43,BW$51,BW$59)&gt;0,MIN(BW35,BW35/SUM(BW$27,BW$35,BW$43,BW$51,BW$59)*BW$23),0)</f>
        <v>685.68804493039886</v>
      </c>
      <c r="BX36" s="40">
        <f t="shared" si="1635"/>
        <v>685.68804493039886</v>
      </c>
      <c r="BY36" s="40">
        <f t="shared" si="1635"/>
        <v>685.68804493039886</v>
      </c>
      <c r="BZ36" s="40">
        <f t="shared" si="1635"/>
        <v>685.68804493039886</v>
      </c>
      <c r="CA36" s="40">
        <f t="shared" si="1635"/>
        <v>685.68804493039897</v>
      </c>
      <c r="CB36" s="40">
        <f t="shared" si="1635"/>
        <v>685.68804493039886</v>
      </c>
      <c r="CC36" s="40">
        <f t="shared" si="1635"/>
        <v>986.77104027638143</v>
      </c>
      <c r="CD36" s="40">
        <f t="shared" si="1635"/>
        <v>986.77104027638143</v>
      </c>
      <c r="CE36" s="40">
        <f t="shared" si="1635"/>
        <v>986.77104027638143</v>
      </c>
      <c r="CF36" s="40">
        <f t="shared" si="1635"/>
        <v>986.7710402763812</v>
      </c>
      <c r="CG36" s="40">
        <f t="shared" si="1635"/>
        <v>986.77104027638143</v>
      </c>
      <c r="CH36" s="40">
        <f t="shared" si="1635"/>
        <v>986.7710402763812</v>
      </c>
      <c r="CI36" s="40">
        <f t="shared" si="1635"/>
        <v>986.7710402763812</v>
      </c>
      <c r="CJ36" s="40">
        <f t="shared" si="1635"/>
        <v>986.77104027638097</v>
      </c>
      <c r="CK36" s="40">
        <f t="shared" si="1635"/>
        <v>986.7710402763812</v>
      </c>
      <c r="CL36" s="40">
        <f t="shared" si="1635"/>
        <v>986.7710402763812</v>
      </c>
      <c r="CM36" s="40">
        <f t="shared" si="1635"/>
        <v>986.7710402763812</v>
      </c>
      <c r="CN36" s="40">
        <f t="shared" si="1635"/>
        <v>986.77104027638097</v>
      </c>
      <c r="CO36" s="40">
        <f t="shared" si="1635"/>
        <v>1297.2967618998043</v>
      </c>
      <c r="CP36" s="40">
        <f t="shared" si="1635"/>
        <v>1297.2967618998043</v>
      </c>
      <c r="CQ36" s="40">
        <f t="shared" si="1635"/>
        <v>1297.2967618998043</v>
      </c>
      <c r="CR36" s="40">
        <f t="shared" si="1635"/>
        <v>1297.2967618998041</v>
      </c>
      <c r="CS36" s="40">
        <f t="shared" si="1635"/>
        <v>1297.2967618998041</v>
      </c>
      <c r="CT36" s="40">
        <f t="shared" si="1635"/>
        <v>1297.2967618998043</v>
      </c>
      <c r="CU36" s="40">
        <f t="shared" si="1635"/>
        <v>1297.2967618998041</v>
      </c>
      <c r="CV36" s="40">
        <f t="shared" si="1635"/>
        <v>1297.2967618998041</v>
      </c>
      <c r="CW36" s="40">
        <f t="shared" si="1635"/>
        <v>1297.2967618998043</v>
      </c>
      <c r="CX36" s="40">
        <f t="shared" si="1635"/>
        <v>1297.2967618998041</v>
      </c>
      <c r="CY36" s="40">
        <f t="shared" si="1635"/>
        <v>1297.2967618998041</v>
      </c>
      <c r="CZ36" s="40">
        <f t="shared" si="1635"/>
        <v>1297.2967618998041</v>
      </c>
      <c r="DA36" s="40">
        <f t="shared" si="1635"/>
        <v>1617.5572498234512</v>
      </c>
      <c r="DB36" s="40">
        <f t="shared" si="1635"/>
        <v>1617.5572498234512</v>
      </c>
      <c r="DC36" s="40">
        <f t="shared" si="1635"/>
        <v>1617.5572498234512</v>
      </c>
      <c r="DD36" s="40">
        <f t="shared" si="1635"/>
        <v>1617.5572498234512</v>
      </c>
      <c r="DE36" s="40">
        <f t="shared" si="1635"/>
        <v>1617.5572498234512</v>
      </c>
      <c r="DF36" s="40">
        <f t="shared" si="1635"/>
        <v>1617.5572498234512</v>
      </c>
      <c r="DG36" s="40">
        <f t="shared" si="1635"/>
        <v>1617.5572498234512</v>
      </c>
      <c r="DH36" s="40">
        <f t="shared" si="1635"/>
        <v>1617.5572498234512</v>
      </c>
      <c r="DI36" s="40">
        <f t="shared" si="1635"/>
        <v>1617.5572498234512</v>
      </c>
      <c r="DJ36" s="40">
        <f t="shared" si="1635"/>
        <v>1617.5572498234512</v>
      </c>
      <c r="DK36" s="40">
        <f t="shared" si="1635"/>
        <v>1617.5572498234512</v>
      </c>
      <c r="DL36" s="40">
        <f t="shared" si="1635"/>
        <v>1617.5572498234512</v>
      </c>
      <c r="DM36" s="40">
        <f t="shared" si="1635"/>
        <v>1947.8534942731173</v>
      </c>
      <c r="DN36" s="40">
        <f t="shared" si="1635"/>
        <v>1947.8534942731173</v>
      </c>
      <c r="DO36" s="40">
        <f t="shared" si="1635"/>
        <v>1947.8534942731176</v>
      </c>
      <c r="DP36" s="40">
        <f t="shared" si="1635"/>
        <v>1947.8534942731173</v>
      </c>
      <c r="DQ36" s="40">
        <f t="shared" si="1635"/>
        <v>1947.8534942731173</v>
      </c>
      <c r="DR36" s="40">
        <f t="shared" si="1635"/>
        <v>1947.8534942731173</v>
      </c>
      <c r="DS36" s="40">
        <f t="shared" si="1635"/>
        <v>1947.8534942731173</v>
      </c>
      <c r="DT36" s="40">
        <f t="shared" si="1635"/>
        <v>1947.8534942731173</v>
      </c>
      <c r="DU36" s="40">
        <f t="shared" si="1635"/>
        <v>1947.8534942731169</v>
      </c>
      <c r="DV36" s="40">
        <f t="shared" si="1635"/>
        <v>1947.8534942731169</v>
      </c>
      <c r="DW36" s="40">
        <f t="shared" si="1635"/>
        <v>1947.8534942731173</v>
      </c>
      <c r="DX36" s="40">
        <f t="shared" si="1635"/>
        <v>1947.8534942731176</v>
      </c>
      <c r="DY36" s="40">
        <f t="shared" si="1635"/>
        <v>2288.4957083097142</v>
      </c>
      <c r="DZ36" s="40">
        <f t="shared" si="1635"/>
        <v>2288.4957083097138</v>
      </c>
      <c r="EA36" s="40">
        <f t="shared" si="1635"/>
        <v>2288.4957083097147</v>
      </c>
      <c r="EB36" s="40">
        <f t="shared" si="1635"/>
        <v>2288.4957083097142</v>
      </c>
      <c r="EC36" s="40">
        <f t="shared" si="1635"/>
        <v>2288.4957083097142</v>
      </c>
      <c r="ED36" s="40">
        <f t="shared" si="1635"/>
        <v>2288.4957083097156</v>
      </c>
      <c r="EE36" s="40">
        <f t="shared" si="1635"/>
        <v>2288.4957083097147</v>
      </c>
      <c r="EF36" s="40">
        <f t="shared" si="1635"/>
        <v>2288.4957083097147</v>
      </c>
      <c r="EG36" s="40">
        <f t="shared" si="1635"/>
        <v>2288.4957083097147</v>
      </c>
      <c r="EH36" s="40">
        <f t="shared" si="1635"/>
        <v>2288.4957083097147</v>
      </c>
      <c r="EI36" s="40">
        <f t="shared" ref="EI36:GT36" si="1636">IF(SUM(EI$27,EI$35,EI$43,EI$51,EI$59)&gt;0,MIN(EI35,EI35/SUM(EI$27,EI$35,EI$43,EI$51,EI$59)*EI$23),0)</f>
        <v>2288.4957083097152</v>
      </c>
      <c r="EJ36" s="40">
        <f t="shared" si="1636"/>
        <v>2288.4957083097147</v>
      </c>
      <c r="EK36" s="40">
        <f t="shared" si="1636"/>
        <v>2639.8036087314604</v>
      </c>
      <c r="EL36" s="40">
        <f t="shared" si="1636"/>
        <v>2639.8036087314604</v>
      </c>
      <c r="EM36" s="40">
        <f t="shared" si="1636"/>
        <v>2639.8036087314613</v>
      </c>
      <c r="EN36" s="40">
        <f t="shared" si="1636"/>
        <v>2639.8036087314608</v>
      </c>
      <c r="EO36" s="40">
        <f t="shared" si="1636"/>
        <v>2639.8036087314608</v>
      </c>
      <c r="EP36" s="40">
        <f t="shared" si="1636"/>
        <v>2639.8036087314608</v>
      </c>
      <c r="EQ36" s="40">
        <f t="shared" si="1636"/>
        <v>2639.8036087314622</v>
      </c>
      <c r="ER36" s="40">
        <f t="shared" si="1636"/>
        <v>2639.8036087314613</v>
      </c>
      <c r="ES36" s="40">
        <f t="shared" si="1636"/>
        <v>2639.8036087314608</v>
      </c>
      <c r="ET36" s="40">
        <f t="shared" si="1636"/>
        <v>2639.8036087314613</v>
      </c>
      <c r="EU36" s="40">
        <f t="shared" si="1636"/>
        <v>2639.8036087314613</v>
      </c>
      <c r="EV36" s="40">
        <f t="shared" si="1636"/>
        <v>2639.8036087314608</v>
      </c>
      <c r="EW36" s="40">
        <f t="shared" si="1636"/>
        <v>3002.1067054963646</v>
      </c>
      <c r="EX36" s="40">
        <f t="shared" si="1636"/>
        <v>3002.1067054963646</v>
      </c>
      <c r="EY36" s="40">
        <f t="shared" si="1636"/>
        <v>3002.1067054963637</v>
      </c>
      <c r="EZ36" s="40">
        <f t="shared" si="1636"/>
        <v>3002.1067054963637</v>
      </c>
      <c r="FA36" s="40">
        <f t="shared" si="1636"/>
        <v>3002.1067054963637</v>
      </c>
      <c r="FB36" s="40">
        <f t="shared" si="1636"/>
        <v>3002.1067054963637</v>
      </c>
      <c r="FC36" s="40">
        <f t="shared" si="1636"/>
        <v>3002.1067054963637</v>
      </c>
      <c r="FD36" s="40">
        <f t="shared" si="1636"/>
        <v>3002.1067054963637</v>
      </c>
      <c r="FE36" s="40">
        <f t="shared" si="1636"/>
        <v>3002.1067054963637</v>
      </c>
      <c r="FF36" s="40">
        <f t="shared" si="1636"/>
        <v>3002.1067054963646</v>
      </c>
      <c r="FG36" s="40">
        <f t="shared" si="1636"/>
        <v>3002.1067054963632</v>
      </c>
      <c r="FH36" s="40">
        <f t="shared" si="1636"/>
        <v>3002.1067054963637</v>
      </c>
      <c r="FI36" s="40">
        <f t="shared" si="1636"/>
        <v>3375.7445999226979</v>
      </c>
      <c r="FJ36" s="40">
        <f t="shared" si="1636"/>
        <v>3375.7445999226975</v>
      </c>
      <c r="FK36" s="40">
        <f t="shared" si="1636"/>
        <v>3375.7445999226975</v>
      </c>
      <c r="FL36" s="40">
        <f t="shared" si="1636"/>
        <v>3375.7445999226975</v>
      </c>
      <c r="FM36" s="40">
        <f t="shared" si="1636"/>
        <v>3375.7445999226975</v>
      </c>
      <c r="FN36" s="40">
        <f t="shared" si="1636"/>
        <v>3375.744599922697</v>
      </c>
      <c r="FO36" s="40">
        <f t="shared" si="1636"/>
        <v>3375.7445999226966</v>
      </c>
      <c r="FP36" s="40">
        <f t="shared" si="1636"/>
        <v>3375.744599922697</v>
      </c>
      <c r="FQ36" s="40">
        <f t="shared" si="1636"/>
        <v>3375.7445999226961</v>
      </c>
      <c r="FR36" s="40">
        <f t="shared" si="1636"/>
        <v>3375.7445999226957</v>
      </c>
      <c r="FS36" s="40">
        <f t="shared" si="1636"/>
        <v>3375.7445999226961</v>
      </c>
      <c r="FT36" s="40">
        <f t="shared" si="1636"/>
        <v>3375.7445999226957</v>
      </c>
      <c r="FU36" s="40">
        <f t="shared" si="1636"/>
        <v>3761.0672919328681</v>
      </c>
      <c r="FV36" s="40">
        <f t="shared" si="1636"/>
        <v>3761.0672919328681</v>
      </c>
      <c r="FW36" s="40">
        <f t="shared" si="1636"/>
        <v>3761.0672919328686</v>
      </c>
      <c r="FX36" s="40">
        <f t="shared" si="1636"/>
        <v>3761.0672919328681</v>
      </c>
      <c r="FY36" s="40">
        <f t="shared" si="1636"/>
        <v>3761.0672919328681</v>
      </c>
      <c r="FZ36" s="40">
        <f t="shared" si="1636"/>
        <v>3761.0672919328672</v>
      </c>
      <c r="GA36" s="40">
        <f t="shared" si="1636"/>
        <v>3761.0672919328667</v>
      </c>
      <c r="GB36" s="40">
        <f t="shared" si="1636"/>
        <v>3761.0672919328667</v>
      </c>
      <c r="GC36" s="40">
        <f t="shared" si="1636"/>
        <v>0</v>
      </c>
      <c r="GD36" s="40">
        <f t="shared" si="1636"/>
        <v>0</v>
      </c>
      <c r="GE36" s="40">
        <f t="shared" si="1636"/>
        <v>0</v>
      </c>
      <c r="GF36" s="40">
        <f t="shared" ca="1" si="1636"/>
        <v>1206206.6790809326</v>
      </c>
      <c r="GG36" s="40">
        <f t="shared" ca="1" si="1636"/>
        <v>0</v>
      </c>
      <c r="GH36" s="40">
        <f t="shared" ca="1" si="1636"/>
        <v>0</v>
      </c>
      <c r="GI36" s="40">
        <f t="shared" ca="1" si="1636"/>
        <v>0</v>
      </c>
      <c r="GJ36" s="40">
        <f t="shared" ca="1" si="1636"/>
        <v>0</v>
      </c>
      <c r="GK36" s="40">
        <f t="shared" ca="1" si="1636"/>
        <v>0</v>
      </c>
      <c r="GL36" s="40">
        <f t="shared" ca="1" si="1636"/>
        <v>0</v>
      </c>
      <c r="GM36" s="40">
        <f t="shared" ca="1" si="1636"/>
        <v>0</v>
      </c>
      <c r="GN36" s="40">
        <f t="shared" ca="1" si="1636"/>
        <v>0</v>
      </c>
      <c r="GO36" s="40">
        <f t="shared" ca="1" si="1636"/>
        <v>0</v>
      </c>
      <c r="GP36" s="40">
        <f t="shared" ca="1" si="1636"/>
        <v>0</v>
      </c>
      <c r="GQ36" s="40">
        <f t="shared" ca="1" si="1636"/>
        <v>0</v>
      </c>
      <c r="GR36" s="40">
        <f t="shared" ca="1" si="1636"/>
        <v>0</v>
      </c>
      <c r="GS36" s="40">
        <f t="shared" ca="1" si="1636"/>
        <v>0</v>
      </c>
      <c r="GT36" s="40">
        <f t="shared" ca="1" si="1636"/>
        <v>0</v>
      </c>
      <c r="GU36" s="40">
        <f t="shared" ref="GU36:IN36" ca="1" si="1637">IF(SUM(GU$27,GU$35,GU$43,GU$51,GU$59)&gt;0,MIN(GU35,GU35/SUM(GU$27,GU$35,GU$43,GU$51,GU$59)*GU$23),0)</f>
        <v>0</v>
      </c>
      <c r="GV36" s="40">
        <f t="shared" ca="1" si="1637"/>
        <v>0</v>
      </c>
      <c r="GW36" s="40">
        <f t="shared" ca="1" si="1637"/>
        <v>0</v>
      </c>
      <c r="GX36" s="40">
        <f t="shared" ca="1" si="1637"/>
        <v>0</v>
      </c>
      <c r="GY36" s="40">
        <f t="shared" ca="1" si="1637"/>
        <v>0</v>
      </c>
      <c r="GZ36" s="40">
        <f t="shared" ca="1" si="1637"/>
        <v>0</v>
      </c>
      <c r="HA36" s="40">
        <f t="shared" ca="1" si="1637"/>
        <v>0</v>
      </c>
      <c r="HB36" s="40">
        <f t="shared" ca="1" si="1637"/>
        <v>0</v>
      </c>
      <c r="HC36" s="40">
        <f t="shared" ca="1" si="1637"/>
        <v>0</v>
      </c>
      <c r="HD36" s="40">
        <f t="shared" ca="1" si="1637"/>
        <v>0</v>
      </c>
      <c r="HE36" s="40">
        <f t="shared" ca="1" si="1637"/>
        <v>0</v>
      </c>
      <c r="HF36" s="40">
        <f t="shared" ca="1" si="1637"/>
        <v>0</v>
      </c>
      <c r="HG36" s="40">
        <f t="shared" ca="1" si="1637"/>
        <v>0</v>
      </c>
      <c r="HH36" s="40">
        <f t="shared" ca="1" si="1637"/>
        <v>0</v>
      </c>
      <c r="HI36" s="40">
        <f t="shared" ca="1" si="1637"/>
        <v>0</v>
      </c>
      <c r="HJ36" s="40">
        <f t="shared" ca="1" si="1637"/>
        <v>0</v>
      </c>
      <c r="HK36" s="40">
        <f t="shared" ca="1" si="1637"/>
        <v>0</v>
      </c>
      <c r="HL36" s="40">
        <f t="shared" ca="1" si="1637"/>
        <v>0</v>
      </c>
      <c r="HM36" s="40">
        <f t="shared" ca="1" si="1637"/>
        <v>0</v>
      </c>
      <c r="HN36" s="40">
        <f t="shared" ca="1" si="1637"/>
        <v>0</v>
      </c>
      <c r="HO36" s="40">
        <f t="shared" ca="1" si="1637"/>
        <v>0</v>
      </c>
      <c r="HP36" s="40">
        <f t="shared" ca="1" si="1637"/>
        <v>0</v>
      </c>
      <c r="HQ36" s="40">
        <f t="shared" ca="1" si="1637"/>
        <v>0</v>
      </c>
      <c r="HR36" s="40">
        <f t="shared" ca="1" si="1637"/>
        <v>0</v>
      </c>
      <c r="HS36" s="40">
        <f t="shared" ca="1" si="1637"/>
        <v>0</v>
      </c>
      <c r="HT36" s="40">
        <f t="shared" ca="1" si="1637"/>
        <v>0</v>
      </c>
      <c r="HU36" s="40">
        <f t="shared" ca="1" si="1637"/>
        <v>0</v>
      </c>
      <c r="HV36" s="40">
        <f t="shared" ca="1" si="1637"/>
        <v>0</v>
      </c>
      <c r="HW36" s="40">
        <f t="shared" ca="1" si="1637"/>
        <v>0</v>
      </c>
      <c r="HX36" s="40">
        <f t="shared" ca="1" si="1637"/>
        <v>0</v>
      </c>
      <c r="HY36" s="40">
        <f t="shared" ca="1" si="1637"/>
        <v>0</v>
      </c>
      <c r="HZ36" s="40">
        <f t="shared" ca="1" si="1637"/>
        <v>0</v>
      </c>
      <c r="IA36" s="40">
        <f t="shared" ca="1" si="1637"/>
        <v>0</v>
      </c>
      <c r="IB36" s="40">
        <f t="shared" ca="1" si="1637"/>
        <v>0</v>
      </c>
      <c r="IC36" s="40">
        <f t="shared" ca="1" si="1637"/>
        <v>0</v>
      </c>
      <c r="ID36" s="40">
        <f t="shared" ca="1" si="1637"/>
        <v>0</v>
      </c>
      <c r="IE36" s="40">
        <f t="shared" ca="1" si="1637"/>
        <v>0</v>
      </c>
      <c r="IF36" s="40">
        <f t="shared" ca="1" si="1637"/>
        <v>0</v>
      </c>
      <c r="IG36" s="40">
        <f t="shared" ca="1" si="1637"/>
        <v>0</v>
      </c>
      <c r="IH36" s="40">
        <f t="shared" ca="1" si="1637"/>
        <v>0</v>
      </c>
      <c r="II36" s="40">
        <f t="shared" ca="1" si="1637"/>
        <v>0</v>
      </c>
      <c r="IJ36" s="40">
        <f t="shared" ca="1" si="1637"/>
        <v>0</v>
      </c>
      <c r="IK36" s="40">
        <f t="shared" ca="1" si="1637"/>
        <v>0</v>
      </c>
      <c r="IL36" s="40">
        <f t="shared" ca="1" si="1637"/>
        <v>0</v>
      </c>
      <c r="IM36" s="40">
        <f t="shared" ca="1" si="1637"/>
        <v>0</v>
      </c>
      <c r="IN36" s="40">
        <f t="shared" ca="1" si="1637"/>
        <v>0</v>
      </c>
      <c r="IO36" s="40">
        <f t="shared" ref="IO36:KZ36" ca="1" si="1638">IF(SUM(IO$27,IO$35,IO$43,IO$51,IO$59)&gt;0,MIN(IO35,IO35/SUM(IO$27,IO$35,IO$43,IO$51,IO$59)*IO$23),0)</f>
        <v>0</v>
      </c>
      <c r="IP36" s="40">
        <f t="shared" ca="1" si="1638"/>
        <v>0</v>
      </c>
      <c r="IQ36" s="40">
        <f t="shared" ca="1" si="1638"/>
        <v>0</v>
      </c>
      <c r="IR36" s="40">
        <f t="shared" ca="1" si="1638"/>
        <v>0</v>
      </c>
      <c r="IS36" s="40">
        <f t="shared" ca="1" si="1638"/>
        <v>0</v>
      </c>
      <c r="IT36" s="40">
        <f t="shared" ca="1" si="1638"/>
        <v>0</v>
      </c>
      <c r="IU36" s="40">
        <f t="shared" ca="1" si="1638"/>
        <v>0</v>
      </c>
      <c r="IV36" s="40">
        <f t="shared" ca="1" si="1638"/>
        <v>0</v>
      </c>
      <c r="IW36" s="40">
        <f t="shared" ca="1" si="1638"/>
        <v>0</v>
      </c>
      <c r="IX36" s="40">
        <f t="shared" ca="1" si="1638"/>
        <v>0</v>
      </c>
      <c r="IY36" s="40">
        <f t="shared" ca="1" si="1638"/>
        <v>0</v>
      </c>
      <c r="IZ36" s="40">
        <f t="shared" ca="1" si="1638"/>
        <v>0</v>
      </c>
      <c r="JA36" s="40">
        <f t="shared" ca="1" si="1638"/>
        <v>0</v>
      </c>
      <c r="JB36" s="40">
        <f t="shared" ca="1" si="1638"/>
        <v>0</v>
      </c>
      <c r="JC36" s="40">
        <f t="shared" ca="1" si="1638"/>
        <v>0</v>
      </c>
      <c r="JD36" s="40">
        <f t="shared" ca="1" si="1638"/>
        <v>0</v>
      </c>
      <c r="JE36" s="40">
        <f t="shared" ca="1" si="1638"/>
        <v>0</v>
      </c>
      <c r="JF36" s="40">
        <f t="shared" ca="1" si="1638"/>
        <v>0</v>
      </c>
      <c r="JG36" s="40">
        <f t="shared" ca="1" si="1638"/>
        <v>0</v>
      </c>
      <c r="JH36" s="40">
        <f t="shared" ca="1" si="1638"/>
        <v>0</v>
      </c>
      <c r="JI36" s="40">
        <f t="shared" ca="1" si="1638"/>
        <v>0</v>
      </c>
      <c r="JJ36" s="40">
        <f t="shared" ca="1" si="1638"/>
        <v>0</v>
      </c>
      <c r="JK36" s="40">
        <f t="shared" ca="1" si="1638"/>
        <v>0</v>
      </c>
      <c r="JL36" s="40">
        <f t="shared" ca="1" si="1638"/>
        <v>0</v>
      </c>
      <c r="JM36" s="40">
        <f t="shared" ca="1" si="1638"/>
        <v>0</v>
      </c>
      <c r="JN36" s="40">
        <f t="shared" ca="1" si="1638"/>
        <v>0</v>
      </c>
      <c r="JO36" s="40">
        <f t="shared" ca="1" si="1638"/>
        <v>0</v>
      </c>
      <c r="JP36" s="40">
        <f t="shared" ca="1" si="1638"/>
        <v>0</v>
      </c>
      <c r="JQ36" s="40">
        <f t="shared" ca="1" si="1638"/>
        <v>0</v>
      </c>
      <c r="JR36" s="40">
        <f t="shared" ca="1" si="1638"/>
        <v>0</v>
      </c>
      <c r="JS36" s="40">
        <f t="shared" ca="1" si="1638"/>
        <v>0</v>
      </c>
      <c r="JT36" s="40">
        <f t="shared" ca="1" si="1638"/>
        <v>0</v>
      </c>
      <c r="JU36" s="40">
        <f t="shared" ca="1" si="1638"/>
        <v>0</v>
      </c>
      <c r="JV36" s="40">
        <f t="shared" ca="1" si="1638"/>
        <v>0</v>
      </c>
      <c r="JW36" s="40">
        <f t="shared" ca="1" si="1638"/>
        <v>0</v>
      </c>
      <c r="JX36" s="40">
        <f t="shared" ca="1" si="1638"/>
        <v>0</v>
      </c>
      <c r="JY36" s="40">
        <f t="shared" ca="1" si="1638"/>
        <v>0</v>
      </c>
      <c r="JZ36" s="40">
        <f t="shared" ca="1" si="1638"/>
        <v>0</v>
      </c>
      <c r="KA36" s="40">
        <f t="shared" ca="1" si="1638"/>
        <v>0</v>
      </c>
      <c r="KB36" s="40">
        <f t="shared" ca="1" si="1638"/>
        <v>0</v>
      </c>
      <c r="KC36" s="40">
        <f t="shared" ca="1" si="1638"/>
        <v>0</v>
      </c>
      <c r="KD36" s="40">
        <f t="shared" ca="1" si="1638"/>
        <v>0</v>
      </c>
      <c r="KE36" s="40">
        <f t="shared" ca="1" si="1638"/>
        <v>0</v>
      </c>
      <c r="KF36" s="40">
        <f t="shared" ca="1" si="1638"/>
        <v>0</v>
      </c>
      <c r="KG36" s="40">
        <f t="shared" ca="1" si="1638"/>
        <v>0</v>
      </c>
      <c r="KH36" s="40">
        <f t="shared" ca="1" si="1638"/>
        <v>0</v>
      </c>
      <c r="KI36" s="40">
        <f t="shared" ca="1" si="1638"/>
        <v>0</v>
      </c>
      <c r="KJ36" s="40">
        <f t="shared" ca="1" si="1638"/>
        <v>0</v>
      </c>
      <c r="KK36" s="40">
        <f t="shared" ca="1" si="1638"/>
        <v>0</v>
      </c>
      <c r="KL36" s="40">
        <f t="shared" ca="1" si="1638"/>
        <v>0</v>
      </c>
      <c r="KM36" s="40">
        <f t="shared" ca="1" si="1638"/>
        <v>0</v>
      </c>
      <c r="KN36" s="40">
        <f t="shared" ca="1" si="1638"/>
        <v>0</v>
      </c>
      <c r="KO36" s="40">
        <f t="shared" ca="1" si="1638"/>
        <v>0</v>
      </c>
      <c r="KP36" s="40">
        <f t="shared" ca="1" si="1638"/>
        <v>0</v>
      </c>
      <c r="KQ36" s="40">
        <f t="shared" ca="1" si="1638"/>
        <v>0</v>
      </c>
      <c r="KR36" s="40">
        <f t="shared" ca="1" si="1638"/>
        <v>0</v>
      </c>
      <c r="KS36" s="40">
        <f t="shared" ca="1" si="1638"/>
        <v>0</v>
      </c>
      <c r="KT36" s="40">
        <f t="shared" ca="1" si="1638"/>
        <v>0</v>
      </c>
      <c r="KU36" s="40">
        <f t="shared" ca="1" si="1638"/>
        <v>0</v>
      </c>
      <c r="KV36" s="40">
        <f t="shared" ca="1" si="1638"/>
        <v>0</v>
      </c>
      <c r="KW36" s="40">
        <f t="shared" ca="1" si="1638"/>
        <v>0</v>
      </c>
      <c r="KX36" s="40">
        <f t="shared" ca="1" si="1638"/>
        <v>0</v>
      </c>
      <c r="KY36" s="40">
        <f t="shared" ca="1" si="1638"/>
        <v>0</v>
      </c>
      <c r="KZ36" s="40">
        <f t="shared" ca="1" si="1638"/>
        <v>0</v>
      </c>
      <c r="LA36" s="40">
        <f t="shared" ref="LA36:ND36" ca="1" si="1639">IF(SUM(LA$27,LA$35,LA$43,LA$51,LA$59)&gt;0,MIN(LA35,LA35/SUM(LA$27,LA$35,LA$43,LA$51,LA$59)*LA$23),0)</f>
        <v>0</v>
      </c>
      <c r="LB36" s="40">
        <f t="shared" ca="1" si="1639"/>
        <v>0</v>
      </c>
      <c r="LC36" s="40">
        <f t="shared" ca="1" si="1639"/>
        <v>0</v>
      </c>
      <c r="LD36" s="40">
        <f t="shared" ca="1" si="1639"/>
        <v>0</v>
      </c>
      <c r="LE36" s="40">
        <f t="shared" ca="1" si="1639"/>
        <v>0</v>
      </c>
      <c r="LF36" s="40">
        <f t="shared" ca="1" si="1639"/>
        <v>0</v>
      </c>
      <c r="LG36" s="40">
        <f t="shared" ca="1" si="1639"/>
        <v>0</v>
      </c>
      <c r="LH36" s="40">
        <f t="shared" ca="1" si="1639"/>
        <v>0</v>
      </c>
      <c r="LI36" s="40">
        <f t="shared" ca="1" si="1639"/>
        <v>0</v>
      </c>
      <c r="LJ36" s="40">
        <f t="shared" ca="1" si="1639"/>
        <v>0</v>
      </c>
      <c r="LK36" s="40">
        <f t="shared" ca="1" si="1639"/>
        <v>0</v>
      </c>
      <c r="LL36" s="40">
        <f t="shared" ca="1" si="1639"/>
        <v>0</v>
      </c>
      <c r="LM36" s="40">
        <f t="shared" ca="1" si="1639"/>
        <v>0</v>
      </c>
      <c r="LN36" s="40">
        <f t="shared" ca="1" si="1639"/>
        <v>0</v>
      </c>
      <c r="LO36" s="40">
        <f t="shared" ca="1" si="1639"/>
        <v>0</v>
      </c>
      <c r="LP36" s="40">
        <f t="shared" ca="1" si="1639"/>
        <v>0</v>
      </c>
      <c r="LQ36" s="40">
        <f t="shared" ca="1" si="1639"/>
        <v>0</v>
      </c>
      <c r="LR36" s="40">
        <f t="shared" ca="1" si="1639"/>
        <v>0</v>
      </c>
      <c r="LS36" s="40">
        <f t="shared" ca="1" si="1639"/>
        <v>0</v>
      </c>
      <c r="LT36" s="40">
        <f t="shared" ca="1" si="1639"/>
        <v>0</v>
      </c>
      <c r="LU36" s="40">
        <f t="shared" ca="1" si="1639"/>
        <v>0</v>
      </c>
      <c r="LV36" s="40">
        <f t="shared" ca="1" si="1639"/>
        <v>0</v>
      </c>
      <c r="LW36" s="40">
        <f t="shared" ca="1" si="1639"/>
        <v>0</v>
      </c>
      <c r="LX36" s="40">
        <f t="shared" ca="1" si="1639"/>
        <v>0</v>
      </c>
      <c r="LY36" s="40">
        <f t="shared" ca="1" si="1639"/>
        <v>0</v>
      </c>
      <c r="LZ36" s="40">
        <f t="shared" ca="1" si="1639"/>
        <v>0</v>
      </c>
      <c r="MA36" s="40">
        <f t="shared" ca="1" si="1639"/>
        <v>0</v>
      </c>
      <c r="MB36" s="40">
        <f t="shared" ca="1" si="1639"/>
        <v>0</v>
      </c>
      <c r="MC36" s="40">
        <f t="shared" ca="1" si="1639"/>
        <v>0</v>
      </c>
      <c r="MD36" s="40">
        <f t="shared" ca="1" si="1639"/>
        <v>0</v>
      </c>
      <c r="ME36" s="40">
        <f t="shared" ca="1" si="1639"/>
        <v>0</v>
      </c>
      <c r="MF36" s="40">
        <f t="shared" ca="1" si="1639"/>
        <v>0</v>
      </c>
      <c r="MG36" s="40">
        <f t="shared" ca="1" si="1639"/>
        <v>0</v>
      </c>
      <c r="MH36" s="40">
        <f t="shared" ca="1" si="1639"/>
        <v>0</v>
      </c>
      <c r="MI36" s="40">
        <f t="shared" ca="1" si="1639"/>
        <v>0</v>
      </c>
      <c r="MJ36" s="40">
        <f t="shared" ca="1" si="1639"/>
        <v>0</v>
      </c>
      <c r="MK36" s="40">
        <f t="shared" ca="1" si="1639"/>
        <v>0</v>
      </c>
      <c r="ML36" s="40">
        <f t="shared" ca="1" si="1639"/>
        <v>0</v>
      </c>
      <c r="MM36" s="40">
        <f t="shared" ca="1" si="1639"/>
        <v>0</v>
      </c>
      <c r="MN36" s="40">
        <f t="shared" ca="1" si="1639"/>
        <v>0</v>
      </c>
      <c r="MO36" s="40">
        <f t="shared" ca="1" si="1639"/>
        <v>0</v>
      </c>
      <c r="MP36" s="40">
        <f t="shared" ca="1" si="1639"/>
        <v>0</v>
      </c>
      <c r="MQ36" s="40">
        <f t="shared" ca="1" si="1639"/>
        <v>0</v>
      </c>
      <c r="MR36" s="40">
        <f t="shared" ca="1" si="1639"/>
        <v>0</v>
      </c>
      <c r="MS36" s="40">
        <f t="shared" ca="1" si="1639"/>
        <v>0</v>
      </c>
      <c r="MT36" s="40">
        <f t="shared" ca="1" si="1639"/>
        <v>0</v>
      </c>
      <c r="MU36" s="40">
        <f t="shared" ca="1" si="1639"/>
        <v>0</v>
      </c>
      <c r="MV36" s="40">
        <f t="shared" ca="1" si="1639"/>
        <v>0</v>
      </c>
      <c r="MW36" s="40">
        <f t="shared" ca="1" si="1639"/>
        <v>0</v>
      </c>
      <c r="MX36" s="40">
        <f t="shared" ca="1" si="1639"/>
        <v>0</v>
      </c>
      <c r="MY36" s="40">
        <f t="shared" ca="1" si="1639"/>
        <v>0</v>
      </c>
      <c r="MZ36" s="40">
        <f t="shared" ca="1" si="1639"/>
        <v>0</v>
      </c>
      <c r="NA36" s="40">
        <f t="shared" ca="1" si="1639"/>
        <v>0</v>
      </c>
      <c r="NB36" s="40">
        <f t="shared" ca="1" si="1639"/>
        <v>0</v>
      </c>
      <c r="NC36" s="40">
        <f t="shared" ca="1" si="1639"/>
        <v>0</v>
      </c>
      <c r="ND36" s="40">
        <f t="shared" ca="1" si="1639"/>
        <v>0</v>
      </c>
      <c r="NE36" s="40"/>
      <c r="NF36" s="40"/>
      <c r="NG36" s="40"/>
      <c r="NH36" s="40"/>
      <c r="NI36" s="40"/>
      <c r="NJ36" s="40"/>
      <c r="NK36" s="40"/>
      <c r="NL36" s="40"/>
      <c r="NM36" s="40"/>
      <c r="NN36" s="40"/>
      <c r="NO36" s="40"/>
      <c r="NP36" s="40"/>
      <c r="NQ36" s="40"/>
      <c r="NR36" s="40"/>
    </row>
    <row r="37" spans="2:382" x14ac:dyDescent="0.15">
      <c r="B37" s="518"/>
      <c r="C37" s="115" t="str">
        <f>_xlfn.CONCAT($C$4," Equity Repaid")</f>
        <v>Brian Equity Repaid</v>
      </c>
      <c r="D37" s="52"/>
      <c r="E37" s="40"/>
      <c r="F37" s="40"/>
      <c r="G37" s="114"/>
      <c r="H37" s="40"/>
      <c r="I37" s="40">
        <f>IF(SUM(I$25,I$33,I$41,I$49,I$57)&gt;0,MIN(I33,I33/SUM(I$25,I$33,I$41,I$49,I$57)*ROUND(I$23-SUM(I$28,I$36,I$44,I$52,I$60),10)),0)</f>
        <v>0</v>
      </c>
      <c r="J37" s="40">
        <f>IF(SUM(J$25,J$33,J$41,J$49,J$57)&gt;0,MIN(J33,J33/SUM(J$25,J$33,J$41,J$49,J$57)*ROUND(J$23-SUM(J$28,J$36,J$44,J$52,J$60),10)),0)</f>
        <v>0</v>
      </c>
      <c r="K37" s="40">
        <f t="shared" ref="K37:BV37" si="1640">IF(SUM(K$25,K$33,K$41,K$49,K$57)&gt;0,MIN(K33,K33/SUM(K$25,K$33,K$41,K$49,K$57)*ROUND(K$23-SUM(K$28,K$36,K$44,K$52,K$60),10)),0)</f>
        <v>0</v>
      </c>
      <c r="L37" s="40">
        <f t="shared" si="1640"/>
        <v>0</v>
      </c>
      <c r="M37" s="40">
        <f t="shared" si="1640"/>
        <v>0</v>
      </c>
      <c r="N37" s="40">
        <f t="shared" si="1640"/>
        <v>0</v>
      </c>
      <c r="O37" s="40">
        <f t="shared" si="1640"/>
        <v>0</v>
      </c>
      <c r="P37" s="40">
        <f t="shared" si="1640"/>
        <v>0</v>
      </c>
      <c r="Q37" s="40">
        <f t="shared" si="1640"/>
        <v>0</v>
      </c>
      <c r="R37" s="40">
        <f t="shared" si="1640"/>
        <v>0</v>
      </c>
      <c r="S37" s="40">
        <f t="shared" si="1640"/>
        <v>0</v>
      </c>
      <c r="T37" s="40">
        <f t="shared" si="1640"/>
        <v>0</v>
      </c>
      <c r="U37" s="40">
        <f t="shared" si="1640"/>
        <v>0</v>
      </c>
      <c r="V37" s="40">
        <f t="shared" si="1640"/>
        <v>0</v>
      </c>
      <c r="W37" s="40">
        <f t="shared" si="1640"/>
        <v>0</v>
      </c>
      <c r="X37" s="40">
        <f t="shared" si="1640"/>
        <v>0</v>
      </c>
      <c r="Y37" s="40">
        <f t="shared" si="1640"/>
        <v>0</v>
      </c>
      <c r="Z37" s="40">
        <f t="shared" si="1640"/>
        <v>0</v>
      </c>
      <c r="AA37" s="40">
        <f t="shared" si="1640"/>
        <v>0</v>
      </c>
      <c r="AB37" s="40">
        <f t="shared" si="1640"/>
        <v>0</v>
      </c>
      <c r="AC37" s="40">
        <f t="shared" si="1640"/>
        <v>0</v>
      </c>
      <c r="AD37" s="40">
        <f t="shared" si="1640"/>
        <v>0</v>
      </c>
      <c r="AE37" s="40">
        <f t="shared" si="1640"/>
        <v>0</v>
      </c>
      <c r="AF37" s="40">
        <f t="shared" si="1640"/>
        <v>0</v>
      </c>
      <c r="AG37" s="40">
        <f t="shared" si="1640"/>
        <v>0</v>
      </c>
      <c r="AH37" s="40">
        <f t="shared" si="1640"/>
        <v>0</v>
      </c>
      <c r="AI37" s="40">
        <f t="shared" si="1640"/>
        <v>0</v>
      </c>
      <c r="AJ37" s="40">
        <f t="shared" si="1640"/>
        <v>0</v>
      </c>
      <c r="AK37" s="40">
        <f t="shared" si="1640"/>
        <v>0</v>
      </c>
      <c r="AL37" s="40">
        <f t="shared" si="1640"/>
        <v>0</v>
      </c>
      <c r="AM37" s="40">
        <f t="shared" si="1640"/>
        <v>0</v>
      </c>
      <c r="AN37" s="40">
        <f t="shared" si="1640"/>
        <v>0</v>
      </c>
      <c r="AO37" s="40">
        <f t="shared" si="1640"/>
        <v>0</v>
      </c>
      <c r="AP37" s="40">
        <f t="shared" si="1640"/>
        <v>0</v>
      </c>
      <c r="AQ37" s="40">
        <f t="shared" si="1640"/>
        <v>0</v>
      </c>
      <c r="AR37" s="40">
        <f t="shared" si="1640"/>
        <v>0</v>
      </c>
      <c r="AS37" s="40">
        <f t="shared" si="1640"/>
        <v>0</v>
      </c>
      <c r="AT37" s="40">
        <f t="shared" si="1640"/>
        <v>0</v>
      </c>
      <c r="AU37" s="40">
        <f t="shared" si="1640"/>
        <v>0</v>
      </c>
      <c r="AV37" s="40">
        <f t="shared" si="1640"/>
        <v>0</v>
      </c>
      <c r="AW37" s="40">
        <f t="shared" si="1640"/>
        <v>0</v>
      </c>
      <c r="AX37" s="40">
        <f t="shared" si="1640"/>
        <v>0</v>
      </c>
      <c r="AY37" s="40">
        <f t="shared" si="1640"/>
        <v>0</v>
      </c>
      <c r="AZ37" s="40">
        <f t="shared" si="1640"/>
        <v>0</v>
      </c>
      <c r="BA37" s="40">
        <f t="shared" si="1640"/>
        <v>0</v>
      </c>
      <c r="BB37" s="40">
        <f t="shared" si="1640"/>
        <v>0</v>
      </c>
      <c r="BC37" s="40">
        <f t="shared" si="1640"/>
        <v>0</v>
      </c>
      <c r="BD37" s="40">
        <f t="shared" si="1640"/>
        <v>0</v>
      </c>
      <c r="BE37" s="40">
        <f t="shared" si="1640"/>
        <v>0</v>
      </c>
      <c r="BF37" s="40">
        <f t="shared" si="1640"/>
        <v>0</v>
      </c>
      <c r="BG37" s="40">
        <f t="shared" si="1640"/>
        <v>0</v>
      </c>
      <c r="BH37" s="40">
        <f t="shared" si="1640"/>
        <v>0</v>
      </c>
      <c r="BI37" s="40">
        <f t="shared" si="1640"/>
        <v>0</v>
      </c>
      <c r="BJ37" s="40">
        <f t="shared" si="1640"/>
        <v>0</v>
      </c>
      <c r="BK37" s="40">
        <f t="shared" si="1640"/>
        <v>0</v>
      </c>
      <c r="BL37" s="40">
        <f t="shared" si="1640"/>
        <v>0</v>
      </c>
      <c r="BM37" s="40">
        <f t="shared" si="1640"/>
        <v>0</v>
      </c>
      <c r="BN37" s="40">
        <f t="shared" si="1640"/>
        <v>0</v>
      </c>
      <c r="BO37" s="40">
        <f t="shared" si="1640"/>
        <v>0</v>
      </c>
      <c r="BP37" s="40">
        <f t="shared" si="1640"/>
        <v>0</v>
      </c>
      <c r="BQ37" s="40">
        <f t="shared" si="1640"/>
        <v>0</v>
      </c>
      <c r="BR37" s="40">
        <f t="shared" si="1640"/>
        <v>0</v>
      </c>
      <c r="BS37" s="40">
        <f t="shared" si="1640"/>
        <v>0</v>
      </c>
      <c r="BT37" s="40">
        <f t="shared" si="1640"/>
        <v>0</v>
      </c>
      <c r="BU37" s="40">
        <f t="shared" si="1640"/>
        <v>0</v>
      </c>
      <c r="BV37" s="40">
        <f t="shared" si="1640"/>
        <v>0</v>
      </c>
      <c r="BW37" s="40">
        <f t="shared" ref="BW37:EH37" si="1641">IF(SUM(BW$25,BW$33,BW$41,BW$49,BW$57)&gt;0,MIN(BW33,BW33/SUM(BW$25,BW$33,BW$41,BW$49,BW$57)*ROUND(BW$23-SUM(BW$28,BW$36,BW$44,BW$52,BW$60),10)),0)</f>
        <v>0</v>
      </c>
      <c r="BX37" s="40">
        <f t="shared" si="1641"/>
        <v>0</v>
      </c>
      <c r="BY37" s="40">
        <f t="shared" si="1641"/>
        <v>0</v>
      </c>
      <c r="BZ37" s="40">
        <f t="shared" si="1641"/>
        <v>0</v>
      </c>
      <c r="CA37" s="40">
        <f t="shared" si="1641"/>
        <v>0</v>
      </c>
      <c r="CB37" s="40">
        <f t="shared" si="1641"/>
        <v>0</v>
      </c>
      <c r="CC37" s="40">
        <f t="shared" si="1641"/>
        <v>0</v>
      </c>
      <c r="CD37" s="40">
        <f t="shared" si="1641"/>
        <v>0</v>
      </c>
      <c r="CE37" s="40">
        <f t="shared" si="1641"/>
        <v>0</v>
      </c>
      <c r="CF37" s="40">
        <f t="shared" si="1641"/>
        <v>0</v>
      </c>
      <c r="CG37" s="40">
        <f t="shared" si="1641"/>
        <v>0</v>
      </c>
      <c r="CH37" s="40">
        <f t="shared" si="1641"/>
        <v>0</v>
      </c>
      <c r="CI37" s="40">
        <f t="shared" si="1641"/>
        <v>0</v>
      </c>
      <c r="CJ37" s="40">
        <f t="shared" si="1641"/>
        <v>0</v>
      </c>
      <c r="CK37" s="40">
        <f t="shared" si="1641"/>
        <v>0</v>
      </c>
      <c r="CL37" s="40">
        <f t="shared" si="1641"/>
        <v>0</v>
      </c>
      <c r="CM37" s="40">
        <f t="shared" si="1641"/>
        <v>0</v>
      </c>
      <c r="CN37" s="40">
        <f t="shared" si="1641"/>
        <v>0</v>
      </c>
      <c r="CO37" s="40">
        <f t="shared" si="1641"/>
        <v>0</v>
      </c>
      <c r="CP37" s="40">
        <f t="shared" si="1641"/>
        <v>0</v>
      </c>
      <c r="CQ37" s="40">
        <f t="shared" si="1641"/>
        <v>0</v>
      </c>
      <c r="CR37" s="40">
        <f t="shared" si="1641"/>
        <v>0</v>
      </c>
      <c r="CS37" s="40">
        <f t="shared" si="1641"/>
        <v>0</v>
      </c>
      <c r="CT37" s="40">
        <f t="shared" si="1641"/>
        <v>0</v>
      </c>
      <c r="CU37" s="40">
        <f t="shared" si="1641"/>
        <v>0</v>
      </c>
      <c r="CV37" s="40">
        <f t="shared" si="1641"/>
        <v>0</v>
      </c>
      <c r="CW37" s="40">
        <f t="shared" si="1641"/>
        <v>0</v>
      </c>
      <c r="CX37" s="40">
        <f t="shared" si="1641"/>
        <v>0</v>
      </c>
      <c r="CY37" s="40">
        <f t="shared" si="1641"/>
        <v>0</v>
      </c>
      <c r="CZ37" s="40">
        <f t="shared" si="1641"/>
        <v>0</v>
      </c>
      <c r="DA37" s="40">
        <f t="shared" si="1641"/>
        <v>0</v>
      </c>
      <c r="DB37" s="40">
        <f t="shared" si="1641"/>
        <v>0</v>
      </c>
      <c r="DC37" s="40">
        <f t="shared" si="1641"/>
        <v>0</v>
      </c>
      <c r="DD37" s="40">
        <f t="shared" si="1641"/>
        <v>0</v>
      </c>
      <c r="DE37" s="40">
        <f t="shared" si="1641"/>
        <v>0</v>
      </c>
      <c r="DF37" s="40">
        <f t="shared" si="1641"/>
        <v>0</v>
      </c>
      <c r="DG37" s="40">
        <f t="shared" si="1641"/>
        <v>0</v>
      </c>
      <c r="DH37" s="40">
        <f t="shared" si="1641"/>
        <v>0</v>
      </c>
      <c r="DI37" s="40">
        <f t="shared" si="1641"/>
        <v>0</v>
      </c>
      <c r="DJ37" s="40">
        <f t="shared" si="1641"/>
        <v>0</v>
      </c>
      <c r="DK37" s="40">
        <f t="shared" si="1641"/>
        <v>0</v>
      </c>
      <c r="DL37" s="40">
        <f t="shared" si="1641"/>
        <v>0</v>
      </c>
      <c r="DM37" s="40">
        <f t="shared" si="1641"/>
        <v>0</v>
      </c>
      <c r="DN37" s="40">
        <f t="shared" si="1641"/>
        <v>0</v>
      </c>
      <c r="DO37" s="40">
        <f t="shared" si="1641"/>
        <v>0</v>
      </c>
      <c r="DP37" s="40">
        <f t="shared" si="1641"/>
        <v>0</v>
      </c>
      <c r="DQ37" s="40">
        <f t="shared" si="1641"/>
        <v>0</v>
      </c>
      <c r="DR37" s="40">
        <f t="shared" si="1641"/>
        <v>0</v>
      </c>
      <c r="DS37" s="40">
        <f t="shared" si="1641"/>
        <v>0</v>
      </c>
      <c r="DT37" s="40">
        <f t="shared" si="1641"/>
        <v>0</v>
      </c>
      <c r="DU37" s="40">
        <f t="shared" si="1641"/>
        <v>0</v>
      </c>
      <c r="DV37" s="40">
        <f t="shared" si="1641"/>
        <v>0</v>
      </c>
      <c r="DW37" s="40">
        <f t="shared" si="1641"/>
        <v>0</v>
      </c>
      <c r="DX37" s="40">
        <f t="shared" si="1641"/>
        <v>0</v>
      </c>
      <c r="DY37" s="40">
        <f t="shared" si="1641"/>
        <v>0</v>
      </c>
      <c r="DZ37" s="40">
        <f t="shared" si="1641"/>
        <v>0</v>
      </c>
      <c r="EA37" s="40">
        <f t="shared" si="1641"/>
        <v>0</v>
      </c>
      <c r="EB37" s="40">
        <f t="shared" si="1641"/>
        <v>0</v>
      </c>
      <c r="EC37" s="40">
        <f t="shared" si="1641"/>
        <v>0</v>
      </c>
      <c r="ED37" s="40">
        <f t="shared" si="1641"/>
        <v>0</v>
      </c>
      <c r="EE37" s="40">
        <f t="shared" si="1641"/>
        <v>0</v>
      </c>
      <c r="EF37" s="40">
        <f t="shared" si="1641"/>
        <v>0</v>
      </c>
      <c r="EG37" s="40">
        <f t="shared" si="1641"/>
        <v>0</v>
      </c>
      <c r="EH37" s="40">
        <f t="shared" si="1641"/>
        <v>0</v>
      </c>
      <c r="EI37" s="40">
        <f t="shared" ref="EI37:GT37" si="1642">IF(SUM(EI$25,EI$33,EI$41,EI$49,EI$57)&gt;0,MIN(EI33,EI33/SUM(EI$25,EI$33,EI$41,EI$49,EI$57)*ROUND(EI$23-SUM(EI$28,EI$36,EI$44,EI$52,EI$60),10)),0)</f>
        <v>0</v>
      </c>
      <c r="EJ37" s="40">
        <f t="shared" si="1642"/>
        <v>0</v>
      </c>
      <c r="EK37" s="40">
        <f t="shared" si="1642"/>
        <v>0</v>
      </c>
      <c r="EL37" s="40">
        <f t="shared" si="1642"/>
        <v>0</v>
      </c>
      <c r="EM37" s="40">
        <f t="shared" si="1642"/>
        <v>0</v>
      </c>
      <c r="EN37" s="40">
        <f t="shared" si="1642"/>
        <v>0</v>
      </c>
      <c r="EO37" s="40">
        <f t="shared" si="1642"/>
        <v>0</v>
      </c>
      <c r="EP37" s="40">
        <f t="shared" si="1642"/>
        <v>0</v>
      </c>
      <c r="EQ37" s="40">
        <f t="shared" si="1642"/>
        <v>0</v>
      </c>
      <c r="ER37" s="40">
        <f t="shared" si="1642"/>
        <v>0</v>
      </c>
      <c r="ES37" s="40">
        <f t="shared" si="1642"/>
        <v>0</v>
      </c>
      <c r="ET37" s="40">
        <f t="shared" si="1642"/>
        <v>0</v>
      </c>
      <c r="EU37" s="40">
        <f t="shared" si="1642"/>
        <v>0</v>
      </c>
      <c r="EV37" s="40">
        <f t="shared" si="1642"/>
        <v>0</v>
      </c>
      <c r="EW37" s="40">
        <f t="shared" si="1642"/>
        <v>0</v>
      </c>
      <c r="EX37" s="40">
        <f t="shared" si="1642"/>
        <v>0</v>
      </c>
      <c r="EY37" s="40">
        <f t="shared" si="1642"/>
        <v>0</v>
      </c>
      <c r="EZ37" s="40">
        <f t="shared" si="1642"/>
        <v>0</v>
      </c>
      <c r="FA37" s="40">
        <f t="shared" si="1642"/>
        <v>0</v>
      </c>
      <c r="FB37" s="40">
        <f t="shared" si="1642"/>
        <v>0</v>
      </c>
      <c r="FC37" s="40">
        <f t="shared" si="1642"/>
        <v>0</v>
      </c>
      <c r="FD37" s="40">
        <f t="shared" si="1642"/>
        <v>0</v>
      </c>
      <c r="FE37" s="40">
        <f t="shared" si="1642"/>
        <v>0</v>
      </c>
      <c r="FF37" s="40">
        <f t="shared" si="1642"/>
        <v>0</v>
      </c>
      <c r="FG37" s="40">
        <f t="shared" si="1642"/>
        <v>0</v>
      </c>
      <c r="FH37" s="40">
        <f t="shared" si="1642"/>
        <v>0</v>
      </c>
      <c r="FI37" s="40">
        <f t="shared" si="1642"/>
        <v>0</v>
      </c>
      <c r="FJ37" s="40">
        <f t="shared" si="1642"/>
        <v>0</v>
      </c>
      <c r="FK37" s="40">
        <f t="shared" si="1642"/>
        <v>0</v>
      </c>
      <c r="FL37" s="40">
        <f t="shared" si="1642"/>
        <v>0</v>
      </c>
      <c r="FM37" s="40">
        <f t="shared" si="1642"/>
        <v>0</v>
      </c>
      <c r="FN37" s="40">
        <f t="shared" si="1642"/>
        <v>0</v>
      </c>
      <c r="FO37" s="40">
        <f t="shared" si="1642"/>
        <v>0</v>
      </c>
      <c r="FP37" s="40">
        <f t="shared" si="1642"/>
        <v>0</v>
      </c>
      <c r="FQ37" s="40">
        <f t="shared" si="1642"/>
        <v>0</v>
      </c>
      <c r="FR37" s="40">
        <f t="shared" si="1642"/>
        <v>0</v>
      </c>
      <c r="FS37" s="40">
        <f t="shared" si="1642"/>
        <v>0</v>
      </c>
      <c r="FT37" s="40">
        <f t="shared" si="1642"/>
        <v>0</v>
      </c>
      <c r="FU37" s="40">
        <f t="shared" si="1642"/>
        <v>0</v>
      </c>
      <c r="FV37" s="40">
        <f t="shared" si="1642"/>
        <v>0</v>
      </c>
      <c r="FW37" s="40">
        <f t="shared" si="1642"/>
        <v>0</v>
      </c>
      <c r="FX37" s="40">
        <f t="shared" si="1642"/>
        <v>0</v>
      </c>
      <c r="FY37" s="40">
        <f t="shared" si="1642"/>
        <v>0</v>
      </c>
      <c r="FZ37" s="40">
        <f t="shared" si="1642"/>
        <v>0</v>
      </c>
      <c r="GA37" s="40">
        <f t="shared" si="1642"/>
        <v>0</v>
      </c>
      <c r="GB37" s="40">
        <f t="shared" si="1642"/>
        <v>0</v>
      </c>
      <c r="GC37" s="40">
        <f t="shared" si="1642"/>
        <v>0</v>
      </c>
      <c r="GD37" s="40">
        <f t="shared" si="1642"/>
        <v>0</v>
      </c>
      <c r="GE37" s="40">
        <f t="shared" si="1642"/>
        <v>0</v>
      </c>
      <c r="GF37" s="40">
        <f t="shared" ca="1" si="1642"/>
        <v>755905.2</v>
      </c>
      <c r="GG37" s="40">
        <f t="shared" ca="1" si="1642"/>
        <v>0</v>
      </c>
      <c r="GH37" s="40">
        <f t="shared" ca="1" si="1642"/>
        <v>0</v>
      </c>
      <c r="GI37" s="40">
        <f t="shared" ca="1" si="1642"/>
        <v>0</v>
      </c>
      <c r="GJ37" s="40">
        <f t="shared" ca="1" si="1642"/>
        <v>0</v>
      </c>
      <c r="GK37" s="40">
        <f t="shared" ca="1" si="1642"/>
        <v>0</v>
      </c>
      <c r="GL37" s="40">
        <f t="shared" ca="1" si="1642"/>
        <v>0</v>
      </c>
      <c r="GM37" s="40">
        <f t="shared" ca="1" si="1642"/>
        <v>0</v>
      </c>
      <c r="GN37" s="40">
        <f t="shared" ca="1" si="1642"/>
        <v>0</v>
      </c>
      <c r="GO37" s="40">
        <f t="shared" ca="1" si="1642"/>
        <v>0</v>
      </c>
      <c r="GP37" s="40">
        <f t="shared" ca="1" si="1642"/>
        <v>0</v>
      </c>
      <c r="GQ37" s="40">
        <f t="shared" ca="1" si="1642"/>
        <v>0</v>
      </c>
      <c r="GR37" s="40">
        <f t="shared" ca="1" si="1642"/>
        <v>0</v>
      </c>
      <c r="GS37" s="40">
        <f t="shared" ca="1" si="1642"/>
        <v>0</v>
      </c>
      <c r="GT37" s="40">
        <f t="shared" ca="1" si="1642"/>
        <v>0</v>
      </c>
      <c r="GU37" s="40">
        <f t="shared" ref="GU37:IN37" ca="1" si="1643">IF(SUM(GU$25,GU$33,GU$41,GU$49,GU$57)&gt;0,MIN(GU33,GU33/SUM(GU$25,GU$33,GU$41,GU$49,GU$57)*ROUND(GU$23-SUM(GU$28,GU$36,GU$44,GU$52,GU$60),10)),0)</f>
        <v>0</v>
      </c>
      <c r="GV37" s="40">
        <f t="shared" ca="1" si="1643"/>
        <v>0</v>
      </c>
      <c r="GW37" s="40">
        <f t="shared" ca="1" si="1643"/>
        <v>0</v>
      </c>
      <c r="GX37" s="40">
        <f t="shared" ca="1" si="1643"/>
        <v>0</v>
      </c>
      <c r="GY37" s="40">
        <f t="shared" ca="1" si="1643"/>
        <v>0</v>
      </c>
      <c r="GZ37" s="40">
        <f t="shared" ca="1" si="1643"/>
        <v>0</v>
      </c>
      <c r="HA37" s="40">
        <f t="shared" ca="1" si="1643"/>
        <v>0</v>
      </c>
      <c r="HB37" s="40">
        <f t="shared" ca="1" si="1643"/>
        <v>0</v>
      </c>
      <c r="HC37" s="40">
        <f t="shared" ca="1" si="1643"/>
        <v>0</v>
      </c>
      <c r="HD37" s="40">
        <f t="shared" ca="1" si="1643"/>
        <v>0</v>
      </c>
      <c r="HE37" s="40">
        <f t="shared" ca="1" si="1643"/>
        <v>0</v>
      </c>
      <c r="HF37" s="40">
        <f t="shared" ca="1" si="1643"/>
        <v>0</v>
      </c>
      <c r="HG37" s="40">
        <f t="shared" ca="1" si="1643"/>
        <v>0</v>
      </c>
      <c r="HH37" s="40">
        <f t="shared" ca="1" si="1643"/>
        <v>0</v>
      </c>
      <c r="HI37" s="40">
        <f t="shared" ca="1" si="1643"/>
        <v>0</v>
      </c>
      <c r="HJ37" s="40">
        <f t="shared" ca="1" si="1643"/>
        <v>0</v>
      </c>
      <c r="HK37" s="40">
        <f t="shared" ca="1" si="1643"/>
        <v>0</v>
      </c>
      <c r="HL37" s="40">
        <f t="shared" ca="1" si="1643"/>
        <v>0</v>
      </c>
      <c r="HM37" s="40">
        <f t="shared" ca="1" si="1643"/>
        <v>0</v>
      </c>
      <c r="HN37" s="40">
        <f t="shared" ca="1" si="1643"/>
        <v>0</v>
      </c>
      <c r="HO37" s="40">
        <f t="shared" ca="1" si="1643"/>
        <v>0</v>
      </c>
      <c r="HP37" s="40">
        <f t="shared" ca="1" si="1643"/>
        <v>0</v>
      </c>
      <c r="HQ37" s="40">
        <f t="shared" ca="1" si="1643"/>
        <v>0</v>
      </c>
      <c r="HR37" s="40">
        <f t="shared" ca="1" si="1643"/>
        <v>0</v>
      </c>
      <c r="HS37" s="40">
        <f t="shared" ca="1" si="1643"/>
        <v>0</v>
      </c>
      <c r="HT37" s="40">
        <f t="shared" ca="1" si="1643"/>
        <v>0</v>
      </c>
      <c r="HU37" s="40">
        <f t="shared" ca="1" si="1643"/>
        <v>0</v>
      </c>
      <c r="HV37" s="40">
        <f t="shared" ca="1" si="1643"/>
        <v>0</v>
      </c>
      <c r="HW37" s="40">
        <f t="shared" ca="1" si="1643"/>
        <v>0</v>
      </c>
      <c r="HX37" s="40">
        <f t="shared" ca="1" si="1643"/>
        <v>0</v>
      </c>
      <c r="HY37" s="40">
        <f t="shared" ca="1" si="1643"/>
        <v>0</v>
      </c>
      <c r="HZ37" s="40">
        <f t="shared" ca="1" si="1643"/>
        <v>0</v>
      </c>
      <c r="IA37" s="40">
        <f t="shared" ca="1" si="1643"/>
        <v>0</v>
      </c>
      <c r="IB37" s="40">
        <f t="shared" ca="1" si="1643"/>
        <v>0</v>
      </c>
      <c r="IC37" s="40">
        <f t="shared" ca="1" si="1643"/>
        <v>0</v>
      </c>
      <c r="ID37" s="40">
        <f t="shared" ca="1" si="1643"/>
        <v>0</v>
      </c>
      <c r="IE37" s="40">
        <f t="shared" ca="1" si="1643"/>
        <v>0</v>
      </c>
      <c r="IF37" s="40">
        <f t="shared" ca="1" si="1643"/>
        <v>0</v>
      </c>
      <c r="IG37" s="40">
        <f t="shared" ca="1" si="1643"/>
        <v>0</v>
      </c>
      <c r="IH37" s="40">
        <f t="shared" ca="1" si="1643"/>
        <v>0</v>
      </c>
      <c r="II37" s="40">
        <f t="shared" ca="1" si="1643"/>
        <v>0</v>
      </c>
      <c r="IJ37" s="40">
        <f t="shared" ca="1" si="1643"/>
        <v>0</v>
      </c>
      <c r="IK37" s="40">
        <f t="shared" ca="1" si="1643"/>
        <v>0</v>
      </c>
      <c r="IL37" s="40">
        <f t="shared" ca="1" si="1643"/>
        <v>0</v>
      </c>
      <c r="IM37" s="40">
        <f t="shared" ca="1" si="1643"/>
        <v>0</v>
      </c>
      <c r="IN37" s="40">
        <f t="shared" ca="1" si="1643"/>
        <v>0</v>
      </c>
      <c r="IO37" s="40">
        <f t="shared" ref="IO37:KZ37" ca="1" si="1644">IF(SUM(IO$25,IO$33,IO$41,IO$49,IO$57)&gt;0,MIN(IO33,IO33/SUM(IO$25,IO$33,IO$41,IO$49,IO$57)*ROUND(IO$23-SUM(IO$28,IO$36,IO$44,IO$52,IO$60),10)),0)</f>
        <v>0</v>
      </c>
      <c r="IP37" s="40">
        <f t="shared" ca="1" si="1644"/>
        <v>0</v>
      </c>
      <c r="IQ37" s="40">
        <f t="shared" ca="1" si="1644"/>
        <v>0</v>
      </c>
      <c r="IR37" s="40">
        <f t="shared" ca="1" si="1644"/>
        <v>0</v>
      </c>
      <c r="IS37" s="40">
        <f t="shared" ca="1" si="1644"/>
        <v>0</v>
      </c>
      <c r="IT37" s="40">
        <f t="shared" ca="1" si="1644"/>
        <v>0</v>
      </c>
      <c r="IU37" s="40">
        <f t="shared" ca="1" si="1644"/>
        <v>0</v>
      </c>
      <c r="IV37" s="40">
        <f t="shared" ca="1" si="1644"/>
        <v>0</v>
      </c>
      <c r="IW37" s="40">
        <f t="shared" ca="1" si="1644"/>
        <v>0</v>
      </c>
      <c r="IX37" s="40">
        <f t="shared" ca="1" si="1644"/>
        <v>0</v>
      </c>
      <c r="IY37" s="40">
        <f t="shared" ca="1" si="1644"/>
        <v>0</v>
      </c>
      <c r="IZ37" s="40">
        <f t="shared" ca="1" si="1644"/>
        <v>0</v>
      </c>
      <c r="JA37" s="40">
        <f t="shared" ca="1" si="1644"/>
        <v>0</v>
      </c>
      <c r="JB37" s="40">
        <f t="shared" ca="1" si="1644"/>
        <v>0</v>
      </c>
      <c r="JC37" s="40">
        <f t="shared" ca="1" si="1644"/>
        <v>0</v>
      </c>
      <c r="JD37" s="40">
        <f t="shared" ca="1" si="1644"/>
        <v>0</v>
      </c>
      <c r="JE37" s="40">
        <f t="shared" ca="1" si="1644"/>
        <v>0</v>
      </c>
      <c r="JF37" s="40">
        <f t="shared" ca="1" si="1644"/>
        <v>0</v>
      </c>
      <c r="JG37" s="40">
        <f t="shared" ca="1" si="1644"/>
        <v>0</v>
      </c>
      <c r="JH37" s="40">
        <f t="shared" ca="1" si="1644"/>
        <v>0</v>
      </c>
      <c r="JI37" s="40">
        <f t="shared" ca="1" si="1644"/>
        <v>0</v>
      </c>
      <c r="JJ37" s="40">
        <f t="shared" ca="1" si="1644"/>
        <v>0</v>
      </c>
      <c r="JK37" s="40">
        <f t="shared" ca="1" si="1644"/>
        <v>0</v>
      </c>
      <c r="JL37" s="40">
        <f t="shared" ca="1" si="1644"/>
        <v>0</v>
      </c>
      <c r="JM37" s="40">
        <f t="shared" ca="1" si="1644"/>
        <v>0</v>
      </c>
      <c r="JN37" s="40">
        <f t="shared" ca="1" si="1644"/>
        <v>0</v>
      </c>
      <c r="JO37" s="40">
        <f t="shared" ca="1" si="1644"/>
        <v>0</v>
      </c>
      <c r="JP37" s="40">
        <f t="shared" ca="1" si="1644"/>
        <v>0</v>
      </c>
      <c r="JQ37" s="40">
        <f t="shared" ca="1" si="1644"/>
        <v>0</v>
      </c>
      <c r="JR37" s="40">
        <f t="shared" ca="1" si="1644"/>
        <v>0</v>
      </c>
      <c r="JS37" s="40">
        <f t="shared" ca="1" si="1644"/>
        <v>0</v>
      </c>
      <c r="JT37" s="40">
        <f t="shared" ca="1" si="1644"/>
        <v>0</v>
      </c>
      <c r="JU37" s="40">
        <f t="shared" ca="1" si="1644"/>
        <v>0</v>
      </c>
      <c r="JV37" s="40">
        <f t="shared" ca="1" si="1644"/>
        <v>0</v>
      </c>
      <c r="JW37" s="40">
        <f t="shared" ca="1" si="1644"/>
        <v>0</v>
      </c>
      <c r="JX37" s="40">
        <f t="shared" ca="1" si="1644"/>
        <v>0</v>
      </c>
      <c r="JY37" s="40">
        <f t="shared" ca="1" si="1644"/>
        <v>0</v>
      </c>
      <c r="JZ37" s="40">
        <f t="shared" ca="1" si="1644"/>
        <v>0</v>
      </c>
      <c r="KA37" s="40">
        <f t="shared" ca="1" si="1644"/>
        <v>0</v>
      </c>
      <c r="KB37" s="40">
        <f t="shared" ca="1" si="1644"/>
        <v>0</v>
      </c>
      <c r="KC37" s="40">
        <f t="shared" ca="1" si="1644"/>
        <v>0</v>
      </c>
      <c r="KD37" s="40">
        <f t="shared" ca="1" si="1644"/>
        <v>0</v>
      </c>
      <c r="KE37" s="40">
        <f t="shared" ca="1" si="1644"/>
        <v>0</v>
      </c>
      <c r="KF37" s="40">
        <f t="shared" ca="1" si="1644"/>
        <v>0</v>
      </c>
      <c r="KG37" s="40">
        <f t="shared" ca="1" si="1644"/>
        <v>0</v>
      </c>
      <c r="KH37" s="40">
        <f t="shared" ca="1" si="1644"/>
        <v>0</v>
      </c>
      <c r="KI37" s="40">
        <f t="shared" ca="1" si="1644"/>
        <v>0</v>
      </c>
      <c r="KJ37" s="40">
        <f t="shared" ca="1" si="1644"/>
        <v>0</v>
      </c>
      <c r="KK37" s="40">
        <f t="shared" ca="1" si="1644"/>
        <v>0</v>
      </c>
      <c r="KL37" s="40">
        <f t="shared" ca="1" si="1644"/>
        <v>0</v>
      </c>
      <c r="KM37" s="40">
        <f t="shared" ca="1" si="1644"/>
        <v>0</v>
      </c>
      <c r="KN37" s="40">
        <f t="shared" ca="1" si="1644"/>
        <v>0</v>
      </c>
      <c r="KO37" s="40">
        <f t="shared" ca="1" si="1644"/>
        <v>0</v>
      </c>
      <c r="KP37" s="40">
        <f t="shared" ca="1" si="1644"/>
        <v>0</v>
      </c>
      <c r="KQ37" s="40">
        <f t="shared" ca="1" si="1644"/>
        <v>0</v>
      </c>
      <c r="KR37" s="40">
        <f t="shared" ca="1" si="1644"/>
        <v>0</v>
      </c>
      <c r="KS37" s="40">
        <f t="shared" ca="1" si="1644"/>
        <v>0</v>
      </c>
      <c r="KT37" s="40">
        <f t="shared" ca="1" si="1644"/>
        <v>0</v>
      </c>
      <c r="KU37" s="40">
        <f t="shared" ca="1" si="1644"/>
        <v>0</v>
      </c>
      <c r="KV37" s="40">
        <f t="shared" ca="1" si="1644"/>
        <v>0</v>
      </c>
      <c r="KW37" s="40">
        <f t="shared" ca="1" si="1644"/>
        <v>0</v>
      </c>
      <c r="KX37" s="40">
        <f t="shared" ca="1" si="1644"/>
        <v>0</v>
      </c>
      <c r="KY37" s="40">
        <f t="shared" ca="1" si="1644"/>
        <v>0</v>
      </c>
      <c r="KZ37" s="40">
        <f t="shared" ca="1" si="1644"/>
        <v>0</v>
      </c>
      <c r="LA37" s="40">
        <f t="shared" ref="LA37:ND37" ca="1" si="1645">IF(SUM(LA$25,LA$33,LA$41,LA$49,LA$57)&gt;0,MIN(LA33,LA33/SUM(LA$25,LA$33,LA$41,LA$49,LA$57)*ROUND(LA$23-SUM(LA$28,LA$36,LA$44,LA$52,LA$60),10)),0)</f>
        <v>0</v>
      </c>
      <c r="LB37" s="40">
        <f t="shared" ca="1" si="1645"/>
        <v>0</v>
      </c>
      <c r="LC37" s="40">
        <f t="shared" ca="1" si="1645"/>
        <v>0</v>
      </c>
      <c r="LD37" s="40">
        <f t="shared" ca="1" si="1645"/>
        <v>0</v>
      </c>
      <c r="LE37" s="40">
        <f t="shared" ca="1" si="1645"/>
        <v>0</v>
      </c>
      <c r="LF37" s="40">
        <f t="shared" ca="1" si="1645"/>
        <v>0</v>
      </c>
      <c r="LG37" s="40">
        <f t="shared" ca="1" si="1645"/>
        <v>0</v>
      </c>
      <c r="LH37" s="40">
        <f t="shared" ca="1" si="1645"/>
        <v>0</v>
      </c>
      <c r="LI37" s="40">
        <f t="shared" ca="1" si="1645"/>
        <v>0</v>
      </c>
      <c r="LJ37" s="40">
        <f t="shared" ca="1" si="1645"/>
        <v>0</v>
      </c>
      <c r="LK37" s="40">
        <f t="shared" ca="1" si="1645"/>
        <v>0</v>
      </c>
      <c r="LL37" s="40">
        <f t="shared" ca="1" si="1645"/>
        <v>0</v>
      </c>
      <c r="LM37" s="40">
        <f t="shared" ca="1" si="1645"/>
        <v>0</v>
      </c>
      <c r="LN37" s="40">
        <f t="shared" ca="1" si="1645"/>
        <v>0</v>
      </c>
      <c r="LO37" s="40">
        <f t="shared" ca="1" si="1645"/>
        <v>0</v>
      </c>
      <c r="LP37" s="40">
        <f t="shared" ca="1" si="1645"/>
        <v>0</v>
      </c>
      <c r="LQ37" s="40">
        <f t="shared" ca="1" si="1645"/>
        <v>0</v>
      </c>
      <c r="LR37" s="40">
        <f t="shared" ca="1" si="1645"/>
        <v>0</v>
      </c>
      <c r="LS37" s="40">
        <f t="shared" ca="1" si="1645"/>
        <v>0</v>
      </c>
      <c r="LT37" s="40">
        <f t="shared" ca="1" si="1645"/>
        <v>0</v>
      </c>
      <c r="LU37" s="40">
        <f t="shared" ca="1" si="1645"/>
        <v>0</v>
      </c>
      <c r="LV37" s="40">
        <f t="shared" ca="1" si="1645"/>
        <v>0</v>
      </c>
      <c r="LW37" s="40">
        <f t="shared" ca="1" si="1645"/>
        <v>0</v>
      </c>
      <c r="LX37" s="40">
        <f t="shared" ca="1" si="1645"/>
        <v>0</v>
      </c>
      <c r="LY37" s="40">
        <f t="shared" ca="1" si="1645"/>
        <v>0</v>
      </c>
      <c r="LZ37" s="40">
        <f t="shared" ca="1" si="1645"/>
        <v>0</v>
      </c>
      <c r="MA37" s="40">
        <f t="shared" ca="1" si="1645"/>
        <v>0</v>
      </c>
      <c r="MB37" s="40">
        <f t="shared" ca="1" si="1645"/>
        <v>0</v>
      </c>
      <c r="MC37" s="40">
        <f t="shared" ca="1" si="1645"/>
        <v>0</v>
      </c>
      <c r="MD37" s="40">
        <f t="shared" ca="1" si="1645"/>
        <v>0</v>
      </c>
      <c r="ME37" s="40">
        <f t="shared" ca="1" si="1645"/>
        <v>0</v>
      </c>
      <c r="MF37" s="40">
        <f t="shared" ca="1" si="1645"/>
        <v>0</v>
      </c>
      <c r="MG37" s="40">
        <f t="shared" ca="1" si="1645"/>
        <v>0</v>
      </c>
      <c r="MH37" s="40">
        <f t="shared" ca="1" si="1645"/>
        <v>0</v>
      </c>
      <c r="MI37" s="40">
        <f t="shared" ca="1" si="1645"/>
        <v>0</v>
      </c>
      <c r="MJ37" s="40">
        <f t="shared" ca="1" si="1645"/>
        <v>0</v>
      </c>
      <c r="MK37" s="40">
        <f t="shared" ca="1" si="1645"/>
        <v>0</v>
      </c>
      <c r="ML37" s="40">
        <f t="shared" ca="1" si="1645"/>
        <v>0</v>
      </c>
      <c r="MM37" s="40">
        <f t="shared" ca="1" si="1645"/>
        <v>0</v>
      </c>
      <c r="MN37" s="40">
        <f t="shared" ca="1" si="1645"/>
        <v>0</v>
      </c>
      <c r="MO37" s="40">
        <f t="shared" ca="1" si="1645"/>
        <v>0</v>
      </c>
      <c r="MP37" s="40">
        <f t="shared" ca="1" si="1645"/>
        <v>0</v>
      </c>
      <c r="MQ37" s="40">
        <f t="shared" ca="1" si="1645"/>
        <v>0</v>
      </c>
      <c r="MR37" s="40">
        <f t="shared" ca="1" si="1645"/>
        <v>0</v>
      </c>
      <c r="MS37" s="40">
        <f t="shared" ca="1" si="1645"/>
        <v>0</v>
      </c>
      <c r="MT37" s="40">
        <f t="shared" ca="1" si="1645"/>
        <v>0</v>
      </c>
      <c r="MU37" s="40">
        <f t="shared" ca="1" si="1645"/>
        <v>0</v>
      </c>
      <c r="MV37" s="40">
        <f t="shared" ca="1" si="1645"/>
        <v>0</v>
      </c>
      <c r="MW37" s="40">
        <f t="shared" ca="1" si="1645"/>
        <v>0</v>
      </c>
      <c r="MX37" s="40">
        <f t="shared" ca="1" si="1645"/>
        <v>0</v>
      </c>
      <c r="MY37" s="40">
        <f t="shared" ca="1" si="1645"/>
        <v>0</v>
      </c>
      <c r="MZ37" s="40">
        <f t="shared" ca="1" si="1645"/>
        <v>0</v>
      </c>
      <c r="NA37" s="40">
        <f t="shared" ca="1" si="1645"/>
        <v>0</v>
      </c>
      <c r="NB37" s="40">
        <f t="shared" ca="1" si="1645"/>
        <v>0</v>
      </c>
      <c r="NC37" s="40">
        <f t="shared" ca="1" si="1645"/>
        <v>0</v>
      </c>
      <c r="ND37" s="40">
        <f t="shared" ca="1" si="1645"/>
        <v>0</v>
      </c>
      <c r="NE37" s="40"/>
      <c r="NF37" s="40"/>
      <c r="NG37" s="40"/>
      <c r="NH37" s="40"/>
      <c r="NI37" s="40"/>
      <c r="NJ37" s="40"/>
      <c r="NK37" s="40"/>
      <c r="NL37" s="40"/>
      <c r="NM37" s="40"/>
      <c r="NN37" s="40"/>
      <c r="NO37" s="40"/>
      <c r="NP37" s="40"/>
      <c r="NQ37" s="40"/>
      <c r="NR37" s="40"/>
    </row>
    <row r="38" spans="2:382" x14ac:dyDescent="0.15">
      <c r="B38" s="518"/>
      <c r="C38" s="115" t="s">
        <v>165</v>
      </c>
      <c r="D38" s="52"/>
      <c r="E38" s="40"/>
      <c r="F38" s="40"/>
      <c r="G38" s="114"/>
      <c r="H38" s="40"/>
      <c r="I38" s="40">
        <f>I36+I37+G38</f>
        <v>-31938.513322499999</v>
      </c>
      <c r="J38" s="40">
        <f t="shared" ref="J38" si="1646">J36+J37+I38</f>
        <v>-63877.026644999998</v>
      </c>
      <c r="K38" s="40">
        <f t="shared" ref="K38" si="1647">K36+K37+J38</f>
        <v>-95815.539967499994</v>
      </c>
      <c r="L38" s="40">
        <f t="shared" ref="L38" si="1648">L36+L37+K38</f>
        <v>-95815.539967499994</v>
      </c>
      <c r="M38" s="40">
        <f t="shared" ref="M38" si="1649">M36+M37+L38</f>
        <v>-95815.539967499994</v>
      </c>
      <c r="N38" s="40">
        <f t="shared" ref="N38" si="1650">N36+N37+M38</f>
        <v>-95815.539967499994</v>
      </c>
      <c r="O38" s="40">
        <f t="shared" ref="O38" si="1651">O36+O37+N38</f>
        <v>-95815.539967499994</v>
      </c>
      <c r="P38" s="40">
        <f t="shared" ref="P38" si="1652">P36+P37+O38</f>
        <v>-95815.539967499994</v>
      </c>
      <c r="Q38" s="40">
        <f t="shared" ref="Q38" si="1653">Q36+Q37+P38</f>
        <v>-95815.539967499994</v>
      </c>
      <c r="R38" s="40">
        <f t="shared" ref="R38" si="1654">R36+R37+Q38</f>
        <v>-95815.539967499994</v>
      </c>
      <c r="S38" s="40">
        <f t="shared" ref="S38" si="1655">S36+S37+R38</f>
        <v>-95815.539967499994</v>
      </c>
      <c r="T38" s="40">
        <f t="shared" ref="T38" si="1656">T36+T37+S38</f>
        <v>-95815.539967499994</v>
      </c>
      <c r="U38" s="40">
        <f t="shared" ref="U38" si="1657">U36+U37+T38</f>
        <v>-95815.539967499994</v>
      </c>
      <c r="V38" s="40">
        <f t="shared" ref="V38" si="1658">V36+V37+U38</f>
        <v>-95815.539967499994</v>
      </c>
      <c r="W38" s="40">
        <f t="shared" ref="W38" si="1659">W36+W37+V38</f>
        <v>-95815.539967499994</v>
      </c>
      <c r="X38" s="40">
        <f t="shared" ref="X38" si="1660">X36+X37+W38</f>
        <v>-95815.539967499994</v>
      </c>
      <c r="Y38" s="40">
        <f t="shared" ref="Y38" si="1661">Y36+Y37+X38</f>
        <v>-95815.539967499994</v>
      </c>
      <c r="Z38" s="40">
        <f t="shared" ref="Z38" si="1662">Z36+Z37+Y38</f>
        <v>-95815.539967499994</v>
      </c>
      <c r="AA38" s="40">
        <f t="shared" ref="AA38" si="1663">AA36+AA37+Z38</f>
        <v>-95815.539967499994</v>
      </c>
      <c r="AB38" s="40">
        <f t="shared" ref="AB38" si="1664">AB36+AB37+AA38</f>
        <v>-95815.539967499994</v>
      </c>
      <c r="AC38" s="40">
        <f t="shared" ref="AC38" si="1665">AC36+AC37+AB38</f>
        <v>-95815.539967499994</v>
      </c>
      <c r="AD38" s="40">
        <f t="shared" ref="AD38" si="1666">AD36+AD37+AC38</f>
        <v>-95815.539967499994</v>
      </c>
      <c r="AE38" s="40">
        <f t="shared" ref="AE38" si="1667">AE36+AE37+AD38</f>
        <v>-95815.539967499994</v>
      </c>
      <c r="AF38" s="40">
        <f t="shared" ref="AF38" si="1668">AF36+AF37+AE38</f>
        <v>-95815.539967499994</v>
      </c>
      <c r="AG38" s="40">
        <f t="shared" ref="AG38" si="1669">AG36+AG37+AF38</f>
        <v>-95815.539967499994</v>
      </c>
      <c r="AH38" s="40">
        <f t="shared" ref="AH38" si="1670">AH36+AH37+AG38</f>
        <v>-95815.539967499994</v>
      </c>
      <c r="AI38" s="40">
        <f t="shared" ref="AI38" si="1671">AI36+AI37+AH38</f>
        <v>-95815.539967499994</v>
      </c>
      <c r="AJ38" s="40">
        <f t="shared" ref="AJ38" si="1672">AJ36+AJ37+AI38</f>
        <v>-95815.539967499994</v>
      </c>
      <c r="AK38" s="40">
        <f t="shared" ref="AK38" si="1673">AK36+AK37+AJ38</f>
        <v>-95815.539967499994</v>
      </c>
      <c r="AL38" s="40">
        <f t="shared" ref="AL38" si="1674">AL36+AL37+AK38</f>
        <v>-95815.539967499994</v>
      </c>
      <c r="AM38" s="40">
        <f t="shared" ref="AM38" si="1675">AM36+AM37+AL38</f>
        <v>-95815.539967499994</v>
      </c>
      <c r="AN38" s="40">
        <f t="shared" ref="AN38" si="1676">AN36+AN37+AM38</f>
        <v>-95815.539967499994</v>
      </c>
      <c r="AO38" s="40">
        <f t="shared" ref="AO38" si="1677">AO36+AO37+AN38</f>
        <v>-95815.539967499994</v>
      </c>
      <c r="AP38" s="40">
        <f t="shared" ref="AP38" si="1678">AP36+AP37+AO38</f>
        <v>-95815.539967499994</v>
      </c>
      <c r="AQ38" s="40">
        <f t="shared" ref="AQ38" si="1679">AQ36+AQ37+AP38</f>
        <v>-95815.539967499994</v>
      </c>
      <c r="AR38" s="40">
        <f t="shared" ref="AR38" si="1680">AR36+AR37+AQ38</f>
        <v>-95815.539967499994</v>
      </c>
      <c r="AS38" s="40">
        <f t="shared" ref="AS38" si="1681">AS36+AS37+AR38</f>
        <v>-95704.814723342162</v>
      </c>
      <c r="AT38" s="40">
        <f t="shared" ref="AT38" si="1682">AT36+AT37+AS38</f>
        <v>-95594.089479184331</v>
      </c>
      <c r="AU38" s="40">
        <f t="shared" ref="AU38" si="1683">AU36+AU37+AT38</f>
        <v>-95483.3642350265</v>
      </c>
      <c r="AV38" s="40">
        <f t="shared" ref="AV38" si="1684">AV36+AV37+AU38</f>
        <v>-95372.638990868669</v>
      </c>
      <c r="AW38" s="40">
        <f t="shared" ref="AW38" si="1685">AW36+AW37+AV38</f>
        <v>-95261.913746710838</v>
      </c>
      <c r="AX38" s="40">
        <f t="shared" ref="AX38" si="1686">AX36+AX37+AW38</f>
        <v>-95151.188502553006</v>
      </c>
      <c r="AY38" s="40">
        <f t="shared" ref="AY38" si="1687">AY36+AY37+AX38</f>
        <v>-95040.463258395175</v>
      </c>
      <c r="AZ38" s="40">
        <f t="shared" ref="AZ38" si="1688">AZ36+AZ37+AY38</f>
        <v>-94929.738014237344</v>
      </c>
      <c r="BA38" s="40">
        <f t="shared" ref="BA38" si="1689">BA36+BA37+AZ38</f>
        <v>-94819.012770079513</v>
      </c>
      <c r="BB38" s="40">
        <f t="shared" ref="BB38" si="1690">BB36+BB37+BA38</f>
        <v>-94708.287525921682</v>
      </c>
      <c r="BC38" s="40">
        <f t="shared" ref="BC38" si="1691">BC36+BC37+BB38</f>
        <v>-94597.56228176385</v>
      </c>
      <c r="BD38" s="40">
        <f t="shared" ref="BD38" si="1692">BD36+BD37+BC38</f>
        <v>-94486.837037606019</v>
      </c>
      <c r="BE38" s="40">
        <f t="shared" ref="BE38" si="1693">BE36+BE37+BD38</f>
        <v>-94093.072616168676</v>
      </c>
      <c r="BF38" s="40">
        <f t="shared" ref="BF38" si="1694">BF36+BF37+BE38</f>
        <v>-93699.308194731333</v>
      </c>
      <c r="BG38" s="40">
        <f t="shared" ref="BG38" si="1695">BG36+BG37+BF38</f>
        <v>-93305.54377329399</v>
      </c>
      <c r="BH38" s="40">
        <f t="shared" ref="BH38" si="1696">BH36+BH37+BG38</f>
        <v>-92911.779351856647</v>
      </c>
      <c r="BI38" s="40">
        <f t="shared" ref="BI38" si="1697">BI36+BI37+BH38</f>
        <v>-92518.014930419304</v>
      </c>
      <c r="BJ38" s="40">
        <f t="shared" ref="BJ38" si="1698">BJ36+BJ37+BI38</f>
        <v>-92124.250508981961</v>
      </c>
      <c r="BK38" s="40">
        <f t="shared" ref="BK38" si="1699">BK36+BK37+BJ38</f>
        <v>-91730.486087544617</v>
      </c>
      <c r="BL38" s="40">
        <f t="shared" ref="BL38" si="1700">BL36+BL37+BK38</f>
        <v>-91336.721666107274</v>
      </c>
      <c r="BM38" s="40">
        <f t="shared" ref="BM38" si="1701">BM36+BM37+BL38</f>
        <v>-90942.957244669931</v>
      </c>
      <c r="BN38" s="40">
        <f t="shared" ref="BN38" si="1702">BN36+BN37+BM38</f>
        <v>-90549.192823232588</v>
      </c>
      <c r="BO38" s="40">
        <f t="shared" ref="BO38" si="1703">BO36+BO37+BN38</f>
        <v>-90155.428401795245</v>
      </c>
      <c r="BP38" s="40">
        <f t="shared" ref="BP38" si="1704">BP36+BP37+BO38</f>
        <v>-89761.663980357902</v>
      </c>
      <c r="BQ38" s="40">
        <f t="shared" ref="BQ38" si="1705">BQ36+BQ37+BP38</f>
        <v>-89075.975935427501</v>
      </c>
      <c r="BR38" s="40">
        <f t="shared" ref="BR38" si="1706">BR36+BR37+BQ38</f>
        <v>-88390.2878904971</v>
      </c>
      <c r="BS38" s="40">
        <f t="shared" ref="BS38" si="1707">BS36+BS37+BR38</f>
        <v>-87704.5998455667</v>
      </c>
      <c r="BT38" s="40">
        <f t="shared" ref="BT38" si="1708">BT36+BT37+BS38</f>
        <v>-87018.911800636299</v>
      </c>
      <c r="BU38" s="40">
        <f t="shared" ref="BU38" si="1709">BU36+BU37+BT38</f>
        <v>-86333.223755705898</v>
      </c>
      <c r="BV38" s="40">
        <f t="shared" ref="BV38" si="1710">BV36+BV37+BU38</f>
        <v>-85647.535710775497</v>
      </c>
      <c r="BW38" s="40">
        <f t="shared" ref="BW38" si="1711">BW36+BW37+BV38</f>
        <v>-84961.847665845096</v>
      </c>
      <c r="BX38" s="40">
        <f t="shared" ref="BX38" si="1712">BX36+BX37+BW38</f>
        <v>-84276.159620914696</v>
      </c>
      <c r="BY38" s="40">
        <f t="shared" ref="BY38" si="1713">BY36+BY37+BX38</f>
        <v>-83590.471575984295</v>
      </c>
      <c r="BZ38" s="40">
        <f t="shared" ref="BZ38" si="1714">BZ36+BZ37+BY38</f>
        <v>-82904.783531053894</v>
      </c>
      <c r="CA38" s="40">
        <f t="shared" ref="CA38" si="1715">CA36+CA37+BZ38</f>
        <v>-82219.095486123493</v>
      </c>
      <c r="CB38" s="40">
        <f t="shared" ref="CB38" si="1716">CB36+CB37+CA38</f>
        <v>-81533.407441193092</v>
      </c>
      <c r="CC38" s="40">
        <f t="shared" ref="CC38" si="1717">CC36+CC37+CB38</f>
        <v>-80546.636400916716</v>
      </c>
      <c r="CD38" s="40">
        <f t="shared" ref="CD38" si="1718">CD36+CD37+CC38</f>
        <v>-79559.865360640339</v>
      </c>
      <c r="CE38" s="40">
        <f t="shared" ref="CE38" si="1719">CE36+CE37+CD38</f>
        <v>-78573.094320363962</v>
      </c>
      <c r="CF38" s="40">
        <f t="shared" ref="CF38" si="1720">CF36+CF37+CE38</f>
        <v>-77586.323280087585</v>
      </c>
      <c r="CG38" s="40">
        <f t="shared" ref="CG38" si="1721">CG36+CG37+CF38</f>
        <v>-76599.552239811208</v>
      </c>
      <c r="CH38" s="40">
        <f t="shared" ref="CH38" si="1722">CH36+CH37+CG38</f>
        <v>-75612.781199534831</v>
      </c>
      <c r="CI38" s="40">
        <f t="shared" ref="CI38" si="1723">CI36+CI37+CH38</f>
        <v>-74626.010159258454</v>
      </c>
      <c r="CJ38" s="40">
        <f t="shared" ref="CJ38" si="1724">CJ36+CJ37+CI38</f>
        <v>-73639.239118982077</v>
      </c>
      <c r="CK38" s="40">
        <f t="shared" ref="CK38" si="1725">CK36+CK37+CJ38</f>
        <v>-72652.4680787057</v>
      </c>
      <c r="CL38" s="40">
        <f t="shared" ref="CL38" si="1726">CL36+CL37+CK38</f>
        <v>-71665.697038429324</v>
      </c>
      <c r="CM38" s="40">
        <f t="shared" ref="CM38" si="1727">CM36+CM37+CL38</f>
        <v>-70678.925998152947</v>
      </c>
      <c r="CN38" s="40">
        <f t="shared" ref="CN38" si="1728">CN36+CN37+CM38</f>
        <v>-69692.15495787657</v>
      </c>
      <c r="CO38" s="40">
        <f t="shared" ref="CO38" si="1729">CO36+CO37+CN38</f>
        <v>-68394.858195976762</v>
      </c>
      <c r="CP38" s="40">
        <f t="shared" ref="CP38" si="1730">CP36+CP37+CO38</f>
        <v>-67097.561434076953</v>
      </c>
      <c r="CQ38" s="40">
        <f t="shared" ref="CQ38" si="1731">CQ36+CQ37+CP38</f>
        <v>-65800.264672177145</v>
      </c>
      <c r="CR38" s="40">
        <f t="shared" ref="CR38" si="1732">CR36+CR37+CQ38</f>
        <v>-64502.967910277344</v>
      </c>
      <c r="CS38" s="40">
        <f t="shared" ref="CS38" si="1733">CS36+CS37+CR38</f>
        <v>-63205.671148377543</v>
      </c>
      <c r="CT38" s="40">
        <f t="shared" ref="CT38" si="1734">CT36+CT37+CS38</f>
        <v>-61908.374386477743</v>
      </c>
      <c r="CU38" s="40">
        <f t="shared" ref="CU38" si="1735">CU36+CU37+CT38</f>
        <v>-60611.077624577942</v>
      </c>
      <c r="CV38" s="40">
        <f t="shared" ref="CV38" si="1736">CV36+CV37+CU38</f>
        <v>-59313.780862678141</v>
      </c>
      <c r="CW38" s="40">
        <f t="shared" ref="CW38" si="1737">CW36+CW37+CV38</f>
        <v>-58016.48410077834</v>
      </c>
      <c r="CX38" s="40">
        <f t="shared" ref="CX38" si="1738">CX36+CX37+CW38</f>
        <v>-56719.187338878539</v>
      </c>
      <c r="CY38" s="40">
        <f t="shared" ref="CY38" si="1739">CY36+CY37+CX38</f>
        <v>-55421.890576978738</v>
      </c>
      <c r="CZ38" s="40">
        <f t="shared" ref="CZ38" si="1740">CZ36+CZ37+CY38</f>
        <v>-54124.593815078937</v>
      </c>
      <c r="DA38" s="40">
        <f t="shared" ref="DA38" si="1741">DA36+DA37+CZ38</f>
        <v>-52507.036565255483</v>
      </c>
      <c r="DB38" s="40">
        <f t="shared" ref="DB38" si="1742">DB36+DB37+DA38</f>
        <v>-50889.479315432029</v>
      </c>
      <c r="DC38" s="40">
        <f t="shared" ref="DC38" si="1743">DC36+DC37+DB38</f>
        <v>-49271.922065608574</v>
      </c>
      <c r="DD38" s="40">
        <f t="shared" ref="DD38" si="1744">DD36+DD37+DC38</f>
        <v>-47654.36481578512</v>
      </c>
      <c r="DE38" s="40">
        <f t="shared" ref="DE38" si="1745">DE36+DE37+DD38</f>
        <v>-46036.807565961666</v>
      </c>
      <c r="DF38" s="40">
        <f t="shared" ref="DF38" si="1746">DF36+DF37+DE38</f>
        <v>-44419.250316138212</v>
      </c>
      <c r="DG38" s="40">
        <f t="shared" ref="DG38" si="1747">DG36+DG37+DF38</f>
        <v>-42801.693066314758</v>
      </c>
      <c r="DH38" s="40">
        <f t="shared" ref="DH38" si="1748">DH36+DH37+DG38</f>
        <v>-41184.135816491304</v>
      </c>
      <c r="DI38" s="40">
        <f t="shared" ref="DI38" si="1749">DI36+DI37+DH38</f>
        <v>-39566.578566667849</v>
      </c>
      <c r="DJ38" s="40">
        <f t="shared" ref="DJ38" si="1750">DJ36+DJ37+DI38</f>
        <v>-37949.021316844395</v>
      </c>
      <c r="DK38" s="40">
        <f t="shared" ref="DK38" si="1751">DK36+DK37+DJ38</f>
        <v>-36331.464067020941</v>
      </c>
      <c r="DL38" s="40">
        <f t="shared" ref="DL38" si="1752">DL36+DL37+DK38</f>
        <v>-34713.906817197487</v>
      </c>
      <c r="DM38" s="40">
        <f t="shared" ref="DM38" si="1753">DM36+DM37+DL38</f>
        <v>-32766.05332292437</v>
      </c>
      <c r="DN38" s="40">
        <f t="shared" ref="DN38" si="1754">DN36+DN37+DM38</f>
        <v>-30818.199828651253</v>
      </c>
      <c r="DO38" s="40">
        <f t="shared" ref="DO38" si="1755">DO36+DO37+DN38</f>
        <v>-28870.346334378137</v>
      </c>
      <c r="DP38" s="40">
        <f t="shared" ref="DP38" si="1756">DP36+DP37+DO38</f>
        <v>-26922.49284010502</v>
      </c>
      <c r="DQ38" s="40">
        <f t="shared" ref="DQ38" si="1757">DQ36+DQ37+DP38</f>
        <v>-24974.639345831903</v>
      </c>
      <c r="DR38" s="40">
        <f t="shared" ref="DR38" si="1758">DR36+DR37+DQ38</f>
        <v>-23026.785851558787</v>
      </c>
      <c r="DS38" s="40">
        <f t="shared" ref="DS38" si="1759">DS36+DS37+DR38</f>
        <v>-21078.93235728567</v>
      </c>
      <c r="DT38" s="40">
        <f t="shared" ref="DT38" si="1760">DT36+DT37+DS38</f>
        <v>-19131.078863012553</v>
      </c>
      <c r="DU38" s="40">
        <f t="shared" ref="DU38" si="1761">DU36+DU37+DT38</f>
        <v>-17183.225368739437</v>
      </c>
      <c r="DV38" s="40">
        <f t="shared" ref="DV38" si="1762">DV36+DV37+DU38</f>
        <v>-15235.37187446632</v>
      </c>
      <c r="DW38" s="40">
        <f t="shared" ref="DW38" si="1763">DW36+DW37+DV38</f>
        <v>-13287.518380193203</v>
      </c>
      <c r="DX38" s="40">
        <f t="shared" ref="DX38" si="1764">DX36+DX37+DW38</f>
        <v>-11339.664885920087</v>
      </c>
      <c r="DY38" s="40">
        <f t="shared" ref="DY38" si="1765">DY36+DY37+DX38</f>
        <v>-9051.1691776103726</v>
      </c>
      <c r="DZ38" s="40">
        <f t="shared" ref="DZ38" si="1766">DZ36+DZ37+DY38</f>
        <v>-6762.6734693006583</v>
      </c>
      <c r="EA38" s="40">
        <f t="shared" ref="EA38" si="1767">EA36+EA37+DZ38</f>
        <v>-4474.1777609909441</v>
      </c>
      <c r="EB38" s="40">
        <f t="shared" ref="EB38" si="1768">EB36+EB37+EA38</f>
        <v>-2185.6820526812298</v>
      </c>
      <c r="EC38" s="40">
        <f t="shared" ref="EC38" si="1769">EC36+EC37+EB38</f>
        <v>102.81365562848441</v>
      </c>
      <c r="ED38" s="40">
        <f t="shared" ref="ED38" si="1770">ED36+ED37+EC38</f>
        <v>2391.3093639382</v>
      </c>
      <c r="EE38" s="40">
        <f t="shared" ref="EE38" si="1771">EE36+EE37+ED38</f>
        <v>4679.8050722479147</v>
      </c>
      <c r="EF38" s="40">
        <f t="shared" ref="EF38" si="1772">EF36+EF37+EE38</f>
        <v>6968.300780557629</v>
      </c>
      <c r="EG38" s="40">
        <f t="shared" ref="EG38" si="1773">EG36+EG37+EF38</f>
        <v>9256.7964888673432</v>
      </c>
      <c r="EH38" s="40">
        <f t="shared" ref="EH38" si="1774">EH36+EH37+EG38</f>
        <v>11545.292197177057</v>
      </c>
      <c r="EI38" s="40">
        <f t="shared" ref="EI38" si="1775">EI36+EI37+EH38</f>
        <v>13833.787905486774</v>
      </c>
      <c r="EJ38" s="40">
        <f t="shared" ref="EJ38" si="1776">EJ36+EJ37+EI38</f>
        <v>16122.283613796488</v>
      </c>
      <c r="EK38" s="40">
        <f t="shared" ref="EK38" si="1777">EK36+EK37+EJ38</f>
        <v>18762.087222527949</v>
      </c>
      <c r="EL38" s="40">
        <f t="shared" ref="EL38" si="1778">EL36+EL37+EK38</f>
        <v>21401.89083125941</v>
      </c>
      <c r="EM38" s="40">
        <f t="shared" ref="EM38" si="1779">EM36+EM37+EL38</f>
        <v>24041.694439990872</v>
      </c>
      <c r="EN38" s="40">
        <f t="shared" ref="EN38" si="1780">EN36+EN37+EM38</f>
        <v>26681.498048722333</v>
      </c>
      <c r="EO38" s="40">
        <f t="shared" ref="EO38" si="1781">EO36+EO37+EN38</f>
        <v>29321.301657453794</v>
      </c>
      <c r="EP38" s="40">
        <f t="shared" ref="EP38" si="1782">EP36+EP37+EO38</f>
        <v>31961.105266185255</v>
      </c>
      <c r="EQ38" s="40">
        <f t="shared" ref="EQ38" si="1783">EQ36+EQ37+EP38</f>
        <v>34600.90887491672</v>
      </c>
      <c r="ER38" s="40">
        <f t="shared" ref="ER38" si="1784">ER36+ER37+EQ38</f>
        <v>37240.712483648182</v>
      </c>
      <c r="ES38" s="40">
        <f t="shared" ref="ES38" si="1785">ES36+ES37+ER38</f>
        <v>39880.516092379643</v>
      </c>
      <c r="ET38" s="40">
        <f t="shared" ref="ET38" si="1786">ET36+ET37+ES38</f>
        <v>42520.319701111104</v>
      </c>
      <c r="EU38" s="40">
        <f t="shared" ref="EU38" si="1787">EU36+EU37+ET38</f>
        <v>45160.123309842566</v>
      </c>
      <c r="EV38" s="40">
        <f t="shared" ref="EV38" si="1788">EV36+EV37+EU38</f>
        <v>47799.926918574027</v>
      </c>
      <c r="EW38" s="40">
        <f t="shared" ref="EW38" si="1789">EW36+EW37+EV38</f>
        <v>50802.033624070391</v>
      </c>
      <c r="EX38" s="40">
        <f t="shared" ref="EX38" si="1790">EX36+EX37+EW38</f>
        <v>53804.140329566755</v>
      </c>
      <c r="EY38" s="40">
        <f t="shared" ref="EY38" si="1791">EY36+EY37+EX38</f>
        <v>56806.247035063119</v>
      </c>
      <c r="EZ38" s="40">
        <f t="shared" ref="EZ38" si="1792">EZ36+EZ37+EY38</f>
        <v>59808.353740559483</v>
      </c>
      <c r="FA38" s="40">
        <f t="shared" ref="FA38" si="1793">FA36+FA37+EZ38</f>
        <v>62810.460446055848</v>
      </c>
      <c r="FB38" s="40">
        <f t="shared" ref="FB38" si="1794">FB36+FB37+FA38</f>
        <v>65812.567151552212</v>
      </c>
      <c r="FC38" s="40">
        <f t="shared" ref="FC38" si="1795">FC36+FC37+FB38</f>
        <v>68814.673857048576</v>
      </c>
      <c r="FD38" s="40">
        <f t="shared" ref="FD38" si="1796">FD36+FD37+FC38</f>
        <v>71816.78056254494</v>
      </c>
      <c r="FE38" s="40">
        <f t="shared" ref="FE38" si="1797">FE36+FE37+FD38</f>
        <v>74818.887268041304</v>
      </c>
      <c r="FF38" s="40">
        <f t="shared" ref="FF38" si="1798">FF36+FF37+FE38</f>
        <v>77820.993973537668</v>
      </c>
      <c r="FG38" s="40">
        <f t="shared" ref="FG38" si="1799">FG36+FG37+FF38</f>
        <v>80823.100679034033</v>
      </c>
      <c r="FH38" s="40">
        <f t="shared" ref="FH38" si="1800">FH36+FH37+FG38</f>
        <v>83825.207384530397</v>
      </c>
      <c r="FI38" s="40">
        <f t="shared" ref="FI38" si="1801">FI36+FI37+FH38</f>
        <v>87200.951984453088</v>
      </c>
      <c r="FJ38" s="40">
        <f t="shared" ref="FJ38" si="1802">FJ36+FJ37+FI38</f>
        <v>90576.696584375779</v>
      </c>
      <c r="FK38" s="40">
        <f t="shared" ref="FK38" si="1803">FK36+FK37+FJ38</f>
        <v>93952.44118429847</v>
      </c>
      <c r="FL38" s="40">
        <f t="shared" ref="FL38" si="1804">FL36+FL37+FK38</f>
        <v>97328.185784221161</v>
      </c>
      <c r="FM38" s="40">
        <f t="shared" ref="FM38" si="1805">FM36+FM37+FL38</f>
        <v>100703.93038414385</v>
      </c>
      <c r="FN38" s="40">
        <f t="shared" ref="FN38" si="1806">FN36+FN37+FM38</f>
        <v>104079.67498406654</v>
      </c>
      <c r="FO38" s="40">
        <f t="shared" ref="FO38" si="1807">FO36+FO37+FN38</f>
        <v>107455.41958398923</v>
      </c>
      <c r="FP38" s="40">
        <f t="shared" ref="FP38" si="1808">FP36+FP37+FO38</f>
        <v>110831.16418391193</v>
      </c>
      <c r="FQ38" s="40">
        <f t="shared" ref="FQ38" si="1809">FQ36+FQ37+FP38</f>
        <v>114206.90878383462</v>
      </c>
      <c r="FR38" s="40">
        <f t="shared" ref="FR38" si="1810">FR36+FR37+FQ38</f>
        <v>117582.65338375731</v>
      </c>
      <c r="FS38" s="40">
        <f t="shared" ref="FS38" si="1811">FS36+FS37+FR38</f>
        <v>120958.39798368</v>
      </c>
      <c r="FT38" s="40">
        <f t="shared" ref="FT38" si="1812">FT36+FT37+FS38</f>
        <v>124334.14258360269</v>
      </c>
      <c r="FU38" s="40">
        <f t="shared" ref="FU38" si="1813">FU36+FU37+FT38</f>
        <v>128095.20987553555</v>
      </c>
      <c r="FV38" s="40">
        <f t="shared" ref="FV38" si="1814">FV36+FV37+FU38</f>
        <v>131856.27716746842</v>
      </c>
      <c r="FW38" s="40">
        <f t="shared" ref="FW38" si="1815">FW36+FW37+FV38</f>
        <v>135617.3444594013</v>
      </c>
      <c r="FX38" s="40">
        <f t="shared" ref="FX38" si="1816">FX36+FX37+FW38</f>
        <v>139378.41175133418</v>
      </c>
      <c r="FY38" s="40">
        <f t="shared" ref="FY38" si="1817">FY36+FY37+FX38</f>
        <v>143139.47904326706</v>
      </c>
      <c r="FZ38" s="40">
        <f t="shared" ref="FZ38" si="1818">FZ36+FZ37+FY38</f>
        <v>146900.54633519994</v>
      </c>
      <c r="GA38" s="40">
        <f t="shared" ref="GA38" si="1819">GA36+GA37+FZ38</f>
        <v>150661.61362713281</v>
      </c>
      <c r="GB38" s="40">
        <f t="shared" ref="GB38" si="1820">GB36+GB37+GA38</f>
        <v>154422.68091906569</v>
      </c>
      <c r="GC38" s="40">
        <f t="shared" ref="GC38" si="1821">GC36+GC37+GB38</f>
        <v>154422.68091906569</v>
      </c>
      <c r="GD38" s="40">
        <f t="shared" ref="GD38" si="1822">GD36+GD37+GC38</f>
        <v>154422.68091906569</v>
      </c>
      <c r="GE38" s="40">
        <f t="shared" ref="GE38" si="1823">GE36+GE37+GD38</f>
        <v>154422.68091906569</v>
      </c>
      <c r="GF38" s="40">
        <f t="shared" ref="GF38" ca="1" si="1824">GF36+GF37+GE38</f>
        <v>2116534.5599999982</v>
      </c>
      <c r="GG38" s="40">
        <f t="shared" ref="GG38" ca="1" si="1825">GG36+GG37+GF38</f>
        <v>2116534.5599999982</v>
      </c>
      <c r="GH38" s="40">
        <f t="shared" ref="GH38" ca="1" si="1826">GH36+GH37+GG38</f>
        <v>2116534.5599999982</v>
      </c>
      <c r="GI38" s="40">
        <f t="shared" ref="GI38" ca="1" si="1827">GI36+GI37+GH38</f>
        <v>2116534.5599999982</v>
      </c>
      <c r="GJ38" s="40">
        <f t="shared" ref="GJ38" ca="1" si="1828">GJ36+GJ37+GI38</f>
        <v>2116534.5599999982</v>
      </c>
      <c r="GK38" s="40">
        <f t="shared" ref="GK38" ca="1" si="1829">GK36+GK37+GJ38</f>
        <v>2116534.5599999982</v>
      </c>
      <c r="GL38" s="40">
        <f t="shared" ref="GL38" ca="1" si="1830">GL36+GL37+GK38</f>
        <v>2116534.5599999982</v>
      </c>
      <c r="GM38" s="40">
        <f t="shared" ref="GM38" ca="1" si="1831">GM36+GM37+GL38</f>
        <v>2116534.5599999982</v>
      </c>
      <c r="GN38" s="40">
        <f t="shared" ref="GN38" ca="1" si="1832">GN36+GN37+GM38</f>
        <v>2116534.5599999982</v>
      </c>
      <c r="GO38" s="40">
        <f t="shared" ref="GO38" ca="1" si="1833">GO36+GO37+GN38</f>
        <v>2116534.5599999982</v>
      </c>
      <c r="GP38" s="40">
        <f t="shared" ref="GP38" ca="1" si="1834">GP36+GP37+GO38</f>
        <v>2116534.5599999982</v>
      </c>
      <c r="GQ38" s="40">
        <f t="shared" ref="GQ38" ca="1" si="1835">GQ36+GQ37+GP38</f>
        <v>2116534.5599999982</v>
      </c>
      <c r="GR38" s="40">
        <f t="shared" ref="GR38" ca="1" si="1836">GR36+GR37+GQ38</f>
        <v>2116534.5599999982</v>
      </c>
      <c r="GS38" s="40">
        <f t="shared" ref="GS38" ca="1" si="1837">GS36+GS37+GR38</f>
        <v>2116534.5599999982</v>
      </c>
      <c r="GT38" s="40">
        <f t="shared" ref="GT38" ca="1" si="1838">GT36+GT37+GS38</f>
        <v>2116534.5599999982</v>
      </c>
      <c r="GU38" s="40">
        <f t="shared" ref="GU38" ca="1" si="1839">GU36+GU37+GT38</f>
        <v>2116534.5599999982</v>
      </c>
      <c r="GV38" s="40">
        <f t="shared" ref="GV38" ca="1" si="1840">GV36+GV37+GU38</f>
        <v>2116534.5599999982</v>
      </c>
      <c r="GW38" s="40">
        <f t="shared" ref="GW38" ca="1" si="1841">GW36+GW37+GV38</f>
        <v>2116534.5599999982</v>
      </c>
      <c r="GX38" s="40">
        <f t="shared" ref="GX38" ca="1" si="1842">GX36+GX37+GW38</f>
        <v>2116534.5599999982</v>
      </c>
      <c r="GY38" s="40">
        <f t="shared" ref="GY38" ca="1" si="1843">GY36+GY37+GX38</f>
        <v>2116534.5599999982</v>
      </c>
      <c r="GZ38" s="40">
        <f t="shared" ref="GZ38" ca="1" si="1844">GZ36+GZ37+GY38</f>
        <v>2116534.5599999982</v>
      </c>
      <c r="HA38" s="40">
        <f t="shared" ref="HA38" ca="1" si="1845">HA36+HA37+GZ38</f>
        <v>2116534.5599999982</v>
      </c>
      <c r="HB38" s="40">
        <f t="shared" ref="HB38" ca="1" si="1846">HB36+HB37+HA38</f>
        <v>2116534.5599999982</v>
      </c>
      <c r="HC38" s="40">
        <f t="shared" ref="HC38" ca="1" si="1847">HC36+HC37+HB38</f>
        <v>2116534.5599999982</v>
      </c>
      <c r="HD38" s="40">
        <f t="shared" ref="HD38" ca="1" si="1848">HD36+HD37+HC38</f>
        <v>2116534.5599999982</v>
      </c>
      <c r="HE38" s="40">
        <f t="shared" ref="HE38" ca="1" si="1849">HE36+HE37+HD38</f>
        <v>2116534.5599999982</v>
      </c>
      <c r="HF38" s="40">
        <f t="shared" ref="HF38" ca="1" si="1850">HF36+HF37+HE38</f>
        <v>2116534.5599999982</v>
      </c>
      <c r="HG38" s="40">
        <f t="shared" ref="HG38" ca="1" si="1851">HG36+HG37+HF38</f>
        <v>2116534.5599999982</v>
      </c>
      <c r="HH38" s="40">
        <f t="shared" ref="HH38" ca="1" si="1852">HH36+HH37+HG38</f>
        <v>2116534.5599999982</v>
      </c>
      <c r="HI38" s="40">
        <f t="shared" ref="HI38" ca="1" si="1853">HI36+HI37+HH38</f>
        <v>2116534.5599999982</v>
      </c>
      <c r="HJ38" s="40">
        <f t="shared" ref="HJ38" ca="1" si="1854">HJ36+HJ37+HI38</f>
        <v>2116534.5599999982</v>
      </c>
      <c r="HK38" s="40">
        <f t="shared" ref="HK38" ca="1" si="1855">HK36+HK37+HJ38</f>
        <v>2116534.5599999982</v>
      </c>
      <c r="HL38" s="40">
        <f t="shared" ref="HL38" ca="1" si="1856">HL36+HL37+HK38</f>
        <v>2116534.5599999982</v>
      </c>
      <c r="HM38" s="40">
        <f t="shared" ref="HM38" ca="1" si="1857">HM36+HM37+HL38</f>
        <v>2116534.5599999982</v>
      </c>
      <c r="HN38" s="40">
        <f t="shared" ref="HN38" ca="1" si="1858">HN36+HN37+HM38</f>
        <v>2116534.5599999982</v>
      </c>
      <c r="HO38" s="40">
        <f t="shared" ref="HO38" ca="1" si="1859">HO36+HO37+HN38</f>
        <v>2116534.5599999982</v>
      </c>
      <c r="HP38" s="40">
        <f t="shared" ref="HP38" ca="1" si="1860">HP36+HP37+HO38</f>
        <v>2116534.5599999982</v>
      </c>
      <c r="HQ38" s="40">
        <f t="shared" ref="HQ38" ca="1" si="1861">HQ36+HQ37+HP38</f>
        <v>2116534.5599999982</v>
      </c>
      <c r="HR38" s="40">
        <f t="shared" ref="HR38" ca="1" si="1862">HR36+HR37+HQ38</f>
        <v>2116534.5599999982</v>
      </c>
      <c r="HS38" s="40">
        <f t="shared" ref="HS38" ca="1" si="1863">HS36+HS37+HR38</f>
        <v>2116534.5599999982</v>
      </c>
      <c r="HT38" s="40">
        <f t="shared" ref="HT38" ca="1" si="1864">HT36+HT37+HS38</f>
        <v>2116534.5599999982</v>
      </c>
      <c r="HU38" s="40">
        <f t="shared" ref="HU38" ca="1" si="1865">HU36+HU37+HT38</f>
        <v>2116534.5599999982</v>
      </c>
      <c r="HV38" s="40">
        <f t="shared" ref="HV38" ca="1" si="1866">HV36+HV37+HU38</f>
        <v>2116534.5599999982</v>
      </c>
      <c r="HW38" s="40">
        <f t="shared" ref="HW38" ca="1" si="1867">HW36+HW37+HV38</f>
        <v>2116534.5599999982</v>
      </c>
      <c r="HX38" s="40">
        <f t="shared" ref="HX38" ca="1" si="1868">HX36+HX37+HW38</f>
        <v>2116534.5599999982</v>
      </c>
      <c r="HY38" s="40">
        <f t="shared" ref="HY38" ca="1" si="1869">HY36+HY37+HX38</f>
        <v>2116534.5599999982</v>
      </c>
      <c r="HZ38" s="40">
        <f t="shared" ref="HZ38" ca="1" si="1870">HZ36+HZ37+HY38</f>
        <v>2116534.5599999982</v>
      </c>
      <c r="IA38" s="40">
        <f t="shared" ref="IA38" ca="1" si="1871">IA36+IA37+HZ38</f>
        <v>2116534.5599999982</v>
      </c>
      <c r="IB38" s="40">
        <f t="shared" ref="IB38" ca="1" si="1872">IB36+IB37+IA38</f>
        <v>2116534.5599999982</v>
      </c>
      <c r="IC38" s="40">
        <f t="shared" ref="IC38" ca="1" si="1873">IC36+IC37+IB38</f>
        <v>2116534.5599999982</v>
      </c>
      <c r="ID38" s="40">
        <f t="shared" ref="ID38" ca="1" si="1874">ID36+ID37+IC38</f>
        <v>2116534.5599999982</v>
      </c>
      <c r="IE38" s="40">
        <f t="shared" ref="IE38" ca="1" si="1875">IE36+IE37+ID38</f>
        <v>2116534.5599999982</v>
      </c>
      <c r="IF38" s="40">
        <f t="shared" ref="IF38" ca="1" si="1876">IF36+IF37+IE38</f>
        <v>2116534.5599999982</v>
      </c>
      <c r="IG38" s="40">
        <f t="shared" ref="IG38" ca="1" si="1877">IG36+IG37+IF38</f>
        <v>2116534.5599999982</v>
      </c>
      <c r="IH38" s="40">
        <f t="shared" ref="IH38" ca="1" si="1878">IH36+IH37+IG38</f>
        <v>2116534.5599999982</v>
      </c>
      <c r="II38" s="40">
        <f t="shared" ref="II38" ca="1" si="1879">II36+II37+IH38</f>
        <v>2116534.5599999982</v>
      </c>
      <c r="IJ38" s="40">
        <f t="shared" ref="IJ38" ca="1" si="1880">IJ36+IJ37+II38</f>
        <v>2116534.5599999982</v>
      </c>
      <c r="IK38" s="40">
        <f t="shared" ref="IK38" ca="1" si="1881">IK36+IK37+IJ38</f>
        <v>2116534.5599999982</v>
      </c>
      <c r="IL38" s="40">
        <f t="shared" ref="IL38" ca="1" si="1882">IL36+IL37+IK38</f>
        <v>2116534.5599999982</v>
      </c>
      <c r="IM38" s="40">
        <f t="shared" ref="IM38" ca="1" si="1883">IM36+IM37+IL38</f>
        <v>2116534.5599999982</v>
      </c>
      <c r="IN38" s="40">
        <f t="shared" ref="IN38" ca="1" si="1884">IN36+IN37+IM38</f>
        <v>2116534.5599999982</v>
      </c>
      <c r="IO38" s="40">
        <f t="shared" ref="IO38" ca="1" si="1885">IO36+IO37+IN38</f>
        <v>2116534.5599999982</v>
      </c>
      <c r="IP38" s="40">
        <f t="shared" ref="IP38" ca="1" si="1886">IP36+IP37+IO38</f>
        <v>2116534.5599999982</v>
      </c>
      <c r="IQ38" s="40">
        <f t="shared" ref="IQ38" ca="1" si="1887">IQ36+IQ37+IP38</f>
        <v>2116534.5599999982</v>
      </c>
      <c r="IR38" s="40">
        <f t="shared" ref="IR38" ca="1" si="1888">IR36+IR37+IQ38</f>
        <v>2116534.5599999982</v>
      </c>
      <c r="IS38" s="40">
        <f t="shared" ref="IS38" ca="1" si="1889">IS36+IS37+IR38</f>
        <v>2116534.5599999982</v>
      </c>
      <c r="IT38" s="40">
        <f t="shared" ref="IT38" ca="1" si="1890">IT36+IT37+IS38</f>
        <v>2116534.5599999982</v>
      </c>
      <c r="IU38" s="40">
        <f t="shared" ref="IU38" ca="1" si="1891">IU36+IU37+IT38</f>
        <v>2116534.5599999982</v>
      </c>
      <c r="IV38" s="40">
        <f t="shared" ref="IV38" ca="1" si="1892">IV36+IV37+IU38</f>
        <v>2116534.5599999982</v>
      </c>
      <c r="IW38" s="40">
        <f t="shared" ref="IW38" ca="1" si="1893">IW36+IW37+IV38</f>
        <v>2116534.5599999982</v>
      </c>
      <c r="IX38" s="40">
        <f t="shared" ref="IX38" ca="1" si="1894">IX36+IX37+IW38</f>
        <v>2116534.5599999982</v>
      </c>
      <c r="IY38" s="40">
        <f t="shared" ref="IY38" ca="1" si="1895">IY36+IY37+IX38</f>
        <v>2116534.5599999982</v>
      </c>
      <c r="IZ38" s="40">
        <f t="shared" ref="IZ38" ca="1" si="1896">IZ36+IZ37+IY38</f>
        <v>2116534.5599999982</v>
      </c>
      <c r="JA38" s="40">
        <f t="shared" ref="JA38" ca="1" si="1897">JA36+JA37+IZ38</f>
        <v>2116534.5599999982</v>
      </c>
      <c r="JB38" s="40">
        <f t="shared" ref="JB38" ca="1" si="1898">JB36+JB37+JA38</f>
        <v>2116534.5599999982</v>
      </c>
      <c r="JC38" s="40">
        <f t="shared" ref="JC38" ca="1" si="1899">JC36+JC37+JB38</f>
        <v>2116534.5599999982</v>
      </c>
      <c r="JD38" s="40">
        <f t="shared" ref="JD38" ca="1" si="1900">JD36+JD37+JC38</f>
        <v>2116534.5599999982</v>
      </c>
      <c r="JE38" s="40">
        <f t="shared" ref="JE38" ca="1" si="1901">JE36+JE37+JD38</f>
        <v>2116534.5599999982</v>
      </c>
      <c r="JF38" s="40">
        <f t="shared" ref="JF38" ca="1" si="1902">JF36+JF37+JE38</f>
        <v>2116534.5599999982</v>
      </c>
      <c r="JG38" s="40">
        <f t="shared" ref="JG38" ca="1" si="1903">JG36+JG37+JF38</f>
        <v>2116534.5599999982</v>
      </c>
      <c r="JH38" s="40">
        <f t="shared" ref="JH38" ca="1" si="1904">JH36+JH37+JG38</f>
        <v>2116534.5599999982</v>
      </c>
      <c r="JI38" s="40">
        <f t="shared" ref="JI38" ca="1" si="1905">JI36+JI37+JH38</f>
        <v>2116534.5599999982</v>
      </c>
      <c r="JJ38" s="40">
        <f t="shared" ref="JJ38" ca="1" si="1906">JJ36+JJ37+JI38</f>
        <v>2116534.5599999982</v>
      </c>
      <c r="JK38" s="40">
        <f t="shared" ref="JK38" ca="1" si="1907">JK36+JK37+JJ38</f>
        <v>2116534.5599999982</v>
      </c>
      <c r="JL38" s="40">
        <f t="shared" ref="JL38" ca="1" si="1908">JL36+JL37+JK38</f>
        <v>2116534.5599999982</v>
      </c>
      <c r="JM38" s="40">
        <f t="shared" ref="JM38" ca="1" si="1909">JM36+JM37+JL38</f>
        <v>2116534.5599999982</v>
      </c>
      <c r="JN38" s="40">
        <f t="shared" ref="JN38" ca="1" si="1910">JN36+JN37+JM38</f>
        <v>2116534.5599999982</v>
      </c>
      <c r="JO38" s="40">
        <f t="shared" ref="JO38" ca="1" si="1911">JO36+JO37+JN38</f>
        <v>2116534.5599999982</v>
      </c>
      <c r="JP38" s="40">
        <f t="shared" ref="JP38" ca="1" si="1912">JP36+JP37+JO38</f>
        <v>2116534.5599999982</v>
      </c>
      <c r="JQ38" s="40">
        <f t="shared" ref="JQ38" ca="1" si="1913">JQ36+JQ37+JP38</f>
        <v>2116534.5599999982</v>
      </c>
      <c r="JR38" s="40">
        <f t="shared" ref="JR38" ca="1" si="1914">JR36+JR37+JQ38</f>
        <v>2116534.5599999982</v>
      </c>
      <c r="JS38" s="40">
        <f t="shared" ref="JS38" ca="1" si="1915">JS36+JS37+JR38</f>
        <v>2116534.5599999982</v>
      </c>
      <c r="JT38" s="40">
        <f t="shared" ref="JT38" ca="1" si="1916">JT36+JT37+JS38</f>
        <v>2116534.5599999982</v>
      </c>
      <c r="JU38" s="40">
        <f t="shared" ref="JU38" ca="1" si="1917">JU36+JU37+JT38</f>
        <v>2116534.5599999982</v>
      </c>
      <c r="JV38" s="40">
        <f t="shared" ref="JV38" ca="1" si="1918">JV36+JV37+JU38</f>
        <v>2116534.5599999982</v>
      </c>
      <c r="JW38" s="40">
        <f t="shared" ref="JW38" ca="1" si="1919">JW36+JW37+JV38</f>
        <v>2116534.5599999982</v>
      </c>
      <c r="JX38" s="40">
        <f t="shared" ref="JX38" ca="1" si="1920">JX36+JX37+JW38</f>
        <v>2116534.5599999982</v>
      </c>
      <c r="JY38" s="40">
        <f t="shared" ref="JY38" ca="1" si="1921">JY36+JY37+JX38</f>
        <v>2116534.5599999982</v>
      </c>
      <c r="JZ38" s="40">
        <f t="shared" ref="JZ38" ca="1" si="1922">JZ36+JZ37+JY38</f>
        <v>2116534.5599999982</v>
      </c>
      <c r="KA38" s="40">
        <f t="shared" ref="KA38" ca="1" si="1923">KA36+KA37+JZ38</f>
        <v>2116534.5599999982</v>
      </c>
      <c r="KB38" s="40">
        <f t="shared" ref="KB38" ca="1" si="1924">KB36+KB37+KA38</f>
        <v>2116534.5599999982</v>
      </c>
      <c r="KC38" s="40">
        <f t="shared" ref="KC38" ca="1" si="1925">KC36+KC37+KB38</f>
        <v>2116534.5599999982</v>
      </c>
      <c r="KD38" s="40">
        <f t="shared" ref="KD38" ca="1" si="1926">KD36+KD37+KC38</f>
        <v>2116534.5599999982</v>
      </c>
      <c r="KE38" s="40">
        <f t="shared" ref="KE38" ca="1" si="1927">KE36+KE37+KD38</f>
        <v>2116534.5599999982</v>
      </c>
      <c r="KF38" s="40">
        <f t="shared" ref="KF38" ca="1" si="1928">KF36+KF37+KE38</f>
        <v>2116534.5599999982</v>
      </c>
      <c r="KG38" s="40">
        <f t="shared" ref="KG38" ca="1" si="1929">KG36+KG37+KF38</f>
        <v>2116534.5599999982</v>
      </c>
      <c r="KH38" s="40">
        <f t="shared" ref="KH38" ca="1" si="1930">KH36+KH37+KG38</f>
        <v>2116534.5599999982</v>
      </c>
      <c r="KI38" s="40">
        <f t="shared" ref="KI38" ca="1" si="1931">KI36+KI37+KH38</f>
        <v>2116534.5599999982</v>
      </c>
      <c r="KJ38" s="40">
        <f t="shared" ref="KJ38" ca="1" si="1932">KJ36+KJ37+KI38</f>
        <v>2116534.5599999982</v>
      </c>
      <c r="KK38" s="40">
        <f t="shared" ref="KK38" ca="1" si="1933">KK36+KK37+KJ38</f>
        <v>2116534.5599999982</v>
      </c>
      <c r="KL38" s="40">
        <f t="shared" ref="KL38" ca="1" si="1934">KL36+KL37+KK38</f>
        <v>2116534.5599999982</v>
      </c>
      <c r="KM38" s="40">
        <f t="shared" ref="KM38" ca="1" si="1935">KM36+KM37+KL38</f>
        <v>2116534.5599999982</v>
      </c>
      <c r="KN38" s="40">
        <f t="shared" ref="KN38" ca="1" si="1936">KN36+KN37+KM38</f>
        <v>2116534.5599999982</v>
      </c>
      <c r="KO38" s="40">
        <f t="shared" ref="KO38" ca="1" si="1937">KO36+KO37+KN38</f>
        <v>2116534.5599999982</v>
      </c>
      <c r="KP38" s="40">
        <f t="shared" ref="KP38" ca="1" si="1938">KP36+KP37+KO38</f>
        <v>2116534.5599999982</v>
      </c>
      <c r="KQ38" s="40">
        <f t="shared" ref="KQ38" ca="1" si="1939">KQ36+KQ37+KP38</f>
        <v>2116534.5599999982</v>
      </c>
      <c r="KR38" s="40">
        <f t="shared" ref="KR38" ca="1" si="1940">KR36+KR37+KQ38</f>
        <v>2116534.5599999982</v>
      </c>
      <c r="KS38" s="40">
        <f t="shared" ref="KS38" ca="1" si="1941">KS36+KS37+KR38</f>
        <v>2116534.5599999982</v>
      </c>
      <c r="KT38" s="40">
        <f t="shared" ref="KT38" ca="1" si="1942">KT36+KT37+KS38</f>
        <v>2116534.5599999982</v>
      </c>
      <c r="KU38" s="40">
        <f t="shared" ref="KU38" ca="1" si="1943">KU36+KU37+KT38</f>
        <v>2116534.5599999982</v>
      </c>
      <c r="KV38" s="40">
        <f t="shared" ref="KV38" ca="1" si="1944">KV36+KV37+KU38</f>
        <v>2116534.5599999982</v>
      </c>
      <c r="KW38" s="40">
        <f t="shared" ref="KW38" ca="1" si="1945">KW36+KW37+KV38</f>
        <v>2116534.5599999982</v>
      </c>
      <c r="KX38" s="40">
        <f t="shared" ref="KX38" ca="1" si="1946">KX36+KX37+KW38</f>
        <v>2116534.5599999982</v>
      </c>
      <c r="KY38" s="40">
        <f t="shared" ref="KY38" ca="1" si="1947">KY36+KY37+KX38</f>
        <v>2116534.5599999982</v>
      </c>
      <c r="KZ38" s="40">
        <f t="shared" ref="KZ38" ca="1" si="1948">KZ36+KZ37+KY38</f>
        <v>2116534.5599999982</v>
      </c>
      <c r="LA38" s="40">
        <f t="shared" ref="LA38" ca="1" si="1949">LA36+LA37+KZ38</f>
        <v>2116534.5599999982</v>
      </c>
      <c r="LB38" s="40">
        <f t="shared" ref="LB38" ca="1" si="1950">LB36+LB37+LA38</f>
        <v>2116534.5599999982</v>
      </c>
      <c r="LC38" s="40">
        <f t="shared" ref="LC38" ca="1" si="1951">LC36+LC37+LB38</f>
        <v>2116534.5599999982</v>
      </c>
      <c r="LD38" s="40">
        <f t="shared" ref="LD38" ca="1" si="1952">LD36+LD37+LC38</f>
        <v>2116534.5599999982</v>
      </c>
      <c r="LE38" s="40">
        <f t="shared" ref="LE38" ca="1" si="1953">LE36+LE37+LD38</f>
        <v>2116534.5599999982</v>
      </c>
      <c r="LF38" s="40">
        <f t="shared" ref="LF38" ca="1" si="1954">LF36+LF37+LE38</f>
        <v>2116534.5599999982</v>
      </c>
      <c r="LG38" s="40">
        <f t="shared" ref="LG38" ca="1" si="1955">LG36+LG37+LF38</f>
        <v>2116534.5599999982</v>
      </c>
      <c r="LH38" s="40">
        <f t="shared" ref="LH38" ca="1" si="1956">LH36+LH37+LG38</f>
        <v>2116534.5599999982</v>
      </c>
      <c r="LI38" s="40">
        <f t="shared" ref="LI38" ca="1" si="1957">LI36+LI37+LH38</f>
        <v>2116534.5599999982</v>
      </c>
      <c r="LJ38" s="40">
        <f t="shared" ref="LJ38" ca="1" si="1958">LJ36+LJ37+LI38</f>
        <v>2116534.5599999982</v>
      </c>
      <c r="LK38" s="40">
        <f t="shared" ref="LK38" ca="1" si="1959">LK36+LK37+LJ38</f>
        <v>2116534.5599999982</v>
      </c>
      <c r="LL38" s="40">
        <f t="shared" ref="LL38" ca="1" si="1960">LL36+LL37+LK38</f>
        <v>2116534.5599999982</v>
      </c>
      <c r="LM38" s="40">
        <f t="shared" ref="LM38" ca="1" si="1961">LM36+LM37+LL38</f>
        <v>2116534.5599999982</v>
      </c>
      <c r="LN38" s="40">
        <f t="shared" ref="LN38" ca="1" si="1962">LN36+LN37+LM38</f>
        <v>2116534.5599999982</v>
      </c>
      <c r="LO38" s="40">
        <f t="shared" ref="LO38" ca="1" si="1963">LO36+LO37+LN38</f>
        <v>2116534.5599999982</v>
      </c>
      <c r="LP38" s="40">
        <f t="shared" ref="LP38" ca="1" si="1964">LP36+LP37+LO38</f>
        <v>2116534.5599999982</v>
      </c>
      <c r="LQ38" s="40">
        <f t="shared" ref="LQ38" ca="1" si="1965">LQ36+LQ37+LP38</f>
        <v>2116534.5599999982</v>
      </c>
      <c r="LR38" s="40">
        <f t="shared" ref="LR38" ca="1" si="1966">LR36+LR37+LQ38</f>
        <v>2116534.5599999982</v>
      </c>
      <c r="LS38" s="40">
        <f t="shared" ref="LS38" ca="1" si="1967">LS36+LS37+LR38</f>
        <v>2116534.5599999982</v>
      </c>
      <c r="LT38" s="40">
        <f t="shared" ref="LT38" ca="1" si="1968">LT36+LT37+LS38</f>
        <v>2116534.5599999982</v>
      </c>
      <c r="LU38" s="40">
        <f t="shared" ref="LU38" ca="1" si="1969">LU36+LU37+LT38</f>
        <v>2116534.5599999982</v>
      </c>
      <c r="LV38" s="40">
        <f t="shared" ref="LV38" ca="1" si="1970">LV36+LV37+LU38</f>
        <v>2116534.5599999982</v>
      </c>
      <c r="LW38" s="40">
        <f t="shared" ref="LW38" ca="1" si="1971">LW36+LW37+LV38</f>
        <v>2116534.5599999982</v>
      </c>
      <c r="LX38" s="40">
        <f t="shared" ref="LX38" ca="1" si="1972">LX36+LX37+LW38</f>
        <v>2116534.5599999982</v>
      </c>
      <c r="LY38" s="40">
        <f t="shared" ref="LY38" ca="1" si="1973">LY36+LY37+LX38</f>
        <v>2116534.5599999982</v>
      </c>
      <c r="LZ38" s="40">
        <f t="shared" ref="LZ38" ca="1" si="1974">LZ36+LZ37+LY38</f>
        <v>2116534.5599999982</v>
      </c>
      <c r="MA38" s="40">
        <f t="shared" ref="MA38" ca="1" si="1975">MA36+MA37+LZ38</f>
        <v>2116534.5599999982</v>
      </c>
      <c r="MB38" s="40">
        <f t="shared" ref="MB38" ca="1" si="1976">MB36+MB37+MA38</f>
        <v>2116534.5599999982</v>
      </c>
      <c r="MC38" s="40">
        <f t="shared" ref="MC38" ca="1" si="1977">MC36+MC37+MB38</f>
        <v>2116534.5599999982</v>
      </c>
      <c r="MD38" s="40">
        <f t="shared" ref="MD38" ca="1" si="1978">MD36+MD37+MC38</f>
        <v>2116534.5599999982</v>
      </c>
      <c r="ME38" s="40">
        <f t="shared" ref="ME38" ca="1" si="1979">ME36+ME37+MD38</f>
        <v>2116534.5599999982</v>
      </c>
      <c r="MF38" s="40">
        <f t="shared" ref="MF38" ca="1" si="1980">MF36+MF37+ME38</f>
        <v>2116534.5599999982</v>
      </c>
      <c r="MG38" s="40">
        <f t="shared" ref="MG38" ca="1" si="1981">MG36+MG37+MF38</f>
        <v>2116534.5599999982</v>
      </c>
      <c r="MH38" s="40">
        <f t="shared" ref="MH38" ca="1" si="1982">MH36+MH37+MG38</f>
        <v>2116534.5599999982</v>
      </c>
      <c r="MI38" s="40">
        <f t="shared" ref="MI38" ca="1" si="1983">MI36+MI37+MH38</f>
        <v>2116534.5599999982</v>
      </c>
      <c r="MJ38" s="40">
        <f t="shared" ref="MJ38" ca="1" si="1984">MJ36+MJ37+MI38</f>
        <v>2116534.5599999982</v>
      </c>
      <c r="MK38" s="40">
        <f t="shared" ref="MK38" ca="1" si="1985">MK36+MK37+MJ38</f>
        <v>2116534.5599999982</v>
      </c>
      <c r="ML38" s="40">
        <f t="shared" ref="ML38" ca="1" si="1986">ML36+ML37+MK38</f>
        <v>2116534.5599999982</v>
      </c>
      <c r="MM38" s="40">
        <f t="shared" ref="MM38" ca="1" si="1987">MM36+MM37+ML38</f>
        <v>2116534.5599999982</v>
      </c>
      <c r="MN38" s="40">
        <f t="shared" ref="MN38" ca="1" si="1988">MN36+MN37+MM38</f>
        <v>2116534.5599999982</v>
      </c>
      <c r="MO38" s="40">
        <f t="shared" ref="MO38" ca="1" si="1989">MO36+MO37+MN38</f>
        <v>2116534.5599999982</v>
      </c>
      <c r="MP38" s="40">
        <f t="shared" ref="MP38" ca="1" si="1990">MP36+MP37+MO38</f>
        <v>2116534.5599999982</v>
      </c>
      <c r="MQ38" s="40">
        <f t="shared" ref="MQ38" ca="1" si="1991">MQ36+MQ37+MP38</f>
        <v>2116534.5599999982</v>
      </c>
      <c r="MR38" s="40">
        <f t="shared" ref="MR38" ca="1" si="1992">MR36+MR37+MQ38</f>
        <v>2116534.5599999982</v>
      </c>
      <c r="MS38" s="40">
        <f t="shared" ref="MS38" ca="1" si="1993">MS36+MS37+MR38</f>
        <v>2116534.5599999982</v>
      </c>
      <c r="MT38" s="40">
        <f t="shared" ref="MT38" ca="1" si="1994">MT36+MT37+MS38</f>
        <v>2116534.5599999982</v>
      </c>
      <c r="MU38" s="40">
        <f t="shared" ref="MU38" ca="1" si="1995">MU36+MU37+MT38</f>
        <v>2116534.5599999982</v>
      </c>
      <c r="MV38" s="40">
        <f t="shared" ref="MV38" ca="1" si="1996">MV36+MV37+MU38</f>
        <v>2116534.5599999982</v>
      </c>
      <c r="MW38" s="40">
        <f t="shared" ref="MW38" ca="1" si="1997">MW36+MW37+MV38</f>
        <v>2116534.5599999982</v>
      </c>
      <c r="MX38" s="40">
        <f t="shared" ref="MX38" ca="1" si="1998">MX36+MX37+MW38</f>
        <v>2116534.5599999982</v>
      </c>
      <c r="MY38" s="40">
        <f t="shared" ref="MY38" ca="1" si="1999">MY36+MY37+MX38</f>
        <v>2116534.5599999982</v>
      </c>
      <c r="MZ38" s="40">
        <f t="shared" ref="MZ38" ca="1" si="2000">MZ36+MZ37+MY38</f>
        <v>2116534.5599999982</v>
      </c>
      <c r="NA38" s="40">
        <f t="shared" ref="NA38" ca="1" si="2001">NA36+NA37+MZ38</f>
        <v>2116534.5599999982</v>
      </c>
      <c r="NB38" s="40">
        <f t="shared" ref="NB38" ca="1" si="2002">NB36+NB37+NA38</f>
        <v>2116534.5599999982</v>
      </c>
      <c r="NC38" s="40">
        <f t="shared" ref="NC38" ca="1" si="2003">NC36+NC37+NB38</f>
        <v>2116534.5599999982</v>
      </c>
      <c r="ND38" s="40">
        <f t="shared" ref="ND38" ca="1" si="2004">ND36+ND37+NC38</f>
        <v>2116534.5599999982</v>
      </c>
      <c r="NE38" s="40"/>
      <c r="NF38" s="40"/>
      <c r="NG38" s="40"/>
      <c r="NH38" s="40"/>
      <c r="NI38" s="40"/>
      <c r="NJ38" s="40"/>
      <c r="NK38" s="40"/>
      <c r="NL38" s="40"/>
      <c r="NM38" s="40"/>
      <c r="NN38" s="40"/>
      <c r="NO38" s="40"/>
      <c r="NP38" s="40"/>
      <c r="NQ38" s="40"/>
      <c r="NR38" s="40"/>
    </row>
    <row r="39" spans="2:382" x14ac:dyDescent="0.15">
      <c r="B39" s="518"/>
      <c r="C39" s="115" t="s">
        <v>166</v>
      </c>
      <c r="D39" s="116">
        <f>MAX(I39:CN39)</f>
        <v>0</v>
      </c>
      <c r="E39" s="40" t="s">
        <v>190</v>
      </c>
      <c r="F39" s="40"/>
      <c r="G39" s="114"/>
      <c r="H39" s="40"/>
      <c r="I39" s="40">
        <f>IF(AND(I$38&gt;$E$33,SUM($G$39:G$39)=0),I$20,0)</f>
        <v>0</v>
      </c>
      <c r="J39" s="40">
        <f>IF(AND(J$38&gt;$E$33,SUM($G$39:I$39)=0),J$20,0)</f>
        <v>0</v>
      </c>
      <c r="K39" s="40">
        <f>IF(AND(K$38&gt;$E$33,SUM($G$39:J$39)=0),K$20,0)</f>
        <v>0</v>
      </c>
      <c r="L39" s="40">
        <f>IF(AND(L$38&gt;$E$33,SUM($G$39:K$39)=0),L$20,0)</f>
        <v>0</v>
      </c>
      <c r="M39" s="40">
        <f>IF(AND(M$38&gt;$E$33,SUM($G$39:L$39)=0),M$20,0)</f>
        <v>0</v>
      </c>
      <c r="N39" s="40">
        <f>IF(AND(N$38&gt;$E$33,SUM($G$39:M$39)=0),N$20,0)</f>
        <v>0</v>
      </c>
      <c r="O39" s="40">
        <f>IF(AND(O$38&gt;$E$33,SUM($G$39:N$39)=0),O$20,0)</f>
        <v>0</v>
      </c>
      <c r="P39" s="40">
        <f>IF(AND(P$38&gt;$E$33,SUM($G$39:O$39)=0),P$20,0)</f>
        <v>0</v>
      </c>
      <c r="Q39" s="40">
        <f>IF(AND(Q$38&gt;$E$33,SUM($G$39:P$39)=0),Q$20,0)</f>
        <v>0</v>
      </c>
      <c r="R39" s="40">
        <f>IF(AND(R$38&gt;$E$33,SUM($G$39:Q$39)=0),R$20,0)</f>
        <v>0</v>
      </c>
      <c r="S39" s="40">
        <f>IF(AND(S$38&gt;$E$33,SUM($G$39:R$39)=0),S$20,0)</f>
        <v>0</v>
      </c>
      <c r="T39" s="40">
        <f>IF(AND(T$38&gt;$E$33,SUM($G$39:S$39)=0),T$20,0)</f>
        <v>0</v>
      </c>
      <c r="U39" s="40">
        <f>IF(AND(U$38&gt;$E$33,SUM($G$39:T$39)=0),U$20,0)</f>
        <v>0</v>
      </c>
      <c r="V39" s="40">
        <f>IF(AND(V$38&gt;$E$33,SUM($G$39:U$39)=0),V$20,0)</f>
        <v>0</v>
      </c>
      <c r="W39" s="40">
        <f>IF(AND(W$38&gt;$E$33,SUM($G$39:V$39)=0),W$20,0)</f>
        <v>0</v>
      </c>
      <c r="X39" s="40">
        <f>IF(AND(X$38&gt;$E$33,SUM($G$39:W$39)=0),X$20,0)</f>
        <v>0</v>
      </c>
      <c r="Y39" s="40">
        <f>IF(AND(Y$38&gt;$E$33,SUM($G$39:X$39)=0),Y$20,0)</f>
        <v>0</v>
      </c>
      <c r="Z39" s="40">
        <f>IF(AND(Z$38&gt;$E$33,SUM($G$39:Y$39)=0),Z$20,0)</f>
        <v>0</v>
      </c>
      <c r="AA39" s="40">
        <f>IF(AND(AA$38&gt;$E$33,SUM($G$39:Z$39)=0),AA$20,0)</f>
        <v>0</v>
      </c>
      <c r="AB39" s="40">
        <f>IF(AND(AB$38&gt;$E$33,SUM($G$39:AA$39)=0),AB$20,0)</f>
        <v>0</v>
      </c>
      <c r="AC39" s="40">
        <f>IF(AND(AC$38&gt;$E$33,SUM($G$39:AB$39)=0),AC$20,0)</f>
        <v>0</v>
      </c>
      <c r="AD39" s="40">
        <f>IF(AND(AD$38&gt;$E$33,SUM($G$39:AC$39)=0),AD$20,0)</f>
        <v>0</v>
      </c>
      <c r="AE39" s="40">
        <f>IF(AND(AE$38&gt;$E$33,SUM($G$39:AD$39)=0),AE$20,0)</f>
        <v>0</v>
      </c>
      <c r="AF39" s="40">
        <f>IF(AND(AF$38&gt;$E$33,SUM($G$39:AE$39)=0),AF$20,0)</f>
        <v>0</v>
      </c>
      <c r="AG39" s="40">
        <f>IF(AND(AG$38&gt;$E$33,SUM($G$39:AF$39)=0),AG$20,0)</f>
        <v>0</v>
      </c>
      <c r="AH39" s="40">
        <f>IF(AND(AH$38&gt;$E$33,SUM($G$39:AG$39)=0),AH$20,0)</f>
        <v>0</v>
      </c>
      <c r="AI39" s="40">
        <f>IF(AND(AI$38&gt;$E$33,SUM($G$39:AH$39)=0),AI$20,0)</f>
        <v>0</v>
      </c>
      <c r="AJ39" s="40">
        <f>IF(AND(AJ$38&gt;$E$33,SUM($G$39:AI$39)=0),AJ$20,0)</f>
        <v>0</v>
      </c>
      <c r="AK39" s="40">
        <f>IF(AND(AK$38&gt;$E$33,SUM($G$39:AJ$39)=0),AK$20,0)</f>
        <v>0</v>
      </c>
      <c r="AL39" s="40">
        <f>IF(AND(AL$38&gt;$E$33,SUM($G$39:AK$39)=0),AL$20,0)</f>
        <v>0</v>
      </c>
      <c r="AM39" s="40">
        <f>IF(AND(AM$38&gt;$E$33,SUM($G$39:AL$39)=0),AM$20,0)</f>
        <v>0</v>
      </c>
      <c r="AN39" s="40">
        <f>IF(AND(AN$38&gt;$E$33,SUM($G$39:AM$39)=0),AN$20,0)</f>
        <v>0</v>
      </c>
      <c r="AO39" s="40">
        <f>IF(AND(AO$38&gt;$E$33,SUM($G$39:AN$39)=0),AO$20,0)</f>
        <v>0</v>
      </c>
      <c r="AP39" s="40">
        <f>IF(AND(AP$38&gt;$E$33,SUM($G$39:AO$39)=0),AP$20,0)</f>
        <v>0</v>
      </c>
      <c r="AQ39" s="40">
        <f>IF(AND(AQ$38&gt;$E$33,SUM($G$39:AP$39)=0),AQ$20,0)</f>
        <v>0</v>
      </c>
      <c r="AR39" s="40">
        <f>IF(AND(AR$38&gt;$E$33,SUM($G$39:AQ$39)=0),AR$20,0)</f>
        <v>0</v>
      </c>
      <c r="AS39" s="40">
        <f>IF(AND(AS$38&gt;$E$33,SUM($G$39:AR$39)=0),AS$20,0)</f>
        <v>0</v>
      </c>
      <c r="AT39" s="40">
        <f>IF(AND(AT$38&gt;$E$33,SUM($G$39:AS$39)=0),AT$20,0)</f>
        <v>0</v>
      </c>
      <c r="AU39" s="40">
        <f>IF(AND(AU$38&gt;$E$33,SUM($G$39:AT$39)=0),AU$20,0)</f>
        <v>0</v>
      </c>
      <c r="AV39" s="40">
        <f>IF(AND(AV$38&gt;$E$33,SUM($G$39:AU$39)=0),AV$20,0)</f>
        <v>0</v>
      </c>
      <c r="AW39" s="40">
        <f>IF(AND(AW$38&gt;$E$33,SUM($G$39:AV$39)=0),AW$20,0)</f>
        <v>0</v>
      </c>
      <c r="AX39" s="40">
        <f>IF(AND(AX$38&gt;$E$33,SUM($G$39:AW$39)=0),AX$20,0)</f>
        <v>0</v>
      </c>
      <c r="AY39" s="40">
        <f>IF(AND(AY$38&gt;$E$33,SUM($G$39:AX$39)=0),AY$20,0)</f>
        <v>0</v>
      </c>
      <c r="AZ39" s="40">
        <f>IF(AND(AZ$38&gt;$E$33,SUM($G$39:AY$39)=0),AZ$20,0)</f>
        <v>0</v>
      </c>
      <c r="BA39" s="40">
        <f>IF(AND(BA$38&gt;$E$33,SUM($G$39:AZ$39)=0),BA$20,0)</f>
        <v>0</v>
      </c>
      <c r="BB39" s="40">
        <f>IF(AND(BB$38&gt;$E$33,SUM($G$39:BA$39)=0),BB$20,0)</f>
        <v>0</v>
      </c>
      <c r="BC39" s="40">
        <f>IF(AND(BC$38&gt;$E$33,SUM($G$39:BB$39)=0),BC$20,0)</f>
        <v>0</v>
      </c>
      <c r="BD39" s="40">
        <f>IF(AND(BD$38&gt;$E$33,SUM($G$39:BC$39)=0),BD$20,0)</f>
        <v>0</v>
      </c>
      <c r="BE39" s="40">
        <f>IF(AND(BE$38&gt;$E$33,SUM($G$39:BD$39)=0),BE$20,0)</f>
        <v>0</v>
      </c>
      <c r="BF39" s="40">
        <f>IF(AND(BF$38&gt;$E$33,SUM($G$39:BE$39)=0),BF$20,0)</f>
        <v>0</v>
      </c>
      <c r="BG39" s="40">
        <f>IF(AND(BG$38&gt;$E$33,SUM($G$39:BF$39)=0),BG$20,0)</f>
        <v>0</v>
      </c>
      <c r="BH39" s="40">
        <f>IF(AND(BH$38&gt;$E$33,SUM($G$39:BG$39)=0),BH$20,0)</f>
        <v>0</v>
      </c>
      <c r="BI39" s="40">
        <f>IF(AND(BI$38&gt;$E$33,SUM($G$39:BH$39)=0),BI$20,0)</f>
        <v>0</v>
      </c>
      <c r="BJ39" s="40">
        <f>IF(AND(BJ$38&gt;$E$33,SUM($G$39:BI$39)=0),BJ$20,0)</f>
        <v>0</v>
      </c>
      <c r="BK39" s="40">
        <f>IF(AND(BK$38&gt;$E$33,SUM($G$39:BJ$39)=0),BK$20,0)</f>
        <v>0</v>
      </c>
      <c r="BL39" s="40">
        <f>IF(AND(BL$38&gt;$E$33,SUM($G$39:BK$39)=0),BL$20,0)</f>
        <v>0</v>
      </c>
      <c r="BM39" s="40">
        <f>IF(AND(BM$38&gt;$E$33,SUM($G$39:BL$39)=0),BM$20,0)</f>
        <v>0</v>
      </c>
      <c r="BN39" s="40">
        <f>IF(AND(BN$38&gt;$E$33,SUM($G$39:BM$39)=0),BN$20,0)</f>
        <v>0</v>
      </c>
      <c r="BO39" s="40">
        <f>IF(AND(BO$38&gt;$E$33,SUM($G$39:BN$39)=0),BO$20,0)</f>
        <v>0</v>
      </c>
      <c r="BP39" s="40">
        <f>IF(AND(BP$38&gt;$E$33,SUM($G$39:BO$39)=0),BP$20,0)</f>
        <v>0</v>
      </c>
      <c r="BQ39" s="40">
        <f>IF(AND(BQ$38&gt;$E$33,SUM($G$39:BP$39)=0),BQ$20,0)</f>
        <v>0</v>
      </c>
      <c r="BR39" s="40">
        <f>IF(AND(BR$38&gt;$E$33,SUM($G$39:BQ$39)=0),BR$20,0)</f>
        <v>0</v>
      </c>
      <c r="BS39" s="40">
        <f>IF(AND(BS$38&gt;$E$33,SUM($G$39:BR$39)=0),BS$20,0)</f>
        <v>0</v>
      </c>
      <c r="BT39" s="40">
        <f>IF(AND(BT$38&gt;$E$33,SUM($G$39:BS$39)=0),BT$20,0)</f>
        <v>0</v>
      </c>
      <c r="BU39" s="40">
        <f>IF(AND(BU$38&gt;$E$33,SUM($G$39:BT$39)=0),BU$20,0)</f>
        <v>0</v>
      </c>
      <c r="BV39" s="40">
        <f>IF(AND(BV$38&gt;$E$33,SUM($G$39:BU$39)=0),BV$20,0)</f>
        <v>0</v>
      </c>
      <c r="BW39" s="40">
        <f>IF(AND(BW$38&gt;$E$33,SUM($G$39:BV$39)=0),BW$20,0)</f>
        <v>0</v>
      </c>
      <c r="BX39" s="40">
        <f>IF(AND(BX$38&gt;$E$33,SUM($G$39:BW$39)=0),BX$20,0)</f>
        <v>0</v>
      </c>
      <c r="BY39" s="40">
        <f>IF(AND(BY$38&gt;$E$33,SUM($G$39:BX$39)=0),BY$20,0)</f>
        <v>0</v>
      </c>
      <c r="BZ39" s="40">
        <f>IF(AND(BZ$38&gt;$E$33,SUM($G$39:BY$39)=0),BZ$20,0)</f>
        <v>0</v>
      </c>
      <c r="CA39" s="40">
        <f>IF(AND(CA$38&gt;$E$33,SUM($G$39:BZ$39)=0),CA$20,0)</f>
        <v>0</v>
      </c>
      <c r="CB39" s="40">
        <f>IF(AND(CB$38&gt;$E$33,SUM($G$39:CA$39)=0),CB$20,0)</f>
        <v>0</v>
      </c>
      <c r="CC39" s="40">
        <f>IF(AND(CC$38&gt;$E$33,SUM($G$39:CB$39)=0),CC$20,0)</f>
        <v>0</v>
      </c>
      <c r="CD39" s="40">
        <f>IF(AND(CD$38&gt;$E$33,SUM($G$39:CC$39)=0),CD$20,0)</f>
        <v>0</v>
      </c>
      <c r="CE39" s="40">
        <f>IF(AND(CE$38&gt;$E$33,SUM($G$39:CD$39)=0),CE$20,0)</f>
        <v>0</v>
      </c>
      <c r="CF39" s="40">
        <f>IF(AND(CF$38&gt;$E$33,SUM($G$39:CE$39)=0),CF$20,0)</f>
        <v>0</v>
      </c>
      <c r="CG39" s="40">
        <f>IF(AND(CG$38&gt;$E$33,SUM($G$39:CF$39)=0),CG$20,0)</f>
        <v>0</v>
      </c>
      <c r="CH39" s="40">
        <f>IF(AND(CH$38&gt;$E$33,SUM($G$39:CG$39)=0),CH$20,0)</f>
        <v>0</v>
      </c>
      <c r="CI39" s="40">
        <f>IF(AND(CI$38&gt;$E$33,SUM($G$39:CH$39)=0),CI$20,0)</f>
        <v>0</v>
      </c>
      <c r="CJ39" s="40">
        <f>IF(AND(CJ$38&gt;$E$33,SUM($G$39:CI$39)=0),CJ$20,0)</f>
        <v>0</v>
      </c>
      <c r="CK39" s="40">
        <f>IF(AND(CK$38&gt;$E$33,SUM($G$39:CJ$39)=0),CK$20,0)</f>
        <v>0</v>
      </c>
      <c r="CL39" s="40">
        <f>IF(AND(CL$38&gt;$E$33,SUM($G$39:CK$39)=0),CL$20,0)</f>
        <v>0</v>
      </c>
      <c r="CM39" s="40">
        <f>IF(AND(CM$38&gt;$E$33,SUM($G$39:CL$39)=0),CM$20,0)</f>
        <v>0</v>
      </c>
      <c r="CN39" s="40">
        <f>IF(AND(CN$38&gt;$E$33,SUM($G$39:CM$39)=0),CN$20,0)</f>
        <v>0</v>
      </c>
      <c r="CO39" s="40">
        <f>IF(AND(CO$38&gt;$E$33,SUM($G$39:CN$39)=0),CO$20,0)</f>
        <v>0</v>
      </c>
      <c r="CP39" s="40">
        <f>IF(AND(CP$38&gt;$E$33,SUM($G$39:CO$39)=0),CP$20,0)</f>
        <v>0</v>
      </c>
      <c r="CQ39" s="40">
        <f>IF(AND(CQ$38&gt;$E$33,SUM($G$39:CP$39)=0),CQ$20,0)</f>
        <v>0</v>
      </c>
      <c r="CR39" s="40">
        <f>IF(AND(CR$38&gt;$E$33,SUM($G$39:CQ$39)=0),CR$20,0)</f>
        <v>0</v>
      </c>
      <c r="CS39" s="40">
        <f>IF(AND(CS$38&gt;$E$33,SUM($G$39:CR$39)=0),CS$20,0)</f>
        <v>0</v>
      </c>
      <c r="CT39" s="40">
        <f>IF(AND(CT$38&gt;$E$33,SUM($G$39:CS$39)=0),CT$20,0)</f>
        <v>0</v>
      </c>
      <c r="CU39" s="40">
        <f>IF(AND(CU$38&gt;$E$33,SUM($G$39:CT$39)=0),CU$20,0)</f>
        <v>0</v>
      </c>
      <c r="CV39" s="40">
        <f>IF(AND(CV$38&gt;$E$33,SUM($G$39:CU$39)=0),CV$20,0)</f>
        <v>0</v>
      </c>
      <c r="CW39" s="40">
        <f>IF(AND(CW$38&gt;$E$33,SUM($G$39:CV$39)=0),CW$20,0)</f>
        <v>0</v>
      </c>
      <c r="CX39" s="40">
        <f>IF(AND(CX$38&gt;$E$33,SUM($G$39:CW$39)=0),CX$20,0)</f>
        <v>0</v>
      </c>
      <c r="CY39" s="40">
        <f>IF(AND(CY$38&gt;$E$33,SUM($G$39:CX$39)=0),CY$20,0)</f>
        <v>0</v>
      </c>
      <c r="CZ39" s="40">
        <f>IF(AND(CZ$38&gt;$E$33,SUM($G$39:CY$39)=0),CZ$20,0)</f>
        <v>0</v>
      </c>
      <c r="DA39" s="40">
        <f>IF(AND(DA$38&gt;$E$33,SUM($G$39:CZ$39)=0),DA$20,0)</f>
        <v>0</v>
      </c>
      <c r="DB39" s="40">
        <f>IF(AND(DB$38&gt;$E$33,SUM($G$39:DA$39)=0),DB$20,0)</f>
        <v>0</v>
      </c>
      <c r="DC39" s="40">
        <f>IF(AND(DC$38&gt;$E$33,SUM($G$39:DB$39)=0),DC$20,0)</f>
        <v>0</v>
      </c>
      <c r="DD39" s="40">
        <f>IF(AND(DD$38&gt;$E$33,SUM($G$39:DC$39)=0),DD$20,0)</f>
        <v>0</v>
      </c>
      <c r="DE39" s="40">
        <f>IF(AND(DE$38&gt;$E$33,SUM($G$39:DD$39)=0),DE$20,0)</f>
        <v>0</v>
      </c>
      <c r="DF39" s="40">
        <f>IF(AND(DF$38&gt;$E$33,SUM($G$39:DE$39)=0),DF$20,0)</f>
        <v>0</v>
      </c>
      <c r="DG39" s="40">
        <f>IF(AND(DG$38&gt;$E$33,SUM($G$39:DF$39)=0),DG$20,0)</f>
        <v>0</v>
      </c>
      <c r="DH39" s="40">
        <f>IF(AND(DH$38&gt;$E$33,SUM($G$39:DG$39)=0),DH$20,0)</f>
        <v>0</v>
      </c>
      <c r="DI39" s="40">
        <f>IF(AND(DI$38&gt;$E$33,SUM($G$39:DH$39)=0),DI$20,0)</f>
        <v>0</v>
      </c>
      <c r="DJ39" s="40">
        <f>IF(AND(DJ$38&gt;$E$33,SUM($G$39:DI$39)=0),DJ$20,0)</f>
        <v>0</v>
      </c>
      <c r="DK39" s="40">
        <f>IF(AND(DK$38&gt;$E$33,SUM($G$39:DJ$39)=0),DK$20,0)</f>
        <v>0</v>
      </c>
      <c r="DL39" s="40">
        <f>IF(AND(DL$38&gt;$E$33,SUM($G$39:DK$39)=0),DL$20,0)</f>
        <v>0</v>
      </c>
      <c r="DM39" s="40">
        <f>IF(AND(DM$38&gt;$E$33,SUM($G$39:DL$39)=0),DM$20,0)</f>
        <v>0</v>
      </c>
      <c r="DN39" s="40">
        <f>IF(AND(DN$38&gt;$E$33,SUM($G$39:DM$39)=0),DN$20,0)</f>
        <v>0</v>
      </c>
      <c r="DO39" s="40">
        <f>IF(AND(DO$38&gt;$E$33,SUM($G$39:DN$39)=0),DO$20,0)</f>
        <v>0</v>
      </c>
      <c r="DP39" s="40">
        <f>IF(AND(DP$38&gt;$E$33,SUM($G$39:DO$39)=0),DP$20,0)</f>
        <v>0</v>
      </c>
      <c r="DQ39" s="40">
        <f>IF(AND(DQ$38&gt;$E$33,SUM($G$39:DP$39)=0),DQ$20,0)</f>
        <v>0</v>
      </c>
      <c r="DR39" s="40">
        <f>IF(AND(DR$38&gt;$E$33,SUM($G$39:DQ$39)=0),DR$20,0)</f>
        <v>0</v>
      </c>
      <c r="DS39" s="40">
        <f>IF(AND(DS$38&gt;$E$33,SUM($G$39:DR$39)=0),DS$20,0)</f>
        <v>0</v>
      </c>
      <c r="DT39" s="40">
        <f>IF(AND(DT$38&gt;$E$33,SUM($G$39:DS$39)=0),DT$20,0)</f>
        <v>0</v>
      </c>
      <c r="DU39" s="40">
        <f>IF(AND(DU$38&gt;$E$33,SUM($G$39:DT$39)=0),DU$20,0)</f>
        <v>0</v>
      </c>
      <c r="DV39" s="40">
        <f>IF(AND(DV$38&gt;$E$33,SUM($G$39:DU$39)=0),DV$20,0)</f>
        <v>0</v>
      </c>
      <c r="DW39" s="40">
        <f>IF(AND(DW$38&gt;$E$33,SUM($G$39:DV$39)=0),DW$20,0)</f>
        <v>0</v>
      </c>
      <c r="DX39" s="40">
        <f>IF(AND(DX$38&gt;$E$33,SUM($G$39:DW$39)=0),DX$20,0)</f>
        <v>0</v>
      </c>
      <c r="DY39" s="40">
        <f>IF(AND(DY$38&gt;$E$33,SUM($G$39:DX$39)=0),DY$20,0)</f>
        <v>0</v>
      </c>
      <c r="DZ39" s="40">
        <f>IF(AND(DZ$38&gt;$E$33,SUM($G$39:DY$39)=0),DZ$20,0)</f>
        <v>0</v>
      </c>
      <c r="EA39" s="40">
        <f>IF(AND(EA$38&gt;$E$33,SUM($G$39:DZ$39)=0),EA$20,0)</f>
        <v>0</v>
      </c>
      <c r="EB39" s="40">
        <f>IF(AND(EB$38&gt;$E$33,SUM($G$39:EA$39)=0),EB$20,0)</f>
        <v>0</v>
      </c>
      <c r="EC39" s="40">
        <f>IF(AND(EC$38&gt;$E$33,SUM($G$39:EB$39)=0),EC$20,0)</f>
        <v>0</v>
      </c>
      <c r="ED39" s="40">
        <f>IF(AND(ED$38&gt;$E$33,SUM($G$39:EC$39)=0),ED$20,0)</f>
        <v>0</v>
      </c>
      <c r="EE39" s="40">
        <f>IF(AND(EE$38&gt;$E$33,SUM($G$39:ED$39)=0),EE$20,0)</f>
        <v>0</v>
      </c>
      <c r="EF39" s="40">
        <f>IF(AND(EF$38&gt;$E$33,SUM($G$39:EE$39)=0),EF$20,0)</f>
        <v>0</v>
      </c>
      <c r="EG39" s="40">
        <f>IF(AND(EG$38&gt;$E$33,SUM($G$39:EF$39)=0),EG$20,0)</f>
        <v>0</v>
      </c>
      <c r="EH39" s="40">
        <f>IF(AND(EH$38&gt;$E$33,SUM($G$39:EG$39)=0),EH$20,0)</f>
        <v>0</v>
      </c>
      <c r="EI39" s="40">
        <f>IF(AND(EI$38&gt;$E$33,SUM($G$39:EH$39)=0),EI$20,0)</f>
        <v>0</v>
      </c>
      <c r="EJ39" s="40">
        <f>IF(AND(EJ$38&gt;$E$33,SUM($G$39:EI$39)=0),EJ$20,0)</f>
        <v>0</v>
      </c>
      <c r="EK39" s="40">
        <f>IF(AND(EK$38&gt;$E$33,SUM($G$39:EJ$39)=0),EK$20,0)</f>
        <v>0</v>
      </c>
      <c r="EL39" s="40">
        <f>IF(AND(EL$38&gt;$E$33,SUM($G$39:EK$39)=0),EL$20,0)</f>
        <v>0</v>
      </c>
      <c r="EM39" s="40">
        <f>IF(AND(EM$38&gt;$E$33,SUM($G$39:EL$39)=0),EM$20,0)</f>
        <v>0</v>
      </c>
      <c r="EN39" s="40">
        <f>IF(AND(EN$38&gt;$E$33,SUM($G$39:EM$39)=0),EN$20,0)</f>
        <v>0</v>
      </c>
      <c r="EO39" s="40">
        <f>IF(AND(EO$38&gt;$E$33,SUM($G$39:EN$39)=0),EO$20,0)</f>
        <v>0</v>
      </c>
      <c r="EP39" s="40">
        <f>IF(AND(EP$38&gt;$E$33,SUM($G$39:EO$39)=0),EP$20,0)</f>
        <v>0</v>
      </c>
      <c r="EQ39" s="40">
        <f>IF(AND(EQ$38&gt;$E$33,SUM($G$39:EP$39)=0),EQ$20,0)</f>
        <v>0</v>
      </c>
      <c r="ER39" s="40">
        <f>IF(AND(ER$38&gt;$E$33,SUM($G$39:EQ$39)=0),ER$20,0)</f>
        <v>0</v>
      </c>
      <c r="ES39" s="40">
        <f>IF(AND(ES$38&gt;$E$33,SUM($G$39:ER$39)=0),ES$20,0)</f>
        <v>0</v>
      </c>
      <c r="ET39" s="40">
        <f>IF(AND(ET$38&gt;$E$33,SUM($G$39:ES$39)=0),ET$20,0)</f>
        <v>0</v>
      </c>
      <c r="EU39" s="40">
        <f>IF(AND(EU$38&gt;$E$33,SUM($G$39:ET$39)=0),EU$20,0)</f>
        <v>0</v>
      </c>
      <c r="EV39" s="40">
        <f>IF(AND(EV$38&gt;$E$33,SUM($G$39:EU$39)=0),EV$20,0)</f>
        <v>0</v>
      </c>
      <c r="EW39" s="40">
        <f>IF(AND(EW$38&gt;$E$33,SUM($G$39:EV$39)=0),EW$20,0)</f>
        <v>0</v>
      </c>
      <c r="EX39" s="40">
        <f>IF(AND(EX$38&gt;$E$33,SUM($G$39:EW$39)=0),EX$20,0)</f>
        <v>0</v>
      </c>
      <c r="EY39" s="40">
        <f>IF(AND(EY$38&gt;$E$33,SUM($G$39:EX$39)=0),EY$20,0)</f>
        <v>0</v>
      </c>
      <c r="EZ39" s="40">
        <f>IF(AND(EZ$38&gt;$E$33,SUM($G$39:EY$39)=0),EZ$20,0)</f>
        <v>0</v>
      </c>
      <c r="FA39" s="40">
        <f>IF(AND(FA$38&gt;$E$33,SUM($G$39:EZ$39)=0),FA$20,0)</f>
        <v>0</v>
      </c>
      <c r="FB39" s="40">
        <f>IF(AND(FB$38&gt;$E$33,SUM($G$39:FA$39)=0),FB$20,0)</f>
        <v>0</v>
      </c>
      <c r="FC39" s="40">
        <f>IF(AND(FC$38&gt;$E$33,SUM($G$39:FB$39)=0),FC$20,0)</f>
        <v>0</v>
      </c>
      <c r="FD39" s="40">
        <f>IF(AND(FD$38&gt;$E$33,SUM($G$39:FC$39)=0),FD$20,0)</f>
        <v>0</v>
      </c>
      <c r="FE39" s="40">
        <f>IF(AND(FE$38&gt;$E$33,SUM($G$39:FD$39)=0),FE$20,0)</f>
        <v>0</v>
      </c>
      <c r="FF39" s="40">
        <f>IF(AND(FF$38&gt;$E$33,SUM($G$39:FE$39)=0),FF$20,0)</f>
        <v>0</v>
      </c>
      <c r="FG39" s="40">
        <f>IF(AND(FG$38&gt;$E$33,SUM($G$39:FF$39)=0),FG$20,0)</f>
        <v>0</v>
      </c>
      <c r="FH39" s="40">
        <f>IF(AND(FH$38&gt;$E$33,SUM($G$39:FG$39)=0),FH$20,0)</f>
        <v>0</v>
      </c>
      <c r="FI39" s="40">
        <f>IF(AND(FI$38&gt;$E$33,SUM($G$39:FH$39)=0),FI$20,0)</f>
        <v>0</v>
      </c>
      <c r="FJ39" s="40">
        <f>IF(AND(FJ$38&gt;$E$33,SUM($G$39:FI$39)=0),FJ$20,0)</f>
        <v>0</v>
      </c>
      <c r="FK39" s="40">
        <f>IF(AND(FK$38&gt;$E$33,SUM($G$39:FJ$39)=0),FK$20,0)</f>
        <v>0</v>
      </c>
      <c r="FL39" s="40">
        <f>IF(AND(FL$38&gt;$E$33,SUM($G$39:FK$39)=0),FL$20,0)</f>
        <v>0</v>
      </c>
      <c r="FM39" s="40">
        <f>IF(AND(FM$38&gt;$E$33,SUM($G$39:FL$39)=0),FM$20,0)</f>
        <v>0</v>
      </c>
      <c r="FN39" s="40">
        <f>IF(AND(FN$38&gt;$E$33,SUM($G$39:FM$39)=0),FN$20,0)</f>
        <v>0</v>
      </c>
      <c r="FO39" s="40">
        <f>IF(AND(FO$38&gt;$E$33,SUM($G$39:FN$39)=0),FO$20,0)</f>
        <v>0</v>
      </c>
      <c r="FP39" s="40">
        <f>IF(AND(FP$38&gt;$E$33,SUM($G$39:FO$39)=0),FP$20,0)</f>
        <v>0</v>
      </c>
      <c r="FQ39" s="40">
        <f>IF(AND(FQ$38&gt;$E$33,SUM($G$39:FP$39)=0),FQ$20,0)</f>
        <v>0</v>
      </c>
      <c r="FR39" s="40">
        <f>IF(AND(FR$38&gt;$E$33,SUM($G$39:FQ$39)=0),FR$20,0)</f>
        <v>0</v>
      </c>
      <c r="FS39" s="40">
        <f>IF(AND(FS$38&gt;$E$33,SUM($G$39:FR$39)=0),FS$20,0)</f>
        <v>0</v>
      </c>
      <c r="FT39" s="40">
        <f>IF(AND(FT$38&gt;$E$33,SUM($G$39:FS$39)=0),FT$20,0)</f>
        <v>0</v>
      </c>
      <c r="FU39" s="40">
        <f>IF(AND(FU$38&gt;$E$33,SUM($G$39:FT$39)=0),FU$20,0)</f>
        <v>0</v>
      </c>
      <c r="FV39" s="40">
        <f>IF(AND(FV$38&gt;$E$33,SUM($G$39:FU$39)=0),FV$20,0)</f>
        <v>0</v>
      </c>
      <c r="FW39" s="40">
        <f>IF(AND(FW$38&gt;$E$33,SUM($G$39:FV$39)=0),FW$20,0)</f>
        <v>0</v>
      </c>
      <c r="FX39" s="40">
        <f>IF(AND(FX$38&gt;$E$33,SUM($G$39:FW$39)=0),FX$20,0)</f>
        <v>0</v>
      </c>
      <c r="FY39" s="40">
        <f>IF(AND(FY$38&gt;$E$33,SUM($G$39:FX$39)=0),FY$20,0)</f>
        <v>0</v>
      </c>
      <c r="FZ39" s="40">
        <f>IF(AND(FZ$38&gt;$E$33,SUM($G$39:FY$39)=0),FZ$20,0)</f>
        <v>0</v>
      </c>
      <c r="GA39" s="40">
        <f>IF(AND(GA$38&gt;$E$33,SUM($G$39:FZ$39)=0),GA$20,0)</f>
        <v>0</v>
      </c>
      <c r="GB39" s="40">
        <f>IF(AND(GB$38&gt;$E$33,SUM($G$39:GA$39)=0),GB$20,0)</f>
        <v>0</v>
      </c>
      <c r="GC39" s="40">
        <f>IF(AND(GC$38&gt;$E$33,SUM($G$39:GB$39)=0),GC$20,0)</f>
        <v>0</v>
      </c>
      <c r="GD39" s="40">
        <f>IF(AND(GD$38&gt;$E$33,SUM($G$39:GC$39)=0),GD$20,0)</f>
        <v>0</v>
      </c>
      <c r="GE39" s="40">
        <f>IF(AND(GE$38&gt;$E$33,SUM($G$39:GD$39)=0),GE$20,0)</f>
        <v>0</v>
      </c>
      <c r="GF39" s="40">
        <f ca="1">IF(AND(GF$38&gt;$E$33,SUM($G$39:GE$39)=0),GF$20,0)</f>
        <v>180</v>
      </c>
      <c r="GG39" s="40">
        <f ca="1">IF(AND(GG$38&gt;$E$33,SUM($G$39:GF$39)=0),GG$20,0)</f>
        <v>0</v>
      </c>
      <c r="GH39" s="40">
        <f ca="1">IF(AND(GH$38&gt;$E$33,SUM($G$39:GG$39)=0),GH$20,0)</f>
        <v>0</v>
      </c>
      <c r="GI39" s="40">
        <f ca="1">IF(AND(GI$38&gt;$E$33,SUM($G$39:GH$39)=0),GI$20,0)</f>
        <v>0</v>
      </c>
      <c r="GJ39" s="40">
        <f ca="1">IF(AND(GJ$38&gt;$E$33,SUM($G$39:GI$39)=0),GJ$20,0)</f>
        <v>0</v>
      </c>
      <c r="GK39" s="40">
        <f ca="1">IF(AND(GK$38&gt;$E$33,SUM($G$39:GJ$39)=0),GK$20,0)</f>
        <v>0</v>
      </c>
      <c r="GL39" s="40">
        <f ca="1">IF(AND(GL$38&gt;$E$33,SUM($G$39:GK$39)=0),GL$20,0)</f>
        <v>0</v>
      </c>
      <c r="GM39" s="40">
        <f ca="1">IF(AND(GM$38&gt;$E$33,SUM($G$39:GL$39)=0),GM$20,0)</f>
        <v>0</v>
      </c>
      <c r="GN39" s="40">
        <f ca="1">IF(AND(GN$38&gt;$E$33,SUM($G$39:GM$39)=0),GN$20,0)</f>
        <v>0</v>
      </c>
      <c r="GO39" s="40">
        <f ca="1">IF(AND(GO$38&gt;$E$33,SUM($G$39:GN$39)=0),GO$20,0)</f>
        <v>0</v>
      </c>
      <c r="GP39" s="40">
        <f ca="1">IF(AND(GP$38&gt;$E$33,SUM($G$39:GO$39)=0),GP$20,0)</f>
        <v>0</v>
      </c>
      <c r="GQ39" s="40">
        <f ca="1">IF(AND(GQ$38&gt;$E$33,SUM($G$39:GP$39)=0),GQ$20,0)</f>
        <v>0</v>
      </c>
      <c r="GR39" s="40">
        <f ca="1">IF(AND(GR$38&gt;$E$33,SUM($G$39:GQ$39)=0),GR$20,0)</f>
        <v>0</v>
      </c>
      <c r="GS39" s="40">
        <f ca="1">IF(AND(GS$38&gt;$E$33,SUM($G$39:GR$39)=0),GS$20,0)</f>
        <v>0</v>
      </c>
      <c r="GT39" s="40">
        <f ca="1">IF(AND(GT$38&gt;$E$33,SUM($G$39:GS$39)=0),GT$20,0)</f>
        <v>0</v>
      </c>
      <c r="GU39" s="40">
        <f ca="1">IF(AND(GU$38&gt;$E$33,SUM($G$39:GT$39)=0),GU$20,0)</f>
        <v>0</v>
      </c>
      <c r="GV39" s="40">
        <f ca="1">IF(AND(GV$38&gt;$E$33,SUM($G$39:GU$39)=0),GV$20,0)</f>
        <v>0</v>
      </c>
      <c r="GW39" s="40">
        <f ca="1">IF(AND(GW$38&gt;$E$33,SUM($G$39:GV$39)=0),GW$20,0)</f>
        <v>0</v>
      </c>
      <c r="GX39" s="40">
        <f ca="1">IF(AND(GX$38&gt;$E$33,SUM($G$39:GW$39)=0),GX$20,0)</f>
        <v>0</v>
      </c>
      <c r="GY39" s="40">
        <f ca="1">IF(AND(GY$38&gt;$E$33,SUM($G$39:GX$39)=0),GY$20,0)</f>
        <v>0</v>
      </c>
      <c r="GZ39" s="40">
        <f ca="1">IF(AND(GZ$38&gt;$E$33,SUM($G$39:GY$39)=0),GZ$20,0)</f>
        <v>0</v>
      </c>
      <c r="HA39" s="40">
        <f ca="1">IF(AND(HA$38&gt;$E$33,SUM($G$39:GZ$39)=0),HA$20,0)</f>
        <v>0</v>
      </c>
      <c r="HB39" s="40">
        <f ca="1">IF(AND(HB$38&gt;$E$33,SUM($G$39:HA$39)=0),HB$20,0)</f>
        <v>0</v>
      </c>
      <c r="HC39" s="40">
        <f ca="1">IF(AND(HC$38&gt;$E$33,SUM($G$39:HB$39)=0),HC$20,0)</f>
        <v>0</v>
      </c>
      <c r="HD39" s="40">
        <f ca="1">IF(AND(HD$38&gt;$E$33,SUM($G$39:HC$39)=0),HD$20,0)</f>
        <v>0</v>
      </c>
      <c r="HE39" s="40">
        <f ca="1">IF(AND(HE$38&gt;$E$33,SUM($G$39:HD$39)=0),HE$20,0)</f>
        <v>0</v>
      </c>
      <c r="HF39" s="40">
        <f ca="1">IF(AND(HF$38&gt;$E$33,SUM($G$39:HE$39)=0),HF$20,0)</f>
        <v>0</v>
      </c>
      <c r="HG39" s="40">
        <f ca="1">IF(AND(HG$38&gt;$E$33,SUM($G$39:HF$39)=0),HG$20,0)</f>
        <v>0</v>
      </c>
      <c r="HH39" s="40">
        <f ca="1">IF(AND(HH$38&gt;$E$33,SUM($G$39:HG$39)=0),HH$20,0)</f>
        <v>0</v>
      </c>
      <c r="HI39" s="40">
        <f ca="1">IF(AND(HI$38&gt;$E$33,SUM($G$39:HH$39)=0),HI$20,0)</f>
        <v>0</v>
      </c>
      <c r="HJ39" s="40">
        <f ca="1">IF(AND(HJ$38&gt;$E$33,SUM($G$39:HI$39)=0),HJ$20,0)</f>
        <v>0</v>
      </c>
      <c r="HK39" s="40">
        <f ca="1">IF(AND(HK$38&gt;$E$33,SUM($G$39:HJ$39)=0),HK$20,0)</f>
        <v>0</v>
      </c>
      <c r="HL39" s="40">
        <f ca="1">IF(AND(HL$38&gt;$E$33,SUM($G$39:HK$39)=0),HL$20,0)</f>
        <v>0</v>
      </c>
      <c r="HM39" s="40">
        <f ca="1">IF(AND(HM$38&gt;$E$33,SUM($G$39:HL$39)=0),HM$20,0)</f>
        <v>0</v>
      </c>
      <c r="HN39" s="40">
        <f ca="1">IF(AND(HN$38&gt;$E$33,SUM($G$39:HM$39)=0),HN$20,0)</f>
        <v>0</v>
      </c>
      <c r="HO39" s="40">
        <f ca="1">IF(AND(HO$38&gt;$E$33,SUM($G$39:HN$39)=0),HO$20,0)</f>
        <v>0</v>
      </c>
      <c r="HP39" s="40">
        <f ca="1">IF(AND(HP$38&gt;$E$33,SUM($G$39:HO$39)=0),HP$20,0)</f>
        <v>0</v>
      </c>
      <c r="HQ39" s="40">
        <f ca="1">IF(AND(HQ$38&gt;$E$33,SUM($G$39:HP$39)=0),HQ$20,0)</f>
        <v>0</v>
      </c>
      <c r="HR39" s="40">
        <f ca="1">IF(AND(HR$38&gt;$E$33,SUM($G$39:HQ$39)=0),HR$20,0)</f>
        <v>0</v>
      </c>
      <c r="HS39" s="40">
        <f ca="1">IF(AND(HS$38&gt;$E$33,SUM($G$39:HR$39)=0),HS$20,0)</f>
        <v>0</v>
      </c>
      <c r="HT39" s="40">
        <f ca="1">IF(AND(HT$38&gt;$E$33,SUM($G$39:HS$39)=0),HT$20,0)</f>
        <v>0</v>
      </c>
      <c r="HU39" s="40">
        <f ca="1">IF(AND(HU$38&gt;$E$33,SUM($G$39:HT$39)=0),HU$20,0)</f>
        <v>0</v>
      </c>
      <c r="HV39" s="40">
        <f ca="1">IF(AND(HV$38&gt;$E$33,SUM($G$39:HU$39)=0),HV$20,0)</f>
        <v>0</v>
      </c>
      <c r="HW39" s="40">
        <f ca="1">IF(AND(HW$38&gt;$E$33,SUM($G$39:HV$39)=0),HW$20,0)</f>
        <v>0</v>
      </c>
      <c r="HX39" s="40">
        <f ca="1">IF(AND(HX$38&gt;$E$33,SUM($G$39:HW$39)=0),HX$20,0)</f>
        <v>0</v>
      </c>
      <c r="HY39" s="40">
        <f ca="1">IF(AND(HY$38&gt;$E$33,SUM($G$39:HX$39)=0),HY$20,0)</f>
        <v>0</v>
      </c>
      <c r="HZ39" s="40">
        <f ca="1">IF(AND(HZ$38&gt;$E$33,SUM($G$39:HY$39)=0),HZ$20,0)</f>
        <v>0</v>
      </c>
      <c r="IA39" s="40">
        <f ca="1">IF(AND(IA$38&gt;$E$33,SUM($G$39:HZ$39)=0),IA$20,0)</f>
        <v>0</v>
      </c>
      <c r="IB39" s="40">
        <f ca="1">IF(AND(IB$38&gt;$E$33,SUM($G$39:IA$39)=0),IB$20,0)</f>
        <v>0</v>
      </c>
      <c r="IC39" s="40">
        <f ca="1">IF(AND(IC$38&gt;$E$33,SUM($G$39:IB$39)=0),IC$20,0)</f>
        <v>0</v>
      </c>
      <c r="ID39" s="40">
        <f ca="1">IF(AND(ID$38&gt;$E$33,SUM($G$39:IC$39)=0),ID$20,0)</f>
        <v>0</v>
      </c>
      <c r="IE39" s="40">
        <f ca="1">IF(AND(IE$38&gt;$E$33,SUM($G$39:ID$39)=0),IE$20,0)</f>
        <v>0</v>
      </c>
      <c r="IF39" s="40">
        <f ca="1">IF(AND(IF$38&gt;$E$33,SUM($G$39:IE$39)=0),IF$20,0)</f>
        <v>0</v>
      </c>
      <c r="IG39" s="40">
        <f ca="1">IF(AND(IG$38&gt;$E$33,SUM($G$39:IF$39)=0),IG$20,0)</f>
        <v>0</v>
      </c>
      <c r="IH39" s="40">
        <f ca="1">IF(AND(IH$38&gt;$E$33,SUM($G$39:IG$39)=0),IH$20,0)</f>
        <v>0</v>
      </c>
      <c r="II39" s="40">
        <f ca="1">IF(AND(II$38&gt;$E$33,SUM($G$39:IH$39)=0),II$20,0)</f>
        <v>0</v>
      </c>
      <c r="IJ39" s="40">
        <f ca="1">IF(AND(IJ$38&gt;$E$33,SUM($G$39:II$39)=0),IJ$20,0)</f>
        <v>0</v>
      </c>
      <c r="IK39" s="40">
        <f ca="1">IF(AND(IK$38&gt;$E$33,SUM($G$39:IJ$39)=0),IK$20,0)</f>
        <v>0</v>
      </c>
      <c r="IL39" s="40">
        <f ca="1">IF(AND(IL$38&gt;$E$33,SUM($G$39:IK$39)=0),IL$20,0)</f>
        <v>0</v>
      </c>
      <c r="IM39" s="40">
        <f ca="1">IF(AND(IM$38&gt;$E$33,SUM($G$39:IL$39)=0),IM$20,0)</f>
        <v>0</v>
      </c>
      <c r="IN39" s="40">
        <f ca="1">IF(AND(IN$38&gt;$E$33,SUM($G$39:IM$39)=0),IN$20,0)</f>
        <v>0</v>
      </c>
      <c r="IO39" s="40">
        <f ca="1">IF(AND(IO$38&gt;$E$33,SUM($G$39:IN$39)=0),IO$20,0)</f>
        <v>0</v>
      </c>
      <c r="IP39" s="40">
        <f ca="1">IF(AND(IP$38&gt;$E$33,SUM($G$39:IO$39)=0),IP$20,0)</f>
        <v>0</v>
      </c>
      <c r="IQ39" s="40">
        <f ca="1">IF(AND(IQ$38&gt;$E$33,SUM($G$39:IP$39)=0),IQ$20,0)</f>
        <v>0</v>
      </c>
      <c r="IR39" s="40">
        <f ca="1">IF(AND(IR$38&gt;$E$33,SUM($G$39:IQ$39)=0),IR$20,0)</f>
        <v>0</v>
      </c>
      <c r="IS39" s="40">
        <f ca="1">IF(AND(IS$38&gt;$E$33,SUM($G$39:IR$39)=0),IS$20,0)</f>
        <v>0</v>
      </c>
      <c r="IT39" s="40">
        <f ca="1">IF(AND(IT$38&gt;$E$33,SUM($G$39:IS$39)=0),IT$20,0)</f>
        <v>0</v>
      </c>
      <c r="IU39" s="40">
        <f ca="1">IF(AND(IU$38&gt;$E$33,SUM($G$39:IT$39)=0),IU$20,0)</f>
        <v>0</v>
      </c>
      <c r="IV39" s="40">
        <f ca="1">IF(AND(IV$38&gt;$E$33,SUM($G$39:IU$39)=0),IV$20,0)</f>
        <v>0</v>
      </c>
      <c r="IW39" s="40">
        <f ca="1">IF(AND(IW$38&gt;$E$33,SUM($G$39:IV$39)=0),IW$20,0)</f>
        <v>0</v>
      </c>
      <c r="IX39" s="40">
        <f ca="1">IF(AND(IX$38&gt;$E$33,SUM($G$39:IW$39)=0),IX$20,0)</f>
        <v>0</v>
      </c>
      <c r="IY39" s="40">
        <f ca="1">IF(AND(IY$38&gt;$E$33,SUM($G$39:IX$39)=0),IY$20,0)</f>
        <v>0</v>
      </c>
      <c r="IZ39" s="40">
        <f ca="1">IF(AND(IZ$38&gt;$E$33,SUM($G$39:IY$39)=0),IZ$20,0)</f>
        <v>0</v>
      </c>
      <c r="JA39" s="40">
        <f ca="1">IF(AND(JA$38&gt;$E$33,SUM($G$39:IZ$39)=0),JA$20,0)</f>
        <v>0</v>
      </c>
      <c r="JB39" s="40">
        <f ca="1">IF(AND(JB$38&gt;$E$33,SUM($G$39:JA$39)=0),JB$20,0)</f>
        <v>0</v>
      </c>
      <c r="JC39" s="40">
        <f ca="1">IF(AND(JC$38&gt;$E$33,SUM($G$39:JB$39)=0),JC$20,0)</f>
        <v>0</v>
      </c>
      <c r="JD39" s="40">
        <f ca="1">IF(AND(JD$38&gt;$E$33,SUM($G$39:JC$39)=0),JD$20,0)</f>
        <v>0</v>
      </c>
      <c r="JE39" s="40">
        <f ca="1">IF(AND(JE$38&gt;$E$33,SUM($G$39:JD$39)=0),JE$20,0)</f>
        <v>0</v>
      </c>
      <c r="JF39" s="40">
        <f ca="1">IF(AND(JF$38&gt;$E$33,SUM($G$39:JE$39)=0),JF$20,0)</f>
        <v>0</v>
      </c>
      <c r="JG39" s="40">
        <f ca="1">IF(AND(JG$38&gt;$E$33,SUM($G$39:JF$39)=0),JG$20,0)</f>
        <v>0</v>
      </c>
      <c r="JH39" s="40">
        <f ca="1">IF(AND(JH$38&gt;$E$33,SUM($G$39:JG$39)=0),JH$20,0)</f>
        <v>0</v>
      </c>
      <c r="JI39" s="40">
        <f ca="1">IF(AND(JI$38&gt;$E$33,SUM($G$39:JH$39)=0),JI$20,0)</f>
        <v>0</v>
      </c>
      <c r="JJ39" s="40">
        <f ca="1">IF(AND(JJ$38&gt;$E$33,SUM($G$39:JI$39)=0),JJ$20,0)</f>
        <v>0</v>
      </c>
      <c r="JK39" s="40">
        <f ca="1">IF(AND(JK$38&gt;$E$33,SUM($G$39:JJ$39)=0),JK$20,0)</f>
        <v>0</v>
      </c>
      <c r="JL39" s="40">
        <f ca="1">IF(AND(JL$38&gt;$E$33,SUM($G$39:JK$39)=0),JL$20,0)</f>
        <v>0</v>
      </c>
      <c r="JM39" s="40">
        <f ca="1">IF(AND(JM$38&gt;$E$33,SUM($G$39:JL$39)=0),JM$20,0)</f>
        <v>0</v>
      </c>
      <c r="JN39" s="40">
        <f ca="1">IF(AND(JN$38&gt;$E$33,SUM($G$39:JM$39)=0),JN$20,0)</f>
        <v>0</v>
      </c>
      <c r="JO39" s="40">
        <f ca="1">IF(AND(JO$38&gt;$E$33,SUM($G$39:JN$39)=0),JO$20,0)</f>
        <v>0</v>
      </c>
      <c r="JP39" s="40">
        <f ca="1">IF(AND(JP$38&gt;$E$33,SUM($G$39:JO$39)=0),JP$20,0)</f>
        <v>0</v>
      </c>
      <c r="JQ39" s="40">
        <f ca="1">IF(AND(JQ$38&gt;$E$33,SUM($G$39:JP$39)=0),JQ$20,0)</f>
        <v>0</v>
      </c>
      <c r="JR39" s="40">
        <f ca="1">IF(AND(JR$38&gt;$E$33,SUM($G$39:JQ$39)=0),JR$20,0)</f>
        <v>0</v>
      </c>
      <c r="JS39" s="40">
        <f ca="1">IF(AND(JS$38&gt;$E$33,SUM($G$39:JR$39)=0),JS$20,0)</f>
        <v>0</v>
      </c>
      <c r="JT39" s="40">
        <f ca="1">IF(AND(JT$38&gt;$E$33,SUM($G$39:JS$39)=0),JT$20,0)</f>
        <v>0</v>
      </c>
      <c r="JU39" s="40">
        <f ca="1">IF(AND(JU$38&gt;$E$33,SUM($G$39:JT$39)=0),JU$20,0)</f>
        <v>0</v>
      </c>
      <c r="JV39" s="40">
        <f ca="1">IF(AND(JV$38&gt;$E$33,SUM($G$39:JU$39)=0),JV$20,0)</f>
        <v>0</v>
      </c>
      <c r="JW39" s="40">
        <f ca="1">IF(AND(JW$38&gt;$E$33,SUM($G$39:JV$39)=0),JW$20,0)</f>
        <v>0</v>
      </c>
      <c r="JX39" s="40">
        <f ca="1">IF(AND(JX$38&gt;$E$33,SUM($G$39:JW$39)=0),JX$20,0)</f>
        <v>0</v>
      </c>
      <c r="JY39" s="40">
        <f ca="1">IF(AND(JY$38&gt;$E$33,SUM($G$39:JX$39)=0),JY$20,0)</f>
        <v>0</v>
      </c>
      <c r="JZ39" s="40">
        <f ca="1">IF(AND(JZ$38&gt;$E$33,SUM($G$39:JY$39)=0),JZ$20,0)</f>
        <v>0</v>
      </c>
      <c r="KA39" s="40">
        <f ca="1">IF(AND(KA$38&gt;$E$33,SUM($G$39:JZ$39)=0),KA$20,0)</f>
        <v>0</v>
      </c>
      <c r="KB39" s="40">
        <f ca="1">IF(AND(KB$38&gt;$E$33,SUM($G$39:KA$39)=0),KB$20,0)</f>
        <v>0</v>
      </c>
      <c r="KC39" s="40">
        <f ca="1">IF(AND(KC$38&gt;$E$33,SUM($G$39:KB$39)=0),KC$20,0)</f>
        <v>0</v>
      </c>
      <c r="KD39" s="40">
        <f ca="1">IF(AND(KD$38&gt;$E$33,SUM($G$39:KC$39)=0),KD$20,0)</f>
        <v>0</v>
      </c>
      <c r="KE39" s="40">
        <f ca="1">IF(AND(KE$38&gt;$E$33,SUM($G$39:KD$39)=0),KE$20,0)</f>
        <v>0</v>
      </c>
      <c r="KF39" s="40">
        <f ca="1">IF(AND(KF$38&gt;$E$33,SUM($G$39:KE$39)=0),KF$20,0)</f>
        <v>0</v>
      </c>
      <c r="KG39" s="40">
        <f ca="1">IF(AND(KG$38&gt;$E$33,SUM($G$39:KF$39)=0),KG$20,0)</f>
        <v>0</v>
      </c>
      <c r="KH39" s="40">
        <f ca="1">IF(AND(KH$38&gt;$E$33,SUM($G$39:KG$39)=0),KH$20,0)</f>
        <v>0</v>
      </c>
      <c r="KI39" s="40">
        <f ca="1">IF(AND(KI$38&gt;$E$33,SUM($G$39:KH$39)=0),KI$20,0)</f>
        <v>0</v>
      </c>
      <c r="KJ39" s="40">
        <f ca="1">IF(AND(KJ$38&gt;$E$33,SUM($G$39:KI$39)=0),KJ$20,0)</f>
        <v>0</v>
      </c>
      <c r="KK39" s="40">
        <f ca="1">IF(AND(KK$38&gt;$E$33,SUM($G$39:KJ$39)=0),KK$20,0)</f>
        <v>0</v>
      </c>
      <c r="KL39" s="40">
        <f ca="1">IF(AND(KL$38&gt;$E$33,SUM($G$39:KK$39)=0),KL$20,0)</f>
        <v>0</v>
      </c>
      <c r="KM39" s="40">
        <f ca="1">IF(AND(KM$38&gt;$E$33,SUM($G$39:KL$39)=0),KM$20,0)</f>
        <v>0</v>
      </c>
      <c r="KN39" s="40">
        <f ca="1">IF(AND(KN$38&gt;$E$33,SUM($G$39:KM$39)=0),KN$20,0)</f>
        <v>0</v>
      </c>
      <c r="KO39" s="40">
        <f ca="1">IF(AND(KO$38&gt;$E$33,SUM($G$39:KN$39)=0),KO$20,0)</f>
        <v>0</v>
      </c>
      <c r="KP39" s="40">
        <f ca="1">IF(AND(KP$38&gt;$E$33,SUM($G$39:KO$39)=0),KP$20,0)</f>
        <v>0</v>
      </c>
      <c r="KQ39" s="40">
        <f ca="1">IF(AND(KQ$38&gt;$E$33,SUM($G$39:KP$39)=0),KQ$20,0)</f>
        <v>0</v>
      </c>
      <c r="KR39" s="40">
        <f ca="1">IF(AND(KR$38&gt;$E$33,SUM($G$39:KQ$39)=0),KR$20,0)</f>
        <v>0</v>
      </c>
      <c r="KS39" s="40">
        <f ca="1">IF(AND(KS$38&gt;$E$33,SUM($G$39:KR$39)=0),KS$20,0)</f>
        <v>0</v>
      </c>
      <c r="KT39" s="40">
        <f ca="1">IF(AND(KT$38&gt;$E$33,SUM($G$39:KS$39)=0),KT$20,0)</f>
        <v>0</v>
      </c>
      <c r="KU39" s="40">
        <f ca="1">IF(AND(KU$38&gt;$E$33,SUM($G$39:KT$39)=0),KU$20,0)</f>
        <v>0</v>
      </c>
      <c r="KV39" s="40">
        <f ca="1">IF(AND(KV$38&gt;$E$33,SUM($G$39:KU$39)=0),KV$20,0)</f>
        <v>0</v>
      </c>
      <c r="KW39" s="40">
        <f ca="1">IF(AND(KW$38&gt;$E$33,SUM($G$39:KV$39)=0),KW$20,0)</f>
        <v>0</v>
      </c>
      <c r="KX39" s="40">
        <f ca="1">IF(AND(KX$38&gt;$E$33,SUM($G$39:KW$39)=0),KX$20,0)</f>
        <v>0</v>
      </c>
      <c r="KY39" s="40">
        <f ca="1">IF(AND(KY$38&gt;$E$33,SUM($G$39:KX$39)=0),KY$20,0)</f>
        <v>0</v>
      </c>
      <c r="KZ39" s="40">
        <f ca="1">IF(AND(KZ$38&gt;$E$33,SUM($G$39:KY$39)=0),KZ$20,0)</f>
        <v>0</v>
      </c>
      <c r="LA39" s="40">
        <f ca="1">IF(AND(LA$38&gt;$E$33,SUM($G$39:KZ$39)=0),LA$20,0)</f>
        <v>0</v>
      </c>
      <c r="LB39" s="40">
        <f ca="1">IF(AND(LB$38&gt;$E$33,SUM($G$39:LA$39)=0),LB$20,0)</f>
        <v>0</v>
      </c>
      <c r="LC39" s="40">
        <f ca="1">IF(AND(LC$38&gt;$E$33,SUM($G$39:LB$39)=0),LC$20,0)</f>
        <v>0</v>
      </c>
      <c r="LD39" s="40">
        <f ca="1">IF(AND(LD$38&gt;$E$33,SUM($G$39:LC$39)=0),LD$20,0)</f>
        <v>0</v>
      </c>
      <c r="LE39" s="40">
        <f ca="1">IF(AND(LE$38&gt;$E$33,SUM($G$39:LD$39)=0),LE$20,0)</f>
        <v>0</v>
      </c>
      <c r="LF39" s="40">
        <f ca="1">IF(AND(LF$38&gt;$E$33,SUM($G$39:LE$39)=0),LF$20,0)</f>
        <v>0</v>
      </c>
      <c r="LG39" s="40">
        <f ca="1">IF(AND(LG$38&gt;$E$33,SUM($G$39:LF$39)=0),LG$20,0)</f>
        <v>0</v>
      </c>
      <c r="LH39" s="40">
        <f ca="1">IF(AND(LH$38&gt;$E$33,SUM($G$39:LG$39)=0),LH$20,0)</f>
        <v>0</v>
      </c>
      <c r="LI39" s="40">
        <f ca="1">IF(AND(LI$38&gt;$E$33,SUM($G$39:LH$39)=0),LI$20,0)</f>
        <v>0</v>
      </c>
      <c r="LJ39" s="40">
        <f ca="1">IF(AND(LJ$38&gt;$E$33,SUM($G$39:LI$39)=0),LJ$20,0)</f>
        <v>0</v>
      </c>
      <c r="LK39" s="40">
        <f ca="1">IF(AND(LK$38&gt;$E$33,SUM($G$39:LJ$39)=0),LK$20,0)</f>
        <v>0</v>
      </c>
      <c r="LL39" s="40">
        <f ca="1">IF(AND(LL$38&gt;$E$33,SUM($G$39:LK$39)=0),LL$20,0)</f>
        <v>0</v>
      </c>
      <c r="LM39" s="40">
        <f ca="1">IF(AND(LM$38&gt;$E$33,SUM($G$39:LL$39)=0),LM$20,0)</f>
        <v>0</v>
      </c>
      <c r="LN39" s="40">
        <f ca="1">IF(AND(LN$38&gt;$E$33,SUM($G$39:LM$39)=0),LN$20,0)</f>
        <v>0</v>
      </c>
      <c r="LO39" s="40">
        <f ca="1">IF(AND(LO$38&gt;$E$33,SUM($G$39:LN$39)=0),LO$20,0)</f>
        <v>0</v>
      </c>
      <c r="LP39" s="40">
        <f ca="1">IF(AND(LP$38&gt;$E$33,SUM($G$39:LO$39)=0),LP$20,0)</f>
        <v>0</v>
      </c>
      <c r="LQ39" s="40">
        <f ca="1">IF(AND(LQ$38&gt;$E$33,SUM($G$39:LP$39)=0),LQ$20,0)</f>
        <v>0</v>
      </c>
      <c r="LR39" s="40">
        <f ca="1">IF(AND(LR$38&gt;$E$33,SUM($G$39:LQ$39)=0),LR$20,0)</f>
        <v>0</v>
      </c>
      <c r="LS39" s="40">
        <f ca="1">IF(AND(LS$38&gt;$E$33,SUM($G$39:LR$39)=0),LS$20,0)</f>
        <v>0</v>
      </c>
      <c r="LT39" s="40">
        <f ca="1">IF(AND(LT$38&gt;$E$33,SUM($G$39:LS$39)=0),LT$20,0)</f>
        <v>0</v>
      </c>
      <c r="LU39" s="40">
        <f ca="1">IF(AND(LU$38&gt;$E$33,SUM($G$39:LT$39)=0),LU$20,0)</f>
        <v>0</v>
      </c>
      <c r="LV39" s="40">
        <f ca="1">IF(AND(LV$38&gt;$E$33,SUM($G$39:LU$39)=0),LV$20,0)</f>
        <v>0</v>
      </c>
      <c r="LW39" s="40">
        <f ca="1">IF(AND(LW$38&gt;$E$33,SUM($G$39:LV$39)=0),LW$20,0)</f>
        <v>0</v>
      </c>
      <c r="LX39" s="40">
        <f ca="1">IF(AND(LX$38&gt;$E$33,SUM($G$39:LW$39)=0),LX$20,0)</f>
        <v>0</v>
      </c>
      <c r="LY39" s="40">
        <f ca="1">IF(AND(LY$38&gt;$E$33,SUM($G$39:LX$39)=0),LY$20,0)</f>
        <v>0</v>
      </c>
      <c r="LZ39" s="40">
        <f ca="1">IF(AND(LZ$38&gt;$E$33,SUM($G$39:LY$39)=0),LZ$20,0)</f>
        <v>0</v>
      </c>
      <c r="MA39" s="40">
        <f ca="1">IF(AND(MA$38&gt;$E$33,SUM($G$39:LZ$39)=0),MA$20,0)</f>
        <v>0</v>
      </c>
      <c r="MB39" s="40">
        <f ca="1">IF(AND(MB$38&gt;$E$33,SUM($G$39:MA$39)=0),MB$20,0)</f>
        <v>0</v>
      </c>
      <c r="MC39" s="40">
        <f ca="1">IF(AND(MC$38&gt;$E$33,SUM($G$39:MB$39)=0),MC$20,0)</f>
        <v>0</v>
      </c>
      <c r="MD39" s="40">
        <f ca="1">IF(AND(MD$38&gt;$E$33,SUM($G$39:MC$39)=0),MD$20,0)</f>
        <v>0</v>
      </c>
      <c r="ME39" s="40">
        <f ca="1">IF(AND(ME$38&gt;$E$33,SUM($G$39:MD$39)=0),ME$20,0)</f>
        <v>0</v>
      </c>
      <c r="MF39" s="40">
        <f ca="1">IF(AND(MF$38&gt;$E$33,SUM($G$39:ME$39)=0),MF$20,0)</f>
        <v>0</v>
      </c>
      <c r="MG39" s="40">
        <f ca="1">IF(AND(MG$38&gt;$E$33,SUM($G$39:MF$39)=0),MG$20,0)</f>
        <v>0</v>
      </c>
      <c r="MH39" s="40">
        <f ca="1">IF(AND(MH$38&gt;$E$33,SUM($G$39:MG$39)=0),MH$20,0)</f>
        <v>0</v>
      </c>
      <c r="MI39" s="40">
        <f ca="1">IF(AND(MI$38&gt;$E$33,SUM($G$39:MH$39)=0),MI$20,0)</f>
        <v>0</v>
      </c>
      <c r="MJ39" s="40">
        <f ca="1">IF(AND(MJ$38&gt;$E$33,SUM($G$39:MI$39)=0),MJ$20,0)</f>
        <v>0</v>
      </c>
      <c r="MK39" s="40">
        <f ca="1">IF(AND(MK$38&gt;$E$33,SUM($G$39:MJ$39)=0),MK$20,0)</f>
        <v>0</v>
      </c>
      <c r="ML39" s="40">
        <f ca="1">IF(AND(ML$38&gt;$E$33,SUM($G$39:MK$39)=0),ML$20,0)</f>
        <v>0</v>
      </c>
      <c r="MM39" s="40">
        <f ca="1">IF(AND(MM$38&gt;$E$33,SUM($G$39:ML$39)=0),MM$20,0)</f>
        <v>0</v>
      </c>
      <c r="MN39" s="40">
        <f ca="1">IF(AND(MN$38&gt;$E$33,SUM($G$39:MM$39)=0),MN$20,0)</f>
        <v>0</v>
      </c>
      <c r="MO39" s="40">
        <f ca="1">IF(AND(MO$38&gt;$E$33,SUM($G$39:MN$39)=0),MO$20,0)</f>
        <v>0</v>
      </c>
      <c r="MP39" s="40">
        <f ca="1">IF(AND(MP$38&gt;$E$33,SUM($G$39:MO$39)=0),MP$20,0)</f>
        <v>0</v>
      </c>
      <c r="MQ39" s="40">
        <f ca="1">IF(AND(MQ$38&gt;$E$33,SUM($G$39:MP$39)=0),MQ$20,0)</f>
        <v>0</v>
      </c>
      <c r="MR39" s="40">
        <f ca="1">IF(AND(MR$38&gt;$E$33,SUM($G$39:MQ$39)=0),MR$20,0)</f>
        <v>0</v>
      </c>
      <c r="MS39" s="40">
        <f ca="1">IF(AND(MS$38&gt;$E$33,SUM($G$39:MR$39)=0),MS$20,0)</f>
        <v>0</v>
      </c>
      <c r="MT39" s="40">
        <f ca="1">IF(AND(MT$38&gt;$E$33,SUM($G$39:MS$39)=0),MT$20,0)</f>
        <v>0</v>
      </c>
      <c r="MU39" s="40">
        <f ca="1">IF(AND(MU$38&gt;$E$33,SUM($G$39:MT$39)=0),MU$20,0)</f>
        <v>0</v>
      </c>
      <c r="MV39" s="40">
        <f ca="1">IF(AND(MV$38&gt;$E$33,SUM($G$39:MU$39)=0),MV$20,0)</f>
        <v>0</v>
      </c>
      <c r="MW39" s="40">
        <f ca="1">IF(AND(MW$38&gt;$E$33,SUM($G$39:MV$39)=0),MW$20,0)</f>
        <v>0</v>
      </c>
      <c r="MX39" s="40">
        <f ca="1">IF(AND(MX$38&gt;$E$33,SUM($G$39:MW$39)=0),MX$20,0)</f>
        <v>0</v>
      </c>
      <c r="MY39" s="40">
        <f ca="1">IF(AND(MY$38&gt;$E$33,SUM($G$39:MX$39)=0),MY$20,0)</f>
        <v>0</v>
      </c>
      <c r="MZ39" s="40">
        <f ca="1">IF(AND(MZ$38&gt;$E$33,SUM($G$39:MY$39)=0),MZ$20,0)</f>
        <v>0</v>
      </c>
      <c r="NA39" s="40">
        <f ca="1">IF(AND(NA$38&gt;$E$33,SUM($G$39:MZ$39)=0),NA$20,0)</f>
        <v>0</v>
      </c>
      <c r="NB39" s="40">
        <f ca="1">IF(AND(NB$38&gt;$E$33,SUM($G$39:NA$39)=0),NB$20,0)</f>
        <v>0</v>
      </c>
      <c r="NC39" s="40">
        <f ca="1">IF(AND(NC$38&gt;$E$33,SUM($G$39:NB$39)=0),NC$20,0)</f>
        <v>0</v>
      </c>
      <c r="ND39" s="40">
        <f ca="1">IF(AND(ND$38&gt;$E$33,SUM($G$39:NC$39)=0),ND$20,0)</f>
        <v>0</v>
      </c>
      <c r="NE39" s="40"/>
      <c r="NF39" s="40"/>
      <c r="NG39" s="40"/>
      <c r="NH39" s="40"/>
      <c r="NI39" s="40"/>
      <c r="NJ39" s="40"/>
      <c r="NK39" s="40"/>
      <c r="NL39" s="40"/>
      <c r="NM39" s="40"/>
      <c r="NN39" s="40"/>
      <c r="NO39" s="40"/>
      <c r="NP39" s="40"/>
      <c r="NQ39" s="40"/>
      <c r="NR39" s="40"/>
    </row>
    <row r="40" spans="2:382" x14ac:dyDescent="0.15">
      <c r="B40" s="518"/>
      <c r="D40" s="52"/>
      <c r="E40" s="40"/>
      <c r="F40" s="40"/>
      <c r="G40" s="114"/>
      <c r="H40" s="40"/>
      <c r="I40" s="40"/>
      <c r="J40" s="40"/>
      <c r="K40" s="40"/>
      <c r="L40" s="40"/>
      <c r="M40" s="40"/>
      <c r="N40" s="40"/>
      <c r="O40" s="40"/>
      <c r="P40" s="40"/>
      <c r="Q40" s="40"/>
      <c r="R40" s="40"/>
      <c r="S40" s="40"/>
      <c r="T40" s="40"/>
      <c r="U40" s="40"/>
      <c r="V40" s="40"/>
      <c r="W40" s="40"/>
      <c r="X40" s="40"/>
      <c r="Y40" s="40"/>
      <c r="Z40" s="40"/>
      <c r="AA40" s="40"/>
      <c r="AB40" s="40"/>
      <c r="AC40" s="40"/>
      <c r="AD40" s="40"/>
      <c r="AE40" s="40"/>
      <c r="AF40" s="40"/>
      <c r="AG40" s="40"/>
      <c r="AH40" s="40"/>
      <c r="AI40" s="40"/>
      <c r="AJ40" s="40"/>
      <c r="AK40" s="40"/>
      <c r="AL40" s="40"/>
      <c r="AM40" s="40"/>
      <c r="AN40" s="40"/>
      <c r="AO40" s="40"/>
      <c r="AP40" s="40"/>
      <c r="AQ40" s="40"/>
      <c r="AR40" s="40"/>
      <c r="AS40" s="40"/>
      <c r="AT40" s="40"/>
      <c r="AU40" s="40"/>
      <c r="AV40" s="40"/>
      <c r="AW40" s="40"/>
      <c r="AX40" s="40"/>
      <c r="AY40" s="40"/>
      <c r="AZ40" s="40"/>
      <c r="BA40" s="40"/>
      <c r="BB40" s="40"/>
      <c r="BC40" s="40"/>
      <c r="BD40" s="40"/>
      <c r="BE40" s="40"/>
      <c r="BF40" s="40"/>
      <c r="BG40" s="40"/>
      <c r="BH40" s="40"/>
      <c r="BI40" s="40"/>
      <c r="BJ40" s="40"/>
      <c r="BK40" s="40"/>
      <c r="BL40" s="40"/>
      <c r="BM40" s="40"/>
      <c r="BN40" s="40"/>
      <c r="BO40" s="40"/>
      <c r="BP40" s="40"/>
      <c r="BQ40" s="40"/>
      <c r="BR40" s="40"/>
      <c r="BS40" s="40"/>
      <c r="BT40" s="40"/>
      <c r="BU40" s="40"/>
      <c r="BV40" s="40"/>
      <c r="BW40" s="40"/>
      <c r="BX40" s="40"/>
      <c r="BY40" s="40"/>
      <c r="BZ40" s="40"/>
      <c r="CA40" s="40"/>
      <c r="CB40" s="40"/>
      <c r="CC40" s="40"/>
      <c r="CD40" s="40"/>
      <c r="CE40" s="40"/>
      <c r="CF40" s="40"/>
      <c r="CG40" s="40"/>
      <c r="CH40" s="40"/>
      <c r="CI40" s="40"/>
      <c r="CJ40" s="40"/>
      <c r="CK40" s="40"/>
      <c r="CL40" s="40"/>
      <c r="CM40" s="40"/>
      <c r="CN40" s="40"/>
      <c r="CO40" s="40"/>
      <c r="CP40" s="40"/>
      <c r="CQ40" s="40"/>
      <c r="CR40" s="40"/>
      <c r="CS40" s="40"/>
      <c r="CT40" s="40"/>
      <c r="CU40" s="40"/>
      <c r="CV40" s="40"/>
      <c r="CW40" s="40"/>
      <c r="CX40" s="40"/>
      <c r="CY40" s="40"/>
      <c r="CZ40" s="40"/>
      <c r="DA40" s="40"/>
      <c r="DB40" s="40"/>
      <c r="DC40" s="40"/>
      <c r="DD40" s="40"/>
      <c r="DE40" s="40"/>
      <c r="DF40" s="40"/>
      <c r="DG40" s="40"/>
      <c r="DH40" s="40"/>
      <c r="DI40" s="40"/>
      <c r="DJ40" s="40"/>
      <c r="DK40" s="40"/>
      <c r="DL40" s="40"/>
      <c r="DM40" s="40"/>
      <c r="DN40" s="40"/>
      <c r="DO40" s="40"/>
      <c r="DP40" s="40"/>
      <c r="DQ40" s="40"/>
      <c r="DR40" s="40"/>
      <c r="DS40" s="40"/>
      <c r="DT40" s="40"/>
      <c r="DU40" s="40"/>
      <c r="DV40" s="40"/>
      <c r="DW40" s="40"/>
      <c r="DX40" s="40"/>
      <c r="DY40" s="40"/>
      <c r="DZ40" s="40"/>
      <c r="EA40" s="40"/>
      <c r="EB40" s="40"/>
      <c r="EC40" s="40"/>
      <c r="ED40" s="40"/>
      <c r="EE40" s="40"/>
      <c r="EF40" s="40"/>
      <c r="EG40" s="40"/>
      <c r="EH40" s="40"/>
      <c r="EI40" s="40"/>
      <c r="EJ40" s="40"/>
      <c r="EK40" s="40"/>
      <c r="EL40" s="40"/>
      <c r="EM40" s="40"/>
      <c r="EN40" s="40"/>
      <c r="EO40" s="40"/>
      <c r="EP40" s="40"/>
      <c r="EQ40" s="40"/>
      <c r="ER40" s="40"/>
      <c r="ES40" s="40"/>
      <c r="ET40" s="40"/>
      <c r="EU40" s="40"/>
      <c r="EV40" s="40"/>
      <c r="EW40" s="40"/>
      <c r="EX40" s="40"/>
      <c r="EY40" s="40"/>
      <c r="EZ40" s="40"/>
      <c r="FA40" s="40"/>
      <c r="FB40" s="40"/>
      <c r="FC40" s="40"/>
      <c r="FD40" s="40"/>
      <c r="FE40" s="40"/>
      <c r="FF40" s="40"/>
      <c r="FG40" s="40"/>
      <c r="FH40" s="40"/>
      <c r="FI40" s="40"/>
      <c r="FJ40" s="40"/>
      <c r="FK40" s="40"/>
      <c r="FL40" s="40"/>
      <c r="FM40" s="40"/>
      <c r="FN40" s="40"/>
      <c r="FO40" s="40"/>
      <c r="FP40" s="40"/>
      <c r="FQ40" s="40"/>
      <c r="FR40" s="40"/>
      <c r="FS40" s="40"/>
      <c r="FT40" s="40"/>
      <c r="FU40" s="40"/>
      <c r="FV40" s="40"/>
      <c r="FW40" s="40"/>
      <c r="FX40" s="40"/>
      <c r="FY40" s="40"/>
      <c r="FZ40" s="40"/>
      <c r="GA40" s="40"/>
      <c r="GB40" s="40"/>
      <c r="GC40" s="40"/>
      <c r="GD40" s="40"/>
      <c r="GE40" s="40"/>
      <c r="GF40" s="40"/>
      <c r="GG40" s="40"/>
      <c r="GH40" s="40"/>
      <c r="GI40" s="40"/>
      <c r="GJ40" s="40"/>
      <c r="GK40" s="40"/>
      <c r="GL40" s="40"/>
      <c r="GM40" s="40"/>
      <c r="GN40" s="40"/>
      <c r="GO40" s="40"/>
      <c r="GP40" s="40"/>
      <c r="GQ40" s="40"/>
      <c r="GR40" s="40"/>
      <c r="GS40" s="40"/>
      <c r="GT40" s="40"/>
      <c r="GU40" s="40"/>
      <c r="GV40" s="40"/>
      <c r="GW40" s="40"/>
      <c r="GX40" s="40"/>
      <c r="GY40" s="40"/>
      <c r="GZ40" s="40"/>
      <c r="HA40" s="40"/>
      <c r="HB40" s="40"/>
      <c r="HC40" s="40"/>
      <c r="HD40" s="40"/>
      <c r="HE40" s="40"/>
      <c r="HF40" s="40"/>
      <c r="HG40" s="40"/>
      <c r="HH40" s="40"/>
      <c r="HI40" s="40"/>
      <c r="HJ40" s="40"/>
      <c r="HK40" s="40"/>
      <c r="HL40" s="40"/>
      <c r="HM40" s="40"/>
      <c r="HN40" s="40"/>
      <c r="HO40" s="40"/>
      <c r="HP40" s="40"/>
      <c r="HQ40" s="40"/>
      <c r="HR40" s="40"/>
      <c r="HS40" s="40"/>
      <c r="HT40" s="40"/>
      <c r="HU40" s="40"/>
      <c r="HV40" s="40"/>
      <c r="HW40" s="40"/>
      <c r="HX40" s="40"/>
      <c r="HY40" s="40"/>
      <c r="HZ40" s="40"/>
      <c r="IA40" s="40"/>
      <c r="IB40" s="40"/>
      <c r="IC40" s="40"/>
      <c r="ID40" s="40"/>
      <c r="IE40" s="40"/>
      <c r="IF40" s="40"/>
      <c r="IG40" s="40"/>
      <c r="IH40" s="40"/>
      <c r="II40" s="40"/>
      <c r="IJ40" s="40"/>
      <c r="IK40" s="40"/>
      <c r="IL40" s="40"/>
      <c r="IM40" s="40"/>
      <c r="IN40" s="40"/>
      <c r="IO40" s="40"/>
      <c r="IP40" s="40"/>
      <c r="IQ40" s="40"/>
      <c r="IR40" s="40"/>
      <c r="IS40" s="40"/>
      <c r="IT40" s="40"/>
      <c r="IU40" s="40"/>
      <c r="IV40" s="40"/>
      <c r="IW40" s="40"/>
      <c r="IX40" s="40"/>
      <c r="IY40" s="40"/>
      <c r="IZ40" s="40"/>
      <c r="JA40" s="40"/>
      <c r="JB40" s="40"/>
      <c r="JC40" s="40"/>
      <c r="JD40" s="40"/>
      <c r="JE40" s="40"/>
      <c r="JF40" s="40"/>
      <c r="JG40" s="40"/>
      <c r="JH40" s="40"/>
      <c r="JI40" s="40"/>
      <c r="JJ40" s="40"/>
      <c r="JK40" s="40"/>
      <c r="JL40" s="40"/>
      <c r="JM40" s="40"/>
      <c r="JN40" s="40"/>
      <c r="JO40" s="40"/>
      <c r="JP40" s="40"/>
      <c r="JQ40" s="40"/>
      <c r="JR40" s="40"/>
      <c r="JS40" s="40"/>
      <c r="JT40" s="40"/>
      <c r="JU40" s="40"/>
      <c r="JV40" s="40"/>
      <c r="JW40" s="40"/>
      <c r="JX40" s="40"/>
      <c r="JY40" s="40"/>
      <c r="JZ40" s="40"/>
      <c r="KA40" s="40"/>
      <c r="KB40" s="40"/>
      <c r="KC40" s="40"/>
      <c r="KD40" s="40"/>
      <c r="KE40" s="40"/>
      <c r="KF40" s="40"/>
      <c r="KG40" s="40"/>
      <c r="KH40" s="40"/>
      <c r="KI40" s="40"/>
      <c r="KJ40" s="40"/>
      <c r="KK40" s="40"/>
      <c r="KL40" s="40"/>
      <c r="KM40" s="40"/>
      <c r="KN40" s="40"/>
      <c r="KO40" s="40"/>
      <c r="KP40" s="40"/>
      <c r="KQ40" s="40"/>
      <c r="KR40" s="40"/>
      <c r="KS40" s="40"/>
      <c r="KT40" s="40"/>
      <c r="KU40" s="40"/>
      <c r="KV40" s="40"/>
      <c r="KW40" s="40"/>
      <c r="KX40" s="40"/>
      <c r="KY40" s="40"/>
      <c r="KZ40" s="40"/>
      <c r="LA40" s="40"/>
      <c r="LB40" s="40"/>
      <c r="LC40" s="40"/>
      <c r="LD40" s="40"/>
      <c r="LE40" s="40"/>
      <c r="LF40" s="40"/>
      <c r="LG40" s="40"/>
      <c r="LH40" s="40"/>
      <c r="LI40" s="40"/>
      <c r="LJ40" s="40"/>
      <c r="LK40" s="40"/>
      <c r="LL40" s="40"/>
      <c r="LM40" s="40"/>
      <c r="LN40" s="40"/>
      <c r="LO40" s="40"/>
      <c r="LP40" s="40"/>
      <c r="LQ40" s="40"/>
      <c r="LR40" s="40"/>
      <c r="LS40" s="40"/>
      <c r="LT40" s="40"/>
      <c r="LU40" s="40"/>
      <c r="LV40" s="40"/>
      <c r="LW40" s="40"/>
      <c r="LX40" s="40"/>
      <c r="LY40" s="40"/>
      <c r="LZ40" s="40"/>
      <c r="MA40" s="40"/>
      <c r="MB40" s="40"/>
      <c r="MC40" s="40"/>
      <c r="MD40" s="40"/>
      <c r="ME40" s="40"/>
      <c r="MF40" s="40"/>
      <c r="MG40" s="40"/>
      <c r="MH40" s="40"/>
      <c r="MI40" s="40"/>
      <c r="MJ40" s="40"/>
      <c r="MK40" s="40"/>
      <c r="ML40" s="40"/>
      <c r="MM40" s="40"/>
      <c r="MN40" s="40"/>
      <c r="MO40" s="40"/>
      <c r="MP40" s="40"/>
      <c r="MQ40" s="40"/>
      <c r="MR40" s="40"/>
      <c r="MS40" s="40"/>
      <c r="MT40" s="40"/>
      <c r="MU40" s="40"/>
      <c r="MV40" s="40"/>
      <c r="MW40" s="40"/>
      <c r="MX40" s="40"/>
      <c r="MY40" s="40"/>
      <c r="MZ40" s="40"/>
      <c r="NA40" s="40"/>
      <c r="NB40" s="40"/>
      <c r="NC40" s="40"/>
      <c r="ND40" s="40"/>
      <c r="NE40" s="40"/>
      <c r="NF40" s="40"/>
      <c r="NG40" s="40"/>
      <c r="NH40" s="40"/>
      <c r="NI40" s="40"/>
      <c r="NJ40" s="40"/>
      <c r="NK40" s="40"/>
      <c r="NL40" s="40"/>
      <c r="NM40" s="40"/>
      <c r="NN40" s="40"/>
      <c r="NO40" s="40"/>
      <c r="NP40" s="40"/>
      <c r="NQ40" s="40"/>
      <c r="NR40" s="40"/>
    </row>
    <row r="41" spans="2:382" x14ac:dyDescent="0.15">
      <c r="B41" s="518"/>
      <c r="C41" s="115" t="str">
        <f>_xlfn.CONCAT($C$5, " Equity")</f>
        <v>Chris Equity</v>
      </c>
      <c r="D41" s="52">
        <f>D5</f>
        <v>0.4</v>
      </c>
      <c r="E41" s="40">
        <f>D41*Total_Investment</f>
        <v>1007873.6000000001</v>
      </c>
      <c r="F41" s="40"/>
      <c r="G41" s="114"/>
      <c r="H41" s="40"/>
      <c r="I41" s="40">
        <f>$E$41</f>
        <v>1007873.6000000001</v>
      </c>
      <c r="J41" s="40">
        <f>I41-I45</f>
        <v>1007873.6000000001</v>
      </c>
      <c r="K41" s="40">
        <f t="shared" ref="K41:BV41" si="2005">J41-J45</f>
        <v>1007873.6000000001</v>
      </c>
      <c r="L41" s="40">
        <f t="shared" si="2005"/>
        <v>1007873.6000000001</v>
      </c>
      <c r="M41" s="40">
        <f t="shared" si="2005"/>
        <v>1007873.6000000001</v>
      </c>
      <c r="N41" s="40">
        <f t="shared" si="2005"/>
        <v>1007873.6000000001</v>
      </c>
      <c r="O41" s="40">
        <f t="shared" si="2005"/>
        <v>1007873.6000000001</v>
      </c>
      <c r="P41" s="40">
        <f t="shared" si="2005"/>
        <v>1007873.6000000001</v>
      </c>
      <c r="Q41" s="40">
        <f t="shared" si="2005"/>
        <v>1007873.6000000001</v>
      </c>
      <c r="R41" s="40">
        <f t="shared" si="2005"/>
        <v>1007873.6000000001</v>
      </c>
      <c r="S41" s="40">
        <f t="shared" si="2005"/>
        <v>1007873.6000000001</v>
      </c>
      <c r="T41" s="40">
        <f t="shared" si="2005"/>
        <v>1007873.6000000001</v>
      </c>
      <c r="U41" s="40">
        <f t="shared" si="2005"/>
        <v>1007873.6000000001</v>
      </c>
      <c r="V41" s="40">
        <f t="shared" si="2005"/>
        <v>1007873.6000000001</v>
      </c>
      <c r="W41" s="40">
        <f t="shared" si="2005"/>
        <v>1007873.6000000001</v>
      </c>
      <c r="X41" s="40">
        <f t="shared" si="2005"/>
        <v>1007873.6000000001</v>
      </c>
      <c r="Y41" s="40">
        <f t="shared" si="2005"/>
        <v>1007873.6000000001</v>
      </c>
      <c r="Z41" s="40">
        <f t="shared" si="2005"/>
        <v>1007873.6000000001</v>
      </c>
      <c r="AA41" s="40">
        <f t="shared" si="2005"/>
        <v>1007873.6000000001</v>
      </c>
      <c r="AB41" s="40">
        <f t="shared" si="2005"/>
        <v>1007873.6000000001</v>
      </c>
      <c r="AC41" s="40">
        <f t="shared" si="2005"/>
        <v>1007873.6000000001</v>
      </c>
      <c r="AD41" s="40">
        <f t="shared" si="2005"/>
        <v>1007873.6000000001</v>
      </c>
      <c r="AE41" s="40">
        <f t="shared" si="2005"/>
        <v>1007873.6000000001</v>
      </c>
      <c r="AF41" s="40">
        <f t="shared" si="2005"/>
        <v>1007873.6000000001</v>
      </c>
      <c r="AG41" s="40">
        <f t="shared" si="2005"/>
        <v>1007873.6000000001</v>
      </c>
      <c r="AH41" s="40">
        <f t="shared" si="2005"/>
        <v>1007873.6000000001</v>
      </c>
      <c r="AI41" s="40">
        <f t="shared" si="2005"/>
        <v>1007873.6000000001</v>
      </c>
      <c r="AJ41" s="40">
        <f t="shared" si="2005"/>
        <v>1007873.6000000001</v>
      </c>
      <c r="AK41" s="40">
        <f t="shared" si="2005"/>
        <v>1007873.6000000001</v>
      </c>
      <c r="AL41" s="40">
        <f t="shared" si="2005"/>
        <v>1007873.6000000001</v>
      </c>
      <c r="AM41" s="40">
        <f t="shared" si="2005"/>
        <v>1007873.6000000001</v>
      </c>
      <c r="AN41" s="40">
        <f t="shared" si="2005"/>
        <v>1007873.6000000001</v>
      </c>
      <c r="AO41" s="40">
        <f t="shared" si="2005"/>
        <v>1007873.6000000001</v>
      </c>
      <c r="AP41" s="40">
        <f t="shared" si="2005"/>
        <v>1007873.6000000001</v>
      </c>
      <c r="AQ41" s="40">
        <f t="shared" si="2005"/>
        <v>1007873.6000000001</v>
      </c>
      <c r="AR41" s="40">
        <f t="shared" si="2005"/>
        <v>1007873.6000000001</v>
      </c>
      <c r="AS41" s="40">
        <f t="shared" si="2005"/>
        <v>1007873.6000000001</v>
      </c>
      <c r="AT41" s="40">
        <f t="shared" si="2005"/>
        <v>1007873.6000000001</v>
      </c>
      <c r="AU41" s="40">
        <f t="shared" si="2005"/>
        <v>1007873.6000000001</v>
      </c>
      <c r="AV41" s="40">
        <f t="shared" si="2005"/>
        <v>1007873.6000000001</v>
      </c>
      <c r="AW41" s="40">
        <f t="shared" si="2005"/>
        <v>1007873.6000000001</v>
      </c>
      <c r="AX41" s="40">
        <f t="shared" si="2005"/>
        <v>1007873.6000000001</v>
      </c>
      <c r="AY41" s="40">
        <f t="shared" si="2005"/>
        <v>1007873.6000000001</v>
      </c>
      <c r="AZ41" s="40">
        <f t="shared" si="2005"/>
        <v>1007873.6000000001</v>
      </c>
      <c r="BA41" s="40">
        <f t="shared" si="2005"/>
        <v>1007873.6000000001</v>
      </c>
      <c r="BB41" s="40">
        <f t="shared" si="2005"/>
        <v>1007873.6000000001</v>
      </c>
      <c r="BC41" s="40">
        <f t="shared" si="2005"/>
        <v>1007873.6000000001</v>
      </c>
      <c r="BD41" s="40">
        <f t="shared" si="2005"/>
        <v>1007873.6000000001</v>
      </c>
      <c r="BE41" s="40">
        <f t="shared" si="2005"/>
        <v>1007873.6000000001</v>
      </c>
      <c r="BF41" s="40">
        <f t="shared" si="2005"/>
        <v>1007873.6000000001</v>
      </c>
      <c r="BG41" s="40">
        <f t="shared" si="2005"/>
        <v>1007873.6000000001</v>
      </c>
      <c r="BH41" s="40">
        <f t="shared" si="2005"/>
        <v>1007873.6000000001</v>
      </c>
      <c r="BI41" s="40">
        <f t="shared" si="2005"/>
        <v>1007873.6000000001</v>
      </c>
      <c r="BJ41" s="40">
        <f t="shared" si="2005"/>
        <v>1007873.6000000001</v>
      </c>
      <c r="BK41" s="40">
        <f t="shared" si="2005"/>
        <v>1007873.6000000001</v>
      </c>
      <c r="BL41" s="40">
        <f t="shared" si="2005"/>
        <v>1007873.6000000001</v>
      </c>
      <c r="BM41" s="40">
        <f t="shared" si="2005"/>
        <v>1007873.6000000001</v>
      </c>
      <c r="BN41" s="40">
        <f t="shared" si="2005"/>
        <v>1007873.6000000001</v>
      </c>
      <c r="BO41" s="40">
        <f t="shared" si="2005"/>
        <v>1007873.6000000001</v>
      </c>
      <c r="BP41" s="40">
        <f t="shared" si="2005"/>
        <v>1007873.6000000001</v>
      </c>
      <c r="BQ41" s="40">
        <f t="shared" si="2005"/>
        <v>1007873.6000000001</v>
      </c>
      <c r="BR41" s="40">
        <f t="shared" si="2005"/>
        <v>1007873.6000000001</v>
      </c>
      <c r="BS41" s="40">
        <f t="shared" si="2005"/>
        <v>1007873.6000000001</v>
      </c>
      <c r="BT41" s="40">
        <f t="shared" si="2005"/>
        <v>1007873.6000000001</v>
      </c>
      <c r="BU41" s="40">
        <f t="shared" si="2005"/>
        <v>1007873.6000000001</v>
      </c>
      <c r="BV41" s="40">
        <f t="shared" si="2005"/>
        <v>1007873.6000000001</v>
      </c>
      <c r="BW41" s="40">
        <f t="shared" ref="BW41:EH41" si="2006">BV41-BV45</f>
        <v>1007873.6000000001</v>
      </c>
      <c r="BX41" s="40">
        <f t="shared" si="2006"/>
        <v>1007873.6000000001</v>
      </c>
      <c r="BY41" s="40">
        <f t="shared" si="2006"/>
        <v>1007873.6000000001</v>
      </c>
      <c r="BZ41" s="40">
        <f t="shared" si="2006"/>
        <v>1007873.6000000001</v>
      </c>
      <c r="CA41" s="40">
        <f t="shared" si="2006"/>
        <v>1007873.6000000001</v>
      </c>
      <c r="CB41" s="40">
        <f t="shared" si="2006"/>
        <v>1007873.6000000001</v>
      </c>
      <c r="CC41" s="40">
        <f t="shared" si="2006"/>
        <v>1007873.6000000001</v>
      </c>
      <c r="CD41" s="40">
        <f t="shared" si="2006"/>
        <v>1007873.6000000001</v>
      </c>
      <c r="CE41" s="40">
        <f t="shared" si="2006"/>
        <v>1007873.6000000001</v>
      </c>
      <c r="CF41" s="40">
        <f t="shared" si="2006"/>
        <v>1007873.6000000001</v>
      </c>
      <c r="CG41" s="40">
        <f t="shared" si="2006"/>
        <v>1007873.6000000001</v>
      </c>
      <c r="CH41" s="40">
        <f t="shared" si="2006"/>
        <v>1007873.6000000001</v>
      </c>
      <c r="CI41" s="40">
        <f t="shared" si="2006"/>
        <v>1007873.6000000001</v>
      </c>
      <c r="CJ41" s="40">
        <f t="shared" si="2006"/>
        <v>1007873.6000000001</v>
      </c>
      <c r="CK41" s="40">
        <f t="shared" si="2006"/>
        <v>1007873.6000000001</v>
      </c>
      <c r="CL41" s="40">
        <f t="shared" si="2006"/>
        <v>1007873.6000000001</v>
      </c>
      <c r="CM41" s="40">
        <f t="shared" si="2006"/>
        <v>1007873.6000000001</v>
      </c>
      <c r="CN41" s="40">
        <f t="shared" si="2006"/>
        <v>1007873.6000000001</v>
      </c>
      <c r="CO41" s="40">
        <f t="shared" si="2006"/>
        <v>1007873.6000000001</v>
      </c>
      <c r="CP41" s="40">
        <f t="shared" si="2006"/>
        <v>1007873.6000000001</v>
      </c>
      <c r="CQ41" s="40">
        <f t="shared" si="2006"/>
        <v>1007873.6000000001</v>
      </c>
      <c r="CR41" s="40">
        <f t="shared" si="2006"/>
        <v>1007873.6000000001</v>
      </c>
      <c r="CS41" s="40">
        <f t="shared" si="2006"/>
        <v>1007873.6000000001</v>
      </c>
      <c r="CT41" s="40">
        <f t="shared" si="2006"/>
        <v>1007873.6000000001</v>
      </c>
      <c r="CU41" s="40">
        <f t="shared" si="2006"/>
        <v>1007873.6000000001</v>
      </c>
      <c r="CV41" s="40">
        <f t="shared" si="2006"/>
        <v>1007873.6000000001</v>
      </c>
      <c r="CW41" s="40">
        <f t="shared" si="2006"/>
        <v>1007873.6000000001</v>
      </c>
      <c r="CX41" s="40">
        <f t="shared" si="2006"/>
        <v>1007873.6000000001</v>
      </c>
      <c r="CY41" s="40">
        <f t="shared" si="2006"/>
        <v>1007873.6000000001</v>
      </c>
      <c r="CZ41" s="40">
        <f t="shared" si="2006"/>
        <v>1007873.6000000001</v>
      </c>
      <c r="DA41" s="40">
        <f t="shared" si="2006"/>
        <v>1007873.6000000001</v>
      </c>
      <c r="DB41" s="40">
        <f t="shared" si="2006"/>
        <v>1007873.6000000001</v>
      </c>
      <c r="DC41" s="40">
        <f t="shared" si="2006"/>
        <v>1007873.6000000001</v>
      </c>
      <c r="DD41" s="40">
        <f t="shared" si="2006"/>
        <v>1007873.6000000001</v>
      </c>
      <c r="DE41" s="40">
        <f t="shared" si="2006"/>
        <v>1007873.6000000001</v>
      </c>
      <c r="DF41" s="40">
        <f t="shared" si="2006"/>
        <v>1007873.6000000001</v>
      </c>
      <c r="DG41" s="40">
        <f t="shared" si="2006"/>
        <v>1007873.6000000001</v>
      </c>
      <c r="DH41" s="40">
        <f t="shared" si="2006"/>
        <v>1007873.6000000001</v>
      </c>
      <c r="DI41" s="40">
        <f t="shared" si="2006"/>
        <v>1007873.6000000001</v>
      </c>
      <c r="DJ41" s="40">
        <f t="shared" si="2006"/>
        <v>1007873.6000000001</v>
      </c>
      <c r="DK41" s="40">
        <f t="shared" si="2006"/>
        <v>1007873.6000000001</v>
      </c>
      <c r="DL41" s="40">
        <f t="shared" si="2006"/>
        <v>1007873.6000000001</v>
      </c>
      <c r="DM41" s="40">
        <f t="shared" si="2006"/>
        <v>1007873.6000000001</v>
      </c>
      <c r="DN41" s="40">
        <f t="shared" si="2006"/>
        <v>1007873.6000000001</v>
      </c>
      <c r="DO41" s="40">
        <f t="shared" si="2006"/>
        <v>1007873.6000000001</v>
      </c>
      <c r="DP41" s="40">
        <f t="shared" si="2006"/>
        <v>1007873.6000000001</v>
      </c>
      <c r="DQ41" s="40">
        <f t="shared" si="2006"/>
        <v>1007873.6000000001</v>
      </c>
      <c r="DR41" s="40">
        <f t="shared" si="2006"/>
        <v>1007873.6000000001</v>
      </c>
      <c r="DS41" s="40">
        <f t="shared" si="2006"/>
        <v>1007873.6000000001</v>
      </c>
      <c r="DT41" s="40">
        <f t="shared" si="2006"/>
        <v>1007873.6000000001</v>
      </c>
      <c r="DU41" s="40">
        <f t="shared" si="2006"/>
        <v>1007873.6000000001</v>
      </c>
      <c r="DV41" s="40">
        <f t="shared" si="2006"/>
        <v>1007873.6000000001</v>
      </c>
      <c r="DW41" s="40">
        <f t="shared" si="2006"/>
        <v>1007873.6000000001</v>
      </c>
      <c r="DX41" s="40">
        <f t="shared" si="2006"/>
        <v>1007873.6000000001</v>
      </c>
      <c r="DY41" s="40">
        <f t="shared" si="2006"/>
        <v>1007873.6000000001</v>
      </c>
      <c r="DZ41" s="40">
        <f t="shared" si="2006"/>
        <v>1007873.6000000001</v>
      </c>
      <c r="EA41" s="40">
        <f t="shared" si="2006"/>
        <v>1007873.6000000001</v>
      </c>
      <c r="EB41" s="40">
        <f t="shared" si="2006"/>
        <v>1007873.6000000001</v>
      </c>
      <c r="EC41" s="40">
        <f t="shared" si="2006"/>
        <v>1007873.6000000001</v>
      </c>
      <c r="ED41" s="40">
        <f t="shared" si="2006"/>
        <v>1007873.6000000001</v>
      </c>
      <c r="EE41" s="40">
        <f t="shared" si="2006"/>
        <v>1007873.6000000001</v>
      </c>
      <c r="EF41" s="40">
        <f t="shared" si="2006"/>
        <v>1007873.6000000001</v>
      </c>
      <c r="EG41" s="40">
        <f t="shared" si="2006"/>
        <v>1007873.6000000001</v>
      </c>
      <c r="EH41" s="40">
        <f t="shared" si="2006"/>
        <v>1007873.6000000001</v>
      </c>
      <c r="EI41" s="40">
        <f t="shared" ref="EI41:GT41" si="2007">EH41-EH45</f>
        <v>1007873.6000000001</v>
      </c>
      <c r="EJ41" s="40">
        <f t="shared" si="2007"/>
        <v>1007873.6000000001</v>
      </c>
      <c r="EK41" s="40">
        <f t="shared" si="2007"/>
        <v>1007873.6000000001</v>
      </c>
      <c r="EL41" s="40">
        <f t="shared" si="2007"/>
        <v>1007873.6000000001</v>
      </c>
      <c r="EM41" s="40">
        <f t="shared" si="2007"/>
        <v>1007873.6000000001</v>
      </c>
      <c r="EN41" s="40">
        <f t="shared" si="2007"/>
        <v>1007873.6000000001</v>
      </c>
      <c r="EO41" s="40">
        <f t="shared" si="2007"/>
        <v>1007873.6000000001</v>
      </c>
      <c r="EP41" s="40">
        <f t="shared" si="2007"/>
        <v>1007873.6000000001</v>
      </c>
      <c r="EQ41" s="40">
        <f t="shared" si="2007"/>
        <v>1007873.6000000001</v>
      </c>
      <c r="ER41" s="40">
        <f t="shared" si="2007"/>
        <v>1007873.6000000001</v>
      </c>
      <c r="ES41" s="40">
        <f t="shared" si="2007"/>
        <v>1007873.6000000001</v>
      </c>
      <c r="ET41" s="40">
        <f t="shared" si="2007"/>
        <v>1007873.6000000001</v>
      </c>
      <c r="EU41" s="40">
        <f t="shared" si="2007"/>
        <v>1007873.6000000001</v>
      </c>
      <c r="EV41" s="40">
        <f t="shared" si="2007"/>
        <v>1007873.6000000001</v>
      </c>
      <c r="EW41" s="40">
        <f t="shared" si="2007"/>
        <v>1007873.6000000001</v>
      </c>
      <c r="EX41" s="40">
        <f t="shared" si="2007"/>
        <v>1007873.6000000001</v>
      </c>
      <c r="EY41" s="40">
        <f t="shared" si="2007"/>
        <v>1007873.6000000001</v>
      </c>
      <c r="EZ41" s="40">
        <f t="shared" si="2007"/>
        <v>1007873.6000000001</v>
      </c>
      <c r="FA41" s="40">
        <f t="shared" si="2007"/>
        <v>1007873.6000000001</v>
      </c>
      <c r="FB41" s="40">
        <f t="shared" si="2007"/>
        <v>1007873.6000000001</v>
      </c>
      <c r="FC41" s="40">
        <f t="shared" si="2007"/>
        <v>1007873.6000000001</v>
      </c>
      <c r="FD41" s="40">
        <f t="shared" si="2007"/>
        <v>1007873.6000000001</v>
      </c>
      <c r="FE41" s="40">
        <f t="shared" si="2007"/>
        <v>1007873.6000000001</v>
      </c>
      <c r="FF41" s="40">
        <f t="shared" si="2007"/>
        <v>1007873.6000000001</v>
      </c>
      <c r="FG41" s="40">
        <f t="shared" si="2007"/>
        <v>1007873.6000000001</v>
      </c>
      <c r="FH41" s="40">
        <f t="shared" si="2007"/>
        <v>1007873.6000000001</v>
      </c>
      <c r="FI41" s="40">
        <f t="shared" si="2007"/>
        <v>1007873.6000000001</v>
      </c>
      <c r="FJ41" s="40">
        <f t="shared" si="2007"/>
        <v>1007873.6000000001</v>
      </c>
      <c r="FK41" s="40">
        <f t="shared" si="2007"/>
        <v>1007873.6000000001</v>
      </c>
      <c r="FL41" s="40">
        <f t="shared" si="2007"/>
        <v>1007873.6000000001</v>
      </c>
      <c r="FM41" s="40">
        <f t="shared" si="2007"/>
        <v>1007873.6000000001</v>
      </c>
      <c r="FN41" s="40">
        <f t="shared" si="2007"/>
        <v>1007873.6000000001</v>
      </c>
      <c r="FO41" s="40">
        <f t="shared" si="2007"/>
        <v>1007873.6000000001</v>
      </c>
      <c r="FP41" s="40">
        <f t="shared" si="2007"/>
        <v>1007873.6000000001</v>
      </c>
      <c r="FQ41" s="40">
        <f t="shared" si="2007"/>
        <v>1007873.6000000001</v>
      </c>
      <c r="FR41" s="40">
        <f t="shared" si="2007"/>
        <v>1007873.6000000001</v>
      </c>
      <c r="FS41" s="40">
        <f t="shared" si="2007"/>
        <v>1007873.6000000001</v>
      </c>
      <c r="FT41" s="40">
        <f t="shared" si="2007"/>
        <v>1007873.6000000001</v>
      </c>
      <c r="FU41" s="40">
        <f t="shared" si="2007"/>
        <v>1007873.6000000001</v>
      </c>
      <c r="FV41" s="40">
        <f t="shared" si="2007"/>
        <v>1007873.6000000001</v>
      </c>
      <c r="FW41" s="40">
        <f t="shared" si="2007"/>
        <v>1007873.6000000001</v>
      </c>
      <c r="FX41" s="40">
        <f t="shared" si="2007"/>
        <v>1007873.6000000001</v>
      </c>
      <c r="FY41" s="40">
        <f t="shared" si="2007"/>
        <v>1007873.6000000001</v>
      </c>
      <c r="FZ41" s="40">
        <f t="shared" si="2007"/>
        <v>1007873.6000000001</v>
      </c>
      <c r="GA41" s="40">
        <f t="shared" si="2007"/>
        <v>1007873.6000000001</v>
      </c>
      <c r="GB41" s="40">
        <f t="shared" si="2007"/>
        <v>1007873.6000000001</v>
      </c>
      <c r="GC41" s="40">
        <f t="shared" si="2007"/>
        <v>1007873.6000000001</v>
      </c>
      <c r="GD41" s="40">
        <f t="shared" si="2007"/>
        <v>1007873.6000000001</v>
      </c>
      <c r="GE41" s="40">
        <f t="shared" si="2007"/>
        <v>1007873.6000000001</v>
      </c>
      <c r="GF41" s="40">
        <f t="shared" si="2007"/>
        <v>1007873.6000000001</v>
      </c>
      <c r="GG41" s="40">
        <f t="shared" ca="1" si="2007"/>
        <v>0</v>
      </c>
      <c r="GH41" s="40">
        <f t="shared" ca="1" si="2007"/>
        <v>0</v>
      </c>
      <c r="GI41" s="40">
        <f t="shared" ca="1" si="2007"/>
        <v>0</v>
      </c>
      <c r="GJ41" s="40">
        <f t="shared" ca="1" si="2007"/>
        <v>0</v>
      </c>
      <c r="GK41" s="40">
        <f t="shared" ca="1" si="2007"/>
        <v>0</v>
      </c>
      <c r="GL41" s="40">
        <f t="shared" ca="1" si="2007"/>
        <v>0</v>
      </c>
      <c r="GM41" s="40">
        <f t="shared" ca="1" si="2007"/>
        <v>0</v>
      </c>
      <c r="GN41" s="40">
        <f t="shared" ca="1" si="2007"/>
        <v>0</v>
      </c>
      <c r="GO41" s="40">
        <f t="shared" ca="1" si="2007"/>
        <v>0</v>
      </c>
      <c r="GP41" s="40">
        <f t="shared" ca="1" si="2007"/>
        <v>0</v>
      </c>
      <c r="GQ41" s="40">
        <f t="shared" ca="1" si="2007"/>
        <v>0</v>
      </c>
      <c r="GR41" s="40">
        <f t="shared" ca="1" si="2007"/>
        <v>0</v>
      </c>
      <c r="GS41" s="40">
        <f t="shared" ca="1" si="2007"/>
        <v>0</v>
      </c>
      <c r="GT41" s="40">
        <f t="shared" ca="1" si="2007"/>
        <v>0</v>
      </c>
      <c r="GU41" s="40">
        <f t="shared" ref="GU41:IN41" ca="1" si="2008">GT41-GT45</f>
        <v>0</v>
      </c>
      <c r="GV41" s="40">
        <f t="shared" ca="1" si="2008"/>
        <v>0</v>
      </c>
      <c r="GW41" s="40">
        <f t="shared" ca="1" si="2008"/>
        <v>0</v>
      </c>
      <c r="GX41" s="40">
        <f t="shared" ca="1" si="2008"/>
        <v>0</v>
      </c>
      <c r="GY41" s="40">
        <f t="shared" ca="1" si="2008"/>
        <v>0</v>
      </c>
      <c r="GZ41" s="40">
        <f t="shared" ca="1" si="2008"/>
        <v>0</v>
      </c>
      <c r="HA41" s="40">
        <f t="shared" ca="1" si="2008"/>
        <v>0</v>
      </c>
      <c r="HB41" s="40">
        <f t="shared" ca="1" si="2008"/>
        <v>0</v>
      </c>
      <c r="HC41" s="40">
        <f t="shared" ca="1" si="2008"/>
        <v>0</v>
      </c>
      <c r="HD41" s="40">
        <f t="shared" ca="1" si="2008"/>
        <v>0</v>
      </c>
      <c r="HE41" s="40">
        <f t="shared" ca="1" si="2008"/>
        <v>0</v>
      </c>
      <c r="HF41" s="40">
        <f t="shared" ca="1" si="2008"/>
        <v>0</v>
      </c>
      <c r="HG41" s="40">
        <f t="shared" ca="1" si="2008"/>
        <v>0</v>
      </c>
      <c r="HH41" s="40">
        <f t="shared" ca="1" si="2008"/>
        <v>0</v>
      </c>
      <c r="HI41" s="40">
        <f t="shared" ca="1" si="2008"/>
        <v>0</v>
      </c>
      <c r="HJ41" s="40">
        <f t="shared" ca="1" si="2008"/>
        <v>0</v>
      </c>
      <c r="HK41" s="40">
        <f t="shared" ca="1" si="2008"/>
        <v>0</v>
      </c>
      <c r="HL41" s="40">
        <f t="shared" ca="1" si="2008"/>
        <v>0</v>
      </c>
      <c r="HM41" s="40">
        <f t="shared" ca="1" si="2008"/>
        <v>0</v>
      </c>
      <c r="HN41" s="40">
        <f t="shared" ca="1" si="2008"/>
        <v>0</v>
      </c>
      <c r="HO41" s="40">
        <f t="shared" ca="1" si="2008"/>
        <v>0</v>
      </c>
      <c r="HP41" s="40">
        <f t="shared" ca="1" si="2008"/>
        <v>0</v>
      </c>
      <c r="HQ41" s="40">
        <f t="shared" ca="1" si="2008"/>
        <v>0</v>
      </c>
      <c r="HR41" s="40">
        <f t="shared" ca="1" si="2008"/>
        <v>0</v>
      </c>
      <c r="HS41" s="40">
        <f t="shared" ca="1" si="2008"/>
        <v>0</v>
      </c>
      <c r="HT41" s="40">
        <f t="shared" ca="1" si="2008"/>
        <v>0</v>
      </c>
      <c r="HU41" s="40">
        <f t="shared" ca="1" si="2008"/>
        <v>0</v>
      </c>
      <c r="HV41" s="40">
        <f t="shared" ca="1" si="2008"/>
        <v>0</v>
      </c>
      <c r="HW41" s="40">
        <f t="shared" ca="1" si="2008"/>
        <v>0</v>
      </c>
      <c r="HX41" s="40">
        <f t="shared" ca="1" si="2008"/>
        <v>0</v>
      </c>
      <c r="HY41" s="40">
        <f t="shared" ca="1" si="2008"/>
        <v>0</v>
      </c>
      <c r="HZ41" s="40">
        <f t="shared" ca="1" si="2008"/>
        <v>0</v>
      </c>
      <c r="IA41" s="40">
        <f t="shared" ca="1" si="2008"/>
        <v>0</v>
      </c>
      <c r="IB41" s="40">
        <f t="shared" ca="1" si="2008"/>
        <v>0</v>
      </c>
      <c r="IC41" s="40">
        <f t="shared" ca="1" si="2008"/>
        <v>0</v>
      </c>
      <c r="ID41" s="40">
        <f t="shared" ca="1" si="2008"/>
        <v>0</v>
      </c>
      <c r="IE41" s="40">
        <f t="shared" ca="1" si="2008"/>
        <v>0</v>
      </c>
      <c r="IF41" s="40">
        <f t="shared" ca="1" si="2008"/>
        <v>0</v>
      </c>
      <c r="IG41" s="40">
        <f t="shared" ca="1" si="2008"/>
        <v>0</v>
      </c>
      <c r="IH41" s="40">
        <f t="shared" ca="1" si="2008"/>
        <v>0</v>
      </c>
      <c r="II41" s="40">
        <f t="shared" ca="1" si="2008"/>
        <v>0</v>
      </c>
      <c r="IJ41" s="40">
        <f t="shared" ca="1" si="2008"/>
        <v>0</v>
      </c>
      <c r="IK41" s="40">
        <f t="shared" ca="1" si="2008"/>
        <v>0</v>
      </c>
      <c r="IL41" s="40">
        <f t="shared" ca="1" si="2008"/>
        <v>0</v>
      </c>
      <c r="IM41" s="40">
        <f t="shared" ca="1" si="2008"/>
        <v>0</v>
      </c>
      <c r="IN41" s="40">
        <f t="shared" ca="1" si="2008"/>
        <v>0</v>
      </c>
      <c r="IO41" s="40">
        <f t="shared" ref="IO41" ca="1" si="2009">IN41-IN45</f>
        <v>0</v>
      </c>
      <c r="IP41" s="40">
        <f t="shared" ref="IP41" ca="1" si="2010">IO41-IO45</f>
        <v>0</v>
      </c>
      <c r="IQ41" s="40">
        <f t="shared" ref="IQ41" ca="1" si="2011">IP41-IP45</f>
        <v>0</v>
      </c>
      <c r="IR41" s="40">
        <f t="shared" ref="IR41" ca="1" si="2012">IQ41-IQ45</f>
        <v>0</v>
      </c>
      <c r="IS41" s="40">
        <f t="shared" ref="IS41" ca="1" si="2013">IR41-IR45</f>
        <v>0</v>
      </c>
      <c r="IT41" s="40">
        <f t="shared" ref="IT41" ca="1" si="2014">IS41-IS45</f>
        <v>0</v>
      </c>
      <c r="IU41" s="40">
        <f t="shared" ref="IU41" ca="1" si="2015">IT41-IT45</f>
        <v>0</v>
      </c>
      <c r="IV41" s="40">
        <f t="shared" ref="IV41" ca="1" si="2016">IU41-IU45</f>
        <v>0</v>
      </c>
      <c r="IW41" s="40">
        <f t="shared" ref="IW41" ca="1" si="2017">IV41-IV45</f>
        <v>0</v>
      </c>
      <c r="IX41" s="40">
        <f t="shared" ref="IX41" ca="1" si="2018">IW41-IW45</f>
        <v>0</v>
      </c>
      <c r="IY41" s="40">
        <f t="shared" ref="IY41" ca="1" si="2019">IX41-IX45</f>
        <v>0</v>
      </c>
      <c r="IZ41" s="40">
        <f t="shared" ref="IZ41" ca="1" si="2020">IY41-IY45</f>
        <v>0</v>
      </c>
      <c r="JA41" s="40">
        <f t="shared" ref="JA41" ca="1" si="2021">IZ41-IZ45</f>
        <v>0</v>
      </c>
      <c r="JB41" s="40">
        <f t="shared" ref="JB41" ca="1" si="2022">JA41-JA45</f>
        <v>0</v>
      </c>
      <c r="JC41" s="40">
        <f t="shared" ref="JC41" ca="1" si="2023">JB41-JB45</f>
        <v>0</v>
      </c>
      <c r="JD41" s="40">
        <f t="shared" ref="JD41" ca="1" si="2024">JC41-JC45</f>
        <v>0</v>
      </c>
      <c r="JE41" s="40">
        <f t="shared" ref="JE41" ca="1" si="2025">JD41-JD45</f>
        <v>0</v>
      </c>
      <c r="JF41" s="40">
        <f t="shared" ref="JF41" ca="1" si="2026">JE41-JE45</f>
        <v>0</v>
      </c>
      <c r="JG41" s="40">
        <f t="shared" ref="JG41" ca="1" si="2027">JF41-JF45</f>
        <v>0</v>
      </c>
      <c r="JH41" s="40">
        <f t="shared" ref="JH41" ca="1" si="2028">JG41-JG45</f>
        <v>0</v>
      </c>
      <c r="JI41" s="40">
        <f t="shared" ref="JI41" ca="1" si="2029">JH41-JH45</f>
        <v>0</v>
      </c>
      <c r="JJ41" s="40">
        <f t="shared" ref="JJ41" ca="1" si="2030">JI41-JI45</f>
        <v>0</v>
      </c>
      <c r="JK41" s="40">
        <f t="shared" ref="JK41" ca="1" si="2031">JJ41-JJ45</f>
        <v>0</v>
      </c>
      <c r="JL41" s="40">
        <f t="shared" ref="JL41" ca="1" si="2032">JK41-JK45</f>
        <v>0</v>
      </c>
      <c r="JM41" s="40">
        <f t="shared" ref="JM41" ca="1" si="2033">JL41-JL45</f>
        <v>0</v>
      </c>
      <c r="JN41" s="40">
        <f t="shared" ref="JN41" ca="1" si="2034">JM41-JM45</f>
        <v>0</v>
      </c>
      <c r="JO41" s="40">
        <f t="shared" ref="JO41" ca="1" si="2035">JN41-JN45</f>
        <v>0</v>
      </c>
      <c r="JP41" s="40">
        <f t="shared" ref="JP41" ca="1" si="2036">JO41-JO45</f>
        <v>0</v>
      </c>
      <c r="JQ41" s="40">
        <f t="shared" ref="JQ41" ca="1" si="2037">JP41-JP45</f>
        <v>0</v>
      </c>
      <c r="JR41" s="40">
        <f t="shared" ref="JR41" ca="1" si="2038">JQ41-JQ45</f>
        <v>0</v>
      </c>
      <c r="JS41" s="40">
        <f t="shared" ref="JS41" ca="1" si="2039">JR41-JR45</f>
        <v>0</v>
      </c>
      <c r="JT41" s="40">
        <f t="shared" ref="JT41" ca="1" si="2040">JS41-JS45</f>
        <v>0</v>
      </c>
      <c r="JU41" s="40">
        <f t="shared" ref="JU41" ca="1" si="2041">JT41-JT45</f>
        <v>0</v>
      </c>
      <c r="JV41" s="40">
        <f t="shared" ref="JV41" ca="1" si="2042">JU41-JU45</f>
        <v>0</v>
      </c>
      <c r="JW41" s="40">
        <f t="shared" ref="JW41" ca="1" si="2043">JV41-JV45</f>
        <v>0</v>
      </c>
      <c r="JX41" s="40">
        <f t="shared" ref="JX41" ca="1" si="2044">JW41-JW45</f>
        <v>0</v>
      </c>
      <c r="JY41" s="40">
        <f t="shared" ref="JY41" ca="1" si="2045">JX41-JX45</f>
        <v>0</v>
      </c>
      <c r="JZ41" s="40">
        <f t="shared" ref="JZ41" ca="1" si="2046">JY41-JY45</f>
        <v>0</v>
      </c>
      <c r="KA41" s="40">
        <f t="shared" ref="KA41" ca="1" si="2047">JZ41-JZ45</f>
        <v>0</v>
      </c>
      <c r="KB41" s="40">
        <f t="shared" ref="KB41" ca="1" si="2048">KA41-KA45</f>
        <v>0</v>
      </c>
      <c r="KC41" s="40">
        <f t="shared" ref="KC41" ca="1" si="2049">KB41-KB45</f>
        <v>0</v>
      </c>
      <c r="KD41" s="40">
        <f t="shared" ref="KD41" ca="1" si="2050">KC41-KC45</f>
        <v>0</v>
      </c>
      <c r="KE41" s="40">
        <f t="shared" ref="KE41" ca="1" si="2051">KD41-KD45</f>
        <v>0</v>
      </c>
      <c r="KF41" s="40">
        <f t="shared" ref="KF41" ca="1" si="2052">KE41-KE45</f>
        <v>0</v>
      </c>
      <c r="KG41" s="40">
        <f t="shared" ref="KG41" ca="1" si="2053">KF41-KF45</f>
        <v>0</v>
      </c>
      <c r="KH41" s="40">
        <f t="shared" ref="KH41" ca="1" si="2054">KG41-KG45</f>
        <v>0</v>
      </c>
      <c r="KI41" s="40">
        <f t="shared" ref="KI41" ca="1" si="2055">KH41-KH45</f>
        <v>0</v>
      </c>
      <c r="KJ41" s="40">
        <f t="shared" ref="KJ41" ca="1" si="2056">KI41-KI45</f>
        <v>0</v>
      </c>
      <c r="KK41" s="40">
        <f t="shared" ref="KK41" ca="1" si="2057">KJ41-KJ45</f>
        <v>0</v>
      </c>
      <c r="KL41" s="40">
        <f t="shared" ref="KL41" ca="1" si="2058">KK41-KK45</f>
        <v>0</v>
      </c>
      <c r="KM41" s="40">
        <f t="shared" ref="KM41" ca="1" si="2059">KL41-KL45</f>
        <v>0</v>
      </c>
      <c r="KN41" s="40">
        <f t="shared" ref="KN41" ca="1" si="2060">KM41-KM45</f>
        <v>0</v>
      </c>
      <c r="KO41" s="40">
        <f t="shared" ref="KO41" ca="1" si="2061">KN41-KN45</f>
        <v>0</v>
      </c>
      <c r="KP41" s="40">
        <f t="shared" ref="KP41" ca="1" si="2062">KO41-KO45</f>
        <v>0</v>
      </c>
      <c r="KQ41" s="40">
        <f t="shared" ref="KQ41" ca="1" si="2063">KP41-KP45</f>
        <v>0</v>
      </c>
      <c r="KR41" s="40">
        <f t="shared" ref="KR41" ca="1" si="2064">KQ41-KQ45</f>
        <v>0</v>
      </c>
      <c r="KS41" s="40">
        <f t="shared" ref="KS41" ca="1" si="2065">KR41-KR45</f>
        <v>0</v>
      </c>
      <c r="KT41" s="40">
        <f t="shared" ref="KT41" ca="1" si="2066">KS41-KS45</f>
        <v>0</v>
      </c>
      <c r="KU41" s="40">
        <f t="shared" ref="KU41" ca="1" si="2067">KT41-KT45</f>
        <v>0</v>
      </c>
      <c r="KV41" s="40">
        <f t="shared" ref="KV41" ca="1" si="2068">KU41-KU45</f>
        <v>0</v>
      </c>
      <c r="KW41" s="40">
        <f t="shared" ref="KW41" ca="1" si="2069">KV41-KV45</f>
        <v>0</v>
      </c>
      <c r="KX41" s="40">
        <f t="shared" ref="KX41" ca="1" si="2070">KW41-KW45</f>
        <v>0</v>
      </c>
      <c r="KY41" s="40">
        <f t="shared" ref="KY41" ca="1" si="2071">KX41-KX45</f>
        <v>0</v>
      </c>
      <c r="KZ41" s="40">
        <f t="shared" ref="KZ41" ca="1" si="2072">KY41-KY45</f>
        <v>0</v>
      </c>
      <c r="LA41" s="40">
        <f t="shared" ref="LA41" ca="1" si="2073">KZ41-KZ45</f>
        <v>0</v>
      </c>
      <c r="LB41" s="40">
        <f t="shared" ref="LB41" ca="1" si="2074">LA41-LA45</f>
        <v>0</v>
      </c>
      <c r="LC41" s="40">
        <f t="shared" ref="LC41" ca="1" si="2075">LB41-LB45</f>
        <v>0</v>
      </c>
      <c r="LD41" s="40">
        <f t="shared" ref="LD41" ca="1" si="2076">LC41-LC45</f>
        <v>0</v>
      </c>
      <c r="LE41" s="40">
        <f t="shared" ref="LE41" ca="1" si="2077">LD41-LD45</f>
        <v>0</v>
      </c>
      <c r="LF41" s="40">
        <f t="shared" ref="LF41" ca="1" si="2078">LE41-LE45</f>
        <v>0</v>
      </c>
      <c r="LG41" s="40">
        <f t="shared" ref="LG41" ca="1" si="2079">LF41-LF45</f>
        <v>0</v>
      </c>
      <c r="LH41" s="40">
        <f t="shared" ref="LH41" ca="1" si="2080">LG41-LG45</f>
        <v>0</v>
      </c>
      <c r="LI41" s="40">
        <f t="shared" ref="LI41" ca="1" si="2081">LH41-LH45</f>
        <v>0</v>
      </c>
      <c r="LJ41" s="40">
        <f t="shared" ref="LJ41" ca="1" si="2082">LI41-LI45</f>
        <v>0</v>
      </c>
      <c r="LK41" s="40">
        <f t="shared" ref="LK41" ca="1" si="2083">LJ41-LJ45</f>
        <v>0</v>
      </c>
      <c r="LL41" s="40">
        <f t="shared" ref="LL41" ca="1" si="2084">LK41-LK45</f>
        <v>0</v>
      </c>
      <c r="LM41" s="40">
        <f t="shared" ref="LM41" ca="1" si="2085">LL41-LL45</f>
        <v>0</v>
      </c>
      <c r="LN41" s="40">
        <f t="shared" ref="LN41" ca="1" si="2086">LM41-LM45</f>
        <v>0</v>
      </c>
      <c r="LO41" s="40">
        <f t="shared" ref="LO41" ca="1" si="2087">LN41-LN45</f>
        <v>0</v>
      </c>
      <c r="LP41" s="40">
        <f t="shared" ref="LP41" ca="1" si="2088">LO41-LO45</f>
        <v>0</v>
      </c>
      <c r="LQ41" s="40">
        <f t="shared" ref="LQ41" ca="1" si="2089">LP41-LP45</f>
        <v>0</v>
      </c>
      <c r="LR41" s="40">
        <f t="shared" ref="LR41" ca="1" si="2090">LQ41-LQ45</f>
        <v>0</v>
      </c>
      <c r="LS41" s="40">
        <f t="shared" ref="LS41" ca="1" si="2091">LR41-LR45</f>
        <v>0</v>
      </c>
      <c r="LT41" s="40">
        <f t="shared" ref="LT41" ca="1" si="2092">LS41-LS45</f>
        <v>0</v>
      </c>
      <c r="LU41" s="40">
        <f t="shared" ref="LU41" ca="1" si="2093">LT41-LT45</f>
        <v>0</v>
      </c>
      <c r="LV41" s="40">
        <f t="shared" ref="LV41" ca="1" si="2094">LU41-LU45</f>
        <v>0</v>
      </c>
      <c r="LW41" s="40">
        <f t="shared" ref="LW41" ca="1" si="2095">LV41-LV45</f>
        <v>0</v>
      </c>
      <c r="LX41" s="40">
        <f t="shared" ref="LX41" ca="1" si="2096">LW41-LW45</f>
        <v>0</v>
      </c>
      <c r="LY41" s="40">
        <f t="shared" ref="LY41" ca="1" si="2097">LX41-LX45</f>
        <v>0</v>
      </c>
      <c r="LZ41" s="40">
        <f t="shared" ref="LZ41" ca="1" si="2098">LY41-LY45</f>
        <v>0</v>
      </c>
      <c r="MA41" s="40">
        <f t="shared" ref="MA41" ca="1" si="2099">LZ41-LZ45</f>
        <v>0</v>
      </c>
      <c r="MB41" s="40">
        <f t="shared" ref="MB41" ca="1" si="2100">MA41-MA45</f>
        <v>0</v>
      </c>
      <c r="MC41" s="40">
        <f t="shared" ref="MC41" ca="1" si="2101">MB41-MB45</f>
        <v>0</v>
      </c>
      <c r="MD41" s="40">
        <f t="shared" ref="MD41" ca="1" si="2102">MC41-MC45</f>
        <v>0</v>
      </c>
      <c r="ME41" s="40">
        <f t="shared" ref="ME41" ca="1" si="2103">MD41-MD45</f>
        <v>0</v>
      </c>
      <c r="MF41" s="40">
        <f t="shared" ref="MF41" ca="1" si="2104">ME41-ME45</f>
        <v>0</v>
      </c>
      <c r="MG41" s="40">
        <f t="shared" ref="MG41" ca="1" si="2105">MF41-MF45</f>
        <v>0</v>
      </c>
      <c r="MH41" s="40">
        <f t="shared" ref="MH41" ca="1" si="2106">MG41-MG45</f>
        <v>0</v>
      </c>
      <c r="MI41" s="40">
        <f t="shared" ref="MI41" ca="1" si="2107">MH41-MH45</f>
        <v>0</v>
      </c>
      <c r="MJ41" s="40">
        <f t="shared" ref="MJ41" ca="1" si="2108">MI41-MI45</f>
        <v>0</v>
      </c>
      <c r="MK41" s="40">
        <f t="shared" ref="MK41" ca="1" si="2109">MJ41-MJ45</f>
        <v>0</v>
      </c>
      <c r="ML41" s="40">
        <f t="shared" ref="ML41" ca="1" si="2110">MK41-MK45</f>
        <v>0</v>
      </c>
      <c r="MM41" s="40">
        <f t="shared" ref="MM41" ca="1" si="2111">ML41-ML45</f>
        <v>0</v>
      </c>
      <c r="MN41" s="40">
        <f t="shared" ref="MN41" ca="1" si="2112">MM41-MM45</f>
        <v>0</v>
      </c>
      <c r="MO41" s="40">
        <f t="shared" ref="MO41" ca="1" si="2113">MN41-MN45</f>
        <v>0</v>
      </c>
      <c r="MP41" s="40">
        <f t="shared" ref="MP41" ca="1" si="2114">MO41-MO45</f>
        <v>0</v>
      </c>
      <c r="MQ41" s="40">
        <f t="shared" ref="MQ41" ca="1" si="2115">MP41-MP45</f>
        <v>0</v>
      </c>
      <c r="MR41" s="40">
        <f t="shared" ref="MR41" ca="1" si="2116">MQ41-MQ45</f>
        <v>0</v>
      </c>
      <c r="MS41" s="40">
        <f t="shared" ref="MS41" ca="1" si="2117">MR41-MR45</f>
        <v>0</v>
      </c>
      <c r="MT41" s="40">
        <f t="shared" ref="MT41" ca="1" si="2118">MS41-MS45</f>
        <v>0</v>
      </c>
      <c r="MU41" s="40">
        <f t="shared" ref="MU41" ca="1" si="2119">MT41-MT45</f>
        <v>0</v>
      </c>
      <c r="MV41" s="40">
        <f t="shared" ref="MV41" ca="1" si="2120">MU41-MU45</f>
        <v>0</v>
      </c>
      <c r="MW41" s="40">
        <f t="shared" ref="MW41" ca="1" si="2121">MV41-MV45</f>
        <v>0</v>
      </c>
      <c r="MX41" s="40">
        <f t="shared" ref="MX41" ca="1" si="2122">MW41-MW45</f>
        <v>0</v>
      </c>
      <c r="MY41" s="40">
        <f t="shared" ref="MY41" ca="1" si="2123">MX41-MX45</f>
        <v>0</v>
      </c>
      <c r="MZ41" s="40">
        <f t="shared" ref="MZ41" ca="1" si="2124">MY41-MY45</f>
        <v>0</v>
      </c>
      <c r="NA41" s="40">
        <f t="shared" ref="NA41" ca="1" si="2125">MZ41-MZ45</f>
        <v>0</v>
      </c>
      <c r="NB41" s="40">
        <f t="shared" ref="NB41" ca="1" si="2126">NA41-NA45</f>
        <v>0</v>
      </c>
      <c r="NC41" s="40">
        <f t="shared" ref="NC41" ca="1" si="2127">NB41-NB45</f>
        <v>0</v>
      </c>
      <c r="ND41" s="40">
        <f t="shared" ref="ND41" ca="1" si="2128">NC41-NC45</f>
        <v>0</v>
      </c>
      <c r="NE41" s="40"/>
      <c r="NF41" s="40"/>
      <c r="NG41" s="40"/>
      <c r="NH41" s="40"/>
      <c r="NI41" s="40"/>
      <c r="NJ41" s="40"/>
      <c r="NK41" s="40"/>
      <c r="NL41" s="40"/>
      <c r="NM41" s="40"/>
      <c r="NN41" s="40"/>
      <c r="NO41" s="40"/>
      <c r="NP41" s="40"/>
      <c r="NQ41" s="40"/>
      <c r="NR41" s="40"/>
    </row>
    <row r="42" spans="2:382" x14ac:dyDescent="0.15">
      <c r="B42" s="518"/>
      <c r="C42" s="115" t="str">
        <f>_xlfn.CONCAT($C$5," Preferred Return")</f>
        <v>Chris Preferred Return</v>
      </c>
      <c r="D42" s="52">
        <f>Pref</f>
        <v>0.12</v>
      </c>
      <c r="E42" s="40"/>
      <c r="F42" s="40"/>
      <c r="G42" s="114"/>
      <c r="H42" s="40"/>
      <c r="I42" s="40">
        <f>$D$42/12*I41</f>
        <v>10078.736000000001</v>
      </c>
      <c r="J42" s="40">
        <f t="shared" ref="J42" si="2129">$D$42/12*J41</f>
        <v>10078.736000000001</v>
      </c>
      <c r="K42" s="40">
        <f t="shared" ref="K42:BV42" si="2130">$D$42/12*K41</f>
        <v>10078.736000000001</v>
      </c>
      <c r="L42" s="40">
        <f t="shared" si="2130"/>
        <v>10078.736000000001</v>
      </c>
      <c r="M42" s="40">
        <f t="shared" si="2130"/>
        <v>10078.736000000001</v>
      </c>
      <c r="N42" s="40">
        <f t="shared" si="2130"/>
        <v>10078.736000000001</v>
      </c>
      <c r="O42" s="40">
        <f t="shared" si="2130"/>
        <v>10078.736000000001</v>
      </c>
      <c r="P42" s="40">
        <f t="shared" si="2130"/>
        <v>10078.736000000001</v>
      </c>
      <c r="Q42" s="40">
        <f t="shared" si="2130"/>
        <v>10078.736000000001</v>
      </c>
      <c r="R42" s="40">
        <f t="shared" si="2130"/>
        <v>10078.736000000001</v>
      </c>
      <c r="S42" s="40">
        <f t="shared" si="2130"/>
        <v>10078.736000000001</v>
      </c>
      <c r="T42" s="40">
        <f t="shared" si="2130"/>
        <v>10078.736000000001</v>
      </c>
      <c r="U42" s="40">
        <f t="shared" si="2130"/>
        <v>10078.736000000001</v>
      </c>
      <c r="V42" s="40">
        <f t="shared" si="2130"/>
        <v>10078.736000000001</v>
      </c>
      <c r="W42" s="40">
        <f t="shared" si="2130"/>
        <v>10078.736000000001</v>
      </c>
      <c r="X42" s="40">
        <f t="shared" si="2130"/>
        <v>10078.736000000001</v>
      </c>
      <c r="Y42" s="40">
        <f t="shared" si="2130"/>
        <v>10078.736000000001</v>
      </c>
      <c r="Z42" s="40">
        <f t="shared" si="2130"/>
        <v>10078.736000000001</v>
      </c>
      <c r="AA42" s="40">
        <f t="shared" si="2130"/>
        <v>10078.736000000001</v>
      </c>
      <c r="AB42" s="40">
        <f t="shared" si="2130"/>
        <v>10078.736000000001</v>
      </c>
      <c r="AC42" s="40">
        <f t="shared" si="2130"/>
        <v>10078.736000000001</v>
      </c>
      <c r="AD42" s="40">
        <f t="shared" si="2130"/>
        <v>10078.736000000001</v>
      </c>
      <c r="AE42" s="40">
        <f t="shared" si="2130"/>
        <v>10078.736000000001</v>
      </c>
      <c r="AF42" s="40">
        <f t="shared" si="2130"/>
        <v>10078.736000000001</v>
      </c>
      <c r="AG42" s="40">
        <f t="shared" si="2130"/>
        <v>10078.736000000001</v>
      </c>
      <c r="AH42" s="40">
        <f t="shared" si="2130"/>
        <v>10078.736000000001</v>
      </c>
      <c r="AI42" s="40">
        <f t="shared" si="2130"/>
        <v>10078.736000000001</v>
      </c>
      <c r="AJ42" s="40">
        <f t="shared" si="2130"/>
        <v>10078.736000000001</v>
      </c>
      <c r="AK42" s="40">
        <f t="shared" si="2130"/>
        <v>10078.736000000001</v>
      </c>
      <c r="AL42" s="40">
        <f t="shared" si="2130"/>
        <v>10078.736000000001</v>
      </c>
      <c r="AM42" s="40">
        <f t="shared" si="2130"/>
        <v>10078.736000000001</v>
      </c>
      <c r="AN42" s="40">
        <f t="shared" si="2130"/>
        <v>10078.736000000001</v>
      </c>
      <c r="AO42" s="40">
        <f t="shared" si="2130"/>
        <v>10078.736000000001</v>
      </c>
      <c r="AP42" s="40">
        <f t="shared" si="2130"/>
        <v>10078.736000000001</v>
      </c>
      <c r="AQ42" s="40">
        <f t="shared" si="2130"/>
        <v>10078.736000000001</v>
      </c>
      <c r="AR42" s="40">
        <f t="shared" si="2130"/>
        <v>10078.736000000001</v>
      </c>
      <c r="AS42" s="40">
        <f t="shared" si="2130"/>
        <v>10078.736000000001</v>
      </c>
      <c r="AT42" s="40">
        <f t="shared" si="2130"/>
        <v>10078.736000000001</v>
      </c>
      <c r="AU42" s="40">
        <f t="shared" si="2130"/>
        <v>10078.736000000001</v>
      </c>
      <c r="AV42" s="40">
        <f t="shared" si="2130"/>
        <v>10078.736000000001</v>
      </c>
      <c r="AW42" s="40">
        <f t="shared" si="2130"/>
        <v>10078.736000000001</v>
      </c>
      <c r="AX42" s="40">
        <f t="shared" si="2130"/>
        <v>10078.736000000001</v>
      </c>
      <c r="AY42" s="40">
        <f t="shared" si="2130"/>
        <v>10078.736000000001</v>
      </c>
      <c r="AZ42" s="40">
        <f t="shared" si="2130"/>
        <v>10078.736000000001</v>
      </c>
      <c r="BA42" s="40">
        <f t="shared" si="2130"/>
        <v>10078.736000000001</v>
      </c>
      <c r="BB42" s="40">
        <f t="shared" si="2130"/>
        <v>10078.736000000001</v>
      </c>
      <c r="BC42" s="40">
        <f t="shared" si="2130"/>
        <v>10078.736000000001</v>
      </c>
      <c r="BD42" s="40">
        <f t="shared" si="2130"/>
        <v>10078.736000000001</v>
      </c>
      <c r="BE42" s="40">
        <f t="shared" si="2130"/>
        <v>10078.736000000001</v>
      </c>
      <c r="BF42" s="40">
        <f t="shared" si="2130"/>
        <v>10078.736000000001</v>
      </c>
      <c r="BG42" s="40">
        <f t="shared" si="2130"/>
        <v>10078.736000000001</v>
      </c>
      <c r="BH42" s="40">
        <f t="shared" si="2130"/>
        <v>10078.736000000001</v>
      </c>
      <c r="BI42" s="40">
        <f t="shared" si="2130"/>
        <v>10078.736000000001</v>
      </c>
      <c r="BJ42" s="40">
        <f t="shared" si="2130"/>
        <v>10078.736000000001</v>
      </c>
      <c r="BK42" s="40">
        <f t="shared" si="2130"/>
        <v>10078.736000000001</v>
      </c>
      <c r="BL42" s="40">
        <f t="shared" si="2130"/>
        <v>10078.736000000001</v>
      </c>
      <c r="BM42" s="40">
        <f t="shared" si="2130"/>
        <v>10078.736000000001</v>
      </c>
      <c r="BN42" s="40">
        <f t="shared" si="2130"/>
        <v>10078.736000000001</v>
      </c>
      <c r="BO42" s="40">
        <f t="shared" si="2130"/>
        <v>10078.736000000001</v>
      </c>
      <c r="BP42" s="40">
        <f t="shared" si="2130"/>
        <v>10078.736000000001</v>
      </c>
      <c r="BQ42" s="40">
        <f t="shared" si="2130"/>
        <v>10078.736000000001</v>
      </c>
      <c r="BR42" s="40">
        <f t="shared" si="2130"/>
        <v>10078.736000000001</v>
      </c>
      <c r="BS42" s="40">
        <f t="shared" si="2130"/>
        <v>10078.736000000001</v>
      </c>
      <c r="BT42" s="40">
        <f t="shared" si="2130"/>
        <v>10078.736000000001</v>
      </c>
      <c r="BU42" s="40">
        <f t="shared" si="2130"/>
        <v>10078.736000000001</v>
      </c>
      <c r="BV42" s="40">
        <f t="shared" si="2130"/>
        <v>10078.736000000001</v>
      </c>
      <c r="BW42" s="40">
        <f t="shared" ref="BW42:EH42" si="2131">$D$42/12*BW41</f>
        <v>10078.736000000001</v>
      </c>
      <c r="BX42" s="40">
        <f t="shared" si="2131"/>
        <v>10078.736000000001</v>
      </c>
      <c r="BY42" s="40">
        <f t="shared" si="2131"/>
        <v>10078.736000000001</v>
      </c>
      <c r="BZ42" s="40">
        <f t="shared" si="2131"/>
        <v>10078.736000000001</v>
      </c>
      <c r="CA42" s="40">
        <f t="shared" si="2131"/>
        <v>10078.736000000001</v>
      </c>
      <c r="CB42" s="40">
        <f t="shared" si="2131"/>
        <v>10078.736000000001</v>
      </c>
      <c r="CC42" s="40">
        <f t="shared" si="2131"/>
        <v>10078.736000000001</v>
      </c>
      <c r="CD42" s="40">
        <f t="shared" si="2131"/>
        <v>10078.736000000001</v>
      </c>
      <c r="CE42" s="40">
        <f t="shared" si="2131"/>
        <v>10078.736000000001</v>
      </c>
      <c r="CF42" s="40">
        <f t="shared" si="2131"/>
        <v>10078.736000000001</v>
      </c>
      <c r="CG42" s="40">
        <f t="shared" si="2131"/>
        <v>10078.736000000001</v>
      </c>
      <c r="CH42" s="40">
        <f t="shared" si="2131"/>
        <v>10078.736000000001</v>
      </c>
      <c r="CI42" s="40">
        <f t="shared" si="2131"/>
        <v>10078.736000000001</v>
      </c>
      <c r="CJ42" s="40">
        <f t="shared" si="2131"/>
        <v>10078.736000000001</v>
      </c>
      <c r="CK42" s="40">
        <f t="shared" si="2131"/>
        <v>10078.736000000001</v>
      </c>
      <c r="CL42" s="40">
        <f t="shared" si="2131"/>
        <v>10078.736000000001</v>
      </c>
      <c r="CM42" s="40">
        <f t="shared" si="2131"/>
        <v>10078.736000000001</v>
      </c>
      <c r="CN42" s="40">
        <f t="shared" si="2131"/>
        <v>10078.736000000001</v>
      </c>
      <c r="CO42" s="40">
        <f t="shared" si="2131"/>
        <v>10078.736000000001</v>
      </c>
      <c r="CP42" s="40">
        <f t="shared" si="2131"/>
        <v>10078.736000000001</v>
      </c>
      <c r="CQ42" s="40">
        <f t="shared" si="2131"/>
        <v>10078.736000000001</v>
      </c>
      <c r="CR42" s="40">
        <f t="shared" si="2131"/>
        <v>10078.736000000001</v>
      </c>
      <c r="CS42" s="40">
        <f t="shared" si="2131"/>
        <v>10078.736000000001</v>
      </c>
      <c r="CT42" s="40">
        <f t="shared" si="2131"/>
        <v>10078.736000000001</v>
      </c>
      <c r="CU42" s="40">
        <f t="shared" si="2131"/>
        <v>10078.736000000001</v>
      </c>
      <c r="CV42" s="40">
        <f t="shared" si="2131"/>
        <v>10078.736000000001</v>
      </c>
      <c r="CW42" s="40">
        <f t="shared" si="2131"/>
        <v>10078.736000000001</v>
      </c>
      <c r="CX42" s="40">
        <f t="shared" si="2131"/>
        <v>10078.736000000001</v>
      </c>
      <c r="CY42" s="40">
        <f t="shared" si="2131"/>
        <v>10078.736000000001</v>
      </c>
      <c r="CZ42" s="40">
        <f t="shared" si="2131"/>
        <v>10078.736000000001</v>
      </c>
      <c r="DA42" s="40">
        <f t="shared" si="2131"/>
        <v>10078.736000000001</v>
      </c>
      <c r="DB42" s="40">
        <f t="shared" si="2131"/>
        <v>10078.736000000001</v>
      </c>
      <c r="DC42" s="40">
        <f t="shared" si="2131"/>
        <v>10078.736000000001</v>
      </c>
      <c r="DD42" s="40">
        <f t="shared" si="2131"/>
        <v>10078.736000000001</v>
      </c>
      <c r="DE42" s="40">
        <f t="shared" si="2131"/>
        <v>10078.736000000001</v>
      </c>
      <c r="DF42" s="40">
        <f t="shared" si="2131"/>
        <v>10078.736000000001</v>
      </c>
      <c r="DG42" s="40">
        <f t="shared" si="2131"/>
        <v>10078.736000000001</v>
      </c>
      <c r="DH42" s="40">
        <f t="shared" si="2131"/>
        <v>10078.736000000001</v>
      </c>
      <c r="DI42" s="40">
        <f t="shared" si="2131"/>
        <v>10078.736000000001</v>
      </c>
      <c r="DJ42" s="40">
        <f t="shared" si="2131"/>
        <v>10078.736000000001</v>
      </c>
      <c r="DK42" s="40">
        <f t="shared" si="2131"/>
        <v>10078.736000000001</v>
      </c>
      <c r="DL42" s="40">
        <f t="shared" si="2131"/>
        <v>10078.736000000001</v>
      </c>
      <c r="DM42" s="40">
        <f t="shared" si="2131"/>
        <v>10078.736000000001</v>
      </c>
      <c r="DN42" s="40">
        <f t="shared" si="2131"/>
        <v>10078.736000000001</v>
      </c>
      <c r="DO42" s="40">
        <f t="shared" si="2131"/>
        <v>10078.736000000001</v>
      </c>
      <c r="DP42" s="40">
        <f t="shared" si="2131"/>
        <v>10078.736000000001</v>
      </c>
      <c r="DQ42" s="40">
        <f t="shared" si="2131"/>
        <v>10078.736000000001</v>
      </c>
      <c r="DR42" s="40">
        <f t="shared" si="2131"/>
        <v>10078.736000000001</v>
      </c>
      <c r="DS42" s="40">
        <f t="shared" si="2131"/>
        <v>10078.736000000001</v>
      </c>
      <c r="DT42" s="40">
        <f t="shared" si="2131"/>
        <v>10078.736000000001</v>
      </c>
      <c r="DU42" s="40">
        <f t="shared" si="2131"/>
        <v>10078.736000000001</v>
      </c>
      <c r="DV42" s="40">
        <f t="shared" si="2131"/>
        <v>10078.736000000001</v>
      </c>
      <c r="DW42" s="40">
        <f t="shared" si="2131"/>
        <v>10078.736000000001</v>
      </c>
      <c r="DX42" s="40">
        <f t="shared" si="2131"/>
        <v>10078.736000000001</v>
      </c>
      <c r="DY42" s="40">
        <f t="shared" si="2131"/>
        <v>10078.736000000001</v>
      </c>
      <c r="DZ42" s="40">
        <f t="shared" si="2131"/>
        <v>10078.736000000001</v>
      </c>
      <c r="EA42" s="40">
        <f t="shared" si="2131"/>
        <v>10078.736000000001</v>
      </c>
      <c r="EB42" s="40">
        <f t="shared" si="2131"/>
        <v>10078.736000000001</v>
      </c>
      <c r="EC42" s="40">
        <f t="shared" si="2131"/>
        <v>10078.736000000001</v>
      </c>
      <c r="ED42" s="40">
        <f t="shared" si="2131"/>
        <v>10078.736000000001</v>
      </c>
      <c r="EE42" s="40">
        <f t="shared" si="2131"/>
        <v>10078.736000000001</v>
      </c>
      <c r="EF42" s="40">
        <f t="shared" si="2131"/>
        <v>10078.736000000001</v>
      </c>
      <c r="EG42" s="40">
        <f t="shared" si="2131"/>
        <v>10078.736000000001</v>
      </c>
      <c r="EH42" s="40">
        <f t="shared" si="2131"/>
        <v>10078.736000000001</v>
      </c>
      <c r="EI42" s="40">
        <f t="shared" ref="EI42:GT42" si="2132">$D$42/12*EI41</f>
        <v>10078.736000000001</v>
      </c>
      <c r="EJ42" s="40">
        <f t="shared" si="2132"/>
        <v>10078.736000000001</v>
      </c>
      <c r="EK42" s="40">
        <f t="shared" si="2132"/>
        <v>10078.736000000001</v>
      </c>
      <c r="EL42" s="40">
        <f t="shared" si="2132"/>
        <v>10078.736000000001</v>
      </c>
      <c r="EM42" s="40">
        <f t="shared" si="2132"/>
        <v>10078.736000000001</v>
      </c>
      <c r="EN42" s="40">
        <f t="shared" si="2132"/>
        <v>10078.736000000001</v>
      </c>
      <c r="EO42" s="40">
        <f t="shared" si="2132"/>
        <v>10078.736000000001</v>
      </c>
      <c r="EP42" s="40">
        <f t="shared" si="2132"/>
        <v>10078.736000000001</v>
      </c>
      <c r="EQ42" s="40">
        <f t="shared" si="2132"/>
        <v>10078.736000000001</v>
      </c>
      <c r="ER42" s="40">
        <f t="shared" si="2132"/>
        <v>10078.736000000001</v>
      </c>
      <c r="ES42" s="40">
        <f t="shared" si="2132"/>
        <v>10078.736000000001</v>
      </c>
      <c r="ET42" s="40">
        <f t="shared" si="2132"/>
        <v>10078.736000000001</v>
      </c>
      <c r="EU42" s="40">
        <f t="shared" si="2132"/>
        <v>10078.736000000001</v>
      </c>
      <c r="EV42" s="40">
        <f t="shared" si="2132"/>
        <v>10078.736000000001</v>
      </c>
      <c r="EW42" s="40">
        <f t="shared" si="2132"/>
        <v>10078.736000000001</v>
      </c>
      <c r="EX42" s="40">
        <f t="shared" si="2132"/>
        <v>10078.736000000001</v>
      </c>
      <c r="EY42" s="40">
        <f t="shared" si="2132"/>
        <v>10078.736000000001</v>
      </c>
      <c r="EZ42" s="40">
        <f t="shared" si="2132"/>
        <v>10078.736000000001</v>
      </c>
      <c r="FA42" s="40">
        <f t="shared" si="2132"/>
        <v>10078.736000000001</v>
      </c>
      <c r="FB42" s="40">
        <f t="shared" si="2132"/>
        <v>10078.736000000001</v>
      </c>
      <c r="FC42" s="40">
        <f t="shared" si="2132"/>
        <v>10078.736000000001</v>
      </c>
      <c r="FD42" s="40">
        <f t="shared" si="2132"/>
        <v>10078.736000000001</v>
      </c>
      <c r="FE42" s="40">
        <f t="shared" si="2132"/>
        <v>10078.736000000001</v>
      </c>
      <c r="FF42" s="40">
        <f t="shared" si="2132"/>
        <v>10078.736000000001</v>
      </c>
      <c r="FG42" s="40">
        <f t="shared" si="2132"/>
        <v>10078.736000000001</v>
      </c>
      <c r="FH42" s="40">
        <f t="shared" si="2132"/>
        <v>10078.736000000001</v>
      </c>
      <c r="FI42" s="40">
        <f t="shared" si="2132"/>
        <v>10078.736000000001</v>
      </c>
      <c r="FJ42" s="40">
        <f t="shared" si="2132"/>
        <v>10078.736000000001</v>
      </c>
      <c r="FK42" s="40">
        <f t="shared" si="2132"/>
        <v>10078.736000000001</v>
      </c>
      <c r="FL42" s="40">
        <f t="shared" si="2132"/>
        <v>10078.736000000001</v>
      </c>
      <c r="FM42" s="40">
        <f t="shared" si="2132"/>
        <v>10078.736000000001</v>
      </c>
      <c r="FN42" s="40">
        <f t="shared" si="2132"/>
        <v>10078.736000000001</v>
      </c>
      <c r="FO42" s="40">
        <f t="shared" si="2132"/>
        <v>10078.736000000001</v>
      </c>
      <c r="FP42" s="40">
        <f t="shared" si="2132"/>
        <v>10078.736000000001</v>
      </c>
      <c r="FQ42" s="40">
        <f t="shared" si="2132"/>
        <v>10078.736000000001</v>
      </c>
      <c r="FR42" s="40">
        <f t="shared" si="2132"/>
        <v>10078.736000000001</v>
      </c>
      <c r="FS42" s="40">
        <f t="shared" si="2132"/>
        <v>10078.736000000001</v>
      </c>
      <c r="FT42" s="40">
        <f t="shared" si="2132"/>
        <v>10078.736000000001</v>
      </c>
      <c r="FU42" s="40">
        <f t="shared" si="2132"/>
        <v>10078.736000000001</v>
      </c>
      <c r="FV42" s="40">
        <f t="shared" si="2132"/>
        <v>10078.736000000001</v>
      </c>
      <c r="FW42" s="40">
        <f t="shared" si="2132"/>
        <v>10078.736000000001</v>
      </c>
      <c r="FX42" s="40">
        <f t="shared" si="2132"/>
        <v>10078.736000000001</v>
      </c>
      <c r="FY42" s="40">
        <f t="shared" si="2132"/>
        <v>10078.736000000001</v>
      </c>
      <c r="FZ42" s="40">
        <f t="shared" si="2132"/>
        <v>10078.736000000001</v>
      </c>
      <c r="GA42" s="40">
        <f t="shared" si="2132"/>
        <v>10078.736000000001</v>
      </c>
      <c r="GB42" s="40">
        <f t="shared" si="2132"/>
        <v>10078.736000000001</v>
      </c>
      <c r="GC42" s="40">
        <f t="shared" si="2132"/>
        <v>10078.736000000001</v>
      </c>
      <c r="GD42" s="40">
        <f t="shared" si="2132"/>
        <v>10078.736000000001</v>
      </c>
      <c r="GE42" s="40">
        <f t="shared" si="2132"/>
        <v>10078.736000000001</v>
      </c>
      <c r="GF42" s="40">
        <f t="shared" si="2132"/>
        <v>10078.736000000001</v>
      </c>
      <c r="GG42" s="40">
        <f t="shared" ca="1" si="2132"/>
        <v>0</v>
      </c>
      <c r="GH42" s="40">
        <f t="shared" ca="1" si="2132"/>
        <v>0</v>
      </c>
      <c r="GI42" s="40">
        <f t="shared" ca="1" si="2132"/>
        <v>0</v>
      </c>
      <c r="GJ42" s="40">
        <f t="shared" ca="1" si="2132"/>
        <v>0</v>
      </c>
      <c r="GK42" s="40">
        <f t="shared" ca="1" si="2132"/>
        <v>0</v>
      </c>
      <c r="GL42" s="40">
        <f t="shared" ca="1" si="2132"/>
        <v>0</v>
      </c>
      <c r="GM42" s="40">
        <f t="shared" ca="1" si="2132"/>
        <v>0</v>
      </c>
      <c r="GN42" s="40">
        <f t="shared" ca="1" si="2132"/>
        <v>0</v>
      </c>
      <c r="GO42" s="40">
        <f t="shared" ca="1" si="2132"/>
        <v>0</v>
      </c>
      <c r="GP42" s="40">
        <f t="shared" ca="1" si="2132"/>
        <v>0</v>
      </c>
      <c r="GQ42" s="40">
        <f t="shared" ca="1" si="2132"/>
        <v>0</v>
      </c>
      <c r="GR42" s="40">
        <f t="shared" ca="1" si="2132"/>
        <v>0</v>
      </c>
      <c r="GS42" s="40">
        <f t="shared" ca="1" si="2132"/>
        <v>0</v>
      </c>
      <c r="GT42" s="40">
        <f t="shared" ca="1" si="2132"/>
        <v>0</v>
      </c>
      <c r="GU42" s="40">
        <f t="shared" ref="GU42:IN42" ca="1" si="2133">$D$42/12*GU41</f>
        <v>0</v>
      </c>
      <c r="GV42" s="40">
        <f t="shared" ca="1" si="2133"/>
        <v>0</v>
      </c>
      <c r="GW42" s="40">
        <f t="shared" ca="1" si="2133"/>
        <v>0</v>
      </c>
      <c r="GX42" s="40">
        <f t="shared" ca="1" si="2133"/>
        <v>0</v>
      </c>
      <c r="GY42" s="40">
        <f t="shared" ca="1" si="2133"/>
        <v>0</v>
      </c>
      <c r="GZ42" s="40">
        <f t="shared" ca="1" si="2133"/>
        <v>0</v>
      </c>
      <c r="HA42" s="40">
        <f t="shared" ca="1" si="2133"/>
        <v>0</v>
      </c>
      <c r="HB42" s="40">
        <f t="shared" ca="1" si="2133"/>
        <v>0</v>
      </c>
      <c r="HC42" s="40">
        <f t="shared" ca="1" si="2133"/>
        <v>0</v>
      </c>
      <c r="HD42" s="40">
        <f t="shared" ca="1" si="2133"/>
        <v>0</v>
      </c>
      <c r="HE42" s="40">
        <f t="shared" ca="1" si="2133"/>
        <v>0</v>
      </c>
      <c r="HF42" s="40">
        <f t="shared" ca="1" si="2133"/>
        <v>0</v>
      </c>
      <c r="HG42" s="40">
        <f t="shared" ca="1" si="2133"/>
        <v>0</v>
      </c>
      <c r="HH42" s="40">
        <f t="shared" ca="1" si="2133"/>
        <v>0</v>
      </c>
      <c r="HI42" s="40">
        <f t="shared" ca="1" si="2133"/>
        <v>0</v>
      </c>
      <c r="HJ42" s="40">
        <f t="shared" ca="1" si="2133"/>
        <v>0</v>
      </c>
      <c r="HK42" s="40">
        <f t="shared" ca="1" si="2133"/>
        <v>0</v>
      </c>
      <c r="HL42" s="40">
        <f t="shared" ca="1" si="2133"/>
        <v>0</v>
      </c>
      <c r="HM42" s="40">
        <f t="shared" ca="1" si="2133"/>
        <v>0</v>
      </c>
      <c r="HN42" s="40">
        <f t="shared" ca="1" si="2133"/>
        <v>0</v>
      </c>
      <c r="HO42" s="40">
        <f t="shared" ca="1" si="2133"/>
        <v>0</v>
      </c>
      <c r="HP42" s="40">
        <f t="shared" ca="1" si="2133"/>
        <v>0</v>
      </c>
      <c r="HQ42" s="40">
        <f t="shared" ca="1" si="2133"/>
        <v>0</v>
      </c>
      <c r="HR42" s="40">
        <f t="shared" ca="1" si="2133"/>
        <v>0</v>
      </c>
      <c r="HS42" s="40">
        <f t="shared" ca="1" si="2133"/>
        <v>0</v>
      </c>
      <c r="HT42" s="40">
        <f t="shared" ca="1" si="2133"/>
        <v>0</v>
      </c>
      <c r="HU42" s="40">
        <f t="shared" ca="1" si="2133"/>
        <v>0</v>
      </c>
      <c r="HV42" s="40">
        <f t="shared" ca="1" si="2133"/>
        <v>0</v>
      </c>
      <c r="HW42" s="40">
        <f t="shared" ca="1" si="2133"/>
        <v>0</v>
      </c>
      <c r="HX42" s="40">
        <f t="shared" ca="1" si="2133"/>
        <v>0</v>
      </c>
      <c r="HY42" s="40">
        <f t="shared" ca="1" si="2133"/>
        <v>0</v>
      </c>
      <c r="HZ42" s="40">
        <f t="shared" ca="1" si="2133"/>
        <v>0</v>
      </c>
      <c r="IA42" s="40">
        <f t="shared" ca="1" si="2133"/>
        <v>0</v>
      </c>
      <c r="IB42" s="40">
        <f t="shared" ca="1" si="2133"/>
        <v>0</v>
      </c>
      <c r="IC42" s="40">
        <f t="shared" ca="1" si="2133"/>
        <v>0</v>
      </c>
      <c r="ID42" s="40">
        <f t="shared" ca="1" si="2133"/>
        <v>0</v>
      </c>
      <c r="IE42" s="40">
        <f t="shared" ca="1" si="2133"/>
        <v>0</v>
      </c>
      <c r="IF42" s="40">
        <f t="shared" ca="1" si="2133"/>
        <v>0</v>
      </c>
      <c r="IG42" s="40">
        <f t="shared" ca="1" si="2133"/>
        <v>0</v>
      </c>
      <c r="IH42" s="40">
        <f t="shared" ca="1" si="2133"/>
        <v>0</v>
      </c>
      <c r="II42" s="40">
        <f t="shared" ca="1" si="2133"/>
        <v>0</v>
      </c>
      <c r="IJ42" s="40">
        <f t="shared" ca="1" si="2133"/>
        <v>0</v>
      </c>
      <c r="IK42" s="40">
        <f t="shared" ca="1" si="2133"/>
        <v>0</v>
      </c>
      <c r="IL42" s="40">
        <f t="shared" ca="1" si="2133"/>
        <v>0</v>
      </c>
      <c r="IM42" s="40">
        <f t="shared" ca="1" si="2133"/>
        <v>0</v>
      </c>
      <c r="IN42" s="40">
        <f t="shared" ca="1" si="2133"/>
        <v>0</v>
      </c>
      <c r="IO42" s="40">
        <f t="shared" ref="IO42:KZ42" ca="1" si="2134">$D$42/12*IO41</f>
        <v>0</v>
      </c>
      <c r="IP42" s="40">
        <f t="shared" ca="1" si="2134"/>
        <v>0</v>
      </c>
      <c r="IQ42" s="40">
        <f t="shared" ca="1" si="2134"/>
        <v>0</v>
      </c>
      <c r="IR42" s="40">
        <f t="shared" ca="1" si="2134"/>
        <v>0</v>
      </c>
      <c r="IS42" s="40">
        <f t="shared" ca="1" si="2134"/>
        <v>0</v>
      </c>
      <c r="IT42" s="40">
        <f t="shared" ca="1" si="2134"/>
        <v>0</v>
      </c>
      <c r="IU42" s="40">
        <f t="shared" ca="1" si="2134"/>
        <v>0</v>
      </c>
      <c r="IV42" s="40">
        <f t="shared" ca="1" si="2134"/>
        <v>0</v>
      </c>
      <c r="IW42" s="40">
        <f t="shared" ca="1" si="2134"/>
        <v>0</v>
      </c>
      <c r="IX42" s="40">
        <f t="shared" ca="1" si="2134"/>
        <v>0</v>
      </c>
      <c r="IY42" s="40">
        <f t="shared" ca="1" si="2134"/>
        <v>0</v>
      </c>
      <c r="IZ42" s="40">
        <f t="shared" ca="1" si="2134"/>
        <v>0</v>
      </c>
      <c r="JA42" s="40">
        <f t="shared" ca="1" si="2134"/>
        <v>0</v>
      </c>
      <c r="JB42" s="40">
        <f t="shared" ca="1" si="2134"/>
        <v>0</v>
      </c>
      <c r="JC42" s="40">
        <f t="shared" ca="1" si="2134"/>
        <v>0</v>
      </c>
      <c r="JD42" s="40">
        <f t="shared" ca="1" si="2134"/>
        <v>0</v>
      </c>
      <c r="JE42" s="40">
        <f t="shared" ca="1" si="2134"/>
        <v>0</v>
      </c>
      <c r="JF42" s="40">
        <f t="shared" ca="1" si="2134"/>
        <v>0</v>
      </c>
      <c r="JG42" s="40">
        <f t="shared" ca="1" si="2134"/>
        <v>0</v>
      </c>
      <c r="JH42" s="40">
        <f t="shared" ca="1" si="2134"/>
        <v>0</v>
      </c>
      <c r="JI42" s="40">
        <f t="shared" ca="1" si="2134"/>
        <v>0</v>
      </c>
      <c r="JJ42" s="40">
        <f t="shared" ca="1" si="2134"/>
        <v>0</v>
      </c>
      <c r="JK42" s="40">
        <f t="shared" ca="1" si="2134"/>
        <v>0</v>
      </c>
      <c r="JL42" s="40">
        <f t="shared" ca="1" si="2134"/>
        <v>0</v>
      </c>
      <c r="JM42" s="40">
        <f t="shared" ca="1" si="2134"/>
        <v>0</v>
      </c>
      <c r="JN42" s="40">
        <f t="shared" ca="1" si="2134"/>
        <v>0</v>
      </c>
      <c r="JO42" s="40">
        <f t="shared" ca="1" si="2134"/>
        <v>0</v>
      </c>
      <c r="JP42" s="40">
        <f t="shared" ca="1" si="2134"/>
        <v>0</v>
      </c>
      <c r="JQ42" s="40">
        <f t="shared" ca="1" si="2134"/>
        <v>0</v>
      </c>
      <c r="JR42" s="40">
        <f t="shared" ca="1" si="2134"/>
        <v>0</v>
      </c>
      <c r="JS42" s="40">
        <f t="shared" ca="1" si="2134"/>
        <v>0</v>
      </c>
      <c r="JT42" s="40">
        <f t="shared" ca="1" si="2134"/>
        <v>0</v>
      </c>
      <c r="JU42" s="40">
        <f t="shared" ca="1" si="2134"/>
        <v>0</v>
      </c>
      <c r="JV42" s="40">
        <f t="shared" ca="1" si="2134"/>
        <v>0</v>
      </c>
      <c r="JW42" s="40">
        <f t="shared" ca="1" si="2134"/>
        <v>0</v>
      </c>
      <c r="JX42" s="40">
        <f t="shared" ca="1" si="2134"/>
        <v>0</v>
      </c>
      <c r="JY42" s="40">
        <f t="shared" ca="1" si="2134"/>
        <v>0</v>
      </c>
      <c r="JZ42" s="40">
        <f t="shared" ca="1" si="2134"/>
        <v>0</v>
      </c>
      <c r="KA42" s="40">
        <f t="shared" ca="1" si="2134"/>
        <v>0</v>
      </c>
      <c r="KB42" s="40">
        <f t="shared" ca="1" si="2134"/>
        <v>0</v>
      </c>
      <c r="KC42" s="40">
        <f t="shared" ca="1" si="2134"/>
        <v>0</v>
      </c>
      <c r="KD42" s="40">
        <f t="shared" ca="1" si="2134"/>
        <v>0</v>
      </c>
      <c r="KE42" s="40">
        <f t="shared" ca="1" si="2134"/>
        <v>0</v>
      </c>
      <c r="KF42" s="40">
        <f t="shared" ca="1" si="2134"/>
        <v>0</v>
      </c>
      <c r="KG42" s="40">
        <f t="shared" ca="1" si="2134"/>
        <v>0</v>
      </c>
      <c r="KH42" s="40">
        <f t="shared" ca="1" si="2134"/>
        <v>0</v>
      </c>
      <c r="KI42" s="40">
        <f t="shared" ca="1" si="2134"/>
        <v>0</v>
      </c>
      <c r="KJ42" s="40">
        <f t="shared" ca="1" si="2134"/>
        <v>0</v>
      </c>
      <c r="KK42" s="40">
        <f t="shared" ca="1" si="2134"/>
        <v>0</v>
      </c>
      <c r="KL42" s="40">
        <f t="shared" ca="1" si="2134"/>
        <v>0</v>
      </c>
      <c r="KM42" s="40">
        <f t="shared" ca="1" si="2134"/>
        <v>0</v>
      </c>
      <c r="KN42" s="40">
        <f t="shared" ca="1" si="2134"/>
        <v>0</v>
      </c>
      <c r="KO42" s="40">
        <f t="shared" ca="1" si="2134"/>
        <v>0</v>
      </c>
      <c r="KP42" s="40">
        <f t="shared" ca="1" si="2134"/>
        <v>0</v>
      </c>
      <c r="KQ42" s="40">
        <f t="shared" ca="1" si="2134"/>
        <v>0</v>
      </c>
      <c r="KR42" s="40">
        <f t="shared" ca="1" si="2134"/>
        <v>0</v>
      </c>
      <c r="KS42" s="40">
        <f t="shared" ca="1" si="2134"/>
        <v>0</v>
      </c>
      <c r="KT42" s="40">
        <f t="shared" ca="1" si="2134"/>
        <v>0</v>
      </c>
      <c r="KU42" s="40">
        <f t="shared" ca="1" si="2134"/>
        <v>0</v>
      </c>
      <c r="KV42" s="40">
        <f t="shared" ca="1" si="2134"/>
        <v>0</v>
      </c>
      <c r="KW42" s="40">
        <f t="shared" ca="1" si="2134"/>
        <v>0</v>
      </c>
      <c r="KX42" s="40">
        <f t="shared" ca="1" si="2134"/>
        <v>0</v>
      </c>
      <c r="KY42" s="40">
        <f t="shared" ca="1" si="2134"/>
        <v>0</v>
      </c>
      <c r="KZ42" s="40">
        <f t="shared" ca="1" si="2134"/>
        <v>0</v>
      </c>
      <c r="LA42" s="40">
        <f t="shared" ref="LA42:ND42" ca="1" si="2135">$D$42/12*LA41</f>
        <v>0</v>
      </c>
      <c r="LB42" s="40">
        <f t="shared" ca="1" si="2135"/>
        <v>0</v>
      </c>
      <c r="LC42" s="40">
        <f t="shared" ca="1" si="2135"/>
        <v>0</v>
      </c>
      <c r="LD42" s="40">
        <f t="shared" ca="1" si="2135"/>
        <v>0</v>
      </c>
      <c r="LE42" s="40">
        <f t="shared" ca="1" si="2135"/>
        <v>0</v>
      </c>
      <c r="LF42" s="40">
        <f t="shared" ca="1" si="2135"/>
        <v>0</v>
      </c>
      <c r="LG42" s="40">
        <f t="shared" ca="1" si="2135"/>
        <v>0</v>
      </c>
      <c r="LH42" s="40">
        <f t="shared" ca="1" si="2135"/>
        <v>0</v>
      </c>
      <c r="LI42" s="40">
        <f t="shared" ca="1" si="2135"/>
        <v>0</v>
      </c>
      <c r="LJ42" s="40">
        <f t="shared" ca="1" si="2135"/>
        <v>0</v>
      </c>
      <c r="LK42" s="40">
        <f t="shared" ca="1" si="2135"/>
        <v>0</v>
      </c>
      <c r="LL42" s="40">
        <f t="shared" ca="1" si="2135"/>
        <v>0</v>
      </c>
      <c r="LM42" s="40">
        <f t="shared" ca="1" si="2135"/>
        <v>0</v>
      </c>
      <c r="LN42" s="40">
        <f t="shared" ca="1" si="2135"/>
        <v>0</v>
      </c>
      <c r="LO42" s="40">
        <f t="shared" ca="1" si="2135"/>
        <v>0</v>
      </c>
      <c r="LP42" s="40">
        <f t="shared" ca="1" si="2135"/>
        <v>0</v>
      </c>
      <c r="LQ42" s="40">
        <f t="shared" ca="1" si="2135"/>
        <v>0</v>
      </c>
      <c r="LR42" s="40">
        <f t="shared" ca="1" si="2135"/>
        <v>0</v>
      </c>
      <c r="LS42" s="40">
        <f t="shared" ca="1" si="2135"/>
        <v>0</v>
      </c>
      <c r="LT42" s="40">
        <f t="shared" ca="1" si="2135"/>
        <v>0</v>
      </c>
      <c r="LU42" s="40">
        <f t="shared" ca="1" si="2135"/>
        <v>0</v>
      </c>
      <c r="LV42" s="40">
        <f t="shared" ca="1" si="2135"/>
        <v>0</v>
      </c>
      <c r="LW42" s="40">
        <f t="shared" ca="1" si="2135"/>
        <v>0</v>
      </c>
      <c r="LX42" s="40">
        <f t="shared" ca="1" si="2135"/>
        <v>0</v>
      </c>
      <c r="LY42" s="40">
        <f t="shared" ca="1" si="2135"/>
        <v>0</v>
      </c>
      <c r="LZ42" s="40">
        <f t="shared" ca="1" si="2135"/>
        <v>0</v>
      </c>
      <c r="MA42" s="40">
        <f t="shared" ca="1" si="2135"/>
        <v>0</v>
      </c>
      <c r="MB42" s="40">
        <f t="shared" ca="1" si="2135"/>
        <v>0</v>
      </c>
      <c r="MC42" s="40">
        <f t="shared" ca="1" si="2135"/>
        <v>0</v>
      </c>
      <c r="MD42" s="40">
        <f t="shared" ca="1" si="2135"/>
        <v>0</v>
      </c>
      <c r="ME42" s="40">
        <f t="shared" ca="1" si="2135"/>
        <v>0</v>
      </c>
      <c r="MF42" s="40">
        <f t="shared" ca="1" si="2135"/>
        <v>0</v>
      </c>
      <c r="MG42" s="40">
        <f t="shared" ca="1" si="2135"/>
        <v>0</v>
      </c>
      <c r="MH42" s="40">
        <f t="shared" ca="1" si="2135"/>
        <v>0</v>
      </c>
      <c r="MI42" s="40">
        <f t="shared" ca="1" si="2135"/>
        <v>0</v>
      </c>
      <c r="MJ42" s="40">
        <f t="shared" ca="1" si="2135"/>
        <v>0</v>
      </c>
      <c r="MK42" s="40">
        <f t="shared" ca="1" si="2135"/>
        <v>0</v>
      </c>
      <c r="ML42" s="40">
        <f t="shared" ca="1" si="2135"/>
        <v>0</v>
      </c>
      <c r="MM42" s="40">
        <f t="shared" ca="1" si="2135"/>
        <v>0</v>
      </c>
      <c r="MN42" s="40">
        <f t="shared" ca="1" si="2135"/>
        <v>0</v>
      </c>
      <c r="MO42" s="40">
        <f t="shared" ca="1" si="2135"/>
        <v>0</v>
      </c>
      <c r="MP42" s="40">
        <f t="shared" ca="1" si="2135"/>
        <v>0</v>
      </c>
      <c r="MQ42" s="40">
        <f t="shared" ca="1" si="2135"/>
        <v>0</v>
      </c>
      <c r="MR42" s="40">
        <f t="shared" ca="1" si="2135"/>
        <v>0</v>
      </c>
      <c r="MS42" s="40">
        <f t="shared" ca="1" si="2135"/>
        <v>0</v>
      </c>
      <c r="MT42" s="40">
        <f t="shared" ca="1" si="2135"/>
        <v>0</v>
      </c>
      <c r="MU42" s="40">
        <f t="shared" ca="1" si="2135"/>
        <v>0</v>
      </c>
      <c r="MV42" s="40">
        <f t="shared" ca="1" si="2135"/>
        <v>0</v>
      </c>
      <c r="MW42" s="40">
        <f t="shared" ca="1" si="2135"/>
        <v>0</v>
      </c>
      <c r="MX42" s="40">
        <f t="shared" ca="1" si="2135"/>
        <v>0</v>
      </c>
      <c r="MY42" s="40">
        <f t="shared" ca="1" si="2135"/>
        <v>0</v>
      </c>
      <c r="MZ42" s="40">
        <f t="shared" ca="1" si="2135"/>
        <v>0</v>
      </c>
      <c r="NA42" s="40">
        <f t="shared" ca="1" si="2135"/>
        <v>0</v>
      </c>
      <c r="NB42" s="40">
        <f t="shared" ca="1" si="2135"/>
        <v>0</v>
      </c>
      <c r="NC42" s="40">
        <f t="shared" ca="1" si="2135"/>
        <v>0</v>
      </c>
      <c r="ND42" s="40">
        <f t="shared" ca="1" si="2135"/>
        <v>0</v>
      </c>
      <c r="NE42" s="40"/>
      <c r="NF42" s="40"/>
      <c r="NG42" s="40"/>
      <c r="NH42" s="40"/>
      <c r="NI42" s="40"/>
      <c r="NJ42" s="40"/>
      <c r="NK42" s="40"/>
      <c r="NL42" s="40"/>
      <c r="NM42" s="40"/>
      <c r="NN42" s="40"/>
      <c r="NO42" s="40"/>
      <c r="NP42" s="40"/>
      <c r="NQ42" s="40"/>
      <c r="NR42" s="40"/>
    </row>
    <row r="43" spans="2:382" x14ac:dyDescent="0.15">
      <c r="B43" s="518"/>
      <c r="C43" s="115" t="str">
        <f>_xlfn.CONCAT($C$5," Preferred Return Account")</f>
        <v>Chris Preferred Return Account</v>
      </c>
      <c r="D43" s="52"/>
      <c r="E43" s="40"/>
      <c r="F43" s="40"/>
      <c r="G43" s="114"/>
      <c r="H43" s="40"/>
      <c r="I43" s="117">
        <f>G43-G44+I42</f>
        <v>10078.736000000001</v>
      </c>
      <c r="J43" s="117">
        <f t="shared" ref="J43" si="2136">I43-I44+J42</f>
        <v>62742.156430000003</v>
      </c>
      <c r="K43" s="117">
        <f t="shared" ref="K43" si="2137">J43-J44+K42</f>
        <v>115405.57686</v>
      </c>
      <c r="L43" s="117">
        <f t="shared" ref="L43" si="2138">K43-K44+L42</f>
        <v>168068.99729</v>
      </c>
      <c r="M43" s="117">
        <f t="shared" ref="M43" si="2139">L43-L44+M42</f>
        <v>178147.73329</v>
      </c>
      <c r="N43" s="117">
        <f t="shared" ref="N43" si="2140">M43-M44+N42</f>
        <v>188226.46929000001</v>
      </c>
      <c r="O43" s="117">
        <f t="shared" ref="O43" si="2141">N43-N44+O42</f>
        <v>198305.20529000001</v>
      </c>
      <c r="P43" s="117">
        <f t="shared" ref="P43" si="2142">O43-O44+P42</f>
        <v>208383.94129000002</v>
      </c>
      <c r="Q43" s="117">
        <f t="shared" ref="Q43" si="2143">P43-P44+Q42</f>
        <v>218462.67729000002</v>
      </c>
      <c r="R43" s="117">
        <f t="shared" ref="R43" si="2144">Q43-Q44+R42</f>
        <v>228541.41329000003</v>
      </c>
      <c r="S43" s="117">
        <f t="shared" ref="S43" si="2145">R43-R44+S42</f>
        <v>238620.14929000003</v>
      </c>
      <c r="T43" s="117">
        <f t="shared" ref="T43" si="2146">S43-S44+T42</f>
        <v>248698.88529000003</v>
      </c>
      <c r="U43" s="117">
        <f t="shared" ref="U43" si="2147">T43-T44+U42</f>
        <v>258777.62129000004</v>
      </c>
      <c r="V43" s="117">
        <f t="shared" ref="V43" si="2148">U43-U44+V42</f>
        <v>268856.35729000001</v>
      </c>
      <c r="W43" s="117">
        <f t="shared" ref="W43" si="2149">V43-V44+W42</f>
        <v>278935.09328999999</v>
      </c>
      <c r="X43" s="117">
        <f t="shared" ref="X43" si="2150">W43-W44+X42</f>
        <v>289013.82928999997</v>
      </c>
      <c r="Y43" s="117">
        <f t="shared" ref="Y43" si="2151">X43-X44+Y42</f>
        <v>299092.56528999994</v>
      </c>
      <c r="Z43" s="117">
        <f t="shared" ref="Z43" si="2152">Y43-Y44+Z42</f>
        <v>309171.30128999992</v>
      </c>
      <c r="AA43" s="117">
        <f t="shared" ref="AA43" si="2153">Z43-Z44+AA42</f>
        <v>319250.03728999989</v>
      </c>
      <c r="AB43" s="117">
        <f t="shared" ref="AB43" si="2154">AA43-AA44+AB42</f>
        <v>329328.77328999987</v>
      </c>
      <c r="AC43" s="117">
        <f t="shared" ref="AC43" si="2155">AB43-AB44+AC42</f>
        <v>339407.50928999984</v>
      </c>
      <c r="AD43" s="117">
        <f t="shared" ref="AD43" si="2156">AC43-AC44+AD42</f>
        <v>349486.24528999982</v>
      </c>
      <c r="AE43" s="117">
        <f t="shared" ref="AE43" si="2157">AD43-AD44+AE42</f>
        <v>359564.98128999979</v>
      </c>
      <c r="AF43" s="117">
        <f t="shared" ref="AF43" si="2158">AE43-AE44+AF42</f>
        <v>369643.71728999977</v>
      </c>
      <c r="AG43" s="117">
        <f t="shared" ref="AG43" si="2159">AF43-AF44+AG42</f>
        <v>379722.45328999974</v>
      </c>
      <c r="AH43" s="117">
        <f t="shared" ref="AH43" si="2160">AG43-AG44+AH42</f>
        <v>389801.18928999972</v>
      </c>
      <c r="AI43" s="117">
        <f t="shared" ref="AI43" si="2161">AH43-AH44+AI42</f>
        <v>399879.92528999969</v>
      </c>
      <c r="AJ43" s="117">
        <f t="shared" ref="AJ43" si="2162">AI43-AI44+AJ42</f>
        <v>409958.66128999967</v>
      </c>
      <c r="AK43" s="117">
        <f t="shared" ref="AK43" si="2163">AJ43-AJ44+AK42</f>
        <v>420037.39728999964</v>
      </c>
      <c r="AL43" s="117">
        <f t="shared" ref="AL43" si="2164">AK43-AK44+AL42</f>
        <v>430116.13328999962</v>
      </c>
      <c r="AM43" s="117">
        <f t="shared" ref="AM43" si="2165">AL43-AL44+AM42</f>
        <v>440194.86928999959</v>
      </c>
      <c r="AN43" s="117">
        <f t="shared" ref="AN43" si="2166">AM43-AM44+AN42</f>
        <v>450273.60528999957</v>
      </c>
      <c r="AO43" s="117">
        <f t="shared" ref="AO43" si="2167">AN43-AN44+AO42</f>
        <v>460352.34128999955</v>
      </c>
      <c r="AP43" s="117">
        <f t="shared" ref="AP43" si="2168">AO43-AO44+AP42</f>
        <v>470431.07728999952</v>
      </c>
      <c r="AQ43" s="117">
        <f t="shared" ref="AQ43" si="2169">AP43-AP44+AQ42</f>
        <v>480509.8132899995</v>
      </c>
      <c r="AR43" s="117">
        <f t="shared" ref="AR43" si="2170">AQ43-AQ44+AR42</f>
        <v>490588.54928999947</v>
      </c>
      <c r="AS43" s="117">
        <f t="shared" ref="AS43" si="2171">AR43-AR44+AS42</f>
        <v>500667.28528999945</v>
      </c>
      <c r="AT43" s="117">
        <f t="shared" ref="AT43" si="2172">AS43-AS44+AT42</f>
        <v>510598.38763112231</v>
      </c>
      <c r="AU43" s="117">
        <f t="shared" ref="AU43" si="2173">AT43-AT44+AU42</f>
        <v>520529.48997224518</v>
      </c>
      <c r="AV43" s="117">
        <f t="shared" ref="AV43" si="2174">AU43-AU44+AV42</f>
        <v>530460.59231336811</v>
      </c>
      <c r="AW43" s="117">
        <f t="shared" ref="AW43" si="2175">AV43-AV44+AW42</f>
        <v>540391.69465449103</v>
      </c>
      <c r="AX43" s="117">
        <f t="shared" ref="AX43" si="2176">AW43-AW44+AX42</f>
        <v>550322.79699561396</v>
      </c>
      <c r="AY43" s="117">
        <f t="shared" ref="AY43" si="2177">AX43-AX44+AY42</f>
        <v>560253.89933673688</v>
      </c>
      <c r="AZ43" s="117">
        <f t="shared" ref="AZ43" si="2178">AY43-AY44+AZ42</f>
        <v>570185.00167785981</v>
      </c>
      <c r="BA43" s="117">
        <f t="shared" ref="BA43" si="2179">AZ43-AZ44+BA42</f>
        <v>580116.10401898273</v>
      </c>
      <c r="BB43" s="117">
        <f t="shared" ref="BB43" si="2180">BA43-BA44+BB42</f>
        <v>590047.20636010566</v>
      </c>
      <c r="BC43" s="117">
        <f t="shared" ref="BC43" si="2181">BB43-BB44+BC42</f>
        <v>599978.30870122858</v>
      </c>
      <c r="BD43" s="117">
        <f t="shared" ref="BD43" si="2182">BC43-BC44+BD42</f>
        <v>609909.41104235151</v>
      </c>
      <c r="BE43" s="117">
        <f t="shared" ref="BE43" si="2183">BD43-BD44+BE42</f>
        <v>619840.51338347443</v>
      </c>
      <c r="BF43" s="117">
        <f t="shared" ref="BF43" si="2184">BE43-BE44+BF42</f>
        <v>629394.23015489138</v>
      </c>
      <c r="BG43" s="117">
        <f t="shared" ref="BG43" si="2185">BF43-BF44+BG42</f>
        <v>638947.94692630833</v>
      </c>
      <c r="BH43" s="117">
        <f t="shared" ref="BH43" si="2186">BG43-BG44+BH42</f>
        <v>648501.66369772528</v>
      </c>
      <c r="BI43" s="117">
        <f t="shared" ref="BI43" si="2187">BH43-BH44+BI42</f>
        <v>658055.38046914223</v>
      </c>
      <c r="BJ43" s="117">
        <f t="shared" ref="BJ43" si="2188">BI43-BI44+BJ42</f>
        <v>667609.09724055917</v>
      </c>
      <c r="BK43" s="117">
        <f t="shared" ref="BK43" si="2189">BJ43-BJ44+BK42</f>
        <v>677162.81401197612</v>
      </c>
      <c r="BL43" s="117">
        <f t="shared" ref="BL43" si="2190">BK43-BK44+BL42</f>
        <v>686716.53078339307</v>
      </c>
      <c r="BM43" s="117">
        <f t="shared" ref="BM43" si="2191">BL43-BL44+BM42</f>
        <v>696270.24755481002</v>
      </c>
      <c r="BN43" s="117">
        <f t="shared" ref="BN43" si="2192">BM43-BM44+BN42</f>
        <v>705823.96432622697</v>
      </c>
      <c r="BO43" s="117">
        <f t="shared" ref="BO43" si="2193">BN43-BN44+BO42</f>
        <v>715377.68109764392</v>
      </c>
      <c r="BP43" s="117">
        <f t="shared" ref="BP43" si="2194">BO43-BO44+BP42</f>
        <v>724931.39786906086</v>
      </c>
      <c r="BQ43" s="117">
        <f t="shared" ref="BQ43" si="2195">BP43-BP44+BQ42</f>
        <v>734485.11464047781</v>
      </c>
      <c r="BR43" s="117">
        <f t="shared" ref="BR43" si="2196">BQ43-BQ44+BR42</f>
        <v>743649.59991390398</v>
      </c>
      <c r="BS43" s="117">
        <f t="shared" ref="BS43" si="2197">BR43-BR44+BS42</f>
        <v>752814.08518733014</v>
      </c>
      <c r="BT43" s="117">
        <f t="shared" ref="BT43" si="2198">BS43-BS44+BT42</f>
        <v>761978.57046075631</v>
      </c>
      <c r="BU43" s="117">
        <f t="shared" ref="BU43" si="2199">BT43-BT44+BU42</f>
        <v>771143.05573418248</v>
      </c>
      <c r="BV43" s="117">
        <f t="shared" ref="BV43" si="2200">BU43-BU44+BV42</f>
        <v>780307.54100760864</v>
      </c>
      <c r="BW43" s="117">
        <f t="shared" ref="BW43" si="2201">BV43-BV44+BW42</f>
        <v>789472.02628103481</v>
      </c>
      <c r="BX43" s="117">
        <f t="shared" ref="BX43" si="2202">BW43-BW44+BX42</f>
        <v>798636.51155446097</v>
      </c>
      <c r="BY43" s="117">
        <f t="shared" ref="BY43" si="2203">BX43-BX44+BY42</f>
        <v>807800.99682788714</v>
      </c>
      <c r="BZ43" s="117">
        <f t="shared" ref="BZ43" si="2204">BY43-BY44+BZ42</f>
        <v>816965.4821013133</v>
      </c>
      <c r="CA43" s="117">
        <f t="shared" ref="CA43" si="2205">BZ43-BZ44+CA42</f>
        <v>826129.96737473947</v>
      </c>
      <c r="CB43" s="117">
        <f t="shared" ref="CB43" si="2206">CA43-CA44+CB42</f>
        <v>835294.45264816564</v>
      </c>
      <c r="CC43" s="117">
        <f t="shared" ref="CC43" si="2207">CB43-CB44+CC42</f>
        <v>844458.9379215918</v>
      </c>
      <c r="CD43" s="117">
        <f t="shared" ref="CD43" si="2208">CC43-CC44+CD42</f>
        <v>853221.97920122335</v>
      </c>
      <c r="CE43" s="117">
        <f t="shared" ref="CE43" si="2209">CD43-CD44+CE42</f>
        <v>861985.0204808549</v>
      </c>
      <c r="CF43" s="117">
        <f t="shared" ref="CF43" si="2210">CE43-CE44+CF42</f>
        <v>870748.06176048645</v>
      </c>
      <c r="CG43" s="117">
        <f t="shared" ref="CG43" si="2211">CF43-CF44+CG42</f>
        <v>879511.103040118</v>
      </c>
      <c r="CH43" s="117">
        <f t="shared" ref="CH43" si="2212">CG43-CG44+CH42</f>
        <v>888274.14431974955</v>
      </c>
      <c r="CI43" s="117">
        <f t="shared" ref="CI43" si="2213">CH43-CH44+CI42</f>
        <v>897037.1855993811</v>
      </c>
      <c r="CJ43" s="117">
        <f t="shared" ref="CJ43" si="2214">CI43-CI44+CJ42</f>
        <v>905800.22687901265</v>
      </c>
      <c r="CK43" s="117">
        <f t="shared" ref="CK43" si="2215">CJ43-CJ44+CK42</f>
        <v>914563.2681586442</v>
      </c>
      <c r="CL43" s="117">
        <f t="shared" ref="CL43" si="2216">CK43-CK44+CL42</f>
        <v>923326.30943827576</v>
      </c>
      <c r="CM43" s="117">
        <f t="shared" ref="CM43" si="2217">CL43-CL44+CM42</f>
        <v>932089.35071790731</v>
      </c>
      <c r="CN43" s="117">
        <f t="shared" ref="CN43" si="2218">CM43-CM44+CN42</f>
        <v>940852.39199753886</v>
      </c>
      <c r="CO43" s="117">
        <f t="shared" ref="CO43" si="2219">CN43-CN44+CO42</f>
        <v>949615.43327717041</v>
      </c>
      <c r="CP43" s="117">
        <f t="shared" ref="CP43" si="2220">CO43-CO44+CP42</f>
        <v>957964.44026130403</v>
      </c>
      <c r="CQ43" s="117">
        <f t="shared" ref="CQ43" si="2221">CP43-CP44+CQ42</f>
        <v>966313.44724543765</v>
      </c>
      <c r="CR43" s="117">
        <f t="shared" ref="CR43" si="2222">CQ43-CQ44+CR42</f>
        <v>974662.45422957127</v>
      </c>
      <c r="CS43" s="117">
        <f t="shared" ref="CS43" si="2223">CR43-CR44+CS42</f>
        <v>983011.4612137049</v>
      </c>
      <c r="CT43" s="117">
        <f t="shared" ref="CT43" si="2224">CS43-CS44+CT42</f>
        <v>991360.46819783852</v>
      </c>
      <c r="CU43" s="117">
        <f t="shared" ref="CU43" si="2225">CT43-CT44+CU42</f>
        <v>999709.47518197214</v>
      </c>
      <c r="CV43" s="117">
        <f t="shared" ref="CV43" si="2226">CU43-CU44+CV42</f>
        <v>1008058.4821661058</v>
      </c>
      <c r="CW43" s="117">
        <f t="shared" ref="CW43" si="2227">CV43-CV44+CW42</f>
        <v>1016407.4891502394</v>
      </c>
      <c r="CX43" s="117">
        <f t="shared" ref="CX43" si="2228">CW43-CW44+CX42</f>
        <v>1024756.496134373</v>
      </c>
      <c r="CY43" s="117">
        <f t="shared" ref="CY43" si="2229">CX43-CX44+CY42</f>
        <v>1033105.5031185066</v>
      </c>
      <c r="CZ43" s="117">
        <f t="shared" ref="CZ43" si="2230">CY43-CY44+CZ42</f>
        <v>1041454.5101026403</v>
      </c>
      <c r="DA43" s="117">
        <f t="shared" ref="DA43" si="2231">CZ43-CZ44+DA42</f>
        <v>1049803.5170867739</v>
      </c>
      <c r="DB43" s="117">
        <f t="shared" ref="DB43" si="2232">DA43-DA44+DB42</f>
        <v>1057725.5100870093</v>
      </c>
      <c r="DC43" s="117">
        <f t="shared" ref="DC43" si="2233">DB43-DB44+DC42</f>
        <v>1065647.5030872447</v>
      </c>
      <c r="DD43" s="117">
        <f t="shared" ref="DD43" si="2234">DC43-DC44+DD42</f>
        <v>1073569.4960874801</v>
      </c>
      <c r="DE43" s="117">
        <f t="shared" ref="DE43" si="2235">DD43-DD44+DE42</f>
        <v>1081491.4890877155</v>
      </c>
      <c r="DF43" s="117">
        <f t="shared" ref="DF43" si="2236">DE43-DE44+DF42</f>
        <v>1089413.4820879509</v>
      </c>
      <c r="DG43" s="117">
        <f t="shared" ref="DG43" si="2237">DF43-DF44+DG42</f>
        <v>1097335.4750881863</v>
      </c>
      <c r="DH43" s="117">
        <f t="shared" ref="DH43" si="2238">DG43-DG44+DH42</f>
        <v>1105257.4680884217</v>
      </c>
      <c r="DI43" s="117">
        <f t="shared" ref="DI43" si="2239">DH43-DH44+DI42</f>
        <v>1113179.4610886571</v>
      </c>
      <c r="DJ43" s="117">
        <f t="shared" ref="DJ43" si="2240">DI43-DI44+DJ42</f>
        <v>1121101.4540888926</v>
      </c>
      <c r="DK43" s="117">
        <f t="shared" ref="DK43" si="2241">DJ43-DJ44+DK42</f>
        <v>1129023.447089128</v>
      </c>
      <c r="DL43" s="117">
        <f t="shared" ref="DL43" si="2242">DK43-DK44+DL42</f>
        <v>1136945.4400893634</v>
      </c>
      <c r="DM43" s="117">
        <f t="shared" ref="DM43" si="2243">DL43-DL44+DM42</f>
        <v>1144867.4330895988</v>
      </c>
      <c r="DN43" s="117">
        <f t="shared" ref="DN43" si="2244">DM43-DM44+DN42</f>
        <v>1152349.0310972347</v>
      </c>
      <c r="DO43" s="117">
        <f t="shared" ref="DO43" si="2245">DN43-DN44+DO42</f>
        <v>1159830.6291048706</v>
      </c>
      <c r="DP43" s="117">
        <f t="shared" ref="DP43" si="2246">DO43-DO44+DP42</f>
        <v>1167312.2271125065</v>
      </c>
      <c r="DQ43" s="117">
        <f t="shared" ref="DQ43" si="2247">DP43-DP44+DQ42</f>
        <v>1174793.8251201424</v>
      </c>
      <c r="DR43" s="117">
        <f t="shared" ref="DR43" si="2248">DQ43-DQ44+DR42</f>
        <v>1182275.4231277783</v>
      </c>
      <c r="DS43" s="117">
        <f t="shared" ref="DS43" si="2249">DR43-DR44+DS42</f>
        <v>1189757.0211354143</v>
      </c>
      <c r="DT43" s="117">
        <f t="shared" ref="DT43" si="2250">DS43-DS44+DT42</f>
        <v>1197238.6191430502</v>
      </c>
      <c r="DU43" s="117">
        <f t="shared" ref="DU43" si="2251">DT43-DT44+DU42</f>
        <v>1204720.2171506861</v>
      </c>
      <c r="DV43" s="117">
        <f t="shared" ref="DV43" si="2252">DU43-DU44+DV42</f>
        <v>1212201.815158322</v>
      </c>
      <c r="DW43" s="117">
        <f t="shared" ref="DW43" si="2253">DV43-DV44+DW42</f>
        <v>1219683.4131659579</v>
      </c>
      <c r="DX43" s="117">
        <f t="shared" ref="DX43" si="2254">DW43-DW44+DX42</f>
        <v>1227165.0111735938</v>
      </c>
      <c r="DY43" s="117">
        <f t="shared" ref="DY43" si="2255">DX43-DX44+DY42</f>
        <v>1234646.6091812297</v>
      </c>
      <c r="DZ43" s="117">
        <f t="shared" ref="DZ43" si="2256">DY43-DY44+DZ42</f>
        <v>1241674.0175701501</v>
      </c>
      <c r="EA43" s="117">
        <f t="shared" ref="EA43" si="2257">DZ43-DZ44+EA42</f>
        <v>1248701.4259590704</v>
      </c>
      <c r="EB43" s="117">
        <f t="shared" ref="EB43" si="2258">EA43-EA44+EB42</f>
        <v>1255728.8343479908</v>
      </c>
      <c r="EC43" s="117">
        <f t="shared" ref="EC43" si="2259">EB43-EB44+EC42</f>
        <v>1262756.2427369112</v>
      </c>
      <c r="ED43" s="117">
        <f t="shared" ref="ED43" si="2260">EC43-EC44+ED42</f>
        <v>1269783.6511258315</v>
      </c>
      <c r="EE43" s="117">
        <f t="shared" ref="EE43" si="2261">ED43-ED44+EE42</f>
        <v>1276811.0595147519</v>
      </c>
      <c r="EF43" s="117">
        <f t="shared" ref="EF43" si="2262">EE43-EE44+EF42</f>
        <v>1283838.4679036723</v>
      </c>
      <c r="EG43" s="117">
        <f t="shared" ref="EG43" si="2263">EF43-EF44+EG42</f>
        <v>1290865.8762925926</v>
      </c>
      <c r="EH43" s="117">
        <f t="shared" ref="EH43" si="2264">EG43-EG44+EH42</f>
        <v>1297893.284681513</v>
      </c>
      <c r="EI43" s="117">
        <f t="shared" ref="EI43" si="2265">EH43-EH44+EI42</f>
        <v>1304920.6930704333</v>
      </c>
      <c r="EJ43" s="117">
        <f t="shared" ref="EJ43" si="2266">EI43-EI44+EJ42</f>
        <v>1311948.1014593537</v>
      </c>
      <c r="EK43" s="117">
        <f t="shared" ref="EK43" si="2267">EJ43-EJ44+EK42</f>
        <v>1318975.5098482741</v>
      </c>
      <c r="EL43" s="117">
        <f t="shared" ref="EL43" si="2268">EK43-EK44+EL42</f>
        <v>1325534.5077032987</v>
      </c>
      <c r="EM43" s="117">
        <f t="shared" ref="EM43" si="2269">EL43-EL44+EM42</f>
        <v>1332093.5055583233</v>
      </c>
      <c r="EN43" s="117">
        <f t="shared" ref="EN43" si="2270">EM43-EM44+EN42</f>
        <v>1338652.503413348</v>
      </c>
      <c r="EO43" s="117">
        <f t="shared" ref="EO43" si="2271">EN43-EN44+EO42</f>
        <v>1345211.5012683726</v>
      </c>
      <c r="EP43" s="117">
        <f t="shared" ref="EP43" si="2272">EO43-EO44+EP42</f>
        <v>1351770.4991233973</v>
      </c>
      <c r="EQ43" s="117">
        <f t="shared" ref="EQ43" si="2273">EP43-EP44+EQ42</f>
        <v>1358329.4969784219</v>
      </c>
      <c r="ER43" s="117">
        <f t="shared" ref="ER43" si="2274">EQ43-EQ44+ER42</f>
        <v>1364888.4948334466</v>
      </c>
      <c r="ES43" s="117">
        <f t="shared" ref="ES43" si="2275">ER43-ER44+ES42</f>
        <v>1371447.4926884712</v>
      </c>
      <c r="ET43" s="117">
        <f t="shared" ref="ET43" si="2276">ES43-ES44+ET42</f>
        <v>1378006.4905434959</v>
      </c>
      <c r="EU43" s="117">
        <f t="shared" ref="EU43" si="2277">ET43-ET44+EU42</f>
        <v>1384565.4883985205</v>
      </c>
      <c r="EV43" s="117">
        <f t="shared" ref="EV43" si="2278">EU43-EU44+EV42</f>
        <v>1391124.4862535452</v>
      </c>
      <c r="EW43" s="117">
        <f t="shared" ref="EW43" si="2279">EV43-EV44+EW42</f>
        <v>1397683.4841085698</v>
      </c>
      <c r="EX43" s="117">
        <f t="shared" ref="EX43" si="2280">EW43-EW44+EX42</f>
        <v>1403759.411167908</v>
      </c>
      <c r="EY43" s="117">
        <f t="shared" ref="EY43" si="2281">EX43-EX44+EY42</f>
        <v>1409835.3382272462</v>
      </c>
      <c r="EZ43" s="117">
        <f t="shared" ref="EZ43" si="2282">EY43-EY44+EZ42</f>
        <v>1415911.2652865844</v>
      </c>
      <c r="FA43" s="117">
        <f t="shared" ref="FA43" si="2283">EZ43-EZ44+FA42</f>
        <v>1421987.1923459226</v>
      </c>
      <c r="FB43" s="117">
        <f t="shared" ref="FB43" si="2284">FA43-FA44+FB42</f>
        <v>1428063.1194052608</v>
      </c>
      <c r="FC43" s="117">
        <f t="shared" ref="FC43" si="2285">FB43-FB44+FC42</f>
        <v>1434139.046464599</v>
      </c>
      <c r="FD43" s="117">
        <f t="shared" ref="FD43" si="2286">FC43-FC44+FD42</f>
        <v>1440214.9735239372</v>
      </c>
      <c r="FE43" s="117">
        <f t="shared" ref="FE43" si="2287">FD43-FD44+FE42</f>
        <v>1446290.9005832754</v>
      </c>
      <c r="FF43" s="117">
        <f t="shared" ref="FF43" si="2288">FE43-FE44+FF42</f>
        <v>1452366.8276426136</v>
      </c>
      <c r="FG43" s="117">
        <f t="shared" ref="FG43" si="2289">FF43-FF44+FG42</f>
        <v>1458442.7547019518</v>
      </c>
      <c r="FH43" s="117">
        <f t="shared" ref="FH43" si="2290">FG43-FG44+FH42</f>
        <v>1464518.6817612899</v>
      </c>
      <c r="FI43" s="117">
        <f t="shared" ref="FI43" si="2291">FH43-FH44+FI42</f>
        <v>1470594.6088206281</v>
      </c>
      <c r="FJ43" s="117">
        <f t="shared" ref="FJ43" si="2292">FI43-FI44+FJ42</f>
        <v>1476172.3520207312</v>
      </c>
      <c r="FK43" s="117">
        <f t="shared" ref="FK43" si="2293">FJ43-FJ44+FK42</f>
        <v>1481750.0952208342</v>
      </c>
      <c r="FL43" s="117">
        <f t="shared" ref="FL43" si="2294">FK43-FK44+FL42</f>
        <v>1487327.8384209373</v>
      </c>
      <c r="FM43" s="117">
        <f t="shared" ref="FM43" si="2295">FL43-FL44+FM42</f>
        <v>1492905.5816210404</v>
      </c>
      <c r="FN43" s="117">
        <f t="shared" ref="FN43" si="2296">FM43-FM44+FN42</f>
        <v>1498483.3248211434</v>
      </c>
      <c r="FO43" s="117">
        <f t="shared" ref="FO43" si="2297">FN43-FN44+FO42</f>
        <v>1504061.0680212465</v>
      </c>
      <c r="FP43" s="117">
        <f t="shared" ref="FP43" si="2298">FO43-FO44+FP42</f>
        <v>1509638.8112213495</v>
      </c>
      <c r="FQ43" s="117">
        <f t="shared" ref="FQ43" si="2299">FP43-FP44+FQ42</f>
        <v>1515216.5544214526</v>
      </c>
      <c r="FR43" s="117">
        <f t="shared" ref="FR43" si="2300">FQ43-FQ44+FR42</f>
        <v>1520794.2976215556</v>
      </c>
      <c r="FS43" s="117">
        <f t="shared" ref="FS43" si="2301">FR43-FR44+FS42</f>
        <v>1526372.0408216587</v>
      </c>
      <c r="FT43" s="117">
        <f t="shared" ref="FT43" si="2302">FS43-FS44+FT42</f>
        <v>1531949.7840217617</v>
      </c>
      <c r="FU43" s="117">
        <f t="shared" ref="FU43" si="2303">FT43-FT44+FU42</f>
        <v>1537527.5272218648</v>
      </c>
      <c r="FV43" s="117">
        <f t="shared" ref="FV43" si="2304">FU43-FU44+FV42</f>
        <v>1542591.5068326211</v>
      </c>
      <c r="FW43" s="117">
        <f t="shared" ref="FW43" si="2305">FV43-FV44+FW42</f>
        <v>1547655.4864433773</v>
      </c>
      <c r="FX43" s="117">
        <f t="shared" ref="FX43" si="2306">FW43-FW44+FX42</f>
        <v>1552719.4660541336</v>
      </c>
      <c r="FY43" s="117">
        <f t="shared" ref="FY43" si="2307">FX43-FX44+FY42</f>
        <v>1557783.4456648899</v>
      </c>
      <c r="FZ43" s="117">
        <f t="shared" ref="FZ43" si="2308">FY43-FY44+FZ42</f>
        <v>1562847.4252756462</v>
      </c>
      <c r="GA43" s="117">
        <f t="shared" ref="GA43" si="2309">FZ43-FZ44+GA42</f>
        <v>1567911.4048864024</v>
      </c>
      <c r="GB43" s="117">
        <f t="shared" ref="GB43" si="2310">GA43-GA44+GB42</f>
        <v>1572975.3844971587</v>
      </c>
      <c r="GC43" s="117">
        <f t="shared" ref="GC43" si="2311">GB43-GB44+GC42</f>
        <v>1578039.364107915</v>
      </c>
      <c r="GD43" s="117">
        <f t="shared" ref="GD43" si="2312">GC43-GC44+GD42</f>
        <v>1588118.100107915</v>
      </c>
      <c r="GE43" s="117">
        <f t="shared" ref="GE43" si="2313">GD43-GD44+GE42</f>
        <v>1598196.836107915</v>
      </c>
      <c r="GF43" s="117">
        <f t="shared" ref="GF43" si="2314">GE43-GE44+GF42</f>
        <v>1608275.5721079151</v>
      </c>
      <c r="GG43" s="117">
        <f t="shared" ref="GG43" ca="1" si="2315">GF43-GF44+GG42</f>
        <v>0</v>
      </c>
      <c r="GH43" s="117">
        <f t="shared" ref="GH43" ca="1" si="2316">GG43-GG44+GH42</f>
        <v>0</v>
      </c>
      <c r="GI43" s="117">
        <f t="shared" ref="GI43" ca="1" si="2317">GH43-GH44+GI42</f>
        <v>0</v>
      </c>
      <c r="GJ43" s="117">
        <f t="shared" ref="GJ43" ca="1" si="2318">GI43-GI44+GJ42</f>
        <v>0</v>
      </c>
      <c r="GK43" s="117">
        <f t="shared" ref="GK43" ca="1" si="2319">GJ43-GJ44+GK42</f>
        <v>0</v>
      </c>
      <c r="GL43" s="117">
        <f t="shared" ref="GL43" ca="1" si="2320">GK43-GK44+GL42</f>
        <v>0</v>
      </c>
      <c r="GM43" s="117">
        <f t="shared" ref="GM43" ca="1" si="2321">GL43-GL44+GM42</f>
        <v>0</v>
      </c>
      <c r="GN43" s="117">
        <f t="shared" ref="GN43" ca="1" si="2322">GM43-GM44+GN42</f>
        <v>0</v>
      </c>
      <c r="GO43" s="117">
        <f t="shared" ref="GO43" ca="1" si="2323">GN43-GN44+GO42</f>
        <v>0</v>
      </c>
      <c r="GP43" s="117">
        <f t="shared" ref="GP43" ca="1" si="2324">GO43-GO44+GP42</f>
        <v>0</v>
      </c>
      <c r="GQ43" s="117">
        <f t="shared" ref="GQ43" ca="1" si="2325">GP43-GP44+GQ42</f>
        <v>0</v>
      </c>
      <c r="GR43" s="117">
        <f t="shared" ref="GR43" ca="1" si="2326">GQ43-GQ44+GR42</f>
        <v>0</v>
      </c>
      <c r="GS43" s="117">
        <f t="shared" ref="GS43" ca="1" si="2327">GR43-GR44+GS42</f>
        <v>0</v>
      </c>
      <c r="GT43" s="117">
        <f t="shared" ref="GT43" ca="1" si="2328">GS43-GS44+GT42</f>
        <v>0</v>
      </c>
      <c r="GU43" s="117">
        <f t="shared" ref="GU43" ca="1" si="2329">GT43-GT44+GU42</f>
        <v>0</v>
      </c>
      <c r="GV43" s="117">
        <f t="shared" ref="GV43" ca="1" si="2330">GU43-GU44+GV42</f>
        <v>0</v>
      </c>
      <c r="GW43" s="117">
        <f t="shared" ref="GW43" ca="1" si="2331">GV43-GV44+GW42</f>
        <v>0</v>
      </c>
      <c r="GX43" s="117">
        <f t="shared" ref="GX43" ca="1" si="2332">GW43-GW44+GX42</f>
        <v>0</v>
      </c>
      <c r="GY43" s="117">
        <f t="shared" ref="GY43" ca="1" si="2333">GX43-GX44+GY42</f>
        <v>0</v>
      </c>
      <c r="GZ43" s="117">
        <f t="shared" ref="GZ43" ca="1" si="2334">GY43-GY44+GZ42</f>
        <v>0</v>
      </c>
      <c r="HA43" s="117">
        <f t="shared" ref="HA43" ca="1" si="2335">GZ43-GZ44+HA42</f>
        <v>0</v>
      </c>
      <c r="HB43" s="117">
        <f t="shared" ref="HB43" ca="1" si="2336">HA43-HA44+HB42</f>
        <v>0</v>
      </c>
      <c r="HC43" s="117">
        <f t="shared" ref="HC43" ca="1" si="2337">HB43-HB44+HC42</f>
        <v>0</v>
      </c>
      <c r="HD43" s="117">
        <f t="shared" ref="HD43" ca="1" si="2338">HC43-HC44+HD42</f>
        <v>0</v>
      </c>
      <c r="HE43" s="117">
        <f t="shared" ref="HE43" ca="1" si="2339">HD43-HD44+HE42</f>
        <v>0</v>
      </c>
      <c r="HF43" s="117">
        <f t="shared" ref="HF43" ca="1" si="2340">HE43-HE44+HF42</f>
        <v>0</v>
      </c>
      <c r="HG43" s="117">
        <f t="shared" ref="HG43" ca="1" si="2341">HF43-HF44+HG42</f>
        <v>0</v>
      </c>
      <c r="HH43" s="117">
        <f t="shared" ref="HH43" ca="1" si="2342">HG43-HG44+HH42</f>
        <v>0</v>
      </c>
      <c r="HI43" s="117">
        <f t="shared" ref="HI43" ca="1" si="2343">HH43-HH44+HI42</f>
        <v>0</v>
      </c>
      <c r="HJ43" s="117">
        <f t="shared" ref="HJ43" ca="1" si="2344">HI43-HI44+HJ42</f>
        <v>0</v>
      </c>
      <c r="HK43" s="117">
        <f t="shared" ref="HK43" ca="1" si="2345">HJ43-HJ44+HK42</f>
        <v>0</v>
      </c>
      <c r="HL43" s="117">
        <f t="shared" ref="HL43" ca="1" si="2346">HK43-HK44+HL42</f>
        <v>0</v>
      </c>
      <c r="HM43" s="117">
        <f t="shared" ref="HM43" ca="1" si="2347">HL43-HL44+HM42</f>
        <v>0</v>
      </c>
      <c r="HN43" s="117">
        <f t="shared" ref="HN43" ca="1" si="2348">HM43-HM44+HN42</f>
        <v>0</v>
      </c>
      <c r="HO43" s="117">
        <f t="shared" ref="HO43" ca="1" si="2349">HN43-HN44+HO42</f>
        <v>0</v>
      </c>
      <c r="HP43" s="117">
        <f t="shared" ref="HP43" ca="1" si="2350">HO43-HO44+HP42</f>
        <v>0</v>
      </c>
      <c r="HQ43" s="117">
        <f t="shared" ref="HQ43" ca="1" si="2351">HP43-HP44+HQ42</f>
        <v>0</v>
      </c>
      <c r="HR43" s="117">
        <f t="shared" ref="HR43" ca="1" si="2352">HQ43-HQ44+HR42</f>
        <v>0</v>
      </c>
      <c r="HS43" s="117">
        <f t="shared" ref="HS43" ca="1" si="2353">HR43-HR44+HS42</f>
        <v>0</v>
      </c>
      <c r="HT43" s="117">
        <f t="shared" ref="HT43" ca="1" si="2354">HS43-HS44+HT42</f>
        <v>0</v>
      </c>
      <c r="HU43" s="117">
        <f t="shared" ref="HU43" ca="1" si="2355">HT43-HT44+HU42</f>
        <v>0</v>
      </c>
      <c r="HV43" s="117">
        <f t="shared" ref="HV43" ca="1" si="2356">HU43-HU44+HV42</f>
        <v>0</v>
      </c>
      <c r="HW43" s="117">
        <f t="shared" ref="HW43" ca="1" si="2357">HV43-HV44+HW42</f>
        <v>0</v>
      </c>
      <c r="HX43" s="117">
        <f t="shared" ref="HX43" ca="1" si="2358">HW43-HW44+HX42</f>
        <v>0</v>
      </c>
      <c r="HY43" s="117">
        <f t="shared" ref="HY43" ca="1" si="2359">HX43-HX44+HY42</f>
        <v>0</v>
      </c>
      <c r="HZ43" s="117">
        <f t="shared" ref="HZ43" ca="1" si="2360">HY43-HY44+HZ42</f>
        <v>0</v>
      </c>
      <c r="IA43" s="117">
        <f t="shared" ref="IA43" ca="1" si="2361">HZ43-HZ44+IA42</f>
        <v>0</v>
      </c>
      <c r="IB43" s="117">
        <f t="shared" ref="IB43" ca="1" si="2362">IA43-IA44+IB42</f>
        <v>0</v>
      </c>
      <c r="IC43" s="117">
        <f t="shared" ref="IC43" ca="1" si="2363">IB43-IB44+IC42</f>
        <v>0</v>
      </c>
      <c r="ID43" s="117">
        <f t="shared" ref="ID43" ca="1" si="2364">IC43-IC44+ID42</f>
        <v>0</v>
      </c>
      <c r="IE43" s="117">
        <f t="shared" ref="IE43" ca="1" si="2365">ID43-ID44+IE42</f>
        <v>0</v>
      </c>
      <c r="IF43" s="117">
        <f t="shared" ref="IF43" ca="1" si="2366">IE43-IE44+IF42</f>
        <v>0</v>
      </c>
      <c r="IG43" s="117">
        <f t="shared" ref="IG43" ca="1" si="2367">IF43-IF44+IG42</f>
        <v>0</v>
      </c>
      <c r="IH43" s="117">
        <f t="shared" ref="IH43" ca="1" si="2368">IG43-IG44+IH42</f>
        <v>0</v>
      </c>
      <c r="II43" s="117">
        <f t="shared" ref="II43" ca="1" si="2369">IH43-IH44+II42</f>
        <v>0</v>
      </c>
      <c r="IJ43" s="117">
        <f t="shared" ref="IJ43" ca="1" si="2370">II43-II44+IJ42</f>
        <v>0</v>
      </c>
      <c r="IK43" s="117">
        <f t="shared" ref="IK43" ca="1" si="2371">IJ43-IJ44+IK42</f>
        <v>0</v>
      </c>
      <c r="IL43" s="117">
        <f t="shared" ref="IL43" ca="1" si="2372">IK43-IK44+IL42</f>
        <v>0</v>
      </c>
      <c r="IM43" s="117">
        <f t="shared" ref="IM43" ca="1" si="2373">IL43-IL44+IM42</f>
        <v>0</v>
      </c>
      <c r="IN43" s="117">
        <f t="shared" ref="IN43" ca="1" si="2374">IM43-IM44+IN42</f>
        <v>0</v>
      </c>
      <c r="IO43" s="117">
        <f t="shared" ref="IO43" ca="1" si="2375">IN43-IN44+IO42</f>
        <v>0</v>
      </c>
      <c r="IP43" s="117">
        <f t="shared" ref="IP43" ca="1" si="2376">IO43-IO44+IP42</f>
        <v>0</v>
      </c>
      <c r="IQ43" s="117">
        <f t="shared" ref="IQ43" ca="1" si="2377">IP43-IP44+IQ42</f>
        <v>0</v>
      </c>
      <c r="IR43" s="117">
        <f t="shared" ref="IR43" ca="1" si="2378">IQ43-IQ44+IR42</f>
        <v>0</v>
      </c>
      <c r="IS43" s="117">
        <f t="shared" ref="IS43" ca="1" si="2379">IR43-IR44+IS42</f>
        <v>0</v>
      </c>
      <c r="IT43" s="117">
        <f t="shared" ref="IT43" ca="1" si="2380">IS43-IS44+IT42</f>
        <v>0</v>
      </c>
      <c r="IU43" s="117">
        <f t="shared" ref="IU43" ca="1" si="2381">IT43-IT44+IU42</f>
        <v>0</v>
      </c>
      <c r="IV43" s="117">
        <f t="shared" ref="IV43" ca="1" si="2382">IU43-IU44+IV42</f>
        <v>0</v>
      </c>
      <c r="IW43" s="117">
        <f t="shared" ref="IW43" ca="1" si="2383">IV43-IV44+IW42</f>
        <v>0</v>
      </c>
      <c r="IX43" s="117">
        <f t="shared" ref="IX43" ca="1" si="2384">IW43-IW44+IX42</f>
        <v>0</v>
      </c>
      <c r="IY43" s="117">
        <f t="shared" ref="IY43" ca="1" si="2385">IX43-IX44+IY42</f>
        <v>0</v>
      </c>
      <c r="IZ43" s="117">
        <f t="shared" ref="IZ43" ca="1" si="2386">IY43-IY44+IZ42</f>
        <v>0</v>
      </c>
      <c r="JA43" s="117">
        <f t="shared" ref="JA43" ca="1" si="2387">IZ43-IZ44+JA42</f>
        <v>0</v>
      </c>
      <c r="JB43" s="117">
        <f t="shared" ref="JB43" ca="1" si="2388">JA43-JA44+JB42</f>
        <v>0</v>
      </c>
      <c r="JC43" s="117">
        <f t="shared" ref="JC43" ca="1" si="2389">JB43-JB44+JC42</f>
        <v>0</v>
      </c>
      <c r="JD43" s="117">
        <f t="shared" ref="JD43" ca="1" si="2390">JC43-JC44+JD42</f>
        <v>0</v>
      </c>
      <c r="JE43" s="117">
        <f t="shared" ref="JE43" ca="1" si="2391">JD43-JD44+JE42</f>
        <v>0</v>
      </c>
      <c r="JF43" s="117">
        <f t="shared" ref="JF43" ca="1" si="2392">JE43-JE44+JF42</f>
        <v>0</v>
      </c>
      <c r="JG43" s="117">
        <f t="shared" ref="JG43" ca="1" si="2393">JF43-JF44+JG42</f>
        <v>0</v>
      </c>
      <c r="JH43" s="117">
        <f t="shared" ref="JH43" ca="1" si="2394">JG43-JG44+JH42</f>
        <v>0</v>
      </c>
      <c r="JI43" s="117">
        <f t="shared" ref="JI43" ca="1" si="2395">JH43-JH44+JI42</f>
        <v>0</v>
      </c>
      <c r="JJ43" s="117">
        <f t="shared" ref="JJ43" ca="1" si="2396">JI43-JI44+JJ42</f>
        <v>0</v>
      </c>
      <c r="JK43" s="117">
        <f t="shared" ref="JK43" ca="1" si="2397">JJ43-JJ44+JK42</f>
        <v>0</v>
      </c>
      <c r="JL43" s="117">
        <f t="shared" ref="JL43" ca="1" si="2398">JK43-JK44+JL42</f>
        <v>0</v>
      </c>
      <c r="JM43" s="117">
        <f t="shared" ref="JM43" ca="1" si="2399">JL43-JL44+JM42</f>
        <v>0</v>
      </c>
      <c r="JN43" s="117">
        <f t="shared" ref="JN43" ca="1" si="2400">JM43-JM44+JN42</f>
        <v>0</v>
      </c>
      <c r="JO43" s="117">
        <f t="shared" ref="JO43" ca="1" si="2401">JN43-JN44+JO42</f>
        <v>0</v>
      </c>
      <c r="JP43" s="117">
        <f t="shared" ref="JP43" ca="1" si="2402">JO43-JO44+JP42</f>
        <v>0</v>
      </c>
      <c r="JQ43" s="117">
        <f t="shared" ref="JQ43" ca="1" si="2403">JP43-JP44+JQ42</f>
        <v>0</v>
      </c>
      <c r="JR43" s="117">
        <f t="shared" ref="JR43" ca="1" si="2404">JQ43-JQ44+JR42</f>
        <v>0</v>
      </c>
      <c r="JS43" s="117">
        <f t="shared" ref="JS43" ca="1" si="2405">JR43-JR44+JS42</f>
        <v>0</v>
      </c>
      <c r="JT43" s="117">
        <f t="shared" ref="JT43" ca="1" si="2406">JS43-JS44+JT42</f>
        <v>0</v>
      </c>
      <c r="JU43" s="117">
        <f t="shared" ref="JU43" ca="1" si="2407">JT43-JT44+JU42</f>
        <v>0</v>
      </c>
      <c r="JV43" s="117">
        <f t="shared" ref="JV43" ca="1" si="2408">JU43-JU44+JV42</f>
        <v>0</v>
      </c>
      <c r="JW43" s="117">
        <f t="shared" ref="JW43" ca="1" si="2409">JV43-JV44+JW42</f>
        <v>0</v>
      </c>
      <c r="JX43" s="117">
        <f t="shared" ref="JX43" ca="1" si="2410">JW43-JW44+JX42</f>
        <v>0</v>
      </c>
      <c r="JY43" s="117">
        <f t="shared" ref="JY43" ca="1" si="2411">JX43-JX44+JY42</f>
        <v>0</v>
      </c>
      <c r="JZ43" s="117">
        <f t="shared" ref="JZ43" ca="1" si="2412">JY43-JY44+JZ42</f>
        <v>0</v>
      </c>
      <c r="KA43" s="117">
        <f t="shared" ref="KA43" ca="1" si="2413">JZ43-JZ44+KA42</f>
        <v>0</v>
      </c>
      <c r="KB43" s="117">
        <f t="shared" ref="KB43" ca="1" si="2414">KA43-KA44+KB42</f>
        <v>0</v>
      </c>
      <c r="KC43" s="117">
        <f t="shared" ref="KC43" ca="1" si="2415">KB43-KB44+KC42</f>
        <v>0</v>
      </c>
      <c r="KD43" s="117">
        <f t="shared" ref="KD43" ca="1" si="2416">KC43-KC44+KD42</f>
        <v>0</v>
      </c>
      <c r="KE43" s="117">
        <f t="shared" ref="KE43" ca="1" si="2417">KD43-KD44+KE42</f>
        <v>0</v>
      </c>
      <c r="KF43" s="117">
        <f t="shared" ref="KF43" ca="1" si="2418">KE43-KE44+KF42</f>
        <v>0</v>
      </c>
      <c r="KG43" s="117">
        <f t="shared" ref="KG43" ca="1" si="2419">KF43-KF44+KG42</f>
        <v>0</v>
      </c>
      <c r="KH43" s="117">
        <f t="shared" ref="KH43" ca="1" si="2420">KG43-KG44+KH42</f>
        <v>0</v>
      </c>
      <c r="KI43" s="117">
        <f t="shared" ref="KI43" ca="1" si="2421">KH43-KH44+KI42</f>
        <v>0</v>
      </c>
      <c r="KJ43" s="117">
        <f t="shared" ref="KJ43" ca="1" si="2422">KI43-KI44+KJ42</f>
        <v>0</v>
      </c>
      <c r="KK43" s="117">
        <f t="shared" ref="KK43" ca="1" si="2423">KJ43-KJ44+KK42</f>
        <v>0</v>
      </c>
      <c r="KL43" s="117">
        <f t="shared" ref="KL43" ca="1" si="2424">KK43-KK44+KL42</f>
        <v>0</v>
      </c>
      <c r="KM43" s="117">
        <f t="shared" ref="KM43" ca="1" si="2425">KL43-KL44+KM42</f>
        <v>0</v>
      </c>
      <c r="KN43" s="117">
        <f t="shared" ref="KN43" ca="1" si="2426">KM43-KM44+KN42</f>
        <v>0</v>
      </c>
      <c r="KO43" s="117">
        <f t="shared" ref="KO43" ca="1" si="2427">KN43-KN44+KO42</f>
        <v>0</v>
      </c>
      <c r="KP43" s="117">
        <f t="shared" ref="KP43" ca="1" si="2428">KO43-KO44+KP42</f>
        <v>0</v>
      </c>
      <c r="KQ43" s="117">
        <f t="shared" ref="KQ43" ca="1" si="2429">KP43-KP44+KQ42</f>
        <v>0</v>
      </c>
      <c r="KR43" s="117">
        <f t="shared" ref="KR43" ca="1" si="2430">KQ43-KQ44+KR42</f>
        <v>0</v>
      </c>
      <c r="KS43" s="117">
        <f t="shared" ref="KS43" ca="1" si="2431">KR43-KR44+KS42</f>
        <v>0</v>
      </c>
      <c r="KT43" s="117">
        <f t="shared" ref="KT43" ca="1" si="2432">KS43-KS44+KT42</f>
        <v>0</v>
      </c>
      <c r="KU43" s="117">
        <f t="shared" ref="KU43" ca="1" si="2433">KT43-KT44+KU42</f>
        <v>0</v>
      </c>
      <c r="KV43" s="117">
        <f t="shared" ref="KV43" ca="1" si="2434">KU43-KU44+KV42</f>
        <v>0</v>
      </c>
      <c r="KW43" s="117">
        <f t="shared" ref="KW43" ca="1" si="2435">KV43-KV44+KW42</f>
        <v>0</v>
      </c>
      <c r="KX43" s="117">
        <f t="shared" ref="KX43" ca="1" si="2436">KW43-KW44+KX42</f>
        <v>0</v>
      </c>
      <c r="KY43" s="117">
        <f t="shared" ref="KY43" ca="1" si="2437">KX43-KX44+KY42</f>
        <v>0</v>
      </c>
      <c r="KZ43" s="117">
        <f t="shared" ref="KZ43" ca="1" si="2438">KY43-KY44+KZ42</f>
        <v>0</v>
      </c>
      <c r="LA43" s="117">
        <f t="shared" ref="LA43" ca="1" si="2439">KZ43-KZ44+LA42</f>
        <v>0</v>
      </c>
      <c r="LB43" s="117">
        <f t="shared" ref="LB43" ca="1" si="2440">LA43-LA44+LB42</f>
        <v>0</v>
      </c>
      <c r="LC43" s="117">
        <f t="shared" ref="LC43" ca="1" si="2441">LB43-LB44+LC42</f>
        <v>0</v>
      </c>
      <c r="LD43" s="117">
        <f t="shared" ref="LD43" ca="1" si="2442">LC43-LC44+LD42</f>
        <v>0</v>
      </c>
      <c r="LE43" s="117">
        <f t="shared" ref="LE43" ca="1" si="2443">LD43-LD44+LE42</f>
        <v>0</v>
      </c>
      <c r="LF43" s="117">
        <f t="shared" ref="LF43" ca="1" si="2444">LE43-LE44+LF42</f>
        <v>0</v>
      </c>
      <c r="LG43" s="117">
        <f t="shared" ref="LG43" ca="1" si="2445">LF43-LF44+LG42</f>
        <v>0</v>
      </c>
      <c r="LH43" s="117">
        <f t="shared" ref="LH43" ca="1" si="2446">LG43-LG44+LH42</f>
        <v>0</v>
      </c>
      <c r="LI43" s="117">
        <f t="shared" ref="LI43" ca="1" si="2447">LH43-LH44+LI42</f>
        <v>0</v>
      </c>
      <c r="LJ43" s="117">
        <f t="shared" ref="LJ43" ca="1" si="2448">LI43-LI44+LJ42</f>
        <v>0</v>
      </c>
      <c r="LK43" s="117">
        <f t="shared" ref="LK43" ca="1" si="2449">LJ43-LJ44+LK42</f>
        <v>0</v>
      </c>
      <c r="LL43" s="117">
        <f t="shared" ref="LL43" ca="1" si="2450">LK43-LK44+LL42</f>
        <v>0</v>
      </c>
      <c r="LM43" s="117">
        <f t="shared" ref="LM43" ca="1" si="2451">LL43-LL44+LM42</f>
        <v>0</v>
      </c>
      <c r="LN43" s="117">
        <f t="shared" ref="LN43" ca="1" si="2452">LM43-LM44+LN42</f>
        <v>0</v>
      </c>
      <c r="LO43" s="117">
        <f t="shared" ref="LO43" ca="1" si="2453">LN43-LN44+LO42</f>
        <v>0</v>
      </c>
      <c r="LP43" s="117">
        <f t="shared" ref="LP43" ca="1" si="2454">LO43-LO44+LP42</f>
        <v>0</v>
      </c>
      <c r="LQ43" s="117">
        <f t="shared" ref="LQ43" ca="1" si="2455">LP43-LP44+LQ42</f>
        <v>0</v>
      </c>
      <c r="LR43" s="117">
        <f t="shared" ref="LR43" ca="1" si="2456">LQ43-LQ44+LR42</f>
        <v>0</v>
      </c>
      <c r="LS43" s="117">
        <f t="shared" ref="LS43" ca="1" si="2457">LR43-LR44+LS42</f>
        <v>0</v>
      </c>
      <c r="LT43" s="117">
        <f t="shared" ref="LT43" ca="1" si="2458">LS43-LS44+LT42</f>
        <v>0</v>
      </c>
      <c r="LU43" s="117">
        <f t="shared" ref="LU43" ca="1" si="2459">LT43-LT44+LU42</f>
        <v>0</v>
      </c>
      <c r="LV43" s="117">
        <f t="shared" ref="LV43" ca="1" si="2460">LU43-LU44+LV42</f>
        <v>0</v>
      </c>
      <c r="LW43" s="117">
        <f t="shared" ref="LW43" ca="1" si="2461">LV43-LV44+LW42</f>
        <v>0</v>
      </c>
      <c r="LX43" s="117">
        <f t="shared" ref="LX43" ca="1" si="2462">LW43-LW44+LX42</f>
        <v>0</v>
      </c>
      <c r="LY43" s="117">
        <f t="shared" ref="LY43" ca="1" si="2463">LX43-LX44+LY42</f>
        <v>0</v>
      </c>
      <c r="LZ43" s="117">
        <f t="shared" ref="LZ43" ca="1" si="2464">LY43-LY44+LZ42</f>
        <v>0</v>
      </c>
      <c r="MA43" s="117">
        <f t="shared" ref="MA43" ca="1" si="2465">LZ43-LZ44+MA42</f>
        <v>0</v>
      </c>
      <c r="MB43" s="117">
        <f t="shared" ref="MB43" ca="1" si="2466">MA43-MA44+MB42</f>
        <v>0</v>
      </c>
      <c r="MC43" s="117">
        <f t="shared" ref="MC43" ca="1" si="2467">MB43-MB44+MC42</f>
        <v>0</v>
      </c>
      <c r="MD43" s="117">
        <f t="shared" ref="MD43" ca="1" si="2468">MC43-MC44+MD42</f>
        <v>0</v>
      </c>
      <c r="ME43" s="117">
        <f t="shared" ref="ME43" ca="1" si="2469">MD43-MD44+ME42</f>
        <v>0</v>
      </c>
      <c r="MF43" s="117">
        <f t="shared" ref="MF43" ca="1" si="2470">ME43-ME44+MF42</f>
        <v>0</v>
      </c>
      <c r="MG43" s="117">
        <f t="shared" ref="MG43" ca="1" si="2471">MF43-MF44+MG42</f>
        <v>0</v>
      </c>
      <c r="MH43" s="117">
        <f t="shared" ref="MH43" ca="1" si="2472">MG43-MG44+MH42</f>
        <v>0</v>
      </c>
      <c r="MI43" s="117">
        <f t="shared" ref="MI43" ca="1" si="2473">MH43-MH44+MI42</f>
        <v>0</v>
      </c>
      <c r="MJ43" s="117">
        <f t="shared" ref="MJ43" ca="1" si="2474">MI43-MI44+MJ42</f>
        <v>0</v>
      </c>
      <c r="MK43" s="117">
        <f t="shared" ref="MK43" ca="1" si="2475">MJ43-MJ44+MK42</f>
        <v>0</v>
      </c>
      <c r="ML43" s="117">
        <f t="shared" ref="ML43" ca="1" si="2476">MK43-MK44+ML42</f>
        <v>0</v>
      </c>
      <c r="MM43" s="117">
        <f t="shared" ref="MM43" ca="1" si="2477">ML43-ML44+MM42</f>
        <v>0</v>
      </c>
      <c r="MN43" s="117">
        <f t="shared" ref="MN43" ca="1" si="2478">MM43-MM44+MN42</f>
        <v>0</v>
      </c>
      <c r="MO43" s="117">
        <f t="shared" ref="MO43" ca="1" si="2479">MN43-MN44+MO42</f>
        <v>0</v>
      </c>
      <c r="MP43" s="117">
        <f t="shared" ref="MP43" ca="1" si="2480">MO43-MO44+MP42</f>
        <v>0</v>
      </c>
      <c r="MQ43" s="117">
        <f t="shared" ref="MQ43" ca="1" si="2481">MP43-MP44+MQ42</f>
        <v>0</v>
      </c>
      <c r="MR43" s="117">
        <f t="shared" ref="MR43" ca="1" si="2482">MQ43-MQ44+MR42</f>
        <v>0</v>
      </c>
      <c r="MS43" s="117">
        <f t="shared" ref="MS43" ca="1" si="2483">MR43-MR44+MS42</f>
        <v>0</v>
      </c>
      <c r="MT43" s="117">
        <f t="shared" ref="MT43" ca="1" si="2484">MS43-MS44+MT42</f>
        <v>0</v>
      </c>
      <c r="MU43" s="117">
        <f t="shared" ref="MU43" ca="1" si="2485">MT43-MT44+MU42</f>
        <v>0</v>
      </c>
      <c r="MV43" s="117">
        <f t="shared" ref="MV43" ca="1" si="2486">MU43-MU44+MV42</f>
        <v>0</v>
      </c>
      <c r="MW43" s="117">
        <f t="shared" ref="MW43" ca="1" si="2487">MV43-MV44+MW42</f>
        <v>0</v>
      </c>
      <c r="MX43" s="117">
        <f t="shared" ref="MX43" ca="1" si="2488">MW43-MW44+MX42</f>
        <v>0</v>
      </c>
      <c r="MY43" s="117">
        <f t="shared" ref="MY43" ca="1" si="2489">MX43-MX44+MY42</f>
        <v>0</v>
      </c>
      <c r="MZ43" s="117">
        <f t="shared" ref="MZ43" ca="1" si="2490">MY43-MY44+MZ42</f>
        <v>0</v>
      </c>
      <c r="NA43" s="117">
        <f t="shared" ref="NA43" ca="1" si="2491">MZ43-MZ44+NA42</f>
        <v>0</v>
      </c>
      <c r="NB43" s="117">
        <f t="shared" ref="NB43" ca="1" si="2492">NA43-NA44+NB42</f>
        <v>0</v>
      </c>
      <c r="NC43" s="117">
        <f t="shared" ref="NC43" ca="1" si="2493">NB43-NB44+NC42</f>
        <v>0</v>
      </c>
      <c r="ND43" s="117">
        <f t="shared" ref="ND43" ca="1" si="2494">NC43-NC44+ND42</f>
        <v>0</v>
      </c>
      <c r="NE43" s="117"/>
      <c r="NF43" s="117"/>
      <c r="NG43" s="117"/>
      <c r="NH43" s="117"/>
      <c r="NI43" s="117"/>
      <c r="NJ43" s="117"/>
      <c r="NK43" s="117"/>
      <c r="NL43" s="117"/>
      <c r="NM43" s="117"/>
      <c r="NN43" s="117"/>
      <c r="NO43" s="117"/>
      <c r="NP43" s="117"/>
      <c r="NQ43" s="117"/>
      <c r="NR43" s="117"/>
    </row>
    <row r="44" spans="2:382" x14ac:dyDescent="0.15">
      <c r="B44" s="518"/>
      <c r="C44" s="115" t="str">
        <f>_xlfn.CONCAT($C$5," Preferred Return Paid")</f>
        <v>Chris Preferred Return Paid</v>
      </c>
      <c r="D44" s="52"/>
      <c r="E44" s="40"/>
      <c r="F44" s="40"/>
      <c r="G44" s="114"/>
      <c r="H44" s="40"/>
      <c r="I44" s="40">
        <f>IF(SUM(I$27,I$35,I$43,I$51,I$59)&gt;0,MIN(I43,I43/SUM(I$27,I$35,I$43,I$51,I$59)*I$23),0)</f>
        <v>-42584.684430000001</v>
      </c>
      <c r="J44" s="40">
        <f>IF(SUM(J$27,J$35,J$43,J$51,J$59)&gt;0,MIN(J43,J43/SUM(J$27,J$35,J$43,J$51,J$59)*J$23),0)</f>
        <v>-42584.684430000001</v>
      </c>
      <c r="K44" s="40">
        <f t="shared" ref="K44:BV44" si="2495">IF(SUM(K$27,K$35,K$43,K$51,K$59)&gt;0,MIN(K43,K43/SUM(K$27,K$35,K$43,K$51,K$59)*K$23),0)</f>
        <v>-42584.684429999994</v>
      </c>
      <c r="L44" s="40">
        <f t="shared" si="2495"/>
        <v>0</v>
      </c>
      <c r="M44" s="40">
        <f t="shared" si="2495"/>
        <v>0</v>
      </c>
      <c r="N44" s="40">
        <f t="shared" si="2495"/>
        <v>0</v>
      </c>
      <c r="O44" s="40">
        <f t="shared" si="2495"/>
        <v>0</v>
      </c>
      <c r="P44" s="40">
        <f t="shared" si="2495"/>
        <v>0</v>
      </c>
      <c r="Q44" s="40">
        <f t="shared" si="2495"/>
        <v>0</v>
      </c>
      <c r="R44" s="40">
        <f t="shared" si="2495"/>
        <v>0</v>
      </c>
      <c r="S44" s="40">
        <f t="shared" si="2495"/>
        <v>0</v>
      </c>
      <c r="T44" s="40">
        <f t="shared" si="2495"/>
        <v>0</v>
      </c>
      <c r="U44" s="40">
        <f t="shared" si="2495"/>
        <v>0</v>
      </c>
      <c r="V44" s="40">
        <f t="shared" si="2495"/>
        <v>0</v>
      </c>
      <c r="W44" s="40">
        <f t="shared" si="2495"/>
        <v>0</v>
      </c>
      <c r="X44" s="40">
        <f t="shared" si="2495"/>
        <v>0</v>
      </c>
      <c r="Y44" s="40">
        <f t="shared" si="2495"/>
        <v>0</v>
      </c>
      <c r="Z44" s="40">
        <f t="shared" si="2495"/>
        <v>0</v>
      </c>
      <c r="AA44" s="40">
        <f t="shared" si="2495"/>
        <v>0</v>
      </c>
      <c r="AB44" s="40">
        <f t="shared" si="2495"/>
        <v>0</v>
      </c>
      <c r="AC44" s="40">
        <f t="shared" si="2495"/>
        <v>0</v>
      </c>
      <c r="AD44" s="40">
        <f t="shared" si="2495"/>
        <v>0</v>
      </c>
      <c r="AE44" s="40">
        <f t="shared" si="2495"/>
        <v>0</v>
      </c>
      <c r="AF44" s="40">
        <f t="shared" si="2495"/>
        <v>0</v>
      </c>
      <c r="AG44" s="40">
        <f t="shared" si="2495"/>
        <v>0</v>
      </c>
      <c r="AH44" s="40">
        <f t="shared" si="2495"/>
        <v>0</v>
      </c>
      <c r="AI44" s="40">
        <f t="shared" si="2495"/>
        <v>0</v>
      </c>
      <c r="AJ44" s="40">
        <f t="shared" si="2495"/>
        <v>0</v>
      </c>
      <c r="AK44" s="40">
        <f t="shared" si="2495"/>
        <v>0</v>
      </c>
      <c r="AL44" s="40">
        <f t="shared" si="2495"/>
        <v>0</v>
      </c>
      <c r="AM44" s="40">
        <f t="shared" si="2495"/>
        <v>0</v>
      </c>
      <c r="AN44" s="40">
        <f t="shared" si="2495"/>
        <v>0</v>
      </c>
      <c r="AO44" s="40">
        <f t="shared" si="2495"/>
        <v>0</v>
      </c>
      <c r="AP44" s="40">
        <f t="shared" si="2495"/>
        <v>0</v>
      </c>
      <c r="AQ44" s="40">
        <f t="shared" si="2495"/>
        <v>0</v>
      </c>
      <c r="AR44" s="40">
        <f t="shared" si="2495"/>
        <v>0</v>
      </c>
      <c r="AS44" s="40">
        <f t="shared" si="2495"/>
        <v>147.6336588771168</v>
      </c>
      <c r="AT44" s="40">
        <f t="shared" si="2495"/>
        <v>147.63365887711683</v>
      </c>
      <c r="AU44" s="40">
        <f t="shared" si="2495"/>
        <v>147.6336588771168</v>
      </c>
      <c r="AV44" s="40">
        <f t="shared" si="2495"/>
        <v>147.6336588771168</v>
      </c>
      <c r="AW44" s="40">
        <f t="shared" si="2495"/>
        <v>147.63365887711683</v>
      </c>
      <c r="AX44" s="40">
        <f t="shared" si="2495"/>
        <v>147.63365887711683</v>
      </c>
      <c r="AY44" s="40">
        <f t="shared" si="2495"/>
        <v>147.63365887711683</v>
      </c>
      <c r="AZ44" s="40">
        <f t="shared" si="2495"/>
        <v>147.63365887711683</v>
      </c>
      <c r="BA44" s="40">
        <f t="shared" si="2495"/>
        <v>147.63365887711683</v>
      </c>
      <c r="BB44" s="40">
        <f t="shared" si="2495"/>
        <v>147.63365887711683</v>
      </c>
      <c r="BC44" s="40">
        <f t="shared" si="2495"/>
        <v>147.63365887711683</v>
      </c>
      <c r="BD44" s="40">
        <f t="shared" si="2495"/>
        <v>147.63365887711683</v>
      </c>
      <c r="BE44" s="40">
        <f t="shared" si="2495"/>
        <v>525.01922858313139</v>
      </c>
      <c r="BF44" s="40">
        <f t="shared" si="2495"/>
        <v>525.01922858313139</v>
      </c>
      <c r="BG44" s="40">
        <f t="shared" si="2495"/>
        <v>525.01922858313139</v>
      </c>
      <c r="BH44" s="40">
        <f t="shared" si="2495"/>
        <v>525.01922858313139</v>
      </c>
      <c r="BI44" s="40">
        <f t="shared" si="2495"/>
        <v>525.01922858313151</v>
      </c>
      <c r="BJ44" s="40">
        <f t="shared" si="2495"/>
        <v>525.01922858313139</v>
      </c>
      <c r="BK44" s="40">
        <f t="shared" si="2495"/>
        <v>525.01922858313162</v>
      </c>
      <c r="BL44" s="40">
        <f t="shared" si="2495"/>
        <v>525.01922858313151</v>
      </c>
      <c r="BM44" s="40">
        <f t="shared" si="2495"/>
        <v>525.01922858313162</v>
      </c>
      <c r="BN44" s="40">
        <f t="shared" si="2495"/>
        <v>525.01922858313162</v>
      </c>
      <c r="BO44" s="40">
        <f t="shared" si="2495"/>
        <v>525.01922858313173</v>
      </c>
      <c r="BP44" s="40">
        <f t="shared" si="2495"/>
        <v>525.01922858313173</v>
      </c>
      <c r="BQ44" s="40">
        <f t="shared" si="2495"/>
        <v>914.25072657386465</v>
      </c>
      <c r="BR44" s="40">
        <f t="shared" si="2495"/>
        <v>914.25072657386443</v>
      </c>
      <c r="BS44" s="40">
        <f t="shared" si="2495"/>
        <v>914.25072657386443</v>
      </c>
      <c r="BT44" s="40">
        <f t="shared" si="2495"/>
        <v>914.25072657386431</v>
      </c>
      <c r="BU44" s="40">
        <f t="shared" si="2495"/>
        <v>914.25072657386443</v>
      </c>
      <c r="BV44" s="40">
        <f t="shared" si="2495"/>
        <v>914.2507265738642</v>
      </c>
      <c r="BW44" s="40">
        <f t="shared" ref="BW44:EH44" si="2496">IF(SUM(BW$27,BW$35,BW$43,BW$51,BW$59)&gt;0,MIN(BW43,BW43/SUM(BW$27,BW$35,BW$43,BW$51,BW$59)*BW$23),0)</f>
        <v>914.25072657386431</v>
      </c>
      <c r="BX44" s="40">
        <f t="shared" si="2496"/>
        <v>914.2507265738642</v>
      </c>
      <c r="BY44" s="40">
        <f t="shared" si="2496"/>
        <v>914.2507265738642</v>
      </c>
      <c r="BZ44" s="40">
        <f t="shared" si="2496"/>
        <v>914.25072657386409</v>
      </c>
      <c r="CA44" s="40">
        <f t="shared" si="2496"/>
        <v>914.25072657386409</v>
      </c>
      <c r="CB44" s="40">
        <f t="shared" si="2496"/>
        <v>914.25072657386397</v>
      </c>
      <c r="CC44" s="40">
        <f t="shared" si="2496"/>
        <v>1315.6947203685065</v>
      </c>
      <c r="CD44" s="40">
        <f t="shared" si="2496"/>
        <v>1315.6947203685068</v>
      </c>
      <c r="CE44" s="40">
        <f t="shared" si="2496"/>
        <v>1315.6947203685068</v>
      </c>
      <c r="CF44" s="40">
        <f t="shared" si="2496"/>
        <v>1315.6947203685065</v>
      </c>
      <c r="CG44" s="40">
        <f t="shared" si="2496"/>
        <v>1315.694720368507</v>
      </c>
      <c r="CH44" s="40">
        <f t="shared" si="2496"/>
        <v>1315.694720368507</v>
      </c>
      <c r="CI44" s="40">
        <f t="shared" si="2496"/>
        <v>1315.694720368507</v>
      </c>
      <c r="CJ44" s="40">
        <f t="shared" si="2496"/>
        <v>1315.6947203685068</v>
      </c>
      <c r="CK44" s="40">
        <f t="shared" si="2496"/>
        <v>1315.694720368507</v>
      </c>
      <c r="CL44" s="40">
        <f t="shared" si="2496"/>
        <v>1315.694720368507</v>
      </c>
      <c r="CM44" s="40">
        <f t="shared" si="2496"/>
        <v>1315.6947203685072</v>
      </c>
      <c r="CN44" s="40">
        <f t="shared" si="2496"/>
        <v>1315.694720368507</v>
      </c>
      <c r="CO44" s="40">
        <f t="shared" si="2496"/>
        <v>1729.7290158664046</v>
      </c>
      <c r="CP44" s="40">
        <f t="shared" si="2496"/>
        <v>1729.7290158664046</v>
      </c>
      <c r="CQ44" s="40">
        <f t="shared" si="2496"/>
        <v>1729.7290158664046</v>
      </c>
      <c r="CR44" s="40">
        <f t="shared" si="2496"/>
        <v>1729.7290158664046</v>
      </c>
      <c r="CS44" s="40">
        <f t="shared" si="2496"/>
        <v>1729.7290158664046</v>
      </c>
      <c r="CT44" s="40">
        <f t="shared" si="2496"/>
        <v>1729.7290158664048</v>
      </c>
      <c r="CU44" s="40">
        <f t="shared" si="2496"/>
        <v>1729.7290158664048</v>
      </c>
      <c r="CV44" s="40">
        <f t="shared" si="2496"/>
        <v>1729.7290158664046</v>
      </c>
      <c r="CW44" s="40">
        <f t="shared" si="2496"/>
        <v>1729.729015866405</v>
      </c>
      <c r="CX44" s="40">
        <f t="shared" si="2496"/>
        <v>1729.7290158664048</v>
      </c>
      <c r="CY44" s="40">
        <f t="shared" si="2496"/>
        <v>1729.7290158664048</v>
      </c>
      <c r="CZ44" s="40">
        <f t="shared" si="2496"/>
        <v>1729.7290158664048</v>
      </c>
      <c r="DA44" s="40">
        <f t="shared" si="2496"/>
        <v>2156.7429997646013</v>
      </c>
      <c r="DB44" s="40">
        <f t="shared" si="2496"/>
        <v>2156.7429997646013</v>
      </c>
      <c r="DC44" s="40">
        <f t="shared" si="2496"/>
        <v>2156.7429997646013</v>
      </c>
      <c r="DD44" s="40">
        <f t="shared" si="2496"/>
        <v>2156.7429997646013</v>
      </c>
      <c r="DE44" s="40">
        <f t="shared" si="2496"/>
        <v>2156.7429997646013</v>
      </c>
      <c r="DF44" s="40">
        <f t="shared" si="2496"/>
        <v>2156.7429997646013</v>
      </c>
      <c r="DG44" s="40">
        <f t="shared" si="2496"/>
        <v>2156.7429997646013</v>
      </c>
      <c r="DH44" s="40">
        <f t="shared" si="2496"/>
        <v>2156.7429997646013</v>
      </c>
      <c r="DI44" s="40">
        <f t="shared" si="2496"/>
        <v>2156.7429997646013</v>
      </c>
      <c r="DJ44" s="40">
        <f t="shared" si="2496"/>
        <v>2156.7429997646013</v>
      </c>
      <c r="DK44" s="40">
        <f t="shared" si="2496"/>
        <v>2156.7429997646013</v>
      </c>
      <c r="DL44" s="40">
        <f t="shared" si="2496"/>
        <v>2156.7429997646013</v>
      </c>
      <c r="DM44" s="40">
        <f t="shared" si="2496"/>
        <v>2597.1379923641562</v>
      </c>
      <c r="DN44" s="40">
        <f t="shared" si="2496"/>
        <v>2597.1379923641562</v>
      </c>
      <c r="DO44" s="40">
        <f t="shared" si="2496"/>
        <v>2597.1379923641566</v>
      </c>
      <c r="DP44" s="40">
        <f t="shared" si="2496"/>
        <v>2597.1379923641566</v>
      </c>
      <c r="DQ44" s="40">
        <f t="shared" si="2496"/>
        <v>2597.1379923641562</v>
      </c>
      <c r="DR44" s="40">
        <f t="shared" si="2496"/>
        <v>2597.1379923641566</v>
      </c>
      <c r="DS44" s="40">
        <f t="shared" si="2496"/>
        <v>2597.1379923641571</v>
      </c>
      <c r="DT44" s="40">
        <f t="shared" si="2496"/>
        <v>2597.1379923641571</v>
      </c>
      <c r="DU44" s="40">
        <f t="shared" si="2496"/>
        <v>2597.1379923641566</v>
      </c>
      <c r="DV44" s="40">
        <f t="shared" si="2496"/>
        <v>2597.1379923641571</v>
      </c>
      <c r="DW44" s="40">
        <f t="shared" si="2496"/>
        <v>2597.1379923641575</v>
      </c>
      <c r="DX44" s="40">
        <f t="shared" si="2496"/>
        <v>2597.137992364158</v>
      </c>
      <c r="DY44" s="40">
        <f t="shared" si="2496"/>
        <v>3051.327611079621</v>
      </c>
      <c r="DZ44" s="40">
        <f t="shared" si="2496"/>
        <v>3051.3276110796201</v>
      </c>
      <c r="EA44" s="40">
        <f t="shared" si="2496"/>
        <v>3051.327611079621</v>
      </c>
      <c r="EB44" s="40">
        <f t="shared" si="2496"/>
        <v>3051.3276110796205</v>
      </c>
      <c r="EC44" s="40">
        <f t="shared" si="2496"/>
        <v>3051.3276110796201</v>
      </c>
      <c r="ED44" s="40">
        <f t="shared" si="2496"/>
        <v>3051.3276110796214</v>
      </c>
      <c r="EE44" s="40">
        <f t="shared" si="2496"/>
        <v>3051.3276110796205</v>
      </c>
      <c r="EF44" s="40">
        <f t="shared" si="2496"/>
        <v>3051.3276110796201</v>
      </c>
      <c r="EG44" s="40">
        <f t="shared" si="2496"/>
        <v>3051.3276110796196</v>
      </c>
      <c r="EH44" s="40">
        <f t="shared" si="2496"/>
        <v>3051.3276110796201</v>
      </c>
      <c r="EI44" s="40">
        <f t="shared" ref="EI44:GT44" si="2497">IF(SUM(EI$27,EI$35,EI$43,EI$51,EI$59)&gt;0,MIN(EI43,EI43/SUM(EI$27,EI$35,EI$43,EI$51,EI$59)*EI$23),0)</f>
        <v>3051.3276110796201</v>
      </c>
      <c r="EJ44" s="40">
        <f t="shared" si="2497"/>
        <v>3051.3276110796196</v>
      </c>
      <c r="EK44" s="40">
        <f t="shared" si="2497"/>
        <v>3519.7381449752797</v>
      </c>
      <c r="EL44" s="40">
        <f t="shared" si="2497"/>
        <v>3519.7381449752797</v>
      </c>
      <c r="EM44" s="40">
        <f t="shared" si="2497"/>
        <v>3519.7381449752811</v>
      </c>
      <c r="EN44" s="40">
        <f t="shared" si="2497"/>
        <v>3519.7381449752797</v>
      </c>
      <c r="EO44" s="40">
        <f t="shared" si="2497"/>
        <v>3519.7381449752793</v>
      </c>
      <c r="EP44" s="40">
        <f t="shared" si="2497"/>
        <v>3519.7381449752797</v>
      </c>
      <c r="EQ44" s="40">
        <f t="shared" si="2497"/>
        <v>3519.7381449752806</v>
      </c>
      <c r="ER44" s="40">
        <f t="shared" si="2497"/>
        <v>3519.7381449752802</v>
      </c>
      <c r="ES44" s="40">
        <f t="shared" si="2497"/>
        <v>3519.7381449752788</v>
      </c>
      <c r="ET44" s="40">
        <f t="shared" si="2497"/>
        <v>3519.7381449752793</v>
      </c>
      <c r="EU44" s="40">
        <f t="shared" si="2497"/>
        <v>3519.7381449752793</v>
      </c>
      <c r="EV44" s="40">
        <f t="shared" si="2497"/>
        <v>3519.7381449752784</v>
      </c>
      <c r="EW44" s="40">
        <f t="shared" si="2497"/>
        <v>4002.808940661816</v>
      </c>
      <c r="EX44" s="40">
        <f t="shared" si="2497"/>
        <v>4002.808940661816</v>
      </c>
      <c r="EY44" s="40">
        <f t="shared" si="2497"/>
        <v>4002.8089406618155</v>
      </c>
      <c r="EZ44" s="40">
        <f t="shared" si="2497"/>
        <v>4002.8089406618155</v>
      </c>
      <c r="FA44" s="40">
        <f t="shared" si="2497"/>
        <v>4002.8089406618165</v>
      </c>
      <c r="FB44" s="40">
        <f t="shared" si="2497"/>
        <v>4002.8089406618165</v>
      </c>
      <c r="FC44" s="40">
        <f t="shared" si="2497"/>
        <v>4002.8089406618165</v>
      </c>
      <c r="FD44" s="40">
        <f t="shared" si="2497"/>
        <v>4002.8089406618169</v>
      </c>
      <c r="FE44" s="40">
        <f t="shared" si="2497"/>
        <v>4002.8089406618169</v>
      </c>
      <c r="FF44" s="40">
        <f t="shared" si="2497"/>
        <v>4002.8089406618178</v>
      </c>
      <c r="FG44" s="40">
        <f t="shared" si="2497"/>
        <v>4002.8089406618169</v>
      </c>
      <c r="FH44" s="40">
        <f t="shared" si="2497"/>
        <v>4002.8089406618174</v>
      </c>
      <c r="FI44" s="40">
        <f t="shared" si="2497"/>
        <v>4500.9927998969297</v>
      </c>
      <c r="FJ44" s="40">
        <f t="shared" si="2497"/>
        <v>4500.9927998969306</v>
      </c>
      <c r="FK44" s="40">
        <f t="shared" si="2497"/>
        <v>4500.9927998969315</v>
      </c>
      <c r="FL44" s="40">
        <f t="shared" si="2497"/>
        <v>4500.9927998969315</v>
      </c>
      <c r="FM44" s="40">
        <f t="shared" si="2497"/>
        <v>4500.9927998969315</v>
      </c>
      <c r="FN44" s="40">
        <f t="shared" si="2497"/>
        <v>4500.9927998969315</v>
      </c>
      <c r="FO44" s="40">
        <f t="shared" si="2497"/>
        <v>4500.9927998969315</v>
      </c>
      <c r="FP44" s="40">
        <f t="shared" si="2497"/>
        <v>4500.9927998969333</v>
      </c>
      <c r="FQ44" s="40">
        <f t="shared" si="2497"/>
        <v>4500.9927998969333</v>
      </c>
      <c r="FR44" s="40">
        <f t="shared" si="2497"/>
        <v>4500.9927998969333</v>
      </c>
      <c r="FS44" s="40">
        <f t="shared" si="2497"/>
        <v>4500.9927998969342</v>
      </c>
      <c r="FT44" s="40">
        <f t="shared" si="2497"/>
        <v>4500.9927998969342</v>
      </c>
      <c r="FU44" s="40">
        <f t="shared" si="2497"/>
        <v>5014.756389243832</v>
      </c>
      <c r="FV44" s="40">
        <f t="shared" si="2497"/>
        <v>5014.7563892438329</v>
      </c>
      <c r="FW44" s="40">
        <f t="shared" si="2497"/>
        <v>5014.7563892438347</v>
      </c>
      <c r="FX44" s="40">
        <f t="shared" si="2497"/>
        <v>5014.7563892438347</v>
      </c>
      <c r="FY44" s="40">
        <f t="shared" si="2497"/>
        <v>5014.7563892438357</v>
      </c>
      <c r="FZ44" s="40">
        <f t="shared" si="2497"/>
        <v>5014.7563892438357</v>
      </c>
      <c r="GA44" s="40">
        <f t="shared" si="2497"/>
        <v>5014.7563892438357</v>
      </c>
      <c r="GB44" s="40">
        <f t="shared" si="2497"/>
        <v>5014.7563892438357</v>
      </c>
      <c r="GC44" s="40">
        <f t="shared" si="2497"/>
        <v>0</v>
      </c>
      <c r="GD44" s="40">
        <f t="shared" si="2497"/>
        <v>0</v>
      </c>
      <c r="GE44" s="40">
        <f t="shared" si="2497"/>
        <v>0</v>
      </c>
      <c r="GF44" s="40">
        <f t="shared" ca="1" si="2497"/>
        <v>1608275.5721079151</v>
      </c>
      <c r="GG44" s="40">
        <f t="shared" ca="1" si="2497"/>
        <v>0</v>
      </c>
      <c r="GH44" s="40">
        <f t="shared" ca="1" si="2497"/>
        <v>0</v>
      </c>
      <c r="GI44" s="40">
        <f t="shared" ca="1" si="2497"/>
        <v>0</v>
      </c>
      <c r="GJ44" s="40">
        <f t="shared" ca="1" si="2497"/>
        <v>0</v>
      </c>
      <c r="GK44" s="40">
        <f t="shared" ca="1" si="2497"/>
        <v>0</v>
      </c>
      <c r="GL44" s="40">
        <f t="shared" ca="1" si="2497"/>
        <v>0</v>
      </c>
      <c r="GM44" s="40">
        <f t="shared" ca="1" si="2497"/>
        <v>0</v>
      </c>
      <c r="GN44" s="40">
        <f t="shared" ca="1" si="2497"/>
        <v>0</v>
      </c>
      <c r="GO44" s="40">
        <f t="shared" ca="1" si="2497"/>
        <v>0</v>
      </c>
      <c r="GP44" s="40">
        <f t="shared" ca="1" si="2497"/>
        <v>0</v>
      </c>
      <c r="GQ44" s="40">
        <f t="shared" ca="1" si="2497"/>
        <v>0</v>
      </c>
      <c r="GR44" s="40">
        <f t="shared" ca="1" si="2497"/>
        <v>0</v>
      </c>
      <c r="GS44" s="40">
        <f t="shared" ca="1" si="2497"/>
        <v>0</v>
      </c>
      <c r="GT44" s="40">
        <f t="shared" ca="1" si="2497"/>
        <v>0</v>
      </c>
      <c r="GU44" s="40">
        <f t="shared" ref="GU44:IN44" ca="1" si="2498">IF(SUM(GU$27,GU$35,GU$43,GU$51,GU$59)&gt;0,MIN(GU43,GU43/SUM(GU$27,GU$35,GU$43,GU$51,GU$59)*GU$23),0)</f>
        <v>0</v>
      </c>
      <c r="GV44" s="40">
        <f t="shared" ca="1" si="2498"/>
        <v>0</v>
      </c>
      <c r="GW44" s="40">
        <f t="shared" ca="1" si="2498"/>
        <v>0</v>
      </c>
      <c r="GX44" s="40">
        <f t="shared" ca="1" si="2498"/>
        <v>0</v>
      </c>
      <c r="GY44" s="40">
        <f t="shared" ca="1" si="2498"/>
        <v>0</v>
      </c>
      <c r="GZ44" s="40">
        <f t="shared" ca="1" si="2498"/>
        <v>0</v>
      </c>
      <c r="HA44" s="40">
        <f t="shared" ca="1" si="2498"/>
        <v>0</v>
      </c>
      <c r="HB44" s="40">
        <f t="shared" ca="1" si="2498"/>
        <v>0</v>
      </c>
      <c r="HC44" s="40">
        <f t="shared" ca="1" si="2498"/>
        <v>0</v>
      </c>
      <c r="HD44" s="40">
        <f t="shared" ca="1" si="2498"/>
        <v>0</v>
      </c>
      <c r="HE44" s="40">
        <f t="shared" ca="1" si="2498"/>
        <v>0</v>
      </c>
      <c r="HF44" s="40">
        <f t="shared" ca="1" si="2498"/>
        <v>0</v>
      </c>
      <c r="HG44" s="40">
        <f t="shared" ca="1" si="2498"/>
        <v>0</v>
      </c>
      <c r="HH44" s="40">
        <f t="shared" ca="1" si="2498"/>
        <v>0</v>
      </c>
      <c r="HI44" s="40">
        <f t="shared" ca="1" si="2498"/>
        <v>0</v>
      </c>
      <c r="HJ44" s="40">
        <f t="shared" ca="1" si="2498"/>
        <v>0</v>
      </c>
      <c r="HK44" s="40">
        <f t="shared" ca="1" si="2498"/>
        <v>0</v>
      </c>
      <c r="HL44" s="40">
        <f t="shared" ca="1" si="2498"/>
        <v>0</v>
      </c>
      <c r="HM44" s="40">
        <f t="shared" ca="1" si="2498"/>
        <v>0</v>
      </c>
      <c r="HN44" s="40">
        <f t="shared" ca="1" si="2498"/>
        <v>0</v>
      </c>
      <c r="HO44" s="40">
        <f t="shared" ca="1" si="2498"/>
        <v>0</v>
      </c>
      <c r="HP44" s="40">
        <f t="shared" ca="1" si="2498"/>
        <v>0</v>
      </c>
      <c r="HQ44" s="40">
        <f t="shared" ca="1" si="2498"/>
        <v>0</v>
      </c>
      <c r="HR44" s="40">
        <f t="shared" ca="1" si="2498"/>
        <v>0</v>
      </c>
      <c r="HS44" s="40">
        <f t="shared" ca="1" si="2498"/>
        <v>0</v>
      </c>
      <c r="HT44" s="40">
        <f t="shared" ca="1" si="2498"/>
        <v>0</v>
      </c>
      <c r="HU44" s="40">
        <f t="shared" ca="1" si="2498"/>
        <v>0</v>
      </c>
      <c r="HV44" s="40">
        <f t="shared" ca="1" si="2498"/>
        <v>0</v>
      </c>
      <c r="HW44" s="40">
        <f t="shared" ca="1" si="2498"/>
        <v>0</v>
      </c>
      <c r="HX44" s="40">
        <f t="shared" ca="1" si="2498"/>
        <v>0</v>
      </c>
      <c r="HY44" s="40">
        <f t="shared" ca="1" si="2498"/>
        <v>0</v>
      </c>
      <c r="HZ44" s="40">
        <f t="shared" ca="1" si="2498"/>
        <v>0</v>
      </c>
      <c r="IA44" s="40">
        <f t="shared" ca="1" si="2498"/>
        <v>0</v>
      </c>
      <c r="IB44" s="40">
        <f t="shared" ca="1" si="2498"/>
        <v>0</v>
      </c>
      <c r="IC44" s="40">
        <f t="shared" ca="1" si="2498"/>
        <v>0</v>
      </c>
      <c r="ID44" s="40">
        <f t="shared" ca="1" si="2498"/>
        <v>0</v>
      </c>
      <c r="IE44" s="40">
        <f t="shared" ca="1" si="2498"/>
        <v>0</v>
      </c>
      <c r="IF44" s="40">
        <f t="shared" ca="1" si="2498"/>
        <v>0</v>
      </c>
      <c r="IG44" s="40">
        <f t="shared" ca="1" si="2498"/>
        <v>0</v>
      </c>
      <c r="IH44" s="40">
        <f t="shared" ca="1" si="2498"/>
        <v>0</v>
      </c>
      <c r="II44" s="40">
        <f t="shared" ca="1" si="2498"/>
        <v>0</v>
      </c>
      <c r="IJ44" s="40">
        <f t="shared" ca="1" si="2498"/>
        <v>0</v>
      </c>
      <c r="IK44" s="40">
        <f t="shared" ca="1" si="2498"/>
        <v>0</v>
      </c>
      <c r="IL44" s="40">
        <f t="shared" ca="1" si="2498"/>
        <v>0</v>
      </c>
      <c r="IM44" s="40">
        <f t="shared" ca="1" si="2498"/>
        <v>0</v>
      </c>
      <c r="IN44" s="40">
        <f t="shared" ca="1" si="2498"/>
        <v>0</v>
      </c>
      <c r="IO44" s="40">
        <f t="shared" ref="IO44:KZ44" ca="1" si="2499">IF(SUM(IO$27,IO$35,IO$43,IO$51,IO$59)&gt;0,MIN(IO43,IO43/SUM(IO$27,IO$35,IO$43,IO$51,IO$59)*IO$23),0)</f>
        <v>0</v>
      </c>
      <c r="IP44" s="40">
        <f t="shared" ca="1" si="2499"/>
        <v>0</v>
      </c>
      <c r="IQ44" s="40">
        <f t="shared" ca="1" si="2499"/>
        <v>0</v>
      </c>
      <c r="IR44" s="40">
        <f t="shared" ca="1" si="2499"/>
        <v>0</v>
      </c>
      <c r="IS44" s="40">
        <f t="shared" ca="1" si="2499"/>
        <v>0</v>
      </c>
      <c r="IT44" s="40">
        <f t="shared" ca="1" si="2499"/>
        <v>0</v>
      </c>
      <c r="IU44" s="40">
        <f t="shared" ca="1" si="2499"/>
        <v>0</v>
      </c>
      <c r="IV44" s="40">
        <f t="shared" ca="1" si="2499"/>
        <v>0</v>
      </c>
      <c r="IW44" s="40">
        <f t="shared" ca="1" si="2499"/>
        <v>0</v>
      </c>
      <c r="IX44" s="40">
        <f t="shared" ca="1" si="2499"/>
        <v>0</v>
      </c>
      <c r="IY44" s="40">
        <f t="shared" ca="1" si="2499"/>
        <v>0</v>
      </c>
      <c r="IZ44" s="40">
        <f t="shared" ca="1" si="2499"/>
        <v>0</v>
      </c>
      <c r="JA44" s="40">
        <f t="shared" ca="1" si="2499"/>
        <v>0</v>
      </c>
      <c r="JB44" s="40">
        <f t="shared" ca="1" si="2499"/>
        <v>0</v>
      </c>
      <c r="JC44" s="40">
        <f t="shared" ca="1" si="2499"/>
        <v>0</v>
      </c>
      <c r="JD44" s="40">
        <f t="shared" ca="1" si="2499"/>
        <v>0</v>
      </c>
      <c r="JE44" s="40">
        <f t="shared" ca="1" si="2499"/>
        <v>0</v>
      </c>
      <c r="JF44" s="40">
        <f t="shared" ca="1" si="2499"/>
        <v>0</v>
      </c>
      <c r="JG44" s="40">
        <f t="shared" ca="1" si="2499"/>
        <v>0</v>
      </c>
      <c r="JH44" s="40">
        <f t="shared" ca="1" si="2499"/>
        <v>0</v>
      </c>
      <c r="JI44" s="40">
        <f t="shared" ca="1" si="2499"/>
        <v>0</v>
      </c>
      <c r="JJ44" s="40">
        <f t="shared" ca="1" si="2499"/>
        <v>0</v>
      </c>
      <c r="JK44" s="40">
        <f t="shared" ca="1" si="2499"/>
        <v>0</v>
      </c>
      <c r="JL44" s="40">
        <f t="shared" ca="1" si="2499"/>
        <v>0</v>
      </c>
      <c r="JM44" s="40">
        <f t="shared" ca="1" si="2499"/>
        <v>0</v>
      </c>
      <c r="JN44" s="40">
        <f t="shared" ca="1" si="2499"/>
        <v>0</v>
      </c>
      <c r="JO44" s="40">
        <f t="shared" ca="1" si="2499"/>
        <v>0</v>
      </c>
      <c r="JP44" s="40">
        <f t="shared" ca="1" si="2499"/>
        <v>0</v>
      </c>
      <c r="JQ44" s="40">
        <f t="shared" ca="1" si="2499"/>
        <v>0</v>
      </c>
      <c r="JR44" s="40">
        <f t="shared" ca="1" si="2499"/>
        <v>0</v>
      </c>
      <c r="JS44" s="40">
        <f t="shared" ca="1" si="2499"/>
        <v>0</v>
      </c>
      <c r="JT44" s="40">
        <f t="shared" ca="1" si="2499"/>
        <v>0</v>
      </c>
      <c r="JU44" s="40">
        <f t="shared" ca="1" si="2499"/>
        <v>0</v>
      </c>
      <c r="JV44" s="40">
        <f t="shared" ca="1" si="2499"/>
        <v>0</v>
      </c>
      <c r="JW44" s="40">
        <f t="shared" ca="1" si="2499"/>
        <v>0</v>
      </c>
      <c r="JX44" s="40">
        <f t="shared" ca="1" si="2499"/>
        <v>0</v>
      </c>
      <c r="JY44" s="40">
        <f t="shared" ca="1" si="2499"/>
        <v>0</v>
      </c>
      <c r="JZ44" s="40">
        <f t="shared" ca="1" si="2499"/>
        <v>0</v>
      </c>
      <c r="KA44" s="40">
        <f t="shared" ca="1" si="2499"/>
        <v>0</v>
      </c>
      <c r="KB44" s="40">
        <f t="shared" ca="1" si="2499"/>
        <v>0</v>
      </c>
      <c r="KC44" s="40">
        <f t="shared" ca="1" si="2499"/>
        <v>0</v>
      </c>
      <c r="KD44" s="40">
        <f t="shared" ca="1" si="2499"/>
        <v>0</v>
      </c>
      <c r="KE44" s="40">
        <f t="shared" ca="1" si="2499"/>
        <v>0</v>
      </c>
      <c r="KF44" s="40">
        <f t="shared" ca="1" si="2499"/>
        <v>0</v>
      </c>
      <c r="KG44" s="40">
        <f t="shared" ca="1" si="2499"/>
        <v>0</v>
      </c>
      <c r="KH44" s="40">
        <f t="shared" ca="1" si="2499"/>
        <v>0</v>
      </c>
      <c r="KI44" s="40">
        <f t="shared" ca="1" si="2499"/>
        <v>0</v>
      </c>
      <c r="KJ44" s="40">
        <f t="shared" ca="1" si="2499"/>
        <v>0</v>
      </c>
      <c r="KK44" s="40">
        <f t="shared" ca="1" si="2499"/>
        <v>0</v>
      </c>
      <c r="KL44" s="40">
        <f t="shared" ca="1" si="2499"/>
        <v>0</v>
      </c>
      <c r="KM44" s="40">
        <f t="shared" ca="1" si="2499"/>
        <v>0</v>
      </c>
      <c r="KN44" s="40">
        <f t="shared" ca="1" si="2499"/>
        <v>0</v>
      </c>
      <c r="KO44" s="40">
        <f t="shared" ca="1" si="2499"/>
        <v>0</v>
      </c>
      <c r="KP44" s="40">
        <f t="shared" ca="1" si="2499"/>
        <v>0</v>
      </c>
      <c r="KQ44" s="40">
        <f t="shared" ca="1" si="2499"/>
        <v>0</v>
      </c>
      <c r="KR44" s="40">
        <f t="shared" ca="1" si="2499"/>
        <v>0</v>
      </c>
      <c r="KS44" s="40">
        <f t="shared" ca="1" si="2499"/>
        <v>0</v>
      </c>
      <c r="KT44" s="40">
        <f t="shared" ca="1" si="2499"/>
        <v>0</v>
      </c>
      <c r="KU44" s="40">
        <f t="shared" ca="1" si="2499"/>
        <v>0</v>
      </c>
      <c r="KV44" s="40">
        <f t="shared" ca="1" si="2499"/>
        <v>0</v>
      </c>
      <c r="KW44" s="40">
        <f t="shared" ca="1" si="2499"/>
        <v>0</v>
      </c>
      <c r="KX44" s="40">
        <f t="shared" ca="1" si="2499"/>
        <v>0</v>
      </c>
      <c r="KY44" s="40">
        <f t="shared" ca="1" si="2499"/>
        <v>0</v>
      </c>
      <c r="KZ44" s="40">
        <f t="shared" ca="1" si="2499"/>
        <v>0</v>
      </c>
      <c r="LA44" s="40">
        <f t="shared" ref="LA44:ND44" ca="1" si="2500">IF(SUM(LA$27,LA$35,LA$43,LA$51,LA$59)&gt;0,MIN(LA43,LA43/SUM(LA$27,LA$35,LA$43,LA$51,LA$59)*LA$23),0)</f>
        <v>0</v>
      </c>
      <c r="LB44" s="40">
        <f t="shared" ca="1" si="2500"/>
        <v>0</v>
      </c>
      <c r="LC44" s="40">
        <f t="shared" ca="1" si="2500"/>
        <v>0</v>
      </c>
      <c r="LD44" s="40">
        <f t="shared" ca="1" si="2500"/>
        <v>0</v>
      </c>
      <c r="LE44" s="40">
        <f t="shared" ca="1" si="2500"/>
        <v>0</v>
      </c>
      <c r="LF44" s="40">
        <f t="shared" ca="1" si="2500"/>
        <v>0</v>
      </c>
      <c r="LG44" s="40">
        <f t="shared" ca="1" si="2500"/>
        <v>0</v>
      </c>
      <c r="LH44" s="40">
        <f t="shared" ca="1" si="2500"/>
        <v>0</v>
      </c>
      <c r="LI44" s="40">
        <f t="shared" ca="1" si="2500"/>
        <v>0</v>
      </c>
      <c r="LJ44" s="40">
        <f t="shared" ca="1" si="2500"/>
        <v>0</v>
      </c>
      <c r="LK44" s="40">
        <f t="shared" ca="1" si="2500"/>
        <v>0</v>
      </c>
      <c r="LL44" s="40">
        <f t="shared" ca="1" si="2500"/>
        <v>0</v>
      </c>
      <c r="LM44" s="40">
        <f t="shared" ca="1" si="2500"/>
        <v>0</v>
      </c>
      <c r="LN44" s="40">
        <f t="shared" ca="1" si="2500"/>
        <v>0</v>
      </c>
      <c r="LO44" s="40">
        <f t="shared" ca="1" si="2500"/>
        <v>0</v>
      </c>
      <c r="LP44" s="40">
        <f t="shared" ca="1" si="2500"/>
        <v>0</v>
      </c>
      <c r="LQ44" s="40">
        <f t="shared" ca="1" si="2500"/>
        <v>0</v>
      </c>
      <c r="LR44" s="40">
        <f t="shared" ca="1" si="2500"/>
        <v>0</v>
      </c>
      <c r="LS44" s="40">
        <f t="shared" ca="1" si="2500"/>
        <v>0</v>
      </c>
      <c r="LT44" s="40">
        <f t="shared" ca="1" si="2500"/>
        <v>0</v>
      </c>
      <c r="LU44" s="40">
        <f t="shared" ca="1" si="2500"/>
        <v>0</v>
      </c>
      <c r="LV44" s="40">
        <f t="shared" ca="1" si="2500"/>
        <v>0</v>
      </c>
      <c r="LW44" s="40">
        <f t="shared" ca="1" si="2500"/>
        <v>0</v>
      </c>
      <c r="LX44" s="40">
        <f t="shared" ca="1" si="2500"/>
        <v>0</v>
      </c>
      <c r="LY44" s="40">
        <f t="shared" ca="1" si="2500"/>
        <v>0</v>
      </c>
      <c r="LZ44" s="40">
        <f t="shared" ca="1" si="2500"/>
        <v>0</v>
      </c>
      <c r="MA44" s="40">
        <f t="shared" ca="1" si="2500"/>
        <v>0</v>
      </c>
      <c r="MB44" s="40">
        <f t="shared" ca="1" si="2500"/>
        <v>0</v>
      </c>
      <c r="MC44" s="40">
        <f t="shared" ca="1" si="2500"/>
        <v>0</v>
      </c>
      <c r="MD44" s="40">
        <f t="shared" ca="1" si="2500"/>
        <v>0</v>
      </c>
      <c r="ME44" s="40">
        <f t="shared" ca="1" si="2500"/>
        <v>0</v>
      </c>
      <c r="MF44" s="40">
        <f t="shared" ca="1" si="2500"/>
        <v>0</v>
      </c>
      <c r="MG44" s="40">
        <f t="shared" ca="1" si="2500"/>
        <v>0</v>
      </c>
      <c r="MH44" s="40">
        <f t="shared" ca="1" si="2500"/>
        <v>0</v>
      </c>
      <c r="MI44" s="40">
        <f t="shared" ca="1" si="2500"/>
        <v>0</v>
      </c>
      <c r="MJ44" s="40">
        <f t="shared" ca="1" si="2500"/>
        <v>0</v>
      </c>
      <c r="MK44" s="40">
        <f t="shared" ca="1" si="2500"/>
        <v>0</v>
      </c>
      <c r="ML44" s="40">
        <f t="shared" ca="1" si="2500"/>
        <v>0</v>
      </c>
      <c r="MM44" s="40">
        <f t="shared" ca="1" si="2500"/>
        <v>0</v>
      </c>
      <c r="MN44" s="40">
        <f t="shared" ca="1" si="2500"/>
        <v>0</v>
      </c>
      <c r="MO44" s="40">
        <f t="shared" ca="1" si="2500"/>
        <v>0</v>
      </c>
      <c r="MP44" s="40">
        <f t="shared" ca="1" si="2500"/>
        <v>0</v>
      </c>
      <c r="MQ44" s="40">
        <f t="shared" ca="1" si="2500"/>
        <v>0</v>
      </c>
      <c r="MR44" s="40">
        <f t="shared" ca="1" si="2500"/>
        <v>0</v>
      </c>
      <c r="MS44" s="40">
        <f t="shared" ca="1" si="2500"/>
        <v>0</v>
      </c>
      <c r="MT44" s="40">
        <f t="shared" ca="1" si="2500"/>
        <v>0</v>
      </c>
      <c r="MU44" s="40">
        <f t="shared" ca="1" si="2500"/>
        <v>0</v>
      </c>
      <c r="MV44" s="40">
        <f t="shared" ca="1" si="2500"/>
        <v>0</v>
      </c>
      <c r="MW44" s="40">
        <f t="shared" ca="1" si="2500"/>
        <v>0</v>
      </c>
      <c r="MX44" s="40">
        <f t="shared" ca="1" si="2500"/>
        <v>0</v>
      </c>
      <c r="MY44" s="40">
        <f t="shared" ca="1" si="2500"/>
        <v>0</v>
      </c>
      <c r="MZ44" s="40">
        <f t="shared" ca="1" si="2500"/>
        <v>0</v>
      </c>
      <c r="NA44" s="40">
        <f t="shared" ca="1" si="2500"/>
        <v>0</v>
      </c>
      <c r="NB44" s="40">
        <f t="shared" ca="1" si="2500"/>
        <v>0</v>
      </c>
      <c r="NC44" s="40">
        <f t="shared" ca="1" si="2500"/>
        <v>0</v>
      </c>
      <c r="ND44" s="40">
        <f t="shared" ca="1" si="2500"/>
        <v>0</v>
      </c>
      <c r="NE44" s="40"/>
      <c r="NF44" s="40"/>
      <c r="NG44" s="40"/>
      <c r="NH44" s="40"/>
      <c r="NI44" s="40"/>
      <c r="NJ44" s="40"/>
      <c r="NK44" s="40"/>
      <c r="NL44" s="40"/>
      <c r="NM44" s="40"/>
      <c r="NN44" s="40"/>
      <c r="NO44" s="40"/>
      <c r="NP44" s="40"/>
      <c r="NQ44" s="40"/>
      <c r="NR44" s="40"/>
    </row>
    <row r="45" spans="2:382" x14ac:dyDescent="0.15">
      <c r="B45" s="518"/>
      <c r="C45" s="115" t="str">
        <f>_xlfn.CONCAT($C$5," Equity Repaid")</f>
        <v>Chris Equity Repaid</v>
      </c>
      <c r="D45" s="52"/>
      <c r="E45" s="40"/>
      <c r="F45" s="40"/>
      <c r="G45" s="114"/>
      <c r="H45" s="40"/>
      <c r="I45" s="40">
        <f>IF(SUM(I$25,I$33,I$41,I$49,I$57)&gt;0,MIN(I41,I41/SUM(I$25,I$33,I$41,I$49,I$57)*ROUND(I$23-SUM(I$28,I$36,I$44,I$52,I$60),10)),0)</f>
        <v>0</v>
      </c>
      <c r="J45" s="40">
        <f>IF(SUM(J$25,J$33,J$41,J$49,J$57)&gt;0,MIN(J41,J41/SUM(J$25,J$33,J$41,J$49,J$57)*ROUND(J$23-SUM(J$28,J$36,J$44,J$52,J$60),10)),0)</f>
        <v>0</v>
      </c>
      <c r="K45" s="40">
        <f t="shared" ref="K45:BV45" si="2501">IF(SUM(K$25,K$33,K$41,K$49,K$57)&gt;0,MIN(K41,K41/SUM(K$25,K$33,K$41,K$49,K$57)*ROUND(K$23-SUM(K$28,K$36,K$44,K$52,K$60),10)),0)</f>
        <v>0</v>
      </c>
      <c r="L45" s="40">
        <f t="shared" si="2501"/>
        <v>0</v>
      </c>
      <c r="M45" s="40">
        <f t="shared" si="2501"/>
        <v>0</v>
      </c>
      <c r="N45" s="40">
        <f t="shared" si="2501"/>
        <v>0</v>
      </c>
      <c r="O45" s="40">
        <f t="shared" si="2501"/>
        <v>0</v>
      </c>
      <c r="P45" s="40">
        <f t="shared" si="2501"/>
        <v>0</v>
      </c>
      <c r="Q45" s="40">
        <f t="shared" si="2501"/>
        <v>0</v>
      </c>
      <c r="R45" s="40">
        <f t="shared" si="2501"/>
        <v>0</v>
      </c>
      <c r="S45" s="40">
        <f t="shared" si="2501"/>
        <v>0</v>
      </c>
      <c r="T45" s="40">
        <f t="shared" si="2501"/>
        <v>0</v>
      </c>
      <c r="U45" s="40">
        <f t="shared" si="2501"/>
        <v>0</v>
      </c>
      <c r="V45" s="40">
        <f t="shared" si="2501"/>
        <v>0</v>
      </c>
      <c r="W45" s="40">
        <f t="shared" si="2501"/>
        <v>0</v>
      </c>
      <c r="X45" s="40">
        <f t="shared" si="2501"/>
        <v>0</v>
      </c>
      <c r="Y45" s="40">
        <f t="shared" si="2501"/>
        <v>0</v>
      </c>
      <c r="Z45" s="40">
        <f t="shared" si="2501"/>
        <v>0</v>
      </c>
      <c r="AA45" s="40">
        <f t="shared" si="2501"/>
        <v>0</v>
      </c>
      <c r="AB45" s="40">
        <f t="shared" si="2501"/>
        <v>0</v>
      </c>
      <c r="AC45" s="40">
        <f t="shared" si="2501"/>
        <v>0</v>
      </c>
      <c r="AD45" s="40">
        <f t="shared" si="2501"/>
        <v>0</v>
      </c>
      <c r="AE45" s="40">
        <f t="shared" si="2501"/>
        <v>0</v>
      </c>
      <c r="AF45" s="40">
        <f t="shared" si="2501"/>
        <v>0</v>
      </c>
      <c r="AG45" s="40">
        <f t="shared" si="2501"/>
        <v>0</v>
      </c>
      <c r="AH45" s="40">
        <f t="shared" si="2501"/>
        <v>0</v>
      </c>
      <c r="AI45" s="40">
        <f t="shared" si="2501"/>
        <v>0</v>
      </c>
      <c r="AJ45" s="40">
        <f t="shared" si="2501"/>
        <v>0</v>
      </c>
      <c r="AK45" s="40">
        <f t="shared" si="2501"/>
        <v>0</v>
      </c>
      <c r="AL45" s="40">
        <f t="shared" si="2501"/>
        <v>0</v>
      </c>
      <c r="AM45" s="40">
        <f t="shared" si="2501"/>
        <v>0</v>
      </c>
      <c r="AN45" s="40">
        <f t="shared" si="2501"/>
        <v>0</v>
      </c>
      <c r="AO45" s="40">
        <f t="shared" si="2501"/>
        <v>0</v>
      </c>
      <c r="AP45" s="40">
        <f t="shared" si="2501"/>
        <v>0</v>
      </c>
      <c r="AQ45" s="40">
        <f t="shared" si="2501"/>
        <v>0</v>
      </c>
      <c r="AR45" s="40">
        <f t="shared" si="2501"/>
        <v>0</v>
      </c>
      <c r="AS45" s="40">
        <f t="shared" si="2501"/>
        <v>0</v>
      </c>
      <c r="AT45" s="40">
        <f t="shared" si="2501"/>
        <v>0</v>
      </c>
      <c r="AU45" s="40">
        <f t="shared" si="2501"/>
        <v>0</v>
      </c>
      <c r="AV45" s="40">
        <f t="shared" si="2501"/>
        <v>0</v>
      </c>
      <c r="AW45" s="40">
        <f t="shared" si="2501"/>
        <v>0</v>
      </c>
      <c r="AX45" s="40">
        <f t="shared" si="2501"/>
        <v>0</v>
      </c>
      <c r="AY45" s="40">
        <f t="shared" si="2501"/>
        <v>0</v>
      </c>
      <c r="AZ45" s="40">
        <f t="shared" si="2501"/>
        <v>0</v>
      </c>
      <c r="BA45" s="40">
        <f t="shared" si="2501"/>
        <v>0</v>
      </c>
      <c r="BB45" s="40">
        <f t="shared" si="2501"/>
        <v>0</v>
      </c>
      <c r="BC45" s="40">
        <f t="shared" si="2501"/>
        <v>0</v>
      </c>
      <c r="BD45" s="40">
        <f t="shared" si="2501"/>
        <v>0</v>
      </c>
      <c r="BE45" s="40">
        <f t="shared" si="2501"/>
        <v>0</v>
      </c>
      <c r="BF45" s="40">
        <f t="shared" si="2501"/>
        <v>0</v>
      </c>
      <c r="BG45" s="40">
        <f t="shared" si="2501"/>
        <v>0</v>
      </c>
      <c r="BH45" s="40">
        <f t="shared" si="2501"/>
        <v>0</v>
      </c>
      <c r="BI45" s="40">
        <f t="shared" si="2501"/>
        <v>0</v>
      </c>
      <c r="BJ45" s="40">
        <f t="shared" si="2501"/>
        <v>0</v>
      </c>
      <c r="BK45" s="40">
        <f t="shared" si="2501"/>
        <v>0</v>
      </c>
      <c r="BL45" s="40">
        <f t="shared" si="2501"/>
        <v>0</v>
      </c>
      <c r="BM45" s="40">
        <f t="shared" si="2501"/>
        <v>0</v>
      </c>
      <c r="BN45" s="40">
        <f t="shared" si="2501"/>
        <v>0</v>
      </c>
      <c r="BO45" s="40">
        <f t="shared" si="2501"/>
        <v>0</v>
      </c>
      <c r="BP45" s="40">
        <f t="shared" si="2501"/>
        <v>0</v>
      </c>
      <c r="BQ45" s="40">
        <f t="shared" si="2501"/>
        <v>0</v>
      </c>
      <c r="BR45" s="40">
        <f t="shared" si="2501"/>
        <v>0</v>
      </c>
      <c r="BS45" s="40">
        <f t="shared" si="2501"/>
        <v>0</v>
      </c>
      <c r="BT45" s="40">
        <f t="shared" si="2501"/>
        <v>0</v>
      </c>
      <c r="BU45" s="40">
        <f t="shared" si="2501"/>
        <v>0</v>
      </c>
      <c r="BV45" s="40">
        <f t="shared" si="2501"/>
        <v>0</v>
      </c>
      <c r="BW45" s="40">
        <f t="shared" ref="BW45:EH45" si="2502">IF(SUM(BW$25,BW$33,BW$41,BW$49,BW$57)&gt;0,MIN(BW41,BW41/SUM(BW$25,BW$33,BW$41,BW$49,BW$57)*ROUND(BW$23-SUM(BW$28,BW$36,BW$44,BW$52,BW$60),10)),0)</f>
        <v>0</v>
      </c>
      <c r="BX45" s="40">
        <f t="shared" si="2502"/>
        <v>0</v>
      </c>
      <c r="BY45" s="40">
        <f t="shared" si="2502"/>
        <v>0</v>
      </c>
      <c r="BZ45" s="40">
        <f t="shared" si="2502"/>
        <v>0</v>
      </c>
      <c r="CA45" s="40">
        <f t="shared" si="2502"/>
        <v>0</v>
      </c>
      <c r="CB45" s="40">
        <f t="shared" si="2502"/>
        <v>0</v>
      </c>
      <c r="CC45" s="40">
        <f t="shared" si="2502"/>
        <v>0</v>
      </c>
      <c r="CD45" s="40">
        <f t="shared" si="2502"/>
        <v>0</v>
      </c>
      <c r="CE45" s="40">
        <f t="shared" si="2502"/>
        <v>0</v>
      </c>
      <c r="CF45" s="40">
        <f t="shared" si="2502"/>
        <v>0</v>
      </c>
      <c r="CG45" s="40">
        <f t="shared" si="2502"/>
        <v>0</v>
      </c>
      <c r="CH45" s="40">
        <f t="shared" si="2502"/>
        <v>0</v>
      </c>
      <c r="CI45" s="40">
        <f t="shared" si="2502"/>
        <v>0</v>
      </c>
      <c r="CJ45" s="40">
        <f t="shared" si="2502"/>
        <v>0</v>
      </c>
      <c r="CK45" s="40">
        <f t="shared" si="2502"/>
        <v>0</v>
      </c>
      <c r="CL45" s="40">
        <f t="shared" si="2502"/>
        <v>0</v>
      </c>
      <c r="CM45" s="40">
        <f t="shared" si="2502"/>
        <v>0</v>
      </c>
      <c r="CN45" s="40">
        <f t="shared" si="2502"/>
        <v>0</v>
      </c>
      <c r="CO45" s="40">
        <f t="shared" si="2502"/>
        <v>0</v>
      </c>
      <c r="CP45" s="40">
        <f t="shared" si="2502"/>
        <v>0</v>
      </c>
      <c r="CQ45" s="40">
        <f t="shared" si="2502"/>
        <v>0</v>
      </c>
      <c r="CR45" s="40">
        <f t="shared" si="2502"/>
        <v>0</v>
      </c>
      <c r="CS45" s="40">
        <f t="shared" si="2502"/>
        <v>0</v>
      </c>
      <c r="CT45" s="40">
        <f t="shared" si="2502"/>
        <v>0</v>
      </c>
      <c r="CU45" s="40">
        <f t="shared" si="2502"/>
        <v>0</v>
      </c>
      <c r="CV45" s="40">
        <f t="shared" si="2502"/>
        <v>0</v>
      </c>
      <c r="CW45" s="40">
        <f t="shared" si="2502"/>
        <v>0</v>
      </c>
      <c r="CX45" s="40">
        <f t="shared" si="2502"/>
        <v>0</v>
      </c>
      <c r="CY45" s="40">
        <f t="shared" si="2502"/>
        <v>0</v>
      </c>
      <c r="CZ45" s="40">
        <f t="shared" si="2502"/>
        <v>0</v>
      </c>
      <c r="DA45" s="40">
        <f t="shared" si="2502"/>
        <v>0</v>
      </c>
      <c r="DB45" s="40">
        <f t="shared" si="2502"/>
        <v>0</v>
      </c>
      <c r="DC45" s="40">
        <f t="shared" si="2502"/>
        <v>0</v>
      </c>
      <c r="DD45" s="40">
        <f t="shared" si="2502"/>
        <v>0</v>
      </c>
      <c r="DE45" s="40">
        <f t="shared" si="2502"/>
        <v>0</v>
      </c>
      <c r="DF45" s="40">
        <f t="shared" si="2502"/>
        <v>0</v>
      </c>
      <c r="DG45" s="40">
        <f t="shared" si="2502"/>
        <v>0</v>
      </c>
      <c r="DH45" s="40">
        <f t="shared" si="2502"/>
        <v>0</v>
      </c>
      <c r="DI45" s="40">
        <f t="shared" si="2502"/>
        <v>0</v>
      </c>
      <c r="DJ45" s="40">
        <f t="shared" si="2502"/>
        <v>0</v>
      </c>
      <c r="DK45" s="40">
        <f t="shared" si="2502"/>
        <v>0</v>
      </c>
      <c r="DL45" s="40">
        <f t="shared" si="2502"/>
        <v>0</v>
      </c>
      <c r="DM45" s="40">
        <f t="shared" si="2502"/>
        <v>0</v>
      </c>
      <c r="DN45" s="40">
        <f t="shared" si="2502"/>
        <v>0</v>
      </c>
      <c r="DO45" s="40">
        <f t="shared" si="2502"/>
        <v>0</v>
      </c>
      <c r="DP45" s="40">
        <f t="shared" si="2502"/>
        <v>0</v>
      </c>
      <c r="DQ45" s="40">
        <f t="shared" si="2502"/>
        <v>0</v>
      </c>
      <c r="DR45" s="40">
        <f t="shared" si="2502"/>
        <v>0</v>
      </c>
      <c r="DS45" s="40">
        <f t="shared" si="2502"/>
        <v>0</v>
      </c>
      <c r="DT45" s="40">
        <f t="shared" si="2502"/>
        <v>0</v>
      </c>
      <c r="DU45" s="40">
        <f t="shared" si="2502"/>
        <v>0</v>
      </c>
      <c r="DV45" s="40">
        <f t="shared" si="2502"/>
        <v>0</v>
      </c>
      <c r="DW45" s="40">
        <f t="shared" si="2502"/>
        <v>0</v>
      </c>
      <c r="DX45" s="40">
        <f t="shared" si="2502"/>
        <v>0</v>
      </c>
      <c r="DY45" s="40">
        <f t="shared" si="2502"/>
        <v>0</v>
      </c>
      <c r="DZ45" s="40">
        <f t="shared" si="2502"/>
        <v>0</v>
      </c>
      <c r="EA45" s="40">
        <f t="shared" si="2502"/>
        <v>0</v>
      </c>
      <c r="EB45" s="40">
        <f t="shared" si="2502"/>
        <v>0</v>
      </c>
      <c r="EC45" s="40">
        <f t="shared" si="2502"/>
        <v>0</v>
      </c>
      <c r="ED45" s="40">
        <f t="shared" si="2502"/>
        <v>0</v>
      </c>
      <c r="EE45" s="40">
        <f t="shared" si="2502"/>
        <v>0</v>
      </c>
      <c r="EF45" s="40">
        <f t="shared" si="2502"/>
        <v>0</v>
      </c>
      <c r="EG45" s="40">
        <f t="shared" si="2502"/>
        <v>0</v>
      </c>
      <c r="EH45" s="40">
        <f t="shared" si="2502"/>
        <v>0</v>
      </c>
      <c r="EI45" s="40">
        <f t="shared" ref="EI45:GT45" si="2503">IF(SUM(EI$25,EI$33,EI$41,EI$49,EI$57)&gt;0,MIN(EI41,EI41/SUM(EI$25,EI$33,EI$41,EI$49,EI$57)*ROUND(EI$23-SUM(EI$28,EI$36,EI$44,EI$52,EI$60),10)),0)</f>
        <v>0</v>
      </c>
      <c r="EJ45" s="40">
        <f t="shared" si="2503"/>
        <v>0</v>
      </c>
      <c r="EK45" s="40">
        <f t="shared" si="2503"/>
        <v>0</v>
      </c>
      <c r="EL45" s="40">
        <f t="shared" si="2503"/>
        <v>0</v>
      </c>
      <c r="EM45" s="40">
        <f t="shared" si="2503"/>
        <v>0</v>
      </c>
      <c r="EN45" s="40">
        <f t="shared" si="2503"/>
        <v>0</v>
      </c>
      <c r="EO45" s="40">
        <f t="shared" si="2503"/>
        <v>0</v>
      </c>
      <c r="EP45" s="40">
        <f t="shared" si="2503"/>
        <v>0</v>
      </c>
      <c r="EQ45" s="40">
        <f t="shared" si="2503"/>
        <v>0</v>
      </c>
      <c r="ER45" s="40">
        <f t="shared" si="2503"/>
        <v>0</v>
      </c>
      <c r="ES45" s="40">
        <f t="shared" si="2503"/>
        <v>0</v>
      </c>
      <c r="ET45" s="40">
        <f t="shared" si="2503"/>
        <v>0</v>
      </c>
      <c r="EU45" s="40">
        <f t="shared" si="2503"/>
        <v>0</v>
      </c>
      <c r="EV45" s="40">
        <f t="shared" si="2503"/>
        <v>0</v>
      </c>
      <c r="EW45" s="40">
        <f t="shared" si="2503"/>
        <v>0</v>
      </c>
      <c r="EX45" s="40">
        <f t="shared" si="2503"/>
        <v>0</v>
      </c>
      <c r="EY45" s="40">
        <f t="shared" si="2503"/>
        <v>0</v>
      </c>
      <c r="EZ45" s="40">
        <f t="shared" si="2503"/>
        <v>0</v>
      </c>
      <c r="FA45" s="40">
        <f t="shared" si="2503"/>
        <v>0</v>
      </c>
      <c r="FB45" s="40">
        <f t="shared" si="2503"/>
        <v>0</v>
      </c>
      <c r="FC45" s="40">
        <f t="shared" si="2503"/>
        <v>0</v>
      </c>
      <c r="FD45" s="40">
        <f t="shared" si="2503"/>
        <v>0</v>
      </c>
      <c r="FE45" s="40">
        <f t="shared" si="2503"/>
        <v>0</v>
      </c>
      <c r="FF45" s="40">
        <f t="shared" si="2503"/>
        <v>0</v>
      </c>
      <c r="FG45" s="40">
        <f t="shared" si="2503"/>
        <v>0</v>
      </c>
      <c r="FH45" s="40">
        <f t="shared" si="2503"/>
        <v>0</v>
      </c>
      <c r="FI45" s="40">
        <f t="shared" si="2503"/>
        <v>0</v>
      </c>
      <c r="FJ45" s="40">
        <f t="shared" si="2503"/>
        <v>0</v>
      </c>
      <c r="FK45" s="40">
        <f t="shared" si="2503"/>
        <v>0</v>
      </c>
      <c r="FL45" s="40">
        <f t="shared" si="2503"/>
        <v>0</v>
      </c>
      <c r="FM45" s="40">
        <f t="shared" si="2503"/>
        <v>0</v>
      </c>
      <c r="FN45" s="40">
        <f t="shared" si="2503"/>
        <v>0</v>
      </c>
      <c r="FO45" s="40">
        <f t="shared" si="2503"/>
        <v>0</v>
      </c>
      <c r="FP45" s="40">
        <f t="shared" si="2503"/>
        <v>0</v>
      </c>
      <c r="FQ45" s="40">
        <f t="shared" si="2503"/>
        <v>0</v>
      </c>
      <c r="FR45" s="40">
        <f t="shared" si="2503"/>
        <v>0</v>
      </c>
      <c r="FS45" s="40">
        <f t="shared" si="2503"/>
        <v>0</v>
      </c>
      <c r="FT45" s="40">
        <f t="shared" si="2503"/>
        <v>0</v>
      </c>
      <c r="FU45" s="40">
        <f t="shared" si="2503"/>
        <v>0</v>
      </c>
      <c r="FV45" s="40">
        <f t="shared" si="2503"/>
        <v>0</v>
      </c>
      <c r="FW45" s="40">
        <f t="shared" si="2503"/>
        <v>0</v>
      </c>
      <c r="FX45" s="40">
        <f t="shared" si="2503"/>
        <v>0</v>
      </c>
      <c r="FY45" s="40">
        <f t="shared" si="2503"/>
        <v>0</v>
      </c>
      <c r="FZ45" s="40">
        <f t="shared" si="2503"/>
        <v>0</v>
      </c>
      <c r="GA45" s="40">
        <f t="shared" si="2503"/>
        <v>0</v>
      </c>
      <c r="GB45" s="40">
        <f t="shared" si="2503"/>
        <v>0</v>
      </c>
      <c r="GC45" s="40">
        <f t="shared" si="2503"/>
        <v>0</v>
      </c>
      <c r="GD45" s="40">
        <f t="shared" si="2503"/>
        <v>0</v>
      </c>
      <c r="GE45" s="40">
        <f t="shared" si="2503"/>
        <v>0</v>
      </c>
      <c r="GF45" s="40">
        <f t="shared" ca="1" si="2503"/>
        <v>1007873.6000000001</v>
      </c>
      <c r="GG45" s="40">
        <f t="shared" ca="1" si="2503"/>
        <v>0</v>
      </c>
      <c r="GH45" s="40">
        <f t="shared" ca="1" si="2503"/>
        <v>0</v>
      </c>
      <c r="GI45" s="40">
        <f t="shared" ca="1" si="2503"/>
        <v>0</v>
      </c>
      <c r="GJ45" s="40">
        <f t="shared" ca="1" si="2503"/>
        <v>0</v>
      </c>
      <c r="GK45" s="40">
        <f t="shared" ca="1" si="2503"/>
        <v>0</v>
      </c>
      <c r="GL45" s="40">
        <f t="shared" ca="1" si="2503"/>
        <v>0</v>
      </c>
      <c r="GM45" s="40">
        <f t="shared" ca="1" si="2503"/>
        <v>0</v>
      </c>
      <c r="GN45" s="40">
        <f t="shared" ca="1" si="2503"/>
        <v>0</v>
      </c>
      <c r="GO45" s="40">
        <f t="shared" ca="1" si="2503"/>
        <v>0</v>
      </c>
      <c r="GP45" s="40">
        <f t="shared" ca="1" si="2503"/>
        <v>0</v>
      </c>
      <c r="GQ45" s="40">
        <f t="shared" ca="1" si="2503"/>
        <v>0</v>
      </c>
      <c r="GR45" s="40">
        <f t="shared" ca="1" si="2503"/>
        <v>0</v>
      </c>
      <c r="GS45" s="40">
        <f t="shared" ca="1" si="2503"/>
        <v>0</v>
      </c>
      <c r="GT45" s="40">
        <f t="shared" ca="1" si="2503"/>
        <v>0</v>
      </c>
      <c r="GU45" s="40">
        <f t="shared" ref="GU45:IN45" ca="1" si="2504">IF(SUM(GU$25,GU$33,GU$41,GU$49,GU$57)&gt;0,MIN(GU41,GU41/SUM(GU$25,GU$33,GU$41,GU$49,GU$57)*ROUND(GU$23-SUM(GU$28,GU$36,GU$44,GU$52,GU$60),10)),0)</f>
        <v>0</v>
      </c>
      <c r="GV45" s="40">
        <f t="shared" ca="1" si="2504"/>
        <v>0</v>
      </c>
      <c r="GW45" s="40">
        <f t="shared" ca="1" si="2504"/>
        <v>0</v>
      </c>
      <c r="GX45" s="40">
        <f t="shared" ca="1" si="2504"/>
        <v>0</v>
      </c>
      <c r="GY45" s="40">
        <f t="shared" ca="1" si="2504"/>
        <v>0</v>
      </c>
      <c r="GZ45" s="40">
        <f t="shared" ca="1" si="2504"/>
        <v>0</v>
      </c>
      <c r="HA45" s="40">
        <f t="shared" ca="1" si="2504"/>
        <v>0</v>
      </c>
      <c r="HB45" s="40">
        <f t="shared" ca="1" si="2504"/>
        <v>0</v>
      </c>
      <c r="HC45" s="40">
        <f t="shared" ca="1" si="2504"/>
        <v>0</v>
      </c>
      <c r="HD45" s="40">
        <f t="shared" ca="1" si="2504"/>
        <v>0</v>
      </c>
      <c r="HE45" s="40">
        <f t="shared" ca="1" si="2504"/>
        <v>0</v>
      </c>
      <c r="HF45" s="40">
        <f t="shared" ca="1" si="2504"/>
        <v>0</v>
      </c>
      <c r="HG45" s="40">
        <f t="shared" ca="1" si="2504"/>
        <v>0</v>
      </c>
      <c r="HH45" s="40">
        <f t="shared" ca="1" si="2504"/>
        <v>0</v>
      </c>
      <c r="HI45" s="40">
        <f t="shared" ca="1" si="2504"/>
        <v>0</v>
      </c>
      <c r="HJ45" s="40">
        <f t="shared" ca="1" si="2504"/>
        <v>0</v>
      </c>
      <c r="HK45" s="40">
        <f t="shared" ca="1" si="2504"/>
        <v>0</v>
      </c>
      <c r="HL45" s="40">
        <f t="shared" ca="1" si="2504"/>
        <v>0</v>
      </c>
      <c r="HM45" s="40">
        <f t="shared" ca="1" si="2504"/>
        <v>0</v>
      </c>
      <c r="HN45" s="40">
        <f t="shared" ca="1" si="2504"/>
        <v>0</v>
      </c>
      <c r="HO45" s="40">
        <f t="shared" ca="1" si="2504"/>
        <v>0</v>
      </c>
      <c r="HP45" s="40">
        <f t="shared" ca="1" si="2504"/>
        <v>0</v>
      </c>
      <c r="HQ45" s="40">
        <f t="shared" ca="1" si="2504"/>
        <v>0</v>
      </c>
      <c r="HR45" s="40">
        <f t="shared" ca="1" si="2504"/>
        <v>0</v>
      </c>
      <c r="HS45" s="40">
        <f t="shared" ca="1" si="2504"/>
        <v>0</v>
      </c>
      <c r="HT45" s="40">
        <f t="shared" ca="1" si="2504"/>
        <v>0</v>
      </c>
      <c r="HU45" s="40">
        <f t="shared" ca="1" si="2504"/>
        <v>0</v>
      </c>
      <c r="HV45" s="40">
        <f t="shared" ca="1" si="2504"/>
        <v>0</v>
      </c>
      <c r="HW45" s="40">
        <f t="shared" ca="1" si="2504"/>
        <v>0</v>
      </c>
      <c r="HX45" s="40">
        <f t="shared" ca="1" si="2504"/>
        <v>0</v>
      </c>
      <c r="HY45" s="40">
        <f t="shared" ca="1" si="2504"/>
        <v>0</v>
      </c>
      <c r="HZ45" s="40">
        <f t="shared" ca="1" si="2504"/>
        <v>0</v>
      </c>
      <c r="IA45" s="40">
        <f t="shared" ca="1" si="2504"/>
        <v>0</v>
      </c>
      <c r="IB45" s="40">
        <f t="shared" ca="1" si="2504"/>
        <v>0</v>
      </c>
      <c r="IC45" s="40">
        <f t="shared" ca="1" si="2504"/>
        <v>0</v>
      </c>
      <c r="ID45" s="40">
        <f t="shared" ca="1" si="2504"/>
        <v>0</v>
      </c>
      <c r="IE45" s="40">
        <f t="shared" ca="1" si="2504"/>
        <v>0</v>
      </c>
      <c r="IF45" s="40">
        <f t="shared" ca="1" si="2504"/>
        <v>0</v>
      </c>
      <c r="IG45" s="40">
        <f t="shared" ca="1" si="2504"/>
        <v>0</v>
      </c>
      <c r="IH45" s="40">
        <f t="shared" ca="1" si="2504"/>
        <v>0</v>
      </c>
      <c r="II45" s="40">
        <f t="shared" ca="1" si="2504"/>
        <v>0</v>
      </c>
      <c r="IJ45" s="40">
        <f t="shared" ca="1" si="2504"/>
        <v>0</v>
      </c>
      <c r="IK45" s="40">
        <f t="shared" ca="1" si="2504"/>
        <v>0</v>
      </c>
      <c r="IL45" s="40">
        <f t="shared" ca="1" si="2504"/>
        <v>0</v>
      </c>
      <c r="IM45" s="40">
        <f t="shared" ca="1" si="2504"/>
        <v>0</v>
      </c>
      <c r="IN45" s="40">
        <f t="shared" ca="1" si="2504"/>
        <v>0</v>
      </c>
      <c r="IO45" s="40">
        <f t="shared" ref="IO45:KZ45" ca="1" si="2505">IF(SUM(IO$25,IO$33,IO$41,IO$49,IO$57)&gt;0,MIN(IO41,IO41/SUM(IO$25,IO$33,IO$41,IO$49,IO$57)*ROUND(IO$23-SUM(IO$28,IO$36,IO$44,IO$52,IO$60),10)),0)</f>
        <v>0</v>
      </c>
      <c r="IP45" s="40">
        <f t="shared" ca="1" si="2505"/>
        <v>0</v>
      </c>
      <c r="IQ45" s="40">
        <f t="shared" ca="1" si="2505"/>
        <v>0</v>
      </c>
      <c r="IR45" s="40">
        <f t="shared" ca="1" si="2505"/>
        <v>0</v>
      </c>
      <c r="IS45" s="40">
        <f t="shared" ca="1" si="2505"/>
        <v>0</v>
      </c>
      <c r="IT45" s="40">
        <f t="shared" ca="1" si="2505"/>
        <v>0</v>
      </c>
      <c r="IU45" s="40">
        <f t="shared" ca="1" si="2505"/>
        <v>0</v>
      </c>
      <c r="IV45" s="40">
        <f t="shared" ca="1" si="2505"/>
        <v>0</v>
      </c>
      <c r="IW45" s="40">
        <f t="shared" ca="1" si="2505"/>
        <v>0</v>
      </c>
      <c r="IX45" s="40">
        <f t="shared" ca="1" si="2505"/>
        <v>0</v>
      </c>
      <c r="IY45" s="40">
        <f t="shared" ca="1" si="2505"/>
        <v>0</v>
      </c>
      <c r="IZ45" s="40">
        <f t="shared" ca="1" si="2505"/>
        <v>0</v>
      </c>
      <c r="JA45" s="40">
        <f t="shared" ca="1" si="2505"/>
        <v>0</v>
      </c>
      <c r="JB45" s="40">
        <f t="shared" ca="1" si="2505"/>
        <v>0</v>
      </c>
      <c r="JC45" s="40">
        <f t="shared" ca="1" si="2505"/>
        <v>0</v>
      </c>
      <c r="JD45" s="40">
        <f t="shared" ca="1" si="2505"/>
        <v>0</v>
      </c>
      <c r="JE45" s="40">
        <f t="shared" ca="1" si="2505"/>
        <v>0</v>
      </c>
      <c r="JF45" s="40">
        <f t="shared" ca="1" si="2505"/>
        <v>0</v>
      </c>
      <c r="JG45" s="40">
        <f t="shared" ca="1" si="2505"/>
        <v>0</v>
      </c>
      <c r="JH45" s="40">
        <f t="shared" ca="1" si="2505"/>
        <v>0</v>
      </c>
      <c r="JI45" s="40">
        <f t="shared" ca="1" si="2505"/>
        <v>0</v>
      </c>
      <c r="JJ45" s="40">
        <f t="shared" ca="1" si="2505"/>
        <v>0</v>
      </c>
      <c r="JK45" s="40">
        <f t="shared" ca="1" si="2505"/>
        <v>0</v>
      </c>
      <c r="JL45" s="40">
        <f t="shared" ca="1" si="2505"/>
        <v>0</v>
      </c>
      <c r="JM45" s="40">
        <f t="shared" ca="1" si="2505"/>
        <v>0</v>
      </c>
      <c r="JN45" s="40">
        <f t="shared" ca="1" si="2505"/>
        <v>0</v>
      </c>
      <c r="JO45" s="40">
        <f t="shared" ca="1" si="2505"/>
        <v>0</v>
      </c>
      <c r="JP45" s="40">
        <f t="shared" ca="1" si="2505"/>
        <v>0</v>
      </c>
      <c r="JQ45" s="40">
        <f t="shared" ca="1" si="2505"/>
        <v>0</v>
      </c>
      <c r="JR45" s="40">
        <f t="shared" ca="1" si="2505"/>
        <v>0</v>
      </c>
      <c r="JS45" s="40">
        <f t="shared" ca="1" si="2505"/>
        <v>0</v>
      </c>
      <c r="JT45" s="40">
        <f t="shared" ca="1" si="2505"/>
        <v>0</v>
      </c>
      <c r="JU45" s="40">
        <f t="shared" ca="1" si="2505"/>
        <v>0</v>
      </c>
      <c r="JV45" s="40">
        <f t="shared" ca="1" si="2505"/>
        <v>0</v>
      </c>
      <c r="JW45" s="40">
        <f t="shared" ca="1" si="2505"/>
        <v>0</v>
      </c>
      <c r="JX45" s="40">
        <f t="shared" ca="1" si="2505"/>
        <v>0</v>
      </c>
      <c r="JY45" s="40">
        <f t="shared" ca="1" si="2505"/>
        <v>0</v>
      </c>
      <c r="JZ45" s="40">
        <f t="shared" ca="1" si="2505"/>
        <v>0</v>
      </c>
      <c r="KA45" s="40">
        <f t="shared" ca="1" si="2505"/>
        <v>0</v>
      </c>
      <c r="KB45" s="40">
        <f t="shared" ca="1" si="2505"/>
        <v>0</v>
      </c>
      <c r="KC45" s="40">
        <f t="shared" ca="1" si="2505"/>
        <v>0</v>
      </c>
      <c r="KD45" s="40">
        <f t="shared" ca="1" si="2505"/>
        <v>0</v>
      </c>
      <c r="KE45" s="40">
        <f t="shared" ca="1" si="2505"/>
        <v>0</v>
      </c>
      <c r="KF45" s="40">
        <f t="shared" ca="1" si="2505"/>
        <v>0</v>
      </c>
      <c r="KG45" s="40">
        <f t="shared" ca="1" si="2505"/>
        <v>0</v>
      </c>
      <c r="KH45" s="40">
        <f t="shared" ca="1" si="2505"/>
        <v>0</v>
      </c>
      <c r="KI45" s="40">
        <f t="shared" ca="1" si="2505"/>
        <v>0</v>
      </c>
      <c r="KJ45" s="40">
        <f t="shared" ca="1" si="2505"/>
        <v>0</v>
      </c>
      <c r="KK45" s="40">
        <f t="shared" ca="1" si="2505"/>
        <v>0</v>
      </c>
      <c r="KL45" s="40">
        <f t="shared" ca="1" si="2505"/>
        <v>0</v>
      </c>
      <c r="KM45" s="40">
        <f t="shared" ca="1" si="2505"/>
        <v>0</v>
      </c>
      <c r="KN45" s="40">
        <f t="shared" ca="1" si="2505"/>
        <v>0</v>
      </c>
      <c r="KO45" s="40">
        <f t="shared" ca="1" si="2505"/>
        <v>0</v>
      </c>
      <c r="KP45" s="40">
        <f t="shared" ca="1" si="2505"/>
        <v>0</v>
      </c>
      <c r="KQ45" s="40">
        <f t="shared" ca="1" si="2505"/>
        <v>0</v>
      </c>
      <c r="KR45" s="40">
        <f t="shared" ca="1" si="2505"/>
        <v>0</v>
      </c>
      <c r="KS45" s="40">
        <f t="shared" ca="1" si="2505"/>
        <v>0</v>
      </c>
      <c r="KT45" s="40">
        <f t="shared" ca="1" si="2505"/>
        <v>0</v>
      </c>
      <c r="KU45" s="40">
        <f t="shared" ca="1" si="2505"/>
        <v>0</v>
      </c>
      <c r="KV45" s="40">
        <f t="shared" ca="1" si="2505"/>
        <v>0</v>
      </c>
      <c r="KW45" s="40">
        <f t="shared" ca="1" si="2505"/>
        <v>0</v>
      </c>
      <c r="KX45" s="40">
        <f t="shared" ca="1" si="2505"/>
        <v>0</v>
      </c>
      <c r="KY45" s="40">
        <f t="shared" ca="1" si="2505"/>
        <v>0</v>
      </c>
      <c r="KZ45" s="40">
        <f t="shared" ca="1" si="2505"/>
        <v>0</v>
      </c>
      <c r="LA45" s="40">
        <f t="shared" ref="LA45:ND45" ca="1" si="2506">IF(SUM(LA$25,LA$33,LA$41,LA$49,LA$57)&gt;0,MIN(LA41,LA41/SUM(LA$25,LA$33,LA$41,LA$49,LA$57)*ROUND(LA$23-SUM(LA$28,LA$36,LA$44,LA$52,LA$60),10)),0)</f>
        <v>0</v>
      </c>
      <c r="LB45" s="40">
        <f t="shared" ca="1" si="2506"/>
        <v>0</v>
      </c>
      <c r="LC45" s="40">
        <f t="shared" ca="1" si="2506"/>
        <v>0</v>
      </c>
      <c r="LD45" s="40">
        <f t="shared" ca="1" si="2506"/>
        <v>0</v>
      </c>
      <c r="LE45" s="40">
        <f t="shared" ca="1" si="2506"/>
        <v>0</v>
      </c>
      <c r="LF45" s="40">
        <f t="shared" ca="1" si="2506"/>
        <v>0</v>
      </c>
      <c r="LG45" s="40">
        <f t="shared" ca="1" si="2506"/>
        <v>0</v>
      </c>
      <c r="LH45" s="40">
        <f t="shared" ca="1" si="2506"/>
        <v>0</v>
      </c>
      <c r="LI45" s="40">
        <f t="shared" ca="1" si="2506"/>
        <v>0</v>
      </c>
      <c r="LJ45" s="40">
        <f t="shared" ca="1" si="2506"/>
        <v>0</v>
      </c>
      <c r="LK45" s="40">
        <f t="shared" ca="1" si="2506"/>
        <v>0</v>
      </c>
      <c r="LL45" s="40">
        <f t="shared" ca="1" si="2506"/>
        <v>0</v>
      </c>
      <c r="LM45" s="40">
        <f t="shared" ca="1" si="2506"/>
        <v>0</v>
      </c>
      <c r="LN45" s="40">
        <f t="shared" ca="1" si="2506"/>
        <v>0</v>
      </c>
      <c r="LO45" s="40">
        <f t="shared" ca="1" si="2506"/>
        <v>0</v>
      </c>
      <c r="LP45" s="40">
        <f t="shared" ca="1" si="2506"/>
        <v>0</v>
      </c>
      <c r="LQ45" s="40">
        <f t="shared" ca="1" si="2506"/>
        <v>0</v>
      </c>
      <c r="LR45" s="40">
        <f t="shared" ca="1" si="2506"/>
        <v>0</v>
      </c>
      <c r="LS45" s="40">
        <f t="shared" ca="1" si="2506"/>
        <v>0</v>
      </c>
      <c r="LT45" s="40">
        <f t="shared" ca="1" si="2506"/>
        <v>0</v>
      </c>
      <c r="LU45" s="40">
        <f t="shared" ca="1" si="2506"/>
        <v>0</v>
      </c>
      <c r="LV45" s="40">
        <f t="shared" ca="1" si="2506"/>
        <v>0</v>
      </c>
      <c r="LW45" s="40">
        <f t="shared" ca="1" si="2506"/>
        <v>0</v>
      </c>
      <c r="LX45" s="40">
        <f t="shared" ca="1" si="2506"/>
        <v>0</v>
      </c>
      <c r="LY45" s="40">
        <f t="shared" ca="1" si="2506"/>
        <v>0</v>
      </c>
      <c r="LZ45" s="40">
        <f t="shared" ca="1" si="2506"/>
        <v>0</v>
      </c>
      <c r="MA45" s="40">
        <f t="shared" ca="1" si="2506"/>
        <v>0</v>
      </c>
      <c r="MB45" s="40">
        <f t="shared" ca="1" si="2506"/>
        <v>0</v>
      </c>
      <c r="MC45" s="40">
        <f t="shared" ca="1" si="2506"/>
        <v>0</v>
      </c>
      <c r="MD45" s="40">
        <f t="shared" ca="1" si="2506"/>
        <v>0</v>
      </c>
      <c r="ME45" s="40">
        <f t="shared" ca="1" si="2506"/>
        <v>0</v>
      </c>
      <c r="MF45" s="40">
        <f t="shared" ca="1" si="2506"/>
        <v>0</v>
      </c>
      <c r="MG45" s="40">
        <f t="shared" ca="1" si="2506"/>
        <v>0</v>
      </c>
      <c r="MH45" s="40">
        <f t="shared" ca="1" si="2506"/>
        <v>0</v>
      </c>
      <c r="MI45" s="40">
        <f t="shared" ca="1" si="2506"/>
        <v>0</v>
      </c>
      <c r="MJ45" s="40">
        <f t="shared" ca="1" si="2506"/>
        <v>0</v>
      </c>
      <c r="MK45" s="40">
        <f t="shared" ca="1" si="2506"/>
        <v>0</v>
      </c>
      <c r="ML45" s="40">
        <f t="shared" ca="1" si="2506"/>
        <v>0</v>
      </c>
      <c r="MM45" s="40">
        <f t="shared" ca="1" si="2506"/>
        <v>0</v>
      </c>
      <c r="MN45" s="40">
        <f t="shared" ca="1" si="2506"/>
        <v>0</v>
      </c>
      <c r="MO45" s="40">
        <f t="shared" ca="1" si="2506"/>
        <v>0</v>
      </c>
      <c r="MP45" s="40">
        <f t="shared" ca="1" si="2506"/>
        <v>0</v>
      </c>
      <c r="MQ45" s="40">
        <f t="shared" ca="1" si="2506"/>
        <v>0</v>
      </c>
      <c r="MR45" s="40">
        <f t="shared" ca="1" si="2506"/>
        <v>0</v>
      </c>
      <c r="MS45" s="40">
        <f t="shared" ca="1" si="2506"/>
        <v>0</v>
      </c>
      <c r="MT45" s="40">
        <f t="shared" ca="1" si="2506"/>
        <v>0</v>
      </c>
      <c r="MU45" s="40">
        <f t="shared" ca="1" si="2506"/>
        <v>0</v>
      </c>
      <c r="MV45" s="40">
        <f t="shared" ca="1" si="2506"/>
        <v>0</v>
      </c>
      <c r="MW45" s="40">
        <f t="shared" ca="1" si="2506"/>
        <v>0</v>
      </c>
      <c r="MX45" s="40">
        <f t="shared" ca="1" si="2506"/>
        <v>0</v>
      </c>
      <c r="MY45" s="40">
        <f t="shared" ca="1" si="2506"/>
        <v>0</v>
      </c>
      <c r="MZ45" s="40">
        <f t="shared" ca="1" si="2506"/>
        <v>0</v>
      </c>
      <c r="NA45" s="40">
        <f t="shared" ca="1" si="2506"/>
        <v>0</v>
      </c>
      <c r="NB45" s="40">
        <f t="shared" ca="1" si="2506"/>
        <v>0</v>
      </c>
      <c r="NC45" s="40">
        <f t="shared" ca="1" si="2506"/>
        <v>0</v>
      </c>
      <c r="ND45" s="40">
        <f t="shared" ca="1" si="2506"/>
        <v>0</v>
      </c>
      <c r="NE45" s="40"/>
      <c r="NF45" s="40"/>
      <c r="NG45" s="40"/>
      <c r="NH45" s="40"/>
      <c r="NI45" s="40"/>
      <c r="NJ45" s="40"/>
      <c r="NK45" s="40"/>
      <c r="NL45" s="40"/>
      <c r="NM45" s="40"/>
      <c r="NN45" s="40"/>
      <c r="NO45" s="40"/>
      <c r="NP45" s="40"/>
      <c r="NQ45" s="40"/>
      <c r="NR45" s="40"/>
    </row>
    <row r="46" spans="2:382" x14ac:dyDescent="0.15">
      <c r="B46" s="518"/>
      <c r="C46" s="115" t="s">
        <v>165</v>
      </c>
      <c r="D46" s="52"/>
      <c r="E46" s="40"/>
      <c r="F46" s="40"/>
      <c r="G46" s="114"/>
      <c r="H46" s="40"/>
      <c r="I46" s="40">
        <f>I44+I45+G46</f>
        <v>-42584.684430000001</v>
      </c>
      <c r="J46" s="40">
        <f t="shared" ref="J46" si="2507">J44+J45+I46</f>
        <v>-85169.368860000002</v>
      </c>
      <c r="K46" s="40">
        <f t="shared" ref="K46" si="2508">K44+K45+J46</f>
        <v>-127754.05329</v>
      </c>
      <c r="L46" s="40">
        <f t="shared" ref="L46" si="2509">L44+L45+K46</f>
        <v>-127754.05329</v>
      </c>
      <c r="M46" s="40">
        <f t="shared" ref="M46" si="2510">M44+M45+L46</f>
        <v>-127754.05329</v>
      </c>
      <c r="N46" s="40">
        <f t="shared" ref="N46" si="2511">N44+N45+M46</f>
        <v>-127754.05329</v>
      </c>
      <c r="O46" s="40">
        <f t="shared" ref="O46" si="2512">O44+O45+N46</f>
        <v>-127754.05329</v>
      </c>
      <c r="P46" s="40">
        <f t="shared" ref="P46" si="2513">P44+P45+O46</f>
        <v>-127754.05329</v>
      </c>
      <c r="Q46" s="40">
        <f t="shared" ref="Q46" si="2514">Q44+Q45+P46</f>
        <v>-127754.05329</v>
      </c>
      <c r="R46" s="40">
        <f t="shared" ref="R46" si="2515">R44+R45+Q46</f>
        <v>-127754.05329</v>
      </c>
      <c r="S46" s="40">
        <f t="shared" ref="S46" si="2516">S44+S45+R46</f>
        <v>-127754.05329</v>
      </c>
      <c r="T46" s="40">
        <f t="shared" ref="T46" si="2517">T44+T45+S46</f>
        <v>-127754.05329</v>
      </c>
      <c r="U46" s="40">
        <f t="shared" ref="U46" si="2518">U44+U45+T46</f>
        <v>-127754.05329</v>
      </c>
      <c r="V46" s="40">
        <f t="shared" ref="V46" si="2519">V44+V45+U46</f>
        <v>-127754.05329</v>
      </c>
      <c r="W46" s="40">
        <f t="shared" ref="W46" si="2520">W44+W45+V46</f>
        <v>-127754.05329</v>
      </c>
      <c r="X46" s="40">
        <f t="shared" ref="X46" si="2521">X44+X45+W46</f>
        <v>-127754.05329</v>
      </c>
      <c r="Y46" s="40">
        <f t="shared" ref="Y46" si="2522">Y44+Y45+X46</f>
        <v>-127754.05329</v>
      </c>
      <c r="Z46" s="40">
        <f t="shared" ref="Z46" si="2523">Z44+Z45+Y46</f>
        <v>-127754.05329</v>
      </c>
      <c r="AA46" s="40">
        <f t="shared" ref="AA46" si="2524">AA44+AA45+Z46</f>
        <v>-127754.05329</v>
      </c>
      <c r="AB46" s="40">
        <f t="shared" ref="AB46" si="2525">AB44+AB45+AA46</f>
        <v>-127754.05329</v>
      </c>
      <c r="AC46" s="40">
        <f t="shared" ref="AC46" si="2526">AC44+AC45+AB46</f>
        <v>-127754.05329</v>
      </c>
      <c r="AD46" s="40">
        <f t="shared" ref="AD46" si="2527">AD44+AD45+AC46</f>
        <v>-127754.05329</v>
      </c>
      <c r="AE46" s="40">
        <f t="shared" ref="AE46" si="2528">AE44+AE45+AD46</f>
        <v>-127754.05329</v>
      </c>
      <c r="AF46" s="40">
        <f t="shared" ref="AF46" si="2529">AF44+AF45+AE46</f>
        <v>-127754.05329</v>
      </c>
      <c r="AG46" s="40">
        <f t="shared" ref="AG46" si="2530">AG44+AG45+AF46</f>
        <v>-127754.05329</v>
      </c>
      <c r="AH46" s="40">
        <f t="shared" ref="AH46" si="2531">AH44+AH45+AG46</f>
        <v>-127754.05329</v>
      </c>
      <c r="AI46" s="40">
        <f t="shared" ref="AI46" si="2532">AI44+AI45+AH46</f>
        <v>-127754.05329</v>
      </c>
      <c r="AJ46" s="40">
        <f t="shared" ref="AJ46" si="2533">AJ44+AJ45+AI46</f>
        <v>-127754.05329</v>
      </c>
      <c r="AK46" s="40">
        <f t="shared" ref="AK46" si="2534">AK44+AK45+AJ46</f>
        <v>-127754.05329</v>
      </c>
      <c r="AL46" s="40">
        <f t="shared" ref="AL46" si="2535">AL44+AL45+AK46</f>
        <v>-127754.05329</v>
      </c>
      <c r="AM46" s="40">
        <f t="shared" ref="AM46" si="2536">AM44+AM45+AL46</f>
        <v>-127754.05329</v>
      </c>
      <c r="AN46" s="40">
        <f t="shared" ref="AN46" si="2537">AN44+AN45+AM46</f>
        <v>-127754.05329</v>
      </c>
      <c r="AO46" s="40">
        <f t="shared" ref="AO46" si="2538">AO44+AO45+AN46</f>
        <v>-127754.05329</v>
      </c>
      <c r="AP46" s="40">
        <f t="shared" ref="AP46" si="2539">AP44+AP45+AO46</f>
        <v>-127754.05329</v>
      </c>
      <c r="AQ46" s="40">
        <f t="shared" ref="AQ46" si="2540">AQ44+AQ45+AP46</f>
        <v>-127754.05329</v>
      </c>
      <c r="AR46" s="40">
        <f t="shared" ref="AR46" si="2541">AR44+AR45+AQ46</f>
        <v>-127754.05329</v>
      </c>
      <c r="AS46" s="40">
        <f t="shared" ref="AS46" si="2542">AS44+AS45+AR46</f>
        <v>-127606.41963112287</v>
      </c>
      <c r="AT46" s="40">
        <f t="shared" ref="AT46" si="2543">AT44+AT45+AS46</f>
        <v>-127458.78597224575</v>
      </c>
      <c r="AU46" s="40">
        <f t="shared" ref="AU46" si="2544">AU44+AU45+AT46</f>
        <v>-127311.15231336863</v>
      </c>
      <c r="AV46" s="40">
        <f t="shared" ref="AV46" si="2545">AV44+AV45+AU46</f>
        <v>-127163.51865449151</v>
      </c>
      <c r="AW46" s="40">
        <f t="shared" ref="AW46" si="2546">AW44+AW45+AV46</f>
        <v>-127015.88499561438</v>
      </c>
      <c r="AX46" s="40">
        <f t="shared" ref="AX46" si="2547">AX44+AX45+AW46</f>
        <v>-126868.25133673726</v>
      </c>
      <c r="AY46" s="40">
        <f t="shared" ref="AY46" si="2548">AY44+AY45+AX46</f>
        <v>-126720.61767786014</v>
      </c>
      <c r="AZ46" s="40">
        <f t="shared" ref="AZ46" si="2549">AZ44+AZ45+AY46</f>
        <v>-126572.98401898301</v>
      </c>
      <c r="BA46" s="40">
        <f t="shared" ref="BA46" si="2550">BA44+BA45+AZ46</f>
        <v>-126425.35036010589</v>
      </c>
      <c r="BB46" s="40">
        <f t="shared" ref="BB46" si="2551">BB44+BB45+BA46</f>
        <v>-126277.71670122877</v>
      </c>
      <c r="BC46" s="40">
        <f t="shared" ref="BC46" si="2552">BC44+BC45+BB46</f>
        <v>-126130.08304235165</v>
      </c>
      <c r="BD46" s="40">
        <f t="shared" ref="BD46" si="2553">BD44+BD45+BC46</f>
        <v>-125982.44938347452</v>
      </c>
      <c r="BE46" s="40">
        <f t="shared" ref="BE46" si="2554">BE44+BE45+BD46</f>
        <v>-125457.43015489139</v>
      </c>
      <c r="BF46" s="40">
        <f t="shared" ref="BF46" si="2555">BF44+BF45+BE46</f>
        <v>-124932.41092630826</v>
      </c>
      <c r="BG46" s="40">
        <f t="shared" ref="BG46" si="2556">BG44+BG45+BF46</f>
        <v>-124407.39169772514</v>
      </c>
      <c r="BH46" s="40">
        <f t="shared" ref="BH46" si="2557">BH44+BH45+BG46</f>
        <v>-123882.37246914201</v>
      </c>
      <c r="BI46" s="40">
        <f t="shared" ref="BI46" si="2558">BI44+BI45+BH46</f>
        <v>-123357.35324055888</v>
      </c>
      <c r="BJ46" s="40">
        <f t="shared" ref="BJ46" si="2559">BJ44+BJ45+BI46</f>
        <v>-122832.33401197575</v>
      </c>
      <c r="BK46" s="40">
        <f t="shared" ref="BK46" si="2560">BK44+BK45+BJ46</f>
        <v>-122307.31478339262</v>
      </c>
      <c r="BL46" s="40">
        <f t="shared" ref="BL46" si="2561">BL44+BL45+BK46</f>
        <v>-121782.29555480949</v>
      </c>
      <c r="BM46" s="40">
        <f t="shared" ref="BM46" si="2562">BM44+BM45+BL46</f>
        <v>-121257.27632622636</v>
      </c>
      <c r="BN46" s="40">
        <f t="shared" ref="BN46" si="2563">BN44+BN45+BM46</f>
        <v>-120732.25709764323</v>
      </c>
      <c r="BO46" s="40">
        <f t="shared" ref="BO46" si="2564">BO44+BO45+BN46</f>
        <v>-120207.2378690601</v>
      </c>
      <c r="BP46" s="40">
        <f t="shared" ref="BP46" si="2565">BP44+BP45+BO46</f>
        <v>-119682.21864047697</v>
      </c>
      <c r="BQ46" s="40">
        <f t="shared" ref="BQ46" si="2566">BQ44+BQ45+BP46</f>
        <v>-118767.96791390311</v>
      </c>
      <c r="BR46" s="40">
        <f t="shared" ref="BR46" si="2567">BR44+BR45+BQ46</f>
        <v>-117853.71718732924</v>
      </c>
      <c r="BS46" s="40">
        <f t="shared" ref="BS46" si="2568">BS44+BS45+BR46</f>
        <v>-116939.46646075537</v>
      </c>
      <c r="BT46" s="40">
        <f t="shared" ref="BT46" si="2569">BT44+BT45+BS46</f>
        <v>-116025.2157341815</v>
      </c>
      <c r="BU46" s="40">
        <f t="shared" ref="BU46" si="2570">BU44+BU45+BT46</f>
        <v>-115110.96500760764</v>
      </c>
      <c r="BV46" s="40">
        <f t="shared" ref="BV46" si="2571">BV44+BV45+BU46</f>
        <v>-114196.71428103377</v>
      </c>
      <c r="BW46" s="40">
        <f t="shared" ref="BW46" si="2572">BW44+BW45+BV46</f>
        <v>-113282.4635544599</v>
      </c>
      <c r="BX46" s="40">
        <f t="shared" ref="BX46" si="2573">BX44+BX45+BW46</f>
        <v>-112368.21282788603</v>
      </c>
      <c r="BY46" s="40">
        <f t="shared" ref="BY46" si="2574">BY44+BY45+BX46</f>
        <v>-111453.96210131217</v>
      </c>
      <c r="BZ46" s="40">
        <f t="shared" ref="BZ46" si="2575">BZ44+BZ45+BY46</f>
        <v>-110539.7113747383</v>
      </c>
      <c r="CA46" s="40">
        <f t="shared" ref="CA46" si="2576">CA44+CA45+BZ46</f>
        <v>-109625.46064816443</v>
      </c>
      <c r="CB46" s="40">
        <f t="shared" ref="CB46" si="2577">CB44+CB45+CA46</f>
        <v>-108711.20992159056</v>
      </c>
      <c r="CC46" s="40">
        <f t="shared" ref="CC46" si="2578">CC44+CC45+CB46</f>
        <v>-107395.51520122205</v>
      </c>
      <c r="CD46" s="40">
        <f t="shared" ref="CD46" si="2579">CD44+CD45+CC46</f>
        <v>-106079.82048085354</v>
      </c>
      <c r="CE46" s="40">
        <f t="shared" ref="CE46" si="2580">CE44+CE45+CD46</f>
        <v>-104764.12576048503</v>
      </c>
      <c r="CF46" s="40">
        <f t="shared" ref="CF46" si="2581">CF44+CF45+CE46</f>
        <v>-103448.43104011651</v>
      </c>
      <c r="CG46" s="40">
        <f t="shared" ref="CG46" si="2582">CG44+CG45+CF46</f>
        <v>-102132.736319748</v>
      </c>
      <c r="CH46" s="40">
        <f t="shared" ref="CH46" si="2583">CH44+CH45+CG46</f>
        <v>-100817.04159937949</v>
      </c>
      <c r="CI46" s="40">
        <f t="shared" ref="CI46" si="2584">CI44+CI45+CH46</f>
        <v>-99501.346879010976</v>
      </c>
      <c r="CJ46" s="40">
        <f t="shared" ref="CJ46" si="2585">CJ44+CJ45+CI46</f>
        <v>-98185.652158642464</v>
      </c>
      <c r="CK46" s="40">
        <f t="shared" ref="CK46" si="2586">CK44+CK45+CJ46</f>
        <v>-96869.957438273952</v>
      </c>
      <c r="CL46" s="40">
        <f t="shared" ref="CL46" si="2587">CL44+CL45+CK46</f>
        <v>-95554.26271790544</v>
      </c>
      <c r="CM46" s="40">
        <f t="shared" ref="CM46" si="2588">CM44+CM45+CL46</f>
        <v>-94238.567997536928</v>
      </c>
      <c r="CN46" s="40">
        <f t="shared" ref="CN46" si="2589">CN44+CN45+CM46</f>
        <v>-92922.873277168415</v>
      </c>
      <c r="CO46" s="40">
        <f t="shared" ref="CO46" si="2590">CO44+CO45+CN46</f>
        <v>-91193.144261302004</v>
      </c>
      <c r="CP46" s="40">
        <f t="shared" ref="CP46" si="2591">CP44+CP45+CO46</f>
        <v>-89463.415245435594</v>
      </c>
      <c r="CQ46" s="40">
        <f t="shared" ref="CQ46" si="2592">CQ44+CQ45+CP46</f>
        <v>-87733.686229569183</v>
      </c>
      <c r="CR46" s="40">
        <f t="shared" ref="CR46" si="2593">CR44+CR45+CQ46</f>
        <v>-86003.957213702772</v>
      </c>
      <c r="CS46" s="40">
        <f t="shared" ref="CS46" si="2594">CS44+CS45+CR46</f>
        <v>-84274.228197836361</v>
      </c>
      <c r="CT46" s="40">
        <f t="shared" ref="CT46" si="2595">CT44+CT45+CS46</f>
        <v>-82544.49918196995</v>
      </c>
      <c r="CU46" s="40">
        <f t="shared" ref="CU46" si="2596">CU44+CU45+CT46</f>
        <v>-80814.770166103539</v>
      </c>
      <c r="CV46" s="40">
        <f t="shared" ref="CV46" si="2597">CV44+CV45+CU46</f>
        <v>-79085.041150237128</v>
      </c>
      <c r="CW46" s="40">
        <f t="shared" ref="CW46" si="2598">CW44+CW45+CV46</f>
        <v>-77355.312134370717</v>
      </c>
      <c r="CX46" s="40">
        <f t="shared" ref="CX46" si="2599">CX44+CX45+CW46</f>
        <v>-75625.583118504306</v>
      </c>
      <c r="CY46" s="40">
        <f t="shared" ref="CY46" si="2600">CY44+CY45+CX46</f>
        <v>-73895.854102637895</v>
      </c>
      <c r="CZ46" s="40">
        <f t="shared" ref="CZ46" si="2601">CZ44+CZ45+CY46</f>
        <v>-72166.125086771484</v>
      </c>
      <c r="DA46" s="40">
        <f t="shared" ref="DA46" si="2602">DA44+DA45+CZ46</f>
        <v>-70009.382087006888</v>
      </c>
      <c r="DB46" s="40">
        <f t="shared" ref="DB46" si="2603">DB44+DB45+DA46</f>
        <v>-67852.639087242293</v>
      </c>
      <c r="DC46" s="40">
        <f t="shared" ref="DC46" si="2604">DC44+DC45+DB46</f>
        <v>-65695.896087477697</v>
      </c>
      <c r="DD46" s="40">
        <f t="shared" ref="DD46" si="2605">DD44+DD45+DC46</f>
        <v>-63539.153087713094</v>
      </c>
      <c r="DE46" s="40">
        <f t="shared" ref="DE46" si="2606">DE44+DE45+DD46</f>
        <v>-61382.41008794849</v>
      </c>
      <c r="DF46" s="40">
        <f t="shared" ref="DF46" si="2607">DF44+DF45+DE46</f>
        <v>-59225.667088183887</v>
      </c>
      <c r="DG46" s="40">
        <f t="shared" ref="DG46" si="2608">DG44+DG45+DF46</f>
        <v>-57068.924088419284</v>
      </c>
      <c r="DH46" s="40">
        <f t="shared" ref="DH46" si="2609">DH44+DH45+DG46</f>
        <v>-54912.181088654681</v>
      </c>
      <c r="DI46" s="40">
        <f t="shared" ref="DI46" si="2610">DI44+DI45+DH46</f>
        <v>-52755.438088890078</v>
      </c>
      <c r="DJ46" s="40">
        <f t="shared" ref="DJ46" si="2611">DJ44+DJ45+DI46</f>
        <v>-50598.695089125475</v>
      </c>
      <c r="DK46" s="40">
        <f t="shared" ref="DK46" si="2612">DK44+DK45+DJ46</f>
        <v>-48441.952089360871</v>
      </c>
      <c r="DL46" s="40">
        <f t="shared" ref="DL46" si="2613">DL44+DL45+DK46</f>
        <v>-46285.209089596268</v>
      </c>
      <c r="DM46" s="40">
        <f t="shared" ref="DM46" si="2614">DM44+DM45+DL46</f>
        <v>-43688.07109723211</v>
      </c>
      <c r="DN46" s="40">
        <f t="shared" ref="DN46" si="2615">DN44+DN45+DM46</f>
        <v>-41090.933104867952</v>
      </c>
      <c r="DO46" s="40">
        <f t="shared" ref="DO46" si="2616">DO44+DO45+DN46</f>
        <v>-38493.795112503794</v>
      </c>
      <c r="DP46" s="40">
        <f t="shared" ref="DP46" si="2617">DP44+DP45+DO46</f>
        <v>-35896.657120139636</v>
      </c>
      <c r="DQ46" s="40">
        <f t="shared" ref="DQ46" si="2618">DQ44+DQ45+DP46</f>
        <v>-33299.519127775478</v>
      </c>
      <c r="DR46" s="40">
        <f t="shared" ref="DR46" si="2619">DR44+DR45+DQ46</f>
        <v>-30702.38113541132</v>
      </c>
      <c r="DS46" s="40">
        <f t="shared" ref="DS46" si="2620">DS44+DS45+DR46</f>
        <v>-28105.243143047162</v>
      </c>
      <c r="DT46" s="40">
        <f t="shared" ref="DT46" si="2621">DT44+DT45+DS46</f>
        <v>-25508.105150683004</v>
      </c>
      <c r="DU46" s="40">
        <f t="shared" ref="DU46" si="2622">DU44+DU45+DT46</f>
        <v>-22910.967158318846</v>
      </c>
      <c r="DV46" s="40">
        <f t="shared" ref="DV46" si="2623">DV44+DV45+DU46</f>
        <v>-20313.829165954689</v>
      </c>
      <c r="DW46" s="40">
        <f t="shared" ref="DW46" si="2624">DW44+DW45+DV46</f>
        <v>-17716.691173590531</v>
      </c>
      <c r="DX46" s="40">
        <f t="shared" ref="DX46" si="2625">DX44+DX45+DW46</f>
        <v>-15119.553181226373</v>
      </c>
      <c r="DY46" s="40">
        <f t="shared" ref="DY46" si="2626">DY44+DY45+DX46</f>
        <v>-12068.225570146751</v>
      </c>
      <c r="DZ46" s="40">
        <f t="shared" ref="DZ46" si="2627">DZ44+DZ45+DY46</f>
        <v>-9016.8979590671315</v>
      </c>
      <c r="EA46" s="40">
        <f t="shared" ref="EA46" si="2628">EA44+EA45+DZ46</f>
        <v>-5965.5703479875101</v>
      </c>
      <c r="EB46" s="40">
        <f t="shared" ref="EB46" si="2629">EB44+EB45+EA46</f>
        <v>-2914.2427369078896</v>
      </c>
      <c r="EC46" s="40">
        <f t="shared" ref="EC46" si="2630">EC44+EC45+EB46</f>
        <v>137.08487417173046</v>
      </c>
      <c r="ED46" s="40">
        <f t="shared" ref="ED46" si="2631">ED44+ED45+EC46</f>
        <v>3188.4124852513519</v>
      </c>
      <c r="EE46" s="40">
        <f t="shared" ref="EE46" si="2632">EE44+EE45+ED46</f>
        <v>6239.7400963309719</v>
      </c>
      <c r="EF46" s="40">
        <f t="shared" ref="EF46" si="2633">EF44+EF45+EE46</f>
        <v>9291.0677074105915</v>
      </c>
      <c r="EG46" s="40">
        <f t="shared" ref="EG46" si="2634">EG44+EG45+EF46</f>
        <v>12342.395318490211</v>
      </c>
      <c r="EH46" s="40">
        <f t="shared" ref="EH46" si="2635">EH44+EH45+EG46</f>
        <v>15393.722929569831</v>
      </c>
      <c r="EI46" s="40">
        <f t="shared" ref="EI46" si="2636">EI44+EI45+EH46</f>
        <v>18445.050540649452</v>
      </c>
      <c r="EJ46" s="40">
        <f t="shared" ref="EJ46" si="2637">EJ44+EJ45+EI46</f>
        <v>21496.37815172907</v>
      </c>
      <c r="EK46" s="40">
        <f t="shared" ref="EK46" si="2638">EK44+EK45+EJ46</f>
        <v>25016.116296704349</v>
      </c>
      <c r="EL46" s="40">
        <f t="shared" ref="EL46" si="2639">EL44+EL45+EK46</f>
        <v>28535.854441679629</v>
      </c>
      <c r="EM46" s="40">
        <f t="shared" ref="EM46" si="2640">EM44+EM45+EL46</f>
        <v>32055.592586654908</v>
      </c>
      <c r="EN46" s="40">
        <f t="shared" ref="EN46" si="2641">EN44+EN45+EM46</f>
        <v>35575.330731630187</v>
      </c>
      <c r="EO46" s="40">
        <f t="shared" ref="EO46" si="2642">EO44+EO45+EN46</f>
        <v>39095.068876605466</v>
      </c>
      <c r="EP46" s="40">
        <f t="shared" ref="EP46" si="2643">EP44+EP45+EO46</f>
        <v>42614.807021580746</v>
      </c>
      <c r="EQ46" s="40">
        <f t="shared" ref="EQ46" si="2644">EQ44+EQ45+EP46</f>
        <v>46134.545166556025</v>
      </c>
      <c r="ER46" s="40">
        <f t="shared" ref="ER46" si="2645">ER44+ER45+EQ46</f>
        <v>49654.283311531304</v>
      </c>
      <c r="ES46" s="40">
        <f t="shared" ref="ES46" si="2646">ES44+ES45+ER46</f>
        <v>53174.021456506583</v>
      </c>
      <c r="ET46" s="40">
        <f t="shared" ref="ET46" si="2647">ET44+ET45+ES46</f>
        <v>56693.759601481863</v>
      </c>
      <c r="EU46" s="40">
        <f t="shared" ref="EU46" si="2648">EU44+EU45+ET46</f>
        <v>60213.497746457142</v>
      </c>
      <c r="EV46" s="40">
        <f t="shared" ref="EV46" si="2649">EV44+EV45+EU46</f>
        <v>63733.235891432421</v>
      </c>
      <c r="EW46" s="40">
        <f t="shared" ref="EW46" si="2650">EW44+EW45+EV46</f>
        <v>67736.044832094238</v>
      </c>
      <c r="EX46" s="40">
        <f t="shared" ref="EX46" si="2651">EX44+EX45+EW46</f>
        <v>71738.853772756047</v>
      </c>
      <c r="EY46" s="40">
        <f t="shared" ref="EY46" si="2652">EY44+EY45+EX46</f>
        <v>75741.662713417856</v>
      </c>
      <c r="EZ46" s="40">
        <f t="shared" ref="EZ46" si="2653">EZ44+EZ45+EY46</f>
        <v>79744.471654079665</v>
      </c>
      <c r="FA46" s="40">
        <f t="shared" ref="FA46" si="2654">FA44+FA45+EZ46</f>
        <v>83747.280594741489</v>
      </c>
      <c r="FB46" s="40">
        <f t="shared" ref="FB46" si="2655">FB44+FB45+FA46</f>
        <v>87750.089535403298</v>
      </c>
      <c r="FC46" s="40">
        <f t="shared" ref="FC46" si="2656">FC44+FC45+FB46</f>
        <v>91752.898476065107</v>
      </c>
      <c r="FD46" s="40">
        <f t="shared" ref="FD46" si="2657">FD44+FD45+FC46</f>
        <v>95755.707416726931</v>
      </c>
      <c r="FE46" s="40">
        <f t="shared" ref="FE46" si="2658">FE44+FE45+FD46</f>
        <v>99758.516357388755</v>
      </c>
      <c r="FF46" s="40">
        <f t="shared" ref="FF46" si="2659">FF44+FF45+FE46</f>
        <v>103761.32529805058</v>
      </c>
      <c r="FG46" s="40">
        <f t="shared" ref="FG46" si="2660">FG44+FG45+FF46</f>
        <v>107764.1342387124</v>
      </c>
      <c r="FH46" s="40">
        <f t="shared" ref="FH46" si="2661">FH44+FH45+FG46</f>
        <v>111766.94317937423</v>
      </c>
      <c r="FI46" s="40">
        <f t="shared" ref="FI46" si="2662">FI44+FI45+FH46</f>
        <v>116267.93597927116</v>
      </c>
      <c r="FJ46" s="40">
        <f t="shared" ref="FJ46" si="2663">FJ44+FJ45+FI46</f>
        <v>120768.9287791681</v>
      </c>
      <c r="FK46" s="40">
        <f t="shared" ref="FK46" si="2664">FK44+FK45+FJ46</f>
        <v>125269.92157906503</v>
      </c>
      <c r="FL46" s="40">
        <f t="shared" ref="FL46" si="2665">FL44+FL45+FK46</f>
        <v>129770.91437896197</v>
      </c>
      <c r="FM46" s="40">
        <f t="shared" ref="FM46" si="2666">FM44+FM45+FL46</f>
        <v>134271.90717885891</v>
      </c>
      <c r="FN46" s="40">
        <f t="shared" ref="FN46" si="2667">FN44+FN45+FM46</f>
        <v>138772.89997875583</v>
      </c>
      <c r="FO46" s="40">
        <f t="shared" ref="FO46" si="2668">FO44+FO45+FN46</f>
        <v>143273.89277865275</v>
      </c>
      <c r="FP46" s="40">
        <f t="shared" ref="FP46" si="2669">FP44+FP45+FO46</f>
        <v>147774.88557854967</v>
      </c>
      <c r="FQ46" s="40">
        <f t="shared" ref="FQ46" si="2670">FQ44+FQ45+FP46</f>
        <v>152275.87837844659</v>
      </c>
      <c r="FR46" s="40">
        <f t="shared" ref="FR46" si="2671">FR44+FR45+FQ46</f>
        <v>156776.87117834351</v>
      </c>
      <c r="FS46" s="40">
        <f t="shared" ref="FS46" si="2672">FS44+FS45+FR46</f>
        <v>161277.86397824044</v>
      </c>
      <c r="FT46" s="40">
        <f t="shared" ref="FT46" si="2673">FT44+FT45+FS46</f>
        <v>165778.85677813736</v>
      </c>
      <c r="FU46" s="40">
        <f t="shared" ref="FU46" si="2674">FU44+FU45+FT46</f>
        <v>170793.61316738118</v>
      </c>
      <c r="FV46" s="40">
        <f t="shared" ref="FV46" si="2675">FV44+FV45+FU46</f>
        <v>175808.369556625</v>
      </c>
      <c r="FW46" s="40">
        <f t="shared" ref="FW46" si="2676">FW44+FW45+FV46</f>
        <v>180823.12594586884</v>
      </c>
      <c r="FX46" s="40">
        <f t="shared" ref="FX46" si="2677">FX44+FX45+FW46</f>
        <v>185837.88233511269</v>
      </c>
      <c r="FY46" s="40">
        <f t="shared" ref="FY46" si="2678">FY44+FY45+FX46</f>
        <v>190852.63872435654</v>
      </c>
      <c r="FZ46" s="40">
        <f t="shared" ref="FZ46" si="2679">FZ44+FZ45+FY46</f>
        <v>195867.39511360039</v>
      </c>
      <c r="GA46" s="40">
        <f t="shared" ref="GA46" si="2680">GA44+GA45+FZ46</f>
        <v>200882.15150284424</v>
      </c>
      <c r="GB46" s="40">
        <f t="shared" ref="GB46" si="2681">GB44+GB45+GA46</f>
        <v>205896.90789208809</v>
      </c>
      <c r="GC46" s="40">
        <f t="shared" ref="GC46" si="2682">GC44+GC45+GB46</f>
        <v>205896.90789208809</v>
      </c>
      <c r="GD46" s="40">
        <f t="shared" ref="GD46" si="2683">GD44+GD45+GC46</f>
        <v>205896.90789208809</v>
      </c>
      <c r="GE46" s="40">
        <f t="shared" ref="GE46" si="2684">GE44+GE45+GD46</f>
        <v>205896.90789208809</v>
      </c>
      <c r="GF46" s="40">
        <f t="shared" ref="GF46" ca="1" si="2685">GF44+GF45+GE46</f>
        <v>2822046.0800000033</v>
      </c>
      <c r="GG46" s="40">
        <f t="shared" ref="GG46" ca="1" si="2686">GG44+GG45+GF46</f>
        <v>2822046.0800000033</v>
      </c>
      <c r="GH46" s="40">
        <f t="shared" ref="GH46" ca="1" si="2687">GH44+GH45+GG46</f>
        <v>2822046.0800000033</v>
      </c>
      <c r="GI46" s="40">
        <f t="shared" ref="GI46" ca="1" si="2688">GI44+GI45+GH46</f>
        <v>2822046.0800000033</v>
      </c>
      <c r="GJ46" s="40">
        <f t="shared" ref="GJ46" ca="1" si="2689">GJ44+GJ45+GI46</f>
        <v>2822046.0800000033</v>
      </c>
      <c r="GK46" s="40">
        <f t="shared" ref="GK46" ca="1" si="2690">GK44+GK45+GJ46</f>
        <v>2822046.0800000033</v>
      </c>
      <c r="GL46" s="40">
        <f t="shared" ref="GL46" ca="1" si="2691">GL44+GL45+GK46</f>
        <v>2822046.0800000033</v>
      </c>
      <c r="GM46" s="40">
        <f t="shared" ref="GM46" ca="1" si="2692">GM44+GM45+GL46</f>
        <v>2822046.0800000033</v>
      </c>
      <c r="GN46" s="40">
        <f t="shared" ref="GN46" ca="1" si="2693">GN44+GN45+GM46</f>
        <v>2822046.0800000033</v>
      </c>
      <c r="GO46" s="40">
        <f t="shared" ref="GO46" ca="1" si="2694">GO44+GO45+GN46</f>
        <v>2822046.0800000033</v>
      </c>
      <c r="GP46" s="40">
        <f t="shared" ref="GP46" ca="1" si="2695">GP44+GP45+GO46</f>
        <v>2822046.0800000033</v>
      </c>
      <c r="GQ46" s="40">
        <f t="shared" ref="GQ46" ca="1" si="2696">GQ44+GQ45+GP46</f>
        <v>2822046.0800000033</v>
      </c>
      <c r="GR46" s="40">
        <f t="shared" ref="GR46" ca="1" si="2697">GR44+GR45+GQ46</f>
        <v>2822046.0800000033</v>
      </c>
      <c r="GS46" s="40">
        <f t="shared" ref="GS46" ca="1" si="2698">GS44+GS45+GR46</f>
        <v>2822046.0800000033</v>
      </c>
      <c r="GT46" s="40">
        <f t="shared" ref="GT46" ca="1" si="2699">GT44+GT45+GS46</f>
        <v>2822046.0800000033</v>
      </c>
      <c r="GU46" s="40">
        <f t="shared" ref="GU46" ca="1" si="2700">GU44+GU45+GT46</f>
        <v>2822046.0800000033</v>
      </c>
      <c r="GV46" s="40">
        <f t="shared" ref="GV46" ca="1" si="2701">GV44+GV45+GU46</f>
        <v>2822046.0800000033</v>
      </c>
      <c r="GW46" s="40">
        <f t="shared" ref="GW46" ca="1" si="2702">GW44+GW45+GV46</f>
        <v>2822046.0800000033</v>
      </c>
      <c r="GX46" s="40">
        <f t="shared" ref="GX46" ca="1" si="2703">GX44+GX45+GW46</f>
        <v>2822046.0800000033</v>
      </c>
      <c r="GY46" s="40">
        <f t="shared" ref="GY46" ca="1" si="2704">GY44+GY45+GX46</f>
        <v>2822046.0800000033</v>
      </c>
      <c r="GZ46" s="40">
        <f t="shared" ref="GZ46" ca="1" si="2705">GZ44+GZ45+GY46</f>
        <v>2822046.0800000033</v>
      </c>
      <c r="HA46" s="40">
        <f t="shared" ref="HA46" ca="1" si="2706">HA44+HA45+GZ46</f>
        <v>2822046.0800000033</v>
      </c>
      <c r="HB46" s="40">
        <f t="shared" ref="HB46" ca="1" si="2707">HB44+HB45+HA46</f>
        <v>2822046.0800000033</v>
      </c>
      <c r="HC46" s="40">
        <f t="shared" ref="HC46" ca="1" si="2708">HC44+HC45+HB46</f>
        <v>2822046.0800000033</v>
      </c>
      <c r="HD46" s="40">
        <f t="shared" ref="HD46" ca="1" si="2709">HD44+HD45+HC46</f>
        <v>2822046.0800000033</v>
      </c>
      <c r="HE46" s="40">
        <f t="shared" ref="HE46" ca="1" si="2710">HE44+HE45+HD46</f>
        <v>2822046.0800000033</v>
      </c>
      <c r="HF46" s="40">
        <f t="shared" ref="HF46" ca="1" si="2711">HF44+HF45+HE46</f>
        <v>2822046.0800000033</v>
      </c>
      <c r="HG46" s="40">
        <f t="shared" ref="HG46" ca="1" si="2712">HG44+HG45+HF46</f>
        <v>2822046.0800000033</v>
      </c>
      <c r="HH46" s="40">
        <f t="shared" ref="HH46" ca="1" si="2713">HH44+HH45+HG46</f>
        <v>2822046.0800000033</v>
      </c>
      <c r="HI46" s="40">
        <f t="shared" ref="HI46" ca="1" si="2714">HI44+HI45+HH46</f>
        <v>2822046.0800000033</v>
      </c>
      <c r="HJ46" s="40">
        <f t="shared" ref="HJ46" ca="1" si="2715">HJ44+HJ45+HI46</f>
        <v>2822046.0800000033</v>
      </c>
      <c r="HK46" s="40">
        <f t="shared" ref="HK46" ca="1" si="2716">HK44+HK45+HJ46</f>
        <v>2822046.0800000033</v>
      </c>
      <c r="HL46" s="40">
        <f t="shared" ref="HL46" ca="1" si="2717">HL44+HL45+HK46</f>
        <v>2822046.0800000033</v>
      </c>
      <c r="HM46" s="40">
        <f t="shared" ref="HM46" ca="1" si="2718">HM44+HM45+HL46</f>
        <v>2822046.0800000033</v>
      </c>
      <c r="HN46" s="40">
        <f t="shared" ref="HN46" ca="1" si="2719">HN44+HN45+HM46</f>
        <v>2822046.0800000033</v>
      </c>
      <c r="HO46" s="40">
        <f t="shared" ref="HO46" ca="1" si="2720">HO44+HO45+HN46</f>
        <v>2822046.0800000033</v>
      </c>
      <c r="HP46" s="40">
        <f t="shared" ref="HP46" ca="1" si="2721">HP44+HP45+HO46</f>
        <v>2822046.0800000033</v>
      </c>
      <c r="HQ46" s="40">
        <f t="shared" ref="HQ46" ca="1" si="2722">HQ44+HQ45+HP46</f>
        <v>2822046.0800000033</v>
      </c>
      <c r="HR46" s="40">
        <f t="shared" ref="HR46" ca="1" si="2723">HR44+HR45+HQ46</f>
        <v>2822046.0800000033</v>
      </c>
      <c r="HS46" s="40">
        <f t="shared" ref="HS46" ca="1" si="2724">HS44+HS45+HR46</f>
        <v>2822046.0800000033</v>
      </c>
      <c r="HT46" s="40">
        <f t="shared" ref="HT46" ca="1" si="2725">HT44+HT45+HS46</f>
        <v>2822046.0800000033</v>
      </c>
      <c r="HU46" s="40">
        <f t="shared" ref="HU46" ca="1" si="2726">HU44+HU45+HT46</f>
        <v>2822046.0800000033</v>
      </c>
      <c r="HV46" s="40">
        <f t="shared" ref="HV46" ca="1" si="2727">HV44+HV45+HU46</f>
        <v>2822046.0800000033</v>
      </c>
      <c r="HW46" s="40">
        <f t="shared" ref="HW46" ca="1" si="2728">HW44+HW45+HV46</f>
        <v>2822046.0800000033</v>
      </c>
      <c r="HX46" s="40">
        <f t="shared" ref="HX46" ca="1" si="2729">HX44+HX45+HW46</f>
        <v>2822046.0800000033</v>
      </c>
      <c r="HY46" s="40">
        <f t="shared" ref="HY46" ca="1" si="2730">HY44+HY45+HX46</f>
        <v>2822046.0800000033</v>
      </c>
      <c r="HZ46" s="40">
        <f t="shared" ref="HZ46" ca="1" si="2731">HZ44+HZ45+HY46</f>
        <v>2822046.0800000033</v>
      </c>
      <c r="IA46" s="40">
        <f t="shared" ref="IA46" ca="1" si="2732">IA44+IA45+HZ46</f>
        <v>2822046.0800000033</v>
      </c>
      <c r="IB46" s="40">
        <f t="shared" ref="IB46" ca="1" si="2733">IB44+IB45+IA46</f>
        <v>2822046.0800000033</v>
      </c>
      <c r="IC46" s="40">
        <f t="shared" ref="IC46" ca="1" si="2734">IC44+IC45+IB46</f>
        <v>2822046.0800000033</v>
      </c>
      <c r="ID46" s="40">
        <f t="shared" ref="ID46" ca="1" si="2735">ID44+ID45+IC46</f>
        <v>2822046.0800000033</v>
      </c>
      <c r="IE46" s="40">
        <f t="shared" ref="IE46" ca="1" si="2736">IE44+IE45+ID46</f>
        <v>2822046.0800000033</v>
      </c>
      <c r="IF46" s="40">
        <f t="shared" ref="IF46" ca="1" si="2737">IF44+IF45+IE46</f>
        <v>2822046.0800000033</v>
      </c>
      <c r="IG46" s="40">
        <f t="shared" ref="IG46" ca="1" si="2738">IG44+IG45+IF46</f>
        <v>2822046.0800000033</v>
      </c>
      <c r="IH46" s="40">
        <f t="shared" ref="IH46" ca="1" si="2739">IH44+IH45+IG46</f>
        <v>2822046.0800000033</v>
      </c>
      <c r="II46" s="40">
        <f t="shared" ref="II46" ca="1" si="2740">II44+II45+IH46</f>
        <v>2822046.0800000033</v>
      </c>
      <c r="IJ46" s="40">
        <f t="shared" ref="IJ46" ca="1" si="2741">IJ44+IJ45+II46</f>
        <v>2822046.0800000033</v>
      </c>
      <c r="IK46" s="40">
        <f t="shared" ref="IK46" ca="1" si="2742">IK44+IK45+IJ46</f>
        <v>2822046.0800000033</v>
      </c>
      <c r="IL46" s="40">
        <f t="shared" ref="IL46" ca="1" si="2743">IL44+IL45+IK46</f>
        <v>2822046.0800000033</v>
      </c>
      <c r="IM46" s="40">
        <f t="shared" ref="IM46" ca="1" si="2744">IM44+IM45+IL46</f>
        <v>2822046.0800000033</v>
      </c>
      <c r="IN46" s="40">
        <f t="shared" ref="IN46" ca="1" si="2745">IN44+IN45+IM46</f>
        <v>2822046.0800000033</v>
      </c>
      <c r="IO46" s="40">
        <f t="shared" ref="IO46" ca="1" si="2746">IO44+IO45+IN46</f>
        <v>2822046.0800000033</v>
      </c>
      <c r="IP46" s="40">
        <f t="shared" ref="IP46" ca="1" si="2747">IP44+IP45+IO46</f>
        <v>2822046.0800000033</v>
      </c>
      <c r="IQ46" s="40">
        <f t="shared" ref="IQ46" ca="1" si="2748">IQ44+IQ45+IP46</f>
        <v>2822046.0800000033</v>
      </c>
      <c r="IR46" s="40">
        <f t="shared" ref="IR46" ca="1" si="2749">IR44+IR45+IQ46</f>
        <v>2822046.0800000033</v>
      </c>
      <c r="IS46" s="40">
        <f t="shared" ref="IS46" ca="1" si="2750">IS44+IS45+IR46</f>
        <v>2822046.0800000033</v>
      </c>
      <c r="IT46" s="40">
        <f t="shared" ref="IT46" ca="1" si="2751">IT44+IT45+IS46</f>
        <v>2822046.0800000033</v>
      </c>
      <c r="IU46" s="40">
        <f t="shared" ref="IU46" ca="1" si="2752">IU44+IU45+IT46</f>
        <v>2822046.0800000033</v>
      </c>
      <c r="IV46" s="40">
        <f t="shared" ref="IV46" ca="1" si="2753">IV44+IV45+IU46</f>
        <v>2822046.0800000033</v>
      </c>
      <c r="IW46" s="40">
        <f t="shared" ref="IW46" ca="1" si="2754">IW44+IW45+IV46</f>
        <v>2822046.0800000033</v>
      </c>
      <c r="IX46" s="40">
        <f t="shared" ref="IX46" ca="1" si="2755">IX44+IX45+IW46</f>
        <v>2822046.0800000033</v>
      </c>
      <c r="IY46" s="40">
        <f t="shared" ref="IY46" ca="1" si="2756">IY44+IY45+IX46</f>
        <v>2822046.0800000033</v>
      </c>
      <c r="IZ46" s="40">
        <f t="shared" ref="IZ46" ca="1" si="2757">IZ44+IZ45+IY46</f>
        <v>2822046.0800000033</v>
      </c>
      <c r="JA46" s="40">
        <f t="shared" ref="JA46" ca="1" si="2758">JA44+JA45+IZ46</f>
        <v>2822046.0800000033</v>
      </c>
      <c r="JB46" s="40">
        <f t="shared" ref="JB46" ca="1" si="2759">JB44+JB45+JA46</f>
        <v>2822046.0800000033</v>
      </c>
      <c r="JC46" s="40">
        <f t="shared" ref="JC46" ca="1" si="2760">JC44+JC45+JB46</f>
        <v>2822046.0800000033</v>
      </c>
      <c r="JD46" s="40">
        <f t="shared" ref="JD46" ca="1" si="2761">JD44+JD45+JC46</f>
        <v>2822046.0800000033</v>
      </c>
      <c r="JE46" s="40">
        <f t="shared" ref="JE46" ca="1" si="2762">JE44+JE45+JD46</f>
        <v>2822046.0800000033</v>
      </c>
      <c r="JF46" s="40">
        <f t="shared" ref="JF46" ca="1" si="2763">JF44+JF45+JE46</f>
        <v>2822046.0800000033</v>
      </c>
      <c r="JG46" s="40">
        <f t="shared" ref="JG46" ca="1" si="2764">JG44+JG45+JF46</f>
        <v>2822046.0800000033</v>
      </c>
      <c r="JH46" s="40">
        <f t="shared" ref="JH46" ca="1" si="2765">JH44+JH45+JG46</f>
        <v>2822046.0800000033</v>
      </c>
      <c r="JI46" s="40">
        <f t="shared" ref="JI46" ca="1" si="2766">JI44+JI45+JH46</f>
        <v>2822046.0800000033</v>
      </c>
      <c r="JJ46" s="40">
        <f t="shared" ref="JJ46" ca="1" si="2767">JJ44+JJ45+JI46</f>
        <v>2822046.0800000033</v>
      </c>
      <c r="JK46" s="40">
        <f t="shared" ref="JK46" ca="1" si="2768">JK44+JK45+JJ46</f>
        <v>2822046.0800000033</v>
      </c>
      <c r="JL46" s="40">
        <f t="shared" ref="JL46" ca="1" si="2769">JL44+JL45+JK46</f>
        <v>2822046.0800000033</v>
      </c>
      <c r="JM46" s="40">
        <f t="shared" ref="JM46" ca="1" si="2770">JM44+JM45+JL46</f>
        <v>2822046.0800000033</v>
      </c>
      <c r="JN46" s="40">
        <f t="shared" ref="JN46" ca="1" si="2771">JN44+JN45+JM46</f>
        <v>2822046.0800000033</v>
      </c>
      <c r="JO46" s="40">
        <f t="shared" ref="JO46" ca="1" si="2772">JO44+JO45+JN46</f>
        <v>2822046.0800000033</v>
      </c>
      <c r="JP46" s="40">
        <f t="shared" ref="JP46" ca="1" si="2773">JP44+JP45+JO46</f>
        <v>2822046.0800000033</v>
      </c>
      <c r="JQ46" s="40">
        <f t="shared" ref="JQ46" ca="1" si="2774">JQ44+JQ45+JP46</f>
        <v>2822046.0800000033</v>
      </c>
      <c r="JR46" s="40">
        <f t="shared" ref="JR46" ca="1" si="2775">JR44+JR45+JQ46</f>
        <v>2822046.0800000033</v>
      </c>
      <c r="JS46" s="40">
        <f t="shared" ref="JS46" ca="1" si="2776">JS44+JS45+JR46</f>
        <v>2822046.0800000033</v>
      </c>
      <c r="JT46" s="40">
        <f t="shared" ref="JT46" ca="1" si="2777">JT44+JT45+JS46</f>
        <v>2822046.0800000033</v>
      </c>
      <c r="JU46" s="40">
        <f t="shared" ref="JU46" ca="1" si="2778">JU44+JU45+JT46</f>
        <v>2822046.0800000033</v>
      </c>
      <c r="JV46" s="40">
        <f t="shared" ref="JV46" ca="1" si="2779">JV44+JV45+JU46</f>
        <v>2822046.0800000033</v>
      </c>
      <c r="JW46" s="40">
        <f t="shared" ref="JW46" ca="1" si="2780">JW44+JW45+JV46</f>
        <v>2822046.0800000033</v>
      </c>
      <c r="JX46" s="40">
        <f t="shared" ref="JX46" ca="1" si="2781">JX44+JX45+JW46</f>
        <v>2822046.0800000033</v>
      </c>
      <c r="JY46" s="40">
        <f t="shared" ref="JY46" ca="1" si="2782">JY44+JY45+JX46</f>
        <v>2822046.0800000033</v>
      </c>
      <c r="JZ46" s="40">
        <f t="shared" ref="JZ46" ca="1" si="2783">JZ44+JZ45+JY46</f>
        <v>2822046.0800000033</v>
      </c>
      <c r="KA46" s="40">
        <f t="shared" ref="KA46" ca="1" si="2784">KA44+KA45+JZ46</f>
        <v>2822046.0800000033</v>
      </c>
      <c r="KB46" s="40">
        <f t="shared" ref="KB46" ca="1" si="2785">KB44+KB45+KA46</f>
        <v>2822046.0800000033</v>
      </c>
      <c r="KC46" s="40">
        <f t="shared" ref="KC46" ca="1" si="2786">KC44+KC45+KB46</f>
        <v>2822046.0800000033</v>
      </c>
      <c r="KD46" s="40">
        <f t="shared" ref="KD46" ca="1" si="2787">KD44+KD45+KC46</f>
        <v>2822046.0800000033</v>
      </c>
      <c r="KE46" s="40">
        <f t="shared" ref="KE46" ca="1" si="2788">KE44+KE45+KD46</f>
        <v>2822046.0800000033</v>
      </c>
      <c r="KF46" s="40">
        <f t="shared" ref="KF46" ca="1" si="2789">KF44+KF45+KE46</f>
        <v>2822046.0800000033</v>
      </c>
      <c r="KG46" s="40">
        <f t="shared" ref="KG46" ca="1" si="2790">KG44+KG45+KF46</f>
        <v>2822046.0800000033</v>
      </c>
      <c r="KH46" s="40">
        <f t="shared" ref="KH46" ca="1" si="2791">KH44+KH45+KG46</f>
        <v>2822046.0800000033</v>
      </c>
      <c r="KI46" s="40">
        <f t="shared" ref="KI46" ca="1" si="2792">KI44+KI45+KH46</f>
        <v>2822046.0800000033</v>
      </c>
      <c r="KJ46" s="40">
        <f t="shared" ref="KJ46" ca="1" si="2793">KJ44+KJ45+KI46</f>
        <v>2822046.0800000033</v>
      </c>
      <c r="KK46" s="40">
        <f t="shared" ref="KK46" ca="1" si="2794">KK44+KK45+KJ46</f>
        <v>2822046.0800000033</v>
      </c>
      <c r="KL46" s="40">
        <f t="shared" ref="KL46" ca="1" si="2795">KL44+KL45+KK46</f>
        <v>2822046.0800000033</v>
      </c>
      <c r="KM46" s="40">
        <f t="shared" ref="KM46" ca="1" si="2796">KM44+KM45+KL46</f>
        <v>2822046.0800000033</v>
      </c>
      <c r="KN46" s="40">
        <f t="shared" ref="KN46" ca="1" si="2797">KN44+KN45+KM46</f>
        <v>2822046.0800000033</v>
      </c>
      <c r="KO46" s="40">
        <f t="shared" ref="KO46" ca="1" si="2798">KO44+KO45+KN46</f>
        <v>2822046.0800000033</v>
      </c>
      <c r="KP46" s="40">
        <f t="shared" ref="KP46" ca="1" si="2799">KP44+KP45+KO46</f>
        <v>2822046.0800000033</v>
      </c>
      <c r="KQ46" s="40">
        <f t="shared" ref="KQ46" ca="1" si="2800">KQ44+KQ45+KP46</f>
        <v>2822046.0800000033</v>
      </c>
      <c r="KR46" s="40">
        <f t="shared" ref="KR46" ca="1" si="2801">KR44+KR45+KQ46</f>
        <v>2822046.0800000033</v>
      </c>
      <c r="KS46" s="40">
        <f t="shared" ref="KS46" ca="1" si="2802">KS44+KS45+KR46</f>
        <v>2822046.0800000033</v>
      </c>
      <c r="KT46" s="40">
        <f t="shared" ref="KT46" ca="1" si="2803">KT44+KT45+KS46</f>
        <v>2822046.0800000033</v>
      </c>
      <c r="KU46" s="40">
        <f t="shared" ref="KU46" ca="1" si="2804">KU44+KU45+KT46</f>
        <v>2822046.0800000033</v>
      </c>
      <c r="KV46" s="40">
        <f t="shared" ref="KV46" ca="1" si="2805">KV44+KV45+KU46</f>
        <v>2822046.0800000033</v>
      </c>
      <c r="KW46" s="40">
        <f t="shared" ref="KW46" ca="1" si="2806">KW44+KW45+KV46</f>
        <v>2822046.0800000033</v>
      </c>
      <c r="KX46" s="40">
        <f t="shared" ref="KX46" ca="1" si="2807">KX44+KX45+KW46</f>
        <v>2822046.0800000033</v>
      </c>
      <c r="KY46" s="40">
        <f t="shared" ref="KY46" ca="1" si="2808">KY44+KY45+KX46</f>
        <v>2822046.0800000033</v>
      </c>
      <c r="KZ46" s="40">
        <f t="shared" ref="KZ46" ca="1" si="2809">KZ44+KZ45+KY46</f>
        <v>2822046.0800000033</v>
      </c>
      <c r="LA46" s="40">
        <f t="shared" ref="LA46" ca="1" si="2810">LA44+LA45+KZ46</f>
        <v>2822046.0800000033</v>
      </c>
      <c r="LB46" s="40">
        <f t="shared" ref="LB46" ca="1" si="2811">LB44+LB45+LA46</f>
        <v>2822046.0800000033</v>
      </c>
      <c r="LC46" s="40">
        <f t="shared" ref="LC46" ca="1" si="2812">LC44+LC45+LB46</f>
        <v>2822046.0800000033</v>
      </c>
      <c r="LD46" s="40">
        <f t="shared" ref="LD46" ca="1" si="2813">LD44+LD45+LC46</f>
        <v>2822046.0800000033</v>
      </c>
      <c r="LE46" s="40">
        <f t="shared" ref="LE46" ca="1" si="2814">LE44+LE45+LD46</f>
        <v>2822046.0800000033</v>
      </c>
      <c r="LF46" s="40">
        <f t="shared" ref="LF46" ca="1" si="2815">LF44+LF45+LE46</f>
        <v>2822046.0800000033</v>
      </c>
      <c r="LG46" s="40">
        <f t="shared" ref="LG46" ca="1" si="2816">LG44+LG45+LF46</f>
        <v>2822046.0800000033</v>
      </c>
      <c r="LH46" s="40">
        <f t="shared" ref="LH46" ca="1" si="2817">LH44+LH45+LG46</f>
        <v>2822046.0800000033</v>
      </c>
      <c r="LI46" s="40">
        <f t="shared" ref="LI46" ca="1" si="2818">LI44+LI45+LH46</f>
        <v>2822046.0800000033</v>
      </c>
      <c r="LJ46" s="40">
        <f t="shared" ref="LJ46" ca="1" si="2819">LJ44+LJ45+LI46</f>
        <v>2822046.0800000033</v>
      </c>
      <c r="LK46" s="40">
        <f t="shared" ref="LK46" ca="1" si="2820">LK44+LK45+LJ46</f>
        <v>2822046.0800000033</v>
      </c>
      <c r="LL46" s="40">
        <f t="shared" ref="LL46" ca="1" si="2821">LL44+LL45+LK46</f>
        <v>2822046.0800000033</v>
      </c>
      <c r="LM46" s="40">
        <f t="shared" ref="LM46" ca="1" si="2822">LM44+LM45+LL46</f>
        <v>2822046.0800000033</v>
      </c>
      <c r="LN46" s="40">
        <f t="shared" ref="LN46" ca="1" si="2823">LN44+LN45+LM46</f>
        <v>2822046.0800000033</v>
      </c>
      <c r="LO46" s="40">
        <f t="shared" ref="LO46" ca="1" si="2824">LO44+LO45+LN46</f>
        <v>2822046.0800000033</v>
      </c>
      <c r="LP46" s="40">
        <f t="shared" ref="LP46" ca="1" si="2825">LP44+LP45+LO46</f>
        <v>2822046.0800000033</v>
      </c>
      <c r="LQ46" s="40">
        <f t="shared" ref="LQ46" ca="1" si="2826">LQ44+LQ45+LP46</f>
        <v>2822046.0800000033</v>
      </c>
      <c r="LR46" s="40">
        <f t="shared" ref="LR46" ca="1" si="2827">LR44+LR45+LQ46</f>
        <v>2822046.0800000033</v>
      </c>
      <c r="LS46" s="40">
        <f t="shared" ref="LS46" ca="1" si="2828">LS44+LS45+LR46</f>
        <v>2822046.0800000033</v>
      </c>
      <c r="LT46" s="40">
        <f t="shared" ref="LT46" ca="1" si="2829">LT44+LT45+LS46</f>
        <v>2822046.0800000033</v>
      </c>
      <c r="LU46" s="40">
        <f t="shared" ref="LU46" ca="1" si="2830">LU44+LU45+LT46</f>
        <v>2822046.0800000033</v>
      </c>
      <c r="LV46" s="40">
        <f t="shared" ref="LV46" ca="1" si="2831">LV44+LV45+LU46</f>
        <v>2822046.0800000033</v>
      </c>
      <c r="LW46" s="40">
        <f t="shared" ref="LW46" ca="1" si="2832">LW44+LW45+LV46</f>
        <v>2822046.0800000033</v>
      </c>
      <c r="LX46" s="40">
        <f t="shared" ref="LX46" ca="1" si="2833">LX44+LX45+LW46</f>
        <v>2822046.0800000033</v>
      </c>
      <c r="LY46" s="40">
        <f t="shared" ref="LY46" ca="1" si="2834">LY44+LY45+LX46</f>
        <v>2822046.0800000033</v>
      </c>
      <c r="LZ46" s="40">
        <f t="shared" ref="LZ46" ca="1" si="2835">LZ44+LZ45+LY46</f>
        <v>2822046.0800000033</v>
      </c>
      <c r="MA46" s="40">
        <f t="shared" ref="MA46" ca="1" si="2836">MA44+MA45+LZ46</f>
        <v>2822046.0800000033</v>
      </c>
      <c r="MB46" s="40">
        <f t="shared" ref="MB46" ca="1" si="2837">MB44+MB45+MA46</f>
        <v>2822046.0800000033</v>
      </c>
      <c r="MC46" s="40">
        <f t="shared" ref="MC46" ca="1" si="2838">MC44+MC45+MB46</f>
        <v>2822046.0800000033</v>
      </c>
      <c r="MD46" s="40">
        <f t="shared" ref="MD46" ca="1" si="2839">MD44+MD45+MC46</f>
        <v>2822046.0800000033</v>
      </c>
      <c r="ME46" s="40">
        <f t="shared" ref="ME46" ca="1" si="2840">ME44+ME45+MD46</f>
        <v>2822046.0800000033</v>
      </c>
      <c r="MF46" s="40">
        <f t="shared" ref="MF46" ca="1" si="2841">MF44+MF45+ME46</f>
        <v>2822046.0800000033</v>
      </c>
      <c r="MG46" s="40">
        <f t="shared" ref="MG46" ca="1" si="2842">MG44+MG45+MF46</f>
        <v>2822046.0800000033</v>
      </c>
      <c r="MH46" s="40">
        <f t="shared" ref="MH46" ca="1" si="2843">MH44+MH45+MG46</f>
        <v>2822046.0800000033</v>
      </c>
      <c r="MI46" s="40">
        <f t="shared" ref="MI46" ca="1" si="2844">MI44+MI45+MH46</f>
        <v>2822046.0800000033</v>
      </c>
      <c r="MJ46" s="40">
        <f t="shared" ref="MJ46" ca="1" si="2845">MJ44+MJ45+MI46</f>
        <v>2822046.0800000033</v>
      </c>
      <c r="MK46" s="40">
        <f t="shared" ref="MK46" ca="1" si="2846">MK44+MK45+MJ46</f>
        <v>2822046.0800000033</v>
      </c>
      <c r="ML46" s="40">
        <f t="shared" ref="ML46" ca="1" si="2847">ML44+ML45+MK46</f>
        <v>2822046.0800000033</v>
      </c>
      <c r="MM46" s="40">
        <f t="shared" ref="MM46" ca="1" si="2848">MM44+MM45+ML46</f>
        <v>2822046.0800000033</v>
      </c>
      <c r="MN46" s="40">
        <f t="shared" ref="MN46" ca="1" si="2849">MN44+MN45+MM46</f>
        <v>2822046.0800000033</v>
      </c>
      <c r="MO46" s="40">
        <f t="shared" ref="MO46" ca="1" si="2850">MO44+MO45+MN46</f>
        <v>2822046.0800000033</v>
      </c>
      <c r="MP46" s="40">
        <f t="shared" ref="MP46" ca="1" si="2851">MP44+MP45+MO46</f>
        <v>2822046.0800000033</v>
      </c>
      <c r="MQ46" s="40">
        <f t="shared" ref="MQ46" ca="1" si="2852">MQ44+MQ45+MP46</f>
        <v>2822046.0800000033</v>
      </c>
      <c r="MR46" s="40">
        <f t="shared" ref="MR46" ca="1" si="2853">MR44+MR45+MQ46</f>
        <v>2822046.0800000033</v>
      </c>
      <c r="MS46" s="40">
        <f t="shared" ref="MS46" ca="1" si="2854">MS44+MS45+MR46</f>
        <v>2822046.0800000033</v>
      </c>
      <c r="MT46" s="40">
        <f t="shared" ref="MT46" ca="1" si="2855">MT44+MT45+MS46</f>
        <v>2822046.0800000033</v>
      </c>
      <c r="MU46" s="40">
        <f t="shared" ref="MU46" ca="1" si="2856">MU44+MU45+MT46</f>
        <v>2822046.0800000033</v>
      </c>
      <c r="MV46" s="40">
        <f t="shared" ref="MV46" ca="1" si="2857">MV44+MV45+MU46</f>
        <v>2822046.0800000033</v>
      </c>
      <c r="MW46" s="40">
        <f t="shared" ref="MW46" ca="1" si="2858">MW44+MW45+MV46</f>
        <v>2822046.0800000033</v>
      </c>
      <c r="MX46" s="40">
        <f t="shared" ref="MX46" ca="1" si="2859">MX44+MX45+MW46</f>
        <v>2822046.0800000033</v>
      </c>
      <c r="MY46" s="40">
        <f t="shared" ref="MY46" ca="1" si="2860">MY44+MY45+MX46</f>
        <v>2822046.0800000033</v>
      </c>
      <c r="MZ46" s="40">
        <f t="shared" ref="MZ46" ca="1" si="2861">MZ44+MZ45+MY46</f>
        <v>2822046.0800000033</v>
      </c>
      <c r="NA46" s="40">
        <f t="shared" ref="NA46" ca="1" si="2862">NA44+NA45+MZ46</f>
        <v>2822046.0800000033</v>
      </c>
      <c r="NB46" s="40">
        <f t="shared" ref="NB46" ca="1" si="2863">NB44+NB45+NA46</f>
        <v>2822046.0800000033</v>
      </c>
      <c r="NC46" s="40">
        <f t="shared" ref="NC46" ca="1" si="2864">NC44+NC45+NB46</f>
        <v>2822046.0800000033</v>
      </c>
      <c r="ND46" s="40">
        <f t="shared" ref="ND46" ca="1" si="2865">ND44+ND45+NC46</f>
        <v>2822046.0800000033</v>
      </c>
      <c r="NE46" s="40"/>
      <c r="NF46" s="40"/>
      <c r="NG46" s="40"/>
      <c r="NH46" s="40"/>
      <c r="NI46" s="40"/>
      <c r="NJ46" s="40"/>
      <c r="NK46" s="40"/>
      <c r="NL46" s="40"/>
      <c r="NM46" s="40"/>
      <c r="NN46" s="40"/>
      <c r="NO46" s="40"/>
      <c r="NP46" s="40"/>
      <c r="NQ46" s="40"/>
      <c r="NR46" s="40"/>
    </row>
    <row r="47" spans="2:382" x14ac:dyDescent="0.15">
      <c r="B47" s="518"/>
      <c r="C47" s="115" t="s">
        <v>166</v>
      </c>
      <c r="D47" s="116">
        <f>MAX(I47:CN47)</f>
        <v>0</v>
      </c>
      <c r="E47" s="40" t="s">
        <v>190</v>
      </c>
      <c r="F47" s="40"/>
      <c r="G47" s="114"/>
      <c r="H47" s="40"/>
      <c r="I47" s="40">
        <f>IF(AND(I$46&gt;$E$41,SUM($G$47:G$47)=0),I$20,0)</f>
        <v>0</v>
      </c>
      <c r="J47" s="40">
        <f>IF(AND(J$46&gt;$E$41,SUM($G$47:I$47)=0),J$20,0)</f>
        <v>0</v>
      </c>
      <c r="K47" s="40">
        <f>IF(AND(K$46&gt;$E$41,SUM($G$47:J$47)=0),K$20,0)</f>
        <v>0</v>
      </c>
      <c r="L47" s="40">
        <f>IF(AND(L$46&gt;$E$41,SUM($G$47:K$47)=0),L$20,0)</f>
        <v>0</v>
      </c>
      <c r="M47" s="40">
        <f>IF(AND(M$46&gt;$E$41,SUM($G$47:L$47)=0),M$20,0)</f>
        <v>0</v>
      </c>
      <c r="N47" s="40">
        <f>IF(AND(N$46&gt;$E$41,SUM($G$47:M$47)=0),N$20,0)</f>
        <v>0</v>
      </c>
      <c r="O47" s="40">
        <f>IF(AND(O$46&gt;$E$41,SUM($G$47:N$47)=0),O$20,0)</f>
        <v>0</v>
      </c>
      <c r="P47" s="40">
        <f>IF(AND(P$46&gt;$E$41,SUM($G$47:O$47)=0),P$20,0)</f>
        <v>0</v>
      </c>
      <c r="Q47" s="40">
        <f>IF(AND(Q$46&gt;$E$41,SUM($G$47:P$47)=0),Q$20,0)</f>
        <v>0</v>
      </c>
      <c r="R47" s="40">
        <f>IF(AND(R$46&gt;$E$41,SUM($G$47:Q$47)=0),R$20,0)</f>
        <v>0</v>
      </c>
      <c r="S47" s="40">
        <f>IF(AND(S$46&gt;$E$41,SUM($G$47:R$47)=0),S$20,0)</f>
        <v>0</v>
      </c>
      <c r="T47" s="40">
        <f>IF(AND(T$46&gt;$E$41,SUM($G$47:S$47)=0),T$20,0)</f>
        <v>0</v>
      </c>
      <c r="U47" s="40">
        <f>IF(AND(U$46&gt;$E$41,SUM($G$47:T$47)=0),U$20,0)</f>
        <v>0</v>
      </c>
      <c r="V47" s="40">
        <f>IF(AND(V$46&gt;$E$41,SUM($G$47:U$47)=0),V$20,0)</f>
        <v>0</v>
      </c>
      <c r="W47" s="40">
        <f>IF(AND(W$46&gt;$E$41,SUM($G$47:V$47)=0),W$20,0)</f>
        <v>0</v>
      </c>
      <c r="X47" s="40">
        <f>IF(AND(X$46&gt;$E$41,SUM($G$47:W$47)=0),X$20,0)</f>
        <v>0</v>
      </c>
      <c r="Y47" s="40">
        <f>IF(AND(Y$46&gt;$E$41,SUM($G$47:X$47)=0),Y$20,0)</f>
        <v>0</v>
      </c>
      <c r="Z47" s="40">
        <f>IF(AND(Z$46&gt;$E$41,SUM($G$47:Y$47)=0),Z$20,0)</f>
        <v>0</v>
      </c>
      <c r="AA47" s="40">
        <f>IF(AND(AA$46&gt;$E$41,SUM($G$47:Z$47)=0),AA$20,0)</f>
        <v>0</v>
      </c>
      <c r="AB47" s="40">
        <f>IF(AND(AB$46&gt;$E$41,SUM($G$47:AA$47)=0),AB$20,0)</f>
        <v>0</v>
      </c>
      <c r="AC47" s="40">
        <f>IF(AND(AC$46&gt;$E$41,SUM($G$47:AB$47)=0),AC$20,0)</f>
        <v>0</v>
      </c>
      <c r="AD47" s="40">
        <f>IF(AND(AD$46&gt;$E$41,SUM($G$47:AC$47)=0),AD$20,0)</f>
        <v>0</v>
      </c>
      <c r="AE47" s="40">
        <f>IF(AND(AE$46&gt;$E$41,SUM($G$47:AD$47)=0),AE$20,0)</f>
        <v>0</v>
      </c>
      <c r="AF47" s="40">
        <f>IF(AND(AF$46&gt;$E$41,SUM($G$47:AE$47)=0),AF$20,0)</f>
        <v>0</v>
      </c>
      <c r="AG47" s="40">
        <f>IF(AND(AG$46&gt;$E$41,SUM($G$47:AF$47)=0),AG$20,0)</f>
        <v>0</v>
      </c>
      <c r="AH47" s="40">
        <f>IF(AND(AH$46&gt;$E$41,SUM($G$47:AG$47)=0),AH$20,0)</f>
        <v>0</v>
      </c>
      <c r="AI47" s="40">
        <f>IF(AND(AI$46&gt;$E$41,SUM($G$47:AH$47)=0),AI$20,0)</f>
        <v>0</v>
      </c>
      <c r="AJ47" s="40">
        <f>IF(AND(AJ$46&gt;$E$41,SUM($G$47:AI$47)=0),AJ$20,0)</f>
        <v>0</v>
      </c>
      <c r="AK47" s="40">
        <f>IF(AND(AK$46&gt;$E$41,SUM($G$47:AJ$47)=0),AK$20,0)</f>
        <v>0</v>
      </c>
      <c r="AL47" s="40">
        <f>IF(AND(AL$46&gt;$E$41,SUM($G$47:AK$47)=0),AL$20,0)</f>
        <v>0</v>
      </c>
      <c r="AM47" s="40">
        <f>IF(AND(AM$46&gt;$E$41,SUM($G$47:AL$47)=0),AM$20,0)</f>
        <v>0</v>
      </c>
      <c r="AN47" s="40">
        <f>IF(AND(AN$46&gt;$E$41,SUM($G$47:AM$47)=0),AN$20,0)</f>
        <v>0</v>
      </c>
      <c r="AO47" s="40">
        <f>IF(AND(AO$46&gt;$E$41,SUM($G$47:AN$47)=0),AO$20,0)</f>
        <v>0</v>
      </c>
      <c r="AP47" s="40">
        <f>IF(AND(AP$46&gt;$E$41,SUM($G$47:AO$47)=0),AP$20,0)</f>
        <v>0</v>
      </c>
      <c r="AQ47" s="40">
        <f>IF(AND(AQ$46&gt;$E$41,SUM($G$47:AP$47)=0),AQ$20,0)</f>
        <v>0</v>
      </c>
      <c r="AR47" s="40">
        <f>IF(AND(AR$46&gt;$E$41,SUM($G$47:AQ$47)=0),AR$20,0)</f>
        <v>0</v>
      </c>
      <c r="AS47" s="40">
        <f>IF(AND(AS$46&gt;$E$41,SUM($G$47:AR$47)=0),AS$20,0)</f>
        <v>0</v>
      </c>
      <c r="AT47" s="40">
        <f>IF(AND(AT$46&gt;$E$41,SUM($G$47:AS$47)=0),AT$20,0)</f>
        <v>0</v>
      </c>
      <c r="AU47" s="40">
        <f>IF(AND(AU$46&gt;$E$41,SUM($G$47:AT$47)=0),AU$20,0)</f>
        <v>0</v>
      </c>
      <c r="AV47" s="40">
        <f>IF(AND(AV$46&gt;$E$41,SUM($G$47:AU$47)=0),AV$20,0)</f>
        <v>0</v>
      </c>
      <c r="AW47" s="40">
        <f>IF(AND(AW$46&gt;$E$41,SUM($G$47:AV$47)=0),AW$20,0)</f>
        <v>0</v>
      </c>
      <c r="AX47" s="40">
        <f>IF(AND(AX$46&gt;$E$41,SUM($G$47:AW$47)=0),AX$20,0)</f>
        <v>0</v>
      </c>
      <c r="AY47" s="40">
        <f>IF(AND(AY$46&gt;$E$41,SUM($G$47:AX$47)=0),AY$20,0)</f>
        <v>0</v>
      </c>
      <c r="AZ47" s="40">
        <f>IF(AND(AZ$46&gt;$E$41,SUM($G$47:AY$47)=0),AZ$20,0)</f>
        <v>0</v>
      </c>
      <c r="BA47" s="40">
        <f>IF(AND(BA$46&gt;$E$41,SUM($G$47:AZ$47)=0),BA$20,0)</f>
        <v>0</v>
      </c>
      <c r="BB47" s="40">
        <f>IF(AND(BB$46&gt;$E$41,SUM($G$47:BA$47)=0),BB$20,0)</f>
        <v>0</v>
      </c>
      <c r="BC47" s="40">
        <f>IF(AND(BC$46&gt;$E$41,SUM($G$47:BB$47)=0),BC$20,0)</f>
        <v>0</v>
      </c>
      <c r="BD47" s="40">
        <f>IF(AND(BD$46&gt;$E$41,SUM($G$47:BC$47)=0),BD$20,0)</f>
        <v>0</v>
      </c>
      <c r="BE47" s="40">
        <f>IF(AND(BE$46&gt;$E$41,SUM($G$47:BD$47)=0),BE$20,0)</f>
        <v>0</v>
      </c>
      <c r="BF47" s="40">
        <f>IF(AND(BF$46&gt;$E$41,SUM($G$47:BE$47)=0),BF$20,0)</f>
        <v>0</v>
      </c>
      <c r="BG47" s="40">
        <f>IF(AND(BG$46&gt;$E$41,SUM($G$47:BF$47)=0),BG$20,0)</f>
        <v>0</v>
      </c>
      <c r="BH47" s="40">
        <f>IF(AND(BH$46&gt;$E$41,SUM($G$47:BG$47)=0),BH$20,0)</f>
        <v>0</v>
      </c>
      <c r="BI47" s="40">
        <f>IF(AND(BI$46&gt;$E$41,SUM($G$47:BH$47)=0),BI$20,0)</f>
        <v>0</v>
      </c>
      <c r="BJ47" s="40">
        <f>IF(AND(BJ$46&gt;$E$41,SUM($G$47:BI$47)=0),BJ$20,0)</f>
        <v>0</v>
      </c>
      <c r="BK47" s="40">
        <f>IF(AND(BK$46&gt;$E$41,SUM($G$47:BJ$47)=0),BK$20,0)</f>
        <v>0</v>
      </c>
      <c r="BL47" s="40">
        <f>IF(AND(BL$46&gt;$E$41,SUM($G$47:BK$47)=0),BL$20,0)</f>
        <v>0</v>
      </c>
      <c r="BM47" s="40">
        <f>IF(AND(BM$46&gt;$E$41,SUM($G$47:BL$47)=0),BM$20,0)</f>
        <v>0</v>
      </c>
      <c r="BN47" s="40">
        <f>IF(AND(BN$46&gt;$E$41,SUM($G$47:BM$47)=0),BN$20,0)</f>
        <v>0</v>
      </c>
      <c r="BO47" s="40">
        <f>IF(AND(BO$46&gt;$E$41,SUM($G$47:BN$47)=0),BO$20,0)</f>
        <v>0</v>
      </c>
      <c r="BP47" s="40">
        <f>IF(AND(BP$46&gt;$E$41,SUM($G$47:BO$47)=0),BP$20,0)</f>
        <v>0</v>
      </c>
      <c r="BQ47" s="40">
        <f>IF(AND(BQ$46&gt;$E$41,SUM($G$47:BP$47)=0),BQ$20,0)</f>
        <v>0</v>
      </c>
      <c r="BR47" s="40">
        <f>IF(AND(BR$46&gt;$E$41,SUM($G$47:BQ$47)=0),BR$20,0)</f>
        <v>0</v>
      </c>
      <c r="BS47" s="40">
        <f>IF(AND(BS$46&gt;$E$41,SUM($G$47:BR$47)=0),BS$20,0)</f>
        <v>0</v>
      </c>
      <c r="BT47" s="40">
        <f>IF(AND(BT$46&gt;$E$41,SUM($G$47:BS$47)=0),BT$20,0)</f>
        <v>0</v>
      </c>
      <c r="BU47" s="40">
        <f>IF(AND(BU$46&gt;$E$41,SUM($G$47:BT$47)=0),BU$20,0)</f>
        <v>0</v>
      </c>
      <c r="BV47" s="40">
        <f>IF(AND(BV$46&gt;$E$41,SUM($G$47:BU$47)=0),BV$20,0)</f>
        <v>0</v>
      </c>
      <c r="BW47" s="40">
        <f>IF(AND(BW$46&gt;$E$41,SUM($G$47:BV$47)=0),BW$20,0)</f>
        <v>0</v>
      </c>
      <c r="BX47" s="40">
        <f>IF(AND(BX$46&gt;$E$41,SUM($G$47:BW$47)=0),BX$20,0)</f>
        <v>0</v>
      </c>
      <c r="BY47" s="40">
        <f>IF(AND(BY$46&gt;$E$41,SUM($G$47:BX$47)=0),BY$20,0)</f>
        <v>0</v>
      </c>
      <c r="BZ47" s="40">
        <f>IF(AND(BZ$46&gt;$E$41,SUM($G$47:BY$47)=0),BZ$20,0)</f>
        <v>0</v>
      </c>
      <c r="CA47" s="40">
        <f>IF(AND(CA$46&gt;$E$41,SUM($G$47:BZ$47)=0),CA$20,0)</f>
        <v>0</v>
      </c>
      <c r="CB47" s="40">
        <f>IF(AND(CB$46&gt;$E$41,SUM($G$47:CA$47)=0),CB$20,0)</f>
        <v>0</v>
      </c>
      <c r="CC47" s="40">
        <f>IF(AND(CC$46&gt;$E$41,SUM($G$47:CB$47)=0),CC$20,0)</f>
        <v>0</v>
      </c>
      <c r="CD47" s="40">
        <f>IF(AND(CD$46&gt;$E$41,SUM($G$47:CC$47)=0),CD$20,0)</f>
        <v>0</v>
      </c>
      <c r="CE47" s="40">
        <f>IF(AND(CE$46&gt;$E$41,SUM($G$47:CD$47)=0),CE$20,0)</f>
        <v>0</v>
      </c>
      <c r="CF47" s="40">
        <f>IF(AND(CF$46&gt;$E$41,SUM($G$47:CE$47)=0),CF$20,0)</f>
        <v>0</v>
      </c>
      <c r="CG47" s="40">
        <f>IF(AND(CG$46&gt;$E$41,SUM($G$47:CF$47)=0),CG$20,0)</f>
        <v>0</v>
      </c>
      <c r="CH47" s="40">
        <f>IF(AND(CH$46&gt;$E$41,SUM($G$47:CG$47)=0),CH$20,0)</f>
        <v>0</v>
      </c>
      <c r="CI47" s="40">
        <f>IF(AND(CI$46&gt;$E$41,SUM($G$47:CH$47)=0),CI$20,0)</f>
        <v>0</v>
      </c>
      <c r="CJ47" s="40">
        <f>IF(AND(CJ$46&gt;$E$41,SUM($G$47:CI$47)=0),CJ$20,0)</f>
        <v>0</v>
      </c>
      <c r="CK47" s="40">
        <f>IF(AND(CK$46&gt;$E$41,SUM($G$47:CJ$47)=0),CK$20,0)</f>
        <v>0</v>
      </c>
      <c r="CL47" s="40">
        <f>IF(AND(CL$46&gt;$E$41,SUM($G$47:CK$47)=0),CL$20,0)</f>
        <v>0</v>
      </c>
      <c r="CM47" s="40">
        <f>IF(AND(CM$46&gt;$E$41,SUM($G$47:CL$47)=0),CM$20,0)</f>
        <v>0</v>
      </c>
      <c r="CN47" s="40">
        <f>IF(AND(CN$46&gt;$E$41,SUM($G$47:CM$47)=0),CN$20,0)</f>
        <v>0</v>
      </c>
      <c r="CO47" s="40">
        <f>IF(AND(CO$46&gt;$E$41,SUM($G$47:CN$47)=0),CO$20,0)</f>
        <v>0</v>
      </c>
      <c r="CP47" s="40">
        <f>IF(AND(CP$46&gt;$E$41,SUM($G$47:CO$47)=0),CP$20,0)</f>
        <v>0</v>
      </c>
      <c r="CQ47" s="40">
        <f>IF(AND(CQ$46&gt;$E$41,SUM($G$47:CP$47)=0),CQ$20,0)</f>
        <v>0</v>
      </c>
      <c r="CR47" s="40">
        <f>IF(AND(CR$46&gt;$E$41,SUM($G$47:CQ$47)=0),CR$20,0)</f>
        <v>0</v>
      </c>
      <c r="CS47" s="40">
        <f>IF(AND(CS$46&gt;$E$41,SUM($G$47:CR$47)=0),CS$20,0)</f>
        <v>0</v>
      </c>
      <c r="CT47" s="40">
        <f>IF(AND(CT$46&gt;$E$41,SUM($G$47:CS$47)=0),CT$20,0)</f>
        <v>0</v>
      </c>
      <c r="CU47" s="40">
        <f>IF(AND(CU$46&gt;$E$41,SUM($G$47:CT$47)=0),CU$20,0)</f>
        <v>0</v>
      </c>
      <c r="CV47" s="40">
        <f>IF(AND(CV$46&gt;$E$41,SUM($G$47:CU$47)=0),CV$20,0)</f>
        <v>0</v>
      </c>
      <c r="CW47" s="40">
        <f>IF(AND(CW$46&gt;$E$41,SUM($G$47:CV$47)=0),CW$20,0)</f>
        <v>0</v>
      </c>
      <c r="CX47" s="40">
        <f>IF(AND(CX$46&gt;$E$41,SUM($G$47:CW$47)=0),CX$20,0)</f>
        <v>0</v>
      </c>
      <c r="CY47" s="40">
        <f>IF(AND(CY$46&gt;$E$41,SUM($G$47:CX$47)=0),CY$20,0)</f>
        <v>0</v>
      </c>
      <c r="CZ47" s="40">
        <f>IF(AND(CZ$46&gt;$E$41,SUM($G$47:CY$47)=0),CZ$20,0)</f>
        <v>0</v>
      </c>
      <c r="DA47" s="40">
        <f>IF(AND(DA$46&gt;$E$41,SUM($G$47:CZ$47)=0),DA$20,0)</f>
        <v>0</v>
      </c>
      <c r="DB47" s="40">
        <f>IF(AND(DB$46&gt;$E$41,SUM($G$47:DA$47)=0),DB$20,0)</f>
        <v>0</v>
      </c>
      <c r="DC47" s="40">
        <f>IF(AND(DC$46&gt;$E$41,SUM($G$47:DB$47)=0),DC$20,0)</f>
        <v>0</v>
      </c>
      <c r="DD47" s="40">
        <f>IF(AND(DD$46&gt;$E$41,SUM($G$47:DC$47)=0),DD$20,0)</f>
        <v>0</v>
      </c>
      <c r="DE47" s="40">
        <f>IF(AND(DE$46&gt;$E$41,SUM($G$47:DD$47)=0),DE$20,0)</f>
        <v>0</v>
      </c>
      <c r="DF47" s="40">
        <f>IF(AND(DF$46&gt;$E$41,SUM($G$47:DE$47)=0),DF$20,0)</f>
        <v>0</v>
      </c>
      <c r="DG47" s="40">
        <f>IF(AND(DG$46&gt;$E$41,SUM($G$47:DF$47)=0),DG$20,0)</f>
        <v>0</v>
      </c>
      <c r="DH47" s="40">
        <f>IF(AND(DH$46&gt;$E$41,SUM($G$47:DG$47)=0),DH$20,0)</f>
        <v>0</v>
      </c>
      <c r="DI47" s="40">
        <f>IF(AND(DI$46&gt;$E$41,SUM($G$47:DH$47)=0),DI$20,0)</f>
        <v>0</v>
      </c>
      <c r="DJ47" s="40">
        <f>IF(AND(DJ$46&gt;$E$41,SUM($G$47:DI$47)=0),DJ$20,0)</f>
        <v>0</v>
      </c>
      <c r="DK47" s="40">
        <f>IF(AND(DK$46&gt;$E$41,SUM($G$47:DJ$47)=0),DK$20,0)</f>
        <v>0</v>
      </c>
      <c r="DL47" s="40">
        <f>IF(AND(DL$46&gt;$E$41,SUM($G$47:DK$47)=0),DL$20,0)</f>
        <v>0</v>
      </c>
      <c r="DM47" s="40">
        <f>IF(AND(DM$46&gt;$E$41,SUM($G$47:DL$47)=0),DM$20,0)</f>
        <v>0</v>
      </c>
      <c r="DN47" s="40">
        <f>IF(AND(DN$46&gt;$E$41,SUM($G$47:DM$47)=0),DN$20,0)</f>
        <v>0</v>
      </c>
      <c r="DO47" s="40">
        <f>IF(AND(DO$46&gt;$E$41,SUM($G$47:DN$47)=0),DO$20,0)</f>
        <v>0</v>
      </c>
      <c r="DP47" s="40">
        <f>IF(AND(DP$46&gt;$E$41,SUM($G$47:DO$47)=0),DP$20,0)</f>
        <v>0</v>
      </c>
      <c r="DQ47" s="40">
        <f>IF(AND(DQ$46&gt;$E$41,SUM($G$47:DP$47)=0),DQ$20,0)</f>
        <v>0</v>
      </c>
      <c r="DR47" s="40">
        <f>IF(AND(DR$46&gt;$E$41,SUM($G$47:DQ$47)=0),DR$20,0)</f>
        <v>0</v>
      </c>
      <c r="DS47" s="40">
        <f>IF(AND(DS$46&gt;$E$41,SUM($G$47:DR$47)=0),DS$20,0)</f>
        <v>0</v>
      </c>
      <c r="DT47" s="40">
        <f>IF(AND(DT$46&gt;$E$41,SUM($G$47:DS$47)=0),DT$20,0)</f>
        <v>0</v>
      </c>
      <c r="DU47" s="40">
        <f>IF(AND(DU$46&gt;$E$41,SUM($G$47:DT$47)=0),DU$20,0)</f>
        <v>0</v>
      </c>
      <c r="DV47" s="40">
        <f>IF(AND(DV$46&gt;$E$41,SUM($G$47:DU$47)=0),DV$20,0)</f>
        <v>0</v>
      </c>
      <c r="DW47" s="40">
        <f>IF(AND(DW$46&gt;$E$41,SUM($G$47:DV$47)=0),DW$20,0)</f>
        <v>0</v>
      </c>
      <c r="DX47" s="40">
        <f>IF(AND(DX$46&gt;$E$41,SUM($G$47:DW$47)=0),DX$20,0)</f>
        <v>0</v>
      </c>
      <c r="DY47" s="40">
        <f>IF(AND(DY$46&gt;$E$41,SUM($G$47:DX$47)=0),DY$20,0)</f>
        <v>0</v>
      </c>
      <c r="DZ47" s="40">
        <f>IF(AND(DZ$46&gt;$E$41,SUM($G$47:DY$47)=0),DZ$20,0)</f>
        <v>0</v>
      </c>
      <c r="EA47" s="40">
        <f>IF(AND(EA$46&gt;$E$41,SUM($G$47:DZ$47)=0),EA$20,0)</f>
        <v>0</v>
      </c>
      <c r="EB47" s="40">
        <f>IF(AND(EB$46&gt;$E$41,SUM($G$47:EA$47)=0),EB$20,0)</f>
        <v>0</v>
      </c>
      <c r="EC47" s="40">
        <f>IF(AND(EC$46&gt;$E$41,SUM($G$47:EB$47)=0),EC$20,0)</f>
        <v>0</v>
      </c>
      <c r="ED47" s="40">
        <f>IF(AND(ED$46&gt;$E$41,SUM($G$47:EC$47)=0),ED$20,0)</f>
        <v>0</v>
      </c>
      <c r="EE47" s="40">
        <f>IF(AND(EE$46&gt;$E$41,SUM($G$47:ED$47)=0),EE$20,0)</f>
        <v>0</v>
      </c>
      <c r="EF47" s="40">
        <f>IF(AND(EF$46&gt;$E$41,SUM($G$47:EE$47)=0),EF$20,0)</f>
        <v>0</v>
      </c>
      <c r="EG47" s="40">
        <f>IF(AND(EG$46&gt;$E$41,SUM($G$47:EF$47)=0),EG$20,0)</f>
        <v>0</v>
      </c>
      <c r="EH47" s="40">
        <f>IF(AND(EH$46&gt;$E$41,SUM($G$47:EG$47)=0),EH$20,0)</f>
        <v>0</v>
      </c>
      <c r="EI47" s="40">
        <f>IF(AND(EI$46&gt;$E$41,SUM($G$47:EH$47)=0),EI$20,0)</f>
        <v>0</v>
      </c>
      <c r="EJ47" s="40">
        <f>IF(AND(EJ$46&gt;$E$41,SUM($G$47:EI$47)=0),EJ$20,0)</f>
        <v>0</v>
      </c>
      <c r="EK47" s="40">
        <f>IF(AND(EK$46&gt;$E$41,SUM($G$47:EJ$47)=0),EK$20,0)</f>
        <v>0</v>
      </c>
      <c r="EL47" s="40">
        <f>IF(AND(EL$46&gt;$E$41,SUM($G$47:EK$47)=0),EL$20,0)</f>
        <v>0</v>
      </c>
      <c r="EM47" s="40">
        <f>IF(AND(EM$46&gt;$E$41,SUM($G$47:EL$47)=0),EM$20,0)</f>
        <v>0</v>
      </c>
      <c r="EN47" s="40">
        <f>IF(AND(EN$46&gt;$E$41,SUM($G$47:EM$47)=0),EN$20,0)</f>
        <v>0</v>
      </c>
      <c r="EO47" s="40">
        <f>IF(AND(EO$46&gt;$E$41,SUM($G$47:EN$47)=0),EO$20,0)</f>
        <v>0</v>
      </c>
      <c r="EP47" s="40">
        <f>IF(AND(EP$46&gt;$E$41,SUM($G$47:EO$47)=0),EP$20,0)</f>
        <v>0</v>
      </c>
      <c r="EQ47" s="40">
        <f>IF(AND(EQ$46&gt;$E$41,SUM($G$47:EP$47)=0),EQ$20,0)</f>
        <v>0</v>
      </c>
      <c r="ER47" s="40">
        <f>IF(AND(ER$46&gt;$E$41,SUM($G$47:EQ$47)=0),ER$20,0)</f>
        <v>0</v>
      </c>
      <c r="ES47" s="40">
        <f>IF(AND(ES$46&gt;$E$41,SUM($G$47:ER$47)=0),ES$20,0)</f>
        <v>0</v>
      </c>
      <c r="ET47" s="40">
        <f>IF(AND(ET$46&gt;$E$41,SUM($G$47:ES$47)=0),ET$20,0)</f>
        <v>0</v>
      </c>
      <c r="EU47" s="40">
        <f>IF(AND(EU$46&gt;$E$41,SUM($G$47:ET$47)=0),EU$20,0)</f>
        <v>0</v>
      </c>
      <c r="EV47" s="40">
        <f>IF(AND(EV$46&gt;$E$41,SUM($G$47:EU$47)=0),EV$20,0)</f>
        <v>0</v>
      </c>
      <c r="EW47" s="40">
        <f>IF(AND(EW$46&gt;$E$41,SUM($G$47:EV$47)=0),EW$20,0)</f>
        <v>0</v>
      </c>
      <c r="EX47" s="40">
        <f>IF(AND(EX$46&gt;$E$41,SUM($G$47:EW$47)=0),EX$20,0)</f>
        <v>0</v>
      </c>
      <c r="EY47" s="40">
        <f>IF(AND(EY$46&gt;$E$41,SUM($G$47:EX$47)=0),EY$20,0)</f>
        <v>0</v>
      </c>
      <c r="EZ47" s="40">
        <f>IF(AND(EZ$46&gt;$E$41,SUM($G$47:EY$47)=0),EZ$20,0)</f>
        <v>0</v>
      </c>
      <c r="FA47" s="40">
        <f>IF(AND(FA$46&gt;$E$41,SUM($G$47:EZ$47)=0),FA$20,0)</f>
        <v>0</v>
      </c>
      <c r="FB47" s="40">
        <f>IF(AND(FB$46&gt;$E$41,SUM($G$47:FA$47)=0),FB$20,0)</f>
        <v>0</v>
      </c>
      <c r="FC47" s="40">
        <f>IF(AND(FC$46&gt;$E$41,SUM($G$47:FB$47)=0),FC$20,0)</f>
        <v>0</v>
      </c>
      <c r="FD47" s="40">
        <f>IF(AND(FD$46&gt;$E$41,SUM($G$47:FC$47)=0),FD$20,0)</f>
        <v>0</v>
      </c>
      <c r="FE47" s="40">
        <f>IF(AND(FE$46&gt;$E$41,SUM($G$47:FD$47)=0),FE$20,0)</f>
        <v>0</v>
      </c>
      <c r="FF47" s="40">
        <f>IF(AND(FF$46&gt;$E$41,SUM($G$47:FE$47)=0),FF$20,0)</f>
        <v>0</v>
      </c>
      <c r="FG47" s="40">
        <f>IF(AND(FG$46&gt;$E$41,SUM($G$47:FF$47)=0),FG$20,0)</f>
        <v>0</v>
      </c>
      <c r="FH47" s="40">
        <f>IF(AND(FH$46&gt;$E$41,SUM($G$47:FG$47)=0),FH$20,0)</f>
        <v>0</v>
      </c>
      <c r="FI47" s="40">
        <f>IF(AND(FI$46&gt;$E$41,SUM($G$47:FH$47)=0),FI$20,0)</f>
        <v>0</v>
      </c>
      <c r="FJ47" s="40">
        <f>IF(AND(FJ$46&gt;$E$41,SUM($G$47:FI$47)=0),FJ$20,0)</f>
        <v>0</v>
      </c>
      <c r="FK47" s="40">
        <f>IF(AND(FK$46&gt;$E$41,SUM($G$47:FJ$47)=0),FK$20,0)</f>
        <v>0</v>
      </c>
      <c r="FL47" s="40">
        <f>IF(AND(FL$46&gt;$E$41,SUM($G$47:FK$47)=0),FL$20,0)</f>
        <v>0</v>
      </c>
      <c r="FM47" s="40">
        <f>IF(AND(FM$46&gt;$E$41,SUM($G$47:FL$47)=0),FM$20,0)</f>
        <v>0</v>
      </c>
      <c r="FN47" s="40">
        <f>IF(AND(FN$46&gt;$E$41,SUM($G$47:FM$47)=0),FN$20,0)</f>
        <v>0</v>
      </c>
      <c r="FO47" s="40">
        <f>IF(AND(FO$46&gt;$E$41,SUM($G$47:FN$47)=0),FO$20,0)</f>
        <v>0</v>
      </c>
      <c r="FP47" s="40">
        <f>IF(AND(FP$46&gt;$E$41,SUM($G$47:FO$47)=0),FP$20,0)</f>
        <v>0</v>
      </c>
      <c r="FQ47" s="40">
        <f>IF(AND(FQ$46&gt;$E$41,SUM($G$47:FP$47)=0),FQ$20,0)</f>
        <v>0</v>
      </c>
      <c r="FR47" s="40">
        <f>IF(AND(FR$46&gt;$E$41,SUM($G$47:FQ$47)=0),FR$20,0)</f>
        <v>0</v>
      </c>
      <c r="FS47" s="40">
        <f>IF(AND(FS$46&gt;$E$41,SUM($G$47:FR$47)=0),FS$20,0)</f>
        <v>0</v>
      </c>
      <c r="FT47" s="40">
        <f>IF(AND(FT$46&gt;$E$41,SUM($G$47:FS$47)=0),FT$20,0)</f>
        <v>0</v>
      </c>
      <c r="FU47" s="40">
        <f>IF(AND(FU$46&gt;$E$41,SUM($G$47:FT$47)=0),FU$20,0)</f>
        <v>0</v>
      </c>
      <c r="FV47" s="40">
        <f>IF(AND(FV$46&gt;$E$41,SUM($G$47:FU$47)=0),FV$20,0)</f>
        <v>0</v>
      </c>
      <c r="FW47" s="40">
        <f>IF(AND(FW$46&gt;$E$41,SUM($G$47:FV$47)=0),FW$20,0)</f>
        <v>0</v>
      </c>
      <c r="FX47" s="40">
        <f>IF(AND(FX$46&gt;$E$41,SUM($G$47:FW$47)=0),FX$20,0)</f>
        <v>0</v>
      </c>
      <c r="FY47" s="40">
        <f>IF(AND(FY$46&gt;$E$41,SUM($G$47:FX$47)=0),FY$20,0)</f>
        <v>0</v>
      </c>
      <c r="FZ47" s="40">
        <f>IF(AND(FZ$46&gt;$E$41,SUM($G$47:FY$47)=0),FZ$20,0)</f>
        <v>0</v>
      </c>
      <c r="GA47" s="40">
        <f>IF(AND(GA$46&gt;$E$41,SUM($G$47:FZ$47)=0),GA$20,0)</f>
        <v>0</v>
      </c>
      <c r="GB47" s="40">
        <f>IF(AND(GB$46&gt;$E$41,SUM($G$47:GA$47)=0),GB$20,0)</f>
        <v>0</v>
      </c>
      <c r="GC47" s="40">
        <f>IF(AND(GC$46&gt;$E$41,SUM($G$47:GB$47)=0),GC$20,0)</f>
        <v>0</v>
      </c>
      <c r="GD47" s="40">
        <f>IF(AND(GD$46&gt;$E$41,SUM($G$47:GC$47)=0),GD$20,0)</f>
        <v>0</v>
      </c>
      <c r="GE47" s="40">
        <f>IF(AND(GE$46&gt;$E$41,SUM($G$47:GD$47)=0),GE$20,0)</f>
        <v>0</v>
      </c>
      <c r="GF47" s="40">
        <f ca="1">IF(AND(GF$46&gt;$E$41,SUM($G$47:GE$47)=0),GF$20,0)</f>
        <v>180</v>
      </c>
      <c r="GG47" s="40">
        <f ca="1">IF(AND(GG$46&gt;$E$41,SUM($G$47:GF$47)=0),GG$20,0)</f>
        <v>0</v>
      </c>
      <c r="GH47" s="40">
        <f ca="1">IF(AND(GH$46&gt;$E$41,SUM($G$47:GG$47)=0),GH$20,0)</f>
        <v>0</v>
      </c>
      <c r="GI47" s="40">
        <f ca="1">IF(AND(GI$46&gt;$E$41,SUM($G$47:GH$47)=0),GI$20,0)</f>
        <v>0</v>
      </c>
      <c r="GJ47" s="40">
        <f ca="1">IF(AND(GJ$46&gt;$E$41,SUM($G$47:GI$47)=0),GJ$20,0)</f>
        <v>0</v>
      </c>
      <c r="GK47" s="40">
        <f ca="1">IF(AND(GK$46&gt;$E$41,SUM($G$47:GJ$47)=0),GK$20,0)</f>
        <v>0</v>
      </c>
      <c r="GL47" s="40">
        <f ca="1">IF(AND(GL$46&gt;$E$41,SUM($G$47:GK$47)=0),GL$20,0)</f>
        <v>0</v>
      </c>
      <c r="GM47" s="40">
        <f ca="1">IF(AND(GM$46&gt;$E$41,SUM($G$47:GL$47)=0),GM$20,0)</f>
        <v>0</v>
      </c>
      <c r="GN47" s="40">
        <f ca="1">IF(AND(GN$46&gt;$E$41,SUM($G$47:GM$47)=0),GN$20,0)</f>
        <v>0</v>
      </c>
      <c r="GO47" s="40">
        <f ca="1">IF(AND(GO$46&gt;$E$41,SUM($G$47:GN$47)=0),GO$20,0)</f>
        <v>0</v>
      </c>
      <c r="GP47" s="40">
        <f ca="1">IF(AND(GP$46&gt;$E$41,SUM($G$47:GO$47)=0),GP$20,0)</f>
        <v>0</v>
      </c>
      <c r="GQ47" s="40">
        <f ca="1">IF(AND(GQ$46&gt;$E$41,SUM($G$47:GP$47)=0),GQ$20,0)</f>
        <v>0</v>
      </c>
      <c r="GR47" s="40">
        <f ca="1">IF(AND(GR$46&gt;$E$41,SUM($G$47:GQ$47)=0),GR$20,0)</f>
        <v>0</v>
      </c>
      <c r="GS47" s="40">
        <f ca="1">IF(AND(GS$46&gt;$E$41,SUM($G$47:GR$47)=0),GS$20,0)</f>
        <v>0</v>
      </c>
      <c r="GT47" s="40">
        <f ca="1">IF(AND(GT$46&gt;$E$41,SUM($G$47:GS$47)=0),GT$20,0)</f>
        <v>0</v>
      </c>
      <c r="GU47" s="40">
        <f ca="1">IF(AND(GU$46&gt;$E$41,SUM($G$47:GT$47)=0),GU$20,0)</f>
        <v>0</v>
      </c>
      <c r="GV47" s="40">
        <f ca="1">IF(AND(GV$46&gt;$E$41,SUM($G$47:GU$47)=0),GV$20,0)</f>
        <v>0</v>
      </c>
      <c r="GW47" s="40">
        <f ca="1">IF(AND(GW$46&gt;$E$41,SUM($G$47:GV$47)=0),GW$20,0)</f>
        <v>0</v>
      </c>
      <c r="GX47" s="40">
        <f ca="1">IF(AND(GX$46&gt;$E$41,SUM($G$47:GW$47)=0),GX$20,0)</f>
        <v>0</v>
      </c>
      <c r="GY47" s="40">
        <f ca="1">IF(AND(GY$46&gt;$E$41,SUM($G$47:GX$47)=0),GY$20,0)</f>
        <v>0</v>
      </c>
      <c r="GZ47" s="40">
        <f ca="1">IF(AND(GZ$46&gt;$E$41,SUM($G$47:GY$47)=0),GZ$20,0)</f>
        <v>0</v>
      </c>
      <c r="HA47" s="40">
        <f ca="1">IF(AND(HA$46&gt;$E$41,SUM($G$47:GZ$47)=0),HA$20,0)</f>
        <v>0</v>
      </c>
      <c r="HB47" s="40">
        <f ca="1">IF(AND(HB$46&gt;$E$41,SUM($G$47:HA$47)=0),HB$20,0)</f>
        <v>0</v>
      </c>
      <c r="HC47" s="40">
        <f ca="1">IF(AND(HC$46&gt;$E$41,SUM($G$47:HB$47)=0),HC$20,0)</f>
        <v>0</v>
      </c>
      <c r="HD47" s="40">
        <f ca="1">IF(AND(HD$46&gt;$E$41,SUM($G$47:HC$47)=0),HD$20,0)</f>
        <v>0</v>
      </c>
      <c r="HE47" s="40">
        <f ca="1">IF(AND(HE$46&gt;$E$41,SUM($G$47:HD$47)=0),HE$20,0)</f>
        <v>0</v>
      </c>
      <c r="HF47" s="40">
        <f ca="1">IF(AND(HF$46&gt;$E$41,SUM($G$47:HE$47)=0),HF$20,0)</f>
        <v>0</v>
      </c>
      <c r="HG47" s="40">
        <f ca="1">IF(AND(HG$46&gt;$E$41,SUM($G$47:HF$47)=0),HG$20,0)</f>
        <v>0</v>
      </c>
      <c r="HH47" s="40">
        <f ca="1">IF(AND(HH$46&gt;$E$41,SUM($G$47:HG$47)=0),HH$20,0)</f>
        <v>0</v>
      </c>
      <c r="HI47" s="40">
        <f ca="1">IF(AND(HI$46&gt;$E$41,SUM($G$47:HH$47)=0),HI$20,0)</f>
        <v>0</v>
      </c>
      <c r="HJ47" s="40">
        <f ca="1">IF(AND(HJ$46&gt;$E$41,SUM($G$47:HI$47)=0),HJ$20,0)</f>
        <v>0</v>
      </c>
      <c r="HK47" s="40">
        <f ca="1">IF(AND(HK$46&gt;$E$41,SUM($G$47:HJ$47)=0),HK$20,0)</f>
        <v>0</v>
      </c>
      <c r="HL47" s="40">
        <f ca="1">IF(AND(HL$46&gt;$E$41,SUM($G$47:HK$47)=0),HL$20,0)</f>
        <v>0</v>
      </c>
      <c r="HM47" s="40">
        <f ca="1">IF(AND(HM$46&gt;$E$41,SUM($G$47:HL$47)=0),HM$20,0)</f>
        <v>0</v>
      </c>
      <c r="HN47" s="40">
        <f ca="1">IF(AND(HN$46&gt;$E$41,SUM($G$47:HM$47)=0),HN$20,0)</f>
        <v>0</v>
      </c>
      <c r="HO47" s="40">
        <f ca="1">IF(AND(HO$46&gt;$E$41,SUM($G$47:HN$47)=0),HO$20,0)</f>
        <v>0</v>
      </c>
      <c r="HP47" s="40">
        <f ca="1">IF(AND(HP$46&gt;$E$41,SUM($G$47:HO$47)=0),HP$20,0)</f>
        <v>0</v>
      </c>
      <c r="HQ47" s="40">
        <f ca="1">IF(AND(HQ$46&gt;$E$41,SUM($G$47:HP$47)=0),HQ$20,0)</f>
        <v>0</v>
      </c>
      <c r="HR47" s="40">
        <f ca="1">IF(AND(HR$46&gt;$E$41,SUM($G$47:HQ$47)=0),HR$20,0)</f>
        <v>0</v>
      </c>
      <c r="HS47" s="40">
        <f ca="1">IF(AND(HS$46&gt;$E$41,SUM($G$47:HR$47)=0),HS$20,0)</f>
        <v>0</v>
      </c>
      <c r="HT47" s="40">
        <f ca="1">IF(AND(HT$46&gt;$E$41,SUM($G$47:HS$47)=0),HT$20,0)</f>
        <v>0</v>
      </c>
      <c r="HU47" s="40">
        <f ca="1">IF(AND(HU$46&gt;$E$41,SUM($G$47:HT$47)=0),HU$20,0)</f>
        <v>0</v>
      </c>
      <c r="HV47" s="40">
        <f ca="1">IF(AND(HV$46&gt;$E$41,SUM($G$47:HU$47)=0),HV$20,0)</f>
        <v>0</v>
      </c>
      <c r="HW47" s="40">
        <f ca="1">IF(AND(HW$46&gt;$E$41,SUM($G$47:HV$47)=0),HW$20,0)</f>
        <v>0</v>
      </c>
      <c r="HX47" s="40">
        <f ca="1">IF(AND(HX$46&gt;$E$41,SUM($G$47:HW$47)=0),HX$20,0)</f>
        <v>0</v>
      </c>
      <c r="HY47" s="40">
        <f ca="1">IF(AND(HY$46&gt;$E$41,SUM($G$47:HX$47)=0),HY$20,0)</f>
        <v>0</v>
      </c>
      <c r="HZ47" s="40">
        <f ca="1">IF(AND(HZ$46&gt;$E$41,SUM($G$47:HY$47)=0),HZ$20,0)</f>
        <v>0</v>
      </c>
      <c r="IA47" s="40">
        <f ca="1">IF(AND(IA$46&gt;$E$41,SUM($G$47:HZ$47)=0),IA$20,0)</f>
        <v>0</v>
      </c>
      <c r="IB47" s="40">
        <f ca="1">IF(AND(IB$46&gt;$E$41,SUM($G$47:IA$47)=0),IB$20,0)</f>
        <v>0</v>
      </c>
      <c r="IC47" s="40">
        <f ca="1">IF(AND(IC$46&gt;$E$41,SUM($G$47:IB$47)=0),IC$20,0)</f>
        <v>0</v>
      </c>
      <c r="ID47" s="40">
        <f ca="1">IF(AND(ID$46&gt;$E$41,SUM($G$47:IC$47)=0),ID$20,0)</f>
        <v>0</v>
      </c>
      <c r="IE47" s="40">
        <f ca="1">IF(AND(IE$46&gt;$E$41,SUM($G$47:ID$47)=0),IE$20,0)</f>
        <v>0</v>
      </c>
      <c r="IF47" s="40">
        <f ca="1">IF(AND(IF$46&gt;$E$41,SUM($G$47:IE$47)=0),IF$20,0)</f>
        <v>0</v>
      </c>
      <c r="IG47" s="40">
        <f ca="1">IF(AND(IG$46&gt;$E$41,SUM($G$47:IF$47)=0),IG$20,0)</f>
        <v>0</v>
      </c>
      <c r="IH47" s="40">
        <f ca="1">IF(AND(IH$46&gt;$E$41,SUM($G$47:IG$47)=0),IH$20,0)</f>
        <v>0</v>
      </c>
      <c r="II47" s="40">
        <f ca="1">IF(AND(II$46&gt;$E$41,SUM($G$47:IH$47)=0),II$20,0)</f>
        <v>0</v>
      </c>
      <c r="IJ47" s="40">
        <f ca="1">IF(AND(IJ$46&gt;$E$41,SUM($G$47:II$47)=0),IJ$20,0)</f>
        <v>0</v>
      </c>
      <c r="IK47" s="40">
        <f ca="1">IF(AND(IK$46&gt;$E$41,SUM($G$47:IJ$47)=0),IK$20,0)</f>
        <v>0</v>
      </c>
      <c r="IL47" s="40">
        <f ca="1">IF(AND(IL$46&gt;$E$41,SUM($G$47:IK$47)=0),IL$20,0)</f>
        <v>0</v>
      </c>
      <c r="IM47" s="40">
        <f ca="1">IF(AND(IM$46&gt;$E$41,SUM($G$47:IL$47)=0),IM$20,0)</f>
        <v>0</v>
      </c>
      <c r="IN47" s="40">
        <f ca="1">IF(AND(IN$46&gt;$E$41,SUM($G$47:IM$47)=0),IN$20,0)</f>
        <v>0</v>
      </c>
      <c r="IO47" s="40">
        <f ca="1">IF(AND(IO$46&gt;$E$41,SUM($G$47:IN$47)=0),IO$20,0)</f>
        <v>0</v>
      </c>
      <c r="IP47" s="40">
        <f ca="1">IF(AND(IP$46&gt;$E$41,SUM($G$47:IO$47)=0),IP$20,0)</f>
        <v>0</v>
      </c>
      <c r="IQ47" s="40">
        <f ca="1">IF(AND(IQ$46&gt;$E$41,SUM($G$47:IP$47)=0),IQ$20,0)</f>
        <v>0</v>
      </c>
      <c r="IR47" s="40">
        <f ca="1">IF(AND(IR$46&gt;$E$41,SUM($G$47:IQ$47)=0),IR$20,0)</f>
        <v>0</v>
      </c>
      <c r="IS47" s="40">
        <f ca="1">IF(AND(IS$46&gt;$E$41,SUM($G$47:IR$47)=0),IS$20,0)</f>
        <v>0</v>
      </c>
      <c r="IT47" s="40">
        <f ca="1">IF(AND(IT$46&gt;$E$41,SUM($G$47:IS$47)=0),IT$20,0)</f>
        <v>0</v>
      </c>
      <c r="IU47" s="40">
        <f ca="1">IF(AND(IU$46&gt;$E$41,SUM($G$47:IT$47)=0),IU$20,0)</f>
        <v>0</v>
      </c>
      <c r="IV47" s="40">
        <f ca="1">IF(AND(IV$46&gt;$E$41,SUM($G$47:IU$47)=0),IV$20,0)</f>
        <v>0</v>
      </c>
      <c r="IW47" s="40">
        <f ca="1">IF(AND(IW$46&gt;$E$41,SUM($G$47:IV$47)=0),IW$20,0)</f>
        <v>0</v>
      </c>
      <c r="IX47" s="40">
        <f ca="1">IF(AND(IX$46&gt;$E$41,SUM($G$47:IW$47)=0),IX$20,0)</f>
        <v>0</v>
      </c>
      <c r="IY47" s="40">
        <f ca="1">IF(AND(IY$46&gt;$E$41,SUM($G$47:IX$47)=0),IY$20,0)</f>
        <v>0</v>
      </c>
      <c r="IZ47" s="40">
        <f ca="1">IF(AND(IZ$46&gt;$E$41,SUM($G$47:IY$47)=0),IZ$20,0)</f>
        <v>0</v>
      </c>
      <c r="JA47" s="40">
        <f ca="1">IF(AND(JA$46&gt;$E$41,SUM($G$47:IZ$47)=0),JA$20,0)</f>
        <v>0</v>
      </c>
      <c r="JB47" s="40">
        <f ca="1">IF(AND(JB$46&gt;$E$41,SUM($G$47:JA$47)=0),JB$20,0)</f>
        <v>0</v>
      </c>
      <c r="JC47" s="40">
        <f ca="1">IF(AND(JC$46&gt;$E$41,SUM($G$47:JB$47)=0),JC$20,0)</f>
        <v>0</v>
      </c>
      <c r="JD47" s="40">
        <f ca="1">IF(AND(JD$46&gt;$E$41,SUM($G$47:JC$47)=0),JD$20,0)</f>
        <v>0</v>
      </c>
      <c r="JE47" s="40">
        <f ca="1">IF(AND(JE$46&gt;$E$41,SUM($G$47:JD$47)=0),JE$20,0)</f>
        <v>0</v>
      </c>
      <c r="JF47" s="40">
        <f ca="1">IF(AND(JF$46&gt;$E$41,SUM($G$47:JE$47)=0),JF$20,0)</f>
        <v>0</v>
      </c>
      <c r="JG47" s="40">
        <f ca="1">IF(AND(JG$46&gt;$E$41,SUM($G$47:JF$47)=0),JG$20,0)</f>
        <v>0</v>
      </c>
      <c r="JH47" s="40">
        <f ca="1">IF(AND(JH$46&gt;$E$41,SUM($G$47:JG$47)=0),JH$20,0)</f>
        <v>0</v>
      </c>
      <c r="JI47" s="40">
        <f ca="1">IF(AND(JI$46&gt;$E$41,SUM($G$47:JH$47)=0),JI$20,0)</f>
        <v>0</v>
      </c>
      <c r="JJ47" s="40">
        <f ca="1">IF(AND(JJ$46&gt;$E$41,SUM($G$47:JI$47)=0),JJ$20,0)</f>
        <v>0</v>
      </c>
      <c r="JK47" s="40">
        <f ca="1">IF(AND(JK$46&gt;$E$41,SUM($G$47:JJ$47)=0),JK$20,0)</f>
        <v>0</v>
      </c>
      <c r="JL47" s="40">
        <f ca="1">IF(AND(JL$46&gt;$E$41,SUM($G$47:JK$47)=0),JL$20,0)</f>
        <v>0</v>
      </c>
      <c r="JM47" s="40">
        <f ca="1">IF(AND(JM$46&gt;$E$41,SUM($G$47:JL$47)=0),JM$20,0)</f>
        <v>0</v>
      </c>
      <c r="JN47" s="40">
        <f ca="1">IF(AND(JN$46&gt;$E$41,SUM($G$47:JM$47)=0),JN$20,0)</f>
        <v>0</v>
      </c>
      <c r="JO47" s="40">
        <f ca="1">IF(AND(JO$46&gt;$E$41,SUM($G$47:JN$47)=0),JO$20,0)</f>
        <v>0</v>
      </c>
      <c r="JP47" s="40">
        <f ca="1">IF(AND(JP$46&gt;$E$41,SUM($G$47:JO$47)=0),JP$20,0)</f>
        <v>0</v>
      </c>
      <c r="JQ47" s="40">
        <f ca="1">IF(AND(JQ$46&gt;$E$41,SUM($G$47:JP$47)=0),JQ$20,0)</f>
        <v>0</v>
      </c>
      <c r="JR47" s="40">
        <f ca="1">IF(AND(JR$46&gt;$E$41,SUM($G$47:JQ$47)=0),JR$20,0)</f>
        <v>0</v>
      </c>
      <c r="JS47" s="40">
        <f ca="1">IF(AND(JS$46&gt;$E$41,SUM($G$47:JR$47)=0),JS$20,0)</f>
        <v>0</v>
      </c>
      <c r="JT47" s="40">
        <f ca="1">IF(AND(JT$46&gt;$E$41,SUM($G$47:JS$47)=0),JT$20,0)</f>
        <v>0</v>
      </c>
      <c r="JU47" s="40">
        <f ca="1">IF(AND(JU$46&gt;$E$41,SUM($G$47:JT$47)=0),JU$20,0)</f>
        <v>0</v>
      </c>
      <c r="JV47" s="40">
        <f ca="1">IF(AND(JV$46&gt;$E$41,SUM($G$47:JU$47)=0),JV$20,0)</f>
        <v>0</v>
      </c>
      <c r="JW47" s="40">
        <f ca="1">IF(AND(JW$46&gt;$E$41,SUM($G$47:JV$47)=0),JW$20,0)</f>
        <v>0</v>
      </c>
      <c r="JX47" s="40">
        <f ca="1">IF(AND(JX$46&gt;$E$41,SUM($G$47:JW$47)=0),JX$20,0)</f>
        <v>0</v>
      </c>
      <c r="JY47" s="40">
        <f ca="1">IF(AND(JY$46&gt;$E$41,SUM($G$47:JX$47)=0),JY$20,0)</f>
        <v>0</v>
      </c>
      <c r="JZ47" s="40">
        <f ca="1">IF(AND(JZ$46&gt;$E$41,SUM($G$47:JY$47)=0),JZ$20,0)</f>
        <v>0</v>
      </c>
      <c r="KA47" s="40">
        <f ca="1">IF(AND(KA$46&gt;$E$41,SUM($G$47:JZ$47)=0),KA$20,0)</f>
        <v>0</v>
      </c>
      <c r="KB47" s="40">
        <f ca="1">IF(AND(KB$46&gt;$E$41,SUM($G$47:KA$47)=0),KB$20,0)</f>
        <v>0</v>
      </c>
      <c r="KC47" s="40">
        <f ca="1">IF(AND(KC$46&gt;$E$41,SUM($G$47:KB$47)=0),KC$20,0)</f>
        <v>0</v>
      </c>
      <c r="KD47" s="40">
        <f ca="1">IF(AND(KD$46&gt;$E$41,SUM($G$47:KC$47)=0),KD$20,0)</f>
        <v>0</v>
      </c>
      <c r="KE47" s="40">
        <f ca="1">IF(AND(KE$46&gt;$E$41,SUM($G$47:KD$47)=0),KE$20,0)</f>
        <v>0</v>
      </c>
      <c r="KF47" s="40">
        <f ca="1">IF(AND(KF$46&gt;$E$41,SUM($G$47:KE$47)=0),KF$20,0)</f>
        <v>0</v>
      </c>
      <c r="KG47" s="40">
        <f ca="1">IF(AND(KG$46&gt;$E$41,SUM($G$47:KF$47)=0),KG$20,0)</f>
        <v>0</v>
      </c>
      <c r="KH47" s="40">
        <f ca="1">IF(AND(KH$46&gt;$E$41,SUM($G$47:KG$47)=0),KH$20,0)</f>
        <v>0</v>
      </c>
      <c r="KI47" s="40">
        <f ca="1">IF(AND(KI$46&gt;$E$41,SUM($G$47:KH$47)=0),KI$20,0)</f>
        <v>0</v>
      </c>
      <c r="KJ47" s="40">
        <f ca="1">IF(AND(KJ$46&gt;$E$41,SUM($G$47:KI$47)=0),KJ$20,0)</f>
        <v>0</v>
      </c>
      <c r="KK47" s="40">
        <f ca="1">IF(AND(KK$46&gt;$E$41,SUM($G$47:KJ$47)=0),KK$20,0)</f>
        <v>0</v>
      </c>
      <c r="KL47" s="40">
        <f ca="1">IF(AND(KL$46&gt;$E$41,SUM($G$47:KK$47)=0),KL$20,0)</f>
        <v>0</v>
      </c>
      <c r="KM47" s="40">
        <f ca="1">IF(AND(KM$46&gt;$E$41,SUM($G$47:KL$47)=0),KM$20,0)</f>
        <v>0</v>
      </c>
      <c r="KN47" s="40">
        <f ca="1">IF(AND(KN$46&gt;$E$41,SUM($G$47:KM$47)=0),KN$20,0)</f>
        <v>0</v>
      </c>
      <c r="KO47" s="40">
        <f ca="1">IF(AND(KO$46&gt;$E$41,SUM($G$47:KN$47)=0),KO$20,0)</f>
        <v>0</v>
      </c>
      <c r="KP47" s="40">
        <f ca="1">IF(AND(KP$46&gt;$E$41,SUM($G$47:KO$47)=0),KP$20,0)</f>
        <v>0</v>
      </c>
      <c r="KQ47" s="40">
        <f ca="1">IF(AND(KQ$46&gt;$E$41,SUM($G$47:KP$47)=0),KQ$20,0)</f>
        <v>0</v>
      </c>
      <c r="KR47" s="40">
        <f ca="1">IF(AND(KR$46&gt;$E$41,SUM($G$47:KQ$47)=0),KR$20,0)</f>
        <v>0</v>
      </c>
      <c r="KS47" s="40">
        <f ca="1">IF(AND(KS$46&gt;$E$41,SUM($G$47:KR$47)=0),KS$20,0)</f>
        <v>0</v>
      </c>
      <c r="KT47" s="40">
        <f ca="1">IF(AND(KT$46&gt;$E$41,SUM($G$47:KS$47)=0),KT$20,0)</f>
        <v>0</v>
      </c>
      <c r="KU47" s="40">
        <f ca="1">IF(AND(KU$46&gt;$E$41,SUM($G$47:KT$47)=0),KU$20,0)</f>
        <v>0</v>
      </c>
      <c r="KV47" s="40">
        <f ca="1">IF(AND(KV$46&gt;$E$41,SUM($G$47:KU$47)=0),KV$20,0)</f>
        <v>0</v>
      </c>
      <c r="KW47" s="40">
        <f ca="1">IF(AND(KW$46&gt;$E$41,SUM($G$47:KV$47)=0),KW$20,0)</f>
        <v>0</v>
      </c>
      <c r="KX47" s="40">
        <f ca="1">IF(AND(KX$46&gt;$E$41,SUM($G$47:KW$47)=0),KX$20,0)</f>
        <v>0</v>
      </c>
      <c r="KY47" s="40">
        <f ca="1">IF(AND(KY$46&gt;$E$41,SUM($G$47:KX$47)=0),KY$20,0)</f>
        <v>0</v>
      </c>
      <c r="KZ47" s="40">
        <f ca="1">IF(AND(KZ$46&gt;$E$41,SUM($G$47:KY$47)=0),KZ$20,0)</f>
        <v>0</v>
      </c>
      <c r="LA47" s="40">
        <f ca="1">IF(AND(LA$46&gt;$E$41,SUM($G$47:KZ$47)=0),LA$20,0)</f>
        <v>0</v>
      </c>
      <c r="LB47" s="40">
        <f ca="1">IF(AND(LB$46&gt;$E$41,SUM($G$47:LA$47)=0),LB$20,0)</f>
        <v>0</v>
      </c>
      <c r="LC47" s="40">
        <f ca="1">IF(AND(LC$46&gt;$E$41,SUM($G$47:LB$47)=0),LC$20,0)</f>
        <v>0</v>
      </c>
      <c r="LD47" s="40">
        <f ca="1">IF(AND(LD$46&gt;$E$41,SUM($G$47:LC$47)=0),LD$20,0)</f>
        <v>0</v>
      </c>
      <c r="LE47" s="40">
        <f ca="1">IF(AND(LE$46&gt;$E$41,SUM($G$47:LD$47)=0),LE$20,0)</f>
        <v>0</v>
      </c>
      <c r="LF47" s="40">
        <f ca="1">IF(AND(LF$46&gt;$E$41,SUM($G$47:LE$47)=0),LF$20,0)</f>
        <v>0</v>
      </c>
      <c r="LG47" s="40">
        <f ca="1">IF(AND(LG$46&gt;$E$41,SUM($G$47:LF$47)=0),LG$20,0)</f>
        <v>0</v>
      </c>
      <c r="LH47" s="40">
        <f ca="1">IF(AND(LH$46&gt;$E$41,SUM($G$47:LG$47)=0),LH$20,0)</f>
        <v>0</v>
      </c>
      <c r="LI47" s="40">
        <f ca="1">IF(AND(LI$46&gt;$E$41,SUM($G$47:LH$47)=0),LI$20,0)</f>
        <v>0</v>
      </c>
      <c r="LJ47" s="40">
        <f ca="1">IF(AND(LJ$46&gt;$E$41,SUM($G$47:LI$47)=0),LJ$20,0)</f>
        <v>0</v>
      </c>
      <c r="LK47" s="40">
        <f ca="1">IF(AND(LK$46&gt;$E$41,SUM($G$47:LJ$47)=0),LK$20,0)</f>
        <v>0</v>
      </c>
      <c r="LL47" s="40">
        <f ca="1">IF(AND(LL$46&gt;$E$41,SUM($G$47:LK$47)=0),LL$20,0)</f>
        <v>0</v>
      </c>
      <c r="LM47" s="40">
        <f ca="1">IF(AND(LM$46&gt;$E$41,SUM($G$47:LL$47)=0),LM$20,0)</f>
        <v>0</v>
      </c>
      <c r="LN47" s="40">
        <f ca="1">IF(AND(LN$46&gt;$E$41,SUM($G$47:LM$47)=0),LN$20,0)</f>
        <v>0</v>
      </c>
      <c r="LO47" s="40">
        <f ca="1">IF(AND(LO$46&gt;$E$41,SUM($G$47:LN$47)=0),LO$20,0)</f>
        <v>0</v>
      </c>
      <c r="LP47" s="40">
        <f ca="1">IF(AND(LP$46&gt;$E$41,SUM($G$47:LO$47)=0),LP$20,0)</f>
        <v>0</v>
      </c>
      <c r="LQ47" s="40">
        <f ca="1">IF(AND(LQ$46&gt;$E$41,SUM($G$47:LP$47)=0),LQ$20,0)</f>
        <v>0</v>
      </c>
      <c r="LR47" s="40">
        <f ca="1">IF(AND(LR$46&gt;$E$41,SUM($G$47:LQ$47)=0),LR$20,0)</f>
        <v>0</v>
      </c>
      <c r="LS47" s="40">
        <f ca="1">IF(AND(LS$46&gt;$E$41,SUM($G$47:LR$47)=0),LS$20,0)</f>
        <v>0</v>
      </c>
      <c r="LT47" s="40">
        <f ca="1">IF(AND(LT$46&gt;$E$41,SUM($G$47:LS$47)=0),LT$20,0)</f>
        <v>0</v>
      </c>
      <c r="LU47" s="40">
        <f ca="1">IF(AND(LU$46&gt;$E$41,SUM($G$47:LT$47)=0),LU$20,0)</f>
        <v>0</v>
      </c>
      <c r="LV47" s="40">
        <f ca="1">IF(AND(LV$46&gt;$E$41,SUM($G$47:LU$47)=0),LV$20,0)</f>
        <v>0</v>
      </c>
      <c r="LW47" s="40">
        <f ca="1">IF(AND(LW$46&gt;$E$41,SUM($G$47:LV$47)=0),LW$20,0)</f>
        <v>0</v>
      </c>
      <c r="LX47" s="40">
        <f ca="1">IF(AND(LX$46&gt;$E$41,SUM($G$47:LW$47)=0),LX$20,0)</f>
        <v>0</v>
      </c>
      <c r="LY47" s="40">
        <f ca="1">IF(AND(LY$46&gt;$E$41,SUM($G$47:LX$47)=0),LY$20,0)</f>
        <v>0</v>
      </c>
      <c r="LZ47" s="40">
        <f ca="1">IF(AND(LZ$46&gt;$E$41,SUM($G$47:LY$47)=0),LZ$20,0)</f>
        <v>0</v>
      </c>
      <c r="MA47" s="40">
        <f ca="1">IF(AND(MA$46&gt;$E$41,SUM($G$47:LZ$47)=0),MA$20,0)</f>
        <v>0</v>
      </c>
      <c r="MB47" s="40">
        <f ca="1">IF(AND(MB$46&gt;$E$41,SUM($G$47:MA$47)=0),MB$20,0)</f>
        <v>0</v>
      </c>
      <c r="MC47" s="40">
        <f ca="1">IF(AND(MC$46&gt;$E$41,SUM($G$47:MB$47)=0),MC$20,0)</f>
        <v>0</v>
      </c>
      <c r="MD47" s="40">
        <f ca="1">IF(AND(MD$46&gt;$E$41,SUM($G$47:MC$47)=0),MD$20,0)</f>
        <v>0</v>
      </c>
      <c r="ME47" s="40">
        <f ca="1">IF(AND(ME$46&gt;$E$41,SUM($G$47:MD$47)=0),ME$20,0)</f>
        <v>0</v>
      </c>
      <c r="MF47" s="40">
        <f ca="1">IF(AND(MF$46&gt;$E$41,SUM($G$47:ME$47)=0),MF$20,0)</f>
        <v>0</v>
      </c>
      <c r="MG47" s="40">
        <f ca="1">IF(AND(MG$46&gt;$E$41,SUM($G$47:MF$47)=0),MG$20,0)</f>
        <v>0</v>
      </c>
      <c r="MH47" s="40">
        <f ca="1">IF(AND(MH$46&gt;$E$41,SUM($G$47:MG$47)=0),MH$20,0)</f>
        <v>0</v>
      </c>
      <c r="MI47" s="40">
        <f ca="1">IF(AND(MI$46&gt;$E$41,SUM($G$47:MH$47)=0),MI$20,0)</f>
        <v>0</v>
      </c>
      <c r="MJ47" s="40">
        <f ca="1">IF(AND(MJ$46&gt;$E$41,SUM($G$47:MI$47)=0),MJ$20,0)</f>
        <v>0</v>
      </c>
      <c r="MK47" s="40">
        <f ca="1">IF(AND(MK$46&gt;$E$41,SUM($G$47:MJ$47)=0),MK$20,0)</f>
        <v>0</v>
      </c>
      <c r="ML47" s="40">
        <f ca="1">IF(AND(ML$46&gt;$E$41,SUM($G$47:MK$47)=0),ML$20,0)</f>
        <v>0</v>
      </c>
      <c r="MM47" s="40">
        <f ca="1">IF(AND(MM$46&gt;$E$41,SUM($G$47:ML$47)=0),MM$20,0)</f>
        <v>0</v>
      </c>
      <c r="MN47" s="40">
        <f ca="1">IF(AND(MN$46&gt;$E$41,SUM($G$47:MM$47)=0),MN$20,0)</f>
        <v>0</v>
      </c>
      <c r="MO47" s="40">
        <f ca="1">IF(AND(MO$46&gt;$E$41,SUM($G$47:MN$47)=0),MO$20,0)</f>
        <v>0</v>
      </c>
      <c r="MP47" s="40">
        <f ca="1">IF(AND(MP$46&gt;$E$41,SUM($G$47:MO$47)=0),MP$20,0)</f>
        <v>0</v>
      </c>
      <c r="MQ47" s="40">
        <f ca="1">IF(AND(MQ$46&gt;$E$41,SUM($G$47:MP$47)=0),MQ$20,0)</f>
        <v>0</v>
      </c>
      <c r="MR47" s="40">
        <f ca="1">IF(AND(MR$46&gt;$E$41,SUM($G$47:MQ$47)=0),MR$20,0)</f>
        <v>0</v>
      </c>
      <c r="MS47" s="40">
        <f ca="1">IF(AND(MS$46&gt;$E$41,SUM($G$47:MR$47)=0),MS$20,0)</f>
        <v>0</v>
      </c>
      <c r="MT47" s="40">
        <f ca="1">IF(AND(MT$46&gt;$E$41,SUM($G$47:MS$47)=0),MT$20,0)</f>
        <v>0</v>
      </c>
      <c r="MU47" s="40">
        <f ca="1">IF(AND(MU$46&gt;$E$41,SUM($G$47:MT$47)=0),MU$20,0)</f>
        <v>0</v>
      </c>
      <c r="MV47" s="40">
        <f ca="1">IF(AND(MV$46&gt;$E$41,SUM($G$47:MU$47)=0),MV$20,0)</f>
        <v>0</v>
      </c>
      <c r="MW47" s="40">
        <f ca="1">IF(AND(MW$46&gt;$E$41,SUM($G$47:MV$47)=0),MW$20,0)</f>
        <v>0</v>
      </c>
      <c r="MX47" s="40">
        <f ca="1">IF(AND(MX$46&gt;$E$41,SUM($G$47:MW$47)=0),MX$20,0)</f>
        <v>0</v>
      </c>
      <c r="MY47" s="40">
        <f ca="1">IF(AND(MY$46&gt;$E$41,SUM($G$47:MX$47)=0),MY$20,0)</f>
        <v>0</v>
      </c>
      <c r="MZ47" s="40">
        <f ca="1">IF(AND(MZ$46&gt;$E$41,SUM($G$47:MY$47)=0),MZ$20,0)</f>
        <v>0</v>
      </c>
      <c r="NA47" s="40">
        <f ca="1">IF(AND(NA$46&gt;$E$41,SUM($G$47:MZ$47)=0),NA$20,0)</f>
        <v>0</v>
      </c>
      <c r="NB47" s="40">
        <f ca="1">IF(AND(NB$46&gt;$E$41,SUM($G$47:NA$47)=0),NB$20,0)</f>
        <v>0</v>
      </c>
      <c r="NC47" s="40">
        <f ca="1">IF(AND(NC$46&gt;$E$41,SUM($G$47:NB$47)=0),NC$20,0)</f>
        <v>0</v>
      </c>
      <c r="ND47" s="40">
        <f ca="1">IF(AND(ND$46&gt;$E$41,SUM($G$47:NC$47)=0),ND$20,0)</f>
        <v>0</v>
      </c>
      <c r="NE47" s="40"/>
      <c r="NF47" s="40"/>
      <c r="NG47" s="40"/>
      <c r="NH47" s="40"/>
      <c r="NI47" s="40"/>
      <c r="NJ47" s="40"/>
      <c r="NK47" s="40"/>
      <c r="NL47" s="40"/>
      <c r="NM47" s="40"/>
      <c r="NN47" s="40"/>
      <c r="NO47" s="40"/>
      <c r="NP47" s="40"/>
      <c r="NQ47" s="40"/>
      <c r="NR47" s="40"/>
    </row>
    <row r="48" spans="2:382" x14ac:dyDescent="0.15">
      <c r="B48" s="518"/>
      <c r="D48" s="52"/>
      <c r="E48" s="40"/>
      <c r="F48" s="40"/>
      <c r="G48" s="114"/>
      <c r="H48" s="40"/>
      <c r="I48" s="40"/>
      <c r="J48" s="40"/>
      <c r="K48" s="40"/>
      <c r="L48" s="40"/>
      <c r="M48" s="40"/>
      <c r="N48" s="40"/>
      <c r="O48" s="40"/>
      <c r="P48" s="40"/>
      <c r="Q48" s="40"/>
      <c r="R48" s="40"/>
      <c r="S48" s="40"/>
      <c r="T48" s="40"/>
      <c r="U48" s="40"/>
      <c r="V48" s="40"/>
      <c r="W48" s="40"/>
      <c r="X48" s="40"/>
      <c r="Y48" s="40"/>
      <c r="Z48" s="40"/>
      <c r="AA48" s="40"/>
      <c r="AB48" s="40"/>
      <c r="AC48" s="40"/>
      <c r="AD48" s="40"/>
      <c r="AE48" s="40"/>
      <c r="AF48" s="40"/>
      <c r="AG48" s="40"/>
      <c r="AH48" s="40"/>
      <c r="AI48" s="40"/>
      <c r="AJ48" s="40"/>
      <c r="AK48" s="40"/>
      <c r="AL48" s="40"/>
      <c r="AM48" s="40"/>
      <c r="AN48" s="40"/>
      <c r="AO48" s="40"/>
      <c r="AP48" s="40"/>
      <c r="AQ48" s="40"/>
      <c r="AR48" s="40"/>
      <c r="AS48" s="40"/>
      <c r="AT48" s="40"/>
      <c r="AU48" s="40"/>
      <c r="AV48" s="40"/>
      <c r="AW48" s="40"/>
      <c r="AX48" s="40"/>
      <c r="AY48" s="40"/>
      <c r="AZ48" s="40"/>
      <c r="BA48" s="40"/>
      <c r="BB48" s="40"/>
      <c r="BC48" s="40"/>
      <c r="BD48" s="40"/>
      <c r="BE48" s="40"/>
      <c r="BF48" s="40"/>
      <c r="BG48" s="40"/>
      <c r="BH48" s="40"/>
      <c r="BI48" s="40"/>
      <c r="BJ48" s="40"/>
      <c r="BK48" s="40"/>
      <c r="BL48" s="40"/>
      <c r="BM48" s="40"/>
      <c r="BN48" s="40"/>
      <c r="BO48" s="40"/>
      <c r="BP48" s="40"/>
      <c r="BQ48" s="40"/>
      <c r="BR48" s="40"/>
      <c r="BS48" s="40"/>
      <c r="BT48" s="40"/>
      <c r="BU48" s="40"/>
      <c r="BV48" s="40"/>
      <c r="BW48" s="40"/>
      <c r="BX48" s="40"/>
      <c r="BY48" s="40"/>
      <c r="BZ48" s="40"/>
      <c r="CA48" s="40"/>
      <c r="CB48" s="40"/>
      <c r="CC48" s="40"/>
      <c r="CD48" s="40"/>
      <c r="CE48" s="40"/>
      <c r="CF48" s="40"/>
      <c r="CG48" s="40"/>
      <c r="CH48" s="40"/>
      <c r="CI48" s="40"/>
      <c r="CJ48" s="40"/>
      <c r="CK48" s="40"/>
      <c r="CL48" s="40"/>
      <c r="CM48" s="40"/>
      <c r="CN48" s="40"/>
      <c r="CO48" s="40"/>
      <c r="CP48" s="40"/>
      <c r="CQ48" s="40"/>
      <c r="CR48" s="40"/>
      <c r="CS48" s="40"/>
      <c r="CT48" s="40"/>
      <c r="CU48" s="40"/>
      <c r="CV48" s="40"/>
      <c r="CW48" s="40"/>
      <c r="CX48" s="40"/>
      <c r="CY48" s="40"/>
      <c r="CZ48" s="40"/>
      <c r="DA48" s="40"/>
      <c r="DB48" s="40"/>
      <c r="DC48" s="40"/>
      <c r="DD48" s="40"/>
      <c r="DE48" s="40"/>
      <c r="DF48" s="40"/>
      <c r="DG48" s="40"/>
      <c r="DH48" s="40"/>
      <c r="DI48" s="40"/>
      <c r="DJ48" s="40"/>
      <c r="DK48" s="40"/>
      <c r="DL48" s="40"/>
      <c r="DM48" s="40"/>
      <c r="DN48" s="40"/>
      <c r="DO48" s="40"/>
      <c r="DP48" s="40"/>
      <c r="DQ48" s="40"/>
      <c r="DR48" s="40"/>
      <c r="DS48" s="40"/>
      <c r="DT48" s="40"/>
      <c r="DU48" s="40"/>
      <c r="DV48" s="40"/>
      <c r="DW48" s="40"/>
      <c r="DX48" s="40"/>
      <c r="DY48" s="40"/>
      <c r="DZ48" s="40"/>
      <c r="EA48" s="40"/>
      <c r="EB48" s="40"/>
      <c r="EC48" s="40"/>
      <c r="ED48" s="40"/>
      <c r="EE48" s="40"/>
      <c r="EF48" s="40"/>
      <c r="EG48" s="40"/>
      <c r="EH48" s="40"/>
      <c r="EI48" s="40"/>
      <c r="EJ48" s="40"/>
      <c r="EK48" s="40"/>
      <c r="EL48" s="40"/>
      <c r="EM48" s="40"/>
      <c r="EN48" s="40"/>
      <c r="EO48" s="40"/>
      <c r="EP48" s="40"/>
      <c r="EQ48" s="40"/>
      <c r="ER48" s="40"/>
      <c r="ES48" s="40"/>
      <c r="ET48" s="40"/>
      <c r="EU48" s="40"/>
      <c r="EV48" s="40"/>
      <c r="EW48" s="40"/>
      <c r="EX48" s="40"/>
      <c r="EY48" s="40"/>
      <c r="EZ48" s="40"/>
      <c r="FA48" s="40"/>
      <c r="FB48" s="40"/>
      <c r="FC48" s="40"/>
      <c r="FD48" s="40"/>
      <c r="FE48" s="40"/>
      <c r="FF48" s="40"/>
      <c r="FG48" s="40"/>
      <c r="FH48" s="40"/>
      <c r="FI48" s="40"/>
      <c r="FJ48" s="40"/>
      <c r="FK48" s="40"/>
      <c r="FL48" s="40"/>
      <c r="FM48" s="40"/>
      <c r="FN48" s="40"/>
      <c r="FO48" s="40"/>
      <c r="FP48" s="40"/>
      <c r="FQ48" s="40"/>
      <c r="FR48" s="40"/>
      <c r="FS48" s="40"/>
      <c r="FT48" s="40"/>
      <c r="FU48" s="40"/>
      <c r="FV48" s="40"/>
      <c r="FW48" s="40"/>
      <c r="FX48" s="40"/>
      <c r="FY48" s="40"/>
      <c r="FZ48" s="40"/>
      <c r="GA48" s="40"/>
      <c r="GB48" s="40"/>
      <c r="GC48" s="40"/>
      <c r="GD48" s="40"/>
      <c r="GE48" s="40"/>
      <c r="GF48" s="40"/>
      <c r="GG48" s="40"/>
      <c r="GH48" s="40"/>
      <c r="GI48" s="40"/>
      <c r="GJ48" s="40"/>
      <c r="GK48" s="40"/>
      <c r="GL48" s="40"/>
      <c r="GM48" s="40"/>
      <c r="GN48" s="40"/>
      <c r="GO48" s="40"/>
      <c r="GP48" s="40"/>
      <c r="GQ48" s="40"/>
      <c r="GR48" s="40"/>
      <c r="GS48" s="40"/>
      <c r="GT48" s="40"/>
      <c r="GU48" s="40"/>
      <c r="GV48" s="40"/>
      <c r="GW48" s="40"/>
      <c r="GX48" s="40"/>
      <c r="GY48" s="40"/>
      <c r="GZ48" s="40"/>
      <c r="HA48" s="40"/>
      <c r="HB48" s="40"/>
      <c r="HC48" s="40"/>
      <c r="HD48" s="40"/>
      <c r="HE48" s="40"/>
      <c r="HF48" s="40"/>
      <c r="HG48" s="40"/>
      <c r="HH48" s="40"/>
      <c r="HI48" s="40"/>
      <c r="HJ48" s="40"/>
      <c r="HK48" s="40"/>
      <c r="HL48" s="40"/>
      <c r="HM48" s="40"/>
      <c r="HN48" s="40"/>
      <c r="HO48" s="40"/>
      <c r="HP48" s="40"/>
      <c r="HQ48" s="40"/>
      <c r="HR48" s="40"/>
      <c r="HS48" s="40"/>
      <c r="HT48" s="40"/>
      <c r="HU48" s="40"/>
      <c r="HV48" s="40"/>
      <c r="HW48" s="40"/>
      <c r="HX48" s="40"/>
      <c r="HY48" s="40"/>
      <c r="HZ48" s="40"/>
      <c r="IA48" s="40"/>
      <c r="IB48" s="40"/>
      <c r="IC48" s="40"/>
      <c r="ID48" s="40"/>
      <c r="IE48" s="40"/>
      <c r="IF48" s="40"/>
      <c r="IG48" s="40"/>
      <c r="IH48" s="40"/>
      <c r="II48" s="40"/>
      <c r="IJ48" s="40"/>
      <c r="IK48" s="40"/>
      <c r="IL48" s="40"/>
      <c r="IM48" s="40"/>
      <c r="IN48" s="40"/>
      <c r="IO48" s="40"/>
      <c r="IP48" s="40"/>
      <c r="IQ48" s="40"/>
      <c r="IR48" s="40"/>
      <c r="IS48" s="40"/>
      <c r="IT48" s="40"/>
      <c r="IU48" s="40"/>
      <c r="IV48" s="40"/>
      <c r="IW48" s="40"/>
      <c r="IX48" s="40"/>
      <c r="IY48" s="40"/>
      <c r="IZ48" s="40"/>
      <c r="JA48" s="40"/>
      <c r="JB48" s="40"/>
      <c r="JC48" s="40"/>
      <c r="JD48" s="40"/>
      <c r="JE48" s="40"/>
      <c r="JF48" s="40"/>
      <c r="JG48" s="40"/>
      <c r="JH48" s="40"/>
      <c r="JI48" s="40"/>
      <c r="JJ48" s="40"/>
      <c r="JK48" s="40"/>
      <c r="JL48" s="40"/>
      <c r="JM48" s="40"/>
      <c r="JN48" s="40"/>
      <c r="JO48" s="40"/>
      <c r="JP48" s="40"/>
      <c r="JQ48" s="40"/>
      <c r="JR48" s="40"/>
      <c r="JS48" s="40"/>
      <c r="JT48" s="40"/>
      <c r="JU48" s="40"/>
      <c r="JV48" s="40"/>
      <c r="JW48" s="40"/>
      <c r="JX48" s="40"/>
      <c r="JY48" s="40"/>
      <c r="JZ48" s="40"/>
      <c r="KA48" s="40"/>
      <c r="KB48" s="40"/>
      <c r="KC48" s="40"/>
      <c r="KD48" s="40"/>
      <c r="KE48" s="40"/>
      <c r="KF48" s="40"/>
      <c r="KG48" s="40"/>
      <c r="KH48" s="40"/>
      <c r="KI48" s="40"/>
      <c r="KJ48" s="40"/>
      <c r="KK48" s="40"/>
      <c r="KL48" s="40"/>
      <c r="KM48" s="40"/>
      <c r="KN48" s="40"/>
      <c r="KO48" s="40"/>
      <c r="KP48" s="40"/>
      <c r="KQ48" s="40"/>
      <c r="KR48" s="40"/>
      <c r="KS48" s="40"/>
      <c r="KT48" s="40"/>
      <c r="KU48" s="40"/>
      <c r="KV48" s="40"/>
      <c r="KW48" s="40"/>
      <c r="KX48" s="40"/>
      <c r="KY48" s="40"/>
      <c r="KZ48" s="40"/>
      <c r="LA48" s="40"/>
      <c r="LB48" s="40"/>
      <c r="LC48" s="40"/>
      <c r="LD48" s="40"/>
      <c r="LE48" s="40"/>
      <c r="LF48" s="40"/>
      <c r="LG48" s="40"/>
      <c r="LH48" s="40"/>
      <c r="LI48" s="40"/>
      <c r="LJ48" s="40"/>
      <c r="LK48" s="40"/>
      <c r="LL48" s="40"/>
      <c r="LM48" s="40"/>
      <c r="LN48" s="40"/>
      <c r="LO48" s="40"/>
      <c r="LP48" s="40"/>
      <c r="LQ48" s="40"/>
      <c r="LR48" s="40"/>
      <c r="LS48" s="40"/>
      <c r="LT48" s="40"/>
      <c r="LU48" s="40"/>
      <c r="LV48" s="40"/>
      <c r="LW48" s="40"/>
      <c r="LX48" s="40"/>
      <c r="LY48" s="40"/>
      <c r="LZ48" s="40"/>
      <c r="MA48" s="40"/>
      <c r="MB48" s="40"/>
      <c r="MC48" s="40"/>
      <c r="MD48" s="40"/>
      <c r="ME48" s="40"/>
      <c r="MF48" s="40"/>
      <c r="MG48" s="40"/>
      <c r="MH48" s="40"/>
      <c r="MI48" s="40"/>
      <c r="MJ48" s="40"/>
      <c r="MK48" s="40"/>
      <c r="ML48" s="40"/>
      <c r="MM48" s="40"/>
      <c r="MN48" s="40"/>
      <c r="MO48" s="40"/>
      <c r="MP48" s="40"/>
      <c r="MQ48" s="40"/>
      <c r="MR48" s="40"/>
      <c r="MS48" s="40"/>
      <c r="MT48" s="40"/>
      <c r="MU48" s="40"/>
      <c r="MV48" s="40"/>
      <c r="MW48" s="40"/>
      <c r="MX48" s="40"/>
      <c r="MY48" s="40"/>
      <c r="MZ48" s="40"/>
      <c r="NA48" s="40"/>
      <c r="NB48" s="40"/>
      <c r="NC48" s="40"/>
      <c r="ND48" s="40"/>
      <c r="NE48" s="40"/>
      <c r="NF48" s="40"/>
      <c r="NG48" s="40"/>
      <c r="NH48" s="40"/>
      <c r="NI48" s="40"/>
      <c r="NJ48" s="40"/>
      <c r="NK48" s="40"/>
      <c r="NL48" s="40"/>
      <c r="NM48" s="40"/>
      <c r="NN48" s="40"/>
      <c r="NO48" s="40"/>
      <c r="NP48" s="40"/>
      <c r="NQ48" s="40"/>
      <c r="NR48" s="40"/>
    </row>
    <row r="49" spans="2:382" x14ac:dyDescent="0.15">
      <c r="B49" s="518"/>
      <c r="C49" s="115" t="str">
        <f>_xlfn.CONCAT($C$6, " Equity")</f>
        <v>- Equity</v>
      </c>
      <c r="D49" s="52">
        <f>D6</f>
        <v>0</v>
      </c>
      <c r="E49" s="40">
        <f>$D$49*Total_Investment</f>
        <v>0</v>
      </c>
      <c r="F49" s="40"/>
      <c r="G49" s="114"/>
      <c r="H49" s="40"/>
      <c r="I49" s="40">
        <f t="shared" ref="I49" si="2866">$E$49</f>
        <v>0</v>
      </c>
      <c r="J49" s="40">
        <f>I49-I53</f>
        <v>0</v>
      </c>
      <c r="K49" s="40">
        <f t="shared" ref="K49:BV49" si="2867">J49-J53</f>
        <v>0</v>
      </c>
      <c r="L49" s="40">
        <f t="shared" si="2867"/>
        <v>0</v>
      </c>
      <c r="M49" s="40">
        <f t="shared" si="2867"/>
        <v>0</v>
      </c>
      <c r="N49" s="40">
        <f t="shared" si="2867"/>
        <v>0</v>
      </c>
      <c r="O49" s="40">
        <f t="shared" si="2867"/>
        <v>0</v>
      </c>
      <c r="P49" s="40">
        <f t="shared" si="2867"/>
        <v>0</v>
      </c>
      <c r="Q49" s="40">
        <f t="shared" si="2867"/>
        <v>0</v>
      </c>
      <c r="R49" s="40">
        <f t="shared" si="2867"/>
        <v>0</v>
      </c>
      <c r="S49" s="40">
        <f t="shared" si="2867"/>
        <v>0</v>
      </c>
      <c r="T49" s="40">
        <f t="shared" si="2867"/>
        <v>0</v>
      </c>
      <c r="U49" s="40">
        <f t="shared" si="2867"/>
        <v>0</v>
      </c>
      <c r="V49" s="40">
        <f t="shared" si="2867"/>
        <v>0</v>
      </c>
      <c r="W49" s="40">
        <f t="shared" si="2867"/>
        <v>0</v>
      </c>
      <c r="X49" s="40">
        <f t="shared" si="2867"/>
        <v>0</v>
      </c>
      <c r="Y49" s="40">
        <f t="shared" si="2867"/>
        <v>0</v>
      </c>
      <c r="Z49" s="40">
        <f t="shared" si="2867"/>
        <v>0</v>
      </c>
      <c r="AA49" s="40">
        <f t="shared" si="2867"/>
        <v>0</v>
      </c>
      <c r="AB49" s="40">
        <f t="shared" si="2867"/>
        <v>0</v>
      </c>
      <c r="AC49" s="40">
        <f t="shared" si="2867"/>
        <v>0</v>
      </c>
      <c r="AD49" s="40">
        <f t="shared" si="2867"/>
        <v>0</v>
      </c>
      <c r="AE49" s="40">
        <f t="shared" si="2867"/>
        <v>0</v>
      </c>
      <c r="AF49" s="40">
        <f t="shared" si="2867"/>
        <v>0</v>
      </c>
      <c r="AG49" s="40">
        <f t="shared" si="2867"/>
        <v>0</v>
      </c>
      <c r="AH49" s="40">
        <f t="shared" si="2867"/>
        <v>0</v>
      </c>
      <c r="AI49" s="40">
        <f t="shared" si="2867"/>
        <v>0</v>
      </c>
      <c r="AJ49" s="40">
        <f t="shared" si="2867"/>
        <v>0</v>
      </c>
      <c r="AK49" s="40">
        <f t="shared" si="2867"/>
        <v>0</v>
      </c>
      <c r="AL49" s="40">
        <f t="shared" si="2867"/>
        <v>0</v>
      </c>
      <c r="AM49" s="40">
        <f t="shared" si="2867"/>
        <v>0</v>
      </c>
      <c r="AN49" s="40">
        <f t="shared" si="2867"/>
        <v>0</v>
      </c>
      <c r="AO49" s="40">
        <f t="shared" si="2867"/>
        <v>0</v>
      </c>
      <c r="AP49" s="40">
        <f t="shared" si="2867"/>
        <v>0</v>
      </c>
      <c r="AQ49" s="40">
        <f t="shared" si="2867"/>
        <v>0</v>
      </c>
      <c r="AR49" s="40">
        <f t="shared" si="2867"/>
        <v>0</v>
      </c>
      <c r="AS49" s="40">
        <f t="shared" si="2867"/>
        <v>0</v>
      </c>
      <c r="AT49" s="40">
        <f t="shared" si="2867"/>
        <v>0</v>
      </c>
      <c r="AU49" s="40">
        <f t="shared" si="2867"/>
        <v>0</v>
      </c>
      <c r="AV49" s="40">
        <f t="shared" si="2867"/>
        <v>0</v>
      </c>
      <c r="AW49" s="40">
        <f t="shared" si="2867"/>
        <v>0</v>
      </c>
      <c r="AX49" s="40">
        <f t="shared" si="2867"/>
        <v>0</v>
      </c>
      <c r="AY49" s="40">
        <f t="shared" si="2867"/>
        <v>0</v>
      </c>
      <c r="AZ49" s="40">
        <f t="shared" si="2867"/>
        <v>0</v>
      </c>
      <c r="BA49" s="40">
        <f t="shared" si="2867"/>
        <v>0</v>
      </c>
      <c r="BB49" s="40">
        <f t="shared" si="2867"/>
        <v>0</v>
      </c>
      <c r="BC49" s="40">
        <f t="shared" si="2867"/>
        <v>0</v>
      </c>
      <c r="BD49" s="40">
        <f t="shared" si="2867"/>
        <v>0</v>
      </c>
      <c r="BE49" s="40">
        <f t="shared" si="2867"/>
        <v>0</v>
      </c>
      <c r="BF49" s="40">
        <f t="shared" si="2867"/>
        <v>0</v>
      </c>
      <c r="BG49" s="40">
        <f t="shared" si="2867"/>
        <v>0</v>
      </c>
      <c r="BH49" s="40">
        <f t="shared" si="2867"/>
        <v>0</v>
      </c>
      <c r="BI49" s="40">
        <f t="shared" si="2867"/>
        <v>0</v>
      </c>
      <c r="BJ49" s="40">
        <f t="shared" si="2867"/>
        <v>0</v>
      </c>
      <c r="BK49" s="40">
        <f t="shared" si="2867"/>
        <v>0</v>
      </c>
      <c r="BL49" s="40">
        <f t="shared" si="2867"/>
        <v>0</v>
      </c>
      <c r="BM49" s="40">
        <f t="shared" si="2867"/>
        <v>0</v>
      </c>
      <c r="BN49" s="40">
        <f t="shared" si="2867"/>
        <v>0</v>
      </c>
      <c r="BO49" s="40">
        <f t="shared" si="2867"/>
        <v>0</v>
      </c>
      <c r="BP49" s="40">
        <f t="shared" si="2867"/>
        <v>0</v>
      </c>
      <c r="BQ49" s="40">
        <f t="shared" si="2867"/>
        <v>0</v>
      </c>
      <c r="BR49" s="40">
        <f t="shared" si="2867"/>
        <v>0</v>
      </c>
      <c r="BS49" s="40">
        <f t="shared" si="2867"/>
        <v>0</v>
      </c>
      <c r="BT49" s="40">
        <f t="shared" si="2867"/>
        <v>0</v>
      </c>
      <c r="BU49" s="40">
        <f t="shared" si="2867"/>
        <v>0</v>
      </c>
      <c r="BV49" s="40">
        <f t="shared" si="2867"/>
        <v>0</v>
      </c>
      <c r="BW49" s="40">
        <f t="shared" ref="BW49:EH49" si="2868">BV49-BV53</f>
        <v>0</v>
      </c>
      <c r="BX49" s="40">
        <f t="shared" si="2868"/>
        <v>0</v>
      </c>
      <c r="BY49" s="40">
        <f t="shared" si="2868"/>
        <v>0</v>
      </c>
      <c r="BZ49" s="40">
        <f t="shared" si="2868"/>
        <v>0</v>
      </c>
      <c r="CA49" s="40">
        <f t="shared" si="2868"/>
        <v>0</v>
      </c>
      <c r="CB49" s="40">
        <f t="shared" si="2868"/>
        <v>0</v>
      </c>
      <c r="CC49" s="40">
        <f t="shared" si="2868"/>
        <v>0</v>
      </c>
      <c r="CD49" s="40">
        <f t="shared" si="2868"/>
        <v>0</v>
      </c>
      <c r="CE49" s="40">
        <f t="shared" si="2868"/>
        <v>0</v>
      </c>
      <c r="CF49" s="40">
        <f t="shared" si="2868"/>
        <v>0</v>
      </c>
      <c r="CG49" s="40">
        <f t="shared" si="2868"/>
        <v>0</v>
      </c>
      <c r="CH49" s="40">
        <f t="shared" si="2868"/>
        <v>0</v>
      </c>
      <c r="CI49" s="40">
        <f t="shared" si="2868"/>
        <v>0</v>
      </c>
      <c r="CJ49" s="40">
        <f t="shared" si="2868"/>
        <v>0</v>
      </c>
      <c r="CK49" s="40">
        <f t="shared" si="2868"/>
        <v>0</v>
      </c>
      <c r="CL49" s="40">
        <f t="shared" si="2868"/>
        <v>0</v>
      </c>
      <c r="CM49" s="40">
        <f t="shared" si="2868"/>
        <v>0</v>
      </c>
      <c r="CN49" s="40">
        <f t="shared" si="2868"/>
        <v>0</v>
      </c>
      <c r="CO49" s="40">
        <f t="shared" si="2868"/>
        <v>0</v>
      </c>
      <c r="CP49" s="40">
        <f t="shared" si="2868"/>
        <v>0</v>
      </c>
      <c r="CQ49" s="40">
        <f t="shared" si="2868"/>
        <v>0</v>
      </c>
      <c r="CR49" s="40">
        <f t="shared" si="2868"/>
        <v>0</v>
      </c>
      <c r="CS49" s="40">
        <f t="shared" si="2868"/>
        <v>0</v>
      </c>
      <c r="CT49" s="40">
        <f t="shared" si="2868"/>
        <v>0</v>
      </c>
      <c r="CU49" s="40">
        <f t="shared" si="2868"/>
        <v>0</v>
      </c>
      <c r="CV49" s="40">
        <f t="shared" si="2868"/>
        <v>0</v>
      </c>
      <c r="CW49" s="40">
        <f t="shared" si="2868"/>
        <v>0</v>
      </c>
      <c r="CX49" s="40">
        <f t="shared" si="2868"/>
        <v>0</v>
      </c>
      <c r="CY49" s="40">
        <f t="shared" si="2868"/>
        <v>0</v>
      </c>
      <c r="CZ49" s="40">
        <f t="shared" si="2868"/>
        <v>0</v>
      </c>
      <c r="DA49" s="40">
        <f t="shared" si="2868"/>
        <v>0</v>
      </c>
      <c r="DB49" s="40">
        <f t="shared" si="2868"/>
        <v>0</v>
      </c>
      <c r="DC49" s="40">
        <f t="shared" si="2868"/>
        <v>0</v>
      </c>
      <c r="DD49" s="40">
        <f t="shared" si="2868"/>
        <v>0</v>
      </c>
      <c r="DE49" s="40">
        <f t="shared" si="2868"/>
        <v>0</v>
      </c>
      <c r="DF49" s="40">
        <f t="shared" si="2868"/>
        <v>0</v>
      </c>
      <c r="DG49" s="40">
        <f t="shared" si="2868"/>
        <v>0</v>
      </c>
      <c r="DH49" s="40">
        <f t="shared" si="2868"/>
        <v>0</v>
      </c>
      <c r="DI49" s="40">
        <f t="shared" si="2868"/>
        <v>0</v>
      </c>
      <c r="DJ49" s="40">
        <f t="shared" si="2868"/>
        <v>0</v>
      </c>
      <c r="DK49" s="40">
        <f t="shared" si="2868"/>
        <v>0</v>
      </c>
      <c r="DL49" s="40">
        <f t="shared" si="2868"/>
        <v>0</v>
      </c>
      <c r="DM49" s="40">
        <f t="shared" si="2868"/>
        <v>0</v>
      </c>
      <c r="DN49" s="40">
        <f t="shared" si="2868"/>
        <v>0</v>
      </c>
      <c r="DO49" s="40">
        <f t="shared" si="2868"/>
        <v>0</v>
      </c>
      <c r="DP49" s="40">
        <f t="shared" si="2868"/>
        <v>0</v>
      </c>
      <c r="DQ49" s="40">
        <f t="shared" si="2868"/>
        <v>0</v>
      </c>
      <c r="DR49" s="40">
        <f t="shared" si="2868"/>
        <v>0</v>
      </c>
      <c r="DS49" s="40">
        <f t="shared" si="2868"/>
        <v>0</v>
      </c>
      <c r="DT49" s="40">
        <f t="shared" si="2868"/>
        <v>0</v>
      </c>
      <c r="DU49" s="40">
        <f t="shared" si="2868"/>
        <v>0</v>
      </c>
      <c r="DV49" s="40">
        <f t="shared" si="2868"/>
        <v>0</v>
      </c>
      <c r="DW49" s="40">
        <f t="shared" si="2868"/>
        <v>0</v>
      </c>
      <c r="DX49" s="40">
        <f t="shared" si="2868"/>
        <v>0</v>
      </c>
      <c r="DY49" s="40">
        <f t="shared" si="2868"/>
        <v>0</v>
      </c>
      <c r="DZ49" s="40">
        <f t="shared" si="2868"/>
        <v>0</v>
      </c>
      <c r="EA49" s="40">
        <f t="shared" si="2868"/>
        <v>0</v>
      </c>
      <c r="EB49" s="40">
        <f t="shared" si="2868"/>
        <v>0</v>
      </c>
      <c r="EC49" s="40">
        <f t="shared" si="2868"/>
        <v>0</v>
      </c>
      <c r="ED49" s="40">
        <f t="shared" si="2868"/>
        <v>0</v>
      </c>
      <c r="EE49" s="40">
        <f t="shared" si="2868"/>
        <v>0</v>
      </c>
      <c r="EF49" s="40">
        <f t="shared" si="2868"/>
        <v>0</v>
      </c>
      <c r="EG49" s="40">
        <f t="shared" si="2868"/>
        <v>0</v>
      </c>
      <c r="EH49" s="40">
        <f t="shared" si="2868"/>
        <v>0</v>
      </c>
      <c r="EI49" s="40">
        <f t="shared" ref="EI49:GT49" si="2869">EH49-EH53</f>
        <v>0</v>
      </c>
      <c r="EJ49" s="40">
        <f t="shared" si="2869"/>
        <v>0</v>
      </c>
      <c r="EK49" s="40">
        <f t="shared" si="2869"/>
        <v>0</v>
      </c>
      <c r="EL49" s="40">
        <f t="shared" si="2869"/>
        <v>0</v>
      </c>
      <c r="EM49" s="40">
        <f t="shared" si="2869"/>
        <v>0</v>
      </c>
      <c r="EN49" s="40">
        <f t="shared" si="2869"/>
        <v>0</v>
      </c>
      <c r="EO49" s="40">
        <f t="shared" si="2869"/>
        <v>0</v>
      </c>
      <c r="EP49" s="40">
        <f t="shared" si="2869"/>
        <v>0</v>
      </c>
      <c r="EQ49" s="40">
        <f t="shared" si="2869"/>
        <v>0</v>
      </c>
      <c r="ER49" s="40">
        <f t="shared" si="2869"/>
        <v>0</v>
      </c>
      <c r="ES49" s="40">
        <f t="shared" si="2869"/>
        <v>0</v>
      </c>
      <c r="ET49" s="40">
        <f t="shared" si="2869"/>
        <v>0</v>
      </c>
      <c r="EU49" s="40">
        <f t="shared" si="2869"/>
        <v>0</v>
      </c>
      <c r="EV49" s="40">
        <f t="shared" si="2869"/>
        <v>0</v>
      </c>
      <c r="EW49" s="40">
        <f t="shared" si="2869"/>
        <v>0</v>
      </c>
      <c r="EX49" s="40">
        <f t="shared" si="2869"/>
        <v>0</v>
      </c>
      <c r="EY49" s="40">
        <f t="shared" si="2869"/>
        <v>0</v>
      </c>
      <c r="EZ49" s="40">
        <f t="shared" si="2869"/>
        <v>0</v>
      </c>
      <c r="FA49" s="40">
        <f t="shared" si="2869"/>
        <v>0</v>
      </c>
      <c r="FB49" s="40">
        <f t="shared" si="2869"/>
        <v>0</v>
      </c>
      <c r="FC49" s="40">
        <f t="shared" si="2869"/>
        <v>0</v>
      </c>
      <c r="FD49" s="40">
        <f t="shared" si="2869"/>
        <v>0</v>
      </c>
      <c r="FE49" s="40">
        <f t="shared" si="2869"/>
        <v>0</v>
      </c>
      <c r="FF49" s="40">
        <f t="shared" si="2869"/>
        <v>0</v>
      </c>
      <c r="FG49" s="40">
        <f t="shared" si="2869"/>
        <v>0</v>
      </c>
      <c r="FH49" s="40">
        <f t="shared" si="2869"/>
        <v>0</v>
      </c>
      <c r="FI49" s="40">
        <f t="shared" si="2869"/>
        <v>0</v>
      </c>
      <c r="FJ49" s="40">
        <f t="shared" si="2869"/>
        <v>0</v>
      </c>
      <c r="FK49" s="40">
        <f t="shared" si="2869"/>
        <v>0</v>
      </c>
      <c r="FL49" s="40">
        <f t="shared" si="2869"/>
        <v>0</v>
      </c>
      <c r="FM49" s="40">
        <f t="shared" si="2869"/>
        <v>0</v>
      </c>
      <c r="FN49" s="40">
        <f t="shared" si="2869"/>
        <v>0</v>
      </c>
      <c r="FO49" s="40">
        <f t="shared" si="2869"/>
        <v>0</v>
      </c>
      <c r="FP49" s="40">
        <f t="shared" si="2869"/>
        <v>0</v>
      </c>
      <c r="FQ49" s="40">
        <f t="shared" si="2869"/>
        <v>0</v>
      </c>
      <c r="FR49" s="40">
        <f t="shared" si="2869"/>
        <v>0</v>
      </c>
      <c r="FS49" s="40">
        <f t="shared" si="2869"/>
        <v>0</v>
      </c>
      <c r="FT49" s="40">
        <f t="shared" si="2869"/>
        <v>0</v>
      </c>
      <c r="FU49" s="40">
        <f t="shared" si="2869"/>
        <v>0</v>
      </c>
      <c r="FV49" s="40">
        <f t="shared" si="2869"/>
        <v>0</v>
      </c>
      <c r="FW49" s="40">
        <f t="shared" si="2869"/>
        <v>0</v>
      </c>
      <c r="FX49" s="40">
        <f t="shared" si="2869"/>
        <v>0</v>
      </c>
      <c r="FY49" s="40">
        <f t="shared" si="2869"/>
        <v>0</v>
      </c>
      <c r="FZ49" s="40">
        <f t="shared" si="2869"/>
        <v>0</v>
      </c>
      <c r="GA49" s="40">
        <f t="shared" si="2869"/>
        <v>0</v>
      </c>
      <c r="GB49" s="40">
        <f t="shared" si="2869"/>
        <v>0</v>
      </c>
      <c r="GC49" s="40">
        <f t="shared" si="2869"/>
        <v>0</v>
      </c>
      <c r="GD49" s="40">
        <f t="shared" si="2869"/>
        <v>0</v>
      </c>
      <c r="GE49" s="40">
        <f t="shared" si="2869"/>
        <v>0</v>
      </c>
      <c r="GF49" s="40">
        <f t="shared" si="2869"/>
        <v>0</v>
      </c>
      <c r="GG49" s="40">
        <f t="shared" ca="1" si="2869"/>
        <v>0</v>
      </c>
      <c r="GH49" s="40">
        <f t="shared" ca="1" si="2869"/>
        <v>0</v>
      </c>
      <c r="GI49" s="40">
        <f t="shared" ca="1" si="2869"/>
        <v>0</v>
      </c>
      <c r="GJ49" s="40">
        <f t="shared" ca="1" si="2869"/>
        <v>0</v>
      </c>
      <c r="GK49" s="40">
        <f t="shared" ca="1" si="2869"/>
        <v>0</v>
      </c>
      <c r="GL49" s="40">
        <f t="shared" ca="1" si="2869"/>
        <v>0</v>
      </c>
      <c r="GM49" s="40">
        <f t="shared" ca="1" si="2869"/>
        <v>0</v>
      </c>
      <c r="GN49" s="40">
        <f t="shared" ca="1" si="2869"/>
        <v>0</v>
      </c>
      <c r="GO49" s="40">
        <f t="shared" ca="1" si="2869"/>
        <v>0</v>
      </c>
      <c r="GP49" s="40">
        <f t="shared" ca="1" si="2869"/>
        <v>0</v>
      </c>
      <c r="GQ49" s="40">
        <f t="shared" ca="1" si="2869"/>
        <v>0</v>
      </c>
      <c r="GR49" s="40">
        <f t="shared" ca="1" si="2869"/>
        <v>0</v>
      </c>
      <c r="GS49" s="40">
        <f t="shared" ca="1" si="2869"/>
        <v>0</v>
      </c>
      <c r="GT49" s="40">
        <f t="shared" ca="1" si="2869"/>
        <v>0</v>
      </c>
      <c r="GU49" s="40">
        <f t="shared" ref="GU49:IN49" ca="1" si="2870">GT49-GT53</f>
        <v>0</v>
      </c>
      <c r="GV49" s="40">
        <f t="shared" ca="1" si="2870"/>
        <v>0</v>
      </c>
      <c r="GW49" s="40">
        <f t="shared" ca="1" si="2870"/>
        <v>0</v>
      </c>
      <c r="GX49" s="40">
        <f t="shared" ca="1" si="2870"/>
        <v>0</v>
      </c>
      <c r="GY49" s="40">
        <f t="shared" ca="1" si="2870"/>
        <v>0</v>
      </c>
      <c r="GZ49" s="40">
        <f t="shared" ca="1" si="2870"/>
        <v>0</v>
      </c>
      <c r="HA49" s="40">
        <f t="shared" ca="1" si="2870"/>
        <v>0</v>
      </c>
      <c r="HB49" s="40">
        <f t="shared" ca="1" si="2870"/>
        <v>0</v>
      </c>
      <c r="HC49" s="40">
        <f t="shared" ca="1" si="2870"/>
        <v>0</v>
      </c>
      <c r="HD49" s="40">
        <f t="shared" ca="1" si="2870"/>
        <v>0</v>
      </c>
      <c r="HE49" s="40">
        <f t="shared" ca="1" si="2870"/>
        <v>0</v>
      </c>
      <c r="HF49" s="40">
        <f t="shared" ca="1" si="2870"/>
        <v>0</v>
      </c>
      <c r="HG49" s="40">
        <f t="shared" ca="1" si="2870"/>
        <v>0</v>
      </c>
      <c r="HH49" s="40">
        <f t="shared" ca="1" si="2870"/>
        <v>0</v>
      </c>
      <c r="HI49" s="40">
        <f t="shared" ca="1" si="2870"/>
        <v>0</v>
      </c>
      <c r="HJ49" s="40">
        <f t="shared" ca="1" si="2870"/>
        <v>0</v>
      </c>
      <c r="HK49" s="40">
        <f t="shared" ca="1" si="2870"/>
        <v>0</v>
      </c>
      <c r="HL49" s="40">
        <f t="shared" ca="1" si="2870"/>
        <v>0</v>
      </c>
      <c r="HM49" s="40">
        <f t="shared" ca="1" si="2870"/>
        <v>0</v>
      </c>
      <c r="HN49" s="40">
        <f t="shared" ca="1" si="2870"/>
        <v>0</v>
      </c>
      <c r="HO49" s="40">
        <f t="shared" ca="1" si="2870"/>
        <v>0</v>
      </c>
      <c r="HP49" s="40">
        <f t="shared" ca="1" si="2870"/>
        <v>0</v>
      </c>
      <c r="HQ49" s="40">
        <f t="shared" ca="1" si="2870"/>
        <v>0</v>
      </c>
      <c r="HR49" s="40">
        <f t="shared" ca="1" si="2870"/>
        <v>0</v>
      </c>
      <c r="HS49" s="40">
        <f t="shared" ca="1" si="2870"/>
        <v>0</v>
      </c>
      <c r="HT49" s="40">
        <f t="shared" ca="1" si="2870"/>
        <v>0</v>
      </c>
      <c r="HU49" s="40">
        <f t="shared" ca="1" si="2870"/>
        <v>0</v>
      </c>
      <c r="HV49" s="40">
        <f t="shared" ca="1" si="2870"/>
        <v>0</v>
      </c>
      <c r="HW49" s="40">
        <f t="shared" ca="1" si="2870"/>
        <v>0</v>
      </c>
      <c r="HX49" s="40">
        <f t="shared" ca="1" si="2870"/>
        <v>0</v>
      </c>
      <c r="HY49" s="40">
        <f t="shared" ca="1" si="2870"/>
        <v>0</v>
      </c>
      <c r="HZ49" s="40">
        <f t="shared" ca="1" si="2870"/>
        <v>0</v>
      </c>
      <c r="IA49" s="40">
        <f t="shared" ca="1" si="2870"/>
        <v>0</v>
      </c>
      <c r="IB49" s="40">
        <f t="shared" ca="1" si="2870"/>
        <v>0</v>
      </c>
      <c r="IC49" s="40">
        <f t="shared" ca="1" si="2870"/>
        <v>0</v>
      </c>
      <c r="ID49" s="40">
        <f t="shared" ca="1" si="2870"/>
        <v>0</v>
      </c>
      <c r="IE49" s="40">
        <f t="shared" ca="1" si="2870"/>
        <v>0</v>
      </c>
      <c r="IF49" s="40">
        <f t="shared" ca="1" si="2870"/>
        <v>0</v>
      </c>
      <c r="IG49" s="40">
        <f t="shared" ca="1" si="2870"/>
        <v>0</v>
      </c>
      <c r="IH49" s="40">
        <f t="shared" ca="1" si="2870"/>
        <v>0</v>
      </c>
      <c r="II49" s="40">
        <f t="shared" ca="1" si="2870"/>
        <v>0</v>
      </c>
      <c r="IJ49" s="40">
        <f t="shared" ca="1" si="2870"/>
        <v>0</v>
      </c>
      <c r="IK49" s="40">
        <f t="shared" ca="1" si="2870"/>
        <v>0</v>
      </c>
      <c r="IL49" s="40">
        <f t="shared" ca="1" si="2870"/>
        <v>0</v>
      </c>
      <c r="IM49" s="40">
        <f t="shared" ca="1" si="2870"/>
        <v>0</v>
      </c>
      <c r="IN49" s="40">
        <f t="shared" ca="1" si="2870"/>
        <v>0</v>
      </c>
      <c r="IO49" s="40">
        <f t="shared" ref="IO49" ca="1" si="2871">IN49-IN53</f>
        <v>0</v>
      </c>
      <c r="IP49" s="40">
        <f t="shared" ref="IP49" ca="1" si="2872">IO49-IO53</f>
        <v>0</v>
      </c>
      <c r="IQ49" s="40">
        <f t="shared" ref="IQ49" ca="1" si="2873">IP49-IP53</f>
        <v>0</v>
      </c>
      <c r="IR49" s="40">
        <f t="shared" ref="IR49" ca="1" si="2874">IQ49-IQ53</f>
        <v>0</v>
      </c>
      <c r="IS49" s="40">
        <f t="shared" ref="IS49" ca="1" si="2875">IR49-IR53</f>
        <v>0</v>
      </c>
      <c r="IT49" s="40">
        <f t="shared" ref="IT49" ca="1" si="2876">IS49-IS53</f>
        <v>0</v>
      </c>
      <c r="IU49" s="40">
        <f t="shared" ref="IU49" ca="1" si="2877">IT49-IT53</f>
        <v>0</v>
      </c>
      <c r="IV49" s="40">
        <f t="shared" ref="IV49" ca="1" si="2878">IU49-IU53</f>
        <v>0</v>
      </c>
      <c r="IW49" s="40">
        <f t="shared" ref="IW49" ca="1" si="2879">IV49-IV53</f>
        <v>0</v>
      </c>
      <c r="IX49" s="40">
        <f t="shared" ref="IX49" ca="1" si="2880">IW49-IW53</f>
        <v>0</v>
      </c>
      <c r="IY49" s="40">
        <f t="shared" ref="IY49" ca="1" si="2881">IX49-IX53</f>
        <v>0</v>
      </c>
      <c r="IZ49" s="40">
        <f t="shared" ref="IZ49" ca="1" si="2882">IY49-IY53</f>
        <v>0</v>
      </c>
      <c r="JA49" s="40">
        <f t="shared" ref="JA49" ca="1" si="2883">IZ49-IZ53</f>
        <v>0</v>
      </c>
      <c r="JB49" s="40">
        <f t="shared" ref="JB49" ca="1" si="2884">JA49-JA53</f>
        <v>0</v>
      </c>
      <c r="JC49" s="40">
        <f t="shared" ref="JC49" ca="1" si="2885">JB49-JB53</f>
        <v>0</v>
      </c>
      <c r="JD49" s="40">
        <f t="shared" ref="JD49" ca="1" si="2886">JC49-JC53</f>
        <v>0</v>
      </c>
      <c r="JE49" s="40">
        <f t="shared" ref="JE49" ca="1" si="2887">JD49-JD53</f>
        <v>0</v>
      </c>
      <c r="JF49" s="40">
        <f t="shared" ref="JF49" ca="1" si="2888">JE49-JE53</f>
        <v>0</v>
      </c>
      <c r="JG49" s="40">
        <f t="shared" ref="JG49" ca="1" si="2889">JF49-JF53</f>
        <v>0</v>
      </c>
      <c r="JH49" s="40">
        <f t="shared" ref="JH49" ca="1" si="2890">JG49-JG53</f>
        <v>0</v>
      </c>
      <c r="JI49" s="40">
        <f t="shared" ref="JI49" ca="1" si="2891">JH49-JH53</f>
        <v>0</v>
      </c>
      <c r="JJ49" s="40">
        <f t="shared" ref="JJ49" ca="1" si="2892">JI49-JI53</f>
        <v>0</v>
      </c>
      <c r="JK49" s="40">
        <f t="shared" ref="JK49" ca="1" si="2893">JJ49-JJ53</f>
        <v>0</v>
      </c>
      <c r="JL49" s="40">
        <f t="shared" ref="JL49" ca="1" si="2894">JK49-JK53</f>
        <v>0</v>
      </c>
      <c r="JM49" s="40">
        <f t="shared" ref="JM49" ca="1" si="2895">JL49-JL53</f>
        <v>0</v>
      </c>
      <c r="JN49" s="40">
        <f t="shared" ref="JN49" ca="1" si="2896">JM49-JM53</f>
        <v>0</v>
      </c>
      <c r="JO49" s="40">
        <f t="shared" ref="JO49" ca="1" si="2897">JN49-JN53</f>
        <v>0</v>
      </c>
      <c r="JP49" s="40">
        <f t="shared" ref="JP49" ca="1" si="2898">JO49-JO53</f>
        <v>0</v>
      </c>
      <c r="JQ49" s="40">
        <f t="shared" ref="JQ49" ca="1" si="2899">JP49-JP53</f>
        <v>0</v>
      </c>
      <c r="JR49" s="40">
        <f t="shared" ref="JR49" ca="1" si="2900">JQ49-JQ53</f>
        <v>0</v>
      </c>
      <c r="JS49" s="40">
        <f t="shared" ref="JS49" ca="1" si="2901">JR49-JR53</f>
        <v>0</v>
      </c>
      <c r="JT49" s="40">
        <f t="shared" ref="JT49" ca="1" si="2902">JS49-JS53</f>
        <v>0</v>
      </c>
      <c r="JU49" s="40">
        <f t="shared" ref="JU49" ca="1" si="2903">JT49-JT53</f>
        <v>0</v>
      </c>
      <c r="JV49" s="40">
        <f t="shared" ref="JV49" ca="1" si="2904">JU49-JU53</f>
        <v>0</v>
      </c>
      <c r="JW49" s="40">
        <f t="shared" ref="JW49" ca="1" si="2905">JV49-JV53</f>
        <v>0</v>
      </c>
      <c r="JX49" s="40">
        <f t="shared" ref="JX49" ca="1" si="2906">JW49-JW53</f>
        <v>0</v>
      </c>
      <c r="JY49" s="40">
        <f t="shared" ref="JY49" ca="1" si="2907">JX49-JX53</f>
        <v>0</v>
      </c>
      <c r="JZ49" s="40">
        <f t="shared" ref="JZ49" ca="1" si="2908">JY49-JY53</f>
        <v>0</v>
      </c>
      <c r="KA49" s="40">
        <f t="shared" ref="KA49" ca="1" si="2909">JZ49-JZ53</f>
        <v>0</v>
      </c>
      <c r="KB49" s="40">
        <f t="shared" ref="KB49" ca="1" si="2910">KA49-KA53</f>
        <v>0</v>
      </c>
      <c r="KC49" s="40">
        <f t="shared" ref="KC49" ca="1" si="2911">KB49-KB53</f>
        <v>0</v>
      </c>
      <c r="KD49" s="40">
        <f t="shared" ref="KD49" ca="1" si="2912">KC49-KC53</f>
        <v>0</v>
      </c>
      <c r="KE49" s="40">
        <f t="shared" ref="KE49" ca="1" si="2913">KD49-KD53</f>
        <v>0</v>
      </c>
      <c r="KF49" s="40">
        <f t="shared" ref="KF49" ca="1" si="2914">KE49-KE53</f>
        <v>0</v>
      </c>
      <c r="KG49" s="40">
        <f t="shared" ref="KG49" ca="1" si="2915">KF49-KF53</f>
        <v>0</v>
      </c>
      <c r="KH49" s="40">
        <f t="shared" ref="KH49" ca="1" si="2916">KG49-KG53</f>
        <v>0</v>
      </c>
      <c r="KI49" s="40">
        <f t="shared" ref="KI49" ca="1" si="2917">KH49-KH53</f>
        <v>0</v>
      </c>
      <c r="KJ49" s="40">
        <f t="shared" ref="KJ49" ca="1" si="2918">KI49-KI53</f>
        <v>0</v>
      </c>
      <c r="KK49" s="40">
        <f t="shared" ref="KK49" ca="1" si="2919">KJ49-KJ53</f>
        <v>0</v>
      </c>
      <c r="KL49" s="40">
        <f t="shared" ref="KL49" ca="1" si="2920">KK49-KK53</f>
        <v>0</v>
      </c>
      <c r="KM49" s="40">
        <f t="shared" ref="KM49" ca="1" si="2921">KL49-KL53</f>
        <v>0</v>
      </c>
      <c r="KN49" s="40">
        <f t="shared" ref="KN49" ca="1" si="2922">KM49-KM53</f>
        <v>0</v>
      </c>
      <c r="KO49" s="40">
        <f t="shared" ref="KO49" ca="1" si="2923">KN49-KN53</f>
        <v>0</v>
      </c>
      <c r="KP49" s="40">
        <f t="shared" ref="KP49" ca="1" si="2924">KO49-KO53</f>
        <v>0</v>
      </c>
      <c r="KQ49" s="40">
        <f t="shared" ref="KQ49" ca="1" si="2925">KP49-KP53</f>
        <v>0</v>
      </c>
      <c r="KR49" s="40">
        <f t="shared" ref="KR49" ca="1" si="2926">KQ49-KQ53</f>
        <v>0</v>
      </c>
      <c r="KS49" s="40">
        <f t="shared" ref="KS49" ca="1" si="2927">KR49-KR53</f>
        <v>0</v>
      </c>
      <c r="KT49" s="40">
        <f t="shared" ref="KT49" ca="1" si="2928">KS49-KS53</f>
        <v>0</v>
      </c>
      <c r="KU49" s="40">
        <f t="shared" ref="KU49" ca="1" si="2929">KT49-KT53</f>
        <v>0</v>
      </c>
      <c r="KV49" s="40">
        <f t="shared" ref="KV49" ca="1" si="2930">KU49-KU53</f>
        <v>0</v>
      </c>
      <c r="KW49" s="40">
        <f t="shared" ref="KW49" ca="1" si="2931">KV49-KV53</f>
        <v>0</v>
      </c>
      <c r="KX49" s="40">
        <f t="shared" ref="KX49" ca="1" si="2932">KW49-KW53</f>
        <v>0</v>
      </c>
      <c r="KY49" s="40">
        <f t="shared" ref="KY49" ca="1" si="2933">KX49-KX53</f>
        <v>0</v>
      </c>
      <c r="KZ49" s="40">
        <f t="shared" ref="KZ49" ca="1" si="2934">KY49-KY53</f>
        <v>0</v>
      </c>
      <c r="LA49" s="40">
        <f t="shared" ref="LA49" ca="1" si="2935">KZ49-KZ53</f>
        <v>0</v>
      </c>
      <c r="LB49" s="40">
        <f t="shared" ref="LB49" ca="1" si="2936">LA49-LA53</f>
        <v>0</v>
      </c>
      <c r="LC49" s="40">
        <f t="shared" ref="LC49" ca="1" si="2937">LB49-LB53</f>
        <v>0</v>
      </c>
      <c r="LD49" s="40">
        <f t="shared" ref="LD49" ca="1" si="2938">LC49-LC53</f>
        <v>0</v>
      </c>
      <c r="LE49" s="40">
        <f t="shared" ref="LE49" ca="1" si="2939">LD49-LD53</f>
        <v>0</v>
      </c>
      <c r="LF49" s="40">
        <f t="shared" ref="LF49" ca="1" si="2940">LE49-LE53</f>
        <v>0</v>
      </c>
      <c r="LG49" s="40">
        <f t="shared" ref="LG49" ca="1" si="2941">LF49-LF53</f>
        <v>0</v>
      </c>
      <c r="LH49" s="40">
        <f t="shared" ref="LH49" ca="1" si="2942">LG49-LG53</f>
        <v>0</v>
      </c>
      <c r="LI49" s="40">
        <f t="shared" ref="LI49" ca="1" si="2943">LH49-LH53</f>
        <v>0</v>
      </c>
      <c r="LJ49" s="40">
        <f t="shared" ref="LJ49" ca="1" si="2944">LI49-LI53</f>
        <v>0</v>
      </c>
      <c r="LK49" s="40">
        <f t="shared" ref="LK49" ca="1" si="2945">LJ49-LJ53</f>
        <v>0</v>
      </c>
      <c r="LL49" s="40">
        <f t="shared" ref="LL49" ca="1" si="2946">LK49-LK53</f>
        <v>0</v>
      </c>
      <c r="LM49" s="40">
        <f t="shared" ref="LM49" ca="1" si="2947">LL49-LL53</f>
        <v>0</v>
      </c>
      <c r="LN49" s="40">
        <f t="shared" ref="LN49" ca="1" si="2948">LM49-LM53</f>
        <v>0</v>
      </c>
      <c r="LO49" s="40">
        <f t="shared" ref="LO49" ca="1" si="2949">LN49-LN53</f>
        <v>0</v>
      </c>
      <c r="LP49" s="40">
        <f t="shared" ref="LP49" ca="1" si="2950">LO49-LO53</f>
        <v>0</v>
      </c>
      <c r="LQ49" s="40">
        <f t="shared" ref="LQ49" ca="1" si="2951">LP49-LP53</f>
        <v>0</v>
      </c>
      <c r="LR49" s="40">
        <f t="shared" ref="LR49" ca="1" si="2952">LQ49-LQ53</f>
        <v>0</v>
      </c>
      <c r="LS49" s="40">
        <f t="shared" ref="LS49" ca="1" si="2953">LR49-LR53</f>
        <v>0</v>
      </c>
      <c r="LT49" s="40">
        <f t="shared" ref="LT49" ca="1" si="2954">LS49-LS53</f>
        <v>0</v>
      </c>
      <c r="LU49" s="40">
        <f t="shared" ref="LU49" ca="1" si="2955">LT49-LT53</f>
        <v>0</v>
      </c>
      <c r="LV49" s="40">
        <f t="shared" ref="LV49" ca="1" si="2956">LU49-LU53</f>
        <v>0</v>
      </c>
      <c r="LW49" s="40">
        <f t="shared" ref="LW49" ca="1" si="2957">LV49-LV53</f>
        <v>0</v>
      </c>
      <c r="LX49" s="40">
        <f t="shared" ref="LX49" ca="1" si="2958">LW49-LW53</f>
        <v>0</v>
      </c>
      <c r="LY49" s="40">
        <f t="shared" ref="LY49" ca="1" si="2959">LX49-LX53</f>
        <v>0</v>
      </c>
      <c r="LZ49" s="40">
        <f t="shared" ref="LZ49" ca="1" si="2960">LY49-LY53</f>
        <v>0</v>
      </c>
      <c r="MA49" s="40">
        <f t="shared" ref="MA49" ca="1" si="2961">LZ49-LZ53</f>
        <v>0</v>
      </c>
      <c r="MB49" s="40">
        <f t="shared" ref="MB49" ca="1" si="2962">MA49-MA53</f>
        <v>0</v>
      </c>
      <c r="MC49" s="40">
        <f t="shared" ref="MC49" ca="1" si="2963">MB49-MB53</f>
        <v>0</v>
      </c>
      <c r="MD49" s="40">
        <f t="shared" ref="MD49" ca="1" si="2964">MC49-MC53</f>
        <v>0</v>
      </c>
      <c r="ME49" s="40">
        <f t="shared" ref="ME49" ca="1" si="2965">MD49-MD53</f>
        <v>0</v>
      </c>
      <c r="MF49" s="40">
        <f t="shared" ref="MF49" ca="1" si="2966">ME49-ME53</f>
        <v>0</v>
      </c>
      <c r="MG49" s="40">
        <f t="shared" ref="MG49" ca="1" si="2967">MF49-MF53</f>
        <v>0</v>
      </c>
      <c r="MH49" s="40">
        <f t="shared" ref="MH49" ca="1" si="2968">MG49-MG53</f>
        <v>0</v>
      </c>
      <c r="MI49" s="40">
        <f t="shared" ref="MI49" ca="1" si="2969">MH49-MH53</f>
        <v>0</v>
      </c>
      <c r="MJ49" s="40">
        <f t="shared" ref="MJ49" ca="1" si="2970">MI49-MI53</f>
        <v>0</v>
      </c>
      <c r="MK49" s="40">
        <f t="shared" ref="MK49" ca="1" si="2971">MJ49-MJ53</f>
        <v>0</v>
      </c>
      <c r="ML49" s="40">
        <f t="shared" ref="ML49" ca="1" si="2972">MK49-MK53</f>
        <v>0</v>
      </c>
      <c r="MM49" s="40">
        <f t="shared" ref="MM49" ca="1" si="2973">ML49-ML53</f>
        <v>0</v>
      </c>
      <c r="MN49" s="40">
        <f t="shared" ref="MN49" ca="1" si="2974">MM49-MM53</f>
        <v>0</v>
      </c>
      <c r="MO49" s="40">
        <f t="shared" ref="MO49" ca="1" si="2975">MN49-MN53</f>
        <v>0</v>
      </c>
      <c r="MP49" s="40">
        <f t="shared" ref="MP49" ca="1" si="2976">MO49-MO53</f>
        <v>0</v>
      </c>
      <c r="MQ49" s="40">
        <f t="shared" ref="MQ49" ca="1" si="2977">MP49-MP53</f>
        <v>0</v>
      </c>
      <c r="MR49" s="40">
        <f t="shared" ref="MR49" ca="1" si="2978">MQ49-MQ53</f>
        <v>0</v>
      </c>
      <c r="MS49" s="40">
        <f t="shared" ref="MS49" ca="1" si="2979">MR49-MR53</f>
        <v>0</v>
      </c>
      <c r="MT49" s="40">
        <f t="shared" ref="MT49" ca="1" si="2980">MS49-MS53</f>
        <v>0</v>
      </c>
      <c r="MU49" s="40">
        <f t="shared" ref="MU49" ca="1" si="2981">MT49-MT53</f>
        <v>0</v>
      </c>
      <c r="MV49" s="40">
        <f t="shared" ref="MV49" ca="1" si="2982">MU49-MU53</f>
        <v>0</v>
      </c>
      <c r="MW49" s="40">
        <f t="shared" ref="MW49" ca="1" si="2983">MV49-MV53</f>
        <v>0</v>
      </c>
      <c r="MX49" s="40">
        <f t="shared" ref="MX49" ca="1" si="2984">MW49-MW53</f>
        <v>0</v>
      </c>
      <c r="MY49" s="40">
        <f t="shared" ref="MY49" ca="1" si="2985">MX49-MX53</f>
        <v>0</v>
      </c>
      <c r="MZ49" s="40">
        <f t="shared" ref="MZ49" ca="1" si="2986">MY49-MY53</f>
        <v>0</v>
      </c>
      <c r="NA49" s="40">
        <f t="shared" ref="NA49" ca="1" si="2987">MZ49-MZ53</f>
        <v>0</v>
      </c>
      <c r="NB49" s="40">
        <f t="shared" ref="NB49" ca="1" si="2988">NA49-NA53</f>
        <v>0</v>
      </c>
      <c r="NC49" s="40">
        <f t="shared" ref="NC49" ca="1" si="2989">NB49-NB53</f>
        <v>0</v>
      </c>
      <c r="ND49" s="40">
        <f t="shared" ref="ND49" ca="1" si="2990">NC49-NC53</f>
        <v>0</v>
      </c>
      <c r="NE49" s="40"/>
      <c r="NF49" s="40"/>
      <c r="NG49" s="40"/>
      <c r="NH49" s="40"/>
      <c r="NI49" s="40"/>
      <c r="NJ49" s="40"/>
      <c r="NK49" s="40"/>
      <c r="NL49" s="40"/>
      <c r="NM49" s="40"/>
      <c r="NN49" s="40"/>
      <c r="NO49" s="40"/>
      <c r="NP49" s="40"/>
      <c r="NQ49" s="40"/>
      <c r="NR49" s="40"/>
    </row>
    <row r="50" spans="2:382" x14ac:dyDescent="0.15">
      <c r="B50" s="518"/>
      <c r="C50" s="115" t="str">
        <f>_xlfn.CONCAT($C$6," Preferred Return")</f>
        <v>- Preferred Return</v>
      </c>
      <c r="D50" s="52">
        <f>Pref</f>
        <v>0.12</v>
      </c>
      <c r="E50" s="40"/>
      <c r="F50" s="40"/>
      <c r="G50" s="114"/>
      <c r="H50" s="40"/>
      <c r="I50" s="40">
        <f>$D$50/12*I49</f>
        <v>0</v>
      </c>
      <c r="J50" s="40">
        <f t="shared" ref="J50" si="2991">$D$50/12*J49</f>
        <v>0</v>
      </c>
      <c r="K50" s="40">
        <f t="shared" ref="K50:BV50" si="2992">$D$50/12*K49</f>
        <v>0</v>
      </c>
      <c r="L50" s="40">
        <f t="shared" si="2992"/>
        <v>0</v>
      </c>
      <c r="M50" s="40">
        <f t="shared" si="2992"/>
        <v>0</v>
      </c>
      <c r="N50" s="40">
        <f t="shared" si="2992"/>
        <v>0</v>
      </c>
      <c r="O50" s="40">
        <f t="shared" si="2992"/>
        <v>0</v>
      </c>
      <c r="P50" s="40">
        <f t="shared" si="2992"/>
        <v>0</v>
      </c>
      <c r="Q50" s="40">
        <f t="shared" si="2992"/>
        <v>0</v>
      </c>
      <c r="R50" s="40">
        <f t="shared" si="2992"/>
        <v>0</v>
      </c>
      <c r="S50" s="40">
        <f t="shared" si="2992"/>
        <v>0</v>
      </c>
      <c r="T50" s="40">
        <f t="shared" si="2992"/>
        <v>0</v>
      </c>
      <c r="U50" s="40">
        <f t="shared" si="2992"/>
        <v>0</v>
      </c>
      <c r="V50" s="40">
        <f t="shared" si="2992"/>
        <v>0</v>
      </c>
      <c r="W50" s="40">
        <f t="shared" si="2992"/>
        <v>0</v>
      </c>
      <c r="X50" s="40">
        <f t="shared" si="2992"/>
        <v>0</v>
      </c>
      <c r="Y50" s="40">
        <f t="shared" si="2992"/>
        <v>0</v>
      </c>
      <c r="Z50" s="40">
        <f t="shared" si="2992"/>
        <v>0</v>
      </c>
      <c r="AA50" s="40">
        <f t="shared" si="2992"/>
        <v>0</v>
      </c>
      <c r="AB50" s="40">
        <f t="shared" si="2992"/>
        <v>0</v>
      </c>
      <c r="AC50" s="40">
        <f t="shared" si="2992"/>
        <v>0</v>
      </c>
      <c r="AD50" s="40">
        <f t="shared" si="2992"/>
        <v>0</v>
      </c>
      <c r="AE50" s="40">
        <f t="shared" si="2992"/>
        <v>0</v>
      </c>
      <c r="AF50" s="40">
        <f t="shared" si="2992"/>
        <v>0</v>
      </c>
      <c r="AG50" s="40">
        <f t="shared" si="2992"/>
        <v>0</v>
      </c>
      <c r="AH50" s="40">
        <f t="shared" si="2992"/>
        <v>0</v>
      </c>
      <c r="AI50" s="40">
        <f t="shared" si="2992"/>
        <v>0</v>
      </c>
      <c r="AJ50" s="40">
        <f t="shared" si="2992"/>
        <v>0</v>
      </c>
      <c r="AK50" s="40">
        <f t="shared" si="2992"/>
        <v>0</v>
      </c>
      <c r="AL50" s="40">
        <f t="shared" si="2992"/>
        <v>0</v>
      </c>
      <c r="AM50" s="40">
        <f t="shared" si="2992"/>
        <v>0</v>
      </c>
      <c r="AN50" s="40">
        <f t="shared" si="2992"/>
        <v>0</v>
      </c>
      <c r="AO50" s="40">
        <f t="shared" si="2992"/>
        <v>0</v>
      </c>
      <c r="AP50" s="40">
        <f t="shared" si="2992"/>
        <v>0</v>
      </c>
      <c r="AQ50" s="40">
        <f t="shared" si="2992"/>
        <v>0</v>
      </c>
      <c r="AR50" s="40">
        <f t="shared" si="2992"/>
        <v>0</v>
      </c>
      <c r="AS50" s="40">
        <f t="shared" si="2992"/>
        <v>0</v>
      </c>
      <c r="AT50" s="40">
        <f t="shared" si="2992"/>
        <v>0</v>
      </c>
      <c r="AU50" s="40">
        <f t="shared" si="2992"/>
        <v>0</v>
      </c>
      <c r="AV50" s="40">
        <f t="shared" si="2992"/>
        <v>0</v>
      </c>
      <c r="AW50" s="40">
        <f t="shared" si="2992"/>
        <v>0</v>
      </c>
      <c r="AX50" s="40">
        <f t="shared" si="2992"/>
        <v>0</v>
      </c>
      <c r="AY50" s="40">
        <f t="shared" si="2992"/>
        <v>0</v>
      </c>
      <c r="AZ50" s="40">
        <f t="shared" si="2992"/>
        <v>0</v>
      </c>
      <c r="BA50" s="40">
        <f t="shared" si="2992"/>
        <v>0</v>
      </c>
      <c r="BB50" s="40">
        <f t="shared" si="2992"/>
        <v>0</v>
      </c>
      <c r="BC50" s="40">
        <f t="shared" si="2992"/>
        <v>0</v>
      </c>
      <c r="BD50" s="40">
        <f t="shared" si="2992"/>
        <v>0</v>
      </c>
      <c r="BE50" s="40">
        <f t="shared" si="2992"/>
        <v>0</v>
      </c>
      <c r="BF50" s="40">
        <f t="shared" si="2992"/>
        <v>0</v>
      </c>
      <c r="BG50" s="40">
        <f t="shared" si="2992"/>
        <v>0</v>
      </c>
      <c r="BH50" s="40">
        <f t="shared" si="2992"/>
        <v>0</v>
      </c>
      <c r="BI50" s="40">
        <f t="shared" si="2992"/>
        <v>0</v>
      </c>
      <c r="BJ50" s="40">
        <f t="shared" si="2992"/>
        <v>0</v>
      </c>
      <c r="BK50" s="40">
        <f t="shared" si="2992"/>
        <v>0</v>
      </c>
      <c r="BL50" s="40">
        <f t="shared" si="2992"/>
        <v>0</v>
      </c>
      <c r="BM50" s="40">
        <f t="shared" si="2992"/>
        <v>0</v>
      </c>
      <c r="BN50" s="40">
        <f t="shared" si="2992"/>
        <v>0</v>
      </c>
      <c r="BO50" s="40">
        <f t="shared" si="2992"/>
        <v>0</v>
      </c>
      <c r="BP50" s="40">
        <f t="shared" si="2992"/>
        <v>0</v>
      </c>
      <c r="BQ50" s="40">
        <f t="shared" si="2992"/>
        <v>0</v>
      </c>
      <c r="BR50" s="40">
        <f t="shared" si="2992"/>
        <v>0</v>
      </c>
      <c r="BS50" s="40">
        <f t="shared" si="2992"/>
        <v>0</v>
      </c>
      <c r="BT50" s="40">
        <f t="shared" si="2992"/>
        <v>0</v>
      </c>
      <c r="BU50" s="40">
        <f t="shared" si="2992"/>
        <v>0</v>
      </c>
      <c r="BV50" s="40">
        <f t="shared" si="2992"/>
        <v>0</v>
      </c>
      <c r="BW50" s="40">
        <f t="shared" ref="BW50:EH50" si="2993">$D$50/12*BW49</f>
        <v>0</v>
      </c>
      <c r="BX50" s="40">
        <f t="shared" si="2993"/>
        <v>0</v>
      </c>
      <c r="BY50" s="40">
        <f t="shared" si="2993"/>
        <v>0</v>
      </c>
      <c r="BZ50" s="40">
        <f t="shared" si="2993"/>
        <v>0</v>
      </c>
      <c r="CA50" s="40">
        <f t="shared" si="2993"/>
        <v>0</v>
      </c>
      <c r="CB50" s="40">
        <f t="shared" si="2993"/>
        <v>0</v>
      </c>
      <c r="CC50" s="40">
        <f t="shared" si="2993"/>
        <v>0</v>
      </c>
      <c r="CD50" s="40">
        <f t="shared" si="2993"/>
        <v>0</v>
      </c>
      <c r="CE50" s="40">
        <f t="shared" si="2993"/>
        <v>0</v>
      </c>
      <c r="CF50" s="40">
        <f t="shared" si="2993"/>
        <v>0</v>
      </c>
      <c r="CG50" s="40">
        <f t="shared" si="2993"/>
        <v>0</v>
      </c>
      <c r="CH50" s="40">
        <f t="shared" si="2993"/>
        <v>0</v>
      </c>
      <c r="CI50" s="40">
        <f t="shared" si="2993"/>
        <v>0</v>
      </c>
      <c r="CJ50" s="40">
        <f t="shared" si="2993"/>
        <v>0</v>
      </c>
      <c r="CK50" s="40">
        <f t="shared" si="2993"/>
        <v>0</v>
      </c>
      <c r="CL50" s="40">
        <f t="shared" si="2993"/>
        <v>0</v>
      </c>
      <c r="CM50" s="40">
        <f t="shared" si="2993"/>
        <v>0</v>
      </c>
      <c r="CN50" s="40">
        <f t="shared" si="2993"/>
        <v>0</v>
      </c>
      <c r="CO50" s="40">
        <f t="shared" si="2993"/>
        <v>0</v>
      </c>
      <c r="CP50" s="40">
        <f t="shared" si="2993"/>
        <v>0</v>
      </c>
      <c r="CQ50" s="40">
        <f t="shared" si="2993"/>
        <v>0</v>
      </c>
      <c r="CR50" s="40">
        <f t="shared" si="2993"/>
        <v>0</v>
      </c>
      <c r="CS50" s="40">
        <f t="shared" si="2993"/>
        <v>0</v>
      </c>
      <c r="CT50" s="40">
        <f t="shared" si="2993"/>
        <v>0</v>
      </c>
      <c r="CU50" s="40">
        <f t="shared" si="2993"/>
        <v>0</v>
      </c>
      <c r="CV50" s="40">
        <f t="shared" si="2993"/>
        <v>0</v>
      </c>
      <c r="CW50" s="40">
        <f t="shared" si="2993"/>
        <v>0</v>
      </c>
      <c r="CX50" s="40">
        <f t="shared" si="2993"/>
        <v>0</v>
      </c>
      <c r="CY50" s="40">
        <f t="shared" si="2993"/>
        <v>0</v>
      </c>
      <c r="CZ50" s="40">
        <f t="shared" si="2993"/>
        <v>0</v>
      </c>
      <c r="DA50" s="40">
        <f t="shared" si="2993"/>
        <v>0</v>
      </c>
      <c r="DB50" s="40">
        <f t="shared" si="2993"/>
        <v>0</v>
      </c>
      <c r="DC50" s="40">
        <f t="shared" si="2993"/>
        <v>0</v>
      </c>
      <c r="DD50" s="40">
        <f t="shared" si="2993"/>
        <v>0</v>
      </c>
      <c r="DE50" s="40">
        <f t="shared" si="2993"/>
        <v>0</v>
      </c>
      <c r="DF50" s="40">
        <f t="shared" si="2993"/>
        <v>0</v>
      </c>
      <c r="DG50" s="40">
        <f t="shared" si="2993"/>
        <v>0</v>
      </c>
      <c r="DH50" s="40">
        <f t="shared" si="2993"/>
        <v>0</v>
      </c>
      <c r="DI50" s="40">
        <f t="shared" si="2993"/>
        <v>0</v>
      </c>
      <c r="DJ50" s="40">
        <f t="shared" si="2993"/>
        <v>0</v>
      </c>
      <c r="DK50" s="40">
        <f t="shared" si="2993"/>
        <v>0</v>
      </c>
      <c r="DL50" s="40">
        <f t="shared" si="2993"/>
        <v>0</v>
      </c>
      <c r="DM50" s="40">
        <f t="shared" si="2993"/>
        <v>0</v>
      </c>
      <c r="DN50" s="40">
        <f t="shared" si="2993"/>
        <v>0</v>
      </c>
      <c r="DO50" s="40">
        <f t="shared" si="2993"/>
        <v>0</v>
      </c>
      <c r="DP50" s="40">
        <f t="shared" si="2993"/>
        <v>0</v>
      </c>
      <c r="DQ50" s="40">
        <f t="shared" si="2993"/>
        <v>0</v>
      </c>
      <c r="DR50" s="40">
        <f t="shared" si="2993"/>
        <v>0</v>
      </c>
      <c r="DS50" s="40">
        <f t="shared" si="2993"/>
        <v>0</v>
      </c>
      <c r="DT50" s="40">
        <f t="shared" si="2993"/>
        <v>0</v>
      </c>
      <c r="DU50" s="40">
        <f t="shared" si="2993"/>
        <v>0</v>
      </c>
      <c r="DV50" s="40">
        <f t="shared" si="2993"/>
        <v>0</v>
      </c>
      <c r="DW50" s="40">
        <f t="shared" si="2993"/>
        <v>0</v>
      </c>
      <c r="DX50" s="40">
        <f t="shared" si="2993"/>
        <v>0</v>
      </c>
      <c r="DY50" s="40">
        <f t="shared" si="2993"/>
        <v>0</v>
      </c>
      <c r="DZ50" s="40">
        <f t="shared" si="2993"/>
        <v>0</v>
      </c>
      <c r="EA50" s="40">
        <f t="shared" si="2993"/>
        <v>0</v>
      </c>
      <c r="EB50" s="40">
        <f t="shared" si="2993"/>
        <v>0</v>
      </c>
      <c r="EC50" s="40">
        <f t="shared" si="2993"/>
        <v>0</v>
      </c>
      <c r="ED50" s="40">
        <f t="shared" si="2993"/>
        <v>0</v>
      </c>
      <c r="EE50" s="40">
        <f t="shared" si="2993"/>
        <v>0</v>
      </c>
      <c r="EF50" s="40">
        <f t="shared" si="2993"/>
        <v>0</v>
      </c>
      <c r="EG50" s="40">
        <f t="shared" si="2993"/>
        <v>0</v>
      </c>
      <c r="EH50" s="40">
        <f t="shared" si="2993"/>
        <v>0</v>
      </c>
      <c r="EI50" s="40">
        <f t="shared" ref="EI50:GT50" si="2994">$D$50/12*EI49</f>
        <v>0</v>
      </c>
      <c r="EJ50" s="40">
        <f t="shared" si="2994"/>
        <v>0</v>
      </c>
      <c r="EK50" s="40">
        <f t="shared" si="2994"/>
        <v>0</v>
      </c>
      <c r="EL50" s="40">
        <f t="shared" si="2994"/>
        <v>0</v>
      </c>
      <c r="EM50" s="40">
        <f t="shared" si="2994"/>
        <v>0</v>
      </c>
      <c r="EN50" s="40">
        <f t="shared" si="2994"/>
        <v>0</v>
      </c>
      <c r="EO50" s="40">
        <f t="shared" si="2994"/>
        <v>0</v>
      </c>
      <c r="EP50" s="40">
        <f t="shared" si="2994"/>
        <v>0</v>
      </c>
      <c r="EQ50" s="40">
        <f t="shared" si="2994"/>
        <v>0</v>
      </c>
      <c r="ER50" s="40">
        <f t="shared" si="2994"/>
        <v>0</v>
      </c>
      <c r="ES50" s="40">
        <f t="shared" si="2994"/>
        <v>0</v>
      </c>
      <c r="ET50" s="40">
        <f t="shared" si="2994"/>
        <v>0</v>
      </c>
      <c r="EU50" s="40">
        <f t="shared" si="2994"/>
        <v>0</v>
      </c>
      <c r="EV50" s="40">
        <f t="shared" si="2994"/>
        <v>0</v>
      </c>
      <c r="EW50" s="40">
        <f t="shared" si="2994"/>
        <v>0</v>
      </c>
      <c r="EX50" s="40">
        <f t="shared" si="2994"/>
        <v>0</v>
      </c>
      <c r="EY50" s="40">
        <f t="shared" si="2994"/>
        <v>0</v>
      </c>
      <c r="EZ50" s="40">
        <f t="shared" si="2994"/>
        <v>0</v>
      </c>
      <c r="FA50" s="40">
        <f t="shared" si="2994"/>
        <v>0</v>
      </c>
      <c r="FB50" s="40">
        <f t="shared" si="2994"/>
        <v>0</v>
      </c>
      <c r="FC50" s="40">
        <f t="shared" si="2994"/>
        <v>0</v>
      </c>
      <c r="FD50" s="40">
        <f t="shared" si="2994"/>
        <v>0</v>
      </c>
      <c r="FE50" s="40">
        <f t="shared" si="2994"/>
        <v>0</v>
      </c>
      <c r="FF50" s="40">
        <f t="shared" si="2994"/>
        <v>0</v>
      </c>
      <c r="FG50" s="40">
        <f t="shared" si="2994"/>
        <v>0</v>
      </c>
      <c r="FH50" s="40">
        <f t="shared" si="2994"/>
        <v>0</v>
      </c>
      <c r="FI50" s="40">
        <f t="shared" si="2994"/>
        <v>0</v>
      </c>
      <c r="FJ50" s="40">
        <f t="shared" si="2994"/>
        <v>0</v>
      </c>
      <c r="FK50" s="40">
        <f t="shared" si="2994"/>
        <v>0</v>
      </c>
      <c r="FL50" s="40">
        <f t="shared" si="2994"/>
        <v>0</v>
      </c>
      <c r="FM50" s="40">
        <f t="shared" si="2994"/>
        <v>0</v>
      </c>
      <c r="FN50" s="40">
        <f t="shared" si="2994"/>
        <v>0</v>
      </c>
      <c r="FO50" s="40">
        <f t="shared" si="2994"/>
        <v>0</v>
      </c>
      <c r="FP50" s="40">
        <f t="shared" si="2994"/>
        <v>0</v>
      </c>
      <c r="FQ50" s="40">
        <f t="shared" si="2994"/>
        <v>0</v>
      </c>
      <c r="FR50" s="40">
        <f t="shared" si="2994"/>
        <v>0</v>
      </c>
      <c r="FS50" s="40">
        <f t="shared" si="2994"/>
        <v>0</v>
      </c>
      <c r="FT50" s="40">
        <f t="shared" si="2994"/>
        <v>0</v>
      </c>
      <c r="FU50" s="40">
        <f t="shared" si="2994"/>
        <v>0</v>
      </c>
      <c r="FV50" s="40">
        <f t="shared" si="2994"/>
        <v>0</v>
      </c>
      <c r="FW50" s="40">
        <f t="shared" si="2994"/>
        <v>0</v>
      </c>
      <c r="FX50" s="40">
        <f t="shared" si="2994"/>
        <v>0</v>
      </c>
      <c r="FY50" s="40">
        <f t="shared" si="2994"/>
        <v>0</v>
      </c>
      <c r="FZ50" s="40">
        <f t="shared" si="2994"/>
        <v>0</v>
      </c>
      <c r="GA50" s="40">
        <f t="shared" si="2994"/>
        <v>0</v>
      </c>
      <c r="GB50" s="40">
        <f t="shared" si="2994"/>
        <v>0</v>
      </c>
      <c r="GC50" s="40">
        <f t="shared" si="2994"/>
        <v>0</v>
      </c>
      <c r="GD50" s="40">
        <f t="shared" si="2994"/>
        <v>0</v>
      </c>
      <c r="GE50" s="40">
        <f t="shared" si="2994"/>
        <v>0</v>
      </c>
      <c r="GF50" s="40">
        <f t="shared" si="2994"/>
        <v>0</v>
      </c>
      <c r="GG50" s="40">
        <f t="shared" ca="1" si="2994"/>
        <v>0</v>
      </c>
      <c r="GH50" s="40">
        <f t="shared" ca="1" si="2994"/>
        <v>0</v>
      </c>
      <c r="GI50" s="40">
        <f t="shared" ca="1" si="2994"/>
        <v>0</v>
      </c>
      <c r="GJ50" s="40">
        <f t="shared" ca="1" si="2994"/>
        <v>0</v>
      </c>
      <c r="GK50" s="40">
        <f t="shared" ca="1" si="2994"/>
        <v>0</v>
      </c>
      <c r="GL50" s="40">
        <f t="shared" ca="1" si="2994"/>
        <v>0</v>
      </c>
      <c r="GM50" s="40">
        <f t="shared" ca="1" si="2994"/>
        <v>0</v>
      </c>
      <c r="GN50" s="40">
        <f t="shared" ca="1" si="2994"/>
        <v>0</v>
      </c>
      <c r="GO50" s="40">
        <f t="shared" ca="1" si="2994"/>
        <v>0</v>
      </c>
      <c r="GP50" s="40">
        <f t="shared" ca="1" si="2994"/>
        <v>0</v>
      </c>
      <c r="GQ50" s="40">
        <f t="shared" ca="1" si="2994"/>
        <v>0</v>
      </c>
      <c r="GR50" s="40">
        <f t="shared" ca="1" si="2994"/>
        <v>0</v>
      </c>
      <c r="GS50" s="40">
        <f t="shared" ca="1" si="2994"/>
        <v>0</v>
      </c>
      <c r="GT50" s="40">
        <f t="shared" ca="1" si="2994"/>
        <v>0</v>
      </c>
      <c r="GU50" s="40">
        <f t="shared" ref="GU50:IN50" ca="1" si="2995">$D$50/12*GU49</f>
        <v>0</v>
      </c>
      <c r="GV50" s="40">
        <f t="shared" ca="1" si="2995"/>
        <v>0</v>
      </c>
      <c r="GW50" s="40">
        <f t="shared" ca="1" si="2995"/>
        <v>0</v>
      </c>
      <c r="GX50" s="40">
        <f t="shared" ca="1" si="2995"/>
        <v>0</v>
      </c>
      <c r="GY50" s="40">
        <f t="shared" ca="1" si="2995"/>
        <v>0</v>
      </c>
      <c r="GZ50" s="40">
        <f t="shared" ca="1" si="2995"/>
        <v>0</v>
      </c>
      <c r="HA50" s="40">
        <f t="shared" ca="1" si="2995"/>
        <v>0</v>
      </c>
      <c r="HB50" s="40">
        <f t="shared" ca="1" si="2995"/>
        <v>0</v>
      </c>
      <c r="HC50" s="40">
        <f t="shared" ca="1" si="2995"/>
        <v>0</v>
      </c>
      <c r="HD50" s="40">
        <f t="shared" ca="1" si="2995"/>
        <v>0</v>
      </c>
      <c r="HE50" s="40">
        <f t="shared" ca="1" si="2995"/>
        <v>0</v>
      </c>
      <c r="HF50" s="40">
        <f t="shared" ca="1" si="2995"/>
        <v>0</v>
      </c>
      <c r="HG50" s="40">
        <f t="shared" ca="1" si="2995"/>
        <v>0</v>
      </c>
      <c r="HH50" s="40">
        <f t="shared" ca="1" si="2995"/>
        <v>0</v>
      </c>
      <c r="HI50" s="40">
        <f t="shared" ca="1" si="2995"/>
        <v>0</v>
      </c>
      <c r="HJ50" s="40">
        <f t="shared" ca="1" si="2995"/>
        <v>0</v>
      </c>
      <c r="HK50" s="40">
        <f t="shared" ca="1" si="2995"/>
        <v>0</v>
      </c>
      <c r="HL50" s="40">
        <f t="shared" ca="1" si="2995"/>
        <v>0</v>
      </c>
      <c r="HM50" s="40">
        <f t="shared" ca="1" si="2995"/>
        <v>0</v>
      </c>
      <c r="HN50" s="40">
        <f t="shared" ca="1" si="2995"/>
        <v>0</v>
      </c>
      <c r="HO50" s="40">
        <f t="shared" ca="1" si="2995"/>
        <v>0</v>
      </c>
      <c r="HP50" s="40">
        <f t="shared" ca="1" si="2995"/>
        <v>0</v>
      </c>
      <c r="HQ50" s="40">
        <f t="shared" ca="1" si="2995"/>
        <v>0</v>
      </c>
      <c r="HR50" s="40">
        <f t="shared" ca="1" si="2995"/>
        <v>0</v>
      </c>
      <c r="HS50" s="40">
        <f t="shared" ca="1" si="2995"/>
        <v>0</v>
      </c>
      <c r="HT50" s="40">
        <f t="shared" ca="1" si="2995"/>
        <v>0</v>
      </c>
      <c r="HU50" s="40">
        <f t="shared" ca="1" si="2995"/>
        <v>0</v>
      </c>
      <c r="HV50" s="40">
        <f t="shared" ca="1" si="2995"/>
        <v>0</v>
      </c>
      <c r="HW50" s="40">
        <f t="shared" ca="1" si="2995"/>
        <v>0</v>
      </c>
      <c r="HX50" s="40">
        <f t="shared" ca="1" si="2995"/>
        <v>0</v>
      </c>
      <c r="HY50" s="40">
        <f t="shared" ca="1" si="2995"/>
        <v>0</v>
      </c>
      <c r="HZ50" s="40">
        <f t="shared" ca="1" si="2995"/>
        <v>0</v>
      </c>
      <c r="IA50" s="40">
        <f t="shared" ca="1" si="2995"/>
        <v>0</v>
      </c>
      <c r="IB50" s="40">
        <f t="shared" ca="1" si="2995"/>
        <v>0</v>
      </c>
      <c r="IC50" s="40">
        <f t="shared" ca="1" si="2995"/>
        <v>0</v>
      </c>
      <c r="ID50" s="40">
        <f t="shared" ca="1" si="2995"/>
        <v>0</v>
      </c>
      <c r="IE50" s="40">
        <f t="shared" ca="1" si="2995"/>
        <v>0</v>
      </c>
      <c r="IF50" s="40">
        <f t="shared" ca="1" si="2995"/>
        <v>0</v>
      </c>
      <c r="IG50" s="40">
        <f t="shared" ca="1" si="2995"/>
        <v>0</v>
      </c>
      <c r="IH50" s="40">
        <f t="shared" ca="1" si="2995"/>
        <v>0</v>
      </c>
      <c r="II50" s="40">
        <f t="shared" ca="1" si="2995"/>
        <v>0</v>
      </c>
      <c r="IJ50" s="40">
        <f t="shared" ca="1" si="2995"/>
        <v>0</v>
      </c>
      <c r="IK50" s="40">
        <f t="shared" ca="1" si="2995"/>
        <v>0</v>
      </c>
      <c r="IL50" s="40">
        <f t="shared" ca="1" si="2995"/>
        <v>0</v>
      </c>
      <c r="IM50" s="40">
        <f t="shared" ca="1" si="2995"/>
        <v>0</v>
      </c>
      <c r="IN50" s="40">
        <f t="shared" ca="1" si="2995"/>
        <v>0</v>
      </c>
      <c r="IO50" s="40">
        <f t="shared" ref="IO50:KZ50" ca="1" si="2996">$D$50/12*IO49</f>
        <v>0</v>
      </c>
      <c r="IP50" s="40">
        <f t="shared" ca="1" si="2996"/>
        <v>0</v>
      </c>
      <c r="IQ50" s="40">
        <f t="shared" ca="1" si="2996"/>
        <v>0</v>
      </c>
      <c r="IR50" s="40">
        <f t="shared" ca="1" si="2996"/>
        <v>0</v>
      </c>
      <c r="IS50" s="40">
        <f t="shared" ca="1" si="2996"/>
        <v>0</v>
      </c>
      <c r="IT50" s="40">
        <f t="shared" ca="1" si="2996"/>
        <v>0</v>
      </c>
      <c r="IU50" s="40">
        <f t="shared" ca="1" si="2996"/>
        <v>0</v>
      </c>
      <c r="IV50" s="40">
        <f t="shared" ca="1" si="2996"/>
        <v>0</v>
      </c>
      <c r="IW50" s="40">
        <f t="shared" ca="1" si="2996"/>
        <v>0</v>
      </c>
      <c r="IX50" s="40">
        <f t="shared" ca="1" si="2996"/>
        <v>0</v>
      </c>
      <c r="IY50" s="40">
        <f t="shared" ca="1" si="2996"/>
        <v>0</v>
      </c>
      <c r="IZ50" s="40">
        <f t="shared" ca="1" si="2996"/>
        <v>0</v>
      </c>
      <c r="JA50" s="40">
        <f t="shared" ca="1" si="2996"/>
        <v>0</v>
      </c>
      <c r="JB50" s="40">
        <f t="shared" ca="1" si="2996"/>
        <v>0</v>
      </c>
      <c r="JC50" s="40">
        <f t="shared" ca="1" si="2996"/>
        <v>0</v>
      </c>
      <c r="JD50" s="40">
        <f t="shared" ca="1" si="2996"/>
        <v>0</v>
      </c>
      <c r="JE50" s="40">
        <f t="shared" ca="1" si="2996"/>
        <v>0</v>
      </c>
      <c r="JF50" s="40">
        <f t="shared" ca="1" si="2996"/>
        <v>0</v>
      </c>
      <c r="JG50" s="40">
        <f t="shared" ca="1" si="2996"/>
        <v>0</v>
      </c>
      <c r="JH50" s="40">
        <f t="shared" ca="1" si="2996"/>
        <v>0</v>
      </c>
      <c r="JI50" s="40">
        <f t="shared" ca="1" si="2996"/>
        <v>0</v>
      </c>
      <c r="JJ50" s="40">
        <f t="shared" ca="1" si="2996"/>
        <v>0</v>
      </c>
      <c r="JK50" s="40">
        <f t="shared" ca="1" si="2996"/>
        <v>0</v>
      </c>
      <c r="JL50" s="40">
        <f t="shared" ca="1" si="2996"/>
        <v>0</v>
      </c>
      <c r="JM50" s="40">
        <f t="shared" ca="1" si="2996"/>
        <v>0</v>
      </c>
      <c r="JN50" s="40">
        <f t="shared" ca="1" si="2996"/>
        <v>0</v>
      </c>
      <c r="JO50" s="40">
        <f t="shared" ca="1" si="2996"/>
        <v>0</v>
      </c>
      <c r="JP50" s="40">
        <f t="shared" ca="1" si="2996"/>
        <v>0</v>
      </c>
      <c r="JQ50" s="40">
        <f t="shared" ca="1" si="2996"/>
        <v>0</v>
      </c>
      <c r="JR50" s="40">
        <f t="shared" ca="1" si="2996"/>
        <v>0</v>
      </c>
      <c r="JS50" s="40">
        <f t="shared" ca="1" si="2996"/>
        <v>0</v>
      </c>
      <c r="JT50" s="40">
        <f t="shared" ca="1" si="2996"/>
        <v>0</v>
      </c>
      <c r="JU50" s="40">
        <f t="shared" ca="1" si="2996"/>
        <v>0</v>
      </c>
      <c r="JV50" s="40">
        <f t="shared" ca="1" si="2996"/>
        <v>0</v>
      </c>
      <c r="JW50" s="40">
        <f t="shared" ca="1" si="2996"/>
        <v>0</v>
      </c>
      <c r="JX50" s="40">
        <f t="shared" ca="1" si="2996"/>
        <v>0</v>
      </c>
      <c r="JY50" s="40">
        <f t="shared" ca="1" si="2996"/>
        <v>0</v>
      </c>
      <c r="JZ50" s="40">
        <f t="shared" ca="1" si="2996"/>
        <v>0</v>
      </c>
      <c r="KA50" s="40">
        <f t="shared" ca="1" si="2996"/>
        <v>0</v>
      </c>
      <c r="KB50" s="40">
        <f t="shared" ca="1" si="2996"/>
        <v>0</v>
      </c>
      <c r="KC50" s="40">
        <f t="shared" ca="1" si="2996"/>
        <v>0</v>
      </c>
      <c r="KD50" s="40">
        <f t="shared" ca="1" si="2996"/>
        <v>0</v>
      </c>
      <c r="KE50" s="40">
        <f t="shared" ca="1" si="2996"/>
        <v>0</v>
      </c>
      <c r="KF50" s="40">
        <f t="shared" ca="1" si="2996"/>
        <v>0</v>
      </c>
      <c r="KG50" s="40">
        <f t="shared" ca="1" si="2996"/>
        <v>0</v>
      </c>
      <c r="KH50" s="40">
        <f t="shared" ca="1" si="2996"/>
        <v>0</v>
      </c>
      <c r="KI50" s="40">
        <f t="shared" ca="1" si="2996"/>
        <v>0</v>
      </c>
      <c r="KJ50" s="40">
        <f t="shared" ca="1" si="2996"/>
        <v>0</v>
      </c>
      <c r="KK50" s="40">
        <f t="shared" ca="1" si="2996"/>
        <v>0</v>
      </c>
      <c r="KL50" s="40">
        <f t="shared" ca="1" si="2996"/>
        <v>0</v>
      </c>
      <c r="KM50" s="40">
        <f t="shared" ca="1" si="2996"/>
        <v>0</v>
      </c>
      <c r="KN50" s="40">
        <f t="shared" ca="1" si="2996"/>
        <v>0</v>
      </c>
      <c r="KO50" s="40">
        <f t="shared" ca="1" si="2996"/>
        <v>0</v>
      </c>
      <c r="KP50" s="40">
        <f t="shared" ca="1" si="2996"/>
        <v>0</v>
      </c>
      <c r="KQ50" s="40">
        <f t="shared" ca="1" si="2996"/>
        <v>0</v>
      </c>
      <c r="KR50" s="40">
        <f t="shared" ca="1" si="2996"/>
        <v>0</v>
      </c>
      <c r="KS50" s="40">
        <f t="shared" ca="1" si="2996"/>
        <v>0</v>
      </c>
      <c r="KT50" s="40">
        <f t="shared" ca="1" si="2996"/>
        <v>0</v>
      </c>
      <c r="KU50" s="40">
        <f t="shared" ca="1" si="2996"/>
        <v>0</v>
      </c>
      <c r="KV50" s="40">
        <f t="shared" ca="1" si="2996"/>
        <v>0</v>
      </c>
      <c r="KW50" s="40">
        <f t="shared" ca="1" si="2996"/>
        <v>0</v>
      </c>
      <c r="KX50" s="40">
        <f t="shared" ca="1" si="2996"/>
        <v>0</v>
      </c>
      <c r="KY50" s="40">
        <f t="shared" ca="1" si="2996"/>
        <v>0</v>
      </c>
      <c r="KZ50" s="40">
        <f t="shared" ca="1" si="2996"/>
        <v>0</v>
      </c>
      <c r="LA50" s="40">
        <f t="shared" ref="LA50:ND50" ca="1" si="2997">$D$50/12*LA49</f>
        <v>0</v>
      </c>
      <c r="LB50" s="40">
        <f t="shared" ca="1" si="2997"/>
        <v>0</v>
      </c>
      <c r="LC50" s="40">
        <f t="shared" ca="1" si="2997"/>
        <v>0</v>
      </c>
      <c r="LD50" s="40">
        <f t="shared" ca="1" si="2997"/>
        <v>0</v>
      </c>
      <c r="LE50" s="40">
        <f t="shared" ca="1" si="2997"/>
        <v>0</v>
      </c>
      <c r="LF50" s="40">
        <f t="shared" ca="1" si="2997"/>
        <v>0</v>
      </c>
      <c r="LG50" s="40">
        <f t="shared" ca="1" si="2997"/>
        <v>0</v>
      </c>
      <c r="LH50" s="40">
        <f t="shared" ca="1" si="2997"/>
        <v>0</v>
      </c>
      <c r="LI50" s="40">
        <f t="shared" ca="1" si="2997"/>
        <v>0</v>
      </c>
      <c r="LJ50" s="40">
        <f t="shared" ca="1" si="2997"/>
        <v>0</v>
      </c>
      <c r="LK50" s="40">
        <f t="shared" ca="1" si="2997"/>
        <v>0</v>
      </c>
      <c r="LL50" s="40">
        <f t="shared" ca="1" si="2997"/>
        <v>0</v>
      </c>
      <c r="LM50" s="40">
        <f t="shared" ca="1" si="2997"/>
        <v>0</v>
      </c>
      <c r="LN50" s="40">
        <f t="shared" ca="1" si="2997"/>
        <v>0</v>
      </c>
      <c r="LO50" s="40">
        <f t="shared" ca="1" si="2997"/>
        <v>0</v>
      </c>
      <c r="LP50" s="40">
        <f t="shared" ca="1" si="2997"/>
        <v>0</v>
      </c>
      <c r="LQ50" s="40">
        <f t="shared" ca="1" si="2997"/>
        <v>0</v>
      </c>
      <c r="LR50" s="40">
        <f t="shared" ca="1" si="2997"/>
        <v>0</v>
      </c>
      <c r="LS50" s="40">
        <f t="shared" ca="1" si="2997"/>
        <v>0</v>
      </c>
      <c r="LT50" s="40">
        <f t="shared" ca="1" si="2997"/>
        <v>0</v>
      </c>
      <c r="LU50" s="40">
        <f t="shared" ca="1" si="2997"/>
        <v>0</v>
      </c>
      <c r="LV50" s="40">
        <f t="shared" ca="1" si="2997"/>
        <v>0</v>
      </c>
      <c r="LW50" s="40">
        <f t="shared" ca="1" si="2997"/>
        <v>0</v>
      </c>
      <c r="LX50" s="40">
        <f t="shared" ca="1" si="2997"/>
        <v>0</v>
      </c>
      <c r="LY50" s="40">
        <f t="shared" ca="1" si="2997"/>
        <v>0</v>
      </c>
      <c r="LZ50" s="40">
        <f t="shared" ca="1" si="2997"/>
        <v>0</v>
      </c>
      <c r="MA50" s="40">
        <f t="shared" ca="1" si="2997"/>
        <v>0</v>
      </c>
      <c r="MB50" s="40">
        <f t="shared" ca="1" si="2997"/>
        <v>0</v>
      </c>
      <c r="MC50" s="40">
        <f t="shared" ca="1" si="2997"/>
        <v>0</v>
      </c>
      <c r="MD50" s="40">
        <f t="shared" ca="1" si="2997"/>
        <v>0</v>
      </c>
      <c r="ME50" s="40">
        <f t="shared" ca="1" si="2997"/>
        <v>0</v>
      </c>
      <c r="MF50" s="40">
        <f t="shared" ca="1" si="2997"/>
        <v>0</v>
      </c>
      <c r="MG50" s="40">
        <f t="shared" ca="1" si="2997"/>
        <v>0</v>
      </c>
      <c r="MH50" s="40">
        <f t="shared" ca="1" si="2997"/>
        <v>0</v>
      </c>
      <c r="MI50" s="40">
        <f t="shared" ca="1" si="2997"/>
        <v>0</v>
      </c>
      <c r="MJ50" s="40">
        <f t="shared" ca="1" si="2997"/>
        <v>0</v>
      </c>
      <c r="MK50" s="40">
        <f t="shared" ca="1" si="2997"/>
        <v>0</v>
      </c>
      <c r="ML50" s="40">
        <f t="shared" ca="1" si="2997"/>
        <v>0</v>
      </c>
      <c r="MM50" s="40">
        <f t="shared" ca="1" si="2997"/>
        <v>0</v>
      </c>
      <c r="MN50" s="40">
        <f t="shared" ca="1" si="2997"/>
        <v>0</v>
      </c>
      <c r="MO50" s="40">
        <f t="shared" ca="1" si="2997"/>
        <v>0</v>
      </c>
      <c r="MP50" s="40">
        <f t="shared" ca="1" si="2997"/>
        <v>0</v>
      </c>
      <c r="MQ50" s="40">
        <f t="shared" ca="1" si="2997"/>
        <v>0</v>
      </c>
      <c r="MR50" s="40">
        <f t="shared" ca="1" si="2997"/>
        <v>0</v>
      </c>
      <c r="MS50" s="40">
        <f t="shared" ca="1" si="2997"/>
        <v>0</v>
      </c>
      <c r="MT50" s="40">
        <f t="shared" ca="1" si="2997"/>
        <v>0</v>
      </c>
      <c r="MU50" s="40">
        <f t="shared" ca="1" si="2997"/>
        <v>0</v>
      </c>
      <c r="MV50" s="40">
        <f t="shared" ca="1" si="2997"/>
        <v>0</v>
      </c>
      <c r="MW50" s="40">
        <f t="shared" ca="1" si="2997"/>
        <v>0</v>
      </c>
      <c r="MX50" s="40">
        <f t="shared" ca="1" si="2997"/>
        <v>0</v>
      </c>
      <c r="MY50" s="40">
        <f t="shared" ca="1" si="2997"/>
        <v>0</v>
      </c>
      <c r="MZ50" s="40">
        <f t="shared" ca="1" si="2997"/>
        <v>0</v>
      </c>
      <c r="NA50" s="40">
        <f t="shared" ca="1" si="2997"/>
        <v>0</v>
      </c>
      <c r="NB50" s="40">
        <f t="shared" ca="1" si="2997"/>
        <v>0</v>
      </c>
      <c r="NC50" s="40">
        <f t="shared" ca="1" si="2997"/>
        <v>0</v>
      </c>
      <c r="ND50" s="40">
        <f t="shared" ca="1" si="2997"/>
        <v>0</v>
      </c>
      <c r="NE50" s="40"/>
      <c r="NF50" s="40"/>
      <c r="NG50" s="40"/>
      <c r="NH50" s="40"/>
      <c r="NI50" s="40"/>
      <c r="NJ50" s="40"/>
      <c r="NK50" s="40"/>
      <c r="NL50" s="40"/>
      <c r="NM50" s="40"/>
      <c r="NN50" s="40"/>
      <c r="NO50" s="40"/>
      <c r="NP50" s="40"/>
      <c r="NQ50" s="40"/>
      <c r="NR50" s="40"/>
    </row>
    <row r="51" spans="2:382" x14ac:dyDescent="0.15">
      <c r="B51" s="518"/>
      <c r="C51" s="115" t="str">
        <f>_xlfn.CONCAT($C$6," Preferred Return Account")</f>
        <v>- Preferred Return Account</v>
      </c>
      <c r="D51" s="52"/>
      <c r="E51" s="40"/>
      <c r="F51" s="40"/>
      <c r="G51" s="114"/>
      <c r="H51" s="40"/>
      <c r="I51" s="40">
        <f>G51-G52+I50</f>
        <v>0</v>
      </c>
      <c r="J51" s="40">
        <f t="shared" ref="J51" si="2998">I51-I52+J50</f>
        <v>0</v>
      </c>
      <c r="K51" s="40">
        <f t="shared" ref="K51" si="2999">J51-J52+K50</f>
        <v>0</v>
      </c>
      <c r="L51" s="40">
        <f t="shared" ref="L51" si="3000">K51-K52+L50</f>
        <v>0</v>
      </c>
      <c r="M51" s="40">
        <f t="shared" ref="M51" si="3001">L51-L52+M50</f>
        <v>0</v>
      </c>
      <c r="N51" s="40">
        <f t="shared" ref="N51" si="3002">M51-M52+N50</f>
        <v>0</v>
      </c>
      <c r="O51" s="40">
        <f t="shared" ref="O51" si="3003">N51-N52+O50</f>
        <v>0</v>
      </c>
      <c r="P51" s="40">
        <f t="shared" ref="P51" si="3004">O51-O52+P50</f>
        <v>0</v>
      </c>
      <c r="Q51" s="40">
        <f t="shared" ref="Q51" si="3005">P51-P52+Q50</f>
        <v>0</v>
      </c>
      <c r="R51" s="40">
        <f t="shared" ref="R51" si="3006">Q51-Q52+R50</f>
        <v>0</v>
      </c>
      <c r="S51" s="40">
        <f t="shared" ref="S51" si="3007">R51-R52+S50</f>
        <v>0</v>
      </c>
      <c r="T51" s="40">
        <f t="shared" ref="T51" si="3008">S51-S52+T50</f>
        <v>0</v>
      </c>
      <c r="U51" s="40">
        <f t="shared" ref="U51" si="3009">T51-T52+U50</f>
        <v>0</v>
      </c>
      <c r="V51" s="40">
        <f t="shared" ref="V51" si="3010">U51-U52+V50</f>
        <v>0</v>
      </c>
      <c r="W51" s="40">
        <f t="shared" ref="W51" si="3011">V51-V52+W50</f>
        <v>0</v>
      </c>
      <c r="X51" s="40">
        <f t="shared" ref="X51" si="3012">W51-W52+X50</f>
        <v>0</v>
      </c>
      <c r="Y51" s="40">
        <f t="shared" ref="Y51" si="3013">X51-X52+Y50</f>
        <v>0</v>
      </c>
      <c r="Z51" s="40">
        <f t="shared" ref="Z51" si="3014">Y51-Y52+Z50</f>
        <v>0</v>
      </c>
      <c r="AA51" s="40">
        <f t="shared" ref="AA51" si="3015">Z51-Z52+AA50</f>
        <v>0</v>
      </c>
      <c r="AB51" s="40">
        <f t="shared" ref="AB51" si="3016">AA51-AA52+AB50</f>
        <v>0</v>
      </c>
      <c r="AC51" s="40">
        <f t="shared" ref="AC51" si="3017">AB51-AB52+AC50</f>
        <v>0</v>
      </c>
      <c r="AD51" s="40">
        <f t="shared" ref="AD51" si="3018">AC51-AC52+AD50</f>
        <v>0</v>
      </c>
      <c r="AE51" s="40">
        <f t="shared" ref="AE51" si="3019">AD51-AD52+AE50</f>
        <v>0</v>
      </c>
      <c r="AF51" s="40">
        <f t="shared" ref="AF51" si="3020">AE51-AE52+AF50</f>
        <v>0</v>
      </c>
      <c r="AG51" s="40">
        <f t="shared" ref="AG51" si="3021">AF51-AF52+AG50</f>
        <v>0</v>
      </c>
      <c r="AH51" s="40">
        <f t="shared" ref="AH51" si="3022">AG51-AG52+AH50</f>
        <v>0</v>
      </c>
      <c r="AI51" s="40">
        <f t="shared" ref="AI51" si="3023">AH51-AH52+AI50</f>
        <v>0</v>
      </c>
      <c r="AJ51" s="40">
        <f t="shared" ref="AJ51" si="3024">AI51-AI52+AJ50</f>
        <v>0</v>
      </c>
      <c r="AK51" s="40">
        <f t="shared" ref="AK51" si="3025">AJ51-AJ52+AK50</f>
        <v>0</v>
      </c>
      <c r="AL51" s="40">
        <f t="shared" ref="AL51" si="3026">AK51-AK52+AL50</f>
        <v>0</v>
      </c>
      <c r="AM51" s="40">
        <f t="shared" ref="AM51" si="3027">AL51-AL52+AM50</f>
        <v>0</v>
      </c>
      <c r="AN51" s="40">
        <f t="shared" ref="AN51" si="3028">AM51-AM52+AN50</f>
        <v>0</v>
      </c>
      <c r="AO51" s="40">
        <f t="shared" ref="AO51" si="3029">AN51-AN52+AO50</f>
        <v>0</v>
      </c>
      <c r="AP51" s="40">
        <f t="shared" ref="AP51" si="3030">AO51-AO52+AP50</f>
        <v>0</v>
      </c>
      <c r="AQ51" s="40">
        <f t="shared" ref="AQ51" si="3031">AP51-AP52+AQ50</f>
        <v>0</v>
      </c>
      <c r="AR51" s="40">
        <f t="shared" ref="AR51" si="3032">AQ51-AQ52+AR50</f>
        <v>0</v>
      </c>
      <c r="AS51" s="40">
        <f t="shared" ref="AS51" si="3033">AR51-AR52+AS50</f>
        <v>0</v>
      </c>
      <c r="AT51" s="40">
        <f t="shared" ref="AT51" si="3034">AS51-AS52+AT50</f>
        <v>0</v>
      </c>
      <c r="AU51" s="40">
        <f t="shared" ref="AU51" si="3035">AT51-AT52+AU50</f>
        <v>0</v>
      </c>
      <c r="AV51" s="40">
        <f t="shared" ref="AV51" si="3036">AU51-AU52+AV50</f>
        <v>0</v>
      </c>
      <c r="AW51" s="40">
        <f t="shared" ref="AW51" si="3037">AV51-AV52+AW50</f>
        <v>0</v>
      </c>
      <c r="AX51" s="40">
        <f t="shared" ref="AX51" si="3038">AW51-AW52+AX50</f>
        <v>0</v>
      </c>
      <c r="AY51" s="40">
        <f t="shared" ref="AY51" si="3039">AX51-AX52+AY50</f>
        <v>0</v>
      </c>
      <c r="AZ51" s="40">
        <f t="shared" ref="AZ51" si="3040">AY51-AY52+AZ50</f>
        <v>0</v>
      </c>
      <c r="BA51" s="40">
        <f t="shared" ref="BA51" si="3041">AZ51-AZ52+BA50</f>
        <v>0</v>
      </c>
      <c r="BB51" s="40">
        <f t="shared" ref="BB51" si="3042">BA51-BA52+BB50</f>
        <v>0</v>
      </c>
      <c r="BC51" s="40">
        <f t="shared" ref="BC51" si="3043">BB51-BB52+BC50</f>
        <v>0</v>
      </c>
      <c r="BD51" s="40">
        <f t="shared" ref="BD51" si="3044">BC51-BC52+BD50</f>
        <v>0</v>
      </c>
      <c r="BE51" s="40">
        <f t="shared" ref="BE51" si="3045">BD51-BD52+BE50</f>
        <v>0</v>
      </c>
      <c r="BF51" s="40">
        <f t="shared" ref="BF51" si="3046">BE51-BE52+BF50</f>
        <v>0</v>
      </c>
      <c r="BG51" s="40">
        <f t="shared" ref="BG51" si="3047">BF51-BF52+BG50</f>
        <v>0</v>
      </c>
      <c r="BH51" s="40">
        <f t="shared" ref="BH51" si="3048">BG51-BG52+BH50</f>
        <v>0</v>
      </c>
      <c r="BI51" s="40">
        <f t="shared" ref="BI51" si="3049">BH51-BH52+BI50</f>
        <v>0</v>
      </c>
      <c r="BJ51" s="40">
        <f t="shared" ref="BJ51" si="3050">BI51-BI52+BJ50</f>
        <v>0</v>
      </c>
      <c r="BK51" s="40">
        <f t="shared" ref="BK51" si="3051">BJ51-BJ52+BK50</f>
        <v>0</v>
      </c>
      <c r="BL51" s="40">
        <f t="shared" ref="BL51" si="3052">BK51-BK52+BL50</f>
        <v>0</v>
      </c>
      <c r="BM51" s="40">
        <f t="shared" ref="BM51" si="3053">BL51-BL52+BM50</f>
        <v>0</v>
      </c>
      <c r="BN51" s="40">
        <f t="shared" ref="BN51" si="3054">BM51-BM52+BN50</f>
        <v>0</v>
      </c>
      <c r="BO51" s="40">
        <f t="shared" ref="BO51" si="3055">BN51-BN52+BO50</f>
        <v>0</v>
      </c>
      <c r="BP51" s="40">
        <f t="shared" ref="BP51" si="3056">BO51-BO52+BP50</f>
        <v>0</v>
      </c>
      <c r="BQ51" s="40">
        <f t="shared" ref="BQ51" si="3057">BP51-BP52+BQ50</f>
        <v>0</v>
      </c>
      <c r="BR51" s="40">
        <f t="shared" ref="BR51" si="3058">BQ51-BQ52+BR50</f>
        <v>0</v>
      </c>
      <c r="BS51" s="40">
        <f t="shared" ref="BS51" si="3059">BR51-BR52+BS50</f>
        <v>0</v>
      </c>
      <c r="BT51" s="40">
        <f t="shared" ref="BT51" si="3060">BS51-BS52+BT50</f>
        <v>0</v>
      </c>
      <c r="BU51" s="40">
        <f t="shared" ref="BU51" si="3061">BT51-BT52+BU50</f>
        <v>0</v>
      </c>
      <c r="BV51" s="40">
        <f t="shared" ref="BV51" si="3062">BU51-BU52+BV50</f>
        <v>0</v>
      </c>
      <c r="BW51" s="40">
        <f t="shared" ref="BW51" si="3063">BV51-BV52+BW50</f>
        <v>0</v>
      </c>
      <c r="BX51" s="40">
        <f t="shared" ref="BX51" si="3064">BW51-BW52+BX50</f>
        <v>0</v>
      </c>
      <c r="BY51" s="40">
        <f t="shared" ref="BY51" si="3065">BX51-BX52+BY50</f>
        <v>0</v>
      </c>
      <c r="BZ51" s="40">
        <f t="shared" ref="BZ51" si="3066">BY51-BY52+BZ50</f>
        <v>0</v>
      </c>
      <c r="CA51" s="40">
        <f t="shared" ref="CA51" si="3067">BZ51-BZ52+CA50</f>
        <v>0</v>
      </c>
      <c r="CB51" s="40">
        <f t="shared" ref="CB51" si="3068">CA51-CA52+CB50</f>
        <v>0</v>
      </c>
      <c r="CC51" s="40">
        <f t="shared" ref="CC51" si="3069">CB51-CB52+CC50</f>
        <v>0</v>
      </c>
      <c r="CD51" s="40">
        <f t="shared" ref="CD51" si="3070">CC51-CC52+CD50</f>
        <v>0</v>
      </c>
      <c r="CE51" s="40">
        <f t="shared" ref="CE51" si="3071">CD51-CD52+CE50</f>
        <v>0</v>
      </c>
      <c r="CF51" s="40">
        <f t="shared" ref="CF51" si="3072">CE51-CE52+CF50</f>
        <v>0</v>
      </c>
      <c r="CG51" s="40">
        <f t="shared" ref="CG51" si="3073">CF51-CF52+CG50</f>
        <v>0</v>
      </c>
      <c r="CH51" s="40">
        <f t="shared" ref="CH51" si="3074">CG51-CG52+CH50</f>
        <v>0</v>
      </c>
      <c r="CI51" s="40">
        <f t="shared" ref="CI51" si="3075">CH51-CH52+CI50</f>
        <v>0</v>
      </c>
      <c r="CJ51" s="40">
        <f t="shared" ref="CJ51" si="3076">CI51-CI52+CJ50</f>
        <v>0</v>
      </c>
      <c r="CK51" s="40">
        <f t="shared" ref="CK51" si="3077">CJ51-CJ52+CK50</f>
        <v>0</v>
      </c>
      <c r="CL51" s="40">
        <f t="shared" ref="CL51" si="3078">CK51-CK52+CL50</f>
        <v>0</v>
      </c>
      <c r="CM51" s="40">
        <f t="shared" ref="CM51" si="3079">CL51-CL52+CM50</f>
        <v>0</v>
      </c>
      <c r="CN51" s="40">
        <f t="shared" ref="CN51" si="3080">CM51-CM52+CN50</f>
        <v>0</v>
      </c>
      <c r="CO51" s="40">
        <f t="shared" ref="CO51" si="3081">CN51-CN52+CO50</f>
        <v>0</v>
      </c>
      <c r="CP51" s="40">
        <f t="shared" ref="CP51" si="3082">CO51-CO52+CP50</f>
        <v>0</v>
      </c>
      <c r="CQ51" s="40">
        <f t="shared" ref="CQ51" si="3083">CP51-CP52+CQ50</f>
        <v>0</v>
      </c>
      <c r="CR51" s="40">
        <f t="shared" ref="CR51" si="3084">CQ51-CQ52+CR50</f>
        <v>0</v>
      </c>
      <c r="CS51" s="40">
        <f t="shared" ref="CS51" si="3085">CR51-CR52+CS50</f>
        <v>0</v>
      </c>
      <c r="CT51" s="40">
        <f t="shared" ref="CT51" si="3086">CS51-CS52+CT50</f>
        <v>0</v>
      </c>
      <c r="CU51" s="40">
        <f t="shared" ref="CU51" si="3087">CT51-CT52+CU50</f>
        <v>0</v>
      </c>
      <c r="CV51" s="40">
        <f t="shared" ref="CV51" si="3088">CU51-CU52+CV50</f>
        <v>0</v>
      </c>
      <c r="CW51" s="40">
        <f t="shared" ref="CW51" si="3089">CV51-CV52+CW50</f>
        <v>0</v>
      </c>
      <c r="CX51" s="40">
        <f t="shared" ref="CX51" si="3090">CW51-CW52+CX50</f>
        <v>0</v>
      </c>
      <c r="CY51" s="40">
        <f t="shared" ref="CY51" si="3091">CX51-CX52+CY50</f>
        <v>0</v>
      </c>
      <c r="CZ51" s="40">
        <f t="shared" ref="CZ51" si="3092">CY51-CY52+CZ50</f>
        <v>0</v>
      </c>
      <c r="DA51" s="40">
        <f t="shared" ref="DA51" si="3093">CZ51-CZ52+DA50</f>
        <v>0</v>
      </c>
      <c r="DB51" s="40">
        <f t="shared" ref="DB51" si="3094">DA51-DA52+DB50</f>
        <v>0</v>
      </c>
      <c r="DC51" s="40">
        <f t="shared" ref="DC51" si="3095">DB51-DB52+DC50</f>
        <v>0</v>
      </c>
      <c r="DD51" s="40">
        <f t="shared" ref="DD51" si="3096">DC51-DC52+DD50</f>
        <v>0</v>
      </c>
      <c r="DE51" s="40">
        <f t="shared" ref="DE51" si="3097">DD51-DD52+DE50</f>
        <v>0</v>
      </c>
      <c r="DF51" s="40">
        <f t="shared" ref="DF51" si="3098">DE51-DE52+DF50</f>
        <v>0</v>
      </c>
      <c r="DG51" s="40">
        <f t="shared" ref="DG51" si="3099">DF51-DF52+DG50</f>
        <v>0</v>
      </c>
      <c r="DH51" s="40">
        <f t="shared" ref="DH51" si="3100">DG51-DG52+DH50</f>
        <v>0</v>
      </c>
      <c r="DI51" s="40">
        <f t="shared" ref="DI51" si="3101">DH51-DH52+DI50</f>
        <v>0</v>
      </c>
      <c r="DJ51" s="40">
        <f t="shared" ref="DJ51" si="3102">DI51-DI52+DJ50</f>
        <v>0</v>
      </c>
      <c r="DK51" s="40">
        <f t="shared" ref="DK51" si="3103">DJ51-DJ52+DK50</f>
        <v>0</v>
      </c>
      <c r="DL51" s="40">
        <f t="shared" ref="DL51" si="3104">DK51-DK52+DL50</f>
        <v>0</v>
      </c>
      <c r="DM51" s="40">
        <f t="shared" ref="DM51" si="3105">DL51-DL52+DM50</f>
        <v>0</v>
      </c>
      <c r="DN51" s="40">
        <f t="shared" ref="DN51" si="3106">DM51-DM52+DN50</f>
        <v>0</v>
      </c>
      <c r="DO51" s="40">
        <f t="shared" ref="DO51" si="3107">DN51-DN52+DO50</f>
        <v>0</v>
      </c>
      <c r="DP51" s="40">
        <f t="shared" ref="DP51" si="3108">DO51-DO52+DP50</f>
        <v>0</v>
      </c>
      <c r="DQ51" s="40">
        <f t="shared" ref="DQ51" si="3109">DP51-DP52+DQ50</f>
        <v>0</v>
      </c>
      <c r="DR51" s="40">
        <f t="shared" ref="DR51" si="3110">DQ51-DQ52+DR50</f>
        <v>0</v>
      </c>
      <c r="DS51" s="40">
        <f t="shared" ref="DS51" si="3111">DR51-DR52+DS50</f>
        <v>0</v>
      </c>
      <c r="DT51" s="40">
        <f t="shared" ref="DT51" si="3112">DS51-DS52+DT50</f>
        <v>0</v>
      </c>
      <c r="DU51" s="40">
        <f t="shared" ref="DU51" si="3113">DT51-DT52+DU50</f>
        <v>0</v>
      </c>
      <c r="DV51" s="40">
        <f t="shared" ref="DV51" si="3114">DU51-DU52+DV50</f>
        <v>0</v>
      </c>
      <c r="DW51" s="40">
        <f t="shared" ref="DW51" si="3115">DV51-DV52+DW50</f>
        <v>0</v>
      </c>
      <c r="DX51" s="40">
        <f t="shared" ref="DX51" si="3116">DW51-DW52+DX50</f>
        <v>0</v>
      </c>
      <c r="DY51" s="40">
        <f t="shared" ref="DY51" si="3117">DX51-DX52+DY50</f>
        <v>0</v>
      </c>
      <c r="DZ51" s="40">
        <f t="shared" ref="DZ51" si="3118">DY51-DY52+DZ50</f>
        <v>0</v>
      </c>
      <c r="EA51" s="40">
        <f t="shared" ref="EA51" si="3119">DZ51-DZ52+EA50</f>
        <v>0</v>
      </c>
      <c r="EB51" s="40">
        <f t="shared" ref="EB51" si="3120">EA51-EA52+EB50</f>
        <v>0</v>
      </c>
      <c r="EC51" s="40">
        <f t="shared" ref="EC51" si="3121">EB51-EB52+EC50</f>
        <v>0</v>
      </c>
      <c r="ED51" s="40">
        <f t="shared" ref="ED51" si="3122">EC51-EC52+ED50</f>
        <v>0</v>
      </c>
      <c r="EE51" s="40">
        <f t="shared" ref="EE51" si="3123">ED51-ED52+EE50</f>
        <v>0</v>
      </c>
      <c r="EF51" s="40">
        <f t="shared" ref="EF51" si="3124">EE51-EE52+EF50</f>
        <v>0</v>
      </c>
      <c r="EG51" s="40">
        <f t="shared" ref="EG51" si="3125">EF51-EF52+EG50</f>
        <v>0</v>
      </c>
      <c r="EH51" s="40">
        <f t="shared" ref="EH51" si="3126">EG51-EG52+EH50</f>
        <v>0</v>
      </c>
      <c r="EI51" s="40">
        <f t="shared" ref="EI51" si="3127">EH51-EH52+EI50</f>
        <v>0</v>
      </c>
      <c r="EJ51" s="40">
        <f t="shared" ref="EJ51" si="3128">EI51-EI52+EJ50</f>
        <v>0</v>
      </c>
      <c r="EK51" s="40">
        <f t="shared" ref="EK51" si="3129">EJ51-EJ52+EK50</f>
        <v>0</v>
      </c>
      <c r="EL51" s="40">
        <f t="shared" ref="EL51" si="3130">EK51-EK52+EL50</f>
        <v>0</v>
      </c>
      <c r="EM51" s="40">
        <f t="shared" ref="EM51" si="3131">EL51-EL52+EM50</f>
        <v>0</v>
      </c>
      <c r="EN51" s="40">
        <f t="shared" ref="EN51" si="3132">EM51-EM52+EN50</f>
        <v>0</v>
      </c>
      <c r="EO51" s="40">
        <f t="shared" ref="EO51" si="3133">EN51-EN52+EO50</f>
        <v>0</v>
      </c>
      <c r="EP51" s="40">
        <f t="shared" ref="EP51" si="3134">EO51-EO52+EP50</f>
        <v>0</v>
      </c>
      <c r="EQ51" s="40">
        <f t="shared" ref="EQ51" si="3135">EP51-EP52+EQ50</f>
        <v>0</v>
      </c>
      <c r="ER51" s="40">
        <f t="shared" ref="ER51" si="3136">EQ51-EQ52+ER50</f>
        <v>0</v>
      </c>
      <c r="ES51" s="40">
        <f t="shared" ref="ES51" si="3137">ER51-ER52+ES50</f>
        <v>0</v>
      </c>
      <c r="ET51" s="40">
        <f t="shared" ref="ET51" si="3138">ES51-ES52+ET50</f>
        <v>0</v>
      </c>
      <c r="EU51" s="40">
        <f t="shared" ref="EU51" si="3139">ET51-ET52+EU50</f>
        <v>0</v>
      </c>
      <c r="EV51" s="40">
        <f t="shared" ref="EV51" si="3140">EU51-EU52+EV50</f>
        <v>0</v>
      </c>
      <c r="EW51" s="40">
        <f t="shared" ref="EW51" si="3141">EV51-EV52+EW50</f>
        <v>0</v>
      </c>
      <c r="EX51" s="40">
        <f t="shared" ref="EX51" si="3142">EW51-EW52+EX50</f>
        <v>0</v>
      </c>
      <c r="EY51" s="40">
        <f t="shared" ref="EY51" si="3143">EX51-EX52+EY50</f>
        <v>0</v>
      </c>
      <c r="EZ51" s="40">
        <f t="shared" ref="EZ51" si="3144">EY51-EY52+EZ50</f>
        <v>0</v>
      </c>
      <c r="FA51" s="40">
        <f t="shared" ref="FA51" si="3145">EZ51-EZ52+FA50</f>
        <v>0</v>
      </c>
      <c r="FB51" s="40">
        <f t="shared" ref="FB51" si="3146">FA51-FA52+FB50</f>
        <v>0</v>
      </c>
      <c r="FC51" s="40">
        <f t="shared" ref="FC51" si="3147">FB51-FB52+FC50</f>
        <v>0</v>
      </c>
      <c r="FD51" s="40">
        <f t="shared" ref="FD51" si="3148">FC51-FC52+FD50</f>
        <v>0</v>
      </c>
      <c r="FE51" s="40">
        <f t="shared" ref="FE51" si="3149">FD51-FD52+FE50</f>
        <v>0</v>
      </c>
      <c r="FF51" s="40">
        <f t="shared" ref="FF51" si="3150">FE51-FE52+FF50</f>
        <v>0</v>
      </c>
      <c r="FG51" s="40">
        <f t="shared" ref="FG51" si="3151">FF51-FF52+FG50</f>
        <v>0</v>
      </c>
      <c r="FH51" s="40">
        <f t="shared" ref="FH51" si="3152">FG51-FG52+FH50</f>
        <v>0</v>
      </c>
      <c r="FI51" s="40">
        <f t="shared" ref="FI51" si="3153">FH51-FH52+FI50</f>
        <v>0</v>
      </c>
      <c r="FJ51" s="40">
        <f t="shared" ref="FJ51" si="3154">FI51-FI52+FJ50</f>
        <v>0</v>
      </c>
      <c r="FK51" s="40">
        <f t="shared" ref="FK51" si="3155">FJ51-FJ52+FK50</f>
        <v>0</v>
      </c>
      <c r="FL51" s="40">
        <f t="shared" ref="FL51" si="3156">FK51-FK52+FL50</f>
        <v>0</v>
      </c>
      <c r="FM51" s="40">
        <f t="shared" ref="FM51" si="3157">FL51-FL52+FM50</f>
        <v>0</v>
      </c>
      <c r="FN51" s="40">
        <f t="shared" ref="FN51" si="3158">FM51-FM52+FN50</f>
        <v>0</v>
      </c>
      <c r="FO51" s="40">
        <f t="shared" ref="FO51" si="3159">FN51-FN52+FO50</f>
        <v>0</v>
      </c>
      <c r="FP51" s="40">
        <f t="shared" ref="FP51" si="3160">FO51-FO52+FP50</f>
        <v>0</v>
      </c>
      <c r="FQ51" s="40">
        <f t="shared" ref="FQ51" si="3161">FP51-FP52+FQ50</f>
        <v>0</v>
      </c>
      <c r="FR51" s="40">
        <f t="shared" ref="FR51" si="3162">FQ51-FQ52+FR50</f>
        <v>0</v>
      </c>
      <c r="FS51" s="40">
        <f t="shared" ref="FS51" si="3163">FR51-FR52+FS50</f>
        <v>0</v>
      </c>
      <c r="FT51" s="40">
        <f t="shared" ref="FT51" si="3164">FS51-FS52+FT50</f>
        <v>0</v>
      </c>
      <c r="FU51" s="40">
        <f t="shared" ref="FU51" si="3165">FT51-FT52+FU50</f>
        <v>0</v>
      </c>
      <c r="FV51" s="40">
        <f t="shared" ref="FV51" si="3166">FU51-FU52+FV50</f>
        <v>0</v>
      </c>
      <c r="FW51" s="40">
        <f t="shared" ref="FW51" si="3167">FV51-FV52+FW50</f>
        <v>0</v>
      </c>
      <c r="FX51" s="40">
        <f t="shared" ref="FX51" si="3168">FW51-FW52+FX50</f>
        <v>0</v>
      </c>
      <c r="FY51" s="40">
        <f t="shared" ref="FY51" si="3169">FX51-FX52+FY50</f>
        <v>0</v>
      </c>
      <c r="FZ51" s="40">
        <f t="shared" ref="FZ51" si="3170">FY51-FY52+FZ50</f>
        <v>0</v>
      </c>
      <c r="GA51" s="40">
        <f t="shared" ref="GA51" si="3171">FZ51-FZ52+GA50</f>
        <v>0</v>
      </c>
      <c r="GB51" s="40">
        <f t="shared" ref="GB51" si="3172">GA51-GA52+GB50</f>
        <v>0</v>
      </c>
      <c r="GC51" s="40">
        <f t="shared" ref="GC51" si="3173">GB51-GB52+GC50</f>
        <v>0</v>
      </c>
      <c r="GD51" s="40">
        <f t="shared" ref="GD51" si="3174">GC51-GC52+GD50</f>
        <v>0</v>
      </c>
      <c r="GE51" s="40">
        <f t="shared" ref="GE51" si="3175">GD51-GD52+GE50</f>
        <v>0</v>
      </c>
      <c r="GF51" s="40">
        <f t="shared" ref="GF51" si="3176">GE51-GE52+GF50</f>
        <v>0</v>
      </c>
      <c r="GG51" s="40">
        <f t="shared" ref="GG51" ca="1" si="3177">GF51-GF52+GG50</f>
        <v>0</v>
      </c>
      <c r="GH51" s="40">
        <f t="shared" ref="GH51" ca="1" si="3178">GG51-GG52+GH50</f>
        <v>0</v>
      </c>
      <c r="GI51" s="40">
        <f t="shared" ref="GI51" ca="1" si="3179">GH51-GH52+GI50</f>
        <v>0</v>
      </c>
      <c r="GJ51" s="40">
        <f t="shared" ref="GJ51" ca="1" si="3180">GI51-GI52+GJ50</f>
        <v>0</v>
      </c>
      <c r="GK51" s="40">
        <f t="shared" ref="GK51" ca="1" si="3181">GJ51-GJ52+GK50</f>
        <v>0</v>
      </c>
      <c r="GL51" s="40">
        <f t="shared" ref="GL51" ca="1" si="3182">GK51-GK52+GL50</f>
        <v>0</v>
      </c>
      <c r="GM51" s="40">
        <f t="shared" ref="GM51" ca="1" si="3183">GL51-GL52+GM50</f>
        <v>0</v>
      </c>
      <c r="GN51" s="40">
        <f t="shared" ref="GN51" ca="1" si="3184">GM51-GM52+GN50</f>
        <v>0</v>
      </c>
      <c r="GO51" s="40">
        <f t="shared" ref="GO51" ca="1" si="3185">GN51-GN52+GO50</f>
        <v>0</v>
      </c>
      <c r="GP51" s="40">
        <f t="shared" ref="GP51" ca="1" si="3186">GO51-GO52+GP50</f>
        <v>0</v>
      </c>
      <c r="GQ51" s="40">
        <f t="shared" ref="GQ51" ca="1" si="3187">GP51-GP52+GQ50</f>
        <v>0</v>
      </c>
      <c r="GR51" s="40">
        <f t="shared" ref="GR51" ca="1" si="3188">GQ51-GQ52+GR50</f>
        <v>0</v>
      </c>
      <c r="GS51" s="40">
        <f t="shared" ref="GS51" ca="1" si="3189">GR51-GR52+GS50</f>
        <v>0</v>
      </c>
      <c r="GT51" s="40">
        <f t="shared" ref="GT51" ca="1" si="3190">GS51-GS52+GT50</f>
        <v>0</v>
      </c>
      <c r="GU51" s="40">
        <f t="shared" ref="GU51" ca="1" si="3191">GT51-GT52+GU50</f>
        <v>0</v>
      </c>
      <c r="GV51" s="40">
        <f t="shared" ref="GV51" ca="1" si="3192">GU51-GU52+GV50</f>
        <v>0</v>
      </c>
      <c r="GW51" s="40">
        <f t="shared" ref="GW51" ca="1" si="3193">GV51-GV52+GW50</f>
        <v>0</v>
      </c>
      <c r="GX51" s="40">
        <f t="shared" ref="GX51" ca="1" si="3194">GW51-GW52+GX50</f>
        <v>0</v>
      </c>
      <c r="GY51" s="40">
        <f t="shared" ref="GY51" ca="1" si="3195">GX51-GX52+GY50</f>
        <v>0</v>
      </c>
      <c r="GZ51" s="40">
        <f t="shared" ref="GZ51" ca="1" si="3196">GY51-GY52+GZ50</f>
        <v>0</v>
      </c>
      <c r="HA51" s="40">
        <f t="shared" ref="HA51" ca="1" si="3197">GZ51-GZ52+HA50</f>
        <v>0</v>
      </c>
      <c r="HB51" s="40">
        <f t="shared" ref="HB51" ca="1" si="3198">HA51-HA52+HB50</f>
        <v>0</v>
      </c>
      <c r="HC51" s="40">
        <f t="shared" ref="HC51" ca="1" si="3199">HB51-HB52+HC50</f>
        <v>0</v>
      </c>
      <c r="HD51" s="40">
        <f t="shared" ref="HD51" ca="1" si="3200">HC51-HC52+HD50</f>
        <v>0</v>
      </c>
      <c r="HE51" s="40">
        <f t="shared" ref="HE51" ca="1" si="3201">HD51-HD52+HE50</f>
        <v>0</v>
      </c>
      <c r="HF51" s="40">
        <f t="shared" ref="HF51" ca="1" si="3202">HE51-HE52+HF50</f>
        <v>0</v>
      </c>
      <c r="HG51" s="40">
        <f t="shared" ref="HG51" ca="1" si="3203">HF51-HF52+HG50</f>
        <v>0</v>
      </c>
      <c r="HH51" s="40">
        <f t="shared" ref="HH51" ca="1" si="3204">HG51-HG52+HH50</f>
        <v>0</v>
      </c>
      <c r="HI51" s="40">
        <f t="shared" ref="HI51" ca="1" si="3205">HH51-HH52+HI50</f>
        <v>0</v>
      </c>
      <c r="HJ51" s="40">
        <f t="shared" ref="HJ51" ca="1" si="3206">HI51-HI52+HJ50</f>
        <v>0</v>
      </c>
      <c r="HK51" s="40">
        <f t="shared" ref="HK51" ca="1" si="3207">HJ51-HJ52+HK50</f>
        <v>0</v>
      </c>
      <c r="HL51" s="40">
        <f t="shared" ref="HL51" ca="1" si="3208">HK51-HK52+HL50</f>
        <v>0</v>
      </c>
      <c r="HM51" s="40">
        <f t="shared" ref="HM51" ca="1" si="3209">HL51-HL52+HM50</f>
        <v>0</v>
      </c>
      <c r="HN51" s="40">
        <f t="shared" ref="HN51" ca="1" si="3210">HM51-HM52+HN50</f>
        <v>0</v>
      </c>
      <c r="HO51" s="40">
        <f t="shared" ref="HO51" ca="1" si="3211">HN51-HN52+HO50</f>
        <v>0</v>
      </c>
      <c r="HP51" s="40">
        <f t="shared" ref="HP51" ca="1" si="3212">HO51-HO52+HP50</f>
        <v>0</v>
      </c>
      <c r="HQ51" s="40">
        <f t="shared" ref="HQ51" ca="1" si="3213">HP51-HP52+HQ50</f>
        <v>0</v>
      </c>
      <c r="HR51" s="40">
        <f t="shared" ref="HR51" ca="1" si="3214">HQ51-HQ52+HR50</f>
        <v>0</v>
      </c>
      <c r="HS51" s="40">
        <f t="shared" ref="HS51" ca="1" si="3215">HR51-HR52+HS50</f>
        <v>0</v>
      </c>
      <c r="HT51" s="40">
        <f t="shared" ref="HT51" ca="1" si="3216">HS51-HS52+HT50</f>
        <v>0</v>
      </c>
      <c r="HU51" s="40">
        <f t="shared" ref="HU51" ca="1" si="3217">HT51-HT52+HU50</f>
        <v>0</v>
      </c>
      <c r="HV51" s="40">
        <f t="shared" ref="HV51" ca="1" si="3218">HU51-HU52+HV50</f>
        <v>0</v>
      </c>
      <c r="HW51" s="40">
        <f t="shared" ref="HW51" ca="1" si="3219">HV51-HV52+HW50</f>
        <v>0</v>
      </c>
      <c r="HX51" s="40">
        <f t="shared" ref="HX51" ca="1" si="3220">HW51-HW52+HX50</f>
        <v>0</v>
      </c>
      <c r="HY51" s="40">
        <f t="shared" ref="HY51" ca="1" si="3221">HX51-HX52+HY50</f>
        <v>0</v>
      </c>
      <c r="HZ51" s="40">
        <f t="shared" ref="HZ51" ca="1" si="3222">HY51-HY52+HZ50</f>
        <v>0</v>
      </c>
      <c r="IA51" s="40">
        <f t="shared" ref="IA51" ca="1" si="3223">HZ51-HZ52+IA50</f>
        <v>0</v>
      </c>
      <c r="IB51" s="40">
        <f t="shared" ref="IB51" ca="1" si="3224">IA51-IA52+IB50</f>
        <v>0</v>
      </c>
      <c r="IC51" s="40">
        <f t="shared" ref="IC51" ca="1" si="3225">IB51-IB52+IC50</f>
        <v>0</v>
      </c>
      <c r="ID51" s="40">
        <f t="shared" ref="ID51" ca="1" si="3226">IC51-IC52+ID50</f>
        <v>0</v>
      </c>
      <c r="IE51" s="40">
        <f t="shared" ref="IE51" ca="1" si="3227">ID51-ID52+IE50</f>
        <v>0</v>
      </c>
      <c r="IF51" s="40">
        <f t="shared" ref="IF51" ca="1" si="3228">IE51-IE52+IF50</f>
        <v>0</v>
      </c>
      <c r="IG51" s="40">
        <f t="shared" ref="IG51" ca="1" si="3229">IF51-IF52+IG50</f>
        <v>0</v>
      </c>
      <c r="IH51" s="40">
        <f t="shared" ref="IH51" ca="1" si="3230">IG51-IG52+IH50</f>
        <v>0</v>
      </c>
      <c r="II51" s="40">
        <f t="shared" ref="II51" ca="1" si="3231">IH51-IH52+II50</f>
        <v>0</v>
      </c>
      <c r="IJ51" s="40">
        <f t="shared" ref="IJ51" ca="1" si="3232">II51-II52+IJ50</f>
        <v>0</v>
      </c>
      <c r="IK51" s="40">
        <f t="shared" ref="IK51" ca="1" si="3233">IJ51-IJ52+IK50</f>
        <v>0</v>
      </c>
      <c r="IL51" s="40">
        <f t="shared" ref="IL51" ca="1" si="3234">IK51-IK52+IL50</f>
        <v>0</v>
      </c>
      <c r="IM51" s="40">
        <f t="shared" ref="IM51" ca="1" si="3235">IL51-IL52+IM50</f>
        <v>0</v>
      </c>
      <c r="IN51" s="40">
        <f t="shared" ref="IN51" ca="1" si="3236">IM51-IM52+IN50</f>
        <v>0</v>
      </c>
      <c r="IO51" s="40">
        <f t="shared" ref="IO51" ca="1" si="3237">IN51-IN52+IO50</f>
        <v>0</v>
      </c>
      <c r="IP51" s="40">
        <f t="shared" ref="IP51" ca="1" si="3238">IO51-IO52+IP50</f>
        <v>0</v>
      </c>
      <c r="IQ51" s="40">
        <f t="shared" ref="IQ51" ca="1" si="3239">IP51-IP52+IQ50</f>
        <v>0</v>
      </c>
      <c r="IR51" s="40">
        <f t="shared" ref="IR51" ca="1" si="3240">IQ51-IQ52+IR50</f>
        <v>0</v>
      </c>
      <c r="IS51" s="40">
        <f t="shared" ref="IS51" ca="1" si="3241">IR51-IR52+IS50</f>
        <v>0</v>
      </c>
      <c r="IT51" s="40">
        <f t="shared" ref="IT51" ca="1" si="3242">IS51-IS52+IT50</f>
        <v>0</v>
      </c>
      <c r="IU51" s="40">
        <f t="shared" ref="IU51" ca="1" si="3243">IT51-IT52+IU50</f>
        <v>0</v>
      </c>
      <c r="IV51" s="40">
        <f t="shared" ref="IV51" ca="1" si="3244">IU51-IU52+IV50</f>
        <v>0</v>
      </c>
      <c r="IW51" s="40">
        <f t="shared" ref="IW51" ca="1" si="3245">IV51-IV52+IW50</f>
        <v>0</v>
      </c>
      <c r="IX51" s="40">
        <f t="shared" ref="IX51" ca="1" si="3246">IW51-IW52+IX50</f>
        <v>0</v>
      </c>
      <c r="IY51" s="40">
        <f t="shared" ref="IY51" ca="1" si="3247">IX51-IX52+IY50</f>
        <v>0</v>
      </c>
      <c r="IZ51" s="40">
        <f t="shared" ref="IZ51" ca="1" si="3248">IY51-IY52+IZ50</f>
        <v>0</v>
      </c>
      <c r="JA51" s="40">
        <f t="shared" ref="JA51" ca="1" si="3249">IZ51-IZ52+JA50</f>
        <v>0</v>
      </c>
      <c r="JB51" s="40">
        <f t="shared" ref="JB51" ca="1" si="3250">JA51-JA52+JB50</f>
        <v>0</v>
      </c>
      <c r="JC51" s="40">
        <f t="shared" ref="JC51" ca="1" si="3251">JB51-JB52+JC50</f>
        <v>0</v>
      </c>
      <c r="JD51" s="40">
        <f t="shared" ref="JD51" ca="1" si="3252">JC51-JC52+JD50</f>
        <v>0</v>
      </c>
      <c r="JE51" s="40">
        <f t="shared" ref="JE51" ca="1" si="3253">JD51-JD52+JE50</f>
        <v>0</v>
      </c>
      <c r="JF51" s="40">
        <f t="shared" ref="JF51" ca="1" si="3254">JE51-JE52+JF50</f>
        <v>0</v>
      </c>
      <c r="JG51" s="40">
        <f t="shared" ref="JG51" ca="1" si="3255">JF51-JF52+JG50</f>
        <v>0</v>
      </c>
      <c r="JH51" s="40">
        <f t="shared" ref="JH51" ca="1" si="3256">JG51-JG52+JH50</f>
        <v>0</v>
      </c>
      <c r="JI51" s="40">
        <f t="shared" ref="JI51" ca="1" si="3257">JH51-JH52+JI50</f>
        <v>0</v>
      </c>
      <c r="JJ51" s="40">
        <f t="shared" ref="JJ51" ca="1" si="3258">JI51-JI52+JJ50</f>
        <v>0</v>
      </c>
      <c r="JK51" s="40">
        <f t="shared" ref="JK51" ca="1" si="3259">JJ51-JJ52+JK50</f>
        <v>0</v>
      </c>
      <c r="JL51" s="40">
        <f t="shared" ref="JL51" ca="1" si="3260">JK51-JK52+JL50</f>
        <v>0</v>
      </c>
      <c r="JM51" s="40">
        <f t="shared" ref="JM51" ca="1" si="3261">JL51-JL52+JM50</f>
        <v>0</v>
      </c>
      <c r="JN51" s="40">
        <f t="shared" ref="JN51" ca="1" si="3262">JM51-JM52+JN50</f>
        <v>0</v>
      </c>
      <c r="JO51" s="40">
        <f t="shared" ref="JO51" ca="1" si="3263">JN51-JN52+JO50</f>
        <v>0</v>
      </c>
      <c r="JP51" s="40">
        <f t="shared" ref="JP51" ca="1" si="3264">JO51-JO52+JP50</f>
        <v>0</v>
      </c>
      <c r="JQ51" s="40">
        <f t="shared" ref="JQ51" ca="1" si="3265">JP51-JP52+JQ50</f>
        <v>0</v>
      </c>
      <c r="JR51" s="40">
        <f t="shared" ref="JR51" ca="1" si="3266">JQ51-JQ52+JR50</f>
        <v>0</v>
      </c>
      <c r="JS51" s="40">
        <f t="shared" ref="JS51" ca="1" si="3267">JR51-JR52+JS50</f>
        <v>0</v>
      </c>
      <c r="JT51" s="40">
        <f t="shared" ref="JT51" ca="1" si="3268">JS51-JS52+JT50</f>
        <v>0</v>
      </c>
      <c r="JU51" s="40">
        <f t="shared" ref="JU51" ca="1" si="3269">JT51-JT52+JU50</f>
        <v>0</v>
      </c>
      <c r="JV51" s="40">
        <f t="shared" ref="JV51" ca="1" si="3270">JU51-JU52+JV50</f>
        <v>0</v>
      </c>
      <c r="JW51" s="40">
        <f t="shared" ref="JW51" ca="1" si="3271">JV51-JV52+JW50</f>
        <v>0</v>
      </c>
      <c r="JX51" s="40">
        <f t="shared" ref="JX51" ca="1" si="3272">JW51-JW52+JX50</f>
        <v>0</v>
      </c>
      <c r="JY51" s="40">
        <f t="shared" ref="JY51" ca="1" si="3273">JX51-JX52+JY50</f>
        <v>0</v>
      </c>
      <c r="JZ51" s="40">
        <f t="shared" ref="JZ51" ca="1" si="3274">JY51-JY52+JZ50</f>
        <v>0</v>
      </c>
      <c r="KA51" s="40">
        <f t="shared" ref="KA51" ca="1" si="3275">JZ51-JZ52+KA50</f>
        <v>0</v>
      </c>
      <c r="KB51" s="40">
        <f t="shared" ref="KB51" ca="1" si="3276">KA51-KA52+KB50</f>
        <v>0</v>
      </c>
      <c r="KC51" s="40">
        <f t="shared" ref="KC51" ca="1" si="3277">KB51-KB52+KC50</f>
        <v>0</v>
      </c>
      <c r="KD51" s="40">
        <f t="shared" ref="KD51" ca="1" si="3278">KC51-KC52+KD50</f>
        <v>0</v>
      </c>
      <c r="KE51" s="40">
        <f t="shared" ref="KE51" ca="1" si="3279">KD51-KD52+KE50</f>
        <v>0</v>
      </c>
      <c r="KF51" s="40">
        <f t="shared" ref="KF51" ca="1" si="3280">KE51-KE52+KF50</f>
        <v>0</v>
      </c>
      <c r="KG51" s="40">
        <f t="shared" ref="KG51" ca="1" si="3281">KF51-KF52+KG50</f>
        <v>0</v>
      </c>
      <c r="KH51" s="40">
        <f t="shared" ref="KH51" ca="1" si="3282">KG51-KG52+KH50</f>
        <v>0</v>
      </c>
      <c r="KI51" s="40">
        <f t="shared" ref="KI51" ca="1" si="3283">KH51-KH52+KI50</f>
        <v>0</v>
      </c>
      <c r="KJ51" s="40">
        <f t="shared" ref="KJ51" ca="1" si="3284">KI51-KI52+KJ50</f>
        <v>0</v>
      </c>
      <c r="KK51" s="40">
        <f t="shared" ref="KK51" ca="1" si="3285">KJ51-KJ52+KK50</f>
        <v>0</v>
      </c>
      <c r="KL51" s="40">
        <f t="shared" ref="KL51" ca="1" si="3286">KK51-KK52+KL50</f>
        <v>0</v>
      </c>
      <c r="KM51" s="40">
        <f t="shared" ref="KM51" ca="1" si="3287">KL51-KL52+KM50</f>
        <v>0</v>
      </c>
      <c r="KN51" s="40">
        <f t="shared" ref="KN51" ca="1" si="3288">KM51-KM52+KN50</f>
        <v>0</v>
      </c>
      <c r="KO51" s="40">
        <f t="shared" ref="KO51" ca="1" si="3289">KN51-KN52+KO50</f>
        <v>0</v>
      </c>
      <c r="KP51" s="40">
        <f t="shared" ref="KP51" ca="1" si="3290">KO51-KO52+KP50</f>
        <v>0</v>
      </c>
      <c r="KQ51" s="40">
        <f t="shared" ref="KQ51" ca="1" si="3291">KP51-KP52+KQ50</f>
        <v>0</v>
      </c>
      <c r="KR51" s="40">
        <f t="shared" ref="KR51" ca="1" si="3292">KQ51-KQ52+KR50</f>
        <v>0</v>
      </c>
      <c r="KS51" s="40">
        <f t="shared" ref="KS51" ca="1" si="3293">KR51-KR52+KS50</f>
        <v>0</v>
      </c>
      <c r="KT51" s="40">
        <f t="shared" ref="KT51" ca="1" si="3294">KS51-KS52+KT50</f>
        <v>0</v>
      </c>
      <c r="KU51" s="40">
        <f t="shared" ref="KU51" ca="1" si="3295">KT51-KT52+KU50</f>
        <v>0</v>
      </c>
      <c r="KV51" s="40">
        <f t="shared" ref="KV51" ca="1" si="3296">KU51-KU52+KV50</f>
        <v>0</v>
      </c>
      <c r="KW51" s="40">
        <f t="shared" ref="KW51" ca="1" si="3297">KV51-KV52+KW50</f>
        <v>0</v>
      </c>
      <c r="KX51" s="40">
        <f t="shared" ref="KX51" ca="1" si="3298">KW51-KW52+KX50</f>
        <v>0</v>
      </c>
      <c r="KY51" s="40">
        <f t="shared" ref="KY51" ca="1" si="3299">KX51-KX52+KY50</f>
        <v>0</v>
      </c>
      <c r="KZ51" s="40">
        <f t="shared" ref="KZ51" ca="1" si="3300">KY51-KY52+KZ50</f>
        <v>0</v>
      </c>
      <c r="LA51" s="40">
        <f t="shared" ref="LA51" ca="1" si="3301">KZ51-KZ52+LA50</f>
        <v>0</v>
      </c>
      <c r="LB51" s="40">
        <f t="shared" ref="LB51" ca="1" si="3302">LA51-LA52+LB50</f>
        <v>0</v>
      </c>
      <c r="LC51" s="40">
        <f t="shared" ref="LC51" ca="1" si="3303">LB51-LB52+LC50</f>
        <v>0</v>
      </c>
      <c r="LD51" s="40">
        <f t="shared" ref="LD51" ca="1" si="3304">LC51-LC52+LD50</f>
        <v>0</v>
      </c>
      <c r="LE51" s="40">
        <f t="shared" ref="LE51" ca="1" si="3305">LD51-LD52+LE50</f>
        <v>0</v>
      </c>
      <c r="LF51" s="40">
        <f t="shared" ref="LF51" ca="1" si="3306">LE51-LE52+LF50</f>
        <v>0</v>
      </c>
      <c r="LG51" s="40">
        <f t="shared" ref="LG51" ca="1" si="3307">LF51-LF52+LG50</f>
        <v>0</v>
      </c>
      <c r="LH51" s="40">
        <f t="shared" ref="LH51" ca="1" si="3308">LG51-LG52+LH50</f>
        <v>0</v>
      </c>
      <c r="LI51" s="40">
        <f t="shared" ref="LI51" ca="1" si="3309">LH51-LH52+LI50</f>
        <v>0</v>
      </c>
      <c r="LJ51" s="40">
        <f t="shared" ref="LJ51" ca="1" si="3310">LI51-LI52+LJ50</f>
        <v>0</v>
      </c>
      <c r="LK51" s="40">
        <f t="shared" ref="LK51" ca="1" si="3311">LJ51-LJ52+LK50</f>
        <v>0</v>
      </c>
      <c r="LL51" s="40">
        <f t="shared" ref="LL51" ca="1" si="3312">LK51-LK52+LL50</f>
        <v>0</v>
      </c>
      <c r="LM51" s="40">
        <f t="shared" ref="LM51" ca="1" si="3313">LL51-LL52+LM50</f>
        <v>0</v>
      </c>
      <c r="LN51" s="40">
        <f t="shared" ref="LN51" ca="1" si="3314">LM51-LM52+LN50</f>
        <v>0</v>
      </c>
      <c r="LO51" s="40">
        <f t="shared" ref="LO51" ca="1" si="3315">LN51-LN52+LO50</f>
        <v>0</v>
      </c>
      <c r="LP51" s="40">
        <f t="shared" ref="LP51" ca="1" si="3316">LO51-LO52+LP50</f>
        <v>0</v>
      </c>
      <c r="LQ51" s="40">
        <f t="shared" ref="LQ51" ca="1" si="3317">LP51-LP52+LQ50</f>
        <v>0</v>
      </c>
      <c r="LR51" s="40">
        <f t="shared" ref="LR51" ca="1" si="3318">LQ51-LQ52+LR50</f>
        <v>0</v>
      </c>
      <c r="LS51" s="40">
        <f t="shared" ref="LS51" ca="1" si="3319">LR51-LR52+LS50</f>
        <v>0</v>
      </c>
      <c r="LT51" s="40">
        <f t="shared" ref="LT51" ca="1" si="3320">LS51-LS52+LT50</f>
        <v>0</v>
      </c>
      <c r="LU51" s="40">
        <f t="shared" ref="LU51" ca="1" si="3321">LT51-LT52+LU50</f>
        <v>0</v>
      </c>
      <c r="LV51" s="40">
        <f t="shared" ref="LV51" ca="1" si="3322">LU51-LU52+LV50</f>
        <v>0</v>
      </c>
      <c r="LW51" s="40">
        <f t="shared" ref="LW51" ca="1" si="3323">LV51-LV52+LW50</f>
        <v>0</v>
      </c>
      <c r="LX51" s="40">
        <f t="shared" ref="LX51" ca="1" si="3324">LW51-LW52+LX50</f>
        <v>0</v>
      </c>
      <c r="LY51" s="40">
        <f t="shared" ref="LY51" ca="1" si="3325">LX51-LX52+LY50</f>
        <v>0</v>
      </c>
      <c r="LZ51" s="40">
        <f t="shared" ref="LZ51" ca="1" si="3326">LY51-LY52+LZ50</f>
        <v>0</v>
      </c>
      <c r="MA51" s="40">
        <f t="shared" ref="MA51" ca="1" si="3327">LZ51-LZ52+MA50</f>
        <v>0</v>
      </c>
      <c r="MB51" s="40">
        <f t="shared" ref="MB51" ca="1" si="3328">MA51-MA52+MB50</f>
        <v>0</v>
      </c>
      <c r="MC51" s="40">
        <f t="shared" ref="MC51" ca="1" si="3329">MB51-MB52+MC50</f>
        <v>0</v>
      </c>
      <c r="MD51" s="40">
        <f t="shared" ref="MD51" ca="1" si="3330">MC51-MC52+MD50</f>
        <v>0</v>
      </c>
      <c r="ME51" s="40">
        <f t="shared" ref="ME51" ca="1" si="3331">MD51-MD52+ME50</f>
        <v>0</v>
      </c>
      <c r="MF51" s="40">
        <f t="shared" ref="MF51" ca="1" si="3332">ME51-ME52+MF50</f>
        <v>0</v>
      </c>
      <c r="MG51" s="40">
        <f t="shared" ref="MG51" ca="1" si="3333">MF51-MF52+MG50</f>
        <v>0</v>
      </c>
      <c r="MH51" s="40">
        <f t="shared" ref="MH51" ca="1" si="3334">MG51-MG52+MH50</f>
        <v>0</v>
      </c>
      <c r="MI51" s="40">
        <f t="shared" ref="MI51" ca="1" si="3335">MH51-MH52+MI50</f>
        <v>0</v>
      </c>
      <c r="MJ51" s="40">
        <f t="shared" ref="MJ51" ca="1" si="3336">MI51-MI52+MJ50</f>
        <v>0</v>
      </c>
      <c r="MK51" s="40">
        <f t="shared" ref="MK51" ca="1" si="3337">MJ51-MJ52+MK50</f>
        <v>0</v>
      </c>
      <c r="ML51" s="40">
        <f t="shared" ref="ML51" ca="1" si="3338">MK51-MK52+ML50</f>
        <v>0</v>
      </c>
      <c r="MM51" s="40">
        <f t="shared" ref="MM51" ca="1" si="3339">ML51-ML52+MM50</f>
        <v>0</v>
      </c>
      <c r="MN51" s="40">
        <f t="shared" ref="MN51" ca="1" si="3340">MM51-MM52+MN50</f>
        <v>0</v>
      </c>
      <c r="MO51" s="40">
        <f t="shared" ref="MO51" ca="1" si="3341">MN51-MN52+MO50</f>
        <v>0</v>
      </c>
      <c r="MP51" s="40">
        <f t="shared" ref="MP51" ca="1" si="3342">MO51-MO52+MP50</f>
        <v>0</v>
      </c>
      <c r="MQ51" s="40">
        <f t="shared" ref="MQ51" ca="1" si="3343">MP51-MP52+MQ50</f>
        <v>0</v>
      </c>
      <c r="MR51" s="40">
        <f t="shared" ref="MR51" ca="1" si="3344">MQ51-MQ52+MR50</f>
        <v>0</v>
      </c>
      <c r="MS51" s="40">
        <f t="shared" ref="MS51" ca="1" si="3345">MR51-MR52+MS50</f>
        <v>0</v>
      </c>
      <c r="MT51" s="40">
        <f t="shared" ref="MT51" ca="1" si="3346">MS51-MS52+MT50</f>
        <v>0</v>
      </c>
      <c r="MU51" s="40">
        <f t="shared" ref="MU51" ca="1" si="3347">MT51-MT52+MU50</f>
        <v>0</v>
      </c>
      <c r="MV51" s="40">
        <f t="shared" ref="MV51" ca="1" si="3348">MU51-MU52+MV50</f>
        <v>0</v>
      </c>
      <c r="MW51" s="40">
        <f t="shared" ref="MW51" ca="1" si="3349">MV51-MV52+MW50</f>
        <v>0</v>
      </c>
      <c r="MX51" s="40">
        <f t="shared" ref="MX51" ca="1" si="3350">MW51-MW52+MX50</f>
        <v>0</v>
      </c>
      <c r="MY51" s="40">
        <f t="shared" ref="MY51" ca="1" si="3351">MX51-MX52+MY50</f>
        <v>0</v>
      </c>
      <c r="MZ51" s="40">
        <f t="shared" ref="MZ51" ca="1" si="3352">MY51-MY52+MZ50</f>
        <v>0</v>
      </c>
      <c r="NA51" s="40">
        <f t="shared" ref="NA51" ca="1" si="3353">MZ51-MZ52+NA50</f>
        <v>0</v>
      </c>
      <c r="NB51" s="40">
        <f t="shared" ref="NB51" ca="1" si="3354">NA51-NA52+NB50</f>
        <v>0</v>
      </c>
      <c r="NC51" s="40">
        <f t="shared" ref="NC51" ca="1" si="3355">NB51-NB52+NC50</f>
        <v>0</v>
      </c>
      <c r="ND51" s="40">
        <f t="shared" ref="ND51" ca="1" si="3356">NC51-NC52+ND50</f>
        <v>0</v>
      </c>
      <c r="NE51" s="40"/>
      <c r="NF51" s="40"/>
      <c r="NG51" s="40"/>
      <c r="NH51" s="40"/>
      <c r="NI51" s="40"/>
      <c r="NJ51" s="40"/>
      <c r="NK51" s="40"/>
      <c r="NL51" s="40"/>
      <c r="NM51" s="40"/>
      <c r="NN51" s="40"/>
      <c r="NO51" s="40"/>
      <c r="NP51" s="40"/>
      <c r="NQ51" s="40"/>
      <c r="NR51" s="40"/>
    </row>
    <row r="52" spans="2:382" x14ac:dyDescent="0.15">
      <c r="B52" s="518"/>
      <c r="C52" s="115" t="str">
        <f>_xlfn.CONCAT($C$6," Preferred Return Paid")</f>
        <v>- Preferred Return Paid</v>
      </c>
      <c r="D52" s="52"/>
      <c r="E52" s="40"/>
      <c r="F52" s="40"/>
      <c r="G52" s="114"/>
      <c r="H52" s="40"/>
      <c r="I52" s="40">
        <f>IF(SUM(I$27,I$35,I$43,I$51,I$59)&gt;0,MIN(I51,I51/SUM(I$27,I$35,I$43,I$51,I$59)*I$23),0)</f>
        <v>0</v>
      </c>
      <c r="J52" s="40">
        <f>IF(SUM(J$27,J$35,J$43,J$51,J$59)&gt;0,MIN(J51,J51/SUM(J$27,J$35,J$43,J$51,J$59)*J$23),0)</f>
        <v>0</v>
      </c>
      <c r="K52" s="40">
        <f t="shared" ref="K52:BV52" si="3357">IF(SUM(K$27,K$35,K$43,K$51,K$59)&gt;0,MIN(K51,K51/SUM(K$27,K$35,K$43,K$51,K$59)*K$23),0)</f>
        <v>0</v>
      </c>
      <c r="L52" s="40">
        <f t="shared" si="3357"/>
        <v>0</v>
      </c>
      <c r="M52" s="40">
        <f t="shared" si="3357"/>
        <v>0</v>
      </c>
      <c r="N52" s="40">
        <f t="shared" si="3357"/>
        <v>0</v>
      </c>
      <c r="O52" s="40">
        <f t="shared" si="3357"/>
        <v>0</v>
      </c>
      <c r="P52" s="40">
        <f t="shared" si="3357"/>
        <v>0</v>
      </c>
      <c r="Q52" s="40">
        <f t="shared" si="3357"/>
        <v>0</v>
      </c>
      <c r="R52" s="40">
        <f t="shared" si="3357"/>
        <v>0</v>
      </c>
      <c r="S52" s="40">
        <f t="shared" si="3357"/>
        <v>0</v>
      </c>
      <c r="T52" s="40">
        <f t="shared" si="3357"/>
        <v>0</v>
      </c>
      <c r="U52" s="40">
        <f t="shared" si="3357"/>
        <v>0</v>
      </c>
      <c r="V52" s="40">
        <f t="shared" si="3357"/>
        <v>0</v>
      </c>
      <c r="W52" s="40">
        <f t="shared" si="3357"/>
        <v>0</v>
      </c>
      <c r="X52" s="40">
        <f t="shared" si="3357"/>
        <v>0</v>
      </c>
      <c r="Y52" s="40">
        <f t="shared" si="3357"/>
        <v>0</v>
      </c>
      <c r="Z52" s="40">
        <f t="shared" si="3357"/>
        <v>0</v>
      </c>
      <c r="AA52" s="40">
        <f t="shared" si="3357"/>
        <v>0</v>
      </c>
      <c r="AB52" s="40">
        <f t="shared" si="3357"/>
        <v>0</v>
      </c>
      <c r="AC52" s="40">
        <f t="shared" si="3357"/>
        <v>0</v>
      </c>
      <c r="AD52" s="40">
        <f t="shared" si="3357"/>
        <v>0</v>
      </c>
      <c r="AE52" s="40">
        <f t="shared" si="3357"/>
        <v>0</v>
      </c>
      <c r="AF52" s="40">
        <f t="shared" si="3357"/>
        <v>0</v>
      </c>
      <c r="AG52" s="40">
        <f t="shared" si="3357"/>
        <v>0</v>
      </c>
      <c r="AH52" s="40">
        <f t="shared" si="3357"/>
        <v>0</v>
      </c>
      <c r="AI52" s="40">
        <f t="shared" si="3357"/>
        <v>0</v>
      </c>
      <c r="AJ52" s="40">
        <f t="shared" si="3357"/>
        <v>0</v>
      </c>
      <c r="AK52" s="40">
        <f t="shared" si="3357"/>
        <v>0</v>
      </c>
      <c r="AL52" s="40">
        <f t="shared" si="3357"/>
        <v>0</v>
      </c>
      <c r="AM52" s="40">
        <f t="shared" si="3357"/>
        <v>0</v>
      </c>
      <c r="AN52" s="40">
        <f t="shared" si="3357"/>
        <v>0</v>
      </c>
      <c r="AO52" s="40">
        <f t="shared" si="3357"/>
        <v>0</v>
      </c>
      <c r="AP52" s="40">
        <f t="shared" si="3357"/>
        <v>0</v>
      </c>
      <c r="AQ52" s="40">
        <f t="shared" si="3357"/>
        <v>0</v>
      </c>
      <c r="AR52" s="40">
        <f t="shared" si="3357"/>
        <v>0</v>
      </c>
      <c r="AS52" s="40">
        <f t="shared" si="3357"/>
        <v>0</v>
      </c>
      <c r="AT52" s="40">
        <f t="shared" si="3357"/>
        <v>0</v>
      </c>
      <c r="AU52" s="40">
        <f t="shared" si="3357"/>
        <v>0</v>
      </c>
      <c r="AV52" s="40">
        <f t="shared" si="3357"/>
        <v>0</v>
      </c>
      <c r="AW52" s="40">
        <f t="shared" si="3357"/>
        <v>0</v>
      </c>
      <c r="AX52" s="40">
        <f t="shared" si="3357"/>
        <v>0</v>
      </c>
      <c r="AY52" s="40">
        <f t="shared" si="3357"/>
        <v>0</v>
      </c>
      <c r="AZ52" s="40">
        <f t="shared" si="3357"/>
        <v>0</v>
      </c>
      <c r="BA52" s="40">
        <f t="shared" si="3357"/>
        <v>0</v>
      </c>
      <c r="BB52" s="40">
        <f t="shared" si="3357"/>
        <v>0</v>
      </c>
      <c r="BC52" s="40">
        <f t="shared" si="3357"/>
        <v>0</v>
      </c>
      <c r="BD52" s="40">
        <f t="shared" si="3357"/>
        <v>0</v>
      </c>
      <c r="BE52" s="40">
        <f t="shared" si="3357"/>
        <v>0</v>
      </c>
      <c r="BF52" s="40">
        <f t="shared" si="3357"/>
        <v>0</v>
      </c>
      <c r="BG52" s="40">
        <f t="shared" si="3357"/>
        <v>0</v>
      </c>
      <c r="BH52" s="40">
        <f t="shared" si="3357"/>
        <v>0</v>
      </c>
      <c r="BI52" s="40">
        <f t="shared" si="3357"/>
        <v>0</v>
      </c>
      <c r="BJ52" s="40">
        <f t="shared" si="3357"/>
        <v>0</v>
      </c>
      <c r="BK52" s="40">
        <f t="shared" si="3357"/>
        <v>0</v>
      </c>
      <c r="BL52" s="40">
        <f t="shared" si="3357"/>
        <v>0</v>
      </c>
      <c r="BM52" s="40">
        <f t="shared" si="3357"/>
        <v>0</v>
      </c>
      <c r="BN52" s="40">
        <f t="shared" si="3357"/>
        <v>0</v>
      </c>
      <c r="BO52" s="40">
        <f t="shared" si="3357"/>
        <v>0</v>
      </c>
      <c r="BP52" s="40">
        <f t="shared" si="3357"/>
        <v>0</v>
      </c>
      <c r="BQ52" s="40">
        <f t="shared" si="3357"/>
        <v>0</v>
      </c>
      <c r="BR52" s="40">
        <f t="shared" si="3357"/>
        <v>0</v>
      </c>
      <c r="BS52" s="40">
        <f t="shared" si="3357"/>
        <v>0</v>
      </c>
      <c r="BT52" s="40">
        <f t="shared" si="3357"/>
        <v>0</v>
      </c>
      <c r="BU52" s="40">
        <f t="shared" si="3357"/>
        <v>0</v>
      </c>
      <c r="BV52" s="40">
        <f t="shared" si="3357"/>
        <v>0</v>
      </c>
      <c r="BW52" s="40">
        <f t="shared" ref="BW52:EH52" si="3358">IF(SUM(BW$27,BW$35,BW$43,BW$51,BW$59)&gt;0,MIN(BW51,BW51/SUM(BW$27,BW$35,BW$43,BW$51,BW$59)*BW$23),0)</f>
        <v>0</v>
      </c>
      <c r="BX52" s="40">
        <f t="shared" si="3358"/>
        <v>0</v>
      </c>
      <c r="BY52" s="40">
        <f t="shared" si="3358"/>
        <v>0</v>
      </c>
      <c r="BZ52" s="40">
        <f t="shared" si="3358"/>
        <v>0</v>
      </c>
      <c r="CA52" s="40">
        <f t="shared" si="3358"/>
        <v>0</v>
      </c>
      <c r="CB52" s="40">
        <f t="shared" si="3358"/>
        <v>0</v>
      </c>
      <c r="CC52" s="40">
        <f t="shared" si="3358"/>
        <v>0</v>
      </c>
      <c r="CD52" s="40">
        <f t="shared" si="3358"/>
        <v>0</v>
      </c>
      <c r="CE52" s="40">
        <f t="shared" si="3358"/>
        <v>0</v>
      </c>
      <c r="CF52" s="40">
        <f t="shared" si="3358"/>
        <v>0</v>
      </c>
      <c r="CG52" s="40">
        <f t="shared" si="3358"/>
        <v>0</v>
      </c>
      <c r="CH52" s="40">
        <f t="shared" si="3358"/>
        <v>0</v>
      </c>
      <c r="CI52" s="40">
        <f t="shared" si="3358"/>
        <v>0</v>
      </c>
      <c r="CJ52" s="40">
        <f t="shared" si="3358"/>
        <v>0</v>
      </c>
      <c r="CK52" s="40">
        <f t="shared" si="3358"/>
        <v>0</v>
      </c>
      <c r="CL52" s="40">
        <f t="shared" si="3358"/>
        <v>0</v>
      </c>
      <c r="CM52" s="40">
        <f t="shared" si="3358"/>
        <v>0</v>
      </c>
      <c r="CN52" s="40">
        <f t="shared" si="3358"/>
        <v>0</v>
      </c>
      <c r="CO52" s="40">
        <f t="shared" si="3358"/>
        <v>0</v>
      </c>
      <c r="CP52" s="40">
        <f t="shared" si="3358"/>
        <v>0</v>
      </c>
      <c r="CQ52" s="40">
        <f t="shared" si="3358"/>
        <v>0</v>
      </c>
      <c r="CR52" s="40">
        <f t="shared" si="3358"/>
        <v>0</v>
      </c>
      <c r="CS52" s="40">
        <f t="shared" si="3358"/>
        <v>0</v>
      </c>
      <c r="CT52" s="40">
        <f t="shared" si="3358"/>
        <v>0</v>
      </c>
      <c r="CU52" s="40">
        <f t="shared" si="3358"/>
        <v>0</v>
      </c>
      <c r="CV52" s="40">
        <f t="shared" si="3358"/>
        <v>0</v>
      </c>
      <c r="CW52" s="40">
        <f t="shared" si="3358"/>
        <v>0</v>
      </c>
      <c r="CX52" s="40">
        <f t="shared" si="3358"/>
        <v>0</v>
      </c>
      <c r="CY52" s="40">
        <f t="shared" si="3358"/>
        <v>0</v>
      </c>
      <c r="CZ52" s="40">
        <f t="shared" si="3358"/>
        <v>0</v>
      </c>
      <c r="DA52" s="40">
        <f t="shared" si="3358"/>
        <v>0</v>
      </c>
      <c r="DB52" s="40">
        <f t="shared" si="3358"/>
        <v>0</v>
      </c>
      <c r="DC52" s="40">
        <f t="shared" si="3358"/>
        <v>0</v>
      </c>
      <c r="DD52" s="40">
        <f t="shared" si="3358"/>
        <v>0</v>
      </c>
      <c r="DE52" s="40">
        <f t="shared" si="3358"/>
        <v>0</v>
      </c>
      <c r="DF52" s="40">
        <f t="shared" si="3358"/>
        <v>0</v>
      </c>
      <c r="DG52" s="40">
        <f t="shared" si="3358"/>
        <v>0</v>
      </c>
      <c r="DH52" s="40">
        <f t="shared" si="3358"/>
        <v>0</v>
      </c>
      <c r="DI52" s="40">
        <f t="shared" si="3358"/>
        <v>0</v>
      </c>
      <c r="DJ52" s="40">
        <f t="shared" si="3358"/>
        <v>0</v>
      </c>
      <c r="DK52" s="40">
        <f t="shared" si="3358"/>
        <v>0</v>
      </c>
      <c r="DL52" s="40">
        <f t="shared" si="3358"/>
        <v>0</v>
      </c>
      <c r="DM52" s="40">
        <f t="shared" si="3358"/>
        <v>0</v>
      </c>
      <c r="DN52" s="40">
        <f t="shared" si="3358"/>
        <v>0</v>
      </c>
      <c r="DO52" s="40">
        <f t="shared" si="3358"/>
        <v>0</v>
      </c>
      <c r="DP52" s="40">
        <f t="shared" si="3358"/>
        <v>0</v>
      </c>
      <c r="DQ52" s="40">
        <f t="shared" si="3358"/>
        <v>0</v>
      </c>
      <c r="DR52" s="40">
        <f t="shared" si="3358"/>
        <v>0</v>
      </c>
      <c r="DS52" s="40">
        <f t="shared" si="3358"/>
        <v>0</v>
      </c>
      <c r="DT52" s="40">
        <f t="shared" si="3358"/>
        <v>0</v>
      </c>
      <c r="DU52" s="40">
        <f t="shared" si="3358"/>
        <v>0</v>
      </c>
      <c r="DV52" s="40">
        <f t="shared" si="3358"/>
        <v>0</v>
      </c>
      <c r="DW52" s="40">
        <f t="shared" si="3358"/>
        <v>0</v>
      </c>
      <c r="DX52" s="40">
        <f t="shared" si="3358"/>
        <v>0</v>
      </c>
      <c r="DY52" s="40">
        <f t="shared" si="3358"/>
        <v>0</v>
      </c>
      <c r="DZ52" s="40">
        <f t="shared" si="3358"/>
        <v>0</v>
      </c>
      <c r="EA52" s="40">
        <f t="shared" si="3358"/>
        <v>0</v>
      </c>
      <c r="EB52" s="40">
        <f t="shared" si="3358"/>
        <v>0</v>
      </c>
      <c r="EC52" s="40">
        <f t="shared" si="3358"/>
        <v>0</v>
      </c>
      <c r="ED52" s="40">
        <f t="shared" si="3358"/>
        <v>0</v>
      </c>
      <c r="EE52" s="40">
        <f t="shared" si="3358"/>
        <v>0</v>
      </c>
      <c r="EF52" s="40">
        <f t="shared" si="3358"/>
        <v>0</v>
      </c>
      <c r="EG52" s="40">
        <f t="shared" si="3358"/>
        <v>0</v>
      </c>
      <c r="EH52" s="40">
        <f t="shared" si="3358"/>
        <v>0</v>
      </c>
      <c r="EI52" s="40">
        <f t="shared" ref="EI52:GT52" si="3359">IF(SUM(EI$27,EI$35,EI$43,EI$51,EI$59)&gt;0,MIN(EI51,EI51/SUM(EI$27,EI$35,EI$43,EI$51,EI$59)*EI$23),0)</f>
        <v>0</v>
      </c>
      <c r="EJ52" s="40">
        <f t="shared" si="3359"/>
        <v>0</v>
      </c>
      <c r="EK52" s="40">
        <f t="shared" si="3359"/>
        <v>0</v>
      </c>
      <c r="EL52" s="40">
        <f t="shared" si="3359"/>
        <v>0</v>
      </c>
      <c r="EM52" s="40">
        <f t="shared" si="3359"/>
        <v>0</v>
      </c>
      <c r="EN52" s="40">
        <f t="shared" si="3359"/>
        <v>0</v>
      </c>
      <c r="EO52" s="40">
        <f t="shared" si="3359"/>
        <v>0</v>
      </c>
      <c r="EP52" s="40">
        <f t="shared" si="3359"/>
        <v>0</v>
      </c>
      <c r="EQ52" s="40">
        <f t="shared" si="3359"/>
        <v>0</v>
      </c>
      <c r="ER52" s="40">
        <f t="shared" si="3359"/>
        <v>0</v>
      </c>
      <c r="ES52" s="40">
        <f t="shared" si="3359"/>
        <v>0</v>
      </c>
      <c r="ET52" s="40">
        <f t="shared" si="3359"/>
        <v>0</v>
      </c>
      <c r="EU52" s="40">
        <f t="shared" si="3359"/>
        <v>0</v>
      </c>
      <c r="EV52" s="40">
        <f t="shared" si="3359"/>
        <v>0</v>
      </c>
      <c r="EW52" s="40">
        <f t="shared" si="3359"/>
        <v>0</v>
      </c>
      <c r="EX52" s="40">
        <f t="shared" si="3359"/>
        <v>0</v>
      </c>
      <c r="EY52" s="40">
        <f t="shared" si="3359"/>
        <v>0</v>
      </c>
      <c r="EZ52" s="40">
        <f t="shared" si="3359"/>
        <v>0</v>
      </c>
      <c r="FA52" s="40">
        <f t="shared" si="3359"/>
        <v>0</v>
      </c>
      <c r="FB52" s="40">
        <f t="shared" si="3359"/>
        <v>0</v>
      </c>
      <c r="FC52" s="40">
        <f t="shared" si="3359"/>
        <v>0</v>
      </c>
      <c r="FD52" s="40">
        <f t="shared" si="3359"/>
        <v>0</v>
      </c>
      <c r="FE52" s="40">
        <f t="shared" si="3359"/>
        <v>0</v>
      </c>
      <c r="FF52" s="40">
        <f t="shared" si="3359"/>
        <v>0</v>
      </c>
      <c r="FG52" s="40">
        <f t="shared" si="3359"/>
        <v>0</v>
      </c>
      <c r="FH52" s="40">
        <f t="shared" si="3359"/>
        <v>0</v>
      </c>
      <c r="FI52" s="40">
        <f t="shared" si="3359"/>
        <v>0</v>
      </c>
      <c r="FJ52" s="40">
        <f t="shared" si="3359"/>
        <v>0</v>
      </c>
      <c r="FK52" s="40">
        <f t="shared" si="3359"/>
        <v>0</v>
      </c>
      <c r="FL52" s="40">
        <f t="shared" si="3359"/>
        <v>0</v>
      </c>
      <c r="FM52" s="40">
        <f t="shared" si="3359"/>
        <v>0</v>
      </c>
      <c r="FN52" s="40">
        <f t="shared" si="3359"/>
        <v>0</v>
      </c>
      <c r="FO52" s="40">
        <f t="shared" si="3359"/>
        <v>0</v>
      </c>
      <c r="FP52" s="40">
        <f t="shared" si="3359"/>
        <v>0</v>
      </c>
      <c r="FQ52" s="40">
        <f t="shared" si="3359"/>
        <v>0</v>
      </c>
      <c r="FR52" s="40">
        <f t="shared" si="3359"/>
        <v>0</v>
      </c>
      <c r="FS52" s="40">
        <f t="shared" si="3359"/>
        <v>0</v>
      </c>
      <c r="FT52" s="40">
        <f t="shared" si="3359"/>
        <v>0</v>
      </c>
      <c r="FU52" s="40">
        <f t="shared" si="3359"/>
        <v>0</v>
      </c>
      <c r="FV52" s="40">
        <f t="shared" si="3359"/>
        <v>0</v>
      </c>
      <c r="FW52" s="40">
        <f t="shared" si="3359"/>
        <v>0</v>
      </c>
      <c r="FX52" s="40">
        <f t="shared" si="3359"/>
        <v>0</v>
      </c>
      <c r="FY52" s="40">
        <f t="shared" si="3359"/>
        <v>0</v>
      </c>
      <c r="FZ52" s="40">
        <f t="shared" si="3359"/>
        <v>0</v>
      </c>
      <c r="GA52" s="40">
        <f t="shared" si="3359"/>
        <v>0</v>
      </c>
      <c r="GB52" s="40">
        <f t="shared" si="3359"/>
        <v>0</v>
      </c>
      <c r="GC52" s="40">
        <f t="shared" si="3359"/>
        <v>0</v>
      </c>
      <c r="GD52" s="40">
        <f t="shared" si="3359"/>
        <v>0</v>
      </c>
      <c r="GE52" s="40">
        <f t="shared" si="3359"/>
        <v>0</v>
      </c>
      <c r="GF52" s="40">
        <f t="shared" ca="1" si="3359"/>
        <v>0</v>
      </c>
      <c r="GG52" s="40">
        <f t="shared" ca="1" si="3359"/>
        <v>0</v>
      </c>
      <c r="GH52" s="40">
        <f t="shared" ca="1" si="3359"/>
        <v>0</v>
      </c>
      <c r="GI52" s="40">
        <f t="shared" ca="1" si="3359"/>
        <v>0</v>
      </c>
      <c r="GJ52" s="40">
        <f t="shared" ca="1" si="3359"/>
        <v>0</v>
      </c>
      <c r="GK52" s="40">
        <f t="shared" ca="1" si="3359"/>
        <v>0</v>
      </c>
      <c r="GL52" s="40">
        <f t="shared" ca="1" si="3359"/>
        <v>0</v>
      </c>
      <c r="GM52" s="40">
        <f t="shared" ca="1" si="3359"/>
        <v>0</v>
      </c>
      <c r="GN52" s="40">
        <f t="shared" ca="1" si="3359"/>
        <v>0</v>
      </c>
      <c r="GO52" s="40">
        <f t="shared" ca="1" si="3359"/>
        <v>0</v>
      </c>
      <c r="GP52" s="40">
        <f t="shared" ca="1" si="3359"/>
        <v>0</v>
      </c>
      <c r="GQ52" s="40">
        <f t="shared" ca="1" si="3359"/>
        <v>0</v>
      </c>
      <c r="GR52" s="40">
        <f t="shared" ca="1" si="3359"/>
        <v>0</v>
      </c>
      <c r="GS52" s="40">
        <f t="shared" ca="1" si="3359"/>
        <v>0</v>
      </c>
      <c r="GT52" s="40">
        <f t="shared" ca="1" si="3359"/>
        <v>0</v>
      </c>
      <c r="GU52" s="40">
        <f t="shared" ref="GU52:IN52" ca="1" si="3360">IF(SUM(GU$27,GU$35,GU$43,GU$51,GU$59)&gt;0,MIN(GU51,GU51/SUM(GU$27,GU$35,GU$43,GU$51,GU$59)*GU$23),0)</f>
        <v>0</v>
      </c>
      <c r="GV52" s="40">
        <f t="shared" ca="1" si="3360"/>
        <v>0</v>
      </c>
      <c r="GW52" s="40">
        <f t="shared" ca="1" si="3360"/>
        <v>0</v>
      </c>
      <c r="GX52" s="40">
        <f t="shared" ca="1" si="3360"/>
        <v>0</v>
      </c>
      <c r="GY52" s="40">
        <f t="shared" ca="1" si="3360"/>
        <v>0</v>
      </c>
      <c r="GZ52" s="40">
        <f t="shared" ca="1" si="3360"/>
        <v>0</v>
      </c>
      <c r="HA52" s="40">
        <f t="shared" ca="1" si="3360"/>
        <v>0</v>
      </c>
      <c r="HB52" s="40">
        <f t="shared" ca="1" si="3360"/>
        <v>0</v>
      </c>
      <c r="HC52" s="40">
        <f t="shared" ca="1" si="3360"/>
        <v>0</v>
      </c>
      <c r="HD52" s="40">
        <f t="shared" ca="1" si="3360"/>
        <v>0</v>
      </c>
      <c r="HE52" s="40">
        <f t="shared" ca="1" si="3360"/>
        <v>0</v>
      </c>
      <c r="HF52" s="40">
        <f t="shared" ca="1" si="3360"/>
        <v>0</v>
      </c>
      <c r="HG52" s="40">
        <f t="shared" ca="1" si="3360"/>
        <v>0</v>
      </c>
      <c r="HH52" s="40">
        <f t="shared" ca="1" si="3360"/>
        <v>0</v>
      </c>
      <c r="HI52" s="40">
        <f t="shared" ca="1" si="3360"/>
        <v>0</v>
      </c>
      <c r="HJ52" s="40">
        <f t="shared" ca="1" si="3360"/>
        <v>0</v>
      </c>
      <c r="HK52" s="40">
        <f t="shared" ca="1" si="3360"/>
        <v>0</v>
      </c>
      <c r="HL52" s="40">
        <f t="shared" ca="1" si="3360"/>
        <v>0</v>
      </c>
      <c r="HM52" s="40">
        <f t="shared" ca="1" si="3360"/>
        <v>0</v>
      </c>
      <c r="HN52" s="40">
        <f t="shared" ca="1" si="3360"/>
        <v>0</v>
      </c>
      <c r="HO52" s="40">
        <f t="shared" ca="1" si="3360"/>
        <v>0</v>
      </c>
      <c r="HP52" s="40">
        <f t="shared" ca="1" si="3360"/>
        <v>0</v>
      </c>
      <c r="HQ52" s="40">
        <f t="shared" ca="1" si="3360"/>
        <v>0</v>
      </c>
      <c r="HR52" s="40">
        <f t="shared" ca="1" si="3360"/>
        <v>0</v>
      </c>
      <c r="HS52" s="40">
        <f t="shared" ca="1" si="3360"/>
        <v>0</v>
      </c>
      <c r="HT52" s="40">
        <f t="shared" ca="1" si="3360"/>
        <v>0</v>
      </c>
      <c r="HU52" s="40">
        <f t="shared" ca="1" si="3360"/>
        <v>0</v>
      </c>
      <c r="HV52" s="40">
        <f t="shared" ca="1" si="3360"/>
        <v>0</v>
      </c>
      <c r="HW52" s="40">
        <f t="shared" ca="1" si="3360"/>
        <v>0</v>
      </c>
      <c r="HX52" s="40">
        <f t="shared" ca="1" si="3360"/>
        <v>0</v>
      </c>
      <c r="HY52" s="40">
        <f t="shared" ca="1" si="3360"/>
        <v>0</v>
      </c>
      <c r="HZ52" s="40">
        <f t="shared" ca="1" si="3360"/>
        <v>0</v>
      </c>
      <c r="IA52" s="40">
        <f t="shared" ca="1" si="3360"/>
        <v>0</v>
      </c>
      <c r="IB52" s="40">
        <f t="shared" ca="1" si="3360"/>
        <v>0</v>
      </c>
      <c r="IC52" s="40">
        <f t="shared" ca="1" si="3360"/>
        <v>0</v>
      </c>
      <c r="ID52" s="40">
        <f t="shared" ca="1" si="3360"/>
        <v>0</v>
      </c>
      <c r="IE52" s="40">
        <f t="shared" ca="1" si="3360"/>
        <v>0</v>
      </c>
      <c r="IF52" s="40">
        <f t="shared" ca="1" si="3360"/>
        <v>0</v>
      </c>
      <c r="IG52" s="40">
        <f t="shared" ca="1" si="3360"/>
        <v>0</v>
      </c>
      <c r="IH52" s="40">
        <f t="shared" ca="1" si="3360"/>
        <v>0</v>
      </c>
      <c r="II52" s="40">
        <f t="shared" ca="1" si="3360"/>
        <v>0</v>
      </c>
      <c r="IJ52" s="40">
        <f t="shared" ca="1" si="3360"/>
        <v>0</v>
      </c>
      <c r="IK52" s="40">
        <f t="shared" ca="1" si="3360"/>
        <v>0</v>
      </c>
      <c r="IL52" s="40">
        <f t="shared" ca="1" si="3360"/>
        <v>0</v>
      </c>
      <c r="IM52" s="40">
        <f t="shared" ca="1" si="3360"/>
        <v>0</v>
      </c>
      <c r="IN52" s="40">
        <f t="shared" ca="1" si="3360"/>
        <v>0</v>
      </c>
      <c r="IO52" s="40">
        <f t="shared" ref="IO52:KZ52" ca="1" si="3361">IF(SUM(IO$27,IO$35,IO$43,IO$51,IO$59)&gt;0,MIN(IO51,IO51/SUM(IO$27,IO$35,IO$43,IO$51,IO$59)*IO$23),0)</f>
        <v>0</v>
      </c>
      <c r="IP52" s="40">
        <f t="shared" ca="1" si="3361"/>
        <v>0</v>
      </c>
      <c r="IQ52" s="40">
        <f t="shared" ca="1" si="3361"/>
        <v>0</v>
      </c>
      <c r="IR52" s="40">
        <f t="shared" ca="1" si="3361"/>
        <v>0</v>
      </c>
      <c r="IS52" s="40">
        <f t="shared" ca="1" si="3361"/>
        <v>0</v>
      </c>
      <c r="IT52" s="40">
        <f t="shared" ca="1" si="3361"/>
        <v>0</v>
      </c>
      <c r="IU52" s="40">
        <f t="shared" ca="1" si="3361"/>
        <v>0</v>
      </c>
      <c r="IV52" s="40">
        <f t="shared" ca="1" si="3361"/>
        <v>0</v>
      </c>
      <c r="IW52" s="40">
        <f t="shared" ca="1" si="3361"/>
        <v>0</v>
      </c>
      <c r="IX52" s="40">
        <f t="shared" ca="1" si="3361"/>
        <v>0</v>
      </c>
      <c r="IY52" s="40">
        <f t="shared" ca="1" si="3361"/>
        <v>0</v>
      </c>
      <c r="IZ52" s="40">
        <f t="shared" ca="1" si="3361"/>
        <v>0</v>
      </c>
      <c r="JA52" s="40">
        <f t="shared" ca="1" si="3361"/>
        <v>0</v>
      </c>
      <c r="JB52" s="40">
        <f t="shared" ca="1" si="3361"/>
        <v>0</v>
      </c>
      <c r="JC52" s="40">
        <f t="shared" ca="1" si="3361"/>
        <v>0</v>
      </c>
      <c r="JD52" s="40">
        <f t="shared" ca="1" si="3361"/>
        <v>0</v>
      </c>
      <c r="JE52" s="40">
        <f t="shared" ca="1" si="3361"/>
        <v>0</v>
      </c>
      <c r="JF52" s="40">
        <f t="shared" ca="1" si="3361"/>
        <v>0</v>
      </c>
      <c r="JG52" s="40">
        <f t="shared" ca="1" si="3361"/>
        <v>0</v>
      </c>
      <c r="JH52" s="40">
        <f t="shared" ca="1" si="3361"/>
        <v>0</v>
      </c>
      <c r="JI52" s="40">
        <f t="shared" ca="1" si="3361"/>
        <v>0</v>
      </c>
      <c r="JJ52" s="40">
        <f t="shared" ca="1" si="3361"/>
        <v>0</v>
      </c>
      <c r="JK52" s="40">
        <f t="shared" ca="1" si="3361"/>
        <v>0</v>
      </c>
      <c r="JL52" s="40">
        <f t="shared" ca="1" si="3361"/>
        <v>0</v>
      </c>
      <c r="JM52" s="40">
        <f t="shared" ca="1" si="3361"/>
        <v>0</v>
      </c>
      <c r="JN52" s="40">
        <f t="shared" ca="1" si="3361"/>
        <v>0</v>
      </c>
      <c r="JO52" s="40">
        <f t="shared" ca="1" si="3361"/>
        <v>0</v>
      </c>
      <c r="JP52" s="40">
        <f t="shared" ca="1" si="3361"/>
        <v>0</v>
      </c>
      <c r="JQ52" s="40">
        <f t="shared" ca="1" si="3361"/>
        <v>0</v>
      </c>
      <c r="JR52" s="40">
        <f t="shared" ca="1" si="3361"/>
        <v>0</v>
      </c>
      <c r="JS52" s="40">
        <f t="shared" ca="1" si="3361"/>
        <v>0</v>
      </c>
      <c r="JT52" s="40">
        <f t="shared" ca="1" si="3361"/>
        <v>0</v>
      </c>
      <c r="JU52" s="40">
        <f t="shared" ca="1" si="3361"/>
        <v>0</v>
      </c>
      <c r="JV52" s="40">
        <f t="shared" ca="1" si="3361"/>
        <v>0</v>
      </c>
      <c r="JW52" s="40">
        <f t="shared" ca="1" si="3361"/>
        <v>0</v>
      </c>
      <c r="JX52" s="40">
        <f t="shared" ca="1" si="3361"/>
        <v>0</v>
      </c>
      <c r="JY52" s="40">
        <f t="shared" ca="1" si="3361"/>
        <v>0</v>
      </c>
      <c r="JZ52" s="40">
        <f t="shared" ca="1" si="3361"/>
        <v>0</v>
      </c>
      <c r="KA52" s="40">
        <f t="shared" ca="1" si="3361"/>
        <v>0</v>
      </c>
      <c r="KB52" s="40">
        <f t="shared" ca="1" si="3361"/>
        <v>0</v>
      </c>
      <c r="KC52" s="40">
        <f t="shared" ca="1" si="3361"/>
        <v>0</v>
      </c>
      <c r="KD52" s="40">
        <f t="shared" ca="1" si="3361"/>
        <v>0</v>
      </c>
      <c r="KE52" s="40">
        <f t="shared" ca="1" si="3361"/>
        <v>0</v>
      </c>
      <c r="KF52" s="40">
        <f t="shared" ca="1" si="3361"/>
        <v>0</v>
      </c>
      <c r="KG52" s="40">
        <f t="shared" ca="1" si="3361"/>
        <v>0</v>
      </c>
      <c r="KH52" s="40">
        <f t="shared" ca="1" si="3361"/>
        <v>0</v>
      </c>
      <c r="KI52" s="40">
        <f t="shared" ca="1" si="3361"/>
        <v>0</v>
      </c>
      <c r="KJ52" s="40">
        <f t="shared" ca="1" si="3361"/>
        <v>0</v>
      </c>
      <c r="KK52" s="40">
        <f t="shared" ca="1" si="3361"/>
        <v>0</v>
      </c>
      <c r="KL52" s="40">
        <f t="shared" ca="1" si="3361"/>
        <v>0</v>
      </c>
      <c r="KM52" s="40">
        <f t="shared" ca="1" si="3361"/>
        <v>0</v>
      </c>
      <c r="KN52" s="40">
        <f t="shared" ca="1" si="3361"/>
        <v>0</v>
      </c>
      <c r="KO52" s="40">
        <f t="shared" ca="1" si="3361"/>
        <v>0</v>
      </c>
      <c r="KP52" s="40">
        <f t="shared" ca="1" si="3361"/>
        <v>0</v>
      </c>
      <c r="KQ52" s="40">
        <f t="shared" ca="1" si="3361"/>
        <v>0</v>
      </c>
      <c r="KR52" s="40">
        <f t="shared" ca="1" si="3361"/>
        <v>0</v>
      </c>
      <c r="KS52" s="40">
        <f t="shared" ca="1" si="3361"/>
        <v>0</v>
      </c>
      <c r="KT52" s="40">
        <f t="shared" ca="1" si="3361"/>
        <v>0</v>
      </c>
      <c r="KU52" s="40">
        <f t="shared" ca="1" si="3361"/>
        <v>0</v>
      </c>
      <c r="KV52" s="40">
        <f t="shared" ca="1" si="3361"/>
        <v>0</v>
      </c>
      <c r="KW52" s="40">
        <f t="shared" ca="1" si="3361"/>
        <v>0</v>
      </c>
      <c r="KX52" s="40">
        <f t="shared" ca="1" si="3361"/>
        <v>0</v>
      </c>
      <c r="KY52" s="40">
        <f t="shared" ca="1" si="3361"/>
        <v>0</v>
      </c>
      <c r="KZ52" s="40">
        <f t="shared" ca="1" si="3361"/>
        <v>0</v>
      </c>
      <c r="LA52" s="40">
        <f t="shared" ref="LA52:ND52" ca="1" si="3362">IF(SUM(LA$27,LA$35,LA$43,LA$51,LA$59)&gt;0,MIN(LA51,LA51/SUM(LA$27,LA$35,LA$43,LA$51,LA$59)*LA$23),0)</f>
        <v>0</v>
      </c>
      <c r="LB52" s="40">
        <f t="shared" ca="1" si="3362"/>
        <v>0</v>
      </c>
      <c r="LC52" s="40">
        <f t="shared" ca="1" si="3362"/>
        <v>0</v>
      </c>
      <c r="LD52" s="40">
        <f t="shared" ca="1" si="3362"/>
        <v>0</v>
      </c>
      <c r="LE52" s="40">
        <f t="shared" ca="1" si="3362"/>
        <v>0</v>
      </c>
      <c r="LF52" s="40">
        <f t="shared" ca="1" si="3362"/>
        <v>0</v>
      </c>
      <c r="LG52" s="40">
        <f t="shared" ca="1" si="3362"/>
        <v>0</v>
      </c>
      <c r="LH52" s="40">
        <f t="shared" ca="1" si="3362"/>
        <v>0</v>
      </c>
      <c r="LI52" s="40">
        <f t="shared" ca="1" si="3362"/>
        <v>0</v>
      </c>
      <c r="LJ52" s="40">
        <f t="shared" ca="1" si="3362"/>
        <v>0</v>
      </c>
      <c r="LK52" s="40">
        <f t="shared" ca="1" si="3362"/>
        <v>0</v>
      </c>
      <c r="LL52" s="40">
        <f t="shared" ca="1" si="3362"/>
        <v>0</v>
      </c>
      <c r="LM52" s="40">
        <f t="shared" ca="1" si="3362"/>
        <v>0</v>
      </c>
      <c r="LN52" s="40">
        <f t="shared" ca="1" si="3362"/>
        <v>0</v>
      </c>
      <c r="LO52" s="40">
        <f t="shared" ca="1" si="3362"/>
        <v>0</v>
      </c>
      <c r="LP52" s="40">
        <f t="shared" ca="1" si="3362"/>
        <v>0</v>
      </c>
      <c r="LQ52" s="40">
        <f t="shared" ca="1" si="3362"/>
        <v>0</v>
      </c>
      <c r="LR52" s="40">
        <f t="shared" ca="1" si="3362"/>
        <v>0</v>
      </c>
      <c r="LS52" s="40">
        <f t="shared" ca="1" si="3362"/>
        <v>0</v>
      </c>
      <c r="LT52" s="40">
        <f t="shared" ca="1" si="3362"/>
        <v>0</v>
      </c>
      <c r="LU52" s="40">
        <f t="shared" ca="1" si="3362"/>
        <v>0</v>
      </c>
      <c r="LV52" s="40">
        <f t="shared" ca="1" si="3362"/>
        <v>0</v>
      </c>
      <c r="LW52" s="40">
        <f t="shared" ca="1" si="3362"/>
        <v>0</v>
      </c>
      <c r="LX52" s="40">
        <f t="shared" ca="1" si="3362"/>
        <v>0</v>
      </c>
      <c r="LY52" s="40">
        <f t="shared" ca="1" si="3362"/>
        <v>0</v>
      </c>
      <c r="LZ52" s="40">
        <f t="shared" ca="1" si="3362"/>
        <v>0</v>
      </c>
      <c r="MA52" s="40">
        <f t="shared" ca="1" si="3362"/>
        <v>0</v>
      </c>
      <c r="MB52" s="40">
        <f t="shared" ca="1" si="3362"/>
        <v>0</v>
      </c>
      <c r="MC52" s="40">
        <f t="shared" ca="1" si="3362"/>
        <v>0</v>
      </c>
      <c r="MD52" s="40">
        <f t="shared" ca="1" si="3362"/>
        <v>0</v>
      </c>
      <c r="ME52" s="40">
        <f t="shared" ca="1" si="3362"/>
        <v>0</v>
      </c>
      <c r="MF52" s="40">
        <f t="shared" ca="1" si="3362"/>
        <v>0</v>
      </c>
      <c r="MG52" s="40">
        <f t="shared" ca="1" si="3362"/>
        <v>0</v>
      </c>
      <c r="MH52" s="40">
        <f t="shared" ca="1" si="3362"/>
        <v>0</v>
      </c>
      <c r="MI52" s="40">
        <f t="shared" ca="1" si="3362"/>
        <v>0</v>
      </c>
      <c r="MJ52" s="40">
        <f t="shared" ca="1" si="3362"/>
        <v>0</v>
      </c>
      <c r="MK52" s="40">
        <f t="shared" ca="1" si="3362"/>
        <v>0</v>
      </c>
      <c r="ML52" s="40">
        <f t="shared" ca="1" si="3362"/>
        <v>0</v>
      </c>
      <c r="MM52" s="40">
        <f t="shared" ca="1" si="3362"/>
        <v>0</v>
      </c>
      <c r="MN52" s="40">
        <f t="shared" ca="1" si="3362"/>
        <v>0</v>
      </c>
      <c r="MO52" s="40">
        <f t="shared" ca="1" si="3362"/>
        <v>0</v>
      </c>
      <c r="MP52" s="40">
        <f t="shared" ca="1" si="3362"/>
        <v>0</v>
      </c>
      <c r="MQ52" s="40">
        <f t="shared" ca="1" si="3362"/>
        <v>0</v>
      </c>
      <c r="MR52" s="40">
        <f t="shared" ca="1" si="3362"/>
        <v>0</v>
      </c>
      <c r="MS52" s="40">
        <f t="shared" ca="1" si="3362"/>
        <v>0</v>
      </c>
      <c r="MT52" s="40">
        <f t="shared" ca="1" si="3362"/>
        <v>0</v>
      </c>
      <c r="MU52" s="40">
        <f t="shared" ca="1" si="3362"/>
        <v>0</v>
      </c>
      <c r="MV52" s="40">
        <f t="shared" ca="1" si="3362"/>
        <v>0</v>
      </c>
      <c r="MW52" s="40">
        <f t="shared" ca="1" si="3362"/>
        <v>0</v>
      </c>
      <c r="MX52" s="40">
        <f t="shared" ca="1" si="3362"/>
        <v>0</v>
      </c>
      <c r="MY52" s="40">
        <f t="shared" ca="1" si="3362"/>
        <v>0</v>
      </c>
      <c r="MZ52" s="40">
        <f t="shared" ca="1" si="3362"/>
        <v>0</v>
      </c>
      <c r="NA52" s="40">
        <f t="shared" ca="1" si="3362"/>
        <v>0</v>
      </c>
      <c r="NB52" s="40">
        <f t="shared" ca="1" si="3362"/>
        <v>0</v>
      </c>
      <c r="NC52" s="40">
        <f t="shared" ca="1" si="3362"/>
        <v>0</v>
      </c>
      <c r="ND52" s="40">
        <f t="shared" ca="1" si="3362"/>
        <v>0</v>
      </c>
      <c r="NE52" s="40"/>
      <c r="NF52" s="40"/>
      <c r="NG52" s="40"/>
      <c r="NH52" s="40"/>
      <c r="NI52" s="40"/>
      <c r="NJ52" s="40"/>
      <c r="NK52" s="40"/>
      <c r="NL52" s="40"/>
      <c r="NM52" s="40"/>
      <c r="NN52" s="40"/>
      <c r="NO52" s="40"/>
      <c r="NP52" s="40"/>
      <c r="NQ52" s="40"/>
      <c r="NR52" s="40"/>
    </row>
    <row r="53" spans="2:382" x14ac:dyDescent="0.15">
      <c r="B53" s="518"/>
      <c r="C53" s="115" t="str">
        <f>_xlfn.CONCAT($C$6," Equity Repaid")</f>
        <v>- Equity Repaid</v>
      </c>
      <c r="D53" s="52"/>
      <c r="E53" s="40"/>
      <c r="F53" s="40"/>
      <c r="G53" s="114"/>
      <c r="H53" s="40"/>
      <c r="I53" s="40">
        <f>IF(SUM(I$25,I$33,I$41,I$49,I$57)&gt;0,MIN(I49,I49/SUM(I$25,I$33,I$41,I$49,I$57)*ROUND(I$23-SUM(I$28,I$36,I$44,I$52,I$60),10)),0)</f>
        <v>0</v>
      </c>
      <c r="J53" s="40">
        <f>IF(SUM(J$25,J$33,J$41,J$49,J$57)&gt;0,MIN(J49,J49/SUM(J$25,J$33,J$41,J$49,J$57)*ROUND(J$23-SUM(J$28,J$36,J$44,J$52,J$60),10)),0)</f>
        <v>0</v>
      </c>
      <c r="K53" s="40">
        <f t="shared" ref="K53:BV53" si="3363">IF(SUM(K$25,K$33,K$41,K$49,K$57)&gt;0,MIN(K49,K49/SUM(K$25,K$33,K$41,K$49,K$57)*ROUND(K$23-SUM(K$28,K$36,K$44,K$52,K$60),10)),0)</f>
        <v>0</v>
      </c>
      <c r="L53" s="40">
        <f t="shared" si="3363"/>
        <v>0</v>
      </c>
      <c r="M53" s="40">
        <f t="shared" si="3363"/>
        <v>0</v>
      </c>
      <c r="N53" s="40">
        <f t="shared" si="3363"/>
        <v>0</v>
      </c>
      <c r="O53" s="40">
        <f t="shared" si="3363"/>
        <v>0</v>
      </c>
      <c r="P53" s="40">
        <f t="shared" si="3363"/>
        <v>0</v>
      </c>
      <c r="Q53" s="40">
        <f t="shared" si="3363"/>
        <v>0</v>
      </c>
      <c r="R53" s="40">
        <f t="shared" si="3363"/>
        <v>0</v>
      </c>
      <c r="S53" s="40">
        <f t="shared" si="3363"/>
        <v>0</v>
      </c>
      <c r="T53" s="40">
        <f t="shared" si="3363"/>
        <v>0</v>
      </c>
      <c r="U53" s="40">
        <f t="shared" si="3363"/>
        <v>0</v>
      </c>
      <c r="V53" s="40">
        <f t="shared" si="3363"/>
        <v>0</v>
      </c>
      <c r="W53" s="40">
        <f t="shared" si="3363"/>
        <v>0</v>
      </c>
      <c r="X53" s="40">
        <f t="shared" si="3363"/>
        <v>0</v>
      </c>
      <c r="Y53" s="40">
        <f t="shared" si="3363"/>
        <v>0</v>
      </c>
      <c r="Z53" s="40">
        <f t="shared" si="3363"/>
        <v>0</v>
      </c>
      <c r="AA53" s="40">
        <f t="shared" si="3363"/>
        <v>0</v>
      </c>
      <c r="AB53" s="40">
        <f t="shared" si="3363"/>
        <v>0</v>
      </c>
      <c r="AC53" s="40">
        <f t="shared" si="3363"/>
        <v>0</v>
      </c>
      <c r="AD53" s="40">
        <f t="shared" si="3363"/>
        <v>0</v>
      </c>
      <c r="AE53" s="40">
        <f t="shared" si="3363"/>
        <v>0</v>
      </c>
      <c r="AF53" s="40">
        <f t="shared" si="3363"/>
        <v>0</v>
      </c>
      <c r="AG53" s="40">
        <f t="shared" si="3363"/>
        <v>0</v>
      </c>
      <c r="AH53" s="40">
        <f t="shared" si="3363"/>
        <v>0</v>
      </c>
      <c r="AI53" s="40">
        <f t="shared" si="3363"/>
        <v>0</v>
      </c>
      <c r="AJ53" s="40">
        <f t="shared" si="3363"/>
        <v>0</v>
      </c>
      <c r="AK53" s="40">
        <f t="shared" si="3363"/>
        <v>0</v>
      </c>
      <c r="AL53" s="40">
        <f t="shared" si="3363"/>
        <v>0</v>
      </c>
      <c r="AM53" s="40">
        <f t="shared" si="3363"/>
        <v>0</v>
      </c>
      <c r="AN53" s="40">
        <f t="shared" si="3363"/>
        <v>0</v>
      </c>
      <c r="AO53" s="40">
        <f t="shared" si="3363"/>
        <v>0</v>
      </c>
      <c r="AP53" s="40">
        <f t="shared" si="3363"/>
        <v>0</v>
      </c>
      <c r="AQ53" s="40">
        <f t="shared" si="3363"/>
        <v>0</v>
      </c>
      <c r="AR53" s="40">
        <f t="shared" si="3363"/>
        <v>0</v>
      </c>
      <c r="AS53" s="40">
        <f t="shared" si="3363"/>
        <v>0</v>
      </c>
      <c r="AT53" s="40">
        <f t="shared" si="3363"/>
        <v>0</v>
      </c>
      <c r="AU53" s="40">
        <f t="shared" si="3363"/>
        <v>0</v>
      </c>
      <c r="AV53" s="40">
        <f t="shared" si="3363"/>
        <v>0</v>
      </c>
      <c r="AW53" s="40">
        <f t="shared" si="3363"/>
        <v>0</v>
      </c>
      <c r="AX53" s="40">
        <f t="shared" si="3363"/>
        <v>0</v>
      </c>
      <c r="AY53" s="40">
        <f t="shared" si="3363"/>
        <v>0</v>
      </c>
      <c r="AZ53" s="40">
        <f t="shared" si="3363"/>
        <v>0</v>
      </c>
      <c r="BA53" s="40">
        <f t="shared" si="3363"/>
        <v>0</v>
      </c>
      <c r="BB53" s="40">
        <f t="shared" si="3363"/>
        <v>0</v>
      </c>
      <c r="BC53" s="40">
        <f t="shared" si="3363"/>
        <v>0</v>
      </c>
      <c r="BD53" s="40">
        <f t="shared" si="3363"/>
        <v>0</v>
      </c>
      <c r="BE53" s="40">
        <f t="shared" si="3363"/>
        <v>0</v>
      </c>
      <c r="BF53" s="40">
        <f t="shared" si="3363"/>
        <v>0</v>
      </c>
      <c r="BG53" s="40">
        <f t="shared" si="3363"/>
        <v>0</v>
      </c>
      <c r="BH53" s="40">
        <f t="shared" si="3363"/>
        <v>0</v>
      </c>
      <c r="BI53" s="40">
        <f t="shared" si="3363"/>
        <v>0</v>
      </c>
      <c r="BJ53" s="40">
        <f t="shared" si="3363"/>
        <v>0</v>
      </c>
      <c r="BK53" s="40">
        <f t="shared" si="3363"/>
        <v>0</v>
      </c>
      <c r="BL53" s="40">
        <f t="shared" si="3363"/>
        <v>0</v>
      </c>
      <c r="BM53" s="40">
        <f t="shared" si="3363"/>
        <v>0</v>
      </c>
      <c r="BN53" s="40">
        <f t="shared" si="3363"/>
        <v>0</v>
      </c>
      <c r="BO53" s="40">
        <f t="shared" si="3363"/>
        <v>0</v>
      </c>
      <c r="BP53" s="40">
        <f t="shared" si="3363"/>
        <v>0</v>
      </c>
      <c r="BQ53" s="40">
        <f t="shared" si="3363"/>
        <v>0</v>
      </c>
      <c r="BR53" s="40">
        <f t="shared" si="3363"/>
        <v>0</v>
      </c>
      <c r="BS53" s="40">
        <f t="shared" si="3363"/>
        <v>0</v>
      </c>
      <c r="BT53" s="40">
        <f t="shared" si="3363"/>
        <v>0</v>
      </c>
      <c r="BU53" s="40">
        <f t="shared" si="3363"/>
        <v>0</v>
      </c>
      <c r="BV53" s="40">
        <f t="shared" si="3363"/>
        <v>0</v>
      </c>
      <c r="BW53" s="40">
        <f t="shared" ref="BW53:EH53" si="3364">IF(SUM(BW$25,BW$33,BW$41,BW$49,BW$57)&gt;0,MIN(BW49,BW49/SUM(BW$25,BW$33,BW$41,BW$49,BW$57)*ROUND(BW$23-SUM(BW$28,BW$36,BW$44,BW$52,BW$60),10)),0)</f>
        <v>0</v>
      </c>
      <c r="BX53" s="40">
        <f t="shared" si="3364"/>
        <v>0</v>
      </c>
      <c r="BY53" s="40">
        <f t="shared" si="3364"/>
        <v>0</v>
      </c>
      <c r="BZ53" s="40">
        <f t="shared" si="3364"/>
        <v>0</v>
      </c>
      <c r="CA53" s="40">
        <f t="shared" si="3364"/>
        <v>0</v>
      </c>
      <c r="CB53" s="40">
        <f t="shared" si="3364"/>
        <v>0</v>
      </c>
      <c r="CC53" s="40">
        <f t="shared" si="3364"/>
        <v>0</v>
      </c>
      <c r="CD53" s="40">
        <f t="shared" si="3364"/>
        <v>0</v>
      </c>
      <c r="CE53" s="40">
        <f t="shared" si="3364"/>
        <v>0</v>
      </c>
      <c r="CF53" s="40">
        <f t="shared" si="3364"/>
        <v>0</v>
      </c>
      <c r="CG53" s="40">
        <f t="shared" si="3364"/>
        <v>0</v>
      </c>
      <c r="CH53" s="40">
        <f t="shared" si="3364"/>
        <v>0</v>
      </c>
      <c r="CI53" s="40">
        <f t="shared" si="3364"/>
        <v>0</v>
      </c>
      <c r="CJ53" s="40">
        <f t="shared" si="3364"/>
        <v>0</v>
      </c>
      <c r="CK53" s="40">
        <f t="shared" si="3364"/>
        <v>0</v>
      </c>
      <c r="CL53" s="40">
        <f t="shared" si="3364"/>
        <v>0</v>
      </c>
      <c r="CM53" s="40">
        <f t="shared" si="3364"/>
        <v>0</v>
      </c>
      <c r="CN53" s="40">
        <f t="shared" si="3364"/>
        <v>0</v>
      </c>
      <c r="CO53" s="40">
        <f t="shared" si="3364"/>
        <v>0</v>
      </c>
      <c r="CP53" s="40">
        <f t="shared" si="3364"/>
        <v>0</v>
      </c>
      <c r="CQ53" s="40">
        <f t="shared" si="3364"/>
        <v>0</v>
      </c>
      <c r="CR53" s="40">
        <f t="shared" si="3364"/>
        <v>0</v>
      </c>
      <c r="CS53" s="40">
        <f t="shared" si="3364"/>
        <v>0</v>
      </c>
      <c r="CT53" s="40">
        <f t="shared" si="3364"/>
        <v>0</v>
      </c>
      <c r="CU53" s="40">
        <f t="shared" si="3364"/>
        <v>0</v>
      </c>
      <c r="CV53" s="40">
        <f t="shared" si="3364"/>
        <v>0</v>
      </c>
      <c r="CW53" s="40">
        <f t="shared" si="3364"/>
        <v>0</v>
      </c>
      <c r="CX53" s="40">
        <f t="shared" si="3364"/>
        <v>0</v>
      </c>
      <c r="CY53" s="40">
        <f t="shared" si="3364"/>
        <v>0</v>
      </c>
      <c r="CZ53" s="40">
        <f t="shared" si="3364"/>
        <v>0</v>
      </c>
      <c r="DA53" s="40">
        <f t="shared" si="3364"/>
        <v>0</v>
      </c>
      <c r="DB53" s="40">
        <f t="shared" si="3364"/>
        <v>0</v>
      </c>
      <c r="DC53" s="40">
        <f t="shared" si="3364"/>
        <v>0</v>
      </c>
      <c r="DD53" s="40">
        <f t="shared" si="3364"/>
        <v>0</v>
      </c>
      <c r="DE53" s="40">
        <f t="shared" si="3364"/>
        <v>0</v>
      </c>
      <c r="DF53" s="40">
        <f t="shared" si="3364"/>
        <v>0</v>
      </c>
      <c r="DG53" s="40">
        <f t="shared" si="3364"/>
        <v>0</v>
      </c>
      <c r="DH53" s="40">
        <f t="shared" si="3364"/>
        <v>0</v>
      </c>
      <c r="DI53" s="40">
        <f t="shared" si="3364"/>
        <v>0</v>
      </c>
      <c r="DJ53" s="40">
        <f t="shared" si="3364"/>
        <v>0</v>
      </c>
      <c r="DK53" s="40">
        <f t="shared" si="3364"/>
        <v>0</v>
      </c>
      <c r="DL53" s="40">
        <f t="shared" si="3364"/>
        <v>0</v>
      </c>
      <c r="DM53" s="40">
        <f t="shared" si="3364"/>
        <v>0</v>
      </c>
      <c r="DN53" s="40">
        <f t="shared" si="3364"/>
        <v>0</v>
      </c>
      <c r="DO53" s="40">
        <f t="shared" si="3364"/>
        <v>0</v>
      </c>
      <c r="DP53" s="40">
        <f t="shared" si="3364"/>
        <v>0</v>
      </c>
      <c r="DQ53" s="40">
        <f t="shared" si="3364"/>
        <v>0</v>
      </c>
      <c r="DR53" s="40">
        <f t="shared" si="3364"/>
        <v>0</v>
      </c>
      <c r="DS53" s="40">
        <f t="shared" si="3364"/>
        <v>0</v>
      </c>
      <c r="DT53" s="40">
        <f t="shared" si="3364"/>
        <v>0</v>
      </c>
      <c r="DU53" s="40">
        <f t="shared" si="3364"/>
        <v>0</v>
      </c>
      <c r="DV53" s="40">
        <f t="shared" si="3364"/>
        <v>0</v>
      </c>
      <c r="DW53" s="40">
        <f t="shared" si="3364"/>
        <v>0</v>
      </c>
      <c r="DX53" s="40">
        <f t="shared" si="3364"/>
        <v>0</v>
      </c>
      <c r="DY53" s="40">
        <f t="shared" si="3364"/>
        <v>0</v>
      </c>
      <c r="DZ53" s="40">
        <f t="shared" si="3364"/>
        <v>0</v>
      </c>
      <c r="EA53" s="40">
        <f t="shared" si="3364"/>
        <v>0</v>
      </c>
      <c r="EB53" s="40">
        <f t="shared" si="3364"/>
        <v>0</v>
      </c>
      <c r="EC53" s="40">
        <f t="shared" si="3364"/>
        <v>0</v>
      </c>
      <c r="ED53" s="40">
        <f t="shared" si="3364"/>
        <v>0</v>
      </c>
      <c r="EE53" s="40">
        <f t="shared" si="3364"/>
        <v>0</v>
      </c>
      <c r="EF53" s="40">
        <f t="shared" si="3364"/>
        <v>0</v>
      </c>
      <c r="EG53" s="40">
        <f t="shared" si="3364"/>
        <v>0</v>
      </c>
      <c r="EH53" s="40">
        <f t="shared" si="3364"/>
        <v>0</v>
      </c>
      <c r="EI53" s="40">
        <f t="shared" ref="EI53:GT53" si="3365">IF(SUM(EI$25,EI$33,EI$41,EI$49,EI$57)&gt;0,MIN(EI49,EI49/SUM(EI$25,EI$33,EI$41,EI$49,EI$57)*ROUND(EI$23-SUM(EI$28,EI$36,EI$44,EI$52,EI$60),10)),0)</f>
        <v>0</v>
      </c>
      <c r="EJ53" s="40">
        <f t="shared" si="3365"/>
        <v>0</v>
      </c>
      <c r="EK53" s="40">
        <f t="shared" si="3365"/>
        <v>0</v>
      </c>
      <c r="EL53" s="40">
        <f t="shared" si="3365"/>
        <v>0</v>
      </c>
      <c r="EM53" s="40">
        <f t="shared" si="3365"/>
        <v>0</v>
      </c>
      <c r="EN53" s="40">
        <f t="shared" si="3365"/>
        <v>0</v>
      </c>
      <c r="EO53" s="40">
        <f t="shared" si="3365"/>
        <v>0</v>
      </c>
      <c r="EP53" s="40">
        <f t="shared" si="3365"/>
        <v>0</v>
      </c>
      <c r="EQ53" s="40">
        <f t="shared" si="3365"/>
        <v>0</v>
      </c>
      <c r="ER53" s="40">
        <f t="shared" si="3365"/>
        <v>0</v>
      </c>
      <c r="ES53" s="40">
        <f t="shared" si="3365"/>
        <v>0</v>
      </c>
      <c r="ET53" s="40">
        <f t="shared" si="3365"/>
        <v>0</v>
      </c>
      <c r="EU53" s="40">
        <f t="shared" si="3365"/>
        <v>0</v>
      </c>
      <c r="EV53" s="40">
        <f t="shared" si="3365"/>
        <v>0</v>
      </c>
      <c r="EW53" s="40">
        <f t="shared" si="3365"/>
        <v>0</v>
      </c>
      <c r="EX53" s="40">
        <f t="shared" si="3365"/>
        <v>0</v>
      </c>
      <c r="EY53" s="40">
        <f t="shared" si="3365"/>
        <v>0</v>
      </c>
      <c r="EZ53" s="40">
        <f t="shared" si="3365"/>
        <v>0</v>
      </c>
      <c r="FA53" s="40">
        <f t="shared" si="3365"/>
        <v>0</v>
      </c>
      <c r="FB53" s="40">
        <f t="shared" si="3365"/>
        <v>0</v>
      </c>
      <c r="FC53" s="40">
        <f t="shared" si="3365"/>
        <v>0</v>
      </c>
      <c r="FD53" s="40">
        <f t="shared" si="3365"/>
        <v>0</v>
      </c>
      <c r="FE53" s="40">
        <f t="shared" si="3365"/>
        <v>0</v>
      </c>
      <c r="FF53" s="40">
        <f t="shared" si="3365"/>
        <v>0</v>
      </c>
      <c r="FG53" s="40">
        <f t="shared" si="3365"/>
        <v>0</v>
      </c>
      <c r="FH53" s="40">
        <f t="shared" si="3365"/>
        <v>0</v>
      </c>
      <c r="FI53" s="40">
        <f t="shared" si="3365"/>
        <v>0</v>
      </c>
      <c r="FJ53" s="40">
        <f t="shared" si="3365"/>
        <v>0</v>
      </c>
      <c r="FK53" s="40">
        <f t="shared" si="3365"/>
        <v>0</v>
      </c>
      <c r="FL53" s="40">
        <f t="shared" si="3365"/>
        <v>0</v>
      </c>
      <c r="FM53" s="40">
        <f t="shared" si="3365"/>
        <v>0</v>
      </c>
      <c r="FN53" s="40">
        <f t="shared" si="3365"/>
        <v>0</v>
      </c>
      <c r="FO53" s="40">
        <f t="shared" si="3365"/>
        <v>0</v>
      </c>
      <c r="FP53" s="40">
        <f t="shared" si="3365"/>
        <v>0</v>
      </c>
      <c r="FQ53" s="40">
        <f t="shared" si="3365"/>
        <v>0</v>
      </c>
      <c r="FR53" s="40">
        <f t="shared" si="3365"/>
        <v>0</v>
      </c>
      <c r="FS53" s="40">
        <f t="shared" si="3365"/>
        <v>0</v>
      </c>
      <c r="FT53" s="40">
        <f t="shared" si="3365"/>
        <v>0</v>
      </c>
      <c r="FU53" s="40">
        <f t="shared" si="3365"/>
        <v>0</v>
      </c>
      <c r="FV53" s="40">
        <f t="shared" si="3365"/>
        <v>0</v>
      </c>
      <c r="FW53" s="40">
        <f t="shared" si="3365"/>
        <v>0</v>
      </c>
      <c r="FX53" s="40">
        <f t="shared" si="3365"/>
        <v>0</v>
      </c>
      <c r="FY53" s="40">
        <f t="shared" si="3365"/>
        <v>0</v>
      </c>
      <c r="FZ53" s="40">
        <f t="shared" si="3365"/>
        <v>0</v>
      </c>
      <c r="GA53" s="40">
        <f t="shared" si="3365"/>
        <v>0</v>
      </c>
      <c r="GB53" s="40">
        <f t="shared" si="3365"/>
        <v>0</v>
      </c>
      <c r="GC53" s="40">
        <f t="shared" si="3365"/>
        <v>0</v>
      </c>
      <c r="GD53" s="40">
        <f t="shared" si="3365"/>
        <v>0</v>
      </c>
      <c r="GE53" s="40">
        <f t="shared" si="3365"/>
        <v>0</v>
      </c>
      <c r="GF53" s="40">
        <f t="shared" ca="1" si="3365"/>
        <v>0</v>
      </c>
      <c r="GG53" s="40">
        <f t="shared" ca="1" si="3365"/>
        <v>0</v>
      </c>
      <c r="GH53" s="40">
        <f t="shared" ca="1" si="3365"/>
        <v>0</v>
      </c>
      <c r="GI53" s="40">
        <f t="shared" ca="1" si="3365"/>
        <v>0</v>
      </c>
      <c r="GJ53" s="40">
        <f t="shared" ca="1" si="3365"/>
        <v>0</v>
      </c>
      <c r="GK53" s="40">
        <f t="shared" ca="1" si="3365"/>
        <v>0</v>
      </c>
      <c r="GL53" s="40">
        <f t="shared" ca="1" si="3365"/>
        <v>0</v>
      </c>
      <c r="GM53" s="40">
        <f t="shared" ca="1" si="3365"/>
        <v>0</v>
      </c>
      <c r="GN53" s="40">
        <f t="shared" ca="1" si="3365"/>
        <v>0</v>
      </c>
      <c r="GO53" s="40">
        <f t="shared" ca="1" si="3365"/>
        <v>0</v>
      </c>
      <c r="GP53" s="40">
        <f t="shared" ca="1" si="3365"/>
        <v>0</v>
      </c>
      <c r="GQ53" s="40">
        <f t="shared" ca="1" si="3365"/>
        <v>0</v>
      </c>
      <c r="GR53" s="40">
        <f t="shared" ca="1" si="3365"/>
        <v>0</v>
      </c>
      <c r="GS53" s="40">
        <f t="shared" ca="1" si="3365"/>
        <v>0</v>
      </c>
      <c r="GT53" s="40">
        <f t="shared" ca="1" si="3365"/>
        <v>0</v>
      </c>
      <c r="GU53" s="40">
        <f t="shared" ref="GU53:IN53" ca="1" si="3366">IF(SUM(GU$25,GU$33,GU$41,GU$49,GU$57)&gt;0,MIN(GU49,GU49/SUM(GU$25,GU$33,GU$41,GU$49,GU$57)*ROUND(GU$23-SUM(GU$28,GU$36,GU$44,GU$52,GU$60),10)),0)</f>
        <v>0</v>
      </c>
      <c r="GV53" s="40">
        <f t="shared" ca="1" si="3366"/>
        <v>0</v>
      </c>
      <c r="GW53" s="40">
        <f t="shared" ca="1" si="3366"/>
        <v>0</v>
      </c>
      <c r="GX53" s="40">
        <f t="shared" ca="1" si="3366"/>
        <v>0</v>
      </c>
      <c r="GY53" s="40">
        <f t="shared" ca="1" si="3366"/>
        <v>0</v>
      </c>
      <c r="GZ53" s="40">
        <f t="shared" ca="1" si="3366"/>
        <v>0</v>
      </c>
      <c r="HA53" s="40">
        <f t="shared" ca="1" si="3366"/>
        <v>0</v>
      </c>
      <c r="HB53" s="40">
        <f t="shared" ca="1" si="3366"/>
        <v>0</v>
      </c>
      <c r="HC53" s="40">
        <f t="shared" ca="1" si="3366"/>
        <v>0</v>
      </c>
      <c r="HD53" s="40">
        <f t="shared" ca="1" si="3366"/>
        <v>0</v>
      </c>
      <c r="HE53" s="40">
        <f t="shared" ca="1" si="3366"/>
        <v>0</v>
      </c>
      <c r="HF53" s="40">
        <f t="shared" ca="1" si="3366"/>
        <v>0</v>
      </c>
      <c r="HG53" s="40">
        <f t="shared" ca="1" si="3366"/>
        <v>0</v>
      </c>
      <c r="HH53" s="40">
        <f t="shared" ca="1" si="3366"/>
        <v>0</v>
      </c>
      <c r="HI53" s="40">
        <f t="shared" ca="1" si="3366"/>
        <v>0</v>
      </c>
      <c r="HJ53" s="40">
        <f t="shared" ca="1" si="3366"/>
        <v>0</v>
      </c>
      <c r="HK53" s="40">
        <f t="shared" ca="1" si="3366"/>
        <v>0</v>
      </c>
      <c r="HL53" s="40">
        <f t="shared" ca="1" si="3366"/>
        <v>0</v>
      </c>
      <c r="HM53" s="40">
        <f t="shared" ca="1" si="3366"/>
        <v>0</v>
      </c>
      <c r="HN53" s="40">
        <f t="shared" ca="1" si="3366"/>
        <v>0</v>
      </c>
      <c r="HO53" s="40">
        <f t="shared" ca="1" si="3366"/>
        <v>0</v>
      </c>
      <c r="HP53" s="40">
        <f t="shared" ca="1" si="3366"/>
        <v>0</v>
      </c>
      <c r="HQ53" s="40">
        <f t="shared" ca="1" si="3366"/>
        <v>0</v>
      </c>
      <c r="HR53" s="40">
        <f t="shared" ca="1" si="3366"/>
        <v>0</v>
      </c>
      <c r="HS53" s="40">
        <f t="shared" ca="1" si="3366"/>
        <v>0</v>
      </c>
      <c r="HT53" s="40">
        <f t="shared" ca="1" si="3366"/>
        <v>0</v>
      </c>
      <c r="HU53" s="40">
        <f t="shared" ca="1" si="3366"/>
        <v>0</v>
      </c>
      <c r="HV53" s="40">
        <f t="shared" ca="1" si="3366"/>
        <v>0</v>
      </c>
      <c r="HW53" s="40">
        <f t="shared" ca="1" si="3366"/>
        <v>0</v>
      </c>
      <c r="HX53" s="40">
        <f t="shared" ca="1" si="3366"/>
        <v>0</v>
      </c>
      <c r="HY53" s="40">
        <f t="shared" ca="1" si="3366"/>
        <v>0</v>
      </c>
      <c r="HZ53" s="40">
        <f t="shared" ca="1" si="3366"/>
        <v>0</v>
      </c>
      <c r="IA53" s="40">
        <f t="shared" ca="1" si="3366"/>
        <v>0</v>
      </c>
      <c r="IB53" s="40">
        <f t="shared" ca="1" si="3366"/>
        <v>0</v>
      </c>
      <c r="IC53" s="40">
        <f t="shared" ca="1" si="3366"/>
        <v>0</v>
      </c>
      <c r="ID53" s="40">
        <f t="shared" ca="1" si="3366"/>
        <v>0</v>
      </c>
      <c r="IE53" s="40">
        <f t="shared" ca="1" si="3366"/>
        <v>0</v>
      </c>
      <c r="IF53" s="40">
        <f t="shared" ca="1" si="3366"/>
        <v>0</v>
      </c>
      <c r="IG53" s="40">
        <f t="shared" ca="1" si="3366"/>
        <v>0</v>
      </c>
      <c r="IH53" s="40">
        <f t="shared" ca="1" si="3366"/>
        <v>0</v>
      </c>
      <c r="II53" s="40">
        <f t="shared" ca="1" si="3366"/>
        <v>0</v>
      </c>
      <c r="IJ53" s="40">
        <f t="shared" ca="1" si="3366"/>
        <v>0</v>
      </c>
      <c r="IK53" s="40">
        <f t="shared" ca="1" si="3366"/>
        <v>0</v>
      </c>
      <c r="IL53" s="40">
        <f t="shared" ca="1" si="3366"/>
        <v>0</v>
      </c>
      <c r="IM53" s="40">
        <f t="shared" ca="1" si="3366"/>
        <v>0</v>
      </c>
      <c r="IN53" s="40">
        <f t="shared" ca="1" si="3366"/>
        <v>0</v>
      </c>
      <c r="IO53" s="40">
        <f t="shared" ref="IO53:KZ53" ca="1" si="3367">IF(SUM(IO$25,IO$33,IO$41,IO$49,IO$57)&gt;0,MIN(IO49,IO49/SUM(IO$25,IO$33,IO$41,IO$49,IO$57)*ROUND(IO$23-SUM(IO$28,IO$36,IO$44,IO$52,IO$60),10)),0)</f>
        <v>0</v>
      </c>
      <c r="IP53" s="40">
        <f t="shared" ca="1" si="3367"/>
        <v>0</v>
      </c>
      <c r="IQ53" s="40">
        <f t="shared" ca="1" si="3367"/>
        <v>0</v>
      </c>
      <c r="IR53" s="40">
        <f t="shared" ca="1" si="3367"/>
        <v>0</v>
      </c>
      <c r="IS53" s="40">
        <f t="shared" ca="1" si="3367"/>
        <v>0</v>
      </c>
      <c r="IT53" s="40">
        <f t="shared" ca="1" si="3367"/>
        <v>0</v>
      </c>
      <c r="IU53" s="40">
        <f t="shared" ca="1" si="3367"/>
        <v>0</v>
      </c>
      <c r="IV53" s="40">
        <f t="shared" ca="1" si="3367"/>
        <v>0</v>
      </c>
      <c r="IW53" s="40">
        <f t="shared" ca="1" si="3367"/>
        <v>0</v>
      </c>
      <c r="IX53" s="40">
        <f t="shared" ca="1" si="3367"/>
        <v>0</v>
      </c>
      <c r="IY53" s="40">
        <f t="shared" ca="1" si="3367"/>
        <v>0</v>
      </c>
      <c r="IZ53" s="40">
        <f t="shared" ca="1" si="3367"/>
        <v>0</v>
      </c>
      <c r="JA53" s="40">
        <f t="shared" ca="1" si="3367"/>
        <v>0</v>
      </c>
      <c r="JB53" s="40">
        <f t="shared" ca="1" si="3367"/>
        <v>0</v>
      </c>
      <c r="JC53" s="40">
        <f t="shared" ca="1" si="3367"/>
        <v>0</v>
      </c>
      <c r="JD53" s="40">
        <f t="shared" ca="1" si="3367"/>
        <v>0</v>
      </c>
      <c r="JE53" s="40">
        <f t="shared" ca="1" si="3367"/>
        <v>0</v>
      </c>
      <c r="JF53" s="40">
        <f t="shared" ca="1" si="3367"/>
        <v>0</v>
      </c>
      <c r="JG53" s="40">
        <f t="shared" ca="1" si="3367"/>
        <v>0</v>
      </c>
      <c r="JH53" s="40">
        <f t="shared" ca="1" si="3367"/>
        <v>0</v>
      </c>
      <c r="JI53" s="40">
        <f t="shared" ca="1" si="3367"/>
        <v>0</v>
      </c>
      <c r="JJ53" s="40">
        <f t="shared" ca="1" si="3367"/>
        <v>0</v>
      </c>
      <c r="JK53" s="40">
        <f t="shared" ca="1" si="3367"/>
        <v>0</v>
      </c>
      <c r="JL53" s="40">
        <f t="shared" ca="1" si="3367"/>
        <v>0</v>
      </c>
      <c r="JM53" s="40">
        <f t="shared" ca="1" si="3367"/>
        <v>0</v>
      </c>
      <c r="JN53" s="40">
        <f t="shared" ca="1" si="3367"/>
        <v>0</v>
      </c>
      <c r="JO53" s="40">
        <f t="shared" ca="1" si="3367"/>
        <v>0</v>
      </c>
      <c r="JP53" s="40">
        <f t="shared" ca="1" si="3367"/>
        <v>0</v>
      </c>
      <c r="JQ53" s="40">
        <f t="shared" ca="1" si="3367"/>
        <v>0</v>
      </c>
      <c r="JR53" s="40">
        <f t="shared" ca="1" si="3367"/>
        <v>0</v>
      </c>
      <c r="JS53" s="40">
        <f t="shared" ca="1" si="3367"/>
        <v>0</v>
      </c>
      <c r="JT53" s="40">
        <f t="shared" ca="1" si="3367"/>
        <v>0</v>
      </c>
      <c r="JU53" s="40">
        <f t="shared" ca="1" si="3367"/>
        <v>0</v>
      </c>
      <c r="JV53" s="40">
        <f t="shared" ca="1" si="3367"/>
        <v>0</v>
      </c>
      <c r="JW53" s="40">
        <f t="shared" ca="1" si="3367"/>
        <v>0</v>
      </c>
      <c r="JX53" s="40">
        <f t="shared" ca="1" si="3367"/>
        <v>0</v>
      </c>
      <c r="JY53" s="40">
        <f t="shared" ca="1" si="3367"/>
        <v>0</v>
      </c>
      <c r="JZ53" s="40">
        <f t="shared" ca="1" si="3367"/>
        <v>0</v>
      </c>
      <c r="KA53" s="40">
        <f t="shared" ca="1" si="3367"/>
        <v>0</v>
      </c>
      <c r="KB53" s="40">
        <f t="shared" ca="1" si="3367"/>
        <v>0</v>
      </c>
      <c r="KC53" s="40">
        <f t="shared" ca="1" si="3367"/>
        <v>0</v>
      </c>
      <c r="KD53" s="40">
        <f t="shared" ca="1" si="3367"/>
        <v>0</v>
      </c>
      <c r="KE53" s="40">
        <f t="shared" ca="1" si="3367"/>
        <v>0</v>
      </c>
      <c r="KF53" s="40">
        <f t="shared" ca="1" si="3367"/>
        <v>0</v>
      </c>
      <c r="KG53" s="40">
        <f t="shared" ca="1" si="3367"/>
        <v>0</v>
      </c>
      <c r="KH53" s="40">
        <f t="shared" ca="1" si="3367"/>
        <v>0</v>
      </c>
      <c r="KI53" s="40">
        <f t="shared" ca="1" si="3367"/>
        <v>0</v>
      </c>
      <c r="KJ53" s="40">
        <f t="shared" ca="1" si="3367"/>
        <v>0</v>
      </c>
      <c r="KK53" s="40">
        <f t="shared" ca="1" si="3367"/>
        <v>0</v>
      </c>
      <c r="KL53" s="40">
        <f t="shared" ca="1" si="3367"/>
        <v>0</v>
      </c>
      <c r="KM53" s="40">
        <f t="shared" ca="1" si="3367"/>
        <v>0</v>
      </c>
      <c r="KN53" s="40">
        <f t="shared" ca="1" si="3367"/>
        <v>0</v>
      </c>
      <c r="KO53" s="40">
        <f t="shared" ca="1" si="3367"/>
        <v>0</v>
      </c>
      <c r="KP53" s="40">
        <f t="shared" ca="1" si="3367"/>
        <v>0</v>
      </c>
      <c r="KQ53" s="40">
        <f t="shared" ca="1" si="3367"/>
        <v>0</v>
      </c>
      <c r="KR53" s="40">
        <f t="shared" ca="1" si="3367"/>
        <v>0</v>
      </c>
      <c r="KS53" s="40">
        <f t="shared" ca="1" si="3367"/>
        <v>0</v>
      </c>
      <c r="KT53" s="40">
        <f t="shared" ca="1" si="3367"/>
        <v>0</v>
      </c>
      <c r="KU53" s="40">
        <f t="shared" ca="1" si="3367"/>
        <v>0</v>
      </c>
      <c r="KV53" s="40">
        <f t="shared" ca="1" si="3367"/>
        <v>0</v>
      </c>
      <c r="KW53" s="40">
        <f t="shared" ca="1" si="3367"/>
        <v>0</v>
      </c>
      <c r="KX53" s="40">
        <f t="shared" ca="1" si="3367"/>
        <v>0</v>
      </c>
      <c r="KY53" s="40">
        <f t="shared" ca="1" si="3367"/>
        <v>0</v>
      </c>
      <c r="KZ53" s="40">
        <f t="shared" ca="1" si="3367"/>
        <v>0</v>
      </c>
      <c r="LA53" s="40">
        <f t="shared" ref="LA53:ND53" ca="1" si="3368">IF(SUM(LA$25,LA$33,LA$41,LA$49,LA$57)&gt;0,MIN(LA49,LA49/SUM(LA$25,LA$33,LA$41,LA$49,LA$57)*ROUND(LA$23-SUM(LA$28,LA$36,LA$44,LA$52,LA$60),10)),0)</f>
        <v>0</v>
      </c>
      <c r="LB53" s="40">
        <f t="shared" ca="1" si="3368"/>
        <v>0</v>
      </c>
      <c r="LC53" s="40">
        <f t="shared" ca="1" si="3368"/>
        <v>0</v>
      </c>
      <c r="LD53" s="40">
        <f t="shared" ca="1" si="3368"/>
        <v>0</v>
      </c>
      <c r="LE53" s="40">
        <f t="shared" ca="1" si="3368"/>
        <v>0</v>
      </c>
      <c r="LF53" s="40">
        <f t="shared" ca="1" si="3368"/>
        <v>0</v>
      </c>
      <c r="LG53" s="40">
        <f t="shared" ca="1" si="3368"/>
        <v>0</v>
      </c>
      <c r="LH53" s="40">
        <f t="shared" ca="1" si="3368"/>
        <v>0</v>
      </c>
      <c r="LI53" s="40">
        <f t="shared" ca="1" si="3368"/>
        <v>0</v>
      </c>
      <c r="LJ53" s="40">
        <f t="shared" ca="1" si="3368"/>
        <v>0</v>
      </c>
      <c r="LK53" s="40">
        <f t="shared" ca="1" si="3368"/>
        <v>0</v>
      </c>
      <c r="LL53" s="40">
        <f t="shared" ca="1" si="3368"/>
        <v>0</v>
      </c>
      <c r="LM53" s="40">
        <f t="shared" ca="1" si="3368"/>
        <v>0</v>
      </c>
      <c r="LN53" s="40">
        <f t="shared" ca="1" si="3368"/>
        <v>0</v>
      </c>
      <c r="LO53" s="40">
        <f t="shared" ca="1" si="3368"/>
        <v>0</v>
      </c>
      <c r="LP53" s="40">
        <f t="shared" ca="1" si="3368"/>
        <v>0</v>
      </c>
      <c r="LQ53" s="40">
        <f t="shared" ca="1" si="3368"/>
        <v>0</v>
      </c>
      <c r="LR53" s="40">
        <f t="shared" ca="1" si="3368"/>
        <v>0</v>
      </c>
      <c r="LS53" s="40">
        <f t="shared" ca="1" si="3368"/>
        <v>0</v>
      </c>
      <c r="LT53" s="40">
        <f t="shared" ca="1" si="3368"/>
        <v>0</v>
      </c>
      <c r="LU53" s="40">
        <f t="shared" ca="1" si="3368"/>
        <v>0</v>
      </c>
      <c r="LV53" s="40">
        <f t="shared" ca="1" si="3368"/>
        <v>0</v>
      </c>
      <c r="LW53" s="40">
        <f t="shared" ca="1" si="3368"/>
        <v>0</v>
      </c>
      <c r="LX53" s="40">
        <f t="shared" ca="1" si="3368"/>
        <v>0</v>
      </c>
      <c r="LY53" s="40">
        <f t="shared" ca="1" si="3368"/>
        <v>0</v>
      </c>
      <c r="LZ53" s="40">
        <f t="shared" ca="1" si="3368"/>
        <v>0</v>
      </c>
      <c r="MA53" s="40">
        <f t="shared" ca="1" si="3368"/>
        <v>0</v>
      </c>
      <c r="MB53" s="40">
        <f t="shared" ca="1" si="3368"/>
        <v>0</v>
      </c>
      <c r="MC53" s="40">
        <f t="shared" ca="1" si="3368"/>
        <v>0</v>
      </c>
      <c r="MD53" s="40">
        <f t="shared" ca="1" si="3368"/>
        <v>0</v>
      </c>
      <c r="ME53" s="40">
        <f t="shared" ca="1" si="3368"/>
        <v>0</v>
      </c>
      <c r="MF53" s="40">
        <f t="shared" ca="1" si="3368"/>
        <v>0</v>
      </c>
      <c r="MG53" s="40">
        <f t="shared" ca="1" si="3368"/>
        <v>0</v>
      </c>
      <c r="MH53" s="40">
        <f t="shared" ca="1" si="3368"/>
        <v>0</v>
      </c>
      <c r="MI53" s="40">
        <f t="shared" ca="1" si="3368"/>
        <v>0</v>
      </c>
      <c r="MJ53" s="40">
        <f t="shared" ca="1" si="3368"/>
        <v>0</v>
      </c>
      <c r="MK53" s="40">
        <f t="shared" ca="1" si="3368"/>
        <v>0</v>
      </c>
      <c r="ML53" s="40">
        <f t="shared" ca="1" si="3368"/>
        <v>0</v>
      </c>
      <c r="MM53" s="40">
        <f t="shared" ca="1" si="3368"/>
        <v>0</v>
      </c>
      <c r="MN53" s="40">
        <f t="shared" ca="1" si="3368"/>
        <v>0</v>
      </c>
      <c r="MO53" s="40">
        <f t="shared" ca="1" si="3368"/>
        <v>0</v>
      </c>
      <c r="MP53" s="40">
        <f t="shared" ca="1" si="3368"/>
        <v>0</v>
      </c>
      <c r="MQ53" s="40">
        <f t="shared" ca="1" si="3368"/>
        <v>0</v>
      </c>
      <c r="MR53" s="40">
        <f t="shared" ca="1" si="3368"/>
        <v>0</v>
      </c>
      <c r="MS53" s="40">
        <f t="shared" ca="1" si="3368"/>
        <v>0</v>
      </c>
      <c r="MT53" s="40">
        <f t="shared" ca="1" si="3368"/>
        <v>0</v>
      </c>
      <c r="MU53" s="40">
        <f t="shared" ca="1" si="3368"/>
        <v>0</v>
      </c>
      <c r="MV53" s="40">
        <f t="shared" ca="1" si="3368"/>
        <v>0</v>
      </c>
      <c r="MW53" s="40">
        <f t="shared" ca="1" si="3368"/>
        <v>0</v>
      </c>
      <c r="MX53" s="40">
        <f t="shared" ca="1" si="3368"/>
        <v>0</v>
      </c>
      <c r="MY53" s="40">
        <f t="shared" ca="1" si="3368"/>
        <v>0</v>
      </c>
      <c r="MZ53" s="40">
        <f t="shared" ca="1" si="3368"/>
        <v>0</v>
      </c>
      <c r="NA53" s="40">
        <f t="shared" ca="1" si="3368"/>
        <v>0</v>
      </c>
      <c r="NB53" s="40">
        <f t="shared" ca="1" si="3368"/>
        <v>0</v>
      </c>
      <c r="NC53" s="40">
        <f t="shared" ca="1" si="3368"/>
        <v>0</v>
      </c>
      <c r="ND53" s="40">
        <f t="shared" ca="1" si="3368"/>
        <v>0</v>
      </c>
      <c r="NE53" s="40"/>
      <c r="NF53" s="40"/>
      <c r="NG53" s="40"/>
      <c r="NH53" s="40"/>
      <c r="NI53" s="40"/>
      <c r="NJ53" s="40"/>
      <c r="NK53" s="40"/>
      <c r="NL53" s="40"/>
      <c r="NM53" s="40"/>
      <c r="NN53" s="40"/>
      <c r="NO53" s="40"/>
      <c r="NP53" s="40"/>
      <c r="NQ53" s="40"/>
      <c r="NR53" s="40"/>
    </row>
    <row r="54" spans="2:382" x14ac:dyDescent="0.15">
      <c r="B54" s="518"/>
      <c r="C54" s="115" t="s">
        <v>165</v>
      </c>
      <c r="D54" s="52"/>
      <c r="E54" s="40"/>
      <c r="F54" s="40"/>
      <c r="G54" s="114"/>
      <c r="H54" s="40"/>
      <c r="I54" s="40">
        <f>I52+I53+G54</f>
        <v>0</v>
      </c>
      <c r="J54" s="40">
        <f t="shared" ref="J54" si="3369">J52+J53+I54</f>
        <v>0</v>
      </c>
      <c r="K54" s="40">
        <f t="shared" ref="K54" si="3370">K52+K53+J54</f>
        <v>0</v>
      </c>
      <c r="L54" s="40">
        <f t="shared" ref="L54" si="3371">L52+L53+K54</f>
        <v>0</v>
      </c>
      <c r="M54" s="40">
        <f t="shared" ref="M54" si="3372">M52+M53+L54</f>
        <v>0</v>
      </c>
      <c r="N54" s="40">
        <f t="shared" ref="N54" si="3373">N52+N53+M54</f>
        <v>0</v>
      </c>
      <c r="O54" s="40">
        <f t="shared" ref="O54" si="3374">O52+O53+N54</f>
        <v>0</v>
      </c>
      <c r="P54" s="40">
        <f t="shared" ref="P54" si="3375">P52+P53+O54</f>
        <v>0</v>
      </c>
      <c r="Q54" s="40">
        <f t="shared" ref="Q54" si="3376">Q52+Q53+P54</f>
        <v>0</v>
      </c>
      <c r="R54" s="40">
        <f t="shared" ref="R54" si="3377">R52+R53+Q54</f>
        <v>0</v>
      </c>
      <c r="S54" s="40">
        <f t="shared" ref="S54" si="3378">S52+S53+R54</f>
        <v>0</v>
      </c>
      <c r="T54" s="40">
        <f t="shared" ref="T54" si="3379">T52+T53+S54</f>
        <v>0</v>
      </c>
      <c r="U54" s="40">
        <f t="shared" ref="U54" si="3380">U52+U53+T54</f>
        <v>0</v>
      </c>
      <c r="V54" s="40">
        <f t="shared" ref="V54" si="3381">V52+V53+U54</f>
        <v>0</v>
      </c>
      <c r="W54" s="40">
        <f t="shared" ref="W54" si="3382">W52+W53+V54</f>
        <v>0</v>
      </c>
      <c r="X54" s="40">
        <f t="shared" ref="X54" si="3383">X52+X53+W54</f>
        <v>0</v>
      </c>
      <c r="Y54" s="40">
        <f t="shared" ref="Y54" si="3384">Y52+Y53+X54</f>
        <v>0</v>
      </c>
      <c r="Z54" s="40">
        <f t="shared" ref="Z54" si="3385">Z52+Z53+Y54</f>
        <v>0</v>
      </c>
      <c r="AA54" s="40">
        <f t="shared" ref="AA54" si="3386">AA52+AA53+Z54</f>
        <v>0</v>
      </c>
      <c r="AB54" s="40">
        <f t="shared" ref="AB54" si="3387">AB52+AB53+AA54</f>
        <v>0</v>
      </c>
      <c r="AC54" s="40">
        <f t="shared" ref="AC54" si="3388">AC52+AC53+AB54</f>
        <v>0</v>
      </c>
      <c r="AD54" s="40">
        <f t="shared" ref="AD54" si="3389">AD52+AD53+AC54</f>
        <v>0</v>
      </c>
      <c r="AE54" s="40">
        <f t="shared" ref="AE54" si="3390">AE52+AE53+AD54</f>
        <v>0</v>
      </c>
      <c r="AF54" s="40">
        <f t="shared" ref="AF54" si="3391">AF52+AF53+AE54</f>
        <v>0</v>
      </c>
      <c r="AG54" s="40">
        <f t="shared" ref="AG54" si="3392">AG52+AG53+AF54</f>
        <v>0</v>
      </c>
      <c r="AH54" s="40">
        <f t="shared" ref="AH54" si="3393">AH52+AH53+AG54</f>
        <v>0</v>
      </c>
      <c r="AI54" s="40">
        <f t="shared" ref="AI54" si="3394">AI52+AI53+AH54</f>
        <v>0</v>
      </c>
      <c r="AJ54" s="40">
        <f t="shared" ref="AJ54" si="3395">AJ52+AJ53+AI54</f>
        <v>0</v>
      </c>
      <c r="AK54" s="40">
        <f t="shared" ref="AK54" si="3396">AK52+AK53+AJ54</f>
        <v>0</v>
      </c>
      <c r="AL54" s="40">
        <f t="shared" ref="AL54" si="3397">AL52+AL53+AK54</f>
        <v>0</v>
      </c>
      <c r="AM54" s="40">
        <f t="shared" ref="AM54" si="3398">AM52+AM53+AL54</f>
        <v>0</v>
      </c>
      <c r="AN54" s="40">
        <f t="shared" ref="AN54" si="3399">AN52+AN53+AM54</f>
        <v>0</v>
      </c>
      <c r="AO54" s="40">
        <f t="shared" ref="AO54" si="3400">AO52+AO53+AN54</f>
        <v>0</v>
      </c>
      <c r="AP54" s="40">
        <f t="shared" ref="AP54" si="3401">AP52+AP53+AO54</f>
        <v>0</v>
      </c>
      <c r="AQ54" s="40">
        <f t="shared" ref="AQ54" si="3402">AQ52+AQ53+AP54</f>
        <v>0</v>
      </c>
      <c r="AR54" s="40">
        <f t="shared" ref="AR54" si="3403">AR52+AR53+AQ54</f>
        <v>0</v>
      </c>
      <c r="AS54" s="40">
        <f t="shared" ref="AS54" si="3404">AS52+AS53+AR54</f>
        <v>0</v>
      </c>
      <c r="AT54" s="40">
        <f t="shared" ref="AT54" si="3405">AT52+AT53+AS54</f>
        <v>0</v>
      </c>
      <c r="AU54" s="40">
        <f t="shared" ref="AU54" si="3406">AU52+AU53+AT54</f>
        <v>0</v>
      </c>
      <c r="AV54" s="40">
        <f t="shared" ref="AV54" si="3407">AV52+AV53+AU54</f>
        <v>0</v>
      </c>
      <c r="AW54" s="40">
        <f t="shared" ref="AW54" si="3408">AW52+AW53+AV54</f>
        <v>0</v>
      </c>
      <c r="AX54" s="40">
        <f t="shared" ref="AX54" si="3409">AX52+AX53+AW54</f>
        <v>0</v>
      </c>
      <c r="AY54" s="40">
        <f t="shared" ref="AY54" si="3410">AY52+AY53+AX54</f>
        <v>0</v>
      </c>
      <c r="AZ54" s="40">
        <f t="shared" ref="AZ54" si="3411">AZ52+AZ53+AY54</f>
        <v>0</v>
      </c>
      <c r="BA54" s="40">
        <f t="shared" ref="BA54" si="3412">BA52+BA53+AZ54</f>
        <v>0</v>
      </c>
      <c r="BB54" s="40">
        <f t="shared" ref="BB54" si="3413">BB52+BB53+BA54</f>
        <v>0</v>
      </c>
      <c r="BC54" s="40">
        <f t="shared" ref="BC54" si="3414">BC52+BC53+BB54</f>
        <v>0</v>
      </c>
      <c r="BD54" s="40">
        <f t="shared" ref="BD54" si="3415">BD52+BD53+BC54</f>
        <v>0</v>
      </c>
      <c r="BE54" s="40">
        <f t="shared" ref="BE54" si="3416">BE52+BE53+BD54</f>
        <v>0</v>
      </c>
      <c r="BF54" s="40">
        <f t="shared" ref="BF54" si="3417">BF52+BF53+BE54</f>
        <v>0</v>
      </c>
      <c r="BG54" s="40">
        <f t="shared" ref="BG54" si="3418">BG52+BG53+BF54</f>
        <v>0</v>
      </c>
      <c r="BH54" s="40">
        <f t="shared" ref="BH54" si="3419">BH52+BH53+BG54</f>
        <v>0</v>
      </c>
      <c r="BI54" s="40">
        <f t="shared" ref="BI54" si="3420">BI52+BI53+BH54</f>
        <v>0</v>
      </c>
      <c r="BJ54" s="40">
        <f t="shared" ref="BJ54" si="3421">BJ52+BJ53+BI54</f>
        <v>0</v>
      </c>
      <c r="BK54" s="40">
        <f t="shared" ref="BK54" si="3422">BK52+BK53+BJ54</f>
        <v>0</v>
      </c>
      <c r="BL54" s="40">
        <f t="shared" ref="BL54" si="3423">BL52+BL53+BK54</f>
        <v>0</v>
      </c>
      <c r="BM54" s="40">
        <f t="shared" ref="BM54" si="3424">BM52+BM53+BL54</f>
        <v>0</v>
      </c>
      <c r="BN54" s="40">
        <f t="shared" ref="BN54" si="3425">BN52+BN53+BM54</f>
        <v>0</v>
      </c>
      <c r="BO54" s="40">
        <f t="shared" ref="BO54" si="3426">BO52+BO53+BN54</f>
        <v>0</v>
      </c>
      <c r="BP54" s="40">
        <f t="shared" ref="BP54" si="3427">BP52+BP53+BO54</f>
        <v>0</v>
      </c>
      <c r="BQ54" s="40">
        <f t="shared" ref="BQ54" si="3428">BQ52+BQ53+BP54</f>
        <v>0</v>
      </c>
      <c r="BR54" s="40">
        <f t="shared" ref="BR54" si="3429">BR52+BR53+BQ54</f>
        <v>0</v>
      </c>
      <c r="BS54" s="40">
        <f t="shared" ref="BS54" si="3430">BS52+BS53+BR54</f>
        <v>0</v>
      </c>
      <c r="BT54" s="40">
        <f t="shared" ref="BT54" si="3431">BT52+BT53+BS54</f>
        <v>0</v>
      </c>
      <c r="BU54" s="40">
        <f t="shared" ref="BU54" si="3432">BU52+BU53+BT54</f>
        <v>0</v>
      </c>
      <c r="BV54" s="40">
        <f t="shared" ref="BV54" si="3433">BV52+BV53+BU54</f>
        <v>0</v>
      </c>
      <c r="BW54" s="40">
        <f t="shared" ref="BW54" si="3434">BW52+BW53+BV54</f>
        <v>0</v>
      </c>
      <c r="BX54" s="40">
        <f t="shared" ref="BX54" si="3435">BX52+BX53+BW54</f>
        <v>0</v>
      </c>
      <c r="BY54" s="40">
        <f t="shared" ref="BY54" si="3436">BY52+BY53+BX54</f>
        <v>0</v>
      </c>
      <c r="BZ54" s="40">
        <f t="shared" ref="BZ54" si="3437">BZ52+BZ53+BY54</f>
        <v>0</v>
      </c>
      <c r="CA54" s="40">
        <f t="shared" ref="CA54" si="3438">CA52+CA53+BZ54</f>
        <v>0</v>
      </c>
      <c r="CB54" s="40">
        <f t="shared" ref="CB54" si="3439">CB52+CB53+CA54</f>
        <v>0</v>
      </c>
      <c r="CC54" s="40">
        <f t="shared" ref="CC54" si="3440">CC52+CC53+CB54</f>
        <v>0</v>
      </c>
      <c r="CD54" s="40">
        <f t="shared" ref="CD54" si="3441">CD52+CD53+CC54</f>
        <v>0</v>
      </c>
      <c r="CE54" s="40">
        <f t="shared" ref="CE54" si="3442">CE52+CE53+CD54</f>
        <v>0</v>
      </c>
      <c r="CF54" s="40">
        <f t="shared" ref="CF54" si="3443">CF52+CF53+CE54</f>
        <v>0</v>
      </c>
      <c r="CG54" s="40">
        <f t="shared" ref="CG54" si="3444">CG52+CG53+CF54</f>
        <v>0</v>
      </c>
      <c r="CH54" s="40">
        <f t="shared" ref="CH54" si="3445">CH52+CH53+CG54</f>
        <v>0</v>
      </c>
      <c r="CI54" s="40">
        <f t="shared" ref="CI54" si="3446">CI52+CI53+CH54</f>
        <v>0</v>
      </c>
      <c r="CJ54" s="40">
        <f t="shared" ref="CJ54" si="3447">CJ52+CJ53+CI54</f>
        <v>0</v>
      </c>
      <c r="CK54" s="40">
        <f t="shared" ref="CK54" si="3448">CK52+CK53+CJ54</f>
        <v>0</v>
      </c>
      <c r="CL54" s="40">
        <f t="shared" ref="CL54" si="3449">CL52+CL53+CK54</f>
        <v>0</v>
      </c>
      <c r="CM54" s="40">
        <f t="shared" ref="CM54" si="3450">CM52+CM53+CL54</f>
        <v>0</v>
      </c>
      <c r="CN54" s="40">
        <f t="shared" ref="CN54" si="3451">CN52+CN53+CM54</f>
        <v>0</v>
      </c>
      <c r="CO54" s="40">
        <f t="shared" ref="CO54" si="3452">CO52+CO53+CN54</f>
        <v>0</v>
      </c>
      <c r="CP54" s="40">
        <f t="shared" ref="CP54" si="3453">CP52+CP53+CO54</f>
        <v>0</v>
      </c>
      <c r="CQ54" s="40">
        <f t="shared" ref="CQ54" si="3454">CQ52+CQ53+CP54</f>
        <v>0</v>
      </c>
      <c r="CR54" s="40">
        <f t="shared" ref="CR54" si="3455">CR52+CR53+CQ54</f>
        <v>0</v>
      </c>
      <c r="CS54" s="40">
        <f t="shared" ref="CS54" si="3456">CS52+CS53+CR54</f>
        <v>0</v>
      </c>
      <c r="CT54" s="40">
        <f t="shared" ref="CT54" si="3457">CT52+CT53+CS54</f>
        <v>0</v>
      </c>
      <c r="CU54" s="40">
        <f t="shared" ref="CU54" si="3458">CU52+CU53+CT54</f>
        <v>0</v>
      </c>
      <c r="CV54" s="40">
        <f t="shared" ref="CV54" si="3459">CV52+CV53+CU54</f>
        <v>0</v>
      </c>
      <c r="CW54" s="40">
        <f t="shared" ref="CW54" si="3460">CW52+CW53+CV54</f>
        <v>0</v>
      </c>
      <c r="CX54" s="40">
        <f t="shared" ref="CX54" si="3461">CX52+CX53+CW54</f>
        <v>0</v>
      </c>
      <c r="CY54" s="40">
        <f t="shared" ref="CY54" si="3462">CY52+CY53+CX54</f>
        <v>0</v>
      </c>
      <c r="CZ54" s="40">
        <f t="shared" ref="CZ54" si="3463">CZ52+CZ53+CY54</f>
        <v>0</v>
      </c>
      <c r="DA54" s="40">
        <f t="shared" ref="DA54" si="3464">DA52+DA53+CZ54</f>
        <v>0</v>
      </c>
      <c r="DB54" s="40">
        <f t="shared" ref="DB54" si="3465">DB52+DB53+DA54</f>
        <v>0</v>
      </c>
      <c r="DC54" s="40">
        <f t="shared" ref="DC54" si="3466">DC52+DC53+DB54</f>
        <v>0</v>
      </c>
      <c r="DD54" s="40">
        <f t="shared" ref="DD54" si="3467">DD52+DD53+DC54</f>
        <v>0</v>
      </c>
      <c r="DE54" s="40">
        <f t="shared" ref="DE54" si="3468">DE52+DE53+DD54</f>
        <v>0</v>
      </c>
      <c r="DF54" s="40">
        <f t="shared" ref="DF54" si="3469">DF52+DF53+DE54</f>
        <v>0</v>
      </c>
      <c r="DG54" s="40">
        <f t="shared" ref="DG54" si="3470">DG52+DG53+DF54</f>
        <v>0</v>
      </c>
      <c r="DH54" s="40">
        <f t="shared" ref="DH54" si="3471">DH52+DH53+DG54</f>
        <v>0</v>
      </c>
      <c r="DI54" s="40">
        <f t="shared" ref="DI54" si="3472">DI52+DI53+DH54</f>
        <v>0</v>
      </c>
      <c r="DJ54" s="40">
        <f t="shared" ref="DJ54" si="3473">DJ52+DJ53+DI54</f>
        <v>0</v>
      </c>
      <c r="DK54" s="40">
        <f t="shared" ref="DK54" si="3474">DK52+DK53+DJ54</f>
        <v>0</v>
      </c>
      <c r="DL54" s="40">
        <f t="shared" ref="DL54" si="3475">DL52+DL53+DK54</f>
        <v>0</v>
      </c>
      <c r="DM54" s="40">
        <f t="shared" ref="DM54" si="3476">DM52+DM53+DL54</f>
        <v>0</v>
      </c>
      <c r="DN54" s="40">
        <f t="shared" ref="DN54" si="3477">DN52+DN53+DM54</f>
        <v>0</v>
      </c>
      <c r="DO54" s="40">
        <f t="shared" ref="DO54" si="3478">DO52+DO53+DN54</f>
        <v>0</v>
      </c>
      <c r="DP54" s="40">
        <f t="shared" ref="DP54" si="3479">DP52+DP53+DO54</f>
        <v>0</v>
      </c>
      <c r="DQ54" s="40">
        <f t="shared" ref="DQ54" si="3480">DQ52+DQ53+DP54</f>
        <v>0</v>
      </c>
      <c r="DR54" s="40">
        <f t="shared" ref="DR54" si="3481">DR52+DR53+DQ54</f>
        <v>0</v>
      </c>
      <c r="DS54" s="40">
        <f t="shared" ref="DS54" si="3482">DS52+DS53+DR54</f>
        <v>0</v>
      </c>
      <c r="DT54" s="40">
        <f t="shared" ref="DT54" si="3483">DT52+DT53+DS54</f>
        <v>0</v>
      </c>
      <c r="DU54" s="40">
        <f t="shared" ref="DU54" si="3484">DU52+DU53+DT54</f>
        <v>0</v>
      </c>
      <c r="DV54" s="40">
        <f t="shared" ref="DV54" si="3485">DV52+DV53+DU54</f>
        <v>0</v>
      </c>
      <c r="DW54" s="40">
        <f t="shared" ref="DW54" si="3486">DW52+DW53+DV54</f>
        <v>0</v>
      </c>
      <c r="DX54" s="40">
        <f t="shared" ref="DX54" si="3487">DX52+DX53+DW54</f>
        <v>0</v>
      </c>
      <c r="DY54" s="40">
        <f t="shared" ref="DY54" si="3488">DY52+DY53+DX54</f>
        <v>0</v>
      </c>
      <c r="DZ54" s="40">
        <f t="shared" ref="DZ54" si="3489">DZ52+DZ53+DY54</f>
        <v>0</v>
      </c>
      <c r="EA54" s="40">
        <f t="shared" ref="EA54" si="3490">EA52+EA53+DZ54</f>
        <v>0</v>
      </c>
      <c r="EB54" s="40">
        <f t="shared" ref="EB54" si="3491">EB52+EB53+EA54</f>
        <v>0</v>
      </c>
      <c r="EC54" s="40">
        <f t="shared" ref="EC54" si="3492">EC52+EC53+EB54</f>
        <v>0</v>
      </c>
      <c r="ED54" s="40">
        <f t="shared" ref="ED54" si="3493">ED52+ED53+EC54</f>
        <v>0</v>
      </c>
      <c r="EE54" s="40">
        <f t="shared" ref="EE54" si="3494">EE52+EE53+ED54</f>
        <v>0</v>
      </c>
      <c r="EF54" s="40">
        <f t="shared" ref="EF54" si="3495">EF52+EF53+EE54</f>
        <v>0</v>
      </c>
      <c r="EG54" s="40">
        <f t="shared" ref="EG54" si="3496">EG52+EG53+EF54</f>
        <v>0</v>
      </c>
      <c r="EH54" s="40">
        <f t="shared" ref="EH54" si="3497">EH52+EH53+EG54</f>
        <v>0</v>
      </c>
      <c r="EI54" s="40">
        <f t="shared" ref="EI54" si="3498">EI52+EI53+EH54</f>
        <v>0</v>
      </c>
      <c r="EJ54" s="40">
        <f t="shared" ref="EJ54" si="3499">EJ52+EJ53+EI54</f>
        <v>0</v>
      </c>
      <c r="EK54" s="40">
        <f t="shared" ref="EK54" si="3500">EK52+EK53+EJ54</f>
        <v>0</v>
      </c>
      <c r="EL54" s="40">
        <f t="shared" ref="EL54" si="3501">EL52+EL53+EK54</f>
        <v>0</v>
      </c>
      <c r="EM54" s="40">
        <f t="shared" ref="EM54" si="3502">EM52+EM53+EL54</f>
        <v>0</v>
      </c>
      <c r="EN54" s="40">
        <f t="shared" ref="EN54" si="3503">EN52+EN53+EM54</f>
        <v>0</v>
      </c>
      <c r="EO54" s="40">
        <f t="shared" ref="EO54" si="3504">EO52+EO53+EN54</f>
        <v>0</v>
      </c>
      <c r="EP54" s="40">
        <f t="shared" ref="EP54" si="3505">EP52+EP53+EO54</f>
        <v>0</v>
      </c>
      <c r="EQ54" s="40">
        <f t="shared" ref="EQ54" si="3506">EQ52+EQ53+EP54</f>
        <v>0</v>
      </c>
      <c r="ER54" s="40">
        <f t="shared" ref="ER54" si="3507">ER52+ER53+EQ54</f>
        <v>0</v>
      </c>
      <c r="ES54" s="40">
        <f t="shared" ref="ES54" si="3508">ES52+ES53+ER54</f>
        <v>0</v>
      </c>
      <c r="ET54" s="40">
        <f t="shared" ref="ET54" si="3509">ET52+ET53+ES54</f>
        <v>0</v>
      </c>
      <c r="EU54" s="40">
        <f t="shared" ref="EU54" si="3510">EU52+EU53+ET54</f>
        <v>0</v>
      </c>
      <c r="EV54" s="40">
        <f t="shared" ref="EV54" si="3511">EV52+EV53+EU54</f>
        <v>0</v>
      </c>
      <c r="EW54" s="40">
        <f t="shared" ref="EW54" si="3512">EW52+EW53+EV54</f>
        <v>0</v>
      </c>
      <c r="EX54" s="40">
        <f t="shared" ref="EX54" si="3513">EX52+EX53+EW54</f>
        <v>0</v>
      </c>
      <c r="EY54" s="40">
        <f t="shared" ref="EY54" si="3514">EY52+EY53+EX54</f>
        <v>0</v>
      </c>
      <c r="EZ54" s="40">
        <f t="shared" ref="EZ54" si="3515">EZ52+EZ53+EY54</f>
        <v>0</v>
      </c>
      <c r="FA54" s="40">
        <f t="shared" ref="FA54" si="3516">FA52+FA53+EZ54</f>
        <v>0</v>
      </c>
      <c r="FB54" s="40">
        <f t="shared" ref="FB54" si="3517">FB52+FB53+FA54</f>
        <v>0</v>
      </c>
      <c r="FC54" s="40">
        <f t="shared" ref="FC54" si="3518">FC52+FC53+FB54</f>
        <v>0</v>
      </c>
      <c r="FD54" s="40">
        <f t="shared" ref="FD54" si="3519">FD52+FD53+FC54</f>
        <v>0</v>
      </c>
      <c r="FE54" s="40">
        <f t="shared" ref="FE54" si="3520">FE52+FE53+FD54</f>
        <v>0</v>
      </c>
      <c r="FF54" s="40">
        <f t="shared" ref="FF54" si="3521">FF52+FF53+FE54</f>
        <v>0</v>
      </c>
      <c r="FG54" s="40">
        <f t="shared" ref="FG54" si="3522">FG52+FG53+FF54</f>
        <v>0</v>
      </c>
      <c r="FH54" s="40">
        <f t="shared" ref="FH54" si="3523">FH52+FH53+FG54</f>
        <v>0</v>
      </c>
      <c r="FI54" s="40">
        <f t="shared" ref="FI54" si="3524">FI52+FI53+FH54</f>
        <v>0</v>
      </c>
      <c r="FJ54" s="40">
        <f t="shared" ref="FJ54" si="3525">FJ52+FJ53+FI54</f>
        <v>0</v>
      </c>
      <c r="FK54" s="40">
        <f t="shared" ref="FK54" si="3526">FK52+FK53+FJ54</f>
        <v>0</v>
      </c>
      <c r="FL54" s="40">
        <f t="shared" ref="FL54" si="3527">FL52+FL53+FK54</f>
        <v>0</v>
      </c>
      <c r="FM54" s="40">
        <f t="shared" ref="FM54" si="3528">FM52+FM53+FL54</f>
        <v>0</v>
      </c>
      <c r="FN54" s="40">
        <f t="shared" ref="FN54" si="3529">FN52+FN53+FM54</f>
        <v>0</v>
      </c>
      <c r="FO54" s="40">
        <f t="shared" ref="FO54" si="3530">FO52+FO53+FN54</f>
        <v>0</v>
      </c>
      <c r="FP54" s="40">
        <f t="shared" ref="FP54" si="3531">FP52+FP53+FO54</f>
        <v>0</v>
      </c>
      <c r="FQ54" s="40">
        <f t="shared" ref="FQ54" si="3532">FQ52+FQ53+FP54</f>
        <v>0</v>
      </c>
      <c r="FR54" s="40">
        <f t="shared" ref="FR54" si="3533">FR52+FR53+FQ54</f>
        <v>0</v>
      </c>
      <c r="FS54" s="40">
        <f t="shared" ref="FS54" si="3534">FS52+FS53+FR54</f>
        <v>0</v>
      </c>
      <c r="FT54" s="40">
        <f t="shared" ref="FT54" si="3535">FT52+FT53+FS54</f>
        <v>0</v>
      </c>
      <c r="FU54" s="40">
        <f t="shared" ref="FU54" si="3536">FU52+FU53+FT54</f>
        <v>0</v>
      </c>
      <c r="FV54" s="40">
        <f t="shared" ref="FV54" si="3537">FV52+FV53+FU54</f>
        <v>0</v>
      </c>
      <c r="FW54" s="40">
        <f t="shared" ref="FW54" si="3538">FW52+FW53+FV54</f>
        <v>0</v>
      </c>
      <c r="FX54" s="40">
        <f t="shared" ref="FX54" si="3539">FX52+FX53+FW54</f>
        <v>0</v>
      </c>
      <c r="FY54" s="40">
        <f t="shared" ref="FY54" si="3540">FY52+FY53+FX54</f>
        <v>0</v>
      </c>
      <c r="FZ54" s="40">
        <f t="shared" ref="FZ54" si="3541">FZ52+FZ53+FY54</f>
        <v>0</v>
      </c>
      <c r="GA54" s="40">
        <f t="shared" ref="GA54" si="3542">GA52+GA53+FZ54</f>
        <v>0</v>
      </c>
      <c r="GB54" s="40">
        <f t="shared" ref="GB54" si="3543">GB52+GB53+GA54</f>
        <v>0</v>
      </c>
      <c r="GC54" s="40">
        <f t="shared" ref="GC54" si="3544">GC52+GC53+GB54</f>
        <v>0</v>
      </c>
      <c r="GD54" s="40">
        <f t="shared" ref="GD54" si="3545">GD52+GD53+GC54</f>
        <v>0</v>
      </c>
      <c r="GE54" s="40">
        <f t="shared" ref="GE54" si="3546">GE52+GE53+GD54</f>
        <v>0</v>
      </c>
      <c r="GF54" s="40">
        <f t="shared" ref="GF54" ca="1" si="3547">GF52+GF53+GE54</f>
        <v>0</v>
      </c>
      <c r="GG54" s="40">
        <f t="shared" ref="GG54" ca="1" si="3548">GG52+GG53+GF54</f>
        <v>0</v>
      </c>
      <c r="GH54" s="40">
        <f t="shared" ref="GH54" ca="1" si="3549">GH52+GH53+GG54</f>
        <v>0</v>
      </c>
      <c r="GI54" s="40">
        <f t="shared" ref="GI54" ca="1" si="3550">GI52+GI53+GH54</f>
        <v>0</v>
      </c>
      <c r="GJ54" s="40">
        <f t="shared" ref="GJ54" ca="1" si="3551">GJ52+GJ53+GI54</f>
        <v>0</v>
      </c>
      <c r="GK54" s="40">
        <f t="shared" ref="GK54" ca="1" si="3552">GK52+GK53+GJ54</f>
        <v>0</v>
      </c>
      <c r="GL54" s="40">
        <f t="shared" ref="GL54" ca="1" si="3553">GL52+GL53+GK54</f>
        <v>0</v>
      </c>
      <c r="GM54" s="40">
        <f t="shared" ref="GM54" ca="1" si="3554">GM52+GM53+GL54</f>
        <v>0</v>
      </c>
      <c r="GN54" s="40">
        <f t="shared" ref="GN54" ca="1" si="3555">GN52+GN53+GM54</f>
        <v>0</v>
      </c>
      <c r="GO54" s="40">
        <f t="shared" ref="GO54" ca="1" si="3556">GO52+GO53+GN54</f>
        <v>0</v>
      </c>
      <c r="GP54" s="40">
        <f t="shared" ref="GP54" ca="1" si="3557">GP52+GP53+GO54</f>
        <v>0</v>
      </c>
      <c r="GQ54" s="40">
        <f t="shared" ref="GQ54" ca="1" si="3558">GQ52+GQ53+GP54</f>
        <v>0</v>
      </c>
      <c r="GR54" s="40">
        <f t="shared" ref="GR54" ca="1" si="3559">GR52+GR53+GQ54</f>
        <v>0</v>
      </c>
      <c r="GS54" s="40">
        <f t="shared" ref="GS54" ca="1" si="3560">GS52+GS53+GR54</f>
        <v>0</v>
      </c>
      <c r="GT54" s="40">
        <f t="shared" ref="GT54" ca="1" si="3561">GT52+GT53+GS54</f>
        <v>0</v>
      </c>
      <c r="GU54" s="40">
        <f t="shared" ref="GU54" ca="1" si="3562">GU52+GU53+GT54</f>
        <v>0</v>
      </c>
      <c r="GV54" s="40">
        <f t="shared" ref="GV54" ca="1" si="3563">GV52+GV53+GU54</f>
        <v>0</v>
      </c>
      <c r="GW54" s="40">
        <f t="shared" ref="GW54" ca="1" si="3564">GW52+GW53+GV54</f>
        <v>0</v>
      </c>
      <c r="GX54" s="40">
        <f t="shared" ref="GX54" ca="1" si="3565">GX52+GX53+GW54</f>
        <v>0</v>
      </c>
      <c r="GY54" s="40">
        <f t="shared" ref="GY54" ca="1" si="3566">GY52+GY53+GX54</f>
        <v>0</v>
      </c>
      <c r="GZ54" s="40">
        <f t="shared" ref="GZ54" ca="1" si="3567">GZ52+GZ53+GY54</f>
        <v>0</v>
      </c>
      <c r="HA54" s="40">
        <f t="shared" ref="HA54" ca="1" si="3568">HA52+HA53+GZ54</f>
        <v>0</v>
      </c>
      <c r="HB54" s="40">
        <f t="shared" ref="HB54" ca="1" si="3569">HB52+HB53+HA54</f>
        <v>0</v>
      </c>
      <c r="HC54" s="40">
        <f t="shared" ref="HC54" ca="1" si="3570">HC52+HC53+HB54</f>
        <v>0</v>
      </c>
      <c r="HD54" s="40">
        <f t="shared" ref="HD54" ca="1" si="3571">HD52+HD53+HC54</f>
        <v>0</v>
      </c>
      <c r="HE54" s="40">
        <f t="shared" ref="HE54" ca="1" si="3572">HE52+HE53+HD54</f>
        <v>0</v>
      </c>
      <c r="HF54" s="40">
        <f t="shared" ref="HF54" ca="1" si="3573">HF52+HF53+HE54</f>
        <v>0</v>
      </c>
      <c r="HG54" s="40">
        <f t="shared" ref="HG54" ca="1" si="3574">HG52+HG53+HF54</f>
        <v>0</v>
      </c>
      <c r="HH54" s="40">
        <f t="shared" ref="HH54" ca="1" si="3575">HH52+HH53+HG54</f>
        <v>0</v>
      </c>
      <c r="HI54" s="40">
        <f t="shared" ref="HI54" ca="1" si="3576">HI52+HI53+HH54</f>
        <v>0</v>
      </c>
      <c r="HJ54" s="40">
        <f t="shared" ref="HJ54" ca="1" si="3577">HJ52+HJ53+HI54</f>
        <v>0</v>
      </c>
      <c r="HK54" s="40">
        <f t="shared" ref="HK54" ca="1" si="3578">HK52+HK53+HJ54</f>
        <v>0</v>
      </c>
      <c r="HL54" s="40">
        <f t="shared" ref="HL54" ca="1" si="3579">HL52+HL53+HK54</f>
        <v>0</v>
      </c>
      <c r="HM54" s="40">
        <f t="shared" ref="HM54" ca="1" si="3580">HM52+HM53+HL54</f>
        <v>0</v>
      </c>
      <c r="HN54" s="40">
        <f t="shared" ref="HN54" ca="1" si="3581">HN52+HN53+HM54</f>
        <v>0</v>
      </c>
      <c r="HO54" s="40">
        <f t="shared" ref="HO54" ca="1" si="3582">HO52+HO53+HN54</f>
        <v>0</v>
      </c>
      <c r="HP54" s="40">
        <f t="shared" ref="HP54" ca="1" si="3583">HP52+HP53+HO54</f>
        <v>0</v>
      </c>
      <c r="HQ54" s="40">
        <f t="shared" ref="HQ54" ca="1" si="3584">HQ52+HQ53+HP54</f>
        <v>0</v>
      </c>
      <c r="HR54" s="40">
        <f t="shared" ref="HR54" ca="1" si="3585">HR52+HR53+HQ54</f>
        <v>0</v>
      </c>
      <c r="HS54" s="40">
        <f t="shared" ref="HS54" ca="1" si="3586">HS52+HS53+HR54</f>
        <v>0</v>
      </c>
      <c r="HT54" s="40">
        <f t="shared" ref="HT54" ca="1" si="3587">HT52+HT53+HS54</f>
        <v>0</v>
      </c>
      <c r="HU54" s="40">
        <f t="shared" ref="HU54" ca="1" si="3588">HU52+HU53+HT54</f>
        <v>0</v>
      </c>
      <c r="HV54" s="40">
        <f t="shared" ref="HV54" ca="1" si="3589">HV52+HV53+HU54</f>
        <v>0</v>
      </c>
      <c r="HW54" s="40">
        <f t="shared" ref="HW54" ca="1" si="3590">HW52+HW53+HV54</f>
        <v>0</v>
      </c>
      <c r="HX54" s="40">
        <f t="shared" ref="HX54" ca="1" si="3591">HX52+HX53+HW54</f>
        <v>0</v>
      </c>
      <c r="HY54" s="40">
        <f t="shared" ref="HY54" ca="1" si="3592">HY52+HY53+HX54</f>
        <v>0</v>
      </c>
      <c r="HZ54" s="40">
        <f t="shared" ref="HZ54" ca="1" si="3593">HZ52+HZ53+HY54</f>
        <v>0</v>
      </c>
      <c r="IA54" s="40">
        <f t="shared" ref="IA54" ca="1" si="3594">IA52+IA53+HZ54</f>
        <v>0</v>
      </c>
      <c r="IB54" s="40">
        <f t="shared" ref="IB54" ca="1" si="3595">IB52+IB53+IA54</f>
        <v>0</v>
      </c>
      <c r="IC54" s="40">
        <f t="shared" ref="IC54" ca="1" si="3596">IC52+IC53+IB54</f>
        <v>0</v>
      </c>
      <c r="ID54" s="40">
        <f t="shared" ref="ID54" ca="1" si="3597">ID52+ID53+IC54</f>
        <v>0</v>
      </c>
      <c r="IE54" s="40">
        <f t="shared" ref="IE54" ca="1" si="3598">IE52+IE53+ID54</f>
        <v>0</v>
      </c>
      <c r="IF54" s="40">
        <f t="shared" ref="IF54" ca="1" si="3599">IF52+IF53+IE54</f>
        <v>0</v>
      </c>
      <c r="IG54" s="40">
        <f t="shared" ref="IG54" ca="1" si="3600">IG52+IG53+IF54</f>
        <v>0</v>
      </c>
      <c r="IH54" s="40">
        <f t="shared" ref="IH54" ca="1" si="3601">IH52+IH53+IG54</f>
        <v>0</v>
      </c>
      <c r="II54" s="40">
        <f t="shared" ref="II54" ca="1" si="3602">II52+II53+IH54</f>
        <v>0</v>
      </c>
      <c r="IJ54" s="40">
        <f t="shared" ref="IJ54" ca="1" si="3603">IJ52+IJ53+II54</f>
        <v>0</v>
      </c>
      <c r="IK54" s="40">
        <f t="shared" ref="IK54" ca="1" si="3604">IK52+IK53+IJ54</f>
        <v>0</v>
      </c>
      <c r="IL54" s="40">
        <f t="shared" ref="IL54" ca="1" si="3605">IL52+IL53+IK54</f>
        <v>0</v>
      </c>
      <c r="IM54" s="40">
        <f t="shared" ref="IM54" ca="1" si="3606">IM52+IM53+IL54</f>
        <v>0</v>
      </c>
      <c r="IN54" s="40">
        <f t="shared" ref="IN54" ca="1" si="3607">IN52+IN53+IM54</f>
        <v>0</v>
      </c>
      <c r="IO54" s="40">
        <f t="shared" ref="IO54" ca="1" si="3608">IO52+IO53+IN54</f>
        <v>0</v>
      </c>
      <c r="IP54" s="40">
        <f t="shared" ref="IP54" ca="1" si="3609">IP52+IP53+IO54</f>
        <v>0</v>
      </c>
      <c r="IQ54" s="40">
        <f t="shared" ref="IQ54" ca="1" si="3610">IQ52+IQ53+IP54</f>
        <v>0</v>
      </c>
      <c r="IR54" s="40">
        <f t="shared" ref="IR54" ca="1" si="3611">IR52+IR53+IQ54</f>
        <v>0</v>
      </c>
      <c r="IS54" s="40">
        <f t="shared" ref="IS54" ca="1" si="3612">IS52+IS53+IR54</f>
        <v>0</v>
      </c>
      <c r="IT54" s="40">
        <f t="shared" ref="IT54" ca="1" si="3613">IT52+IT53+IS54</f>
        <v>0</v>
      </c>
      <c r="IU54" s="40">
        <f t="shared" ref="IU54" ca="1" si="3614">IU52+IU53+IT54</f>
        <v>0</v>
      </c>
      <c r="IV54" s="40">
        <f t="shared" ref="IV54" ca="1" si="3615">IV52+IV53+IU54</f>
        <v>0</v>
      </c>
      <c r="IW54" s="40">
        <f t="shared" ref="IW54" ca="1" si="3616">IW52+IW53+IV54</f>
        <v>0</v>
      </c>
      <c r="IX54" s="40">
        <f t="shared" ref="IX54" ca="1" si="3617">IX52+IX53+IW54</f>
        <v>0</v>
      </c>
      <c r="IY54" s="40">
        <f t="shared" ref="IY54" ca="1" si="3618">IY52+IY53+IX54</f>
        <v>0</v>
      </c>
      <c r="IZ54" s="40">
        <f t="shared" ref="IZ54" ca="1" si="3619">IZ52+IZ53+IY54</f>
        <v>0</v>
      </c>
      <c r="JA54" s="40">
        <f t="shared" ref="JA54" ca="1" si="3620">JA52+JA53+IZ54</f>
        <v>0</v>
      </c>
      <c r="JB54" s="40">
        <f t="shared" ref="JB54" ca="1" si="3621">JB52+JB53+JA54</f>
        <v>0</v>
      </c>
      <c r="JC54" s="40">
        <f t="shared" ref="JC54" ca="1" si="3622">JC52+JC53+JB54</f>
        <v>0</v>
      </c>
      <c r="JD54" s="40">
        <f t="shared" ref="JD54" ca="1" si="3623">JD52+JD53+JC54</f>
        <v>0</v>
      </c>
      <c r="JE54" s="40">
        <f t="shared" ref="JE54" ca="1" si="3624">JE52+JE53+JD54</f>
        <v>0</v>
      </c>
      <c r="JF54" s="40">
        <f t="shared" ref="JF54" ca="1" si="3625">JF52+JF53+JE54</f>
        <v>0</v>
      </c>
      <c r="JG54" s="40">
        <f t="shared" ref="JG54" ca="1" si="3626">JG52+JG53+JF54</f>
        <v>0</v>
      </c>
      <c r="JH54" s="40">
        <f t="shared" ref="JH54" ca="1" si="3627">JH52+JH53+JG54</f>
        <v>0</v>
      </c>
      <c r="JI54" s="40">
        <f t="shared" ref="JI54" ca="1" si="3628">JI52+JI53+JH54</f>
        <v>0</v>
      </c>
      <c r="JJ54" s="40">
        <f t="shared" ref="JJ54" ca="1" si="3629">JJ52+JJ53+JI54</f>
        <v>0</v>
      </c>
      <c r="JK54" s="40">
        <f t="shared" ref="JK54" ca="1" si="3630">JK52+JK53+JJ54</f>
        <v>0</v>
      </c>
      <c r="JL54" s="40">
        <f t="shared" ref="JL54" ca="1" si="3631">JL52+JL53+JK54</f>
        <v>0</v>
      </c>
      <c r="JM54" s="40">
        <f t="shared" ref="JM54" ca="1" si="3632">JM52+JM53+JL54</f>
        <v>0</v>
      </c>
      <c r="JN54" s="40">
        <f t="shared" ref="JN54" ca="1" si="3633">JN52+JN53+JM54</f>
        <v>0</v>
      </c>
      <c r="JO54" s="40">
        <f t="shared" ref="JO54" ca="1" si="3634">JO52+JO53+JN54</f>
        <v>0</v>
      </c>
      <c r="JP54" s="40">
        <f t="shared" ref="JP54" ca="1" si="3635">JP52+JP53+JO54</f>
        <v>0</v>
      </c>
      <c r="JQ54" s="40">
        <f t="shared" ref="JQ54" ca="1" si="3636">JQ52+JQ53+JP54</f>
        <v>0</v>
      </c>
      <c r="JR54" s="40">
        <f t="shared" ref="JR54" ca="1" si="3637">JR52+JR53+JQ54</f>
        <v>0</v>
      </c>
      <c r="JS54" s="40">
        <f t="shared" ref="JS54" ca="1" si="3638">JS52+JS53+JR54</f>
        <v>0</v>
      </c>
      <c r="JT54" s="40">
        <f t="shared" ref="JT54" ca="1" si="3639">JT52+JT53+JS54</f>
        <v>0</v>
      </c>
      <c r="JU54" s="40">
        <f t="shared" ref="JU54" ca="1" si="3640">JU52+JU53+JT54</f>
        <v>0</v>
      </c>
      <c r="JV54" s="40">
        <f t="shared" ref="JV54" ca="1" si="3641">JV52+JV53+JU54</f>
        <v>0</v>
      </c>
      <c r="JW54" s="40">
        <f t="shared" ref="JW54" ca="1" si="3642">JW52+JW53+JV54</f>
        <v>0</v>
      </c>
      <c r="JX54" s="40">
        <f t="shared" ref="JX54" ca="1" si="3643">JX52+JX53+JW54</f>
        <v>0</v>
      </c>
      <c r="JY54" s="40">
        <f t="shared" ref="JY54" ca="1" si="3644">JY52+JY53+JX54</f>
        <v>0</v>
      </c>
      <c r="JZ54" s="40">
        <f t="shared" ref="JZ54" ca="1" si="3645">JZ52+JZ53+JY54</f>
        <v>0</v>
      </c>
      <c r="KA54" s="40">
        <f t="shared" ref="KA54" ca="1" si="3646">KA52+KA53+JZ54</f>
        <v>0</v>
      </c>
      <c r="KB54" s="40">
        <f t="shared" ref="KB54" ca="1" si="3647">KB52+KB53+KA54</f>
        <v>0</v>
      </c>
      <c r="KC54" s="40">
        <f t="shared" ref="KC54" ca="1" si="3648">KC52+KC53+KB54</f>
        <v>0</v>
      </c>
      <c r="KD54" s="40">
        <f t="shared" ref="KD54" ca="1" si="3649">KD52+KD53+KC54</f>
        <v>0</v>
      </c>
      <c r="KE54" s="40">
        <f t="shared" ref="KE54" ca="1" si="3650">KE52+KE53+KD54</f>
        <v>0</v>
      </c>
      <c r="KF54" s="40">
        <f t="shared" ref="KF54" ca="1" si="3651">KF52+KF53+KE54</f>
        <v>0</v>
      </c>
      <c r="KG54" s="40">
        <f t="shared" ref="KG54" ca="1" si="3652">KG52+KG53+KF54</f>
        <v>0</v>
      </c>
      <c r="KH54" s="40">
        <f t="shared" ref="KH54" ca="1" si="3653">KH52+KH53+KG54</f>
        <v>0</v>
      </c>
      <c r="KI54" s="40">
        <f t="shared" ref="KI54" ca="1" si="3654">KI52+KI53+KH54</f>
        <v>0</v>
      </c>
      <c r="KJ54" s="40">
        <f t="shared" ref="KJ54" ca="1" si="3655">KJ52+KJ53+KI54</f>
        <v>0</v>
      </c>
      <c r="KK54" s="40">
        <f t="shared" ref="KK54" ca="1" si="3656">KK52+KK53+KJ54</f>
        <v>0</v>
      </c>
      <c r="KL54" s="40">
        <f t="shared" ref="KL54" ca="1" si="3657">KL52+KL53+KK54</f>
        <v>0</v>
      </c>
      <c r="KM54" s="40">
        <f t="shared" ref="KM54" ca="1" si="3658">KM52+KM53+KL54</f>
        <v>0</v>
      </c>
      <c r="KN54" s="40">
        <f t="shared" ref="KN54" ca="1" si="3659">KN52+KN53+KM54</f>
        <v>0</v>
      </c>
      <c r="KO54" s="40">
        <f t="shared" ref="KO54" ca="1" si="3660">KO52+KO53+KN54</f>
        <v>0</v>
      </c>
      <c r="KP54" s="40">
        <f t="shared" ref="KP54" ca="1" si="3661">KP52+KP53+KO54</f>
        <v>0</v>
      </c>
      <c r="KQ54" s="40">
        <f t="shared" ref="KQ54" ca="1" si="3662">KQ52+KQ53+KP54</f>
        <v>0</v>
      </c>
      <c r="KR54" s="40">
        <f t="shared" ref="KR54" ca="1" si="3663">KR52+KR53+KQ54</f>
        <v>0</v>
      </c>
      <c r="KS54" s="40">
        <f t="shared" ref="KS54" ca="1" si="3664">KS52+KS53+KR54</f>
        <v>0</v>
      </c>
      <c r="KT54" s="40">
        <f t="shared" ref="KT54" ca="1" si="3665">KT52+KT53+KS54</f>
        <v>0</v>
      </c>
      <c r="KU54" s="40">
        <f t="shared" ref="KU54" ca="1" si="3666">KU52+KU53+KT54</f>
        <v>0</v>
      </c>
      <c r="KV54" s="40">
        <f t="shared" ref="KV54" ca="1" si="3667">KV52+KV53+KU54</f>
        <v>0</v>
      </c>
      <c r="KW54" s="40">
        <f t="shared" ref="KW54" ca="1" si="3668">KW52+KW53+KV54</f>
        <v>0</v>
      </c>
      <c r="KX54" s="40">
        <f t="shared" ref="KX54" ca="1" si="3669">KX52+KX53+KW54</f>
        <v>0</v>
      </c>
      <c r="KY54" s="40">
        <f t="shared" ref="KY54" ca="1" si="3670">KY52+KY53+KX54</f>
        <v>0</v>
      </c>
      <c r="KZ54" s="40">
        <f t="shared" ref="KZ54" ca="1" si="3671">KZ52+KZ53+KY54</f>
        <v>0</v>
      </c>
      <c r="LA54" s="40">
        <f t="shared" ref="LA54" ca="1" si="3672">LA52+LA53+KZ54</f>
        <v>0</v>
      </c>
      <c r="LB54" s="40">
        <f t="shared" ref="LB54" ca="1" si="3673">LB52+LB53+LA54</f>
        <v>0</v>
      </c>
      <c r="LC54" s="40">
        <f t="shared" ref="LC54" ca="1" si="3674">LC52+LC53+LB54</f>
        <v>0</v>
      </c>
      <c r="LD54" s="40">
        <f t="shared" ref="LD54" ca="1" si="3675">LD52+LD53+LC54</f>
        <v>0</v>
      </c>
      <c r="LE54" s="40">
        <f t="shared" ref="LE54" ca="1" si="3676">LE52+LE53+LD54</f>
        <v>0</v>
      </c>
      <c r="LF54" s="40">
        <f t="shared" ref="LF54" ca="1" si="3677">LF52+LF53+LE54</f>
        <v>0</v>
      </c>
      <c r="LG54" s="40">
        <f t="shared" ref="LG54" ca="1" si="3678">LG52+LG53+LF54</f>
        <v>0</v>
      </c>
      <c r="LH54" s="40">
        <f t="shared" ref="LH54" ca="1" si="3679">LH52+LH53+LG54</f>
        <v>0</v>
      </c>
      <c r="LI54" s="40">
        <f t="shared" ref="LI54" ca="1" si="3680">LI52+LI53+LH54</f>
        <v>0</v>
      </c>
      <c r="LJ54" s="40">
        <f t="shared" ref="LJ54" ca="1" si="3681">LJ52+LJ53+LI54</f>
        <v>0</v>
      </c>
      <c r="LK54" s="40">
        <f t="shared" ref="LK54" ca="1" si="3682">LK52+LK53+LJ54</f>
        <v>0</v>
      </c>
      <c r="LL54" s="40">
        <f t="shared" ref="LL54" ca="1" si="3683">LL52+LL53+LK54</f>
        <v>0</v>
      </c>
      <c r="LM54" s="40">
        <f t="shared" ref="LM54" ca="1" si="3684">LM52+LM53+LL54</f>
        <v>0</v>
      </c>
      <c r="LN54" s="40">
        <f t="shared" ref="LN54" ca="1" si="3685">LN52+LN53+LM54</f>
        <v>0</v>
      </c>
      <c r="LO54" s="40">
        <f t="shared" ref="LO54" ca="1" si="3686">LO52+LO53+LN54</f>
        <v>0</v>
      </c>
      <c r="LP54" s="40">
        <f t="shared" ref="LP54" ca="1" si="3687">LP52+LP53+LO54</f>
        <v>0</v>
      </c>
      <c r="LQ54" s="40">
        <f t="shared" ref="LQ54" ca="1" si="3688">LQ52+LQ53+LP54</f>
        <v>0</v>
      </c>
      <c r="LR54" s="40">
        <f t="shared" ref="LR54" ca="1" si="3689">LR52+LR53+LQ54</f>
        <v>0</v>
      </c>
      <c r="LS54" s="40">
        <f t="shared" ref="LS54" ca="1" si="3690">LS52+LS53+LR54</f>
        <v>0</v>
      </c>
      <c r="LT54" s="40">
        <f t="shared" ref="LT54" ca="1" si="3691">LT52+LT53+LS54</f>
        <v>0</v>
      </c>
      <c r="LU54" s="40">
        <f t="shared" ref="LU54" ca="1" si="3692">LU52+LU53+LT54</f>
        <v>0</v>
      </c>
      <c r="LV54" s="40">
        <f t="shared" ref="LV54" ca="1" si="3693">LV52+LV53+LU54</f>
        <v>0</v>
      </c>
      <c r="LW54" s="40">
        <f t="shared" ref="LW54" ca="1" si="3694">LW52+LW53+LV54</f>
        <v>0</v>
      </c>
      <c r="LX54" s="40">
        <f t="shared" ref="LX54" ca="1" si="3695">LX52+LX53+LW54</f>
        <v>0</v>
      </c>
      <c r="LY54" s="40">
        <f t="shared" ref="LY54" ca="1" si="3696">LY52+LY53+LX54</f>
        <v>0</v>
      </c>
      <c r="LZ54" s="40">
        <f t="shared" ref="LZ54" ca="1" si="3697">LZ52+LZ53+LY54</f>
        <v>0</v>
      </c>
      <c r="MA54" s="40">
        <f t="shared" ref="MA54" ca="1" si="3698">MA52+MA53+LZ54</f>
        <v>0</v>
      </c>
      <c r="MB54" s="40">
        <f t="shared" ref="MB54" ca="1" si="3699">MB52+MB53+MA54</f>
        <v>0</v>
      </c>
      <c r="MC54" s="40">
        <f t="shared" ref="MC54" ca="1" si="3700">MC52+MC53+MB54</f>
        <v>0</v>
      </c>
      <c r="MD54" s="40">
        <f t="shared" ref="MD54" ca="1" si="3701">MD52+MD53+MC54</f>
        <v>0</v>
      </c>
      <c r="ME54" s="40">
        <f t="shared" ref="ME54" ca="1" si="3702">ME52+ME53+MD54</f>
        <v>0</v>
      </c>
      <c r="MF54" s="40">
        <f t="shared" ref="MF54" ca="1" si="3703">MF52+MF53+ME54</f>
        <v>0</v>
      </c>
      <c r="MG54" s="40">
        <f t="shared" ref="MG54" ca="1" si="3704">MG52+MG53+MF54</f>
        <v>0</v>
      </c>
      <c r="MH54" s="40">
        <f t="shared" ref="MH54" ca="1" si="3705">MH52+MH53+MG54</f>
        <v>0</v>
      </c>
      <c r="MI54" s="40">
        <f t="shared" ref="MI54" ca="1" si="3706">MI52+MI53+MH54</f>
        <v>0</v>
      </c>
      <c r="MJ54" s="40">
        <f t="shared" ref="MJ54" ca="1" si="3707">MJ52+MJ53+MI54</f>
        <v>0</v>
      </c>
      <c r="MK54" s="40">
        <f t="shared" ref="MK54" ca="1" si="3708">MK52+MK53+MJ54</f>
        <v>0</v>
      </c>
      <c r="ML54" s="40">
        <f t="shared" ref="ML54" ca="1" si="3709">ML52+ML53+MK54</f>
        <v>0</v>
      </c>
      <c r="MM54" s="40">
        <f t="shared" ref="MM54" ca="1" si="3710">MM52+MM53+ML54</f>
        <v>0</v>
      </c>
      <c r="MN54" s="40">
        <f t="shared" ref="MN54" ca="1" si="3711">MN52+MN53+MM54</f>
        <v>0</v>
      </c>
      <c r="MO54" s="40">
        <f t="shared" ref="MO54" ca="1" si="3712">MO52+MO53+MN54</f>
        <v>0</v>
      </c>
      <c r="MP54" s="40">
        <f t="shared" ref="MP54" ca="1" si="3713">MP52+MP53+MO54</f>
        <v>0</v>
      </c>
      <c r="MQ54" s="40">
        <f t="shared" ref="MQ54" ca="1" si="3714">MQ52+MQ53+MP54</f>
        <v>0</v>
      </c>
      <c r="MR54" s="40">
        <f t="shared" ref="MR54" ca="1" si="3715">MR52+MR53+MQ54</f>
        <v>0</v>
      </c>
      <c r="MS54" s="40">
        <f t="shared" ref="MS54" ca="1" si="3716">MS52+MS53+MR54</f>
        <v>0</v>
      </c>
      <c r="MT54" s="40">
        <f t="shared" ref="MT54" ca="1" si="3717">MT52+MT53+MS54</f>
        <v>0</v>
      </c>
      <c r="MU54" s="40">
        <f t="shared" ref="MU54" ca="1" si="3718">MU52+MU53+MT54</f>
        <v>0</v>
      </c>
      <c r="MV54" s="40">
        <f t="shared" ref="MV54" ca="1" si="3719">MV52+MV53+MU54</f>
        <v>0</v>
      </c>
      <c r="MW54" s="40">
        <f t="shared" ref="MW54" ca="1" si="3720">MW52+MW53+MV54</f>
        <v>0</v>
      </c>
      <c r="MX54" s="40">
        <f t="shared" ref="MX54" ca="1" si="3721">MX52+MX53+MW54</f>
        <v>0</v>
      </c>
      <c r="MY54" s="40">
        <f t="shared" ref="MY54" ca="1" si="3722">MY52+MY53+MX54</f>
        <v>0</v>
      </c>
      <c r="MZ54" s="40">
        <f t="shared" ref="MZ54" ca="1" si="3723">MZ52+MZ53+MY54</f>
        <v>0</v>
      </c>
      <c r="NA54" s="40">
        <f t="shared" ref="NA54" ca="1" si="3724">NA52+NA53+MZ54</f>
        <v>0</v>
      </c>
      <c r="NB54" s="40">
        <f t="shared" ref="NB54" ca="1" si="3725">NB52+NB53+NA54</f>
        <v>0</v>
      </c>
      <c r="NC54" s="40">
        <f t="shared" ref="NC54" ca="1" si="3726">NC52+NC53+NB54</f>
        <v>0</v>
      </c>
      <c r="ND54" s="40">
        <f t="shared" ref="ND54" ca="1" si="3727">ND52+ND53+NC54</f>
        <v>0</v>
      </c>
      <c r="NE54" s="40"/>
      <c r="NF54" s="40"/>
      <c r="NG54" s="40"/>
      <c r="NH54" s="40"/>
      <c r="NI54" s="40"/>
      <c r="NJ54" s="40"/>
      <c r="NK54" s="40"/>
      <c r="NL54" s="40"/>
      <c r="NM54" s="40"/>
      <c r="NN54" s="40"/>
      <c r="NO54" s="40"/>
      <c r="NP54" s="40"/>
      <c r="NQ54" s="40"/>
      <c r="NR54" s="40"/>
    </row>
    <row r="55" spans="2:382" x14ac:dyDescent="0.15">
      <c r="B55" s="518"/>
      <c r="C55" s="115" t="s">
        <v>166</v>
      </c>
      <c r="D55" s="116">
        <f>MAX(I55:CN55)</f>
        <v>0</v>
      </c>
      <c r="E55" s="40" t="s">
        <v>190</v>
      </c>
      <c r="F55" s="40"/>
      <c r="G55" s="114"/>
      <c r="H55" s="40"/>
      <c r="I55" s="40">
        <f>IF(AND(I$54&gt;$E$49,SUM($G$55:G$55)=0),I20,0)</f>
        <v>0</v>
      </c>
      <c r="J55" s="40">
        <f>IF(AND(J$54&gt;$E$49,SUM($G$55:I$55)=0),J20,0)</f>
        <v>0</v>
      </c>
      <c r="K55" s="40">
        <f>IF(AND(K$54&gt;$E$49,SUM($G$55:J$55)=0),K20,0)</f>
        <v>0</v>
      </c>
      <c r="L55" s="40">
        <f>IF(AND(L$54&gt;$E$49,SUM($G$55:K$55)=0),L20,0)</f>
        <v>0</v>
      </c>
      <c r="M55" s="40">
        <f>IF(AND(M$54&gt;$E$49,SUM($G$55:L$55)=0),M20,0)</f>
        <v>0</v>
      </c>
      <c r="N55" s="40">
        <f>IF(AND(N$54&gt;$E$49,SUM($G$55:M$55)=0),N20,0)</f>
        <v>0</v>
      </c>
      <c r="O55" s="40">
        <f>IF(AND(O$54&gt;$E$49,SUM($G$55:N$55)=0),O20,0)</f>
        <v>0</v>
      </c>
      <c r="P55" s="40">
        <f>IF(AND(P$54&gt;$E$49,SUM($G$55:O$55)=0),P20,0)</f>
        <v>0</v>
      </c>
      <c r="Q55" s="40">
        <f>IF(AND(Q$54&gt;$E$49,SUM($G$55:P$55)=0),Q20,0)</f>
        <v>0</v>
      </c>
      <c r="R55" s="40">
        <f>IF(AND(R$54&gt;$E$49,SUM($G$55:Q$55)=0),R20,0)</f>
        <v>0</v>
      </c>
      <c r="S55" s="40">
        <f>IF(AND(S$54&gt;$E$49,SUM($G$55:R$55)=0),S20,0)</f>
        <v>0</v>
      </c>
      <c r="T55" s="40">
        <f>IF(AND(T$54&gt;$E$49,SUM($G$55:S$55)=0),T20,0)</f>
        <v>0</v>
      </c>
      <c r="U55" s="40">
        <f>IF(AND(U$54&gt;$E$49,SUM($G$55:T$55)=0),U20,0)</f>
        <v>0</v>
      </c>
      <c r="V55" s="40">
        <f>IF(AND(V$54&gt;$E$49,SUM($G$55:U$55)=0),V20,0)</f>
        <v>0</v>
      </c>
      <c r="W55" s="40">
        <f>IF(AND(W$54&gt;$E$49,SUM($G$55:V$55)=0),W20,0)</f>
        <v>0</v>
      </c>
      <c r="X55" s="40">
        <f>IF(AND(X$54&gt;$E$49,SUM($G$55:W$55)=0),X20,0)</f>
        <v>0</v>
      </c>
      <c r="Y55" s="40">
        <f>IF(AND(Y$54&gt;$E$49,SUM($G$55:X$55)=0),Y20,0)</f>
        <v>0</v>
      </c>
      <c r="Z55" s="40">
        <f>IF(AND(Z$54&gt;$E$49,SUM($G$55:Y$55)=0),Z20,0)</f>
        <v>0</v>
      </c>
      <c r="AA55" s="40">
        <f>IF(AND(AA$54&gt;$E$49,SUM($G$55:Z$55)=0),AA20,0)</f>
        <v>0</v>
      </c>
      <c r="AB55" s="40">
        <f>IF(AND(AB$54&gt;$E$49,SUM($G$55:AA$55)=0),AB20,0)</f>
        <v>0</v>
      </c>
      <c r="AC55" s="40">
        <f>IF(AND(AC$54&gt;$E$49,SUM($G$55:AB$55)=0),AC20,0)</f>
        <v>0</v>
      </c>
      <c r="AD55" s="40">
        <f>IF(AND(AD$54&gt;$E$49,SUM($G$55:AC$55)=0),AD20,0)</f>
        <v>0</v>
      </c>
      <c r="AE55" s="40">
        <f>IF(AND(AE$54&gt;$E$49,SUM($G$55:AD$55)=0),AE20,0)</f>
        <v>0</v>
      </c>
      <c r="AF55" s="40">
        <f>IF(AND(AF$54&gt;$E$49,SUM($G$55:AE$55)=0),AF20,0)</f>
        <v>0</v>
      </c>
      <c r="AG55" s="40">
        <f>IF(AND(AG$54&gt;$E$49,SUM($G$55:AF$55)=0),AG20,0)</f>
        <v>0</v>
      </c>
      <c r="AH55" s="40">
        <f>IF(AND(AH$54&gt;$E$49,SUM($G$55:AG$55)=0),AH20,0)</f>
        <v>0</v>
      </c>
      <c r="AI55" s="40">
        <f>IF(AND(AI$54&gt;$E$49,SUM($G$55:AH$55)=0),AI20,0)</f>
        <v>0</v>
      </c>
      <c r="AJ55" s="40">
        <f>IF(AND(AJ$54&gt;$E$49,SUM($G$55:AI$55)=0),AJ20,0)</f>
        <v>0</v>
      </c>
      <c r="AK55" s="40">
        <f>IF(AND(AK$54&gt;$E$49,SUM($G$55:AJ$55)=0),AK20,0)</f>
        <v>0</v>
      </c>
      <c r="AL55" s="40">
        <f>IF(AND(AL$54&gt;$E$49,SUM($G$55:AK$55)=0),AL20,0)</f>
        <v>0</v>
      </c>
      <c r="AM55" s="40">
        <f>IF(AND(AM$54&gt;$E$49,SUM($G$55:AL$55)=0),AM20,0)</f>
        <v>0</v>
      </c>
      <c r="AN55" s="40">
        <f>IF(AND(AN$54&gt;$E$49,SUM($G$55:AM$55)=0),AN20,0)</f>
        <v>0</v>
      </c>
      <c r="AO55" s="40">
        <f>IF(AND(AO$54&gt;$E$49,SUM($G$55:AN$55)=0),AO20,0)</f>
        <v>0</v>
      </c>
      <c r="AP55" s="40">
        <f>IF(AND(AP$54&gt;$E$49,SUM($G$55:AO$55)=0),AP20,0)</f>
        <v>0</v>
      </c>
      <c r="AQ55" s="40">
        <f>IF(AND(AQ$54&gt;$E$49,SUM($G$55:AP$55)=0),AQ20,0)</f>
        <v>0</v>
      </c>
      <c r="AR55" s="40">
        <f>IF(AND(AR$54&gt;$E$49,SUM($G$55:AQ$55)=0),AR20,0)</f>
        <v>0</v>
      </c>
      <c r="AS55" s="40">
        <f>IF(AND(AS$54&gt;$E$49,SUM($G$55:AR$55)=0),AS20,0)</f>
        <v>0</v>
      </c>
      <c r="AT55" s="40">
        <f>IF(AND(AT$54&gt;$E$49,SUM($G$55:AS$55)=0),AT20,0)</f>
        <v>0</v>
      </c>
      <c r="AU55" s="40">
        <f>IF(AND(AU$54&gt;$E$49,SUM($G$55:AT$55)=0),AU20,0)</f>
        <v>0</v>
      </c>
      <c r="AV55" s="40">
        <f>IF(AND(AV$54&gt;$E$49,SUM($G$55:AU$55)=0),AV20,0)</f>
        <v>0</v>
      </c>
      <c r="AW55" s="40">
        <f>IF(AND(AW$54&gt;$E$49,SUM($G$55:AV$55)=0),AW20,0)</f>
        <v>0</v>
      </c>
      <c r="AX55" s="40">
        <f>IF(AND(AX$54&gt;$E$49,SUM($G$55:AW$55)=0),AX20,0)</f>
        <v>0</v>
      </c>
      <c r="AY55" s="40">
        <f>IF(AND(AY$54&gt;$E$49,SUM($G$55:AX$55)=0),AY20,0)</f>
        <v>0</v>
      </c>
      <c r="AZ55" s="40">
        <f>IF(AND(AZ$54&gt;$E$49,SUM($G$55:AY$55)=0),AZ20,0)</f>
        <v>0</v>
      </c>
      <c r="BA55" s="40">
        <f>IF(AND(BA$54&gt;$E$49,SUM($G$55:AZ$55)=0),BA20,0)</f>
        <v>0</v>
      </c>
      <c r="BB55" s="40">
        <f>IF(AND(BB$54&gt;$E$49,SUM($G$55:BA$55)=0),BB20,0)</f>
        <v>0</v>
      </c>
      <c r="BC55" s="40">
        <f>IF(AND(BC$54&gt;$E$49,SUM($G$55:BB$55)=0),BC20,0)</f>
        <v>0</v>
      </c>
      <c r="BD55" s="40">
        <f>IF(AND(BD$54&gt;$E$49,SUM($G$55:BC$55)=0),BD20,0)</f>
        <v>0</v>
      </c>
      <c r="BE55" s="40">
        <f>IF(AND(BE$54&gt;$E$49,SUM($G$55:BD$55)=0),BE20,0)</f>
        <v>0</v>
      </c>
      <c r="BF55" s="40">
        <f>IF(AND(BF$54&gt;$E$49,SUM($G$55:BE$55)=0),BF20,0)</f>
        <v>0</v>
      </c>
      <c r="BG55" s="40">
        <f>IF(AND(BG$54&gt;$E$49,SUM($G$55:BF$55)=0),BG20,0)</f>
        <v>0</v>
      </c>
      <c r="BH55" s="40">
        <f>IF(AND(BH$54&gt;$E$49,SUM($G$55:BG$55)=0),BH20,0)</f>
        <v>0</v>
      </c>
      <c r="BI55" s="40">
        <f>IF(AND(BI$54&gt;$E$49,SUM($G$55:BH$55)=0),BI20,0)</f>
        <v>0</v>
      </c>
      <c r="BJ55" s="40">
        <f>IF(AND(BJ$54&gt;$E$49,SUM($G$55:BI$55)=0),BJ20,0)</f>
        <v>0</v>
      </c>
      <c r="BK55" s="40">
        <f>IF(AND(BK$54&gt;$E$49,SUM($G$55:BJ$55)=0),BK20,0)</f>
        <v>0</v>
      </c>
      <c r="BL55" s="40">
        <f>IF(AND(BL$54&gt;$E$49,SUM($G$55:BK$55)=0),BL20,0)</f>
        <v>0</v>
      </c>
      <c r="BM55" s="40">
        <f>IF(AND(BM$54&gt;$E$49,SUM($G$55:BL$55)=0),BM20,0)</f>
        <v>0</v>
      </c>
      <c r="BN55" s="40">
        <f>IF(AND(BN$54&gt;$E$49,SUM($G$55:BM$55)=0),BN20,0)</f>
        <v>0</v>
      </c>
      <c r="BO55" s="40">
        <f>IF(AND(BO$54&gt;$E$49,SUM($G$55:BN$55)=0),BO20,0)</f>
        <v>0</v>
      </c>
      <c r="BP55" s="40">
        <f>IF(AND(BP$54&gt;$E$49,SUM($G$55:BO$55)=0),BP20,0)</f>
        <v>0</v>
      </c>
      <c r="BQ55" s="40">
        <f>IF(AND(BQ$54&gt;$E$49,SUM($G$55:BP$55)=0),BQ20,0)</f>
        <v>0</v>
      </c>
      <c r="BR55" s="40">
        <f>IF(AND(BR$54&gt;$E$49,SUM($G$55:BQ$55)=0),BR20,0)</f>
        <v>0</v>
      </c>
      <c r="BS55" s="40">
        <f>IF(AND(BS$54&gt;$E$49,SUM($G$55:BR$55)=0),BS20,0)</f>
        <v>0</v>
      </c>
      <c r="BT55" s="40">
        <f>IF(AND(BT$54&gt;$E$49,SUM($G$55:BS$55)=0),BT20,0)</f>
        <v>0</v>
      </c>
      <c r="BU55" s="40">
        <f>IF(AND(BU$54&gt;$E$49,SUM($G$55:BT$55)=0),BU20,0)</f>
        <v>0</v>
      </c>
      <c r="BV55" s="40">
        <f>IF(AND(BV$54&gt;$E$49,SUM($G$55:BU$55)=0),BV20,0)</f>
        <v>0</v>
      </c>
      <c r="BW55" s="40">
        <f>IF(AND(BW$54&gt;$E$49,SUM($G$55:BV$55)=0),BW20,0)</f>
        <v>0</v>
      </c>
      <c r="BX55" s="40">
        <f>IF(AND(BX$54&gt;$E$49,SUM($G$55:BW$55)=0),BX20,0)</f>
        <v>0</v>
      </c>
      <c r="BY55" s="40">
        <f>IF(AND(BY$54&gt;$E$49,SUM($G$55:BX$55)=0),BY20,0)</f>
        <v>0</v>
      </c>
      <c r="BZ55" s="40">
        <f>IF(AND(BZ$54&gt;$E$49,SUM($G$55:BY$55)=0),BZ20,0)</f>
        <v>0</v>
      </c>
      <c r="CA55" s="40">
        <f>IF(AND(CA$54&gt;$E$49,SUM($G$55:BZ$55)=0),CA20,0)</f>
        <v>0</v>
      </c>
      <c r="CB55" s="40">
        <f>IF(AND(CB$54&gt;$E$49,SUM($G$55:CA$55)=0),CB20,0)</f>
        <v>0</v>
      </c>
      <c r="CC55" s="40">
        <f>IF(AND(CC$54&gt;$E$49,SUM($G$55:CB$55)=0),CC20,0)</f>
        <v>0</v>
      </c>
      <c r="CD55" s="40">
        <f>IF(AND(CD$54&gt;$E$49,SUM($G$55:CC$55)=0),CD20,0)</f>
        <v>0</v>
      </c>
      <c r="CE55" s="40">
        <f>IF(AND(CE$54&gt;$E$49,SUM($G$55:CD$55)=0),CE20,0)</f>
        <v>0</v>
      </c>
      <c r="CF55" s="40">
        <f>IF(AND(CF$54&gt;$E$49,SUM($G$55:CE$55)=0),CF20,0)</f>
        <v>0</v>
      </c>
      <c r="CG55" s="40">
        <f>IF(AND(CG$54&gt;$E$49,SUM($G$55:CF$55)=0),CG20,0)</f>
        <v>0</v>
      </c>
      <c r="CH55" s="40">
        <f>IF(AND(CH$54&gt;$E$49,SUM($G$55:CG$55)=0),CH20,0)</f>
        <v>0</v>
      </c>
      <c r="CI55" s="40">
        <f>IF(AND(CI$54&gt;$E$49,SUM($G$55:CH$55)=0),CI20,0)</f>
        <v>0</v>
      </c>
      <c r="CJ55" s="40">
        <f>IF(AND(CJ$54&gt;$E$49,SUM($G$55:CI$55)=0),CJ20,0)</f>
        <v>0</v>
      </c>
      <c r="CK55" s="40">
        <f>IF(AND(CK$54&gt;$E$49,SUM($G$55:CJ$55)=0),CK20,0)</f>
        <v>0</v>
      </c>
      <c r="CL55" s="40">
        <f>IF(AND(CL$54&gt;$E$49,SUM($G$55:CK$55)=0),CL20,0)</f>
        <v>0</v>
      </c>
      <c r="CM55" s="40">
        <f>IF(AND(CM$54&gt;$E$49,SUM($G$55:CL$55)=0),CM20,0)</f>
        <v>0</v>
      </c>
      <c r="CN55" s="40">
        <f>IF(AND(CN$54&gt;$E$49,SUM($G$55:CM$55)=0),CN20,0)</f>
        <v>0</v>
      </c>
      <c r="CO55" s="40">
        <f>IF(AND(CO$54&gt;$E$49,SUM($G$55:CN$55)=0),CO20,0)</f>
        <v>0</v>
      </c>
      <c r="CP55" s="40">
        <f>IF(AND(CP$54&gt;$E$49,SUM($G$55:CO$55)=0),CP20,0)</f>
        <v>0</v>
      </c>
      <c r="CQ55" s="40">
        <f>IF(AND(CQ$54&gt;$E$49,SUM($G$55:CP$55)=0),CQ20,0)</f>
        <v>0</v>
      </c>
      <c r="CR55" s="40">
        <f>IF(AND(CR$54&gt;$E$49,SUM($G$55:CQ$55)=0),CR20,0)</f>
        <v>0</v>
      </c>
      <c r="CS55" s="40">
        <f>IF(AND(CS$54&gt;$E$49,SUM($G$55:CR$55)=0),CS20,0)</f>
        <v>0</v>
      </c>
      <c r="CT55" s="40">
        <f>IF(AND(CT$54&gt;$E$49,SUM($G$55:CS$55)=0),CT20,0)</f>
        <v>0</v>
      </c>
      <c r="CU55" s="40">
        <f>IF(AND(CU$54&gt;$E$49,SUM($G$55:CT$55)=0),CU20,0)</f>
        <v>0</v>
      </c>
      <c r="CV55" s="40">
        <f>IF(AND(CV$54&gt;$E$49,SUM($G$55:CU$55)=0),CV20,0)</f>
        <v>0</v>
      </c>
      <c r="CW55" s="40">
        <f>IF(AND(CW$54&gt;$E$49,SUM($G$55:CV$55)=0),CW20,0)</f>
        <v>0</v>
      </c>
      <c r="CX55" s="40">
        <f>IF(AND(CX$54&gt;$E$49,SUM($G$55:CW$55)=0),CX20,0)</f>
        <v>0</v>
      </c>
      <c r="CY55" s="40">
        <f>IF(AND(CY$54&gt;$E$49,SUM($G$55:CX$55)=0),CY20,0)</f>
        <v>0</v>
      </c>
      <c r="CZ55" s="40">
        <f>IF(AND(CZ$54&gt;$E$49,SUM($G$55:CY$55)=0),CZ20,0)</f>
        <v>0</v>
      </c>
      <c r="DA55" s="40">
        <f>IF(AND(DA$54&gt;$E$49,SUM($G$55:CZ$55)=0),DA20,0)</f>
        <v>0</v>
      </c>
      <c r="DB55" s="40">
        <f>IF(AND(DB$54&gt;$E$49,SUM($G$55:DA$55)=0),DB20,0)</f>
        <v>0</v>
      </c>
      <c r="DC55" s="40">
        <f>IF(AND(DC$54&gt;$E$49,SUM($G$55:DB$55)=0),DC20,0)</f>
        <v>0</v>
      </c>
      <c r="DD55" s="40">
        <f>IF(AND(DD$54&gt;$E$49,SUM($G$55:DC$55)=0),DD20,0)</f>
        <v>0</v>
      </c>
      <c r="DE55" s="40">
        <f>IF(AND(DE$54&gt;$E$49,SUM($G$55:DD$55)=0),DE20,0)</f>
        <v>0</v>
      </c>
      <c r="DF55" s="40">
        <f>IF(AND(DF$54&gt;$E$49,SUM($G$55:DE$55)=0),DF20,0)</f>
        <v>0</v>
      </c>
      <c r="DG55" s="40">
        <f>IF(AND(DG$54&gt;$E$49,SUM($G$55:DF$55)=0),DG20,0)</f>
        <v>0</v>
      </c>
      <c r="DH55" s="40">
        <f>IF(AND(DH$54&gt;$E$49,SUM($G$55:DG$55)=0),DH20,0)</f>
        <v>0</v>
      </c>
      <c r="DI55" s="40">
        <f>IF(AND(DI$54&gt;$E$49,SUM($G$55:DH$55)=0),DI20,0)</f>
        <v>0</v>
      </c>
      <c r="DJ55" s="40">
        <f>IF(AND(DJ$54&gt;$E$49,SUM($G$55:DI$55)=0),DJ20,0)</f>
        <v>0</v>
      </c>
      <c r="DK55" s="40">
        <f>IF(AND(DK$54&gt;$E$49,SUM($G$55:DJ$55)=0),DK20,0)</f>
        <v>0</v>
      </c>
      <c r="DL55" s="40">
        <f>IF(AND(DL$54&gt;$E$49,SUM($G$55:DK$55)=0),DL20,0)</f>
        <v>0</v>
      </c>
      <c r="DM55" s="40">
        <f>IF(AND(DM$54&gt;$E$49,SUM($G$55:DL$55)=0),DM20,0)</f>
        <v>0</v>
      </c>
      <c r="DN55" s="40">
        <f>IF(AND(DN$54&gt;$E$49,SUM($G$55:DM$55)=0),DN20,0)</f>
        <v>0</v>
      </c>
      <c r="DO55" s="40">
        <f>IF(AND(DO$54&gt;$E$49,SUM($G$55:DN$55)=0),DO20,0)</f>
        <v>0</v>
      </c>
      <c r="DP55" s="40">
        <f>IF(AND(DP$54&gt;$E$49,SUM($G$55:DO$55)=0),DP20,0)</f>
        <v>0</v>
      </c>
      <c r="DQ55" s="40">
        <f>IF(AND(DQ$54&gt;$E$49,SUM($G$55:DP$55)=0),DQ20,0)</f>
        <v>0</v>
      </c>
      <c r="DR55" s="40">
        <f>IF(AND(DR$54&gt;$E$49,SUM($G$55:DQ$55)=0),DR20,0)</f>
        <v>0</v>
      </c>
      <c r="DS55" s="40">
        <f>IF(AND(DS$54&gt;$E$49,SUM($G$55:DR$55)=0),DS20,0)</f>
        <v>0</v>
      </c>
      <c r="DT55" s="40">
        <f>IF(AND(DT$54&gt;$E$49,SUM($G$55:DS$55)=0),DT20,0)</f>
        <v>0</v>
      </c>
      <c r="DU55" s="40">
        <f>IF(AND(DU$54&gt;$E$49,SUM($G$55:DT$55)=0),DU20,0)</f>
        <v>0</v>
      </c>
      <c r="DV55" s="40">
        <f>IF(AND(DV$54&gt;$E$49,SUM($G$55:DU$55)=0),DV20,0)</f>
        <v>0</v>
      </c>
      <c r="DW55" s="40">
        <f>IF(AND(DW$54&gt;$E$49,SUM($G$55:DV$55)=0),DW20,0)</f>
        <v>0</v>
      </c>
      <c r="DX55" s="40">
        <f>IF(AND(DX$54&gt;$E$49,SUM($G$55:DW$55)=0),DX20,0)</f>
        <v>0</v>
      </c>
      <c r="DY55" s="40">
        <f>IF(AND(DY$54&gt;$E$49,SUM($G$55:DX$55)=0),DY20,0)</f>
        <v>0</v>
      </c>
      <c r="DZ55" s="40">
        <f>IF(AND(DZ$54&gt;$E$49,SUM($G$55:DY$55)=0),DZ20,0)</f>
        <v>0</v>
      </c>
      <c r="EA55" s="40">
        <f>IF(AND(EA$54&gt;$E$49,SUM($G$55:DZ$55)=0),EA20,0)</f>
        <v>0</v>
      </c>
      <c r="EB55" s="40">
        <f>IF(AND(EB$54&gt;$E$49,SUM($G$55:EA$55)=0),EB20,0)</f>
        <v>0</v>
      </c>
      <c r="EC55" s="40">
        <f>IF(AND(EC$54&gt;$E$49,SUM($G$55:EB$55)=0),EC20,0)</f>
        <v>0</v>
      </c>
      <c r="ED55" s="40">
        <f>IF(AND(ED$54&gt;$E$49,SUM($G$55:EC$55)=0),ED20,0)</f>
        <v>0</v>
      </c>
      <c r="EE55" s="40">
        <f>IF(AND(EE$54&gt;$E$49,SUM($G$55:ED$55)=0),EE20,0)</f>
        <v>0</v>
      </c>
      <c r="EF55" s="40">
        <f>IF(AND(EF$54&gt;$E$49,SUM($G$55:EE$55)=0),EF20,0)</f>
        <v>0</v>
      </c>
      <c r="EG55" s="40">
        <f>IF(AND(EG$54&gt;$E$49,SUM($G$55:EF$55)=0),EG20,0)</f>
        <v>0</v>
      </c>
      <c r="EH55" s="40">
        <f>IF(AND(EH$54&gt;$E$49,SUM($G$55:EG$55)=0),EH20,0)</f>
        <v>0</v>
      </c>
      <c r="EI55" s="40">
        <f>IF(AND(EI$54&gt;$E$49,SUM($G$55:EH$55)=0),EI20,0)</f>
        <v>0</v>
      </c>
      <c r="EJ55" s="40">
        <f>IF(AND(EJ$54&gt;$E$49,SUM($G$55:EI$55)=0),EJ20,0)</f>
        <v>0</v>
      </c>
      <c r="EK55" s="40">
        <f>IF(AND(EK$54&gt;$E$49,SUM($G$55:EJ$55)=0),EK20,0)</f>
        <v>0</v>
      </c>
      <c r="EL55" s="40">
        <f>IF(AND(EL$54&gt;$E$49,SUM($G$55:EK$55)=0),EL20,0)</f>
        <v>0</v>
      </c>
      <c r="EM55" s="40">
        <f>IF(AND(EM$54&gt;$E$49,SUM($G$55:EL$55)=0),EM20,0)</f>
        <v>0</v>
      </c>
      <c r="EN55" s="40">
        <f>IF(AND(EN$54&gt;$E$49,SUM($G$55:EM$55)=0),EN20,0)</f>
        <v>0</v>
      </c>
      <c r="EO55" s="40">
        <f>IF(AND(EO$54&gt;$E$49,SUM($G$55:EN$55)=0),EO20,0)</f>
        <v>0</v>
      </c>
      <c r="EP55" s="40">
        <f>IF(AND(EP$54&gt;$E$49,SUM($G$55:EO$55)=0),EP20,0)</f>
        <v>0</v>
      </c>
      <c r="EQ55" s="40">
        <f>IF(AND(EQ$54&gt;$E$49,SUM($G$55:EP$55)=0),EQ20,0)</f>
        <v>0</v>
      </c>
      <c r="ER55" s="40">
        <f>IF(AND(ER$54&gt;$E$49,SUM($G$55:EQ$55)=0),ER20,0)</f>
        <v>0</v>
      </c>
      <c r="ES55" s="40">
        <f>IF(AND(ES$54&gt;$E$49,SUM($G$55:ER$55)=0),ES20,0)</f>
        <v>0</v>
      </c>
      <c r="ET55" s="40">
        <f>IF(AND(ET$54&gt;$E$49,SUM($G$55:ES$55)=0),ET20,0)</f>
        <v>0</v>
      </c>
      <c r="EU55" s="40">
        <f>IF(AND(EU$54&gt;$E$49,SUM($G$55:ET$55)=0),EU20,0)</f>
        <v>0</v>
      </c>
      <c r="EV55" s="40">
        <f>IF(AND(EV$54&gt;$E$49,SUM($G$55:EU$55)=0),EV20,0)</f>
        <v>0</v>
      </c>
      <c r="EW55" s="40">
        <f>IF(AND(EW$54&gt;$E$49,SUM($G$55:EV$55)=0),EW20,0)</f>
        <v>0</v>
      </c>
      <c r="EX55" s="40">
        <f>IF(AND(EX$54&gt;$E$49,SUM($G$55:EW$55)=0),EX20,0)</f>
        <v>0</v>
      </c>
      <c r="EY55" s="40">
        <f>IF(AND(EY$54&gt;$E$49,SUM($G$55:EX$55)=0),EY20,0)</f>
        <v>0</v>
      </c>
      <c r="EZ55" s="40">
        <f>IF(AND(EZ$54&gt;$E$49,SUM($G$55:EY$55)=0),EZ20,0)</f>
        <v>0</v>
      </c>
      <c r="FA55" s="40">
        <f>IF(AND(FA$54&gt;$E$49,SUM($G$55:EZ$55)=0),FA20,0)</f>
        <v>0</v>
      </c>
      <c r="FB55" s="40">
        <f>IF(AND(FB$54&gt;$E$49,SUM($G$55:FA$55)=0),FB20,0)</f>
        <v>0</v>
      </c>
      <c r="FC55" s="40">
        <f>IF(AND(FC$54&gt;$E$49,SUM($G$55:FB$55)=0),FC20,0)</f>
        <v>0</v>
      </c>
      <c r="FD55" s="40">
        <f>IF(AND(FD$54&gt;$E$49,SUM($G$55:FC$55)=0),FD20,0)</f>
        <v>0</v>
      </c>
      <c r="FE55" s="40">
        <f>IF(AND(FE$54&gt;$E$49,SUM($G$55:FD$55)=0),FE20,0)</f>
        <v>0</v>
      </c>
      <c r="FF55" s="40">
        <f>IF(AND(FF$54&gt;$E$49,SUM($G$55:FE$55)=0),FF20,0)</f>
        <v>0</v>
      </c>
      <c r="FG55" s="40">
        <f>IF(AND(FG$54&gt;$E$49,SUM($G$55:FF$55)=0),FG20,0)</f>
        <v>0</v>
      </c>
      <c r="FH55" s="40">
        <f>IF(AND(FH$54&gt;$E$49,SUM($G$55:FG$55)=0),FH20,0)</f>
        <v>0</v>
      </c>
      <c r="FI55" s="40">
        <f>IF(AND(FI$54&gt;$E$49,SUM($G$55:FH$55)=0),FI20,0)</f>
        <v>0</v>
      </c>
      <c r="FJ55" s="40">
        <f>IF(AND(FJ$54&gt;$E$49,SUM($G$55:FI$55)=0),FJ20,0)</f>
        <v>0</v>
      </c>
      <c r="FK55" s="40">
        <f>IF(AND(FK$54&gt;$E$49,SUM($G$55:FJ$55)=0),FK20,0)</f>
        <v>0</v>
      </c>
      <c r="FL55" s="40">
        <f>IF(AND(FL$54&gt;$E$49,SUM($G$55:FK$55)=0),FL20,0)</f>
        <v>0</v>
      </c>
      <c r="FM55" s="40">
        <f>IF(AND(FM$54&gt;$E$49,SUM($G$55:FL$55)=0),FM20,0)</f>
        <v>0</v>
      </c>
      <c r="FN55" s="40">
        <f>IF(AND(FN$54&gt;$E$49,SUM($G$55:FM$55)=0),FN20,0)</f>
        <v>0</v>
      </c>
      <c r="FO55" s="40">
        <f>IF(AND(FO$54&gt;$E$49,SUM($G$55:FN$55)=0),FO20,0)</f>
        <v>0</v>
      </c>
      <c r="FP55" s="40">
        <f>IF(AND(FP$54&gt;$E$49,SUM($G$55:FO$55)=0),FP20,0)</f>
        <v>0</v>
      </c>
      <c r="FQ55" s="40">
        <f>IF(AND(FQ$54&gt;$E$49,SUM($G$55:FP$55)=0),FQ20,0)</f>
        <v>0</v>
      </c>
      <c r="FR55" s="40">
        <f>IF(AND(FR$54&gt;$E$49,SUM($G$55:FQ$55)=0),FR20,0)</f>
        <v>0</v>
      </c>
      <c r="FS55" s="40">
        <f>IF(AND(FS$54&gt;$E$49,SUM($G$55:FR$55)=0),FS20,0)</f>
        <v>0</v>
      </c>
      <c r="FT55" s="40">
        <f>IF(AND(FT$54&gt;$E$49,SUM($G$55:FS$55)=0),FT20,0)</f>
        <v>0</v>
      </c>
      <c r="FU55" s="40">
        <f>IF(AND(FU$54&gt;$E$49,SUM($G$55:FT$55)=0),FU20,0)</f>
        <v>0</v>
      </c>
      <c r="FV55" s="40">
        <f>IF(AND(FV$54&gt;$E$49,SUM($G$55:FU$55)=0),FV20,0)</f>
        <v>0</v>
      </c>
      <c r="FW55" s="40">
        <f>IF(AND(FW$54&gt;$E$49,SUM($G$55:FV$55)=0),FW20,0)</f>
        <v>0</v>
      </c>
      <c r="FX55" s="40">
        <f>IF(AND(FX$54&gt;$E$49,SUM($G$55:FW$55)=0),FX20,0)</f>
        <v>0</v>
      </c>
      <c r="FY55" s="40">
        <f>IF(AND(FY$54&gt;$E$49,SUM($G$55:FX$55)=0),FY20,0)</f>
        <v>0</v>
      </c>
      <c r="FZ55" s="40">
        <f>IF(AND(FZ$54&gt;$E$49,SUM($G$55:FY$55)=0),FZ20,0)</f>
        <v>0</v>
      </c>
      <c r="GA55" s="40">
        <f>IF(AND(GA$54&gt;$E$49,SUM($G$55:FZ$55)=0),GA20,0)</f>
        <v>0</v>
      </c>
      <c r="GB55" s="40">
        <f>IF(AND(GB$54&gt;$E$49,SUM($G$55:GA$55)=0),GB20,0)</f>
        <v>0</v>
      </c>
      <c r="GC55" s="40">
        <f>IF(AND(GC$54&gt;$E$49,SUM($G$55:GB$55)=0),GC20,0)</f>
        <v>0</v>
      </c>
      <c r="GD55" s="40">
        <f>IF(AND(GD$54&gt;$E$49,SUM($G$55:GC$55)=0),GD20,0)</f>
        <v>0</v>
      </c>
      <c r="GE55" s="40">
        <f>IF(AND(GE$54&gt;$E$49,SUM($G$55:GD$55)=0),GE20,0)</f>
        <v>0</v>
      </c>
      <c r="GF55" s="40">
        <f ca="1">IF(AND(GF$54&gt;$E$49,SUM($G$55:GE$55)=0),GF20,0)</f>
        <v>0</v>
      </c>
      <c r="GG55" s="40">
        <f ca="1">IF(AND(GG$54&gt;$E$49,SUM($G$55:GF$55)=0),GG20,0)</f>
        <v>0</v>
      </c>
      <c r="GH55" s="40">
        <f ca="1">IF(AND(GH$54&gt;$E$49,SUM($G$55:GG$55)=0),GH20,0)</f>
        <v>0</v>
      </c>
      <c r="GI55" s="40">
        <f ca="1">IF(AND(GI$54&gt;$E$49,SUM($G$55:GH$55)=0),GI20,0)</f>
        <v>0</v>
      </c>
      <c r="GJ55" s="40">
        <f ca="1">IF(AND(GJ$54&gt;$E$49,SUM($G$55:GI$55)=0),GJ20,0)</f>
        <v>0</v>
      </c>
      <c r="GK55" s="40">
        <f ca="1">IF(AND(GK$54&gt;$E$49,SUM($G$55:GJ$55)=0),GK20,0)</f>
        <v>0</v>
      </c>
      <c r="GL55" s="40">
        <f ca="1">IF(AND(GL$54&gt;$E$49,SUM($G$55:GK$55)=0),GL20,0)</f>
        <v>0</v>
      </c>
      <c r="GM55" s="40">
        <f ca="1">IF(AND(GM$54&gt;$E$49,SUM($G$55:GL$55)=0),GM20,0)</f>
        <v>0</v>
      </c>
      <c r="GN55" s="40">
        <f ca="1">IF(AND(GN$54&gt;$E$49,SUM($G$55:GM$55)=0),GN20,0)</f>
        <v>0</v>
      </c>
      <c r="GO55" s="40">
        <f ca="1">IF(AND(GO$54&gt;$E$49,SUM($G$55:GN$55)=0),GO20,0)</f>
        <v>0</v>
      </c>
      <c r="GP55" s="40">
        <f ca="1">IF(AND(GP$54&gt;$E$49,SUM($G$55:GO$55)=0),GP20,0)</f>
        <v>0</v>
      </c>
      <c r="GQ55" s="40">
        <f ca="1">IF(AND(GQ$54&gt;$E$49,SUM($G$55:GP$55)=0),GQ20,0)</f>
        <v>0</v>
      </c>
      <c r="GR55" s="40">
        <f ca="1">IF(AND(GR$54&gt;$E$49,SUM($G$55:GQ$55)=0),GR20,0)</f>
        <v>0</v>
      </c>
      <c r="GS55" s="40">
        <f ca="1">IF(AND(GS$54&gt;$E$49,SUM($G$55:GR$55)=0),GS20,0)</f>
        <v>0</v>
      </c>
      <c r="GT55" s="40">
        <f ca="1">IF(AND(GT$54&gt;$E$49,SUM($G$55:GS$55)=0),GT20,0)</f>
        <v>0</v>
      </c>
      <c r="GU55" s="40">
        <f ca="1">IF(AND(GU$54&gt;$E$49,SUM($G$55:GT$55)=0),GU20,0)</f>
        <v>0</v>
      </c>
      <c r="GV55" s="40">
        <f ca="1">IF(AND(GV$54&gt;$E$49,SUM($G$55:GU$55)=0),GV20,0)</f>
        <v>0</v>
      </c>
      <c r="GW55" s="40">
        <f ca="1">IF(AND(GW$54&gt;$E$49,SUM($G$55:GV$55)=0),GW20,0)</f>
        <v>0</v>
      </c>
      <c r="GX55" s="40">
        <f ca="1">IF(AND(GX$54&gt;$E$49,SUM($G$55:GW$55)=0),GX20,0)</f>
        <v>0</v>
      </c>
      <c r="GY55" s="40">
        <f ca="1">IF(AND(GY$54&gt;$E$49,SUM($G$55:GX$55)=0),GY20,0)</f>
        <v>0</v>
      </c>
      <c r="GZ55" s="40">
        <f ca="1">IF(AND(GZ$54&gt;$E$49,SUM($G$55:GY$55)=0),GZ20,0)</f>
        <v>0</v>
      </c>
      <c r="HA55" s="40">
        <f ca="1">IF(AND(HA$54&gt;$E$49,SUM($G$55:GZ$55)=0),HA20,0)</f>
        <v>0</v>
      </c>
      <c r="HB55" s="40">
        <f ca="1">IF(AND(HB$54&gt;$E$49,SUM($G$55:HA$55)=0),HB20,0)</f>
        <v>0</v>
      </c>
      <c r="HC55" s="40">
        <f ca="1">IF(AND(HC$54&gt;$E$49,SUM($G$55:HB$55)=0),HC20,0)</f>
        <v>0</v>
      </c>
      <c r="HD55" s="40">
        <f ca="1">IF(AND(HD$54&gt;$E$49,SUM($G$55:HC$55)=0),HD20,0)</f>
        <v>0</v>
      </c>
      <c r="HE55" s="40">
        <f ca="1">IF(AND(HE$54&gt;$E$49,SUM($G$55:HD$55)=0),HE20,0)</f>
        <v>0</v>
      </c>
      <c r="HF55" s="40">
        <f ca="1">IF(AND(HF$54&gt;$E$49,SUM($G$55:HE$55)=0),HF20,0)</f>
        <v>0</v>
      </c>
      <c r="HG55" s="40">
        <f ca="1">IF(AND(HG$54&gt;$E$49,SUM($G$55:HF$55)=0),HG20,0)</f>
        <v>0</v>
      </c>
      <c r="HH55" s="40">
        <f ca="1">IF(AND(HH$54&gt;$E$49,SUM($G$55:HG$55)=0),HH20,0)</f>
        <v>0</v>
      </c>
      <c r="HI55" s="40">
        <f ca="1">IF(AND(HI$54&gt;$E$49,SUM($G$55:HH$55)=0),HI20,0)</f>
        <v>0</v>
      </c>
      <c r="HJ55" s="40">
        <f ca="1">IF(AND(HJ$54&gt;$E$49,SUM($G$55:HI$55)=0),HJ20,0)</f>
        <v>0</v>
      </c>
      <c r="HK55" s="40">
        <f ca="1">IF(AND(HK$54&gt;$E$49,SUM($G$55:HJ$55)=0),HK20,0)</f>
        <v>0</v>
      </c>
      <c r="HL55" s="40">
        <f ca="1">IF(AND(HL$54&gt;$E$49,SUM($G$55:HK$55)=0),HL20,0)</f>
        <v>0</v>
      </c>
      <c r="HM55" s="40">
        <f ca="1">IF(AND(HM$54&gt;$E$49,SUM($G$55:HL$55)=0),HM20,0)</f>
        <v>0</v>
      </c>
      <c r="HN55" s="40">
        <f ca="1">IF(AND(HN$54&gt;$E$49,SUM($G$55:HM$55)=0),HN20,0)</f>
        <v>0</v>
      </c>
      <c r="HO55" s="40">
        <f ca="1">IF(AND(HO$54&gt;$E$49,SUM($G$55:HN$55)=0),HO20,0)</f>
        <v>0</v>
      </c>
      <c r="HP55" s="40">
        <f ca="1">IF(AND(HP$54&gt;$E$49,SUM($G$55:HO$55)=0),HP20,0)</f>
        <v>0</v>
      </c>
      <c r="HQ55" s="40">
        <f ca="1">IF(AND(HQ$54&gt;$E$49,SUM($G$55:HP$55)=0),HQ20,0)</f>
        <v>0</v>
      </c>
      <c r="HR55" s="40">
        <f ca="1">IF(AND(HR$54&gt;$E$49,SUM($G$55:HQ$55)=0),HR20,0)</f>
        <v>0</v>
      </c>
      <c r="HS55" s="40">
        <f ca="1">IF(AND(HS$54&gt;$E$49,SUM($G$55:HR$55)=0),HS20,0)</f>
        <v>0</v>
      </c>
      <c r="HT55" s="40">
        <f ca="1">IF(AND(HT$54&gt;$E$49,SUM($G$55:HS$55)=0),HT20,0)</f>
        <v>0</v>
      </c>
      <c r="HU55" s="40">
        <f ca="1">IF(AND(HU$54&gt;$E$49,SUM($G$55:HT$55)=0),HU20,0)</f>
        <v>0</v>
      </c>
      <c r="HV55" s="40">
        <f ca="1">IF(AND(HV$54&gt;$E$49,SUM($G$55:HU$55)=0),HV20,0)</f>
        <v>0</v>
      </c>
      <c r="HW55" s="40">
        <f ca="1">IF(AND(HW$54&gt;$E$49,SUM($G$55:HV$55)=0),HW20,0)</f>
        <v>0</v>
      </c>
      <c r="HX55" s="40">
        <f ca="1">IF(AND(HX$54&gt;$E$49,SUM($G$55:HW$55)=0),HX20,0)</f>
        <v>0</v>
      </c>
      <c r="HY55" s="40">
        <f ca="1">IF(AND(HY$54&gt;$E$49,SUM($G$55:HX$55)=0),HY20,0)</f>
        <v>0</v>
      </c>
      <c r="HZ55" s="40">
        <f ca="1">IF(AND(HZ$54&gt;$E$49,SUM($G$55:HY$55)=0),HZ20,0)</f>
        <v>0</v>
      </c>
      <c r="IA55" s="40">
        <f ca="1">IF(AND(IA$54&gt;$E$49,SUM($G$55:HZ$55)=0),IA20,0)</f>
        <v>0</v>
      </c>
      <c r="IB55" s="40">
        <f ca="1">IF(AND(IB$54&gt;$E$49,SUM($G$55:IA$55)=0),IB20,0)</f>
        <v>0</v>
      </c>
      <c r="IC55" s="40">
        <f ca="1">IF(AND(IC$54&gt;$E$49,SUM($G$55:IB$55)=0),IC20,0)</f>
        <v>0</v>
      </c>
      <c r="ID55" s="40">
        <f ca="1">IF(AND(ID$54&gt;$E$49,SUM($G$55:IC$55)=0),ID20,0)</f>
        <v>0</v>
      </c>
      <c r="IE55" s="40">
        <f ca="1">IF(AND(IE$54&gt;$E$49,SUM($G$55:ID$55)=0),IE20,0)</f>
        <v>0</v>
      </c>
      <c r="IF55" s="40">
        <f ca="1">IF(AND(IF$54&gt;$E$49,SUM($G$55:IE$55)=0),IF20,0)</f>
        <v>0</v>
      </c>
      <c r="IG55" s="40">
        <f ca="1">IF(AND(IG$54&gt;$E$49,SUM($G$55:IF$55)=0),IG20,0)</f>
        <v>0</v>
      </c>
      <c r="IH55" s="40">
        <f ca="1">IF(AND(IH$54&gt;$E$49,SUM($G$55:IG$55)=0),IH20,0)</f>
        <v>0</v>
      </c>
      <c r="II55" s="40">
        <f ca="1">IF(AND(II$54&gt;$E$49,SUM($G$55:IH$55)=0),II20,0)</f>
        <v>0</v>
      </c>
      <c r="IJ55" s="40">
        <f ca="1">IF(AND(IJ$54&gt;$E$49,SUM($G$55:II$55)=0),IJ20,0)</f>
        <v>0</v>
      </c>
      <c r="IK55" s="40">
        <f ca="1">IF(AND(IK$54&gt;$E$49,SUM($G$55:IJ$55)=0),IK20,0)</f>
        <v>0</v>
      </c>
      <c r="IL55" s="40">
        <f ca="1">IF(AND(IL$54&gt;$E$49,SUM($G$55:IK$55)=0),IL20,0)</f>
        <v>0</v>
      </c>
      <c r="IM55" s="40">
        <f ca="1">IF(AND(IM$54&gt;$E$49,SUM($G$55:IL$55)=0),IM20,0)</f>
        <v>0</v>
      </c>
      <c r="IN55" s="40">
        <f ca="1">IF(AND(IN$54&gt;$E$49,SUM($G$55:IM$55)=0),IN20,0)</f>
        <v>0</v>
      </c>
      <c r="IO55" s="40">
        <f ca="1">IF(AND(IO$54&gt;$E$49,SUM($G$55:IN$55)=0),IO20,0)</f>
        <v>0</v>
      </c>
      <c r="IP55" s="40">
        <f ca="1">IF(AND(IP$54&gt;$E$49,SUM($G$55:IO$55)=0),IP20,0)</f>
        <v>0</v>
      </c>
      <c r="IQ55" s="40">
        <f ca="1">IF(AND(IQ$54&gt;$E$49,SUM($G$55:IP$55)=0),IQ20,0)</f>
        <v>0</v>
      </c>
      <c r="IR55" s="40">
        <f ca="1">IF(AND(IR$54&gt;$E$49,SUM($G$55:IQ$55)=0),IR20,0)</f>
        <v>0</v>
      </c>
      <c r="IS55" s="40">
        <f ca="1">IF(AND(IS$54&gt;$E$49,SUM($G$55:IR$55)=0),IS20,0)</f>
        <v>0</v>
      </c>
      <c r="IT55" s="40">
        <f ca="1">IF(AND(IT$54&gt;$E$49,SUM($G$55:IS$55)=0),IT20,0)</f>
        <v>0</v>
      </c>
      <c r="IU55" s="40">
        <f ca="1">IF(AND(IU$54&gt;$E$49,SUM($G$55:IT$55)=0),IU20,0)</f>
        <v>0</v>
      </c>
      <c r="IV55" s="40">
        <f ca="1">IF(AND(IV$54&gt;$E$49,SUM($G$55:IU$55)=0),IV20,0)</f>
        <v>0</v>
      </c>
      <c r="IW55" s="40">
        <f ca="1">IF(AND(IW$54&gt;$E$49,SUM($G$55:IV$55)=0),IW20,0)</f>
        <v>0</v>
      </c>
      <c r="IX55" s="40">
        <f ca="1">IF(AND(IX$54&gt;$E$49,SUM($G$55:IW$55)=0),IX20,0)</f>
        <v>0</v>
      </c>
      <c r="IY55" s="40">
        <f ca="1">IF(AND(IY$54&gt;$E$49,SUM($G$55:IX$55)=0),IY20,0)</f>
        <v>0</v>
      </c>
      <c r="IZ55" s="40">
        <f ca="1">IF(AND(IZ$54&gt;$E$49,SUM($G$55:IY$55)=0),IZ20,0)</f>
        <v>0</v>
      </c>
      <c r="JA55" s="40">
        <f ca="1">IF(AND(JA$54&gt;$E$49,SUM($G$55:IZ$55)=0),JA20,0)</f>
        <v>0</v>
      </c>
      <c r="JB55" s="40">
        <f ca="1">IF(AND(JB$54&gt;$E$49,SUM($G$55:JA$55)=0),JB20,0)</f>
        <v>0</v>
      </c>
      <c r="JC55" s="40">
        <f ca="1">IF(AND(JC$54&gt;$E$49,SUM($G$55:JB$55)=0),JC20,0)</f>
        <v>0</v>
      </c>
      <c r="JD55" s="40">
        <f ca="1">IF(AND(JD$54&gt;$E$49,SUM($G$55:JC$55)=0),JD20,0)</f>
        <v>0</v>
      </c>
      <c r="JE55" s="40">
        <f ca="1">IF(AND(JE$54&gt;$E$49,SUM($G$55:JD$55)=0),JE20,0)</f>
        <v>0</v>
      </c>
      <c r="JF55" s="40">
        <f ca="1">IF(AND(JF$54&gt;$E$49,SUM($G$55:JE$55)=0),JF20,0)</f>
        <v>0</v>
      </c>
      <c r="JG55" s="40">
        <f ca="1">IF(AND(JG$54&gt;$E$49,SUM($G$55:JF$55)=0),JG20,0)</f>
        <v>0</v>
      </c>
      <c r="JH55" s="40">
        <f ca="1">IF(AND(JH$54&gt;$E$49,SUM($G$55:JG$55)=0),JH20,0)</f>
        <v>0</v>
      </c>
      <c r="JI55" s="40">
        <f ca="1">IF(AND(JI$54&gt;$E$49,SUM($G$55:JH$55)=0),JI20,0)</f>
        <v>0</v>
      </c>
      <c r="JJ55" s="40">
        <f ca="1">IF(AND(JJ$54&gt;$E$49,SUM($G$55:JI$55)=0),JJ20,0)</f>
        <v>0</v>
      </c>
      <c r="JK55" s="40">
        <f ca="1">IF(AND(JK$54&gt;$E$49,SUM($G$55:JJ$55)=0),JK20,0)</f>
        <v>0</v>
      </c>
      <c r="JL55" s="40">
        <f ca="1">IF(AND(JL$54&gt;$E$49,SUM($G$55:JK$55)=0),JL20,0)</f>
        <v>0</v>
      </c>
      <c r="JM55" s="40">
        <f ca="1">IF(AND(JM$54&gt;$E$49,SUM($G$55:JL$55)=0),JM20,0)</f>
        <v>0</v>
      </c>
      <c r="JN55" s="40">
        <f ca="1">IF(AND(JN$54&gt;$E$49,SUM($G$55:JM$55)=0),JN20,0)</f>
        <v>0</v>
      </c>
      <c r="JO55" s="40">
        <f ca="1">IF(AND(JO$54&gt;$E$49,SUM($G$55:JN$55)=0),JO20,0)</f>
        <v>0</v>
      </c>
      <c r="JP55" s="40">
        <f ca="1">IF(AND(JP$54&gt;$E$49,SUM($G$55:JO$55)=0),JP20,0)</f>
        <v>0</v>
      </c>
      <c r="JQ55" s="40">
        <f ca="1">IF(AND(JQ$54&gt;$E$49,SUM($G$55:JP$55)=0),JQ20,0)</f>
        <v>0</v>
      </c>
      <c r="JR55" s="40">
        <f ca="1">IF(AND(JR$54&gt;$E$49,SUM($G$55:JQ$55)=0),JR20,0)</f>
        <v>0</v>
      </c>
      <c r="JS55" s="40">
        <f ca="1">IF(AND(JS$54&gt;$E$49,SUM($G$55:JR$55)=0),JS20,0)</f>
        <v>0</v>
      </c>
      <c r="JT55" s="40">
        <f ca="1">IF(AND(JT$54&gt;$E$49,SUM($G$55:JS$55)=0),JT20,0)</f>
        <v>0</v>
      </c>
      <c r="JU55" s="40">
        <f ca="1">IF(AND(JU$54&gt;$E$49,SUM($G$55:JT$55)=0),JU20,0)</f>
        <v>0</v>
      </c>
      <c r="JV55" s="40">
        <f ca="1">IF(AND(JV$54&gt;$E$49,SUM($G$55:JU$55)=0),JV20,0)</f>
        <v>0</v>
      </c>
      <c r="JW55" s="40">
        <f ca="1">IF(AND(JW$54&gt;$E$49,SUM($G$55:JV$55)=0),JW20,0)</f>
        <v>0</v>
      </c>
      <c r="JX55" s="40">
        <f ca="1">IF(AND(JX$54&gt;$E$49,SUM($G$55:JW$55)=0),JX20,0)</f>
        <v>0</v>
      </c>
      <c r="JY55" s="40">
        <f ca="1">IF(AND(JY$54&gt;$E$49,SUM($G$55:JX$55)=0),JY20,0)</f>
        <v>0</v>
      </c>
      <c r="JZ55" s="40">
        <f ca="1">IF(AND(JZ$54&gt;$E$49,SUM($G$55:JY$55)=0),JZ20,0)</f>
        <v>0</v>
      </c>
      <c r="KA55" s="40">
        <f ca="1">IF(AND(KA$54&gt;$E$49,SUM($G$55:JZ$55)=0),KA20,0)</f>
        <v>0</v>
      </c>
      <c r="KB55" s="40">
        <f ca="1">IF(AND(KB$54&gt;$E$49,SUM($G$55:KA$55)=0),KB20,0)</f>
        <v>0</v>
      </c>
      <c r="KC55" s="40">
        <f ca="1">IF(AND(KC$54&gt;$E$49,SUM($G$55:KB$55)=0),KC20,0)</f>
        <v>0</v>
      </c>
      <c r="KD55" s="40">
        <f ca="1">IF(AND(KD$54&gt;$E$49,SUM($G$55:KC$55)=0),KD20,0)</f>
        <v>0</v>
      </c>
      <c r="KE55" s="40">
        <f ca="1">IF(AND(KE$54&gt;$E$49,SUM($G$55:KD$55)=0),KE20,0)</f>
        <v>0</v>
      </c>
      <c r="KF55" s="40">
        <f ca="1">IF(AND(KF$54&gt;$E$49,SUM($G$55:KE$55)=0),KF20,0)</f>
        <v>0</v>
      </c>
      <c r="KG55" s="40">
        <f ca="1">IF(AND(KG$54&gt;$E$49,SUM($G$55:KF$55)=0),KG20,0)</f>
        <v>0</v>
      </c>
      <c r="KH55" s="40">
        <f ca="1">IF(AND(KH$54&gt;$E$49,SUM($G$55:KG$55)=0),KH20,0)</f>
        <v>0</v>
      </c>
      <c r="KI55" s="40">
        <f ca="1">IF(AND(KI$54&gt;$E$49,SUM($G$55:KH$55)=0),KI20,0)</f>
        <v>0</v>
      </c>
      <c r="KJ55" s="40">
        <f ca="1">IF(AND(KJ$54&gt;$E$49,SUM($G$55:KI$55)=0),KJ20,0)</f>
        <v>0</v>
      </c>
      <c r="KK55" s="40">
        <f ca="1">IF(AND(KK$54&gt;$E$49,SUM($G$55:KJ$55)=0),KK20,0)</f>
        <v>0</v>
      </c>
      <c r="KL55" s="40">
        <f ca="1">IF(AND(KL$54&gt;$E$49,SUM($G$55:KK$55)=0),KL20,0)</f>
        <v>0</v>
      </c>
      <c r="KM55" s="40">
        <f ca="1">IF(AND(KM$54&gt;$E$49,SUM($G$55:KL$55)=0),KM20,0)</f>
        <v>0</v>
      </c>
      <c r="KN55" s="40">
        <f ca="1">IF(AND(KN$54&gt;$E$49,SUM($G$55:KM$55)=0),KN20,0)</f>
        <v>0</v>
      </c>
      <c r="KO55" s="40">
        <f ca="1">IF(AND(KO$54&gt;$E$49,SUM($G$55:KN$55)=0),KO20,0)</f>
        <v>0</v>
      </c>
      <c r="KP55" s="40">
        <f ca="1">IF(AND(KP$54&gt;$E$49,SUM($G$55:KO$55)=0),KP20,0)</f>
        <v>0</v>
      </c>
      <c r="KQ55" s="40">
        <f ca="1">IF(AND(KQ$54&gt;$E$49,SUM($G$55:KP$55)=0),KQ20,0)</f>
        <v>0</v>
      </c>
      <c r="KR55" s="40">
        <f ca="1">IF(AND(KR$54&gt;$E$49,SUM($G$55:KQ$55)=0),KR20,0)</f>
        <v>0</v>
      </c>
      <c r="KS55" s="40">
        <f ca="1">IF(AND(KS$54&gt;$E$49,SUM($G$55:KR$55)=0),KS20,0)</f>
        <v>0</v>
      </c>
      <c r="KT55" s="40">
        <f ca="1">IF(AND(KT$54&gt;$E$49,SUM($G$55:KS$55)=0),KT20,0)</f>
        <v>0</v>
      </c>
      <c r="KU55" s="40">
        <f ca="1">IF(AND(KU$54&gt;$E$49,SUM($G$55:KT$55)=0),KU20,0)</f>
        <v>0</v>
      </c>
      <c r="KV55" s="40">
        <f ca="1">IF(AND(KV$54&gt;$E$49,SUM($G$55:KU$55)=0),KV20,0)</f>
        <v>0</v>
      </c>
      <c r="KW55" s="40">
        <f ca="1">IF(AND(KW$54&gt;$E$49,SUM($G$55:KV$55)=0),KW20,0)</f>
        <v>0</v>
      </c>
      <c r="KX55" s="40">
        <f ca="1">IF(AND(KX$54&gt;$E$49,SUM($G$55:KW$55)=0),KX20,0)</f>
        <v>0</v>
      </c>
      <c r="KY55" s="40">
        <f ca="1">IF(AND(KY$54&gt;$E$49,SUM($G$55:KX$55)=0),KY20,0)</f>
        <v>0</v>
      </c>
      <c r="KZ55" s="40">
        <f ca="1">IF(AND(KZ$54&gt;$E$49,SUM($G$55:KY$55)=0),KZ20,0)</f>
        <v>0</v>
      </c>
      <c r="LA55" s="40">
        <f ca="1">IF(AND(LA$54&gt;$E$49,SUM($G$55:KZ$55)=0),LA20,0)</f>
        <v>0</v>
      </c>
      <c r="LB55" s="40">
        <f ca="1">IF(AND(LB$54&gt;$E$49,SUM($G$55:LA$55)=0),LB20,0)</f>
        <v>0</v>
      </c>
      <c r="LC55" s="40">
        <f ca="1">IF(AND(LC$54&gt;$E$49,SUM($G$55:LB$55)=0),LC20,0)</f>
        <v>0</v>
      </c>
      <c r="LD55" s="40">
        <f ca="1">IF(AND(LD$54&gt;$E$49,SUM($G$55:LC$55)=0),LD20,0)</f>
        <v>0</v>
      </c>
      <c r="LE55" s="40">
        <f ca="1">IF(AND(LE$54&gt;$E$49,SUM($G$55:LD$55)=0),LE20,0)</f>
        <v>0</v>
      </c>
      <c r="LF55" s="40">
        <f ca="1">IF(AND(LF$54&gt;$E$49,SUM($G$55:LE$55)=0),LF20,0)</f>
        <v>0</v>
      </c>
      <c r="LG55" s="40">
        <f ca="1">IF(AND(LG$54&gt;$E$49,SUM($G$55:LF$55)=0),LG20,0)</f>
        <v>0</v>
      </c>
      <c r="LH55" s="40">
        <f ca="1">IF(AND(LH$54&gt;$E$49,SUM($G$55:LG$55)=0),LH20,0)</f>
        <v>0</v>
      </c>
      <c r="LI55" s="40">
        <f ca="1">IF(AND(LI$54&gt;$E$49,SUM($G$55:LH$55)=0),LI20,0)</f>
        <v>0</v>
      </c>
      <c r="LJ55" s="40">
        <f ca="1">IF(AND(LJ$54&gt;$E$49,SUM($G$55:LI$55)=0),LJ20,0)</f>
        <v>0</v>
      </c>
      <c r="LK55" s="40">
        <f ca="1">IF(AND(LK$54&gt;$E$49,SUM($G$55:LJ$55)=0),LK20,0)</f>
        <v>0</v>
      </c>
      <c r="LL55" s="40">
        <f ca="1">IF(AND(LL$54&gt;$E$49,SUM($G$55:LK$55)=0),LL20,0)</f>
        <v>0</v>
      </c>
      <c r="LM55" s="40">
        <f ca="1">IF(AND(LM$54&gt;$E$49,SUM($G$55:LL$55)=0),LM20,0)</f>
        <v>0</v>
      </c>
      <c r="LN55" s="40">
        <f ca="1">IF(AND(LN$54&gt;$E$49,SUM($G$55:LM$55)=0),LN20,0)</f>
        <v>0</v>
      </c>
      <c r="LO55" s="40">
        <f ca="1">IF(AND(LO$54&gt;$E$49,SUM($G$55:LN$55)=0),LO20,0)</f>
        <v>0</v>
      </c>
      <c r="LP55" s="40">
        <f ca="1">IF(AND(LP$54&gt;$E$49,SUM($G$55:LO$55)=0),LP20,0)</f>
        <v>0</v>
      </c>
      <c r="LQ55" s="40">
        <f ca="1">IF(AND(LQ$54&gt;$E$49,SUM($G$55:LP$55)=0),LQ20,0)</f>
        <v>0</v>
      </c>
      <c r="LR55" s="40">
        <f ca="1">IF(AND(LR$54&gt;$E$49,SUM($G$55:LQ$55)=0),LR20,0)</f>
        <v>0</v>
      </c>
      <c r="LS55" s="40">
        <f ca="1">IF(AND(LS$54&gt;$E$49,SUM($G$55:LR$55)=0),LS20,0)</f>
        <v>0</v>
      </c>
      <c r="LT55" s="40">
        <f ca="1">IF(AND(LT$54&gt;$E$49,SUM($G$55:LS$55)=0),LT20,0)</f>
        <v>0</v>
      </c>
      <c r="LU55" s="40">
        <f ca="1">IF(AND(LU$54&gt;$E$49,SUM($G$55:LT$55)=0),LU20,0)</f>
        <v>0</v>
      </c>
      <c r="LV55" s="40">
        <f ca="1">IF(AND(LV$54&gt;$E$49,SUM($G$55:LU$55)=0),LV20,0)</f>
        <v>0</v>
      </c>
      <c r="LW55" s="40">
        <f ca="1">IF(AND(LW$54&gt;$E$49,SUM($G$55:LV$55)=0),LW20,0)</f>
        <v>0</v>
      </c>
      <c r="LX55" s="40">
        <f ca="1">IF(AND(LX$54&gt;$E$49,SUM($G$55:LW$55)=0),LX20,0)</f>
        <v>0</v>
      </c>
      <c r="LY55" s="40">
        <f ca="1">IF(AND(LY$54&gt;$E$49,SUM($G$55:LX$55)=0),LY20,0)</f>
        <v>0</v>
      </c>
      <c r="LZ55" s="40">
        <f ca="1">IF(AND(LZ$54&gt;$E$49,SUM($G$55:LY$55)=0),LZ20,0)</f>
        <v>0</v>
      </c>
      <c r="MA55" s="40">
        <f ca="1">IF(AND(MA$54&gt;$E$49,SUM($G$55:LZ$55)=0),MA20,0)</f>
        <v>0</v>
      </c>
      <c r="MB55" s="40">
        <f ca="1">IF(AND(MB$54&gt;$E$49,SUM($G$55:MA$55)=0),MB20,0)</f>
        <v>0</v>
      </c>
      <c r="MC55" s="40">
        <f ca="1">IF(AND(MC$54&gt;$E$49,SUM($G$55:MB$55)=0),MC20,0)</f>
        <v>0</v>
      </c>
      <c r="MD55" s="40">
        <f ca="1">IF(AND(MD$54&gt;$E$49,SUM($G$55:MC$55)=0),MD20,0)</f>
        <v>0</v>
      </c>
      <c r="ME55" s="40">
        <f ca="1">IF(AND(ME$54&gt;$E$49,SUM($G$55:MD$55)=0),ME20,0)</f>
        <v>0</v>
      </c>
      <c r="MF55" s="40">
        <f ca="1">IF(AND(MF$54&gt;$E$49,SUM($G$55:ME$55)=0),MF20,0)</f>
        <v>0</v>
      </c>
      <c r="MG55" s="40">
        <f ca="1">IF(AND(MG$54&gt;$E$49,SUM($G$55:MF$55)=0),MG20,0)</f>
        <v>0</v>
      </c>
      <c r="MH55" s="40">
        <f ca="1">IF(AND(MH$54&gt;$E$49,SUM($G$55:MG$55)=0),MH20,0)</f>
        <v>0</v>
      </c>
      <c r="MI55" s="40">
        <f ca="1">IF(AND(MI$54&gt;$E$49,SUM($G$55:MH$55)=0),MI20,0)</f>
        <v>0</v>
      </c>
      <c r="MJ55" s="40">
        <f ca="1">IF(AND(MJ$54&gt;$E$49,SUM($G$55:MI$55)=0),MJ20,0)</f>
        <v>0</v>
      </c>
      <c r="MK55" s="40">
        <f ca="1">IF(AND(MK$54&gt;$E$49,SUM($G$55:MJ$55)=0),MK20,0)</f>
        <v>0</v>
      </c>
      <c r="ML55" s="40">
        <f ca="1">IF(AND(ML$54&gt;$E$49,SUM($G$55:MK$55)=0),ML20,0)</f>
        <v>0</v>
      </c>
      <c r="MM55" s="40">
        <f ca="1">IF(AND(MM$54&gt;$E$49,SUM($G$55:ML$55)=0),MM20,0)</f>
        <v>0</v>
      </c>
      <c r="MN55" s="40">
        <f ca="1">IF(AND(MN$54&gt;$E$49,SUM($G$55:MM$55)=0),MN20,0)</f>
        <v>0</v>
      </c>
      <c r="MO55" s="40">
        <f ca="1">IF(AND(MO$54&gt;$E$49,SUM($G$55:MN$55)=0),MO20,0)</f>
        <v>0</v>
      </c>
      <c r="MP55" s="40">
        <f ca="1">IF(AND(MP$54&gt;$E$49,SUM($G$55:MO$55)=0),MP20,0)</f>
        <v>0</v>
      </c>
      <c r="MQ55" s="40">
        <f ca="1">IF(AND(MQ$54&gt;$E$49,SUM($G$55:MP$55)=0),MQ20,0)</f>
        <v>0</v>
      </c>
      <c r="MR55" s="40">
        <f ca="1">IF(AND(MR$54&gt;$E$49,SUM($G$55:MQ$55)=0),MR20,0)</f>
        <v>0</v>
      </c>
      <c r="MS55" s="40">
        <f ca="1">IF(AND(MS$54&gt;$E$49,SUM($G$55:MR$55)=0),MS20,0)</f>
        <v>0</v>
      </c>
      <c r="MT55" s="40">
        <f ca="1">IF(AND(MT$54&gt;$E$49,SUM($G$55:MS$55)=0),MT20,0)</f>
        <v>0</v>
      </c>
      <c r="MU55" s="40">
        <f ca="1">IF(AND(MU$54&gt;$E$49,SUM($G$55:MT$55)=0),MU20,0)</f>
        <v>0</v>
      </c>
      <c r="MV55" s="40">
        <f ca="1">IF(AND(MV$54&gt;$E$49,SUM($G$55:MU$55)=0),MV20,0)</f>
        <v>0</v>
      </c>
      <c r="MW55" s="40">
        <f ca="1">IF(AND(MW$54&gt;$E$49,SUM($G$55:MV$55)=0),MW20,0)</f>
        <v>0</v>
      </c>
      <c r="MX55" s="40">
        <f ca="1">IF(AND(MX$54&gt;$E$49,SUM($G$55:MW$55)=0),MX20,0)</f>
        <v>0</v>
      </c>
      <c r="MY55" s="40">
        <f ca="1">IF(AND(MY$54&gt;$E$49,SUM($G$55:MX$55)=0),MY20,0)</f>
        <v>0</v>
      </c>
      <c r="MZ55" s="40">
        <f ca="1">IF(AND(MZ$54&gt;$E$49,SUM($G$55:MY$55)=0),MZ20,0)</f>
        <v>0</v>
      </c>
      <c r="NA55" s="40">
        <f ca="1">IF(AND(NA$54&gt;$E$49,SUM($G$55:MZ$55)=0),NA20,0)</f>
        <v>0</v>
      </c>
      <c r="NB55" s="40">
        <f ca="1">IF(AND(NB$54&gt;$E$49,SUM($G$55:NA$55)=0),NB20,0)</f>
        <v>0</v>
      </c>
      <c r="NC55" s="40">
        <f ca="1">IF(AND(NC$54&gt;$E$49,SUM($G$55:NB$55)=0),NC20,0)</f>
        <v>0</v>
      </c>
      <c r="ND55" s="40">
        <f ca="1">IF(AND(ND$54&gt;$E$49,SUM($G$55:NC$55)=0),ND20,0)</f>
        <v>0</v>
      </c>
      <c r="NE55" s="40"/>
      <c r="NF55" s="40"/>
      <c r="NG55" s="40"/>
      <c r="NH55" s="40"/>
      <c r="NI55" s="40"/>
      <c r="NJ55" s="40"/>
      <c r="NK55" s="40"/>
      <c r="NL55" s="40"/>
      <c r="NM55" s="40"/>
      <c r="NN55" s="40"/>
      <c r="NO55" s="40"/>
      <c r="NP55" s="40"/>
      <c r="NQ55" s="40"/>
      <c r="NR55" s="40"/>
    </row>
    <row r="56" spans="2:382" x14ac:dyDescent="0.15">
      <c r="B56" s="518"/>
      <c r="D56" s="52"/>
      <c r="E56" s="40"/>
      <c r="F56" s="40"/>
      <c r="G56" s="114"/>
      <c r="H56" s="40"/>
      <c r="I56" s="40"/>
      <c r="J56" s="40"/>
      <c r="K56" s="40"/>
      <c r="L56" s="40"/>
      <c r="M56" s="40"/>
      <c r="N56" s="40"/>
      <c r="O56" s="40"/>
      <c r="P56" s="40"/>
      <c r="Q56" s="40"/>
      <c r="R56" s="40"/>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0"/>
      <c r="AR56" s="40"/>
      <c r="AS56" s="40"/>
      <c r="AT56" s="40"/>
      <c r="AU56" s="40"/>
      <c r="AV56" s="40"/>
      <c r="AW56" s="40"/>
      <c r="AX56" s="40"/>
      <c r="AY56" s="40"/>
      <c r="AZ56" s="40"/>
      <c r="BA56" s="40"/>
      <c r="BB56" s="40"/>
      <c r="BC56" s="40"/>
      <c r="BD56" s="40"/>
      <c r="BE56" s="40"/>
      <c r="BF56" s="40"/>
      <c r="BG56" s="40"/>
      <c r="BH56" s="40"/>
      <c r="BI56" s="40"/>
      <c r="BJ56" s="40"/>
      <c r="BK56" s="40"/>
      <c r="BL56" s="40"/>
      <c r="BM56" s="40"/>
      <c r="BN56" s="40"/>
      <c r="BO56" s="40"/>
      <c r="BP56" s="40"/>
      <c r="BQ56" s="40"/>
      <c r="BR56" s="40"/>
      <c r="BS56" s="40"/>
      <c r="BT56" s="40"/>
      <c r="BU56" s="40"/>
      <c r="BV56" s="40"/>
      <c r="BW56" s="40"/>
      <c r="BX56" s="40"/>
      <c r="BY56" s="40"/>
      <c r="BZ56" s="40"/>
      <c r="CA56" s="40"/>
      <c r="CB56" s="40"/>
      <c r="CC56" s="40"/>
      <c r="CD56" s="40"/>
      <c r="CE56" s="40"/>
      <c r="CF56" s="40"/>
      <c r="CG56" s="40"/>
      <c r="CH56" s="40"/>
      <c r="CI56" s="40"/>
      <c r="CJ56" s="40"/>
      <c r="CK56" s="40"/>
      <c r="CL56" s="40"/>
      <c r="CM56" s="40"/>
      <c r="CN56" s="40"/>
      <c r="CO56" s="40"/>
      <c r="CP56" s="40"/>
      <c r="CQ56" s="40"/>
      <c r="CR56" s="40"/>
      <c r="CS56" s="40"/>
      <c r="CT56" s="40"/>
      <c r="CU56" s="40"/>
      <c r="CV56" s="40"/>
      <c r="CW56" s="40"/>
      <c r="CX56" s="40"/>
      <c r="CY56" s="40"/>
      <c r="CZ56" s="40"/>
      <c r="DA56" s="40"/>
      <c r="DB56" s="40"/>
      <c r="DC56" s="40"/>
      <c r="DD56" s="40"/>
      <c r="DE56" s="40"/>
      <c r="DF56" s="40"/>
      <c r="DG56" s="40"/>
      <c r="DH56" s="40"/>
      <c r="DI56" s="40"/>
      <c r="DJ56" s="40"/>
      <c r="DK56" s="40"/>
      <c r="DL56" s="40"/>
      <c r="DM56" s="40"/>
      <c r="DN56" s="40"/>
      <c r="DO56" s="40"/>
      <c r="DP56" s="40"/>
      <c r="DQ56" s="40"/>
      <c r="DR56" s="40"/>
      <c r="DS56" s="40"/>
      <c r="DT56" s="40"/>
      <c r="DU56" s="40"/>
      <c r="DV56" s="40"/>
      <c r="DW56" s="40"/>
      <c r="DX56" s="40"/>
      <c r="DY56" s="40"/>
      <c r="DZ56" s="40"/>
      <c r="EA56" s="40"/>
      <c r="EB56" s="40"/>
      <c r="EC56" s="40"/>
      <c r="ED56" s="40"/>
      <c r="EE56" s="40"/>
      <c r="EF56" s="40"/>
      <c r="EG56" s="40"/>
      <c r="EH56" s="40"/>
      <c r="EI56" s="40"/>
      <c r="EJ56" s="40"/>
      <c r="EK56" s="40"/>
      <c r="EL56" s="40"/>
      <c r="EM56" s="40"/>
      <c r="EN56" s="40"/>
      <c r="EO56" s="40"/>
      <c r="EP56" s="40"/>
      <c r="EQ56" s="40"/>
      <c r="ER56" s="40"/>
      <c r="ES56" s="40"/>
      <c r="ET56" s="40"/>
      <c r="EU56" s="40"/>
      <c r="EV56" s="40"/>
      <c r="EW56" s="40"/>
      <c r="EX56" s="40"/>
      <c r="EY56" s="40"/>
      <c r="EZ56" s="40"/>
      <c r="FA56" s="40"/>
      <c r="FB56" s="40"/>
      <c r="FC56" s="40"/>
      <c r="FD56" s="40"/>
      <c r="FE56" s="40"/>
      <c r="FF56" s="40"/>
      <c r="FG56" s="40"/>
      <c r="FH56" s="40"/>
      <c r="FI56" s="40"/>
      <c r="FJ56" s="40"/>
      <c r="FK56" s="40"/>
      <c r="FL56" s="40"/>
      <c r="FM56" s="40"/>
      <c r="FN56" s="40"/>
      <c r="FO56" s="40"/>
      <c r="FP56" s="40"/>
      <c r="FQ56" s="40"/>
      <c r="FR56" s="40"/>
      <c r="FS56" s="40"/>
      <c r="FT56" s="40"/>
      <c r="FU56" s="40"/>
      <c r="FV56" s="40"/>
      <c r="FW56" s="40"/>
      <c r="FX56" s="40"/>
      <c r="FY56" s="40"/>
      <c r="FZ56" s="40"/>
      <c r="GA56" s="40"/>
      <c r="GB56" s="40"/>
      <c r="GC56" s="40"/>
      <c r="GD56" s="40"/>
      <c r="GE56" s="40"/>
      <c r="GF56" s="40"/>
      <c r="GG56" s="40"/>
      <c r="GH56" s="40"/>
      <c r="GI56" s="40"/>
      <c r="GJ56" s="40"/>
      <c r="GK56" s="40"/>
      <c r="GL56" s="40"/>
      <c r="GM56" s="40"/>
      <c r="GN56" s="40"/>
      <c r="GO56" s="40"/>
      <c r="GP56" s="40"/>
      <c r="GQ56" s="40"/>
      <c r="GR56" s="40"/>
      <c r="GS56" s="40"/>
      <c r="GT56" s="40"/>
      <c r="GU56" s="40"/>
      <c r="GV56" s="40"/>
      <c r="GW56" s="40"/>
      <c r="GX56" s="40"/>
      <c r="GY56" s="40"/>
      <c r="GZ56" s="40"/>
      <c r="HA56" s="40"/>
      <c r="HB56" s="40"/>
      <c r="HC56" s="40"/>
      <c r="HD56" s="40"/>
      <c r="HE56" s="40"/>
      <c r="HF56" s="40"/>
      <c r="HG56" s="40"/>
      <c r="HH56" s="40"/>
      <c r="HI56" s="40"/>
      <c r="HJ56" s="40"/>
      <c r="HK56" s="40"/>
      <c r="HL56" s="40"/>
      <c r="HM56" s="40"/>
      <c r="HN56" s="40"/>
      <c r="HO56" s="40"/>
      <c r="HP56" s="40"/>
      <c r="HQ56" s="40"/>
      <c r="HR56" s="40"/>
      <c r="HS56" s="40"/>
      <c r="HT56" s="40"/>
      <c r="HU56" s="40"/>
      <c r="HV56" s="40"/>
      <c r="HW56" s="40"/>
      <c r="HX56" s="40"/>
      <c r="HY56" s="40"/>
      <c r="HZ56" s="40"/>
      <c r="IA56" s="40"/>
      <c r="IB56" s="40"/>
      <c r="IC56" s="40"/>
      <c r="ID56" s="40"/>
      <c r="IE56" s="40"/>
      <c r="IF56" s="40"/>
      <c r="IG56" s="40"/>
      <c r="IH56" s="40"/>
      <c r="II56" s="40"/>
      <c r="IJ56" s="40"/>
      <c r="IK56" s="40"/>
      <c r="IL56" s="40"/>
      <c r="IM56" s="40"/>
      <c r="IN56" s="40"/>
      <c r="IO56" s="40"/>
      <c r="IP56" s="40"/>
      <c r="IQ56" s="40"/>
      <c r="IR56" s="40"/>
      <c r="IS56" s="40"/>
      <c r="IT56" s="40"/>
      <c r="IU56" s="40"/>
      <c r="IV56" s="40"/>
      <c r="IW56" s="40"/>
      <c r="IX56" s="40"/>
      <c r="IY56" s="40"/>
      <c r="IZ56" s="40"/>
      <c r="JA56" s="40"/>
      <c r="JB56" s="40"/>
      <c r="JC56" s="40"/>
      <c r="JD56" s="40"/>
      <c r="JE56" s="40"/>
      <c r="JF56" s="40"/>
      <c r="JG56" s="40"/>
      <c r="JH56" s="40"/>
      <c r="JI56" s="40"/>
      <c r="JJ56" s="40"/>
      <c r="JK56" s="40"/>
      <c r="JL56" s="40"/>
      <c r="JM56" s="40"/>
      <c r="JN56" s="40"/>
      <c r="JO56" s="40"/>
      <c r="JP56" s="40"/>
      <c r="JQ56" s="40"/>
      <c r="JR56" s="40"/>
      <c r="JS56" s="40"/>
      <c r="JT56" s="40"/>
      <c r="JU56" s="40"/>
      <c r="JV56" s="40"/>
      <c r="JW56" s="40"/>
      <c r="JX56" s="40"/>
      <c r="JY56" s="40"/>
      <c r="JZ56" s="40"/>
      <c r="KA56" s="40"/>
      <c r="KB56" s="40"/>
      <c r="KC56" s="40"/>
      <c r="KD56" s="40"/>
      <c r="KE56" s="40"/>
      <c r="KF56" s="40"/>
      <c r="KG56" s="40"/>
      <c r="KH56" s="40"/>
      <c r="KI56" s="40"/>
      <c r="KJ56" s="40"/>
      <c r="KK56" s="40"/>
      <c r="KL56" s="40"/>
      <c r="KM56" s="40"/>
      <c r="KN56" s="40"/>
      <c r="KO56" s="40"/>
      <c r="KP56" s="40"/>
      <c r="KQ56" s="40"/>
      <c r="KR56" s="40"/>
      <c r="KS56" s="40"/>
      <c r="KT56" s="40"/>
      <c r="KU56" s="40"/>
      <c r="KV56" s="40"/>
      <c r="KW56" s="40"/>
      <c r="KX56" s="40"/>
      <c r="KY56" s="40"/>
      <c r="KZ56" s="40"/>
      <c r="LA56" s="40"/>
      <c r="LB56" s="40"/>
      <c r="LC56" s="40"/>
      <c r="LD56" s="40"/>
      <c r="LE56" s="40"/>
      <c r="LF56" s="40"/>
      <c r="LG56" s="40"/>
      <c r="LH56" s="40"/>
      <c r="LI56" s="40"/>
      <c r="LJ56" s="40"/>
      <c r="LK56" s="40"/>
      <c r="LL56" s="40"/>
      <c r="LM56" s="40"/>
      <c r="LN56" s="40"/>
      <c r="LO56" s="40"/>
      <c r="LP56" s="40"/>
      <c r="LQ56" s="40"/>
      <c r="LR56" s="40"/>
      <c r="LS56" s="40"/>
      <c r="LT56" s="40"/>
      <c r="LU56" s="40"/>
      <c r="LV56" s="40"/>
      <c r="LW56" s="40"/>
      <c r="LX56" s="40"/>
      <c r="LY56" s="40"/>
      <c r="LZ56" s="40"/>
      <c r="MA56" s="40"/>
      <c r="MB56" s="40"/>
      <c r="MC56" s="40"/>
      <c r="MD56" s="40"/>
      <c r="ME56" s="40"/>
      <c r="MF56" s="40"/>
      <c r="MG56" s="40"/>
      <c r="MH56" s="40"/>
      <c r="MI56" s="40"/>
      <c r="MJ56" s="40"/>
      <c r="MK56" s="40"/>
      <c r="ML56" s="40"/>
      <c r="MM56" s="40"/>
      <c r="MN56" s="40"/>
      <c r="MO56" s="40"/>
      <c r="MP56" s="40"/>
      <c r="MQ56" s="40"/>
      <c r="MR56" s="40"/>
      <c r="MS56" s="40"/>
      <c r="MT56" s="40"/>
      <c r="MU56" s="40"/>
      <c r="MV56" s="40"/>
      <c r="MW56" s="40"/>
      <c r="MX56" s="40"/>
      <c r="MY56" s="40"/>
      <c r="MZ56" s="40"/>
      <c r="NA56" s="40"/>
      <c r="NB56" s="40"/>
      <c r="NC56" s="40"/>
      <c r="ND56" s="40"/>
      <c r="NE56" s="40"/>
      <c r="NF56" s="40"/>
      <c r="NG56" s="40"/>
      <c r="NH56" s="40"/>
      <c r="NI56" s="40"/>
      <c r="NJ56" s="40"/>
      <c r="NK56" s="40"/>
      <c r="NL56" s="40"/>
      <c r="NM56" s="40"/>
      <c r="NN56" s="40"/>
      <c r="NO56" s="40"/>
      <c r="NP56" s="40"/>
      <c r="NQ56" s="40"/>
      <c r="NR56" s="40"/>
    </row>
    <row r="57" spans="2:382" x14ac:dyDescent="0.15">
      <c r="B57" s="518"/>
      <c r="C57" s="115" t="str">
        <f>_xlfn.CONCAT($C$7, " Equity")</f>
        <v>- Equity</v>
      </c>
      <c r="D57" s="52">
        <f>D7</f>
        <v>0</v>
      </c>
      <c r="E57" s="40">
        <f>$D$57*Total_Investment</f>
        <v>0</v>
      </c>
      <c r="F57" s="40"/>
      <c r="G57" s="114"/>
      <c r="H57" s="40"/>
      <c r="I57" s="40">
        <f>E57</f>
        <v>0</v>
      </c>
      <c r="J57" s="40">
        <f>I57-I61</f>
        <v>0</v>
      </c>
      <c r="K57" s="40">
        <f t="shared" ref="K57:BV57" si="3728">J57-J61</f>
        <v>0</v>
      </c>
      <c r="L57" s="40">
        <f t="shared" si="3728"/>
        <v>0</v>
      </c>
      <c r="M57" s="40">
        <f t="shared" si="3728"/>
        <v>0</v>
      </c>
      <c r="N57" s="40">
        <f t="shared" si="3728"/>
        <v>0</v>
      </c>
      <c r="O57" s="40">
        <f t="shared" si="3728"/>
        <v>0</v>
      </c>
      <c r="P57" s="40">
        <f t="shared" si="3728"/>
        <v>0</v>
      </c>
      <c r="Q57" s="40">
        <f t="shared" si="3728"/>
        <v>0</v>
      </c>
      <c r="R57" s="40">
        <f t="shared" si="3728"/>
        <v>0</v>
      </c>
      <c r="S57" s="40">
        <f t="shared" si="3728"/>
        <v>0</v>
      </c>
      <c r="T57" s="40">
        <f t="shared" si="3728"/>
        <v>0</v>
      </c>
      <c r="U57" s="40">
        <f t="shared" si="3728"/>
        <v>0</v>
      </c>
      <c r="V57" s="40">
        <f t="shared" si="3728"/>
        <v>0</v>
      </c>
      <c r="W57" s="40">
        <f t="shared" si="3728"/>
        <v>0</v>
      </c>
      <c r="X57" s="40">
        <f t="shared" si="3728"/>
        <v>0</v>
      </c>
      <c r="Y57" s="40">
        <f t="shared" si="3728"/>
        <v>0</v>
      </c>
      <c r="Z57" s="40">
        <f t="shared" si="3728"/>
        <v>0</v>
      </c>
      <c r="AA57" s="40">
        <f t="shared" si="3728"/>
        <v>0</v>
      </c>
      <c r="AB57" s="40">
        <f t="shared" si="3728"/>
        <v>0</v>
      </c>
      <c r="AC57" s="40">
        <f t="shared" si="3728"/>
        <v>0</v>
      </c>
      <c r="AD57" s="40">
        <f t="shared" si="3728"/>
        <v>0</v>
      </c>
      <c r="AE57" s="40">
        <f t="shared" si="3728"/>
        <v>0</v>
      </c>
      <c r="AF57" s="40">
        <f t="shared" si="3728"/>
        <v>0</v>
      </c>
      <c r="AG57" s="40">
        <f t="shared" si="3728"/>
        <v>0</v>
      </c>
      <c r="AH57" s="40">
        <f t="shared" si="3728"/>
        <v>0</v>
      </c>
      <c r="AI57" s="40">
        <f t="shared" si="3728"/>
        <v>0</v>
      </c>
      <c r="AJ57" s="40">
        <f t="shared" si="3728"/>
        <v>0</v>
      </c>
      <c r="AK57" s="40">
        <f t="shared" si="3728"/>
        <v>0</v>
      </c>
      <c r="AL57" s="40">
        <f t="shared" si="3728"/>
        <v>0</v>
      </c>
      <c r="AM57" s="40">
        <f t="shared" si="3728"/>
        <v>0</v>
      </c>
      <c r="AN57" s="40">
        <f t="shared" si="3728"/>
        <v>0</v>
      </c>
      <c r="AO57" s="40">
        <f t="shared" si="3728"/>
        <v>0</v>
      </c>
      <c r="AP57" s="40">
        <f t="shared" si="3728"/>
        <v>0</v>
      </c>
      <c r="AQ57" s="40">
        <f t="shared" si="3728"/>
        <v>0</v>
      </c>
      <c r="AR57" s="40">
        <f t="shared" si="3728"/>
        <v>0</v>
      </c>
      <c r="AS57" s="40">
        <f t="shared" si="3728"/>
        <v>0</v>
      </c>
      <c r="AT57" s="40">
        <f t="shared" si="3728"/>
        <v>0</v>
      </c>
      <c r="AU57" s="40">
        <f t="shared" si="3728"/>
        <v>0</v>
      </c>
      <c r="AV57" s="40">
        <f t="shared" si="3728"/>
        <v>0</v>
      </c>
      <c r="AW57" s="40">
        <f t="shared" si="3728"/>
        <v>0</v>
      </c>
      <c r="AX57" s="40">
        <f t="shared" si="3728"/>
        <v>0</v>
      </c>
      <c r="AY57" s="40">
        <f t="shared" si="3728"/>
        <v>0</v>
      </c>
      <c r="AZ57" s="40">
        <f t="shared" si="3728"/>
        <v>0</v>
      </c>
      <c r="BA57" s="40">
        <f t="shared" si="3728"/>
        <v>0</v>
      </c>
      <c r="BB57" s="40">
        <f t="shared" si="3728"/>
        <v>0</v>
      </c>
      <c r="BC57" s="40">
        <f t="shared" si="3728"/>
        <v>0</v>
      </c>
      <c r="BD57" s="40">
        <f t="shared" si="3728"/>
        <v>0</v>
      </c>
      <c r="BE57" s="40">
        <f t="shared" si="3728"/>
        <v>0</v>
      </c>
      <c r="BF57" s="40">
        <f t="shared" si="3728"/>
        <v>0</v>
      </c>
      <c r="BG57" s="40">
        <f t="shared" si="3728"/>
        <v>0</v>
      </c>
      <c r="BH57" s="40">
        <f t="shared" si="3728"/>
        <v>0</v>
      </c>
      <c r="BI57" s="40">
        <f t="shared" si="3728"/>
        <v>0</v>
      </c>
      <c r="BJ57" s="40">
        <f t="shared" si="3728"/>
        <v>0</v>
      </c>
      <c r="BK57" s="40">
        <f t="shared" si="3728"/>
        <v>0</v>
      </c>
      <c r="BL57" s="40">
        <f t="shared" si="3728"/>
        <v>0</v>
      </c>
      <c r="BM57" s="40">
        <f t="shared" si="3728"/>
        <v>0</v>
      </c>
      <c r="BN57" s="40">
        <f t="shared" si="3728"/>
        <v>0</v>
      </c>
      <c r="BO57" s="40">
        <f t="shared" si="3728"/>
        <v>0</v>
      </c>
      <c r="BP57" s="40">
        <f t="shared" si="3728"/>
        <v>0</v>
      </c>
      <c r="BQ57" s="40">
        <f t="shared" si="3728"/>
        <v>0</v>
      </c>
      <c r="BR57" s="40">
        <f t="shared" si="3728"/>
        <v>0</v>
      </c>
      <c r="BS57" s="40">
        <f t="shared" si="3728"/>
        <v>0</v>
      </c>
      <c r="BT57" s="40">
        <f t="shared" si="3728"/>
        <v>0</v>
      </c>
      <c r="BU57" s="40">
        <f t="shared" si="3728"/>
        <v>0</v>
      </c>
      <c r="BV57" s="40">
        <f t="shared" si="3728"/>
        <v>0</v>
      </c>
      <c r="BW57" s="40">
        <f t="shared" ref="BW57:EH57" si="3729">BV57-BV61</f>
        <v>0</v>
      </c>
      <c r="BX57" s="40">
        <f t="shared" si="3729"/>
        <v>0</v>
      </c>
      <c r="BY57" s="40">
        <f t="shared" si="3729"/>
        <v>0</v>
      </c>
      <c r="BZ57" s="40">
        <f t="shared" si="3729"/>
        <v>0</v>
      </c>
      <c r="CA57" s="40">
        <f t="shared" si="3729"/>
        <v>0</v>
      </c>
      <c r="CB57" s="40">
        <f t="shared" si="3729"/>
        <v>0</v>
      </c>
      <c r="CC57" s="40">
        <f t="shared" si="3729"/>
        <v>0</v>
      </c>
      <c r="CD57" s="40">
        <f t="shared" si="3729"/>
        <v>0</v>
      </c>
      <c r="CE57" s="40">
        <f t="shared" si="3729"/>
        <v>0</v>
      </c>
      <c r="CF57" s="40">
        <f t="shared" si="3729"/>
        <v>0</v>
      </c>
      <c r="CG57" s="40">
        <f t="shared" si="3729"/>
        <v>0</v>
      </c>
      <c r="CH57" s="40">
        <f t="shared" si="3729"/>
        <v>0</v>
      </c>
      <c r="CI57" s="40">
        <f t="shared" si="3729"/>
        <v>0</v>
      </c>
      <c r="CJ57" s="40">
        <f t="shared" si="3729"/>
        <v>0</v>
      </c>
      <c r="CK57" s="40">
        <f t="shared" si="3729"/>
        <v>0</v>
      </c>
      <c r="CL57" s="40">
        <f t="shared" si="3729"/>
        <v>0</v>
      </c>
      <c r="CM57" s="40">
        <f t="shared" si="3729"/>
        <v>0</v>
      </c>
      <c r="CN57" s="40">
        <f t="shared" si="3729"/>
        <v>0</v>
      </c>
      <c r="CO57" s="40">
        <f t="shared" si="3729"/>
        <v>0</v>
      </c>
      <c r="CP57" s="40">
        <f t="shared" si="3729"/>
        <v>0</v>
      </c>
      <c r="CQ57" s="40">
        <f t="shared" si="3729"/>
        <v>0</v>
      </c>
      <c r="CR57" s="40">
        <f t="shared" si="3729"/>
        <v>0</v>
      </c>
      <c r="CS57" s="40">
        <f t="shared" si="3729"/>
        <v>0</v>
      </c>
      <c r="CT57" s="40">
        <f t="shared" si="3729"/>
        <v>0</v>
      </c>
      <c r="CU57" s="40">
        <f t="shared" si="3729"/>
        <v>0</v>
      </c>
      <c r="CV57" s="40">
        <f t="shared" si="3729"/>
        <v>0</v>
      </c>
      <c r="CW57" s="40">
        <f t="shared" si="3729"/>
        <v>0</v>
      </c>
      <c r="CX57" s="40">
        <f t="shared" si="3729"/>
        <v>0</v>
      </c>
      <c r="CY57" s="40">
        <f t="shared" si="3729"/>
        <v>0</v>
      </c>
      <c r="CZ57" s="40">
        <f t="shared" si="3729"/>
        <v>0</v>
      </c>
      <c r="DA57" s="40">
        <f t="shared" si="3729"/>
        <v>0</v>
      </c>
      <c r="DB57" s="40">
        <f t="shared" si="3729"/>
        <v>0</v>
      </c>
      <c r="DC57" s="40">
        <f t="shared" si="3729"/>
        <v>0</v>
      </c>
      <c r="DD57" s="40">
        <f t="shared" si="3729"/>
        <v>0</v>
      </c>
      <c r="DE57" s="40">
        <f t="shared" si="3729"/>
        <v>0</v>
      </c>
      <c r="DF57" s="40">
        <f t="shared" si="3729"/>
        <v>0</v>
      </c>
      <c r="DG57" s="40">
        <f t="shared" si="3729"/>
        <v>0</v>
      </c>
      <c r="DH57" s="40">
        <f t="shared" si="3729"/>
        <v>0</v>
      </c>
      <c r="DI57" s="40">
        <f t="shared" si="3729"/>
        <v>0</v>
      </c>
      <c r="DJ57" s="40">
        <f t="shared" si="3729"/>
        <v>0</v>
      </c>
      <c r="DK57" s="40">
        <f t="shared" si="3729"/>
        <v>0</v>
      </c>
      <c r="DL57" s="40">
        <f t="shared" si="3729"/>
        <v>0</v>
      </c>
      <c r="DM57" s="40">
        <f t="shared" si="3729"/>
        <v>0</v>
      </c>
      <c r="DN57" s="40">
        <f t="shared" si="3729"/>
        <v>0</v>
      </c>
      <c r="DO57" s="40">
        <f t="shared" si="3729"/>
        <v>0</v>
      </c>
      <c r="DP57" s="40">
        <f t="shared" si="3729"/>
        <v>0</v>
      </c>
      <c r="DQ57" s="40">
        <f t="shared" si="3729"/>
        <v>0</v>
      </c>
      <c r="DR57" s="40">
        <f t="shared" si="3729"/>
        <v>0</v>
      </c>
      <c r="DS57" s="40">
        <f t="shared" si="3729"/>
        <v>0</v>
      </c>
      <c r="DT57" s="40">
        <f t="shared" si="3729"/>
        <v>0</v>
      </c>
      <c r="DU57" s="40">
        <f t="shared" si="3729"/>
        <v>0</v>
      </c>
      <c r="DV57" s="40">
        <f t="shared" si="3729"/>
        <v>0</v>
      </c>
      <c r="DW57" s="40">
        <f t="shared" si="3729"/>
        <v>0</v>
      </c>
      <c r="DX57" s="40">
        <f t="shared" si="3729"/>
        <v>0</v>
      </c>
      <c r="DY57" s="40">
        <f t="shared" si="3729"/>
        <v>0</v>
      </c>
      <c r="DZ57" s="40">
        <f t="shared" si="3729"/>
        <v>0</v>
      </c>
      <c r="EA57" s="40">
        <f t="shared" si="3729"/>
        <v>0</v>
      </c>
      <c r="EB57" s="40">
        <f t="shared" si="3729"/>
        <v>0</v>
      </c>
      <c r="EC57" s="40">
        <f t="shared" si="3729"/>
        <v>0</v>
      </c>
      <c r="ED57" s="40">
        <f t="shared" si="3729"/>
        <v>0</v>
      </c>
      <c r="EE57" s="40">
        <f t="shared" si="3729"/>
        <v>0</v>
      </c>
      <c r="EF57" s="40">
        <f t="shared" si="3729"/>
        <v>0</v>
      </c>
      <c r="EG57" s="40">
        <f t="shared" si="3729"/>
        <v>0</v>
      </c>
      <c r="EH57" s="40">
        <f t="shared" si="3729"/>
        <v>0</v>
      </c>
      <c r="EI57" s="40">
        <f t="shared" ref="EI57:GT57" si="3730">EH57-EH61</f>
        <v>0</v>
      </c>
      <c r="EJ57" s="40">
        <f t="shared" si="3730"/>
        <v>0</v>
      </c>
      <c r="EK57" s="40">
        <f t="shared" si="3730"/>
        <v>0</v>
      </c>
      <c r="EL57" s="40">
        <f t="shared" si="3730"/>
        <v>0</v>
      </c>
      <c r="EM57" s="40">
        <f t="shared" si="3730"/>
        <v>0</v>
      </c>
      <c r="EN57" s="40">
        <f t="shared" si="3730"/>
        <v>0</v>
      </c>
      <c r="EO57" s="40">
        <f t="shared" si="3730"/>
        <v>0</v>
      </c>
      <c r="EP57" s="40">
        <f t="shared" si="3730"/>
        <v>0</v>
      </c>
      <c r="EQ57" s="40">
        <f t="shared" si="3730"/>
        <v>0</v>
      </c>
      <c r="ER57" s="40">
        <f t="shared" si="3730"/>
        <v>0</v>
      </c>
      <c r="ES57" s="40">
        <f t="shared" si="3730"/>
        <v>0</v>
      </c>
      <c r="ET57" s="40">
        <f t="shared" si="3730"/>
        <v>0</v>
      </c>
      <c r="EU57" s="40">
        <f t="shared" si="3730"/>
        <v>0</v>
      </c>
      <c r="EV57" s="40">
        <f t="shared" si="3730"/>
        <v>0</v>
      </c>
      <c r="EW57" s="40">
        <f t="shared" si="3730"/>
        <v>0</v>
      </c>
      <c r="EX57" s="40">
        <f t="shared" si="3730"/>
        <v>0</v>
      </c>
      <c r="EY57" s="40">
        <f t="shared" si="3730"/>
        <v>0</v>
      </c>
      <c r="EZ57" s="40">
        <f t="shared" si="3730"/>
        <v>0</v>
      </c>
      <c r="FA57" s="40">
        <f t="shared" si="3730"/>
        <v>0</v>
      </c>
      <c r="FB57" s="40">
        <f t="shared" si="3730"/>
        <v>0</v>
      </c>
      <c r="FC57" s="40">
        <f t="shared" si="3730"/>
        <v>0</v>
      </c>
      <c r="FD57" s="40">
        <f t="shared" si="3730"/>
        <v>0</v>
      </c>
      <c r="FE57" s="40">
        <f t="shared" si="3730"/>
        <v>0</v>
      </c>
      <c r="FF57" s="40">
        <f t="shared" si="3730"/>
        <v>0</v>
      </c>
      <c r="FG57" s="40">
        <f t="shared" si="3730"/>
        <v>0</v>
      </c>
      <c r="FH57" s="40">
        <f t="shared" si="3730"/>
        <v>0</v>
      </c>
      <c r="FI57" s="40">
        <f t="shared" si="3730"/>
        <v>0</v>
      </c>
      <c r="FJ57" s="40">
        <f t="shared" si="3730"/>
        <v>0</v>
      </c>
      <c r="FK57" s="40">
        <f t="shared" si="3730"/>
        <v>0</v>
      </c>
      <c r="FL57" s="40">
        <f t="shared" si="3730"/>
        <v>0</v>
      </c>
      <c r="FM57" s="40">
        <f t="shared" si="3730"/>
        <v>0</v>
      </c>
      <c r="FN57" s="40">
        <f t="shared" si="3730"/>
        <v>0</v>
      </c>
      <c r="FO57" s="40">
        <f t="shared" si="3730"/>
        <v>0</v>
      </c>
      <c r="FP57" s="40">
        <f t="shared" si="3730"/>
        <v>0</v>
      </c>
      <c r="FQ57" s="40">
        <f t="shared" si="3730"/>
        <v>0</v>
      </c>
      <c r="FR57" s="40">
        <f t="shared" si="3730"/>
        <v>0</v>
      </c>
      <c r="FS57" s="40">
        <f t="shared" si="3730"/>
        <v>0</v>
      </c>
      <c r="FT57" s="40">
        <f t="shared" si="3730"/>
        <v>0</v>
      </c>
      <c r="FU57" s="40">
        <f t="shared" si="3730"/>
        <v>0</v>
      </c>
      <c r="FV57" s="40">
        <f t="shared" si="3730"/>
        <v>0</v>
      </c>
      <c r="FW57" s="40">
        <f t="shared" si="3730"/>
        <v>0</v>
      </c>
      <c r="FX57" s="40">
        <f t="shared" si="3730"/>
        <v>0</v>
      </c>
      <c r="FY57" s="40">
        <f t="shared" si="3730"/>
        <v>0</v>
      </c>
      <c r="FZ57" s="40">
        <f t="shared" si="3730"/>
        <v>0</v>
      </c>
      <c r="GA57" s="40">
        <f t="shared" si="3730"/>
        <v>0</v>
      </c>
      <c r="GB57" s="40">
        <f t="shared" si="3730"/>
        <v>0</v>
      </c>
      <c r="GC57" s="40">
        <f t="shared" si="3730"/>
        <v>0</v>
      </c>
      <c r="GD57" s="40">
        <f t="shared" si="3730"/>
        <v>0</v>
      </c>
      <c r="GE57" s="40">
        <f t="shared" si="3730"/>
        <v>0</v>
      </c>
      <c r="GF57" s="40">
        <f t="shared" si="3730"/>
        <v>0</v>
      </c>
      <c r="GG57" s="40">
        <f t="shared" ca="1" si="3730"/>
        <v>0</v>
      </c>
      <c r="GH57" s="40">
        <f t="shared" ca="1" si="3730"/>
        <v>0</v>
      </c>
      <c r="GI57" s="40">
        <f t="shared" ca="1" si="3730"/>
        <v>0</v>
      </c>
      <c r="GJ57" s="40">
        <f t="shared" ca="1" si="3730"/>
        <v>0</v>
      </c>
      <c r="GK57" s="40">
        <f t="shared" ca="1" si="3730"/>
        <v>0</v>
      </c>
      <c r="GL57" s="40">
        <f t="shared" ca="1" si="3730"/>
        <v>0</v>
      </c>
      <c r="GM57" s="40">
        <f t="shared" ca="1" si="3730"/>
        <v>0</v>
      </c>
      <c r="GN57" s="40">
        <f t="shared" ca="1" si="3730"/>
        <v>0</v>
      </c>
      <c r="GO57" s="40">
        <f t="shared" ca="1" si="3730"/>
        <v>0</v>
      </c>
      <c r="GP57" s="40">
        <f t="shared" ca="1" si="3730"/>
        <v>0</v>
      </c>
      <c r="GQ57" s="40">
        <f t="shared" ca="1" si="3730"/>
        <v>0</v>
      </c>
      <c r="GR57" s="40">
        <f t="shared" ca="1" si="3730"/>
        <v>0</v>
      </c>
      <c r="GS57" s="40">
        <f t="shared" ca="1" si="3730"/>
        <v>0</v>
      </c>
      <c r="GT57" s="40">
        <f t="shared" ca="1" si="3730"/>
        <v>0</v>
      </c>
      <c r="GU57" s="40">
        <f t="shared" ref="GU57:IN57" ca="1" si="3731">GT57-GT61</f>
        <v>0</v>
      </c>
      <c r="GV57" s="40">
        <f t="shared" ca="1" si="3731"/>
        <v>0</v>
      </c>
      <c r="GW57" s="40">
        <f t="shared" ca="1" si="3731"/>
        <v>0</v>
      </c>
      <c r="GX57" s="40">
        <f t="shared" ca="1" si="3731"/>
        <v>0</v>
      </c>
      <c r="GY57" s="40">
        <f t="shared" ca="1" si="3731"/>
        <v>0</v>
      </c>
      <c r="GZ57" s="40">
        <f t="shared" ca="1" si="3731"/>
        <v>0</v>
      </c>
      <c r="HA57" s="40">
        <f t="shared" ca="1" si="3731"/>
        <v>0</v>
      </c>
      <c r="HB57" s="40">
        <f t="shared" ca="1" si="3731"/>
        <v>0</v>
      </c>
      <c r="HC57" s="40">
        <f t="shared" ca="1" si="3731"/>
        <v>0</v>
      </c>
      <c r="HD57" s="40">
        <f t="shared" ca="1" si="3731"/>
        <v>0</v>
      </c>
      <c r="HE57" s="40">
        <f t="shared" ca="1" si="3731"/>
        <v>0</v>
      </c>
      <c r="HF57" s="40">
        <f t="shared" ca="1" si="3731"/>
        <v>0</v>
      </c>
      <c r="HG57" s="40">
        <f t="shared" ca="1" si="3731"/>
        <v>0</v>
      </c>
      <c r="HH57" s="40">
        <f t="shared" ca="1" si="3731"/>
        <v>0</v>
      </c>
      <c r="HI57" s="40">
        <f t="shared" ca="1" si="3731"/>
        <v>0</v>
      </c>
      <c r="HJ57" s="40">
        <f t="shared" ca="1" si="3731"/>
        <v>0</v>
      </c>
      <c r="HK57" s="40">
        <f t="shared" ca="1" si="3731"/>
        <v>0</v>
      </c>
      <c r="HL57" s="40">
        <f t="shared" ca="1" si="3731"/>
        <v>0</v>
      </c>
      <c r="HM57" s="40">
        <f t="shared" ca="1" si="3731"/>
        <v>0</v>
      </c>
      <c r="HN57" s="40">
        <f t="shared" ca="1" si="3731"/>
        <v>0</v>
      </c>
      <c r="HO57" s="40">
        <f t="shared" ca="1" si="3731"/>
        <v>0</v>
      </c>
      <c r="HP57" s="40">
        <f t="shared" ca="1" si="3731"/>
        <v>0</v>
      </c>
      <c r="HQ57" s="40">
        <f t="shared" ca="1" si="3731"/>
        <v>0</v>
      </c>
      <c r="HR57" s="40">
        <f t="shared" ca="1" si="3731"/>
        <v>0</v>
      </c>
      <c r="HS57" s="40">
        <f t="shared" ca="1" si="3731"/>
        <v>0</v>
      </c>
      <c r="HT57" s="40">
        <f t="shared" ca="1" si="3731"/>
        <v>0</v>
      </c>
      <c r="HU57" s="40">
        <f t="shared" ca="1" si="3731"/>
        <v>0</v>
      </c>
      <c r="HV57" s="40">
        <f t="shared" ca="1" si="3731"/>
        <v>0</v>
      </c>
      <c r="HW57" s="40">
        <f t="shared" ca="1" si="3731"/>
        <v>0</v>
      </c>
      <c r="HX57" s="40">
        <f t="shared" ca="1" si="3731"/>
        <v>0</v>
      </c>
      <c r="HY57" s="40">
        <f t="shared" ca="1" si="3731"/>
        <v>0</v>
      </c>
      <c r="HZ57" s="40">
        <f t="shared" ca="1" si="3731"/>
        <v>0</v>
      </c>
      <c r="IA57" s="40">
        <f t="shared" ca="1" si="3731"/>
        <v>0</v>
      </c>
      <c r="IB57" s="40">
        <f t="shared" ca="1" si="3731"/>
        <v>0</v>
      </c>
      <c r="IC57" s="40">
        <f t="shared" ca="1" si="3731"/>
        <v>0</v>
      </c>
      <c r="ID57" s="40">
        <f t="shared" ca="1" si="3731"/>
        <v>0</v>
      </c>
      <c r="IE57" s="40">
        <f t="shared" ca="1" si="3731"/>
        <v>0</v>
      </c>
      <c r="IF57" s="40">
        <f t="shared" ca="1" si="3731"/>
        <v>0</v>
      </c>
      <c r="IG57" s="40">
        <f t="shared" ca="1" si="3731"/>
        <v>0</v>
      </c>
      <c r="IH57" s="40">
        <f t="shared" ca="1" si="3731"/>
        <v>0</v>
      </c>
      <c r="II57" s="40">
        <f t="shared" ca="1" si="3731"/>
        <v>0</v>
      </c>
      <c r="IJ57" s="40">
        <f t="shared" ca="1" si="3731"/>
        <v>0</v>
      </c>
      <c r="IK57" s="40">
        <f t="shared" ca="1" si="3731"/>
        <v>0</v>
      </c>
      <c r="IL57" s="40">
        <f t="shared" ca="1" si="3731"/>
        <v>0</v>
      </c>
      <c r="IM57" s="40">
        <f t="shared" ca="1" si="3731"/>
        <v>0</v>
      </c>
      <c r="IN57" s="40">
        <f t="shared" ca="1" si="3731"/>
        <v>0</v>
      </c>
      <c r="IO57" s="40">
        <f t="shared" ref="IO57" ca="1" si="3732">IN57-IN61</f>
        <v>0</v>
      </c>
      <c r="IP57" s="40">
        <f t="shared" ref="IP57" ca="1" si="3733">IO57-IO61</f>
        <v>0</v>
      </c>
      <c r="IQ57" s="40">
        <f t="shared" ref="IQ57" ca="1" si="3734">IP57-IP61</f>
        <v>0</v>
      </c>
      <c r="IR57" s="40">
        <f t="shared" ref="IR57" ca="1" si="3735">IQ57-IQ61</f>
        <v>0</v>
      </c>
      <c r="IS57" s="40">
        <f t="shared" ref="IS57" ca="1" si="3736">IR57-IR61</f>
        <v>0</v>
      </c>
      <c r="IT57" s="40">
        <f t="shared" ref="IT57" ca="1" si="3737">IS57-IS61</f>
        <v>0</v>
      </c>
      <c r="IU57" s="40">
        <f t="shared" ref="IU57" ca="1" si="3738">IT57-IT61</f>
        <v>0</v>
      </c>
      <c r="IV57" s="40">
        <f t="shared" ref="IV57" ca="1" si="3739">IU57-IU61</f>
        <v>0</v>
      </c>
      <c r="IW57" s="40">
        <f t="shared" ref="IW57" ca="1" si="3740">IV57-IV61</f>
        <v>0</v>
      </c>
      <c r="IX57" s="40">
        <f t="shared" ref="IX57" ca="1" si="3741">IW57-IW61</f>
        <v>0</v>
      </c>
      <c r="IY57" s="40">
        <f t="shared" ref="IY57" ca="1" si="3742">IX57-IX61</f>
        <v>0</v>
      </c>
      <c r="IZ57" s="40">
        <f t="shared" ref="IZ57" ca="1" si="3743">IY57-IY61</f>
        <v>0</v>
      </c>
      <c r="JA57" s="40">
        <f t="shared" ref="JA57" ca="1" si="3744">IZ57-IZ61</f>
        <v>0</v>
      </c>
      <c r="JB57" s="40">
        <f t="shared" ref="JB57" ca="1" si="3745">JA57-JA61</f>
        <v>0</v>
      </c>
      <c r="JC57" s="40">
        <f t="shared" ref="JC57" ca="1" si="3746">JB57-JB61</f>
        <v>0</v>
      </c>
      <c r="JD57" s="40">
        <f t="shared" ref="JD57" ca="1" si="3747">JC57-JC61</f>
        <v>0</v>
      </c>
      <c r="JE57" s="40">
        <f t="shared" ref="JE57" ca="1" si="3748">JD57-JD61</f>
        <v>0</v>
      </c>
      <c r="JF57" s="40">
        <f t="shared" ref="JF57" ca="1" si="3749">JE57-JE61</f>
        <v>0</v>
      </c>
      <c r="JG57" s="40">
        <f t="shared" ref="JG57" ca="1" si="3750">JF57-JF61</f>
        <v>0</v>
      </c>
      <c r="JH57" s="40">
        <f t="shared" ref="JH57" ca="1" si="3751">JG57-JG61</f>
        <v>0</v>
      </c>
      <c r="JI57" s="40">
        <f t="shared" ref="JI57" ca="1" si="3752">JH57-JH61</f>
        <v>0</v>
      </c>
      <c r="JJ57" s="40">
        <f t="shared" ref="JJ57" ca="1" si="3753">JI57-JI61</f>
        <v>0</v>
      </c>
      <c r="JK57" s="40">
        <f t="shared" ref="JK57" ca="1" si="3754">JJ57-JJ61</f>
        <v>0</v>
      </c>
      <c r="JL57" s="40">
        <f t="shared" ref="JL57" ca="1" si="3755">JK57-JK61</f>
        <v>0</v>
      </c>
      <c r="JM57" s="40">
        <f t="shared" ref="JM57" ca="1" si="3756">JL57-JL61</f>
        <v>0</v>
      </c>
      <c r="JN57" s="40">
        <f t="shared" ref="JN57" ca="1" si="3757">JM57-JM61</f>
        <v>0</v>
      </c>
      <c r="JO57" s="40">
        <f t="shared" ref="JO57" ca="1" si="3758">JN57-JN61</f>
        <v>0</v>
      </c>
      <c r="JP57" s="40">
        <f t="shared" ref="JP57" ca="1" si="3759">JO57-JO61</f>
        <v>0</v>
      </c>
      <c r="JQ57" s="40">
        <f t="shared" ref="JQ57" ca="1" si="3760">JP57-JP61</f>
        <v>0</v>
      </c>
      <c r="JR57" s="40">
        <f t="shared" ref="JR57" ca="1" si="3761">JQ57-JQ61</f>
        <v>0</v>
      </c>
      <c r="JS57" s="40">
        <f t="shared" ref="JS57" ca="1" si="3762">JR57-JR61</f>
        <v>0</v>
      </c>
      <c r="JT57" s="40">
        <f t="shared" ref="JT57" ca="1" si="3763">JS57-JS61</f>
        <v>0</v>
      </c>
      <c r="JU57" s="40">
        <f t="shared" ref="JU57" ca="1" si="3764">JT57-JT61</f>
        <v>0</v>
      </c>
      <c r="JV57" s="40">
        <f t="shared" ref="JV57" ca="1" si="3765">JU57-JU61</f>
        <v>0</v>
      </c>
      <c r="JW57" s="40">
        <f t="shared" ref="JW57" ca="1" si="3766">JV57-JV61</f>
        <v>0</v>
      </c>
      <c r="JX57" s="40">
        <f t="shared" ref="JX57" ca="1" si="3767">JW57-JW61</f>
        <v>0</v>
      </c>
      <c r="JY57" s="40">
        <f t="shared" ref="JY57" ca="1" si="3768">JX57-JX61</f>
        <v>0</v>
      </c>
      <c r="JZ57" s="40">
        <f t="shared" ref="JZ57" ca="1" si="3769">JY57-JY61</f>
        <v>0</v>
      </c>
      <c r="KA57" s="40">
        <f t="shared" ref="KA57" ca="1" si="3770">JZ57-JZ61</f>
        <v>0</v>
      </c>
      <c r="KB57" s="40">
        <f t="shared" ref="KB57" ca="1" si="3771">KA57-KA61</f>
        <v>0</v>
      </c>
      <c r="KC57" s="40">
        <f t="shared" ref="KC57" ca="1" si="3772">KB57-KB61</f>
        <v>0</v>
      </c>
      <c r="KD57" s="40">
        <f t="shared" ref="KD57" ca="1" si="3773">KC57-KC61</f>
        <v>0</v>
      </c>
      <c r="KE57" s="40">
        <f t="shared" ref="KE57" ca="1" si="3774">KD57-KD61</f>
        <v>0</v>
      </c>
      <c r="KF57" s="40">
        <f t="shared" ref="KF57" ca="1" si="3775">KE57-KE61</f>
        <v>0</v>
      </c>
      <c r="KG57" s="40">
        <f t="shared" ref="KG57" ca="1" si="3776">KF57-KF61</f>
        <v>0</v>
      </c>
      <c r="KH57" s="40">
        <f t="shared" ref="KH57" ca="1" si="3777">KG57-KG61</f>
        <v>0</v>
      </c>
      <c r="KI57" s="40">
        <f t="shared" ref="KI57" ca="1" si="3778">KH57-KH61</f>
        <v>0</v>
      </c>
      <c r="KJ57" s="40">
        <f t="shared" ref="KJ57" ca="1" si="3779">KI57-KI61</f>
        <v>0</v>
      </c>
      <c r="KK57" s="40">
        <f t="shared" ref="KK57" ca="1" si="3780">KJ57-KJ61</f>
        <v>0</v>
      </c>
      <c r="KL57" s="40">
        <f t="shared" ref="KL57" ca="1" si="3781">KK57-KK61</f>
        <v>0</v>
      </c>
      <c r="KM57" s="40">
        <f t="shared" ref="KM57" ca="1" si="3782">KL57-KL61</f>
        <v>0</v>
      </c>
      <c r="KN57" s="40">
        <f t="shared" ref="KN57" ca="1" si="3783">KM57-KM61</f>
        <v>0</v>
      </c>
      <c r="KO57" s="40">
        <f t="shared" ref="KO57" ca="1" si="3784">KN57-KN61</f>
        <v>0</v>
      </c>
      <c r="KP57" s="40">
        <f t="shared" ref="KP57" ca="1" si="3785">KO57-KO61</f>
        <v>0</v>
      </c>
      <c r="KQ57" s="40">
        <f t="shared" ref="KQ57" ca="1" si="3786">KP57-KP61</f>
        <v>0</v>
      </c>
      <c r="KR57" s="40">
        <f t="shared" ref="KR57" ca="1" si="3787">KQ57-KQ61</f>
        <v>0</v>
      </c>
      <c r="KS57" s="40">
        <f t="shared" ref="KS57" ca="1" si="3788">KR57-KR61</f>
        <v>0</v>
      </c>
      <c r="KT57" s="40">
        <f t="shared" ref="KT57" ca="1" si="3789">KS57-KS61</f>
        <v>0</v>
      </c>
      <c r="KU57" s="40">
        <f t="shared" ref="KU57" ca="1" si="3790">KT57-KT61</f>
        <v>0</v>
      </c>
      <c r="KV57" s="40">
        <f t="shared" ref="KV57" ca="1" si="3791">KU57-KU61</f>
        <v>0</v>
      </c>
      <c r="KW57" s="40">
        <f t="shared" ref="KW57" ca="1" si="3792">KV57-KV61</f>
        <v>0</v>
      </c>
      <c r="KX57" s="40">
        <f t="shared" ref="KX57" ca="1" si="3793">KW57-KW61</f>
        <v>0</v>
      </c>
      <c r="KY57" s="40">
        <f t="shared" ref="KY57" ca="1" si="3794">KX57-KX61</f>
        <v>0</v>
      </c>
      <c r="KZ57" s="40">
        <f t="shared" ref="KZ57" ca="1" si="3795">KY57-KY61</f>
        <v>0</v>
      </c>
      <c r="LA57" s="40">
        <f t="shared" ref="LA57" ca="1" si="3796">KZ57-KZ61</f>
        <v>0</v>
      </c>
      <c r="LB57" s="40">
        <f t="shared" ref="LB57" ca="1" si="3797">LA57-LA61</f>
        <v>0</v>
      </c>
      <c r="LC57" s="40">
        <f t="shared" ref="LC57" ca="1" si="3798">LB57-LB61</f>
        <v>0</v>
      </c>
      <c r="LD57" s="40">
        <f t="shared" ref="LD57" ca="1" si="3799">LC57-LC61</f>
        <v>0</v>
      </c>
      <c r="LE57" s="40">
        <f t="shared" ref="LE57" ca="1" si="3800">LD57-LD61</f>
        <v>0</v>
      </c>
      <c r="LF57" s="40">
        <f t="shared" ref="LF57" ca="1" si="3801">LE57-LE61</f>
        <v>0</v>
      </c>
      <c r="LG57" s="40">
        <f t="shared" ref="LG57" ca="1" si="3802">LF57-LF61</f>
        <v>0</v>
      </c>
      <c r="LH57" s="40">
        <f t="shared" ref="LH57" ca="1" si="3803">LG57-LG61</f>
        <v>0</v>
      </c>
      <c r="LI57" s="40">
        <f t="shared" ref="LI57" ca="1" si="3804">LH57-LH61</f>
        <v>0</v>
      </c>
      <c r="LJ57" s="40">
        <f t="shared" ref="LJ57" ca="1" si="3805">LI57-LI61</f>
        <v>0</v>
      </c>
      <c r="LK57" s="40">
        <f t="shared" ref="LK57" ca="1" si="3806">LJ57-LJ61</f>
        <v>0</v>
      </c>
      <c r="LL57" s="40">
        <f t="shared" ref="LL57" ca="1" si="3807">LK57-LK61</f>
        <v>0</v>
      </c>
      <c r="LM57" s="40">
        <f t="shared" ref="LM57" ca="1" si="3808">LL57-LL61</f>
        <v>0</v>
      </c>
      <c r="LN57" s="40">
        <f t="shared" ref="LN57" ca="1" si="3809">LM57-LM61</f>
        <v>0</v>
      </c>
      <c r="LO57" s="40">
        <f t="shared" ref="LO57" ca="1" si="3810">LN57-LN61</f>
        <v>0</v>
      </c>
      <c r="LP57" s="40">
        <f t="shared" ref="LP57" ca="1" si="3811">LO57-LO61</f>
        <v>0</v>
      </c>
      <c r="LQ57" s="40">
        <f t="shared" ref="LQ57" ca="1" si="3812">LP57-LP61</f>
        <v>0</v>
      </c>
      <c r="LR57" s="40">
        <f t="shared" ref="LR57" ca="1" si="3813">LQ57-LQ61</f>
        <v>0</v>
      </c>
      <c r="LS57" s="40">
        <f t="shared" ref="LS57" ca="1" si="3814">LR57-LR61</f>
        <v>0</v>
      </c>
      <c r="LT57" s="40">
        <f t="shared" ref="LT57" ca="1" si="3815">LS57-LS61</f>
        <v>0</v>
      </c>
      <c r="LU57" s="40">
        <f t="shared" ref="LU57" ca="1" si="3816">LT57-LT61</f>
        <v>0</v>
      </c>
      <c r="LV57" s="40">
        <f t="shared" ref="LV57" ca="1" si="3817">LU57-LU61</f>
        <v>0</v>
      </c>
      <c r="LW57" s="40">
        <f t="shared" ref="LW57" ca="1" si="3818">LV57-LV61</f>
        <v>0</v>
      </c>
      <c r="LX57" s="40">
        <f t="shared" ref="LX57" ca="1" si="3819">LW57-LW61</f>
        <v>0</v>
      </c>
      <c r="LY57" s="40">
        <f t="shared" ref="LY57" ca="1" si="3820">LX57-LX61</f>
        <v>0</v>
      </c>
      <c r="LZ57" s="40">
        <f t="shared" ref="LZ57" ca="1" si="3821">LY57-LY61</f>
        <v>0</v>
      </c>
      <c r="MA57" s="40">
        <f t="shared" ref="MA57" ca="1" si="3822">LZ57-LZ61</f>
        <v>0</v>
      </c>
      <c r="MB57" s="40">
        <f t="shared" ref="MB57" ca="1" si="3823">MA57-MA61</f>
        <v>0</v>
      </c>
      <c r="MC57" s="40">
        <f t="shared" ref="MC57" ca="1" si="3824">MB57-MB61</f>
        <v>0</v>
      </c>
      <c r="MD57" s="40">
        <f t="shared" ref="MD57" ca="1" si="3825">MC57-MC61</f>
        <v>0</v>
      </c>
      <c r="ME57" s="40">
        <f t="shared" ref="ME57" ca="1" si="3826">MD57-MD61</f>
        <v>0</v>
      </c>
      <c r="MF57" s="40">
        <f t="shared" ref="MF57" ca="1" si="3827">ME57-ME61</f>
        <v>0</v>
      </c>
      <c r="MG57" s="40">
        <f t="shared" ref="MG57" ca="1" si="3828">MF57-MF61</f>
        <v>0</v>
      </c>
      <c r="MH57" s="40">
        <f t="shared" ref="MH57" ca="1" si="3829">MG57-MG61</f>
        <v>0</v>
      </c>
      <c r="MI57" s="40">
        <f t="shared" ref="MI57" ca="1" si="3830">MH57-MH61</f>
        <v>0</v>
      </c>
      <c r="MJ57" s="40">
        <f t="shared" ref="MJ57" ca="1" si="3831">MI57-MI61</f>
        <v>0</v>
      </c>
      <c r="MK57" s="40">
        <f t="shared" ref="MK57" ca="1" si="3832">MJ57-MJ61</f>
        <v>0</v>
      </c>
      <c r="ML57" s="40">
        <f t="shared" ref="ML57" ca="1" si="3833">MK57-MK61</f>
        <v>0</v>
      </c>
      <c r="MM57" s="40">
        <f t="shared" ref="MM57" ca="1" si="3834">ML57-ML61</f>
        <v>0</v>
      </c>
      <c r="MN57" s="40">
        <f t="shared" ref="MN57" ca="1" si="3835">MM57-MM61</f>
        <v>0</v>
      </c>
      <c r="MO57" s="40">
        <f t="shared" ref="MO57" ca="1" si="3836">MN57-MN61</f>
        <v>0</v>
      </c>
      <c r="MP57" s="40">
        <f t="shared" ref="MP57" ca="1" si="3837">MO57-MO61</f>
        <v>0</v>
      </c>
      <c r="MQ57" s="40">
        <f t="shared" ref="MQ57" ca="1" si="3838">MP57-MP61</f>
        <v>0</v>
      </c>
      <c r="MR57" s="40">
        <f t="shared" ref="MR57" ca="1" si="3839">MQ57-MQ61</f>
        <v>0</v>
      </c>
      <c r="MS57" s="40">
        <f t="shared" ref="MS57" ca="1" si="3840">MR57-MR61</f>
        <v>0</v>
      </c>
      <c r="MT57" s="40">
        <f t="shared" ref="MT57" ca="1" si="3841">MS57-MS61</f>
        <v>0</v>
      </c>
      <c r="MU57" s="40">
        <f t="shared" ref="MU57" ca="1" si="3842">MT57-MT61</f>
        <v>0</v>
      </c>
      <c r="MV57" s="40">
        <f t="shared" ref="MV57" ca="1" si="3843">MU57-MU61</f>
        <v>0</v>
      </c>
      <c r="MW57" s="40">
        <f t="shared" ref="MW57" ca="1" si="3844">MV57-MV61</f>
        <v>0</v>
      </c>
      <c r="MX57" s="40">
        <f t="shared" ref="MX57" ca="1" si="3845">MW57-MW61</f>
        <v>0</v>
      </c>
      <c r="MY57" s="40">
        <f t="shared" ref="MY57" ca="1" si="3846">MX57-MX61</f>
        <v>0</v>
      </c>
      <c r="MZ57" s="40">
        <f t="shared" ref="MZ57" ca="1" si="3847">MY57-MY61</f>
        <v>0</v>
      </c>
      <c r="NA57" s="40">
        <f t="shared" ref="NA57" ca="1" si="3848">MZ57-MZ61</f>
        <v>0</v>
      </c>
      <c r="NB57" s="40">
        <f t="shared" ref="NB57" ca="1" si="3849">NA57-NA61</f>
        <v>0</v>
      </c>
      <c r="NC57" s="40">
        <f t="shared" ref="NC57" ca="1" si="3850">NB57-NB61</f>
        <v>0</v>
      </c>
      <c r="ND57" s="40">
        <f t="shared" ref="ND57" ca="1" si="3851">NC57-NC61</f>
        <v>0</v>
      </c>
      <c r="NE57" s="40"/>
      <c r="NF57" s="40"/>
      <c r="NG57" s="40"/>
      <c r="NH57" s="40"/>
      <c r="NI57" s="40"/>
      <c r="NJ57" s="40"/>
      <c r="NK57" s="40"/>
      <c r="NL57" s="40"/>
      <c r="NM57" s="40"/>
      <c r="NN57" s="40"/>
      <c r="NO57" s="40"/>
      <c r="NP57" s="40"/>
      <c r="NQ57" s="40"/>
      <c r="NR57" s="40"/>
    </row>
    <row r="58" spans="2:382" x14ac:dyDescent="0.15">
      <c r="B58" s="518"/>
      <c r="C58" s="115" t="str">
        <f>_xlfn.CONCAT($C$7," Preferred Return")</f>
        <v>- Preferred Return</v>
      </c>
      <c r="D58" s="52">
        <f>Pref</f>
        <v>0.12</v>
      </c>
      <c r="G58" s="12"/>
      <c r="I58" s="40">
        <f>$D$58/12*I57</f>
        <v>0</v>
      </c>
      <c r="J58" s="40">
        <f>$D$58/12*J57</f>
        <v>0</v>
      </c>
      <c r="K58" s="40">
        <f t="shared" ref="K58:BV58" si="3852">$D$58/12*K57</f>
        <v>0</v>
      </c>
      <c r="L58" s="40">
        <f t="shared" si="3852"/>
        <v>0</v>
      </c>
      <c r="M58" s="40">
        <f t="shared" si="3852"/>
        <v>0</v>
      </c>
      <c r="N58" s="40">
        <f t="shared" si="3852"/>
        <v>0</v>
      </c>
      <c r="O58" s="40">
        <f t="shared" si="3852"/>
        <v>0</v>
      </c>
      <c r="P58" s="40">
        <f t="shared" si="3852"/>
        <v>0</v>
      </c>
      <c r="Q58" s="40">
        <f t="shared" si="3852"/>
        <v>0</v>
      </c>
      <c r="R58" s="40">
        <f t="shared" si="3852"/>
        <v>0</v>
      </c>
      <c r="S58" s="40">
        <f t="shared" si="3852"/>
        <v>0</v>
      </c>
      <c r="T58" s="40">
        <f t="shared" si="3852"/>
        <v>0</v>
      </c>
      <c r="U58" s="40">
        <f t="shared" si="3852"/>
        <v>0</v>
      </c>
      <c r="V58" s="40">
        <f t="shared" si="3852"/>
        <v>0</v>
      </c>
      <c r="W58" s="40">
        <f t="shared" si="3852"/>
        <v>0</v>
      </c>
      <c r="X58" s="40">
        <f t="shared" si="3852"/>
        <v>0</v>
      </c>
      <c r="Y58" s="40">
        <f t="shared" si="3852"/>
        <v>0</v>
      </c>
      <c r="Z58" s="40">
        <f t="shared" si="3852"/>
        <v>0</v>
      </c>
      <c r="AA58" s="40">
        <f t="shared" si="3852"/>
        <v>0</v>
      </c>
      <c r="AB58" s="40">
        <f t="shared" si="3852"/>
        <v>0</v>
      </c>
      <c r="AC58" s="40">
        <f t="shared" si="3852"/>
        <v>0</v>
      </c>
      <c r="AD58" s="40">
        <f t="shared" si="3852"/>
        <v>0</v>
      </c>
      <c r="AE58" s="40">
        <f t="shared" si="3852"/>
        <v>0</v>
      </c>
      <c r="AF58" s="40">
        <f t="shared" si="3852"/>
        <v>0</v>
      </c>
      <c r="AG58" s="40">
        <f t="shared" si="3852"/>
        <v>0</v>
      </c>
      <c r="AH58" s="40">
        <f t="shared" si="3852"/>
        <v>0</v>
      </c>
      <c r="AI58" s="40">
        <f t="shared" si="3852"/>
        <v>0</v>
      </c>
      <c r="AJ58" s="40">
        <f t="shared" si="3852"/>
        <v>0</v>
      </c>
      <c r="AK58" s="40">
        <f t="shared" si="3852"/>
        <v>0</v>
      </c>
      <c r="AL58" s="40">
        <f t="shared" si="3852"/>
        <v>0</v>
      </c>
      <c r="AM58" s="40">
        <f t="shared" si="3852"/>
        <v>0</v>
      </c>
      <c r="AN58" s="40">
        <f t="shared" si="3852"/>
        <v>0</v>
      </c>
      <c r="AO58" s="40">
        <f t="shared" si="3852"/>
        <v>0</v>
      </c>
      <c r="AP58" s="40">
        <f t="shared" si="3852"/>
        <v>0</v>
      </c>
      <c r="AQ58" s="40">
        <f t="shared" si="3852"/>
        <v>0</v>
      </c>
      <c r="AR58" s="40">
        <f t="shared" si="3852"/>
        <v>0</v>
      </c>
      <c r="AS58" s="40">
        <f t="shared" si="3852"/>
        <v>0</v>
      </c>
      <c r="AT58" s="40">
        <f t="shared" si="3852"/>
        <v>0</v>
      </c>
      <c r="AU58" s="40">
        <f t="shared" si="3852"/>
        <v>0</v>
      </c>
      <c r="AV58" s="40">
        <f t="shared" si="3852"/>
        <v>0</v>
      </c>
      <c r="AW58" s="40">
        <f t="shared" si="3852"/>
        <v>0</v>
      </c>
      <c r="AX58" s="40">
        <f t="shared" si="3852"/>
        <v>0</v>
      </c>
      <c r="AY58" s="40">
        <f t="shared" si="3852"/>
        <v>0</v>
      </c>
      <c r="AZ58" s="40">
        <f t="shared" si="3852"/>
        <v>0</v>
      </c>
      <c r="BA58" s="40">
        <f t="shared" si="3852"/>
        <v>0</v>
      </c>
      <c r="BB58" s="40">
        <f t="shared" si="3852"/>
        <v>0</v>
      </c>
      <c r="BC58" s="40">
        <f t="shared" si="3852"/>
        <v>0</v>
      </c>
      <c r="BD58" s="40">
        <f t="shared" si="3852"/>
        <v>0</v>
      </c>
      <c r="BE58" s="40">
        <f t="shared" si="3852"/>
        <v>0</v>
      </c>
      <c r="BF58" s="40">
        <f t="shared" si="3852"/>
        <v>0</v>
      </c>
      <c r="BG58" s="40">
        <f t="shared" si="3852"/>
        <v>0</v>
      </c>
      <c r="BH58" s="40">
        <f t="shared" si="3852"/>
        <v>0</v>
      </c>
      <c r="BI58" s="40">
        <f t="shared" si="3852"/>
        <v>0</v>
      </c>
      <c r="BJ58" s="40">
        <f t="shared" si="3852"/>
        <v>0</v>
      </c>
      <c r="BK58" s="40">
        <f t="shared" si="3852"/>
        <v>0</v>
      </c>
      <c r="BL58" s="40">
        <f t="shared" si="3852"/>
        <v>0</v>
      </c>
      <c r="BM58" s="40">
        <f t="shared" si="3852"/>
        <v>0</v>
      </c>
      <c r="BN58" s="40">
        <f t="shared" si="3852"/>
        <v>0</v>
      </c>
      <c r="BO58" s="40">
        <f t="shared" si="3852"/>
        <v>0</v>
      </c>
      <c r="BP58" s="40">
        <f t="shared" si="3852"/>
        <v>0</v>
      </c>
      <c r="BQ58" s="40">
        <f t="shared" si="3852"/>
        <v>0</v>
      </c>
      <c r="BR58" s="40">
        <f t="shared" si="3852"/>
        <v>0</v>
      </c>
      <c r="BS58" s="40">
        <f t="shared" si="3852"/>
        <v>0</v>
      </c>
      <c r="BT58" s="40">
        <f t="shared" si="3852"/>
        <v>0</v>
      </c>
      <c r="BU58" s="40">
        <f t="shared" si="3852"/>
        <v>0</v>
      </c>
      <c r="BV58" s="40">
        <f t="shared" si="3852"/>
        <v>0</v>
      </c>
      <c r="BW58" s="40">
        <f t="shared" ref="BW58:EH58" si="3853">$D$58/12*BW57</f>
        <v>0</v>
      </c>
      <c r="BX58" s="40">
        <f t="shared" si="3853"/>
        <v>0</v>
      </c>
      <c r="BY58" s="40">
        <f t="shared" si="3853"/>
        <v>0</v>
      </c>
      <c r="BZ58" s="40">
        <f t="shared" si="3853"/>
        <v>0</v>
      </c>
      <c r="CA58" s="40">
        <f t="shared" si="3853"/>
        <v>0</v>
      </c>
      <c r="CB58" s="40">
        <f t="shared" si="3853"/>
        <v>0</v>
      </c>
      <c r="CC58" s="40">
        <f t="shared" si="3853"/>
        <v>0</v>
      </c>
      <c r="CD58" s="40">
        <f t="shared" si="3853"/>
        <v>0</v>
      </c>
      <c r="CE58" s="40">
        <f t="shared" si="3853"/>
        <v>0</v>
      </c>
      <c r="CF58" s="40">
        <f t="shared" si="3853"/>
        <v>0</v>
      </c>
      <c r="CG58" s="40">
        <f t="shared" si="3853"/>
        <v>0</v>
      </c>
      <c r="CH58" s="40">
        <f t="shared" si="3853"/>
        <v>0</v>
      </c>
      <c r="CI58" s="40">
        <f t="shared" si="3853"/>
        <v>0</v>
      </c>
      <c r="CJ58" s="40">
        <f t="shared" si="3853"/>
        <v>0</v>
      </c>
      <c r="CK58" s="40">
        <f t="shared" si="3853"/>
        <v>0</v>
      </c>
      <c r="CL58" s="40">
        <f t="shared" si="3853"/>
        <v>0</v>
      </c>
      <c r="CM58" s="40">
        <f t="shared" si="3853"/>
        <v>0</v>
      </c>
      <c r="CN58" s="40">
        <f t="shared" si="3853"/>
        <v>0</v>
      </c>
      <c r="CO58" s="40">
        <f t="shared" si="3853"/>
        <v>0</v>
      </c>
      <c r="CP58" s="40">
        <f t="shared" si="3853"/>
        <v>0</v>
      </c>
      <c r="CQ58" s="40">
        <f t="shared" si="3853"/>
        <v>0</v>
      </c>
      <c r="CR58" s="40">
        <f t="shared" si="3853"/>
        <v>0</v>
      </c>
      <c r="CS58" s="40">
        <f t="shared" si="3853"/>
        <v>0</v>
      </c>
      <c r="CT58" s="40">
        <f t="shared" si="3853"/>
        <v>0</v>
      </c>
      <c r="CU58" s="40">
        <f t="shared" si="3853"/>
        <v>0</v>
      </c>
      <c r="CV58" s="40">
        <f t="shared" si="3853"/>
        <v>0</v>
      </c>
      <c r="CW58" s="40">
        <f t="shared" si="3853"/>
        <v>0</v>
      </c>
      <c r="CX58" s="40">
        <f t="shared" si="3853"/>
        <v>0</v>
      </c>
      <c r="CY58" s="40">
        <f t="shared" si="3853"/>
        <v>0</v>
      </c>
      <c r="CZ58" s="40">
        <f t="shared" si="3853"/>
        <v>0</v>
      </c>
      <c r="DA58" s="40">
        <f t="shared" si="3853"/>
        <v>0</v>
      </c>
      <c r="DB58" s="40">
        <f t="shared" si="3853"/>
        <v>0</v>
      </c>
      <c r="DC58" s="40">
        <f t="shared" si="3853"/>
        <v>0</v>
      </c>
      <c r="DD58" s="40">
        <f t="shared" si="3853"/>
        <v>0</v>
      </c>
      <c r="DE58" s="40">
        <f t="shared" si="3853"/>
        <v>0</v>
      </c>
      <c r="DF58" s="40">
        <f t="shared" si="3853"/>
        <v>0</v>
      </c>
      <c r="DG58" s="40">
        <f t="shared" si="3853"/>
        <v>0</v>
      </c>
      <c r="DH58" s="40">
        <f t="shared" si="3853"/>
        <v>0</v>
      </c>
      <c r="DI58" s="40">
        <f t="shared" si="3853"/>
        <v>0</v>
      </c>
      <c r="DJ58" s="40">
        <f t="shared" si="3853"/>
        <v>0</v>
      </c>
      <c r="DK58" s="40">
        <f t="shared" si="3853"/>
        <v>0</v>
      </c>
      <c r="DL58" s="40">
        <f t="shared" si="3853"/>
        <v>0</v>
      </c>
      <c r="DM58" s="40">
        <f t="shared" si="3853"/>
        <v>0</v>
      </c>
      <c r="DN58" s="40">
        <f t="shared" si="3853"/>
        <v>0</v>
      </c>
      <c r="DO58" s="40">
        <f t="shared" si="3853"/>
        <v>0</v>
      </c>
      <c r="DP58" s="40">
        <f t="shared" si="3853"/>
        <v>0</v>
      </c>
      <c r="DQ58" s="40">
        <f t="shared" si="3853"/>
        <v>0</v>
      </c>
      <c r="DR58" s="40">
        <f t="shared" si="3853"/>
        <v>0</v>
      </c>
      <c r="DS58" s="40">
        <f t="shared" si="3853"/>
        <v>0</v>
      </c>
      <c r="DT58" s="40">
        <f t="shared" si="3853"/>
        <v>0</v>
      </c>
      <c r="DU58" s="40">
        <f t="shared" si="3853"/>
        <v>0</v>
      </c>
      <c r="DV58" s="40">
        <f t="shared" si="3853"/>
        <v>0</v>
      </c>
      <c r="DW58" s="40">
        <f t="shared" si="3853"/>
        <v>0</v>
      </c>
      <c r="DX58" s="40">
        <f t="shared" si="3853"/>
        <v>0</v>
      </c>
      <c r="DY58" s="40">
        <f t="shared" si="3853"/>
        <v>0</v>
      </c>
      <c r="DZ58" s="40">
        <f t="shared" si="3853"/>
        <v>0</v>
      </c>
      <c r="EA58" s="40">
        <f t="shared" si="3853"/>
        <v>0</v>
      </c>
      <c r="EB58" s="40">
        <f t="shared" si="3853"/>
        <v>0</v>
      </c>
      <c r="EC58" s="40">
        <f t="shared" si="3853"/>
        <v>0</v>
      </c>
      <c r="ED58" s="40">
        <f t="shared" si="3853"/>
        <v>0</v>
      </c>
      <c r="EE58" s="40">
        <f t="shared" si="3853"/>
        <v>0</v>
      </c>
      <c r="EF58" s="40">
        <f t="shared" si="3853"/>
        <v>0</v>
      </c>
      <c r="EG58" s="40">
        <f t="shared" si="3853"/>
        <v>0</v>
      </c>
      <c r="EH58" s="40">
        <f t="shared" si="3853"/>
        <v>0</v>
      </c>
      <c r="EI58" s="40">
        <f t="shared" ref="EI58:GT58" si="3854">$D$58/12*EI57</f>
        <v>0</v>
      </c>
      <c r="EJ58" s="40">
        <f t="shared" si="3854"/>
        <v>0</v>
      </c>
      <c r="EK58" s="40">
        <f t="shared" si="3854"/>
        <v>0</v>
      </c>
      <c r="EL58" s="40">
        <f t="shared" si="3854"/>
        <v>0</v>
      </c>
      <c r="EM58" s="40">
        <f t="shared" si="3854"/>
        <v>0</v>
      </c>
      <c r="EN58" s="40">
        <f t="shared" si="3854"/>
        <v>0</v>
      </c>
      <c r="EO58" s="40">
        <f t="shared" si="3854"/>
        <v>0</v>
      </c>
      <c r="EP58" s="40">
        <f t="shared" si="3854"/>
        <v>0</v>
      </c>
      <c r="EQ58" s="40">
        <f t="shared" si="3854"/>
        <v>0</v>
      </c>
      <c r="ER58" s="40">
        <f t="shared" si="3854"/>
        <v>0</v>
      </c>
      <c r="ES58" s="40">
        <f t="shared" si="3854"/>
        <v>0</v>
      </c>
      <c r="ET58" s="40">
        <f t="shared" si="3854"/>
        <v>0</v>
      </c>
      <c r="EU58" s="40">
        <f t="shared" si="3854"/>
        <v>0</v>
      </c>
      <c r="EV58" s="40">
        <f t="shared" si="3854"/>
        <v>0</v>
      </c>
      <c r="EW58" s="40">
        <f t="shared" si="3854"/>
        <v>0</v>
      </c>
      <c r="EX58" s="40">
        <f t="shared" si="3854"/>
        <v>0</v>
      </c>
      <c r="EY58" s="40">
        <f t="shared" si="3854"/>
        <v>0</v>
      </c>
      <c r="EZ58" s="40">
        <f t="shared" si="3854"/>
        <v>0</v>
      </c>
      <c r="FA58" s="40">
        <f t="shared" si="3854"/>
        <v>0</v>
      </c>
      <c r="FB58" s="40">
        <f t="shared" si="3854"/>
        <v>0</v>
      </c>
      <c r="FC58" s="40">
        <f t="shared" si="3854"/>
        <v>0</v>
      </c>
      <c r="FD58" s="40">
        <f t="shared" si="3854"/>
        <v>0</v>
      </c>
      <c r="FE58" s="40">
        <f t="shared" si="3854"/>
        <v>0</v>
      </c>
      <c r="FF58" s="40">
        <f t="shared" si="3854"/>
        <v>0</v>
      </c>
      <c r="FG58" s="40">
        <f t="shared" si="3854"/>
        <v>0</v>
      </c>
      <c r="FH58" s="40">
        <f t="shared" si="3854"/>
        <v>0</v>
      </c>
      <c r="FI58" s="40">
        <f t="shared" si="3854"/>
        <v>0</v>
      </c>
      <c r="FJ58" s="40">
        <f t="shared" si="3854"/>
        <v>0</v>
      </c>
      <c r="FK58" s="40">
        <f t="shared" si="3854"/>
        <v>0</v>
      </c>
      <c r="FL58" s="40">
        <f t="shared" si="3854"/>
        <v>0</v>
      </c>
      <c r="FM58" s="40">
        <f t="shared" si="3854"/>
        <v>0</v>
      </c>
      <c r="FN58" s="40">
        <f t="shared" si="3854"/>
        <v>0</v>
      </c>
      <c r="FO58" s="40">
        <f t="shared" si="3854"/>
        <v>0</v>
      </c>
      <c r="FP58" s="40">
        <f t="shared" si="3854"/>
        <v>0</v>
      </c>
      <c r="FQ58" s="40">
        <f t="shared" si="3854"/>
        <v>0</v>
      </c>
      <c r="FR58" s="40">
        <f t="shared" si="3854"/>
        <v>0</v>
      </c>
      <c r="FS58" s="40">
        <f t="shared" si="3854"/>
        <v>0</v>
      </c>
      <c r="FT58" s="40">
        <f t="shared" si="3854"/>
        <v>0</v>
      </c>
      <c r="FU58" s="40">
        <f t="shared" si="3854"/>
        <v>0</v>
      </c>
      <c r="FV58" s="40">
        <f t="shared" si="3854"/>
        <v>0</v>
      </c>
      <c r="FW58" s="40">
        <f t="shared" si="3854"/>
        <v>0</v>
      </c>
      <c r="FX58" s="40">
        <f t="shared" si="3854"/>
        <v>0</v>
      </c>
      <c r="FY58" s="40">
        <f t="shared" si="3854"/>
        <v>0</v>
      </c>
      <c r="FZ58" s="40">
        <f t="shared" si="3854"/>
        <v>0</v>
      </c>
      <c r="GA58" s="40">
        <f t="shared" si="3854"/>
        <v>0</v>
      </c>
      <c r="GB58" s="40">
        <f t="shared" si="3854"/>
        <v>0</v>
      </c>
      <c r="GC58" s="40">
        <f t="shared" si="3854"/>
        <v>0</v>
      </c>
      <c r="GD58" s="40">
        <f t="shared" si="3854"/>
        <v>0</v>
      </c>
      <c r="GE58" s="40">
        <f t="shared" si="3854"/>
        <v>0</v>
      </c>
      <c r="GF58" s="40">
        <f t="shared" si="3854"/>
        <v>0</v>
      </c>
      <c r="GG58" s="40">
        <f t="shared" ca="1" si="3854"/>
        <v>0</v>
      </c>
      <c r="GH58" s="40">
        <f t="shared" ca="1" si="3854"/>
        <v>0</v>
      </c>
      <c r="GI58" s="40">
        <f t="shared" ca="1" si="3854"/>
        <v>0</v>
      </c>
      <c r="GJ58" s="40">
        <f t="shared" ca="1" si="3854"/>
        <v>0</v>
      </c>
      <c r="GK58" s="40">
        <f t="shared" ca="1" si="3854"/>
        <v>0</v>
      </c>
      <c r="GL58" s="40">
        <f t="shared" ca="1" si="3854"/>
        <v>0</v>
      </c>
      <c r="GM58" s="40">
        <f t="shared" ca="1" si="3854"/>
        <v>0</v>
      </c>
      <c r="GN58" s="40">
        <f t="shared" ca="1" si="3854"/>
        <v>0</v>
      </c>
      <c r="GO58" s="40">
        <f t="shared" ca="1" si="3854"/>
        <v>0</v>
      </c>
      <c r="GP58" s="40">
        <f t="shared" ca="1" si="3854"/>
        <v>0</v>
      </c>
      <c r="GQ58" s="40">
        <f t="shared" ca="1" si="3854"/>
        <v>0</v>
      </c>
      <c r="GR58" s="40">
        <f t="shared" ca="1" si="3854"/>
        <v>0</v>
      </c>
      <c r="GS58" s="40">
        <f t="shared" ca="1" si="3854"/>
        <v>0</v>
      </c>
      <c r="GT58" s="40">
        <f t="shared" ca="1" si="3854"/>
        <v>0</v>
      </c>
      <c r="GU58" s="40">
        <f t="shared" ref="GU58:IN58" ca="1" si="3855">$D$58/12*GU57</f>
        <v>0</v>
      </c>
      <c r="GV58" s="40">
        <f t="shared" ca="1" si="3855"/>
        <v>0</v>
      </c>
      <c r="GW58" s="40">
        <f t="shared" ca="1" si="3855"/>
        <v>0</v>
      </c>
      <c r="GX58" s="40">
        <f t="shared" ca="1" si="3855"/>
        <v>0</v>
      </c>
      <c r="GY58" s="40">
        <f t="shared" ca="1" si="3855"/>
        <v>0</v>
      </c>
      <c r="GZ58" s="40">
        <f t="shared" ca="1" si="3855"/>
        <v>0</v>
      </c>
      <c r="HA58" s="40">
        <f t="shared" ca="1" si="3855"/>
        <v>0</v>
      </c>
      <c r="HB58" s="40">
        <f t="shared" ca="1" si="3855"/>
        <v>0</v>
      </c>
      <c r="HC58" s="40">
        <f t="shared" ca="1" si="3855"/>
        <v>0</v>
      </c>
      <c r="HD58" s="40">
        <f t="shared" ca="1" si="3855"/>
        <v>0</v>
      </c>
      <c r="HE58" s="40">
        <f t="shared" ca="1" si="3855"/>
        <v>0</v>
      </c>
      <c r="HF58" s="40">
        <f t="shared" ca="1" si="3855"/>
        <v>0</v>
      </c>
      <c r="HG58" s="40">
        <f t="shared" ca="1" si="3855"/>
        <v>0</v>
      </c>
      <c r="HH58" s="40">
        <f t="shared" ca="1" si="3855"/>
        <v>0</v>
      </c>
      <c r="HI58" s="40">
        <f t="shared" ca="1" si="3855"/>
        <v>0</v>
      </c>
      <c r="HJ58" s="40">
        <f t="shared" ca="1" si="3855"/>
        <v>0</v>
      </c>
      <c r="HK58" s="40">
        <f t="shared" ca="1" si="3855"/>
        <v>0</v>
      </c>
      <c r="HL58" s="40">
        <f t="shared" ca="1" si="3855"/>
        <v>0</v>
      </c>
      <c r="HM58" s="40">
        <f t="shared" ca="1" si="3855"/>
        <v>0</v>
      </c>
      <c r="HN58" s="40">
        <f t="shared" ca="1" si="3855"/>
        <v>0</v>
      </c>
      <c r="HO58" s="40">
        <f t="shared" ca="1" si="3855"/>
        <v>0</v>
      </c>
      <c r="HP58" s="40">
        <f t="shared" ca="1" si="3855"/>
        <v>0</v>
      </c>
      <c r="HQ58" s="40">
        <f t="shared" ca="1" si="3855"/>
        <v>0</v>
      </c>
      <c r="HR58" s="40">
        <f t="shared" ca="1" si="3855"/>
        <v>0</v>
      </c>
      <c r="HS58" s="40">
        <f t="shared" ca="1" si="3855"/>
        <v>0</v>
      </c>
      <c r="HT58" s="40">
        <f t="shared" ca="1" si="3855"/>
        <v>0</v>
      </c>
      <c r="HU58" s="40">
        <f t="shared" ca="1" si="3855"/>
        <v>0</v>
      </c>
      <c r="HV58" s="40">
        <f t="shared" ca="1" si="3855"/>
        <v>0</v>
      </c>
      <c r="HW58" s="40">
        <f t="shared" ca="1" si="3855"/>
        <v>0</v>
      </c>
      <c r="HX58" s="40">
        <f t="shared" ca="1" si="3855"/>
        <v>0</v>
      </c>
      <c r="HY58" s="40">
        <f t="shared" ca="1" si="3855"/>
        <v>0</v>
      </c>
      <c r="HZ58" s="40">
        <f t="shared" ca="1" si="3855"/>
        <v>0</v>
      </c>
      <c r="IA58" s="40">
        <f t="shared" ca="1" si="3855"/>
        <v>0</v>
      </c>
      <c r="IB58" s="40">
        <f t="shared" ca="1" si="3855"/>
        <v>0</v>
      </c>
      <c r="IC58" s="40">
        <f t="shared" ca="1" si="3855"/>
        <v>0</v>
      </c>
      <c r="ID58" s="40">
        <f t="shared" ca="1" si="3855"/>
        <v>0</v>
      </c>
      <c r="IE58" s="40">
        <f t="shared" ca="1" si="3855"/>
        <v>0</v>
      </c>
      <c r="IF58" s="40">
        <f t="shared" ca="1" si="3855"/>
        <v>0</v>
      </c>
      <c r="IG58" s="40">
        <f t="shared" ca="1" si="3855"/>
        <v>0</v>
      </c>
      <c r="IH58" s="40">
        <f t="shared" ca="1" si="3855"/>
        <v>0</v>
      </c>
      <c r="II58" s="40">
        <f t="shared" ca="1" si="3855"/>
        <v>0</v>
      </c>
      <c r="IJ58" s="40">
        <f t="shared" ca="1" si="3855"/>
        <v>0</v>
      </c>
      <c r="IK58" s="40">
        <f t="shared" ca="1" si="3855"/>
        <v>0</v>
      </c>
      <c r="IL58" s="40">
        <f t="shared" ca="1" si="3855"/>
        <v>0</v>
      </c>
      <c r="IM58" s="40">
        <f t="shared" ca="1" si="3855"/>
        <v>0</v>
      </c>
      <c r="IN58" s="40">
        <f t="shared" ca="1" si="3855"/>
        <v>0</v>
      </c>
      <c r="IO58" s="40">
        <f t="shared" ref="IO58:KZ58" ca="1" si="3856">$D$58/12*IO57</f>
        <v>0</v>
      </c>
      <c r="IP58" s="40">
        <f t="shared" ca="1" si="3856"/>
        <v>0</v>
      </c>
      <c r="IQ58" s="40">
        <f t="shared" ca="1" si="3856"/>
        <v>0</v>
      </c>
      <c r="IR58" s="40">
        <f t="shared" ca="1" si="3856"/>
        <v>0</v>
      </c>
      <c r="IS58" s="40">
        <f t="shared" ca="1" si="3856"/>
        <v>0</v>
      </c>
      <c r="IT58" s="40">
        <f t="shared" ca="1" si="3856"/>
        <v>0</v>
      </c>
      <c r="IU58" s="40">
        <f t="shared" ca="1" si="3856"/>
        <v>0</v>
      </c>
      <c r="IV58" s="40">
        <f t="shared" ca="1" si="3856"/>
        <v>0</v>
      </c>
      <c r="IW58" s="40">
        <f t="shared" ca="1" si="3856"/>
        <v>0</v>
      </c>
      <c r="IX58" s="40">
        <f t="shared" ca="1" si="3856"/>
        <v>0</v>
      </c>
      <c r="IY58" s="40">
        <f t="shared" ca="1" si="3856"/>
        <v>0</v>
      </c>
      <c r="IZ58" s="40">
        <f t="shared" ca="1" si="3856"/>
        <v>0</v>
      </c>
      <c r="JA58" s="40">
        <f t="shared" ca="1" si="3856"/>
        <v>0</v>
      </c>
      <c r="JB58" s="40">
        <f t="shared" ca="1" si="3856"/>
        <v>0</v>
      </c>
      <c r="JC58" s="40">
        <f t="shared" ca="1" si="3856"/>
        <v>0</v>
      </c>
      <c r="JD58" s="40">
        <f t="shared" ca="1" si="3856"/>
        <v>0</v>
      </c>
      <c r="JE58" s="40">
        <f t="shared" ca="1" si="3856"/>
        <v>0</v>
      </c>
      <c r="JF58" s="40">
        <f t="shared" ca="1" si="3856"/>
        <v>0</v>
      </c>
      <c r="JG58" s="40">
        <f t="shared" ca="1" si="3856"/>
        <v>0</v>
      </c>
      <c r="JH58" s="40">
        <f t="shared" ca="1" si="3856"/>
        <v>0</v>
      </c>
      <c r="JI58" s="40">
        <f t="shared" ca="1" si="3856"/>
        <v>0</v>
      </c>
      <c r="JJ58" s="40">
        <f t="shared" ca="1" si="3856"/>
        <v>0</v>
      </c>
      <c r="JK58" s="40">
        <f t="shared" ca="1" si="3856"/>
        <v>0</v>
      </c>
      <c r="JL58" s="40">
        <f t="shared" ca="1" si="3856"/>
        <v>0</v>
      </c>
      <c r="JM58" s="40">
        <f t="shared" ca="1" si="3856"/>
        <v>0</v>
      </c>
      <c r="JN58" s="40">
        <f t="shared" ca="1" si="3856"/>
        <v>0</v>
      </c>
      <c r="JO58" s="40">
        <f t="shared" ca="1" si="3856"/>
        <v>0</v>
      </c>
      <c r="JP58" s="40">
        <f t="shared" ca="1" si="3856"/>
        <v>0</v>
      </c>
      <c r="JQ58" s="40">
        <f t="shared" ca="1" si="3856"/>
        <v>0</v>
      </c>
      <c r="JR58" s="40">
        <f t="shared" ca="1" si="3856"/>
        <v>0</v>
      </c>
      <c r="JS58" s="40">
        <f t="shared" ca="1" si="3856"/>
        <v>0</v>
      </c>
      <c r="JT58" s="40">
        <f t="shared" ca="1" si="3856"/>
        <v>0</v>
      </c>
      <c r="JU58" s="40">
        <f t="shared" ca="1" si="3856"/>
        <v>0</v>
      </c>
      <c r="JV58" s="40">
        <f t="shared" ca="1" si="3856"/>
        <v>0</v>
      </c>
      <c r="JW58" s="40">
        <f t="shared" ca="1" si="3856"/>
        <v>0</v>
      </c>
      <c r="JX58" s="40">
        <f t="shared" ca="1" si="3856"/>
        <v>0</v>
      </c>
      <c r="JY58" s="40">
        <f t="shared" ca="1" si="3856"/>
        <v>0</v>
      </c>
      <c r="JZ58" s="40">
        <f t="shared" ca="1" si="3856"/>
        <v>0</v>
      </c>
      <c r="KA58" s="40">
        <f t="shared" ca="1" si="3856"/>
        <v>0</v>
      </c>
      <c r="KB58" s="40">
        <f t="shared" ca="1" si="3856"/>
        <v>0</v>
      </c>
      <c r="KC58" s="40">
        <f t="shared" ca="1" si="3856"/>
        <v>0</v>
      </c>
      <c r="KD58" s="40">
        <f t="shared" ca="1" si="3856"/>
        <v>0</v>
      </c>
      <c r="KE58" s="40">
        <f t="shared" ca="1" si="3856"/>
        <v>0</v>
      </c>
      <c r="KF58" s="40">
        <f t="shared" ca="1" si="3856"/>
        <v>0</v>
      </c>
      <c r="KG58" s="40">
        <f t="shared" ca="1" si="3856"/>
        <v>0</v>
      </c>
      <c r="KH58" s="40">
        <f t="shared" ca="1" si="3856"/>
        <v>0</v>
      </c>
      <c r="KI58" s="40">
        <f t="shared" ca="1" si="3856"/>
        <v>0</v>
      </c>
      <c r="KJ58" s="40">
        <f t="shared" ca="1" si="3856"/>
        <v>0</v>
      </c>
      <c r="KK58" s="40">
        <f t="shared" ca="1" si="3856"/>
        <v>0</v>
      </c>
      <c r="KL58" s="40">
        <f t="shared" ca="1" si="3856"/>
        <v>0</v>
      </c>
      <c r="KM58" s="40">
        <f t="shared" ca="1" si="3856"/>
        <v>0</v>
      </c>
      <c r="KN58" s="40">
        <f t="shared" ca="1" si="3856"/>
        <v>0</v>
      </c>
      <c r="KO58" s="40">
        <f t="shared" ca="1" si="3856"/>
        <v>0</v>
      </c>
      <c r="KP58" s="40">
        <f t="shared" ca="1" si="3856"/>
        <v>0</v>
      </c>
      <c r="KQ58" s="40">
        <f t="shared" ca="1" si="3856"/>
        <v>0</v>
      </c>
      <c r="KR58" s="40">
        <f t="shared" ca="1" si="3856"/>
        <v>0</v>
      </c>
      <c r="KS58" s="40">
        <f t="shared" ca="1" si="3856"/>
        <v>0</v>
      </c>
      <c r="KT58" s="40">
        <f t="shared" ca="1" si="3856"/>
        <v>0</v>
      </c>
      <c r="KU58" s="40">
        <f t="shared" ca="1" si="3856"/>
        <v>0</v>
      </c>
      <c r="KV58" s="40">
        <f t="shared" ca="1" si="3856"/>
        <v>0</v>
      </c>
      <c r="KW58" s="40">
        <f t="shared" ca="1" si="3856"/>
        <v>0</v>
      </c>
      <c r="KX58" s="40">
        <f t="shared" ca="1" si="3856"/>
        <v>0</v>
      </c>
      <c r="KY58" s="40">
        <f t="shared" ca="1" si="3856"/>
        <v>0</v>
      </c>
      <c r="KZ58" s="40">
        <f t="shared" ca="1" si="3856"/>
        <v>0</v>
      </c>
      <c r="LA58" s="40">
        <f t="shared" ref="LA58:ND58" ca="1" si="3857">$D$58/12*LA57</f>
        <v>0</v>
      </c>
      <c r="LB58" s="40">
        <f t="shared" ca="1" si="3857"/>
        <v>0</v>
      </c>
      <c r="LC58" s="40">
        <f t="shared" ca="1" si="3857"/>
        <v>0</v>
      </c>
      <c r="LD58" s="40">
        <f t="shared" ca="1" si="3857"/>
        <v>0</v>
      </c>
      <c r="LE58" s="40">
        <f t="shared" ca="1" si="3857"/>
        <v>0</v>
      </c>
      <c r="LF58" s="40">
        <f t="shared" ca="1" si="3857"/>
        <v>0</v>
      </c>
      <c r="LG58" s="40">
        <f t="shared" ca="1" si="3857"/>
        <v>0</v>
      </c>
      <c r="LH58" s="40">
        <f t="shared" ca="1" si="3857"/>
        <v>0</v>
      </c>
      <c r="LI58" s="40">
        <f t="shared" ca="1" si="3857"/>
        <v>0</v>
      </c>
      <c r="LJ58" s="40">
        <f t="shared" ca="1" si="3857"/>
        <v>0</v>
      </c>
      <c r="LK58" s="40">
        <f t="shared" ca="1" si="3857"/>
        <v>0</v>
      </c>
      <c r="LL58" s="40">
        <f t="shared" ca="1" si="3857"/>
        <v>0</v>
      </c>
      <c r="LM58" s="40">
        <f t="shared" ca="1" si="3857"/>
        <v>0</v>
      </c>
      <c r="LN58" s="40">
        <f t="shared" ca="1" si="3857"/>
        <v>0</v>
      </c>
      <c r="LO58" s="40">
        <f t="shared" ca="1" si="3857"/>
        <v>0</v>
      </c>
      <c r="LP58" s="40">
        <f t="shared" ca="1" si="3857"/>
        <v>0</v>
      </c>
      <c r="LQ58" s="40">
        <f t="shared" ca="1" si="3857"/>
        <v>0</v>
      </c>
      <c r="LR58" s="40">
        <f t="shared" ca="1" si="3857"/>
        <v>0</v>
      </c>
      <c r="LS58" s="40">
        <f t="shared" ca="1" si="3857"/>
        <v>0</v>
      </c>
      <c r="LT58" s="40">
        <f t="shared" ca="1" si="3857"/>
        <v>0</v>
      </c>
      <c r="LU58" s="40">
        <f t="shared" ca="1" si="3857"/>
        <v>0</v>
      </c>
      <c r="LV58" s="40">
        <f t="shared" ca="1" si="3857"/>
        <v>0</v>
      </c>
      <c r="LW58" s="40">
        <f t="shared" ca="1" si="3857"/>
        <v>0</v>
      </c>
      <c r="LX58" s="40">
        <f t="shared" ca="1" si="3857"/>
        <v>0</v>
      </c>
      <c r="LY58" s="40">
        <f t="shared" ca="1" si="3857"/>
        <v>0</v>
      </c>
      <c r="LZ58" s="40">
        <f t="shared" ca="1" si="3857"/>
        <v>0</v>
      </c>
      <c r="MA58" s="40">
        <f t="shared" ca="1" si="3857"/>
        <v>0</v>
      </c>
      <c r="MB58" s="40">
        <f t="shared" ca="1" si="3857"/>
        <v>0</v>
      </c>
      <c r="MC58" s="40">
        <f t="shared" ca="1" si="3857"/>
        <v>0</v>
      </c>
      <c r="MD58" s="40">
        <f t="shared" ca="1" si="3857"/>
        <v>0</v>
      </c>
      <c r="ME58" s="40">
        <f t="shared" ca="1" si="3857"/>
        <v>0</v>
      </c>
      <c r="MF58" s="40">
        <f t="shared" ca="1" si="3857"/>
        <v>0</v>
      </c>
      <c r="MG58" s="40">
        <f t="shared" ca="1" si="3857"/>
        <v>0</v>
      </c>
      <c r="MH58" s="40">
        <f t="shared" ca="1" si="3857"/>
        <v>0</v>
      </c>
      <c r="MI58" s="40">
        <f t="shared" ca="1" si="3857"/>
        <v>0</v>
      </c>
      <c r="MJ58" s="40">
        <f t="shared" ca="1" si="3857"/>
        <v>0</v>
      </c>
      <c r="MK58" s="40">
        <f t="shared" ca="1" si="3857"/>
        <v>0</v>
      </c>
      <c r="ML58" s="40">
        <f t="shared" ca="1" si="3857"/>
        <v>0</v>
      </c>
      <c r="MM58" s="40">
        <f t="shared" ca="1" si="3857"/>
        <v>0</v>
      </c>
      <c r="MN58" s="40">
        <f t="shared" ca="1" si="3857"/>
        <v>0</v>
      </c>
      <c r="MO58" s="40">
        <f t="shared" ca="1" si="3857"/>
        <v>0</v>
      </c>
      <c r="MP58" s="40">
        <f t="shared" ca="1" si="3857"/>
        <v>0</v>
      </c>
      <c r="MQ58" s="40">
        <f t="shared" ca="1" si="3857"/>
        <v>0</v>
      </c>
      <c r="MR58" s="40">
        <f t="shared" ca="1" si="3857"/>
        <v>0</v>
      </c>
      <c r="MS58" s="40">
        <f t="shared" ca="1" si="3857"/>
        <v>0</v>
      </c>
      <c r="MT58" s="40">
        <f t="shared" ca="1" si="3857"/>
        <v>0</v>
      </c>
      <c r="MU58" s="40">
        <f t="shared" ca="1" si="3857"/>
        <v>0</v>
      </c>
      <c r="MV58" s="40">
        <f t="shared" ca="1" si="3857"/>
        <v>0</v>
      </c>
      <c r="MW58" s="40">
        <f t="shared" ca="1" si="3857"/>
        <v>0</v>
      </c>
      <c r="MX58" s="40">
        <f t="shared" ca="1" si="3857"/>
        <v>0</v>
      </c>
      <c r="MY58" s="40">
        <f t="shared" ca="1" si="3857"/>
        <v>0</v>
      </c>
      <c r="MZ58" s="40">
        <f t="shared" ca="1" si="3857"/>
        <v>0</v>
      </c>
      <c r="NA58" s="40">
        <f t="shared" ca="1" si="3857"/>
        <v>0</v>
      </c>
      <c r="NB58" s="40">
        <f t="shared" ca="1" si="3857"/>
        <v>0</v>
      </c>
      <c r="NC58" s="40">
        <f t="shared" ca="1" si="3857"/>
        <v>0</v>
      </c>
      <c r="ND58" s="40">
        <f t="shared" ca="1" si="3857"/>
        <v>0</v>
      </c>
      <c r="NE58" s="40"/>
      <c r="NF58" s="40"/>
      <c r="NG58" s="40"/>
      <c r="NH58" s="40"/>
      <c r="NI58" s="40"/>
      <c r="NJ58" s="40"/>
      <c r="NK58" s="40"/>
      <c r="NL58" s="40"/>
      <c r="NM58" s="40"/>
      <c r="NN58" s="40"/>
      <c r="NO58" s="40"/>
      <c r="NP58" s="40"/>
      <c r="NQ58" s="40"/>
      <c r="NR58" s="40"/>
    </row>
    <row r="59" spans="2:382" x14ac:dyDescent="0.15">
      <c r="B59" s="518"/>
      <c r="C59" s="115" t="str">
        <f>_xlfn.CONCAT($C$7," Preferred Return Account")</f>
        <v>- Preferred Return Account</v>
      </c>
      <c r="G59" s="12"/>
      <c r="I59" s="40">
        <f>G59-G60+I58</f>
        <v>0</v>
      </c>
      <c r="J59" s="40">
        <f t="shared" ref="J59" si="3858">I59-I60+J58</f>
        <v>0</v>
      </c>
      <c r="K59" s="40">
        <f t="shared" ref="K59" si="3859">J59-J60+K58</f>
        <v>0</v>
      </c>
      <c r="L59" s="40">
        <f t="shared" ref="L59" si="3860">K59-K60+L58</f>
        <v>0</v>
      </c>
      <c r="M59" s="40">
        <f t="shared" ref="M59" si="3861">L59-L60+M58</f>
        <v>0</v>
      </c>
      <c r="N59" s="40">
        <f t="shared" ref="N59" si="3862">M59-M60+N58</f>
        <v>0</v>
      </c>
      <c r="O59" s="40">
        <f t="shared" ref="O59" si="3863">N59-N60+O58</f>
        <v>0</v>
      </c>
      <c r="P59" s="40">
        <f t="shared" ref="P59" si="3864">O59-O60+P58</f>
        <v>0</v>
      </c>
      <c r="Q59" s="40">
        <f t="shared" ref="Q59" si="3865">P59-P60+Q58</f>
        <v>0</v>
      </c>
      <c r="R59" s="40">
        <f t="shared" ref="R59" si="3866">Q59-Q60+R58</f>
        <v>0</v>
      </c>
      <c r="S59" s="40">
        <f t="shared" ref="S59" si="3867">R59-R60+S58</f>
        <v>0</v>
      </c>
      <c r="T59" s="40">
        <f t="shared" ref="T59" si="3868">S59-S60+T58</f>
        <v>0</v>
      </c>
      <c r="U59" s="40">
        <f t="shared" ref="U59" si="3869">T59-T60+U58</f>
        <v>0</v>
      </c>
      <c r="V59" s="40">
        <f t="shared" ref="V59" si="3870">U59-U60+V58</f>
        <v>0</v>
      </c>
      <c r="W59" s="40">
        <f t="shared" ref="W59" si="3871">V59-V60+W58</f>
        <v>0</v>
      </c>
      <c r="X59" s="40">
        <f t="shared" ref="X59" si="3872">W59-W60+X58</f>
        <v>0</v>
      </c>
      <c r="Y59" s="40">
        <f t="shared" ref="Y59" si="3873">X59-X60+Y58</f>
        <v>0</v>
      </c>
      <c r="Z59" s="40">
        <f t="shared" ref="Z59" si="3874">Y59-Y60+Z58</f>
        <v>0</v>
      </c>
      <c r="AA59" s="40">
        <f t="shared" ref="AA59" si="3875">Z59-Z60+AA58</f>
        <v>0</v>
      </c>
      <c r="AB59" s="40">
        <f t="shared" ref="AB59" si="3876">AA59-AA60+AB58</f>
        <v>0</v>
      </c>
      <c r="AC59" s="40">
        <f t="shared" ref="AC59" si="3877">AB59-AB60+AC58</f>
        <v>0</v>
      </c>
      <c r="AD59" s="40">
        <f t="shared" ref="AD59" si="3878">AC59-AC60+AD58</f>
        <v>0</v>
      </c>
      <c r="AE59" s="40">
        <f t="shared" ref="AE59" si="3879">AD59-AD60+AE58</f>
        <v>0</v>
      </c>
      <c r="AF59" s="40">
        <f t="shared" ref="AF59" si="3880">AE59-AE60+AF58</f>
        <v>0</v>
      </c>
      <c r="AG59" s="40">
        <f t="shared" ref="AG59" si="3881">AF59-AF60+AG58</f>
        <v>0</v>
      </c>
      <c r="AH59" s="40">
        <f t="shared" ref="AH59" si="3882">AG59-AG60+AH58</f>
        <v>0</v>
      </c>
      <c r="AI59" s="40">
        <f t="shared" ref="AI59" si="3883">AH59-AH60+AI58</f>
        <v>0</v>
      </c>
      <c r="AJ59" s="40">
        <f t="shared" ref="AJ59" si="3884">AI59-AI60+AJ58</f>
        <v>0</v>
      </c>
      <c r="AK59" s="40">
        <f t="shared" ref="AK59" si="3885">AJ59-AJ60+AK58</f>
        <v>0</v>
      </c>
      <c r="AL59" s="40">
        <f t="shared" ref="AL59" si="3886">AK59-AK60+AL58</f>
        <v>0</v>
      </c>
      <c r="AM59" s="40">
        <f t="shared" ref="AM59" si="3887">AL59-AL60+AM58</f>
        <v>0</v>
      </c>
      <c r="AN59" s="40">
        <f t="shared" ref="AN59" si="3888">AM59-AM60+AN58</f>
        <v>0</v>
      </c>
      <c r="AO59" s="40">
        <f t="shared" ref="AO59" si="3889">AN59-AN60+AO58</f>
        <v>0</v>
      </c>
      <c r="AP59" s="40">
        <f t="shared" ref="AP59" si="3890">AO59-AO60+AP58</f>
        <v>0</v>
      </c>
      <c r="AQ59" s="40">
        <f t="shared" ref="AQ59" si="3891">AP59-AP60+AQ58</f>
        <v>0</v>
      </c>
      <c r="AR59" s="40">
        <f t="shared" ref="AR59" si="3892">AQ59-AQ60+AR58</f>
        <v>0</v>
      </c>
      <c r="AS59" s="40">
        <f t="shared" ref="AS59" si="3893">AR59-AR60+AS58</f>
        <v>0</v>
      </c>
      <c r="AT59" s="40">
        <f t="shared" ref="AT59" si="3894">AS59-AS60+AT58</f>
        <v>0</v>
      </c>
      <c r="AU59" s="40">
        <f t="shared" ref="AU59" si="3895">AT59-AT60+AU58</f>
        <v>0</v>
      </c>
      <c r="AV59" s="40">
        <f t="shared" ref="AV59" si="3896">AU59-AU60+AV58</f>
        <v>0</v>
      </c>
      <c r="AW59" s="40">
        <f t="shared" ref="AW59" si="3897">AV59-AV60+AW58</f>
        <v>0</v>
      </c>
      <c r="AX59" s="40">
        <f t="shared" ref="AX59" si="3898">AW59-AW60+AX58</f>
        <v>0</v>
      </c>
      <c r="AY59" s="40">
        <f t="shared" ref="AY59" si="3899">AX59-AX60+AY58</f>
        <v>0</v>
      </c>
      <c r="AZ59" s="40">
        <f t="shared" ref="AZ59" si="3900">AY59-AY60+AZ58</f>
        <v>0</v>
      </c>
      <c r="BA59" s="40">
        <f t="shared" ref="BA59" si="3901">AZ59-AZ60+BA58</f>
        <v>0</v>
      </c>
      <c r="BB59" s="40">
        <f t="shared" ref="BB59" si="3902">BA59-BA60+BB58</f>
        <v>0</v>
      </c>
      <c r="BC59" s="40">
        <f t="shared" ref="BC59" si="3903">BB59-BB60+BC58</f>
        <v>0</v>
      </c>
      <c r="BD59" s="40">
        <f t="shared" ref="BD59" si="3904">BC59-BC60+BD58</f>
        <v>0</v>
      </c>
      <c r="BE59" s="40">
        <f t="shared" ref="BE59" si="3905">BD59-BD60+BE58</f>
        <v>0</v>
      </c>
      <c r="BF59" s="40">
        <f t="shared" ref="BF59" si="3906">BE59-BE60+BF58</f>
        <v>0</v>
      </c>
      <c r="BG59" s="40">
        <f t="shared" ref="BG59" si="3907">BF59-BF60+BG58</f>
        <v>0</v>
      </c>
      <c r="BH59" s="40">
        <f t="shared" ref="BH59" si="3908">BG59-BG60+BH58</f>
        <v>0</v>
      </c>
      <c r="BI59" s="40">
        <f t="shared" ref="BI59" si="3909">BH59-BH60+BI58</f>
        <v>0</v>
      </c>
      <c r="BJ59" s="40">
        <f t="shared" ref="BJ59" si="3910">BI59-BI60+BJ58</f>
        <v>0</v>
      </c>
      <c r="BK59" s="40">
        <f t="shared" ref="BK59" si="3911">BJ59-BJ60+BK58</f>
        <v>0</v>
      </c>
      <c r="BL59" s="40">
        <f t="shared" ref="BL59" si="3912">BK59-BK60+BL58</f>
        <v>0</v>
      </c>
      <c r="BM59" s="40">
        <f t="shared" ref="BM59" si="3913">BL59-BL60+BM58</f>
        <v>0</v>
      </c>
      <c r="BN59" s="40">
        <f t="shared" ref="BN59" si="3914">BM59-BM60+BN58</f>
        <v>0</v>
      </c>
      <c r="BO59" s="40">
        <f t="shared" ref="BO59" si="3915">BN59-BN60+BO58</f>
        <v>0</v>
      </c>
      <c r="BP59" s="40">
        <f t="shared" ref="BP59" si="3916">BO59-BO60+BP58</f>
        <v>0</v>
      </c>
      <c r="BQ59" s="40">
        <f t="shared" ref="BQ59" si="3917">BP59-BP60+BQ58</f>
        <v>0</v>
      </c>
      <c r="BR59" s="40">
        <f t="shared" ref="BR59" si="3918">BQ59-BQ60+BR58</f>
        <v>0</v>
      </c>
      <c r="BS59" s="40">
        <f t="shared" ref="BS59" si="3919">BR59-BR60+BS58</f>
        <v>0</v>
      </c>
      <c r="BT59" s="40">
        <f t="shared" ref="BT59" si="3920">BS59-BS60+BT58</f>
        <v>0</v>
      </c>
      <c r="BU59" s="40">
        <f t="shared" ref="BU59" si="3921">BT59-BT60+BU58</f>
        <v>0</v>
      </c>
      <c r="BV59" s="40">
        <f t="shared" ref="BV59" si="3922">BU59-BU60+BV58</f>
        <v>0</v>
      </c>
      <c r="BW59" s="40">
        <f t="shared" ref="BW59" si="3923">BV59-BV60+BW58</f>
        <v>0</v>
      </c>
      <c r="BX59" s="40">
        <f t="shared" ref="BX59" si="3924">BW59-BW60+BX58</f>
        <v>0</v>
      </c>
      <c r="BY59" s="40">
        <f t="shared" ref="BY59" si="3925">BX59-BX60+BY58</f>
        <v>0</v>
      </c>
      <c r="BZ59" s="40">
        <f t="shared" ref="BZ59" si="3926">BY59-BY60+BZ58</f>
        <v>0</v>
      </c>
      <c r="CA59" s="40">
        <f t="shared" ref="CA59" si="3927">BZ59-BZ60+CA58</f>
        <v>0</v>
      </c>
      <c r="CB59" s="40">
        <f t="shared" ref="CB59" si="3928">CA59-CA60+CB58</f>
        <v>0</v>
      </c>
      <c r="CC59" s="40">
        <f t="shared" ref="CC59" si="3929">CB59-CB60+CC58</f>
        <v>0</v>
      </c>
      <c r="CD59" s="40">
        <f t="shared" ref="CD59" si="3930">CC59-CC60+CD58</f>
        <v>0</v>
      </c>
      <c r="CE59" s="40">
        <f t="shared" ref="CE59" si="3931">CD59-CD60+CE58</f>
        <v>0</v>
      </c>
      <c r="CF59" s="40">
        <f t="shared" ref="CF59" si="3932">CE59-CE60+CF58</f>
        <v>0</v>
      </c>
      <c r="CG59" s="40">
        <f t="shared" ref="CG59" si="3933">CF59-CF60+CG58</f>
        <v>0</v>
      </c>
      <c r="CH59" s="40">
        <f t="shared" ref="CH59" si="3934">CG59-CG60+CH58</f>
        <v>0</v>
      </c>
      <c r="CI59" s="40">
        <f t="shared" ref="CI59" si="3935">CH59-CH60+CI58</f>
        <v>0</v>
      </c>
      <c r="CJ59" s="40">
        <f t="shared" ref="CJ59" si="3936">CI59-CI60+CJ58</f>
        <v>0</v>
      </c>
      <c r="CK59" s="40">
        <f t="shared" ref="CK59" si="3937">CJ59-CJ60+CK58</f>
        <v>0</v>
      </c>
      <c r="CL59" s="40">
        <f t="shared" ref="CL59" si="3938">CK59-CK60+CL58</f>
        <v>0</v>
      </c>
      <c r="CM59" s="40">
        <f t="shared" ref="CM59" si="3939">CL59-CL60+CM58</f>
        <v>0</v>
      </c>
      <c r="CN59" s="40">
        <f t="shared" ref="CN59" si="3940">CM59-CM60+CN58</f>
        <v>0</v>
      </c>
      <c r="CO59" s="40">
        <f t="shared" ref="CO59" si="3941">CN59-CN60+CO58</f>
        <v>0</v>
      </c>
      <c r="CP59" s="40">
        <f t="shared" ref="CP59" si="3942">CO59-CO60+CP58</f>
        <v>0</v>
      </c>
      <c r="CQ59" s="40">
        <f t="shared" ref="CQ59" si="3943">CP59-CP60+CQ58</f>
        <v>0</v>
      </c>
      <c r="CR59" s="40">
        <f t="shared" ref="CR59" si="3944">CQ59-CQ60+CR58</f>
        <v>0</v>
      </c>
      <c r="CS59" s="40">
        <f t="shared" ref="CS59" si="3945">CR59-CR60+CS58</f>
        <v>0</v>
      </c>
      <c r="CT59" s="40">
        <f t="shared" ref="CT59" si="3946">CS59-CS60+CT58</f>
        <v>0</v>
      </c>
      <c r="CU59" s="40">
        <f t="shared" ref="CU59" si="3947">CT59-CT60+CU58</f>
        <v>0</v>
      </c>
      <c r="CV59" s="40">
        <f t="shared" ref="CV59" si="3948">CU59-CU60+CV58</f>
        <v>0</v>
      </c>
      <c r="CW59" s="40">
        <f t="shared" ref="CW59" si="3949">CV59-CV60+CW58</f>
        <v>0</v>
      </c>
      <c r="CX59" s="40">
        <f t="shared" ref="CX59" si="3950">CW59-CW60+CX58</f>
        <v>0</v>
      </c>
      <c r="CY59" s="40">
        <f t="shared" ref="CY59" si="3951">CX59-CX60+CY58</f>
        <v>0</v>
      </c>
      <c r="CZ59" s="40">
        <f t="shared" ref="CZ59" si="3952">CY59-CY60+CZ58</f>
        <v>0</v>
      </c>
      <c r="DA59" s="40">
        <f t="shared" ref="DA59" si="3953">CZ59-CZ60+DA58</f>
        <v>0</v>
      </c>
      <c r="DB59" s="40">
        <f t="shared" ref="DB59" si="3954">DA59-DA60+DB58</f>
        <v>0</v>
      </c>
      <c r="DC59" s="40">
        <f t="shared" ref="DC59" si="3955">DB59-DB60+DC58</f>
        <v>0</v>
      </c>
      <c r="DD59" s="40">
        <f t="shared" ref="DD59" si="3956">DC59-DC60+DD58</f>
        <v>0</v>
      </c>
      <c r="DE59" s="40">
        <f t="shared" ref="DE59" si="3957">DD59-DD60+DE58</f>
        <v>0</v>
      </c>
      <c r="DF59" s="40">
        <f t="shared" ref="DF59" si="3958">DE59-DE60+DF58</f>
        <v>0</v>
      </c>
      <c r="DG59" s="40">
        <f t="shared" ref="DG59" si="3959">DF59-DF60+DG58</f>
        <v>0</v>
      </c>
      <c r="DH59" s="40">
        <f t="shared" ref="DH59" si="3960">DG59-DG60+DH58</f>
        <v>0</v>
      </c>
      <c r="DI59" s="40">
        <f t="shared" ref="DI59" si="3961">DH59-DH60+DI58</f>
        <v>0</v>
      </c>
      <c r="DJ59" s="40">
        <f t="shared" ref="DJ59" si="3962">DI59-DI60+DJ58</f>
        <v>0</v>
      </c>
      <c r="DK59" s="40">
        <f t="shared" ref="DK59" si="3963">DJ59-DJ60+DK58</f>
        <v>0</v>
      </c>
      <c r="DL59" s="40">
        <f t="shared" ref="DL59" si="3964">DK59-DK60+DL58</f>
        <v>0</v>
      </c>
      <c r="DM59" s="40">
        <f t="shared" ref="DM59" si="3965">DL59-DL60+DM58</f>
        <v>0</v>
      </c>
      <c r="DN59" s="40">
        <f t="shared" ref="DN59" si="3966">DM59-DM60+DN58</f>
        <v>0</v>
      </c>
      <c r="DO59" s="40">
        <f t="shared" ref="DO59" si="3967">DN59-DN60+DO58</f>
        <v>0</v>
      </c>
      <c r="DP59" s="40">
        <f t="shared" ref="DP59" si="3968">DO59-DO60+DP58</f>
        <v>0</v>
      </c>
      <c r="DQ59" s="40">
        <f t="shared" ref="DQ59" si="3969">DP59-DP60+DQ58</f>
        <v>0</v>
      </c>
      <c r="DR59" s="40">
        <f t="shared" ref="DR59" si="3970">DQ59-DQ60+DR58</f>
        <v>0</v>
      </c>
      <c r="DS59" s="40">
        <f t="shared" ref="DS59" si="3971">DR59-DR60+DS58</f>
        <v>0</v>
      </c>
      <c r="DT59" s="40">
        <f t="shared" ref="DT59" si="3972">DS59-DS60+DT58</f>
        <v>0</v>
      </c>
      <c r="DU59" s="40">
        <f t="shared" ref="DU59" si="3973">DT59-DT60+DU58</f>
        <v>0</v>
      </c>
      <c r="DV59" s="40">
        <f t="shared" ref="DV59" si="3974">DU59-DU60+DV58</f>
        <v>0</v>
      </c>
      <c r="DW59" s="40">
        <f t="shared" ref="DW59" si="3975">DV59-DV60+DW58</f>
        <v>0</v>
      </c>
      <c r="DX59" s="40">
        <f t="shared" ref="DX59" si="3976">DW59-DW60+DX58</f>
        <v>0</v>
      </c>
      <c r="DY59" s="40">
        <f t="shared" ref="DY59" si="3977">DX59-DX60+DY58</f>
        <v>0</v>
      </c>
      <c r="DZ59" s="40">
        <f t="shared" ref="DZ59" si="3978">DY59-DY60+DZ58</f>
        <v>0</v>
      </c>
      <c r="EA59" s="40">
        <f t="shared" ref="EA59" si="3979">DZ59-DZ60+EA58</f>
        <v>0</v>
      </c>
      <c r="EB59" s="40">
        <f t="shared" ref="EB59" si="3980">EA59-EA60+EB58</f>
        <v>0</v>
      </c>
      <c r="EC59" s="40">
        <f t="shared" ref="EC59" si="3981">EB59-EB60+EC58</f>
        <v>0</v>
      </c>
      <c r="ED59" s="40">
        <f t="shared" ref="ED59" si="3982">EC59-EC60+ED58</f>
        <v>0</v>
      </c>
      <c r="EE59" s="40">
        <f t="shared" ref="EE59" si="3983">ED59-ED60+EE58</f>
        <v>0</v>
      </c>
      <c r="EF59" s="40">
        <f t="shared" ref="EF59" si="3984">EE59-EE60+EF58</f>
        <v>0</v>
      </c>
      <c r="EG59" s="40">
        <f t="shared" ref="EG59" si="3985">EF59-EF60+EG58</f>
        <v>0</v>
      </c>
      <c r="EH59" s="40">
        <f t="shared" ref="EH59" si="3986">EG59-EG60+EH58</f>
        <v>0</v>
      </c>
      <c r="EI59" s="40">
        <f t="shared" ref="EI59" si="3987">EH59-EH60+EI58</f>
        <v>0</v>
      </c>
      <c r="EJ59" s="40">
        <f t="shared" ref="EJ59" si="3988">EI59-EI60+EJ58</f>
        <v>0</v>
      </c>
      <c r="EK59" s="40">
        <f t="shared" ref="EK59" si="3989">EJ59-EJ60+EK58</f>
        <v>0</v>
      </c>
      <c r="EL59" s="40">
        <f t="shared" ref="EL59" si="3990">EK59-EK60+EL58</f>
        <v>0</v>
      </c>
      <c r="EM59" s="40">
        <f t="shared" ref="EM59" si="3991">EL59-EL60+EM58</f>
        <v>0</v>
      </c>
      <c r="EN59" s="40">
        <f t="shared" ref="EN59" si="3992">EM59-EM60+EN58</f>
        <v>0</v>
      </c>
      <c r="EO59" s="40">
        <f t="shared" ref="EO59" si="3993">EN59-EN60+EO58</f>
        <v>0</v>
      </c>
      <c r="EP59" s="40">
        <f t="shared" ref="EP59" si="3994">EO59-EO60+EP58</f>
        <v>0</v>
      </c>
      <c r="EQ59" s="40">
        <f t="shared" ref="EQ59" si="3995">EP59-EP60+EQ58</f>
        <v>0</v>
      </c>
      <c r="ER59" s="40">
        <f t="shared" ref="ER59" si="3996">EQ59-EQ60+ER58</f>
        <v>0</v>
      </c>
      <c r="ES59" s="40">
        <f t="shared" ref="ES59" si="3997">ER59-ER60+ES58</f>
        <v>0</v>
      </c>
      <c r="ET59" s="40">
        <f t="shared" ref="ET59" si="3998">ES59-ES60+ET58</f>
        <v>0</v>
      </c>
      <c r="EU59" s="40">
        <f t="shared" ref="EU59" si="3999">ET59-ET60+EU58</f>
        <v>0</v>
      </c>
      <c r="EV59" s="40">
        <f t="shared" ref="EV59" si="4000">EU59-EU60+EV58</f>
        <v>0</v>
      </c>
      <c r="EW59" s="40">
        <f t="shared" ref="EW59" si="4001">EV59-EV60+EW58</f>
        <v>0</v>
      </c>
      <c r="EX59" s="40">
        <f t="shared" ref="EX59" si="4002">EW59-EW60+EX58</f>
        <v>0</v>
      </c>
      <c r="EY59" s="40">
        <f t="shared" ref="EY59" si="4003">EX59-EX60+EY58</f>
        <v>0</v>
      </c>
      <c r="EZ59" s="40">
        <f t="shared" ref="EZ59" si="4004">EY59-EY60+EZ58</f>
        <v>0</v>
      </c>
      <c r="FA59" s="40">
        <f t="shared" ref="FA59" si="4005">EZ59-EZ60+FA58</f>
        <v>0</v>
      </c>
      <c r="FB59" s="40">
        <f t="shared" ref="FB59" si="4006">FA59-FA60+FB58</f>
        <v>0</v>
      </c>
      <c r="FC59" s="40">
        <f t="shared" ref="FC59" si="4007">FB59-FB60+FC58</f>
        <v>0</v>
      </c>
      <c r="FD59" s="40">
        <f t="shared" ref="FD59" si="4008">FC59-FC60+FD58</f>
        <v>0</v>
      </c>
      <c r="FE59" s="40">
        <f t="shared" ref="FE59" si="4009">FD59-FD60+FE58</f>
        <v>0</v>
      </c>
      <c r="FF59" s="40">
        <f t="shared" ref="FF59" si="4010">FE59-FE60+FF58</f>
        <v>0</v>
      </c>
      <c r="FG59" s="40">
        <f t="shared" ref="FG59" si="4011">FF59-FF60+FG58</f>
        <v>0</v>
      </c>
      <c r="FH59" s="40">
        <f t="shared" ref="FH59" si="4012">FG59-FG60+FH58</f>
        <v>0</v>
      </c>
      <c r="FI59" s="40">
        <f t="shared" ref="FI59" si="4013">FH59-FH60+FI58</f>
        <v>0</v>
      </c>
      <c r="FJ59" s="40">
        <f t="shared" ref="FJ59" si="4014">FI59-FI60+FJ58</f>
        <v>0</v>
      </c>
      <c r="FK59" s="40">
        <f t="shared" ref="FK59" si="4015">FJ59-FJ60+FK58</f>
        <v>0</v>
      </c>
      <c r="FL59" s="40">
        <f t="shared" ref="FL59" si="4016">FK59-FK60+FL58</f>
        <v>0</v>
      </c>
      <c r="FM59" s="40">
        <f t="shared" ref="FM59" si="4017">FL59-FL60+FM58</f>
        <v>0</v>
      </c>
      <c r="FN59" s="40">
        <f t="shared" ref="FN59" si="4018">FM59-FM60+FN58</f>
        <v>0</v>
      </c>
      <c r="FO59" s="40">
        <f t="shared" ref="FO59" si="4019">FN59-FN60+FO58</f>
        <v>0</v>
      </c>
      <c r="FP59" s="40">
        <f t="shared" ref="FP59" si="4020">FO59-FO60+FP58</f>
        <v>0</v>
      </c>
      <c r="FQ59" s="40">
        <f t="shared" ref="FQ59" si="4021">FP59-FP60+FQ58</f>
        <v>0</v>
      </c>
      <c r="FR59" s="40">
        <f t="shared" ref="FR59" si="4022">FQ59-FQ60+FR58</f>
        <v>0</v>
      </c>
      <c r="FS59" s="40">
        <f t="shared" ref="FS59" si="4023">FR59-FR60+FS58</f>
        <v>0</v>
      </c>
      <c r="FT59" s="40">
        <f t="shared" ref="FT59" si="4024">FS59-FS60+FT58</f>
        <v>0</v>
      </c>
      <c r="FU59" s="40">
        <f t="shared" ref="FU59" si="4025">FT59-FT60+FU58</f>
        <v>0</v>
      </c>
      <c r="FV59" s="40">
        <f t="shared" ref="FV59" si="4026">FU59-FU60+FV58</f>
        <v>0</v>
      </c>
      <c r="FW59" s="40">
        <f t="shared" ref="FW59" si="4027">FV59-FV60+FW58</f>
        <v>0</v>
      </c>
      <c r="FX59" s="40">
        <f t="shared" ref="FX59" si="4028">FW59-FW60+FX58</f>
        <v>0</v>
      </c>
      <c r="FY59" s="40">
        <f t="shared" ref="FY59" si="4029">FX59-FX60+FY58</f>
        <v>0</v>
      </c>
      <c r="FZ59" s="40">
        <f t="shared" ref="FZ59" si="4030">FY59-FY60+FZ58</f>
        <v>0</v>
      </c>
      <c r="GA59" s="40">
        <f t="shared" ref="GA59" si="4031">FZ59-FZ60+GA58</f>
        <v>0</v>
      </c>
      <c r="GB59" s="40">
        <f t="shared" ref="GB59" si="4032">GA59-GA60+GB58</f>
        <v>0</v>
      </c>
      <c r="GC59" s="40">
        <f t="shared" ref="GC59" si="4033">GB59-GB60+GC58</f>
        <v>0</v>
      </c>
      <c r="GD59" s="40">
        <f t="shared" ref="GD59" si="4034">GC59-GC60+GD58</f>
        <v>0</v>
      </c>
      <c r="GE59" s="40">
        <f t="shared" ref="GE59" si="4035">GD59-GD60+GE58</f>
        <v>0</v>
      </c>
      <c r="GF59" s="40">
        <f t="shared" ref="GF59" si="4036">GE59-GE60+GF58</f>
        <v>0</v>
      </c>
      <c r="GG59" s="40">
        <f t="shared" ref="GG59" ca="1" si="4037">GF59-GF60+GG58</f>
        <v>0</v>
      </c>
      <c r="GH59" s="40">
        <f t="shared" ref="GH59" ca="1" si="4038">GG59-GG60+GH58</f>
        <v>0</v>
      </c>
      <c r="GI59" s="40">
        <f t="shared" ref="GI59" ca="1" si="4039">GH59-GH60+GI58</f>
        <v>0</v>
      </c>
      <c r="GJ59" s="40">
        <f t="shared" ref="GJ59" ca="1" si="4040">GI59-GI60+GJ58</f>
        <v>0</v>
      </c>
      <c r="GK59" s="40">
        <f t="shared" ref="GK59" ca="1" si="4041">GJ59-GJ60+GK58</f>
        <v>0</v>
      </c>
      <c r="GL59" s="40">
        <f t="shared" ref="GL59" ca="1" si="4042">GK59-GK60+GL58</f>
        <v>0</v>
      </c>
      <c r="GM59" s="40">
        <f t="shared" ref="GM59" ca="1" si="4043">GL59-GL60+GM58</f>
        <v>0</v>
      </c>
      <c r="GN59" s="40">
        <f t="shared" ref="GN59" ca="1" si="4044">GM59-GM60+GN58</f>
        <v>0</v>
      </c>
      <c r="GO59" s="40">
        <f t="shared" ref="GO59" ca="1" si="4045">GN59-GN60+GO58</f>
        <v>0</v>
      </c>
      <c r="GP59" s="40">
        <f t="shared" ref="GP59" ca="1" si="4046">GO59-GO60+GP58</f>
        <v>0</v>
      </c>
      <c r="GQ59" s="40">
        <f t="shared" ref="GQ59" ca="1" si="4047">GP59-GP60+GQ58</f>
        <v>0</v>
      </c>
      <c r="GR59" s="40">
        <f t="shared" ref="GR59" ca="1" si="4048">GQ59-GQ60+GR58</f>
        <v>0</v>
      </c>
      <c r="GS59" s="40">
        <f t="shared" ref="GS59" ca="1" si="4049">GR59-GR60+GS58</f>
        <v>0</v>
      </c>
      <c r="GT59" s="40">
        <f t="shared" ref="GT59" ca="1" si="4050">GS59-GS60+GT58</f>
        <v>0</v>
      </c>
      <c r="GU59" s="40">
        <f t="shared" ref="GU59" ca="1" si="4051">GT59-GT60+GU58</f>
        <v>0</v>
      </c>
      <c r="GV59" s="40">
        <f t="shared" ref="GV59" ca="1" si="4052">GU59-GU60+GV58</f>
        <v>0</v>
      </c>
      <c r="GW59" s="40">
        <f t="shared" ref="GW59" ca="1" si="4053">GV59-GV60+GW58</f>
        <v>0</v>
      </c>
      <c r="GX59" s="40">
        <f t="shared" ref="GX59" ca="1" si="4054">GW59-GW60+GX58</f>
        <v>0</v>
      </c>
      <c r="GY59" s="40">
        <f t="shared" ref="GY59" ca="1" si="4055">GX59-GX60+GY58</f>
        <v>0</v>
      </c>
      <c r="GZ59" s="40">
        <f t="shared" ref="GZ59" ca="1" si="4056">GY59-GY60+GZ58</f>
        <v>0</v>
      </c>
      <c r="HA59" s="40">
        <f t="shared" ref="HA59" ca="1" si="4057">GZ59-GZ60+HA58</f>
        <v>0</v>
      </c>
      <c r="HB59" s="40">
        <f t="shared" ref="HB59" ca="1" si="4058">HA59-HA60+HB58</f>
        <v>0</v>
      </c>
      <c r="HC59" s="40">
        <f t="shared" ref="HC59" ca="1" si="4059">HB59-HB60+HC58</f>
        <v>0</v>
      </c>
      <c r="HD59" s="40">
        <f t="shared" ref="HD59" ca="1" si="4060">HC59-HC60+HD58</f>
        <v>0</v>
      </c>
      <c r="HE59" s="40">
        <f t="shared" ref="HE59" ca="1" si="4061">HD59-HD60+HE58</f>
        <v>0</v>
      </c>
      <c r="HF59" s="40">
        <f t="shared" ref="HF59" ca="1" si="4062">HE59-HE60+HF58</f>
        <v>0</v>
      </c>
      <c r="HG59" s="40">
        <f t="shared" ref="HG59" ca="1" si="4063">HF59-HF60+HG58</f>
        <v>0</v>
      </c>
      <c r="HH59" s="40">
        <f t="shared" ref="HH59" ca="1" si="4064">HG59-HG60+HH58</f>
        <v>0</v>
      </c>
      <c r="HI59" s="40">
        <f t="shared" ref="HI59" ca="1" si="4065">HH59-HH60+HI58</f>
        <v>0</v>
      </c>
      <c r="HJ59" s="40">
        <f t="shared" ref="HJ59" ca="1" si="4066">HI59-HI60+HJ58</f>
        <v>0</v>
      </c>
      <c r="HK59" s="40">
        <f t="shared" ref="HK59" ca="1" si="4067">HJ59-HJ60+HK58</f>
        <v>0</v>
      </c>
      <c r="HL59" s="40">
        <f t="shared" ref="HL59" ca="1" si="4068">HK59-HK60+HL58</f>
        <v>0</v>
      </c>
      <c r="HM59" s="40">
        <f t="shared" ref="HM59" ca="1" si="4069">HL59-HL60+HM58</f>
        <v>0</v>
      </c>
      <c r="HN59" s="40">
        <f t="shared" ref="HN59" ca="1" si="4070">HM59-HM60+HN58</f>
        <v>0</v>
      </c>
      <c r="HO59" s="40">
        <f t="shared" ref="HO59" ca="1" si="4071">HN59-HN60+HO58</f>
        <v>0</v>
      </c>
      <c r="HP59" s="40">
        <f t="shared" ref="HP59" ca="1" si="4072">HO59-HO60+HP58</f>
        <v>0</v>
      </c>
      <c r="HQ59" s="40">
        <f t="shared" ref="HQ59" ca="1" si="4073">HP59-HP60+HQ58</f>
        <v>0</v>
      </c>
      <c r="HR59" s="40">
        <f t="shared" ref="HR59" ca="1" si="4074">HQ59-HQ60+HR58</f>
        <v>0</v>
      </c>
      <c r="HS59" s="40">
        <f t="shared" ref="HS59" ca="1" si="4075">HR59-HR60+HS58</f>
        <v>0</v>
      </c>
      <c r="HT59" s="40">
        <f t="shared" ref="HT59" ca="1" si="4076">HS59-HS60+HT58</f>
        <v>0</v>
      </c>
      <c r="HU59" s="40">
        <f t="shared" ref="HU59" ca="1" si="4077">HT59-HT60+HU58</f>
        <v>0</v>
      </c>
      <c r="HV59" s="40">
        <f t="shared" ref="HV59" ca="1" si="4078">HU59-HU60+HV58</f>
        <v>0</v>
      </c>
      <c r="HW59" s="40">
        <f t="shared" ref="HW59" ca="1" si="4079">HV59-HV60+HW58</f>
        <v>0</v>
      </c>
      <c r="HX59" s="40">
        <f t="shared" ref="HX59" ca="1" si="4080">HW59-HW60+HX58</f>
        <v>0</v>
      </c>
      <c r="HY59" s="40">
        <f t="shared" ref="HY59" ca="1" si="4081">HX59-HX60+HY58</f>
        <v>0</v>
      </c>
      <c r="HZ59" s="40">
        <f t="shared" ref="HZ59" ca="1" si="4082">HY59-HY60+HZ58</f>
        <v>0</v>
      </c>
      <c r="IA59" s="40">
        <f t="shared" ref="IA59" ca="1" si="4083">HZ59-HZ60+IA58</f>
        <v>0</v>
      </c>
      <c r="IB59" s="40">
        <f t="shared" ref="IB59" ca="1" si="4084">IA59-IA60+IB58</f>
        <v>0</v>
      </c>
      <c r="IC59" s="40">
        <f t="shared" ref="IC59" ca="1" si="4085">IB59-IB60+IC58</f>
        <v>0</v>
      </c>
      <c r="ID59" s="40">
        <f t="shared" ref="ID59" ca="1" si="4086">IC59-IC60+ID58</f>
        <v>0</v>
      </c>
      <c r="IE59" s="40">
        <f t="shared" ref="IE59" ca="1" si="4087">ID59-ID60+IE58</f>
        <v>0</v>
      </c>
      <c r="IF59" s="40">
        <f t="shared" ref="IF59" ca="1" si="4088">IE59-IE60+IF58</f>
        <v>0</v>
      </c>
      <c r="IG59" s="40">
        <f t="shared" ref="IG59" ca="1" si="4089">IF59-IF60+IG58</f>
        <v>0</v>
      </c>
      <c r="IH59" s="40">
        <f t="shared" ref="IH59" ca="1" si="4090">IG59-IG60+IH58</f>
        <v>0</v>
      </c>
      <c r="II59" s="40">
        <f t="shared" ref="II59" ca="1" si="4091">IH59-IH60+II58</f>
        <v>0</v>
      </c>
      <c r="IJ59" s="40">
        <f t="shared" ref="IJ59" ca="1" si="4092">II59-II60+IJ58</f>
        <v>0</v>
      </c>
      <c r="IK59" s="40">
        <f t="shared" ref="IK59" ca="1" si="4093">IJ59-IJ60+IK58</f>
        <v>0</v>
      </c>
      <c r="IL59" s="40">
        <f t="shared" ref="IL59" ca="1" si="4094">IK59-IK60+IL58</f>
        <v>0</v>
      </c>
      <c r="IM59" s="40">
        <f t="shared" ref="IM59" ca="1" si="4095">IL59-IL60+IM58</f>
        <v>0</v>
      </c>
      <c r="IN59" s="40">
        <f t="shared" ref="IN59" ca="1" si="4096">IM59-IM60+IN58</f>
        <v>0</v>
      </c>
      <c r="IO59" s="40">
        <f t="shared" ref="IO59" ca="1" si="4097">IN59-IN60+IO58</f>
        <v>0</v>
      </c>
      <c r="IP59" s="40">
        <f t="shared" ref="IP59" ca="1" si="4098">IO59-IO60+IP58</f>
        <v>0</v>
      </c>
      <c r="IQ59" s="40">
        <f t="shared" ref="IQ59" ca="1" si="4099">IP59-IP60+IQ58</f>
        <v>0</v>
      </c>
      <c r="IR59" s="40">
        <f t="shared" ref="IR59" ca="1" si="4100">IQ59-IQ60+IR58</f>
        <v>0</v>
      </c>
      <c r="IS59" s="40">
        <f t="shared" ref="IS59" ca="1" si="4101">IR59-IR60+IS58</f>
        <v>0</v>
      </c>
      <c r="IT59" s="40">
        <f t="shared" ref="IT59" ca="1" si="4102">IS59-IS60+IT58</f>
        <v>0</v>
      </c>
      <c r="IU59" s="40">
        <f t="shared" ref="IU59" ca="1" si="4103">IT59-IT60+IU58</f>
        <v>0</v>
      </c>
      <c r="IV59" s="40">
        <f t="shared" ref="IV59" ca="1" si="4104">IU59-IU60+IV58</f>
        <v>0</v>
      </c>
      <c r="IW59" s="40">
        <f t="shared" ref="IW59" ca="1" si="4105">IV59-IV60+IW58</f>
        <v>0</v>
      </c>
      <c r="IX59" s="40">
        <f t="shared" ref="IX59" ca="1" si="4106">IW59-IW60+IX58</f>
        <v>0</v>
      </c>
      <c r="IY59" s="40">
        <f t="shared" ref="IY59" ca="1" si="4107">IX59-IX60+IY58</f>
        <v>0</v>
      </c>
      <c r="IZ59" s="40">
        <f t="shared" ref="IZ59" ca="1" si="4108">IY59-IY60+IZ58</f>
        <v>0</v>
      </c>
      <c r="JA59" s="40">
        <f t="shared" ref="JA59" ca="1" si="4109">IZ59-IZ60+JA58</f>
        <v>0</v>
      </c>
      <c r="JB59" s="40">
        <f t="shared" ref="JB59" ca="1" si="4110">JA59-JA60+JB58</f>
        <v>0</v>
      </c>
      <c r="JC59" s="40">
        <f t="shared" ref="JC59" ca="1" si="4111">JB59-JB60+JC58</f>
        <v>0</v>
      </c>
      <c r="JD59" s="40">
        <f t="shared" ref="JD59" ca="1" si="4112">JC59-JC60+JD58</f>
        <v>0</v>
      </c>
      <c r="JE59" s="40">
        <f t="shared" ref="JE59" ca="1" si="4113">JD59-JD60+JE58</f>
        <v>0</v>
      </c>
      <c r="JF59" s="40">
        <f t="shared" ref="JF59" ca="1" si="4114">JE59-JE60+JF58</f>
        <v>0</v>
      </c>
      <c r="JG59" s="40">
        <f t="shared" ref="JG59" ca="1" si="4115">JF59-JF60+JG58</f>
        <v>0</v>
      </c>
      <c r="JH59" s="40">
        <f t="shared" ref="JH59" ca="1" si="4116">JG59-JG60+JH58</f>
        <v>0</v>
      </c>
      <c r="JI59" s="40">
        <f t="shared" ref="JI59" ca="1" si="4117">JH59-JH60+JI58</f>
        <v>0</v>
      </c>
      <c r="JJ59" s="40">
        <f t="shared" ref="JJ59" ca="1" si="4118">JI59-JI60+JJ58</f>
        <v>0</v>
      </c>
      <c r="JK59" s="40">
        <f t="shared" ref="JK59" ca="1" si="4119">JJ59-JJ60+JK58</f>
        <v>0</v>
      </c>
      <c r="JL59" s="40">
        <f t="shared" ref="JL59" ca="1" si="4120">JK59-JK60+JL58</f>
        <v>0</v>
      </c>
      <c r="JM59" s="40">
        <f t="shared" ref="JM59" ca="1" si="4121">JL59-JL60+JM58</f>
        <v>0</v>
      </c>
      <c r="JN59" s="40">
        <f t="shared" ref="JN59" ca="1" si="4122">JM59-JM60+JN58</f>
        <v>0</v>
      </c>
      <c r="JO59" s="40">
        <f t="shared" ref="JO59" ca="1" si="4123">JN59-JN60+JO58</f>
        <v>0</v>
      </c>
      <c r="JP59" s="40">
        <f t="shared" ref="JP59" ca="1" si="4124">JO59-JO60+JP58</f>
        <v>0</v>
      </c>
      <c r="JQ59" s="40">
        <f t="shared" ref="JQ59" ca="1" si="4125">JP59-JP60+JQ58</f>
        <v>0</v>
      </c>
      <c r="JR59" s="40">
        <f t="shared" ref="JR59" ca="1" si="4126">JQ59-JQ60+JR58</f>
        <v>0</v>
      </c>
      <c r="JS59" s="40">
        <f t="shared" ref="JS59" ca="1" si="4127">JR59-JR60+JS58</f>
        <v>0</v>
      </c>
      <c r="JT59" s="40">
        <f t="shared" ref="JT59" ca="1" si="4128">JS59-JS60+JT58</f>
        <v>0</v>
      </c>
      <c r="JU59" s="40">
        <f t="shared" ref="JU59" ca="1" si="4129">JT59-JT60+JU58</f>
        <v>0</v>
      </c>
      <c r="JV59" s="40">
        <f t="shared" ref="JV59" ca="1" si="4130">JU59-JU60+JV58</f>
        <v>0</v>
      </c>
      <c r="JW59" s="40">
        <f t="shared" ref="JW59" ca="1" si="4131">JV59-JV60+JW58</f>
        <v>0</v>
      </c>
      <c r="JX59" s="40">
        <f t="shared" ref="JX59" ca="1" si="4132">JW59-JW60+JX58</f>
        <v>0</v>
      </c>
      <c r="JY59" s="40">
        <f t="shared" ref="JY59" ca="1" si="4133">JX59-JX60+JY58</f>
        <v>0</v>
      </c>
      <c r="JZ59" s="40">
        <f t="shared" ref="JZ59" ca="1" si="4134">JY59-JY60+JZ58</f>
        <v>0</v>
      </c>
      <c r="KA59" s="40">
        <f t="shared" ref="KA59" ca="1" si="4135">JZ59-JZ60+KA58</f>
        <v>0</v>
      </c>
      <c r="KB59" s="40">
        <f t="shared" ref="KB59" ca="1" si="4136">KA59-KA60+KB58</f>
        <v>0</v>
      </c>
      <c r="KC59" s="40">
        <f t="shared" ref="KC59" ca="1" si="4137">KB59-KB60+KC58</f>
        <v>0</v>
      </c>
      <c r="KD59" s="40">
        <f t="shared" ref="KD59" ca="1" si="4138">KC59-KC60+KD58</f>
        <v>0</v>
      </c>
      <c r="KE59" s="40">
        <f t="shared" ref="KE59" ca="1" si="4139">KD59-KD60+KE58</f>
        <v>0</v>
      </c>
      <c r="KF59" s="40">
        <f t="shared" ref="KF59" ca="1" si="4140">KE59-KE60+KF58</f>
        <v>0</v>
      </c>
      <c r="KG59" s="40">
        <f t="shared" ref="KG59" ca="1" si="4141">KF59-KF60+KG58</f>
        <v>0</v>
      </c>
      <c r="KH59" s="40">
        <f t="shared" ref="KH59" ca="1" si="4142">KG59-KG60+KH58</f>
        <v>0</v>
      </c>
      <c r="KI59" s="40">
        <f t="shared" ref="KI59" ca="1" si="4143">KH59-KH60+KI58</f>
        <v>0</v>
      </c>
      <c r="KJ59" s="40">
        <f t="shared" ref="KJ59" ca="1" si="4144">KI59-KI60+KJ58</f>
        <v>0</v>
      </c>
      <c r="KK59" s="40">
        <f t="shared" ref="KK59" ca="1" si="4145">KJ59-KJ60+KK58</f>
        <v>0</v>
      </c>
      <c r="KL59" s="40">
        <f t="shared" ref="KL59" ca="1" si="4146">KK59-KK60+KL58</f>
        <v>0</v>
      </c>
      <c r="KM59" s="40">
        <f t="shared" ref="KM59" ca="1" si="4147">KL59-KL60+KM58</f>
        <v>0</v>
      </c>
      <c r="KN59" s="40">
        <f t="shared" ref="KN59" ca="1" si="4148">KM59-KM60+KN58</f>
        <v>0</v>
      </c>
      <c r="KO59" s="40">
        <f t="shared" ref="KO59" ca="1" si="4149">KN59-KN60+KO58</f>
        <v>0</v>
      </c>
      <c r="KP59" s="40">
        <f t="shared" ref="KP59" ca="1" si="4150">KO59-KO60+KP58</f>
        <v>0</v>
      </c>
      <c r="KQ59" s="40">
        <f t="shared" ref="KQ59" ca="1" si="4151">KP59-KP60+KQ58</f>
        <v>0</v>
      </c>
      <c r="KR59" s="40">
        <f t="shared" ref="KR59" ca="1" si="4152">KQ59-KQ60+KR58</f>
        <v>0</v>
      </c>
      <c r="KS59" s="40">
        <f t="shared" ref="KS59" ca="1" si="4153">KR59-KR60+KS58</f>
        <v>0</v>
      </c>
      <c r="KT59" s="40">
        <f t="shared" ref="KT59" ca="1" si="4154">KS59-KS60+KT58</f>
        <v>0</v>
      </c>
      <c r="KU59" s="40">
        <f t="shared" ref="KU59" ca="1" si="4155">KT59-KT60+KU58</f>
        <v>0</v>
      </c>
      <c r="KV59" s="40">
        <f t="shared" ref="KV59" ca="1" si="4156">KU59-KU60+KV58</f>
        <v>0</v>
      </c>
      <c r="KW59" s="40">
        <f t="shared" ref="KW59" ca="1" si="4157">KV59-KV60+KW58</f>
        <v>0</v>
      </c>
      <c r="KX59" s="40">
        <f t="shared" ref="KX59" ca="1" si="4158">KW59-KW60+KX58</f>
        <v>0</v>
      </c>
      <c r="KY59" s="40">
        <f t="shared" ref="KY59" ca="1" si="4159">KX59-KX60+KY58</f>
        <v>0</v>
      </c>
      <c r="KZ59" s="40">
        <f t="shared" ref="KZ59" ca="1" si="4160">KY59-KY60+KZ58</f>
        <v>0</v>
      </c>
      <c r="LA59" s="40">
        <f t="shared" ref="LA59" ca="1" si="4161">KZ59-KZ60+LA58</f>
        <v>0</v>
      </c>
      <c r="LB59" s="40">
        <f t="shared" ref="LB59" ca="1" si="4162">LA59-LA60+LB58</f>
        <v>0</v>
      </c>
      <c r="LC59" s="40">
        <f t="shared" ref="LC59" ca="1" si="4163">LB59-LB60+LC58</f>
        <v>0</v>
      </c>
      <c r="LD59" s="40">
        <f t="shared" ref="LD59" ca="1" si="4164">LC59-LC60+LD58</f>
        <v>0</v>
      </c>
      <c r="LE59" s="40">
        <f t="shared" ref="LE59" ca="1" si="4165">LD59-LD60+LE58</f>
        <v>0</v>
      </c>
      <c r="LF59" s="40">
        <f t="shared" ref="LF59" ca="1" si="4166">LE59-LE60+LF58</f>
        <v>0</v>
      </c>
      <c r="LG59" s="40">
        <f t="shared" ref="LG59" ca="1" si="4167">LF59-LF60+LG58</f>
        <v>0</v>
      </c>
      <c r="LH59" s="40">
        <f t="shared" ref="LH59" ca="1" si="4168">LG59-LG60+LH58</f>
        <v>0</v>
      </c>
      <c r="LI59" s="40">
        <f t="shared" ref="LI59" ca="1" si="4169">LH59-LH60+LI58</f>
        <v>0</v>
      </c>
      <c r="LJ59" s="40">
        <f t="shared" ref="LJ59" ca="1" si="4170">LI59-LI60+LJ58</f>
        <v>0</v>
      </c>
      <c r="LK59" s="40">
        <f t="shared" ref="LK59" ca="1" si="4171">LJ59-LJ60+LK58</f>
        <v>0</v>
      </c>
      <c r="LL59" s="40">
        <f t="shared" ref="LL59" ca="1" si="4172">LK59-LK60+LL58</f>
        <v>0</v>
      </c>
      <c r="LM59" s="40">
        <f t="shared" ref="LM59" ca="1" si="4173">LL59-LL60+LM58</f>
        <v>0</v>
      </c>
      <c r="LN59" s="40">
        <f t="shared" ref="LN59" ca="1" si="4174">LM59-LM60+LN58</f>
        <v>0</v>
      </c>
      <c r="LO59" s="40">
        <f t="shared" ref="LO59" ca="1" si="4175">LN59-LN60+LO58</f>
        <v>0</v>
      </c>
      <c r="LP59" s="40">
        <f t="shared" ref="LP59" ca="1" si="4176">LO59-LO60+LP58</f>
        <v>0</v>
      </c>
      <c r="LQ59" s="40">
        <f t="shared" ref="LQ59" ca="1" si="4177">LP59-LP60+LQ58</f>
        <v>0</v>
      </c>
      <c r="LR59" s="40">
        <f t="shared" ref="LR59" ca="1" si="4178">LQ59-LQ60+LR58</f>
        <v>0</v>
      </c>
      <c r="LS59" s="40">
        <f t="shared" ref="LS59" ca="1" si="4179">LR59-LR60+LS58</f>
        <v>0</v>
      </c>
      <c r="LT59" s="40">
        <f t="shared" ref="LT59" ca="1" si="4180">LS59-LS60+LT58</f>
        <v>0</v>
      </c>
      <c r="LU59" s="40">
        <f t="shared" ref="LU59" ca="1" si="4181">LT59-LT60+LU58</f>
        <v>0</v>
      </c>
      <c r="LV59" s="40">
        <f t="shared" ref="LV59" ca="1" si="4182">LU59-LU60+LV58</f>
        <v>0</v>
      </c>
      <c r="LW59" s="40">
        <f t="shared" ref="LW59" ca="1" si="4183">LV59-LV60+LW58</f>
        <v>0</v>
      </c>
      <c r="LX59" s="40">
        <f t="shared" ref="LX59" ca="1" si="4184">LW59-LW60+LX58</f>
        <v>0</v>
      </c>
      <c r="LY59" s="40">
        <f t="shared" ref="LY59" ca="1" si="4185">LX59-LX60+LY58</f>
        <v>0</v>
      </c>
      <c r="LZ59" s="40">
        <f t="shared" ref="LZ59" ca="1" si="4186">LY59-LY60+LZ58</f>
        <v>0</v>
      </c>
      <c r="MA59" s="40">
        <f t="shared" ref="MA59" ca="1" si="4187">LZ59-LZ60+MA58</f>
        <v>0</v>
      </c>
      <c r="MB59" s="40">
        <f t="shared" ref="MB59" ca="1" si="4188">MA59-MA60+MB58</f>
        <v>0</v>
      </c>
      <c r="MC59" s="40">
        <f t="shared" ref="MC59" ca="1" si="4189">MB59-MB60+MC58</f>
        <v>0</v>
      </c>
      <c r="MD59" s="40">
        <f t="shared" ref="MD59" ca="1" si="4190">MC59-MC60+MD58</f>
        <v>0</v>
      </c>
      <c r="ME59" s="40">
        <f t="shared" ref="ME59" ca="1" si="4191">MD59-MD60+ME58</f>
        <v>0</v>
      </c>
      <c r="MF59" s="40">
        <f t="shared" ref="MF59" ca="1" si="4192">ME59-ME60+MF58</f>
        <v>0</v>
      </c>
      <c r="MG59" s="40">
        <f t="shared" ref="MG59" ca="1" si="4193">MF59-MF60+MG58</f>
        <v>0</v>
      </c>
      <c r="MH59" s="40">
        <f t="shared" ref="MH59" ca="1" si="4194">MG59-MG60+MH58</f>
        <v>0</v>
      </c>
      <c r="MI59" s="40">
        <f t="shared" ref="MI59" ca="1" si="4195">MH59-MH60+MI58</f>
        <v>0</v>
      </c>
      <c r="MJ59" s="40">
        <f t="shared" ref="MJ59" ca="1" si="4196">MI59-MI60+MJ58</f>
        <v>0</v>
      </c>
      <c r="MK59" s="40">
        <f t="shared" ref="MK59" ca="1" si="4197">MJ59-MJ60+MK58</f>
        <v>0</v>
      </c>
      <c r="ML59" s="40">
        <f t="shared" ref="ML59" ca="1" si="4198">MK59-MK60+ML58</f>
        <v>0</v>
      </c>
      <c r="MM59" s="40">
        <f t="shared" ref="MM59" ca="1" si="4199">ML59-ML60+MM58</f>
        <v>0</v>
      </c>
      <c r="MN59" s="40">
        <f t="shared" ref="MN59" ca="1" si="4200">MM59-MM60+MN58</f>
        <v>0</v>
      </c>
      <c r="MO59" s="40">
        <f t="shared" ref="MO59" ca="1" si="4201">MN59-MN60+MO58</f>
        <v>0</v>
      </c>
      <c r="MP59" s="40">
        <f t="shared" ref="MP59" ca="1" si="4202">MO59-MO60+MP58</f>
        <v>0</v>
      </c>
      <c r="MQ59" s="40">
        <f t="shared" ref="MQ59" ca="1" si="4203">MP59-MP60+MQ58</f>
        <v>0</v>
      </c>
      <c r="MR59" s="40">
        <f t="shared" ref="MR59" ca="1" si="4204">MQ59-MQ60+MR58</f>
        <v>0</v>
      </c>
      <c r="MS59" s="40">
        <f t="shared" ref="MS59" ca="1" si="4205">MR59-MR60+MS58</f>
        <v>0</v>
      </c>
      <c r="MT59" s="40">
        <f t="shared" ref="MT59" ca="1" si="4206">MS59-MS60+MT58</f>
        <v>0</v>
      </c>
      <c r="MU59" s="40">
        <f t="shared" ref="MU59" ca="1" si="4207">MT59-MT60+MU58</f>
        <v>0</v>
      </c>
      <c r="MV59" s="40">
        <f t="shared" ref="MV59" ca="1" si="4208">MU59-MU60+MV58</f>
        <v>0</v>
      </c>
      <c r="MW59" s="40">
        <f t="shared" ref="MW59" ca="1" si="4209">MV59-MV60+MW58</f>
        <v>0</v>
      </c>
      <c r="MX59" s="40">
        <f t="shared" ref="MX59" ca="1" si="4210">MW59-MW60+MX58</f>
        <v>0</v>
      </c>
      <c r="MY59" s="40">
        <f t="shared" ref="MY59" ca="1" si="4211">MX59-MX60+MY58</f>
        <v>0</v>
      </c>
      <c r="MZ59" s="40">
        <f t="shared" ref="MZ59" ca="1" si="4212">MY59-MY60+MZ58</f>
        <v>0</v>
      </c>
      <c r="NA59" s="40">
        <f t="shared" ref="NA59" ca="1" si="4213">MZ59-MZ60+NA58</f>
        <v>0</v>
      </c>
      <c r="NB59" s="40">
        <f t="shared" ref="NB59" ca="1" si="4214">NA59-NA60+NB58</f>
        <v>0</v>
      </c>
      <c r="NC59" s="40">
        <f t="shared" ref="NC59" ca="1" si="4215">NB59-NB60+NC58</f>
        <v>0</v>
      </c>
      <c r="ND59" s="40">
        <f t="shared" ref="ND59" ca="1" si="4216">NC59-NC60+ND58</f>
        <v>0</v>
      </c>
      <c r="NE59" s="40"/>
      <c r="NF59" s="40"/>
      <c r="NG59" s="40"/>
      <c r="NH59" s="40"/>
      <c r="NI59" s="40"/>
      <c r="NJ59" s="40"/>
      <c r="NK59" s="40"/>
      <c r="NL59" s="40"/>
      <c r="NM59" s="40"/>
      <c r="NN59" s="40"/>
      <c r="NO59" s="40"/>
      <c r="NP59" s="40"/>
      <c r="NQ59" s="40"/>
      <c r="NR59" s="40"/>
    </row>
    <row r="60" spans="2:382" x14ac:dyDescent="0.15">
      <c r="B60" s="518"/>
      <c r="C60" s="115" t="str">
        <f>_xlfn.CONCAT($C$7," Preferred Return Paid")</f>
        <v>- Preferred Return Paid</v>
      </c>
      <c r="G60" s="12"/>
      <c r="I60" s="40">
        <f>IF(SUM(I$27,I$35,I$43,I$51,I$59)&gt;0,MIN(I59,I59/SUM(I$27,I$35,I$43,I$51,I$59)*I$23),0)</f>
        <v>0</v>
      </c>
      <c r="J60" s="40">
        <f>IF(SUM(J$27,J$35,J$43,J$51,J$59)&gt;0,MIN(J59,J59/SUM(J$27,J$35,J$43,J$51,J$59)*J$23),0)</f>
        <v>0</v>
      </c>
      <c r="K60" s="40">
        <f t="shared" ref="K60:BV60" si="4217">IF(SUM(K$27,K$35,K$43,K$51,K$59)&gt;0,MIN(K59,K59/SUM(K$27,K$35,K$43,K$51,K$59)*K$23),0)</f>
        <v>0</v>
      </c>
      <c r="L60" s="40">
        <f t="shared" si="4217"/>
        <v>0</v>
      </c>
      <c r="M60" s="40">
        <f t="shared" si="4217"/>
        <v>0</v>
      </c>
      <c r="N60" s="40">
        <f t="shared" si="4217"/>
        <v>0</v>
      </c>
      <c r="O60" s="40">
        <f t="shared" si="4217"/>
        <v>0</v>
      </c>
      <c r="P60" s="40">
        <f t="shared" si="4217"/>
        <v>0</v>
      </c>
      <c r="Q60" s="40">
        <f t="shared" si="4217"/>
        <v>0</v>
      </c>
      <c r="R60" s="40">
        <f t="shared" si="4217"/>
        <v>0</v>
      </c>
      <c r="S60" s="40">
        <f t="shared" si="4217"/>
        <v>0</v>
      </c>
      <c r="T60" s="40">
        <f t="shared" si="4217"/>
        <v>0</v>
      </c>
      <c r="U60" s="40">
        <f t="shared" si="4217"/>
        <v>0</v>
      </c>
      <c r="V60" s="40">
        <f t="shared" si="4217"/>
        <v>0</v>
      </c>
      <c r="W60" s="40">
        <f t="shared" si="4217"/>
        <v>0</v>
      </c>
      <c r="X60" s="40">
        <f t="shared" si="4217"/>
        <v>0</v>
      </c>
      <c r="Y60" s="40">
        <f t="shared" si="4217"/>
        <v>0</v>
      </c>
      <c r="Z60" s="40">
        <f t="shared" si="4217"/>
        <v>0</v>
      </c>
      <c r="AA60" s="40">
        <f t="shared" si="4217"/>
        <v>0</v>
      </c>
      <c r="AB60" s="40">
        <f t="shared" si="4217"/>
        <v>0</v>
      </c>
      <c r="AC60" s="40">
        <f t="shared" si="4217"/>
        <v>0</v>
      </c>
      <c r="AD60" s="40">
        <f t="shared" si="4217"/>
        <v>0</v>
      </c>
      <c r="AE60" s="40">
        <f t="shared" si="4217"/>
        <v>0</v>
      </c>
      <c r="AF60" s="40">
        <f t="shared" si="4217"/>
        <v>0</v>
      </c>
      <c r="AG60" s="40">
        <f t="shared" si="4217"/>
        <v>0</v>
      </c>
      <c r="AH60" s="40">
        <f t="shared" si="4217"/>
        <v>0</v>
      </c>
      <c r="AI60" s="40">
        <f t="shared" si="4217"/>
        <v>0</v>
      </c>
      <c r="AJ60" s="40">
        <f t="shared" si="4217"/>
        <v>0</v>
      </c>
      <c r="AK60" s="40">
        <f t="shared" si="4217"/>
        <v>0</v>
      </c>
      <c r="AL60" s="40">
        <f t="shared" si="4217"/>
        <v>0</v>
      </c>
      <c r="AM60" s="40">
        <f t="shared" si="4217"/>
        <v>0</v>
      </c>
      <c r="AN60" s="40">
        <f t="shared" si="4217"/>
        <v>0</v>
      </c>
      <c r="AO60" s="40">
        <f t="shared" si="4217"/>
        <v>0</v>
      </c>
      <c r="AP60" s="40">
        <f t="shared" si="4217"/>
        <v>0</v>
      </c>
      <c r="AQ60" s="40">
        <f t="shared" si="4217"/>
        <v>0</v>
      </c>
      <c r="AR60" s="40">
        <f t="shared" si="4217"/>
        <v>0</v>
      </c>
      <c r="AS60" s="40">
        <f t="shared" si="4217"/>
        <v>0</v>
      </c>
      <c r="AT60" s="40">
        <f t="shared" si="4217"/>
        <v>0</v>
      </c>
      <c r="AU60" s="40">
        <f t="shared" si="4217"/>
        <v>0</v>
      </c>
      <c r="AV60" s="40">
        <f t="shared" si="4217"/>
        <v>0</v>
      </c>
      <c r="AW60" s="40">
        <f t="shared" si="4217"/>
        <v>0</v>
      </c>
      <c r="AX60" s="40">
        <f t="shared" si="4217"/>
        <v>0</v>
      </c>
      <c r="AY60" s="40">
        <f t="shared" si="4217"/>
        <v>0</v>
      </c>
      <c r="AZ60" s="40">
        <f t="shared" si="4217"/>
        <v>0</v>
      </c>
      <c r="BA60" s="40">
        <f t="shared" si="4217"/>
        <v>0</v>
      </c>
      <c r="BB60" s="40">
        <f t="shared" si="4217"/>
        <v>0</v>
      </c>
      <c r="BC60" s="40">
        <f t="shared" si="4217"/>
        <v>0</v>
      </c>
      <c r="BD60" s="40">
        <f t="shared" si="4217"/>
        <v>0</v>
      </c>
      <c r="BE60" s="40">
        <f t="shared" si="4217"/>
        <v>0</v>
      </c>
      <c r="BF60" s="40">
        <f t="shared" si="4217"/>
        <v>0</v>
      </c>
      <c r="BG60" s="40">
        <f t="shared" si="4217"/>
        <v>0</v>
      </c>
      <c r="BH60" s="40">
        <f t="shared" si="4217"/>
        <v>0</v>
      </c>
      <c r="BI60" s="40">
        <f t="shared" si="4217"/>
        <v>0</v>
      </c>
      <c r="BJ60" s="40">
        <f t="shared" si="4217"/>
        <v>0</v>
      </c>
      <c r="BK60" s="40">
        <f t="shared" si="4217"/>
        <v>0</v>
      </c>
      <c r="BL60" s="40">
        <f t="shared" si="4217"/>
        <v>0</v>
      </c>
      <c r="BM60" s="40">
        <f t="shared" si="4217"/>
        <v>0</v>
      </c>
      <c r="BN60" s="40">
        <f t="shared" si="4217"/>
        <v>0</v>
      </c>
      <c r="BO60" s="40">
        <f t="shared" si="4217"/>
        <v>0</v>
      </c>
      <c r="BP60" s="40">
        <f t="shared" si="4217"/>
        <v>0</v>
      </c>
      <c r="BQ60" s="40">
        <f t="shared" si="4217"/>
        <v>0</v>
      </c>
      <c r="BR60" s="40">
        <f t="shared" si="4217"/>
        <v>0</v>
      </c>
      <c r="BS60" s="40">
        <f t="shared" si="4217"/>
        <v>0</v>
      </c>
      <c r="BT60" s="40">
        <f t="shared" si="4217"/>
        <v>0</v>
      </c>
      <c r="BU60" s="40">
        <f t="shared" si="4217"/>
        <v>0</v>
      </c>
      <c r="BV60" s="40">
        <f t="shared" si="4217"/>
        <v>0</v>
      </c>
      <c r="BW60" s="40">
        <f t="shared" ref="BW60:EH60" si="4218">IF(SUM(BW$27,BW$35,BW$43,BW$51,BW$59)&gt;0,MIN(BW59,BW59/SUM(BW$27,BW$35,BW$43,BW$51,BW$59)*BW$23),0)</f>
        <v>0</v>
      </c>
      <c r="BX60" s="40">
        <f t="shared" si="4218"/>
        <v>0</v>
      </c>
      <c r="BY60" s="40">
        <f t="shared" si="4218"/>
        <v>0</v>
      </c>
      <c r="BZ60" s="40">
        <f t="shared" si="4218"/>
        <v>0</v>
      </c>
      <c r="CA60" s="40">
        <f t="shared" si="4218"/>
        <v>0</v>
      </c>
      <c r="CB60" s="40">
        <f t="shared" si="4218"/>
        <v>0</v>
      </c>
      <c r="CC60" s="40">
        <f t="shared" si="4218"/>
        <v>0</v>
      </c>
      <c r="CD60" s="40">
        <f t="shared" si="4218"/>
        <v>0</v>
      </c>
      <c r="CE60" s="40">
        <f t="shared" si="4218"/>
        <v>0</v>
      </c>
      <c r="CF60" s="40">
        <f t="shared" si="4218"/>
        <v>0</v>
      </c>
      <c r="CG60" s="40">
        <f t="shared" si="4218"/>
        <v>0</v>
      </c>
      <c r="CH60" s="40">
        <f t="shared" si="4218"/>
        <v>0</v>
      </c>
      <c r="CI60" s="40">
        <f t="shared" si="4218"/>
        <v>0</v>
      </c>
      <c r="CJ60" s="40">
        <f t="shared" si="4218"/>
        <v>0</v>
      </c>
      <c r="CK60" s="40">
        <f t="shared" si="4218"/>
        <v>0</v>
      </c>
      <c r="CL60" s="40">
        <f t="shared" si="4218"/>
        <v>0</v>
      </c>
      <c r="CM60" s="40">
        <f t="shared" si="4218"/>
        <v>0</v>
      </c>
      <c r="CN60" s="40">
        <f t="shared" si="4218"/>
        <v>0</v>
      </c>
      <c r="CO60" s="40">
        <f t="shared" si="4218"/>
        <v>0</v>
      </c>
      <c r="CP60" s="40">
        <f t="shared" si="4218"/>
        <v>0</v>
      </c>
      <c r="CQ60" s="40">
        <f t="shared" si="4218"/>
        <v>0</v>
      </c>
      <c r="CR60" s="40">
        <f t="shared" si="4218"/>
        <v>0</v>
      </c>
      <c r="CS60" s="40">
        <f t="shared" si="4218"/>
        <v>0</v>
      </c>
      <c r="CT60" s="40">
        <f t="shared" si="4218"/>
        <v>0</v>
      </c>
      <c r="CU60" s="40">
        <f t="shared" si="4218"/>
        <v>0</v>
      </c>
      <c r="CV60" s="40">
        <f t="shared" si="4218"/>
        <v>0</v>
      </c>
      <c r="CW60" s="40">
        <f t="shared" si="4218"/>
        <v>0</v>
      </c>
      <c r="CX60" s="40">
        <f t="shared" si="4218"/>
        <v>0</v>
      </c>
      <c r="CY60" s="40">
        <f t="shared" si="4218"/>
        <v>0</v>
      </c>
      <c r="CZ60" s="40">
        <f t="shared" si="4218"/>
        <v>0</v>
      </c>
      <c r="DA60" s="40">
        <f t="shared" si="4218"/>
        <v>0</v>
      </c>
      <c r="DB60" s="40">
        <f t="shared" si="4218"/>
        <v>0</v>
      </c>
      <c r="DC60" s="40">
        <f t="shared" si="4218"/>
        <v>0</v>
      </c>
      <c r="DD60" s="40">
        <f t="shared" si="4218"/>
        <v>0</v>
      </c>
      <c r="DE60" s="40">
        <f t="shared" si="4218"/>
        <v>0</v>
      </c>
      <c r="DF60" s="40">
        <f t="shared" si="4218"/>
        <v>0</v>
      </c>
      <c r="DG60" s="40">
        <f t="shared" si="4218"/>
        <v>0</v>
      </c>
      <c r="DH60" s="40">
        <f t="shared" si="4218"/>
        <v>0</v>
      </c>
      <c r="DI60" s="40">
        <f t="shared" si="4218"/>
        <v>0</v>
      </c>
      <c r="DJ60" s="40">
        <f t="shared" si="4218"/>
        <v>0</v>
      </c>
      <c r="DK60" s="40">
        <f t="shared" si="4218"/>
        <v>0</v>
      </c>
      <c r="DL60" s="40">
        <f t="shared" si="4218"/>
        <v>0</v>
      </c>
      <c r="DM60" s="40">
        <f t="shared" si="4218"/>
        <v>0</v>
      </c>
      <c r="DN60" s="40">
        <f t="shared" si="4218"/>
        <v>0</v>
      </c>
      <c r="DO60" s="40">
        <f t="shared" si="4218"/>
        <v>0</v>
      </c>
      <c r="DP60" s="40">
        <f t="shared" si="4218"/>
        <v>0</v>
      </c>
      <c r="DQ60" s="40">
        <f t="shared" si="4218"/>
        <v>0</v>
      </c>
      <c r="DR60" s="40">
        <f t="shared" si="4218"/>
        <v>0</v>
      </c>
      <c r="DS60" s="40">
        <f t="shared" si="4218"/>
        <v>0</v>
      </c>
      <c r="DT60" s="40">
        <f t="shared" si="4218"/>
        <v>0</v>
      </c>
      <c r="DU60" s="40">
        <f t="shared" si="4218"/>
        <v>0</v>
      </c>
      <c r="DV60" s="40">
        <f t="shared" si="4218"/>
        <v>0</v>
      </c>
      <c r="DW60" s="40">
        <f t="shared" si="4218"/>
        <v>0</v>
      </c>
      <c r="DX60" s="40">
        <f t="shared" si="4218"/>
        <v>0</v>
      </c>
      <c r="DY60" s="40">
        <f t="shared" si="4218"/>
        <v>0</v>
      </c>
      <c r="DZ60" s="40">
        <f t="shared" si="4218"/>
        <v>0</v>
      </c>
      <c r="EA60" s="40">
        <f t="shared" si="4218"/>
        <v>0</v>
      </c>
      <c r="EB60" s="40">
        <f t="shared" si="4218"/>
        <v>0</v>
      </c>
      <c r="EC60" s="40">
        <f t="shared" si="4218"/>
        <v>0</v>
      </c>
      <c r="ED60" s="40">
        <f t="shared" si="4218"/>
        <v>0</v>
      </c>
      <c r="EE60" s="40">
        <f t="shared" si="4218"/>
        <v>0</v>
      </c>
      <c r="EF60" s="40">
        <f t="shared" si="4218"/>
        <v>0</v>
      </c>
      <c r="EG60" s="40">
        <f t="shared" si="4218"/>
        <v>0</v>
      </c>
      <c r="EH60" s="40">
        <f t="shared" si="4218"/>
        <v>0</v>
      </c>
      <c r="EI60" s="40">
        <f t="shared" ref="EI60:GT60" si="4219">IF(SUM(EI$27,EI$35,EI$43,EI$51,EI$59)&gt;0,MIN(EI59,EI59/SUM(EI$27,EI$35,EI$43,EI$51,EI$59)*EI$23),0)</f>
        <v>0</v>
      </c>
      <c r="EJ60" s="40">
        <f t="shared" si="4219"/>
        <v>0</v>
      </c>
      <c r="EK60" s="40">
        <f t="shared" si="4219"/>
        <v>0</v>
      </c>
      <c r="EL60" s="40">
        <f t="shared" si="4219"/>
        <v>0</v>
      </c>
      <c r="EM60" s="40">
        <f t="shared" si="4219"/>
        <v>0</v>
      </c>
      <c r="EN60" s="40">
        <f t="shared" si="4219"/>
        <v>0</v>
      </c>
      <c r="EO60" s="40">
        <f t="shared" si="4219"/>
        <v>0</v>
      </c>
      <c r="EP60" s="40">
        <f t="shared" si="4219"/>
        <v>0</v>
      </c>
      <c r="EQ60" s="40">
        <f t="shared" si="4219"/>
        <v>0</v>
      </c>
      <c r="ER60" s="40">
        <f t="shared" si="4219"/>
        <v>0</v>
      </c>
      <c r="ES60" s="40">
        <f t="shared" si="4219"/>
        <v>0</v>
      </c>
      <c r="ET60" s="40">
        <f t="shared" si="4219"/>
        <v>0</v>
      </c>
      <c r="EU60" s="40">
        <f t="shared" si="4219"/>
        <v>0</v>
      </c>
      <c r="EV60" s="40">
        <f t="shared" si="4219"/>
        <v>0</v>
      </c>
      <c r="EW60" s="40">
        <f t="shared" si="4219"/>
        <v>0</v>
      </c>
      <c r="EX60" s="40">
        <f t="shared" si="4219"/>
        <v>0</v>
      </c>
      <c r="EY60" s="40">
        <f t="shared" si="4219"/>
        <v>0</v>
      </c>
      <c r="EZ60" s="40">
        <f t="shared" si="4219"/>
        <v>0</v>
      </c>
      <c r="FA60" s="40">
        <f t="shared" si="4219"/>
        <v>0</v>
      </c>
      <c r="FB60" s="40">
        <f t="shared" si="4219"/>
        <v>0</v>
      </c>
      <c r="FC60" s="40">
        <f t="shared" si="4219"/>
        <v>0</v>
      </c>
      <c r="FD60" s="40">
        <f t="shared" si="4219"/>
        <v>0</v>
      </c>
      <c r="FE60" s="40">
        <f t="shared" si="4219"/>
        <v>0</v>
      </c>
      <c r="FF60" s="40">
        <f t="shared" si="4219"/>
        <v>0</v>
      </c>
      <c r="FG60" s="40">
        <f t="shared" si="4219"/>
        <v>0</v>
      </c>
      <c r="FH60" s="40">
        <f t="shared" si="4219"/>
        <v>0</v>
      </c>
      <c r="FI60" s="40">
        <f t="shared" si="4219"/>
        <v>0</v>
      </c>
      <c r="FJ60" s="40">
        <f t="shared" si="4219"/>
        <v>0</v>
      </c>
      <c r="FK60" s="40">
        <f t="shared" si="4219"/>
        <v>0</v>
      </c>
      <c r="FL60" s="40">
        <f t="shared" si="4219"/>
        <v>0</v>
      </c>
      <c r="FM60" s="40">
        <f t="shared" si="4219"/>
        <v>0</v>
      </c>
      <c r="FN60" s="40">
        <f t="shared" si="4219"/>
        <v>0</v>
      </c>
      <c r="FO60" s="40">
        <f t="shared" si="4219"/>
        <v>0</v>
      </c>
      <c r="FP60" s="40">
        <f t="shared" si="4219"/>
        <v>0</v>
      </c>
      <c r="FQ60" s="40">
        <f t="shared" si="4219"/>
        <v>0</v>
      </c>
      <c r="FR60" s="40">
        <f t="shared" si="4219"/>
        <v>0</v>
      </c>
      <c r="FS60" s="40">
        <f t="shared" si="4219"/>
        <v>0</v>
      </c>
      <c r="FT60" s="40">
        <f t="shared" si="4219"/>
        <v>0</v>
      </c>
      <c r="FU60" s="40">
        <f t="shared" si="4219"/>
        <v>0</v>
      </c>
      <c r="FV60" s="40">
        <f t="shared" si="4219"/>
        <v>0</v>
      </c>
      <c r="FW60" s="40">
        <f t="shared" si="4219"/>
        <v>0</v>
      </c>
      <c r="FX60" s="40">
        <f t="shared" si="4219"/>
        <v>0</v>
      </c>
      <c r="FY60" s="40">
        <f t="shared" si="4219"/>
        <v>0</v>
      </c>
      <c r="FZ60" s="40">
        <f t="shared" si="4219"/>
        <v>0</v>
      </c>
      <c r="GA60" s="40">
        <f t="shared" si="4219"/>
        <v>0</v>
      </c>
      <c r="GB60" s="40">
        <f t="shared" si="4219"/>
        <v>0</v>
      </c>
      <c r="GC60" s="40">
        <f t="shared" si="4219"/>
        <v>0</v>
      </c>
      <c r="GD60" s="40">
        <f t="shared" si="4219"/>
        <v>0</v>
      </c>
      <c r="GE60" s="40">
        <f t="shared" si="4219"/>
        <v>0</v>
      </c>
      <c r="GF60" s="40">
        <f t="shared" ca="1" si="4219"/>
        <v>0</v>
      </c>
      <c r="GG60" s="40">
        <f t="shared" ca="1" si="4219"/>
        <v>0</v>
      </c>
      <c r="GH60" s="40">
        <f t="shared" ca="1" si="4219"/>
        <v>0</v>
      </c>
      <c r="GI60" s="40">
        <f t="shared" ca="1" si="4219"/>
        <v>0</v>
      </c>
      <c r="GJ60" s="40">
        <f t="shared" ca="1" si="4219"/>
        <v>0</v>
      </c>
      <c r="GK60" s="40">
        <f t="shared" ca="1" si="4219"/>
        <v>0</v>
      </c>
      <c r="GL60" s="40">
        <f t="shared" ca="1" si="4219"/>
        <v>0</v>
      </c>
      <c r="GM60" s="40">
        <f t="shared" ca="1" si="4219"/>
        <v>0</v>
      </c>
      <c r="GN60" s="40">
        <f t="shared" ca="1" si="4219"/>
        <v>0</v>
      </c>
      <c r="GO60" s="40">
        <f t="shared" ca="1" si="4219"/>
        <v>0</v>
      </c>
      <c r="GP60" s="40">
        <f t="shared" ca="1" si="4219"/>
        <v>0</v>
      </c>
      <c r="GQ60" s="40">
        <f t="shared" ca="1" si="4219"/>
        <v>0</v>
      </c>
      <c r="GR60" s="40">
        <f t="shared" ca="1" si="4219"/>
        <v>0</v>
      </c>
      <c r="GS60" s="40">
        <f t="shared" ca="1" si="4219"/>
        <v>0</v>
      </c>
      <c r="GT60" s="40">
        <f t="shared" ca="1" si="4219"/>
        <v>0</v>
      </c>
      <c r="GU60" s="40">
        <f t="shared" ref="GU60:IN60" ca="1" si="4220">IF(SUM(GU$27,GU$35,GU$43,GU$51,GU$59)&gt;0,MIN(GU59,GU59/SUM(GU$27,GU$35,GU$43,GU$51,GU$59)*GU$23),0)</f>
        <v>0</v>
      </c>
      <c r="GV60" s="40">
        <f t="shared" ca="1" si="4220"/>
        <v>0</v>
      </c>
      <c r="GW60" s="40">
        <f t="shared" ca="1" si="4220"/>
        <v>0</v>
      </c>
      <c r="GX60" s="40">
        <f t="shared" ca="1" si="4220"/>
        <v>0</v>
      </c>
      <c r="GY60" s="40">
        <f t="shared" ca="1" si="4220"/>
        <v>0</v>
      </c>
      <c r="GZ60" s="40">
        <f t="shared" ca="1" si="4220"/>
        <v>0</v>
      </c>
      <c r="HA60" s="40">
        <f t="shared" ca="1" si="4220"/>
        <v>0</v>
      </c>
      <c r="HB60" s="40">
        <f t="shared" ca="1" si="4220"/>
        <v>0</v>
      </c>
      <c r="HC60" s="40">
        <f t="shared" ca="1" si="4220"/>
        <v>0</v>
      </c>
      <c r="HD60" s="40">
        <f t="shared" ca="1" si="4220"/>
        <v>0</v>
      </c>
      <c r="HE60" s="40">
        <f t="shared" ca="1" si="4220"/>
        <v>0</v>
      </c>
      <c r="HF60" s="40">
        <f t="shared" ca="1" si="4220"/>
        <v>0</v>
      </c>
      <c r="HG60" s="40">
        <f t="shared" ca="1" si="4220"/>
        <v>0</v>
      </c>
      <c r="HH60" s="40">
        <f t="shared" ca="1" si="4220"/>
        <v>0</v>
      </c>
      <c r="HI60" s="40">
        <f t="shared" ca="1" si="4220"/>
        <v>0</v>
      </c>
      <c r="HJ60" s="40">
        <f t="shared" ca="1" si="4220"/>
        <v>0</v>
      </c>
      <c r="HK60" s="40">
        <f t="shared" ca="1" si="4220"/>
        <v>0</v>
      </c>
      <c r="HL60" s="40">
        <f t="shared" ca="1" si="4220"/>
        <v>0</v>
      </c>
      <c r="HM60" s="40">
        <f t="shared" ca="1" si="4220"/>
        <v>0</v>
      </c>
      <c r="HN60" s="40">
        <f t="shared" ca="1" si="4220"/>
        <v>0</v>
      </c>
      <c r="HO60" s="40">
        <f t="shared" ca="1" si="4220"/>
        <v>0</v>
      </c>
      <c r="HP60" s="40">
        <f t="shared" ca="1" si="4220"/>
        <v>0</v>
      </c>
      <c r="HQ60" s="40">
        <f t="shared" ca="1" si="4220"/>
        <v>0</v>
      </c>
      <c r="HR60" s="40">
        <f t="shared" ca="1" si="4220"/>
        <v>0</v>
      </c>
      <c r="HS60" s="40">
        <f t="shared" ca="1" si="4220"/>
        <v>0</v>
      </c>
      <c r="HT60" s="40">
        <f t="shared" ca="1" si="4220"/>
        <v>0</v>
      </c>
      <c r="HU60" s="40">
        <f t="shared" ca="1" si="4220"/>
        <v>0</v>
      </c>
      <c r="HV60" s="40">
        <f t="shared" ca="1" si="4220"/>
        <v>0</v>
      </c>
      <c r="HW60" s="40">
        <f t="shared" ca="1" si="4220"/>
        <v>0</v>
      </c>
      <c r="HX60" s="40">
        <f t="shared" ca="1" si="4220"/>
        <v>0</v>
      </c>
      <c r="HY60" s="40">
        <f t="shared" ca="1" si="4220"/>
        <v>0</v>
      </c>
      <c r="HZ60" s="40">
        <f t="shared" ca="1" si="4220"/>
        <v>0</v>
      </c>
      <c r="IA60" s="40">
        <f t="shared" ca="1" si="4220"/>
        <v>0</v>
      </c>
      <c r="IB60" s="40">
        <f t="shared" ca="1" si="4220"/>
        <v>0</v>
      </c>
      <c r="IC60" s="40">
        <f t="shared" ca="1" si="4220"/>
        <v>0</v>
      </c>
      <c r="ID60" s="40">
        <f t="shared" ca="1" si="4220"/>
        <v>0</v>
      </c>
      <c r="IE60" s="40">
        <f t="shared" ca="1" si="4220"/>
        <v>0</v>
      </c>
      <c r="IF60" s="40">
        <f t="shared" ca="1" si="4220"/>
        <v>0</v>
      </c>
      <c r="IG60" s="40">
        <f t="shared" ca="1" si="4220"/>
        <v>0</v>
      </c>
      <c r="IH60" s="40">
        <f t="shared" ca="1" si="4220"/>
        <v>0</v>
      </c>
      <c r="II60" s="40">
        <f t="shared" ca="1" si="4220"/>
        <v>0</v>
      </c>
      <c r="IJ60" s="40">
        <f t="shared" ca="1" si="4220"/>
        <v>0</v>
      </c>
      <c r="IK60" s="40">
        <f t="shared" ca="1" si="4220"/>
        <v>0</v>
      </c>
      <c r="IL60" s="40">
        <f t="shared" ca="1" si="4220"/>
        <v>0</v>
      </c>
      <c r="IM60" s="40">
        <f t="shared" ca="1" si="4220"/>
        <v>0</v>
      </c>
      <c r="IN60" s="40">
        <f t="shared" ca="1" si="4220"/>
        <v>0</v>
      </c>
      <c r="IO60" s="40">
        <f t="shared" ref="IO60:KZ60" ca="1" si="4221">IF(SUM(IO$27,IO$35,IO$43,IO$51,IO$59)&gt;0,MIN(IO59,IO59/SUM(IO$27,IO$35,IO$43,IO$51,IO$59)*IO$23),0)</f>
        <v>0</v>
      </c>
      <c r="IP60" s="40">
        <f t="shared" ca="1" si="4221"/>
        <v>0</v>
      </c>
      <c r="IQ60" s="40">
        <f t="shared" ca="1" si="4221"/>
        <v>0</v>
      </c>
      <c r="IR60" s="40">
        <f t="shared" ca="1" si="4221"/>
        <v>0</v>
      </c>
      <c r="IS60" s="40">
        <f t="shared" ca="1" si="4221"/>
        <v>0</v>
      </c>
      <c r="IT60" s="40">
        <f t="shared" ca="1" si="4221"/>
        <v>0</v>
      </c>
      <c r="IU60" s="40">
        <f t="shared" ca="1" si="4221"/>
        <v>0</v>
      </c>
      <c r="IV60" s="40">
        <f t="shared" ca="1" si="4221"/>
        <v>0</v>
      </c>
      <c r="IW60" s="40">
        <f t="shared" ca="1" si="4221"/>
        <v>0</v>
      </c>
      <c r="IX60" s="40">
        <f t="shared" ca="1" si="4221"/>
        <v>0</v>
      </c>
      <c r="IY60" s="40">
        <f t="shared" ca="1" si="4221"/>
        <v>0</v>
      </c>
      <c r="IZ60" s="40">
        <f t="shared" ca="1" si="4221"/>
        <v>0</v>
      </c>
      <c r="JA60" s="40">
        <f t="shared" ca="1" si="4221"/>
        <v>0</v>
      </c>
      <c r="JB60" s="40">
        <f t="shared" ca="1" si="4221"/>
        <v>0</v>
      </c>
      <c r="JC60" s="40">
        <f t="shared" ca="1" si="4221"/>
        <v>0</v>
      </c>
      <c r="JD60" s="40">
        <f t="shared" ca="1" si="4221"/>
        <v>0</v>
      </c>
      <c r="JE60" s="40">
        <f t="shared" ca="1" si="4221"/>
        <v>0</v>
      </c>
      <c r="JF60" s="40">
        <f t="shared" ca="1" si="4221"/>
        <v>0</v>
      </c>
      <c r="JG60" s="40">
        <f t="shared" ca="1" si="4221"/>
        <v>0</v>
      </c>
      <c r="JH60" s="40">
        <f t="shared" ca="1" si="4221"/>
        <v>0</v>
      </c>
      <c r="JI60" s="40">
        <f t="shared" ca="1" si="4221"/>
        <v>0</v>
      </c>
      <c r="JJ60" s="40">
        <f t="shared" ca="1" si="4221"/>
        <v>0</v>
      </c>
      <c r="JK60" s="40">
        <f t="shared" ca="1" si="4221"/>
        <v>0</v>
      </c>
      <c r="JL60" s="40">
        <f t="shared" ca="1" si="4221"/>
        <v>0</v>
      </c>
      <c r="JM60" s="40">
        <f t="shared" ca="1" si="4221"/>
        <v>0</v>
      </c>
      <c r="JN60" s="40">
        <f t="shared" ca="1" si="4221"/>
        <v>0</v>
      </c>
      <c r="JO60" s="40">
        <f t="shared" ca="1" si="4221"/>
        <v>0</v>
      </c>
      <c r="JP60" s="40">
        <f t="shared" ca="1" si="4221"/>
        <v>0</v>
      </c>
      <c r="JQ60" s="40">
        <f t="shared" ca="1" si="4221"/>
        <v>0</v>
      </c>
      <c r="JR60" s="40">
        <f t="shared" ca="1" si="4221"/>
        <v>0</v>
      </c>
      <c r="JS60" s="40">
        <f t="shared" ca="1" si="4221"/>
        <v>0</v>
      </c>
      <c r="JT60" s="40">
        <f t="shared" ca="1" si="4221"/>
        <v>0</v>
      </c>
      <c r="JU60" s="40">
        <f t="shared" ca="1" si="4221"/>
        <v>0</v>
      </c>
      <c r="JV60" s="40">
        <f t="shared" ca="1" si="4221"/>
        <v>0</v>
      </c>
      <c r="JW60" s="40">
        <f t="shared" ca="1" si="4221"/>
        <v>0</v>
      </c>
      <c r="JX60" s="40">
        <f t="shared" ca="1" si="4221"/>
        <v>0</v>
      </c>
      <c r="JY60" s="40">
        <f t="shared" ca="1" si="4221"/>
        <v>0</v>
      </c>
      <c r="JZ60" s="40">
        <f t="shared" ca="1" si="4221"/>
        <v>0</v>
      </c>
      <c r="KA60" s="40">
        <f t="shared" ca="1" si="4221"/>
        <v>0</v>
      </c>
      <c r="KB60" s="40">
        <f t="shared" ca="1" si="4221"/>
        <v>0</v>
      </c>
      <c r="KC60" s="40">
        <f t="shared" ca="1" si="4221"/>
        <v>0</v>
      </c>
      <c r="KD60" s="40">
        <f t="shared" ca="1" si="4221"/>
        <v>0</v>
      </c>
      <c r="KE60" s="40">
        <f t="shared" ca="1" si="4221"/>
        <v>0</v>
      </c>
      <c r="KF60" s="40">
        <f t="shared" ca="1" si="4221"/>
        <v>0</v>
      </c>
      <c r="KG60" s="40">
        <f t="shared" ca="1" si="4221"/>
        <v>0</v>
      </c>
      <c r="KH60" s="40">
        <f t="shared" ca="1" si="4221"/>
        <v>0</v>
      </c>
      <c r="KI60" s="40">
        <f t="shared" ca="1" si="4221"/>
        <v>0</v>
      </c>
      <c r="KJ60" s="40">
        <f t="shared" ca="1" si="4221"/>
        <v>0</v>
      </c>
      <c r="KK60" s="40">
        <f t="shared" ca="1" si="4221"/>
        <v>0</v>
      </c>
      <c r="KL60" s="40">
        <f t="shared" ca="1" si="4221"/>
        <v>0</v>
      </c>
      <c r="KM60" s="40">
        <f t="shared" ca="1" si="4221"/>
        <v>0</v>
      </c>
      <c r="KN60" s="40">
        <f t="shared" ca="1" si="4221"/>
        <v>0</v>
      </c>
      <c r="KO60" s="40">
        <f t="shared" ca="1" si="4221"/>
        <v>0</v>
      </c>
      <c r="KP60" s="40">
        <f t="shared" ca="1" si="4221"/>
        <v>0</v>
      </c>
      <c r="KQ60" s="40">
        <f t="shared" ca="1" si="4221"/>
        <v>0</v>
      </c>
      <c r="KR60" s="40">
        <f t="shared" ca="1" si="4221"/>
        <v>0</v>
      </c>
      <c r="KS60" s="40">
        <f t="shared" ca="1" si="4221"/>
        <v>0</v>
      </c>
      <c r="KT60" s="40">
        <f t="shared" ca="1" si="4221"/>
        <v>0</v>
      </c>
      <c r="KU60" s="40">
        <f t="shared" ca="1" si="4221"/>
        <v>0</v>
      </c>
      <c r="KV60" s="40">
        <f t="shared" ca="1" si="4221"/>
        <v>0</v>
      </c>
      <c r="KW60" s="40">
        <f t="shared" ca="1" si="4221"/>
        <v>0</v>
      </c>
      <c r="KX60" s="40">
        <f t="shared" ca="1" si="4221"/>
        <v>0</v>
      </c>
      <c r="KY60" s="40">
        <f t="shared" ca="1" si="4221"/>
        <v>0</v>
      </c>
      <c r="KZ60" s="40">
        <f t="shared" ca="1" si="4221"/>
        <v>0</v>
      </c>
      <c r="LA60" s="40">
        <f t="shared" ref="LA60:ND60" ca="1" si="4222">IF(SUM(LA$27,LA$35,LA$43,LA$51,LA$59)&gt;0,MIN(LA59,LA59/SUM(LA$27,LA$35,LA$43,LA$51,LA$59)*LA$23),0)</f>
        <v>0</v>
      </c>
      <c r="LB60" s="40">
        <f t="shared" ca="1" si="4222"/>
        <v>0</v>
      </c>
      <c r="LC60" s="40">
        <f t="shared" ca="1" si="4222"/>
        <v>0</v>
      </c>
      <c r="LD60" s="40">
        <f t="shared" ca="1" si="4222"/>
        <v>0</v>
      </c>
      <c r="LE60" s="40">
        <f t="shared" ca="1" si="4222"/>
        <v>0</v>
      </c>
      <c r="LF60" s="40">
        <f t="shared" ca="1" si="4222"/>
        <v>0</v>
      </c>
      <c r="LG60" s="40">
        <f t="shared" ca="1" si="4222"/>
        <v>0</v>
      </c>
      <c r="LH60" s="40">
        <f t="shared" ca="1" si="4222"/>
        <v>0</v>
      </c>
      <c r="LI60" s="40">
        <f t="shared" ca="1" si="4222"/>
        <v>0</v>
      </c>
      <c r="LJ60" s="40">
        <f t="shared" ca="1" si="4222"/>
        <v>0</v>
      </c>
      <c r="LK60" s="40">
        <f t="shared" ca="1" si="4222"/>
        <v>0</v>
      </c>
      <c r="LL60" s="40">
        <f t="shared" ca="1" si="4222"/>
        <v>0</v>
      </c>
      <c r="LM60" s="40">
        <f t="shared" ca="1" si="4222"/>
        <v>0</v>
      </c>
      <c r="LN60" s="40">
        <f t="shared" ca="1" si="4222"/>
        <v>0</v>
      </c>
      <c r="LO60" s="40">
        <f t="shared" ca="1" si="4222"/>
        <v>0</v>
      </c>
      <c r="LP60" s="40">
        <f t="shared" ca="1" si="4222"/>
        <v>0</v>
      </c>
      <c r="LQ60" s="40">
        <f t="shared" ca="1" si="4222"/>
        <v>0</v>
      </c>
      <c r="LR60" s="40">
        <f t="shared" ca="1" si="4222"/>
        <v>0</v>
      </c>
      <c r="LS60" s="40">
        <f t="shared" ca="1" si="4222"/>
        <v>0</v>
      </c>
      <c r="LT60" s="40">
        <f t="shared" ca="1" si="4222"/>
        <v>0</v>
      </c>
      <c r="LU60" s="40">
        <f t="shared" ca="1" si="4222"/>
        <v>0</v>
      </c>
      <c r="LV60" s="40">
        <f t="shared" ca="1" si="4222"/>
        <v>0</v>
      </c>
      <c r="LW60" s="40">
        <f t="shared" ca="1" si="4222"/>
        <v>0</v>
      </c>
      <c r="LX60" s="40">
        <f t="shared" ca="1" si="4222"/>
        <v>0</v>
      </c>
      <c r="LY60" s="40">
        <f t="shared" ca="1" si="4222"/>
        <v>0</v>
      </c>
      <c r="LZ60" s="40">
        <f t="shared" ca="1" si="4222"/>
        <v>0</v>
      </c>
      <c r="MA60" s="40">
        <f t="shared" ca="1" si="4222"/>
        <v>0</v>
      </c>
      <c r="MB60" s="40">
        <f t="shared" ca="1" si="4222"/>
        <v>0</v>
      </c>
      <c r="MC60" s="40">
        <f t="shared" ca="1" si="4222"/>
        <v>0</v>
      </c>
      <c r="MD60" s="40">
        <f t="shared" ca="1" si="4222"/>
        <v>0</v>
      </c>
      <c r="ME60" s="40">
        <f t="shared" ca="1" si="4222"/>
        <v>0</v>
      </c>
      <c r="MF60" s="40">
        <f t="shared" ca="1" si="4222"/>
        <v>0</v>
      </c>
      <c r="MG60" s="40">
        <f t="shared" ca="1" si="4222"/>
        <v>0</v>
      </c>
      <c r="MH60" s="40">
        <f t="shared" ca="1" si="4222"/>
        <v>0</v>
      </c>
      <c r="MI60" s="40">
        <f t="shared" ca="1" si="4222"/>
        <v>0</v>
      </c>
      <c r="MJ60" s="40">
        <f t="shared" ca="1" si="4222"/>
        <v>0</v>
      </c>
      <c r="MK60" s="40">
        <f t="shared" ca="1" si="4222"/>
        <v>0</v>
      </c>
      <c r="ML60" s="40">
        <f t="shared" ca="1" si="4222"/>
        <v>0</v>
      </c>
      <c r="MM60" s="40">
        <f t="shared" ca="1" si="4222"/>
        <v>0</v>
      </c>
      <c r="MN60" s="40">
        <f t="shared" ca="1" si="4222"/>
        <v>0</v>
      </c>
      <c r="MO60" s="40">
        <f t="shared" ca="1" si="4222"/>
        <v>0</v>
      </c>
      <c r="MP60" s="40">
        <f t="shared" ca="1" si="4222"/>
        <v>0</v>
      </c>
      <c r="MQ60" s="40">
        <f t="shared" ca="1" si="4222"/>
        <v>0</v>
      </c>
      <c r="MR60" s="40">
        <f t="shared" ca="1" si="4222"/>
        <v>0</v>
      </c>
      <c r="MS60" s="40">
        <f t="shared" ca="1" si="4222"/>
        <v>0</v>
      </c>
      <c r="MT60" s="40">
        <f t="shared" ca="1" si="4222"/>
        <v>0</v>
      </c>
      <c r="MU60" s="40">
        <f t="shared" ca="1" si="4222"/>
        <v>0</v>
      </c>
      <c r="MV60" s="40">
        <f t="shared" ca="1" si="4222"/>
        <v>0</v>
      </c>
      <c r="MW60" s="40">
        <f t="shared" ca="1" si="4222"/>
        <v>0</v>
      </c>
      <c r="MX60" s="40">
        <f t="shared" ca="1" si="4222"/>
        <v>0</v>
      </c>
      <c r="MY60" s="40">
        <f t="shared" ca="1" si="4222"/>
        <v>0</v>
      </c>
      <c r="MZ60" s="40">
        <f t="shared" ca="1" si="4222"/>
        <v>0</v>
      </c>
      <c r="NA60" s="40">
        <f t="shared" ca="1" si="4222"/>
        <v>0</v>
      </c>
      <c r="NB60" s="40">
        <f t="shared" ca="1" si="4222"/>
        <v>0</v>
      </c>
      <c r="NC60" s="40">
        <f t="shared" ca="1" si="4222"/>
        <v>0</v>
      </c>
      <c r="ND60" s="40">
        <f t="shared" ca="1" si="4222"/>
        <v>0</v>
      </c>
      <c r="NE60" s="40"/>
      <c r="NF60" s="40"/>
      <c r="NG60" s="40"/>
      <c r="NH60" s="40"/>
      <c r="NI60" s="40"/>
      <c r="NJ60" s="40"/>
      <c r="NK60" s="40"/>
      <c r="NL60" s="40"/>
      <c r="NM60" s="40"/>
      <c r="NN60" s="40"/>
      <c r="NO60" s="40"/>
      <c r="NP60" s="40"/>
      <c r="NQ60" s="40"/>
      <c r="NR60" s="40"/>
    </row>
    <row r="61" spans="2:382" x14ac:dyDescent="0.15">
      <c r="B61" s="518"/>
      <c r="C61" s="115" t="str">
        <f>_xlfn.CONCAT($C$7," Equity Repaid")</f>
        <v>- Equity Repaid</v>
      </c>
      <c r="G61" s="12"/>
      <c r="I61" s="40">
        <f>IF(SUM(I$25,I$33,I$41,I$49,I$57)&gt;0,MIN(I57,I57/SUM(I$25,I$33,I$41,I$49,I$57)*ROUND(I$23-SUM(I$28,I$36,I$44,I$52,I$60),10)),0)</f>
        <v>0</v>
      </c>
      <c r="J61" s="40">
        <f>IF(SUM(J$25,J$33,J$41,J$49,J$57)&gt;0,MIN(J57,J57/SUM(J$25,J$33,J$41,J$49,J$57)*ROUND(J$23-SUM(J$28,J$36,J$44,J$52,J$60),10)),0)</f>
        <v>0</v>
      </c>
      <c r="K61" s="40">
        <f t="shared" ref="K61:BV61" si="4223">IF(SUM(K$25,K$33,K$41,K$49,K$57)&gt;0,MIN(K57,K57/SUM(K$25,K$33,K$41,K$49,K$57)*ROUND(K$23-SUM(K$28,K$36,K$44,K$52,K$60),10)),0)</f>
        <v>0</v>
      </c>
      <c r="L61" s="40">
        <f t="shared" si="4223"/>
        <v>0</v>
      </c>
      <c r="M61" s="40">
        <f t="shared" si="4223"/>
        <v>0</v>
      </c>
      <c r="N61" s="40">
        <f t="shared" si="4223"/>
        <v>0</v>
      </c>
      <c r="O61" s="40">
        <f t="shared" si="4223"/>
        <v>0</v>
      </c>
      <c r="P61" s="40">
        <f t="shared" si="4223"/>
        <v>0</v>
      </c>
      <c r="Q61" s="40">
        <f t="shared" si="4223"/>
        <v>0</v>
      </c>
      <c r="R61" s="40">
        <f t="shared" si="4223"/>
        <v>0</v>
      </c>
      <c r="S61" s="40">
        <f t="shared" si="4223"/>
        <v>0</v>
      </c>
      <c r="T61" s="40">
        <f t="shared" si="4223"/>
        <v>0</v>
      </c>
      <c r="U61" s="40">
        <f t="shared" si="4223"/>
        <v>0</v>
      </c>
      <c r="V61" s="40">
        <f t="shared" si="4223"/>
        <v>0</v>
      </c>
      <c r="W61" s="40">
        <f t="shared" si="4223"/>
        <v>0</v>
      </c>
      <c r="X61" s="40">
        <f t="shared" si="4223"/>
        <v>0</v>
      </c>
      <c r="Y61" s="40">
        <f t="shared" si="4223"/>
        <v>0</v>
      </c>
      <c r="Z61" s="40">
        <f t="shared" si="4223"/>
        <v>0</v>
      </c>
      <c r="AA61" s="40">
        <f t="shared" si="4223"/>
        <v>0</v>
      </c>
      <c r="AB61" s="40">
        <f t="shared" si="4223"/>
        <v>0</v>
      </c>
      <c r="AC61" s="40">
        <f t="shared" si="4223"/>
        <v>0</v>
      </c>
      <c r="AD61" s="40">
        <f t="shared" si="4223"/>
        <v>0</v>
      </c>
      <c r="AE61" s="40">
        <f t="shared" si="4223"/>
        <v>0</v>
      </c>
      <c r="AF61" s="40">
        <f t="shared" si="4223"/>
        <v>0</v>
      </c>
      <c r="AG61" s="40">
        <f t="shared" si="4223"/>
        <v>0</v>
      </c>
      <c r="AH61" s="40">
        <f t="shared" si="4223"/>
        <v>0</v>
      </c>
      <c r="AI61" s="40">
        <f t="shared" si="4223"/>
        <v>0</v>
      </c>
      <c r="AJ61" s="40">
        <f t="shared" si="4223"/>
        <v>0</v>
      </c>
      <c r="AK61" s="40">
        <f t="shared" si="4223"/>
        <v>0</v>
      </c>
      <c r="AL61" s="40">
        <f t="shared" si="4223"/>
        <v>0</v>
      </c>
      <c r="AM61" s="40">
        <f t="shared" si="4223"/>
        <v>0</v>
      </c>
      <c r="AN61" s="40">
        <f t="shared" si="4223"/>
        <v>0</v>
      </c>
      <c r="AO61" s="40">
        <f t="shared" si="4223"/>
        <v>0</v>
      </c>
      <c r="AP61" s="40">
        <f t="shared" si="4223"/>
        <v>0</v>
      </c>
      <c r="AQ61" s="40">
        <f t="shared" si="4223"/>
        <v>0</v>
      </c>
      <c r="AR61" s="40">
        <f t="shared" si="4223"/>
        <v>0</v>
      </c>
      <c r="AS61" s="40">
        <f t="shared" si="4223"/>
        <v>0</v>
      </c>
      <c r="AT61" s="40">
        <f t="shared" si="4223"/>
        <v>0</v>
      </c>
      <c r="AU61" s="40">
        <f t="shared" si="4223"/>
        <v>0</v>
      </c>
      <c r="AV61" s="40">
        <f t="shared" si="4223"/>
        <v>0</v>
      </c>
      <c r="AW61" s="40">
        <f t="shared" si="4223"/>
        <v>0</v>
      </c>
      <c r="AX61" s="40">
        <f t="shared" si="4223"/>
        <v>0</v>
      </c>
      <c r="AY61" s="40">
        <f t="shared" si="4223"/>
        <v>0</v>
      </c>
      <c r="AZ61" s="40">
        <f t="shared" si="4223"/>
        <v>0</v>
      </c>
      <c r="BA61" s="40">
        <f t="shared" si="4223"/>
        <v>0</v>
      </c>
      <c r="BB61" s="40">
        <f t="shared" si="4223"/>
        <v>0</v>
      </c>
      <c r="BC61" s="40">
        <f t="shared" si="4223"/>
        <v>0</v>
      </c>
      <c r="BD61" s="40">
        <f t="shared" si="4223"/>
        <v>0</v>
      </c>
      <c r="BE61" s="40">
        <f t="shared" si="4223"/>
        <v>0</v>
      </c>
      <c r="BF61" s="40">
        <f t="shared" si="4223"/>
        <v>0</v>
      </c>
      <c r="BG61" s="40">
        <f t="shared" si="4223"/>
        <v>0</v>
      </c>
      <c r="BH61" s="40">
        <f t="shared" si="4223"/>
        <v>0</v>
      </c>
      <c r="BI61" s="40">
        <f t="shared" si="4223"/>
        <v>0</v>
      </c>
      <c r="BJ61" s="40">
        <f t="shared" si="4223"/>
        <v>0</v>
      </c>
      <c r="BK61" s="40">
        <f t="shared" si="4223"/>
        <v>0</v>
      </c>
      <c r="BL61" s="40">
        <f t="shared" si="4223"/>
        <v>0</v>
      </c>
      <c r="BM61" s="40">
        <f t="shared" si="4223"/>
        <v>0</v>
      </c>
      <c r="BN61" s="40">
        <f t="shared" si="4223"/>
        <v>0</v>
      </c>
      <c r="BO61" s="40">
        <f t="shared" si="4223"/>
        <v>0</v>
      </c>
      <c r="BP61" s="40">
        <f t="shared" si="4223"/>
        <v>0</v>
      </c>
      <c r="BQ61" s="40">
        <f t="shared" si="4223"/>
        <v>0</v>
      </c>
      <c r="BR61" s="40">
        <f t="shared" si="4223"/>
        <v>0</v>
      </c>
      <c r="BS61" s="40">
        <f t="shared" si="4223"/>
        <v>0</v>
      </c>
      <c r="BT61" s="40">
        <f t="shared" si="4223"/>
        <v>0</v>
      </c>
      <c r="BU61" s="40">
        <f t="shared" si="4223"/>
        <v>0</v>
      </c>
      <c r="BV61" s="40">
        <f t="shared" si="4223"/>
        <v>0</v>
      </c>
      <c r="BW61" s="40">
        <f t="shared" ref="BW61:EH61" si="4224">IF(SUM(BW$25,BW$33,BW$41,BW$49,BW$57)&gt;0,MIN(BW57,BW57/SUM(BW$25,BW$33,BW$41,BW$49,BW$57)*ROUND(BW$23-SUM(BW$28,BW$36,BW$44,BW$52,BW$60),10)),0)</f>
        <v>0</v>
      </c>
      <c r="BX61" s="40">
        <f t="shared" si="4224"/>
        <v>0</v>
      </c>
      <c r="BY61" s="40">
        <f t="shared" si="4224"/>
        <v>0</v>
      </c>
      <c r="BZ61" s="40">
        <f t="shared" si="4224"/>
        <v>0</v>
      </c>
      <c r="CA61" s="40">
        <f t="shared" si="4224"/>
        <v>0</v>
      </c>
      <c r="CB61" s="40">
        <f t="shared" si="4224"/>
        <v>0</v>
      </c>
      <c r="CC61" s="40">
        <f t="shared" si="4224"/>
        <v>0</v>
      </c>
      <c r="CD61" s="40">
        <f t="shared" si="4224"/>
        <v>0</v>
      </c>
      <c r="CE61" s="40">
        <f t="shared" si="4224"/>
        <v>0</v>
      </c>
      <c r="CF61" s="40">
        <f t="shared" si="4224"/>
        <v>0</v>
      </c>
      <c r="CG61" s="40">
        <f t="shared" si="4224"/>
        <v>0</v>
      </c>
      <c r="CH61" s="40">
        <f t="shared" si="4224"/>
        <v>0</v>
      </c>
      <c r="CI61" s="40">
        <f t="shared" si="4224"/>
        <v>0</v>
      </c>
      <c r="CJ61" s="40">
        <f t="shared" si="4224"/>
        <v>0</v>
      </c>
      <c r="CK61" s="40">
        <f t="shared" si="4224"/>
        <v>0</v>
      </c>
      <c r="CL61" s="40">
        <f t="shared" si="4224"/>
        <v>0</v>
      </c>
      <c r="CM61" s="40">
        <f t="shared" si="4224"/>
        <v>0</v>
      </c>
      <c r="CN61" s="40">
        <f t="shared" si="4224"/>
        <v>0</v>
      </c>
      <c r="CO61" s="40">
        <f t="shared" si="4224"/>
        <v>0</v>
      </c>
      <c r="CP61" s="40">
        <f t="shared" si="4224"/>
        <v>0</v>
      </c>
      <c r="CQ61" s="40">
        <f t="shared" si="4224"/>
        <v>0</v>
      </c>
      <c r="CR61" s="40">
        <f t="shared" si="4224"/>
        <v>0</v>
      </c>
      <c r="CS61" s="40">
        <f t="shared" si="4224"/>
        <v>0</v>
      </c>
      <c r="CT61" s="40">
        <f t="shared" si="4224"/>
        <v>0</v>
      </c>
      <c r="CU61" s="40">
        <f t="shared" si="4224"/>
        <v>0</v>
      </c>
      <c r="CV61" s="40">
        <f t="shared" si="4224"/>
        <v>0</v>
      </c>
      <c r="CW61" s="40">
        <f t="shared" si="4224"/>
        <v>0</v>
      </c>
      <c r="CX61" s="40">
        <f t="shared" si="4224"/>
        <v>0</v>
      </c>
      <c r="CY61" s="40">
        <f t="shared" si="4224"/>
        <v>0</v>
      </c>
      <c r="CZ61" s="40">
        <f t="shared" si="4224"/>
        <v>0</v>
      </c>
      <c r="DA61" s="40">
        <f t="shared" si="4224"/>
        <v>0</v>
      </c>
      <c r="DB61" s="40">
        <f t="shared" si="4224"/>
        <v>0</v>
      </c>
      <c r="DC61" s="40">
        <f t="shared" si="4224"/>
        <v>0</v>
      </c>
      <c r="DD61" s="40">
        <f t="shared" si="4224"/>
        <v>0</v>
      </c>
      <c r="DE61" s="40">
        <f t="shared" si="4224"/>
        <v>0</v>
      </c>
      <c r="DF61" s="40">
        <f t="shared" si="4224"/>
        <v>0</v>
      </c>
      <c r="DG61" s="40">
        <f t="shared" si="4224"/>
        <v>0</v>
      </c>
      <c r="DH61" s="40">
        <f t="shared" si="4224"/>
        <v>0</v>
      </c>
      <c r="DI61" s="40">
        <f t="shared" si="4224"/>
        <v>0</v>
      </c>
      <c r="DJ61" s="40">
        <f t="shared" si="4224"/>
        <v>0</v>
      </c>
      <c r="DK61" s="40">
        <f t="shared" si="4224"/>
        <v>0</v>
      </c>
      <c r="DL61" s="40">
        <f t="shared" si="4224"/>
        <v>0</v>
      </c>
      <c r="DM61" s="40">
        <f t="shared" si="4224"/>
        <v>0</v>
      </c>
      <c r="DN61" s="40">
        <f t="shared" si="4224"/>
        <v>0</v>
      </c>
      <c r="DO61" s="40">
        <f t="shared" si="4224"/>
        <v>0</v>
      </c>
      <c r="DP61" s="40">
        <f t="shared" si="4224"/>
        <v>0</v>
      </c>
      <c r="DQ61" s="40">
        <f t="shared" si="4224"/>
        <v>0</v>
      </c>
      <c r="DR61" s="40">
        <f t="shared" si="4224"/>
        <v>0</v>
      </c>
      <c r="DS61" s="40">
        <f t="shared" si="4224"/>
        <v>0</v>
      </c>
      <c r="DT61" s="40">
        <f t="shared" si="4224"/>
        <v>0</v>
      </c>
      <c r="DU61" s="40">
        <f t="shared" si="4224"/>
        <v>0</v>
      </c>
      <c r="DV61" s="40">
        <f t="shared" si="4224"/>
        <v>0</v>
      </c>
      <c r="DW61" s="40">
        <f t="shared" si="4224"/>
        <v>0</v>
      </c>
      <c r="DX61" s="40">
        <f t="shared" si="4224"/>
        <v>0</v>
      </c>
      <c r="DY61" s="40">
        <f t="shared" si="4224"/>
        <v>0</v>
      </c>
      <c r="DZ61" s="40">
        <f t="shared" si="4224"/>
        <v>0</v>
      </c>
      <c r="EA61" s="40">
        <f t="shared" si="4224"/>
        <v>0</v>
      </c>
      <c r="EB61" s="40">
        <f t="shared" si="4224"/>
        <v>0</v>
      </c>
      <c r="EC61" s="40">
        <f t="shared" si="4224"/>
        <v>0</v>
      </c>
      <c r="ED61" s="40">
        <f t="shared" si="4224"/>
        <v>0</v>
      </c>
      <c r="EE61" s="40">
        <f t="shared" si="4224"/>
        <v>0</v>
      </c>
      <c r="EF61" s="40">
        <f t="shared" si="4224"/>
        <v>0</v>
      </c>
      <c r="EG61" s="40">
        <f t="shared" si="4224"/>
        <v>0</v>
      </c>
      <c r="EH61" s="40">
        <f t="shared" si="4224"/>
        <v>0</v>
      </c>
      <c r="EI61" s="40">
        <f t="shared" ref="EI61:GT61" si="4225">IF(SUM(EI$25,EI$33,EI$41,EI$49,EI$57)&gt;0,MIN(EI57,EI57/SUM(EI$25,EI$33,EI$41,EI$49,EI$57)*ROUND(EI$23-SUM(EI$28,EI$36,EI$44,EI$52,EI$60),10)),0)</f>
        <v>0</v>
      </c>
      <c r="EJ61" s="40">
        <f t="shared" si="4225"/>
        <v>0</v>
      </c>
      <c r="EK61" s="40">
        <f t="shared" si="4225"/>
        <v>0</v>
      </c>
      <c r="EL61" s="40">
        <f t="shared" si="4225"/>
        <v>0</v>
      </c>
      <c r="EM61" s="40">
        <f t="shared" si="4225"/>
        <v>0</v>
      </c>
      <c r="EN61" s="40">
        <f t="shared" si="4225"/>
        <v>0</v>
      </c>
      <c r="EO61" s="40">
        <f t="shared" si="4225"/>
        <v>0</v>
      </c>
      <c r="EP61" s="40">
        <f t="shared" si="4225"/>
        <v>0</v>
      </c>
      <c r="EQ61" s="40">
        <f t="shared" si="4225"/>
        <v>0</v>
      </c>
      <c r="ER61" s="40">
        <f t="shared" si="4225"/>
        <v>0</v>
      </c>
      <c r="ES61" s="40">
        <f t="shared" si="4225"/>
        <v>0</v>
      </c>
      <c r="ET61" s="40">
        <f t="shared" si="4225"/>
        <v>0</v>
      </c>
      <c r="EU61" s="40">
        <f t="shared" si="4225"/>
        <v>0</v>
      </c>
      <c r="EV61" s="40">
        <f t="shared" si="4225"/>
        <v>0</v>
      </c>
      <c r="EW61" s="40">
        <f t="shared" si="4225"/>
        <v>0</v>
      </c>
      <c r="EX61" s="40">
        <f t="shared" si="4225"/>
        <v>0</v>
      </c>
      <c r="EY61" s="40">
        <f t="shared" si="4225"/>
        <v>0</v>
      </c>
      <c r="EZ61" s="40">
        <f t="shared" si="4225"/>
        <v>0</v>
      </c>
      <c r="FA61" s="40">
        <f t="shared" si="4225"/>
        <v>0</v>
      </c>
      <c r="FB61" s="40">
        <f t="shared" si="4225"/>
        <v>0</v>
      </c>
      <c r="FC61" s="40">
        <f t="shared" si="4225"/>
        <v>0</v>
      </c>
      <c r="FD61" s="40">
        <f t="shared" si="4225"/>
        <v>0</v>
      </c>
      <c r="FE61" s="40">
        <f t="shared" si="4225"/>
        <v>0</v>
      </c>
      <c r="FF61" s="40">
        <f t="shared" si="4225"/>
        <v>0</v>
      </c>
      <c r="FG61" s="40">
        <f t="shared" si="4225"/>
        <v>0</v>
      </c>
      <c r="FH61" s="40">
        <f t="shared" si="4225"/>
        <v>0</v>
      </c>
      <c r="FI61" s="40">
        <f t="shared" si="4225"/>
        <v>0</v>
      </c>
      <c r="FJ61" s="40">
        <f t="shared" si="4225"/>
        <v>0</v>
      </c>
      <c r="FK61" s="40">
        <f t="shared" si="4225"/>
        <v>0</v>
      </c>
      <c r="FL61" s="40">
        <f t="shared" si="4225"/>
        <v>0</v>
      </c>
      <c r="FM61" s="40">
        <f t="shared" si="4225"/>
        <v>0</v>
      </c>
      <c r="FN61" s="40">
        <f t="shared" si="4225"/>
        <v>0</v>
      </c>
      <c r="FO61" s="40">
        <f t="shared" si="4225"/>
        <v>0</v>
      </c>
      <c r="FP61" s="40">
        <f t="shared" si="4225"/>
        <v>0</v>
      </c>
      <c r="FQ61" s="40">
        <f t="shared" si="4225"/>
        <v>0</v>
      </c>
      <c r="FR61" s="40">
        <f t="shared" si="4225"/>
        <v>0</v>
      </c>
      <c r="FS61" s="40">
        <f t="shared" si="4225"/>
        <v>0</v>
      </c>
      <c r="FT61" s="40">
        <f t="shared" si="4225"/>
        <v>0</v>
      </c>
      <c r="FU61" s="40">
        <f t="shared" si="4225"/>
        <v>0</v>
      </c>
      <c r="FV61" s="40">
        <f t="shared" si="4225"/>
        <v>0</v>
      </c>
      <c r="FW61" s="40">
        <f t="shared" si="4225"/>
        <v>0</v>
      </c>
      <c r="FX61" s="40">
        <f t="shared" si="4225"/>
        <v>0</v>
      </c>
      <c r="FY61" s="40">
        <f t="shared" si="4225"/>
        <v>0</v>
      </c>
      <c r="FZ61" s="40">
        <f t="shared" si="4225"/>
        <v>0</v>
      </c>
      <c r="GA61" s="40">
        <f t="shared" si="4225"/>
        <v>0</v>
      </c>
      <c r="GB61" s="40">
        <f t="shared" si="4225"/>
        <v>0</v>
      </c>
      <c r="GC61" s="40">
        <f t="shared" si="4225"/>
        <v>0</v>
      </c>
      <c r="GD61" s="40">
        <f t="shared" si="4225"/>
        <v>0</v>
      </c>
      <c r="GE61" s="40">
        <f t="shared" si="4225"/>
        <v>0</v>
      </c>
      <c r="GF61" s="40">
        <f t="shared" ca="1" si="4225"/>
        <v>0</v>
      </c>
      <c r="GG61" s="40">
        <f t="shared" ca="1" si="4225"/>
        <v>0</v>
      </c>
      <c r="GH61" s="40">
        <f t="shared" ca="1" si="4225"/>
        <v>0</v>
      </c>
      <c r="GI61" s="40">
        <f t="shared" ca="1" si="4225"/>
        <v>0</v>
      </c>
      <c r="GJ61" s="40">
        <f t="shared" ca="1" si="4225"/>
        <v>0</v>
      </c>
      <c r="GK61" s="40">
        <f t="shared" ca="1" si="4225"/>
        <v>0</v>
      </c>
      <c r="GL61" s="40">
        <f t="shared" ca="1" si="4225"/>
        <v>0</v>
      </c>
      <c r="GM61" s="40">
        <f t="shared" ca="1" si="4225"/>
        <v>0</v>
      </c>
      <c r="GN61" s="40">
        <f t="shared" ca="1" si="4225"/>
        <v>0</v>
      </c>
      <c r="GO61" s="40">
        <f t="shared" ca="1" si="4225"/>
        <v>0</v>
      </c>
      <c r="GP61" s="40">
        <f t="shared" ca="1" si="4225"/>
        <v>0</v>
      </c>
      <c r="GQ61" s="40">
        <f t="shared" ca="1" si="4225"/>
        <v>0</v>
      </c>
      <c r="GR61" s="40">
        <f t="shared" ca="1" si="4225"/>
        <v>0</v>
      </c>
      <c r="GS61" s="40">
        <f t="shared" ca="1" si="4225"/>
        <v>0</v>
      </c>
      <c r="GT61" s="40">
        <f t="shared" ca="1" si="4225"/>
        <v>0</v>
      </c>
      <c r="GU61" s="40">
        <f t="shared" ref="GU61:IN61" ca="1" si="4226">IF(SUM(GU$25,GU$33,GU$41,GU$49,GU$57)&gt;0,MIN(GU57,GU57/SUM(GU$25,GU$33,GU$41,GU$49,GU$57)*ROUND(GU$23-SUM(GU$28,GU$36,GU$44,GU$52,GU$60),10)),0)</f>
        <v>0</v>
      </c>
      <c r="GV61" s="40">
        <f t="shared" ca="1" si="4226"/>
        <v>0</v>
      </c>
      <c r="GW61" s="40">
        <f t="shared" ca="1" si="4226"/>
        <v>0</v>
      </c>
      <c r="GX61" s="40">
        <f t="shared" ca="1" si="4226"/>
        <v>0</v>
      </c>
      <c r="GY61" s="40">
        <f t="shared" ca="1" si="4226"/>
        <v>0</v>
      </c>
      <c r="GZ61" s="40">
        <f t="shared" ca="1" si="4226"/>
        <v>0</v>
      </c>
      <c r="HA61" s="40">
        <f t="shared" ca="1" si="4226"/>
        <v>0</v>
      </c>
      <c r="HB61" s="40">
        <f t="shared" ca="1" si="4226"/>
        <v>0</v>
      </c>
      <c r="HC61" s="40">
        <f t="shared" ca="1" si="4226"/>
        <v>0</v>
      </c>
      <c r="HD61" s="40">
        <f t="shared" ca="1" si="4226"/>
        <v>0</v>
      </c>
      <c r="HE61" s="40">
        <f t="shared" ca="1" si="4226"/>
        <v>0</v>
      </c>
      <c r="HF61" s="40">
        <f t="shared" ca="1" si="4226"/>
        <v>0</v>
      </c>
      <c r="HG61" s="40">
        <f t="shared" ca="1" si="4226"/>
        <v>0</v>
      </c>
      <c r="HH61" s="40">
        <f t="shared" ca="1" si="4226"/>
        <v>0</v>
      </c>
      <c r="HI61" s="40">
        <f t="shared" ca="1" si="4226"/>
        <v>0</v>
      </c>
      <c r="HJ61" s="40">
        <f t="shared" ca="1" si="4226"/>
        <v>0</v>
      </c>
      <c r="HK61" s="40">
        <f t="shared" ca="1" si="4226"/>
        <v>0</v>
      </c>
      <c r="HL61" s="40">
        <f t="shared" ca="1" si="4226"/>
        <v>0</v>
      </c>
      <c r="HM61" s="40">
        <f t="shared" ca="1" si="4226"/>
        <v>0</v>
      </c>
      <c r="HN61" s="40">
        <f t="shared" ca="1" si="4226"/>
        <v>0</v>
      </c>
      <c r="HO61" s="40">
        <f t="shared" ca="1" si="4226"/>
        <v>0</v>
      </c>
      <c r="HP61" s="40">
        <f t="shared" ca="1" si="4226"/>
        <v>0</v>
      </c>
      <c r="HQ61" s="40">
        <f t="shared" ca="1" si="4226"/>
        <v>0</v>
      </c>
      <c r="HR61" s="40">
        <f t="shared" ca="1" si="4226"/>
        <v>0</v>
      </c>
      <c r="HS61" s="40">
        <f t="shared" ca="1" si="4226"/>
        <v>0</v>
      </c>
      <c r="HT61" s="40">
        <f t="shared" ca="1" si="4226"/>
        <v>0</v>
      </c>
      <c r="HU61" s="40">
        <f t="shared" ca="1" si="4226"/>
        <v>0</v>
      </c>
      <c r="HV61" s="40">
        <f t="shared" ca="1" si="4226"/>
        <v>0</v>
      </c>
      <c r="HW61" s="40">
        <f t="shared" ca="1" si="4226"/>
        <v>0</v>
      </c>
      <c r="HX61" s="40">
        <f t="shared" ca="1" si="4226"/>
        <v>0</v>
      </c>
      <c r="HY61" s="40">
        <f t="shared" ca="1" si="4226"/>
        <v>0</v>
      </c>
      <c r="HZ61" s="40">
        <f t="shared" ca="1" si="4226"/>
        <v>0</v>
      </c>
      <c r="IA61" s="40">
        <f t="shared" ca="1" si="4226"/>
        <v>0</v>
      </c>
      <c r="IB61" s="40">
        <f t="shared" ca="1" si="4226"/>
        <v>0</v>
      </c>
      <c r="IC61" s="40">
        <f t="shared" ca="1" si="4226"/>
        <v>0</v>
      </c>
      <c r="ID61" s="40">
        <f t="shared" ca="1" si="4226"/>
        <v>0</v>
      </c>
      <c r="IE61" s="40">
        <f t="shared" ca="1" si="4226"/>
        <v>0</v>
      </c>
      <c r="IF61" s="40">
        <f t="shared" ca="1" si="4226"/>
        <v>0</v>
      </c>
      <c r="IG61" s="40">
        <f t="shared" ca="1" si="4226"/>
        <v>0</v>
      </c>
      <c r="IH61" s="40">
        <f t="shared" ca="1" si="4226"/>
        <v>0</v>
      </c>
      <c r="II61" s="40">
        <f t="shared" ca="1" si="4226"/>
        <v>0</v>
      </c>
      <c r="IJ61" s="40">
        <f t="shared" ca="1" si="4226"/>
        <v>0</v>
      </c>
      <c r="IK61" s="40">
        <f t="shared" ca="1" si="4226"/>
        <v>0</v>
      </c>
      <c r="IL61" s="40">
        <f t="shared" ca="1" si="4226"/>
        <v>0</v>
      </c>
      <c r="IM61" s="40">
        <f t="shared" ca="1" si="4226"/>
        <v>0</v>
      </c>
      <c r="IN61" s="40">
        <f t="shared" ca="1" si="4226"/>
        <v>0</v>
      </c>
      <c r="IO61" s="40">
        <f t="shared" ref="IO61:KZ61" ca="1" si="4227">IF(SUM(IO$25,IO$33,IO$41,IO$49,IO$57)&gt;0,MIN(IO57,IO57/SUM(IO$25,IO$33,IO$41,IO$49,IO$57)*ROUND(IO$23-SUM(IO$28,IO$36,IO$44,IO$52,IO$60),10)),0)</f>
        <v>0</v>
      </c>
      <c r="IP61" s="40">
        <f t="shared" ca="1" si="4227"/>
        <v>0</v>
      </c>
      <c r="IQ61" s="40">
        <f t="shared" ca="1" si="4227"/>
        <v>0</v>
      </c>
      <c r="IR61" s="40">
        <f t="shared" ca="1" si="4227"/>
        <v>0</v>
      </c>
      <c r="IS61" s="40">
        <f t="shared" ca="1" si="4227"/>
        <v>0</v>
      </c>
      <c r="IT61" s="40">
        <f t="shared" ca="1" si="4227"/>
        <v>0</v>
      </c>
      <c r="IU61" s="40">
        <f t="shared" ca="1" si="4227"/>
        <v>0</v>
      </c>
      <c r="IV61" s="40">
        <f t="shared" ca="1" si="4227"/>
        <v>0</v>
      </c>
      <c r="IW61" s="40">
        <f t="shared" ca="1" si="4227"/>
        <v>0</v>
      </c>
      <c r="IX61" s="40">
        <f t="shared" ca="1" si="4227"/>
        <v>0</v>
      </c>
      <c r="IY61" s="40">
        <f t="shared" ca="1" si="4227"/>
        <v>0</v>
      </c>
      <c r="IZ61" s="40">
        <f t="shared" ca="1" si="4227"/>
        <v>0</v>
      </c>
      <c r="JA61" s="40">
        <f t="shared" ca="1" si="4227"/>
        <v>0</v>
      </c>
      <c r="JB61" s="40">
        <f t="shared" ca="1" si="4227"/>
        <v>0</v>
      </c>
      <c r="JC61" s="40">
        <f t="shared" ca="1" si="4227"/>
        <v>0</v>
      </c>
      <c r="JD61" s="40">
        <f t="shared" ca="1" si="4227"/>
        <v>0</v>
      </c>
      <c r="JE61" s="40">
        <f t="shared" ca="1" si="4227"/>
        <v>0</v>
      </c>
      <c r="JF61" s="40">
        <f t="shared" ca="1" si="4227"/>
        <v>0</v>
      </c>
      <c r="JG61" s="40">
        <f t="shared" ca="1" si="4227"/>
        <v>0</v>
      </c>
      <c r="JH61" s="40">
        <f t="shared" ca="1" si="4227"/>
        <v>0</v>
      </c>
      <c r="JI61" s="40">
        <f t="shared" ca="1" si="4227"/>
        <v>0</v>
      </c>
      <c r="JJ61" s="40">
        <f t="shared" ca="1" si="4227"/>
        <v>0</v>
      </c>
      <c r="JK61" s="40">
        <f t="shared" ca="1" si="4227"/>
        <v>0</v>
      </c>
      <c r="JL61" s="40">
        <f t="shared" ca="1" si="4227"/>
        <v>0</v>
      </c>
      <c r="JM61" s="40">
        <f t="shared" ca="1" si="4227"/>
        <v>0</v>
      </c>
      <c r="JN61" s="40">
        <f t="shared" ca="1" si="4227"/>
        <v>0</v>
      </c>
      <c r="JO61" s="40">
        <f t="shared" ca="1" si="4227"/>
        <v>0</v>
      </c>
      <c r="JP61" s="40">
        <f t="shared" ca="1" si="4227"/>
        <v>0</v>
      </c>
      <c r="JQ61" s="40">
        <f t="shared" ca="1" si="4227"/>
        <v>0</v>
      </c>
      <c r="JR61" s="40">
        <f t="shared" ca="1" si="4227"/>
        <v>0</v>
      </c>
      <c r="JS61" s="40">
        <f t="shared" ca="1" si="4227"/>
        <v>0</v>
      </c>
      <c r="JT61" s="40">
        <f t="shared" ca="1" si="4227"/>
        <v>0</v>
      </c>
      <c r="JU61" s="40">
        <f t="shared" ca="1" si="4227"/>
        <v>0</v>
      </c>
      <c r="JV61" s="40">
        <f t="shared" ca="1" si="4227"/>
        <v>0</v>
      </c>
      <c r="JW61" s="40">
        <f t="shared" ca="1" si="4227"/>
        <v>0</v>
      </c>
      <c r="JX61" s="40">
        <f t="shared" ca="1" si="4227"/>
        <v>0</v>
      </c>
      <c r="JY61" s="40">
        <f t="shared" ca="1" si="4227"/>
        <v>0</v>
      </c>
      <c r="JZ61" s="40">
        <f t="shared" ca="1" si="4227"/>
        <v>0</v>
      </c>
      <c r="KA61" s="40">
        <f t="shared" ca="1" si="4227"/>
        <v>0</v>
      </c>
      <c r="KB61" s="40">
        <f t="shared" ca="1" si="4227"/>
        <v>0</v>
      </c>
      <c r="KC61" s="40">
        <f t="shared" ca="1" si="4227"/>
        <v>0</v>
      </c>
      <c r="KD61" s="40">
        <f t="shared" ca="1" si="4227"/>
        <v>0</v>
      </c>
      <c r="KE61" s="40">
        <f t="shared" ca="1" si="4227"/>
        <v>0</v>
      </c>
      <c r="KF61" s="40">
        <f t="shared" ca="1" si="4227"/>
        <v>0</v>
      </c>
      <c r="KG61" s="40">
        <f t="shared" ca="1" si="4227"/>
        <v>0</v>
      </c>
      <c r="KH61" s="40">
        <f t="shared" ca="1" si="4227"/>
        <v>0</v>
      </c>
      <c r="KI61" s="40">
        <f t="shared" ca="1" si="4227"/>
        <v>0</v>
      </c>
      <c r="KJ61" s="40">
        <f t="shared" ca="1" si="4227"/>
        <v>0</v>
      </c>
      <c r="KK61" s="40">
        <f t="shared" ca="1" si="4227"/>
        <v>0</v>
      </c>
      <c r="KL61" s="40">
        <f t="shared" ca="1" si="4227"/>
        <v>0</v>
      </c>
      <c r="KM61" s="40">
        <f t="shared" ca="1" si="4227"/>
        <v>0</v>
      </c>
      <c r="KN61" s="40">
        <f t="shared" ca="1" si="4227"/>
        <v>0</v>
      </c>
      <c r="KO61" s="40">
        <f t="shared" ca="1" si="4227"/>
        <v>0</v>
      </c>
      <c r="KP61" s="40">
        <f t="shared" ca="1" si="4227"/>
        <v>0</v>
      </c>
      <c r="KQ61" s="40">
        <f t="shared" ca="1" si="4227"/>
        <v>0</v>
      </c>
      <c r="KR61" s="40">
        <f t="shared" ca="1" si="4227"/>
        <v>0</v>
      </c>
      <c r="KS61" s="40">
        <f t="shared" ca="1" si="4227"/>
        <v>0</v>
      </c>
      <c r="KT61" s="40">
        <f t="shared" ca="1" si="4227"/>
        <v>0</v>
      </c>
      <c r="KU61" s="40">
        <f t="shared" ca="1" si="4227"/>
        <v>0</v>
      </c>
      <c r="KV61" s="40">
        <f t="shared" ca="1" si="4227"/>
        <v>0</v>
      </c>
      <c r="KW61" s="40">
        <f t="shared" ca="1" si="4227"/>
        <v>0</v>
      </c>
      <c r="KX61" s="40">
        <f t="shared" ca="1" si="4227"/>
        <v>0</v>
      </c>
      <c r="KY61" s="40">
        <f t="shared" ca="1" si="4227"/>
        <v>0</v>
      </c>
      <c r="KZ61" s="40">
        <f t="shared" ca="1" si="4227"/>
        <v>0</v>
      </c>
      <c r="LA61" s="40">
        <f t="shared" ref="LA61:ND61" ca="1" si="4228">IF(SUM(LA$25,LA$33,LA$41,LA$49,LA$57)&gt;0,MIN(LA57,LA57/SUM(LA$25,LA$33,LA$41,LA$49,LA$57)*ROUND(LA$23-SUM(LA$28,LA$36,LA$44,LA$52,LA$60),10)),0)</f>
        <v>0</v>
      </c>
      <c r="LB61" s="40">
        <f t="shared" ca="1" si="4228"/>
        <v>0</v>
      </c>
      <c r="LC61" s="40">
        <f t="shared" ca="1" si="4228"/>
        <v>0</v>
      </c>
      <c r="LD61" s="40">
        <f t="shared" ca="1" si="4228"/>
        <v>0</v>
      </c>
      <c r="LE61" s="40">
        <f t="shared" ca="1" si="4228"/>
        <v>0</v>
      </c>
      <c r="LF61" s="40">
        <f t="shared" ca="1" si="4228"/>
        <v>0</v>
      </c>
      <c r="LG61" s="40">
        <f t="shared" ca="1" si="4228"/>
        <v>0</v>
      </c>
      <c r="LH61" s="40">
        <f t="shared" ca="1" si="4228"/>
        <v>0</v>
      </c>
      <c r="LI61" s="40">
        <f t="shared" ca="1" si="4228"/>
        <v>0</v>
      </c>
      <c r="LJ61" s="40">
        <f t="shared" ca="1" si="4228"/>
        <v>0</v>
      </c>
      <c r="LK61" s="40">
        <f t="shared" ca="1" si="4228"/>
        <v>0</v>
      </c>
      <c r="LL61" s="40">
        <f t="shared" ca="1" si="4228"/>
        <v>0</v>
      </c>
      <c r="LM61" s="40">
        <f t="shared" ca="1" si="4228"/>
        <v>0</v>
      </c>
      <c r="LN61" s="40">
        <f t="shared" ca="1" si="4228"/>
        <v>0</v>
      </c>
      <c r="LO61" s="40">
        <f t="shared" ca="1" si="4228"/>
        <v>0</v>
      </c>
      <c r="LP61" s="40">
        <f t="shared" ca="1" si="4228"/>
        <v>0</v>
      </c>
      <c r="LQ61" s="40">
        <f t="shared" ca="1" si="4228"/>
        <v>0</v>
      </c>
      <c r="LR61" s="40">
        <f t="shared" ca="1" si="4228"/>
        <v>0</v>
      </c>
      <c r="LS61" s="40">
        <f t="shared" ca="1" si="4228"/>
        <v>0</v>
      </c>
      <c r="LT61" s="40">
        <f t="shared" ca="1" si="4228"/>
        <v>0</v>
      </c>
      <c r="LU61" s="40">
        <f t="shared" ca="1" si="4228"/>
        <v>0</v>
      </c>
      <c r="LV61" s="40">
        <f t="shared" ca="1" si="4228"/>
        <v>0</v>
      </c>
      <c r="LW61" s="40">
        <f t="shared" ca="1" si="4228"/>
        <v>0</v>
      </c>
      <c r="LX61" s="40">
        <f t="shared" ca="1" si="4228"/>
        <v>0</v>
      </c>
      <c r="LY61" s="40">
        <f t="shared" ca="1" si="4228"/>
        <v>0</v>
      </c>
      <c r="LZ61" s="40">
        <f t="shared" ca="1" si="4228"/>
        <v>0</v>
      </c>
      <c r="MA61" s="40">
        <f t="shared" ca="1" si="4228"/>
        <v>0</v>
      </c>
      <c r="MB61" s="40">
        <f t="shared" ca="1" si="4228"/>
        <v>0</v>
      </c>
      <c r="MC61" s="40">
        <f t="shared" ca="1" si="4228"/>
        <v>0</v>
      </c>
      <c r="MD61" s="40">
        <f t="shared" ca="1" si="4228"/>
        <v>0</v>
      </c>
      <c r="ME61" s="40">
        <f t="shared" ca="1" si="4228"/>
        <v>0</v>
      </c>
      <c r="MF61" s="40">
        <f t="shared" ca="1" si="4228"/>
        <v>0</v>
      </c>
      <c r="MG61" s="40">
        <f t="shared" ca="1" si="4228"/>
        <v>0</v>
      </c>
      <c r="MH61" s="40">
        <f t="shared" ca="1" si="4228"/>
        <v>0</v>
      </c>
      <c r="MI61" s="40">
        <f t="shared" ca="1" si="4228"/>
        <v>0</v>
      </c>
      <c r="MJ61" s="40">
        <f t="shared" ca="1" si="4228"/>
        <v>0</v>
      </c>
      <c r="MK61" s="40">
        <f t="shared" ca="1" si="4228"/>
        <v>0</v>
      </c>
      <c r="ML61" s="40">
        <f t="shared" ca="1" si="4228"/>
        <v>0</v>
      </c>
      <c r="MM61" s="40">
        <f t="shared" ca="1" si="4228"/>
        <v>0</v>
      </c>
      <c r="MN61" s="40">
        <f t="shared" ca="1" si="4228"/>
        <v>0</v>
      </c>
      <c r="MO61" s="40">
        <f t="shared" ca="1" si="4228"/>
        <v>0</v>
      </c>
      <c r="MP61" s="40">
        <f t="shared" ca="1" si="4228"/>
        <v>0</v>
      </c>
      <c r="MQ61" s="40">
        <f t="shared" ca="1" si="4228"/>
        <v>0</v>
      </c>
      <c r="MR61" s="40">
        <f t="shared" ca="1" si="4228"/>
        <v>0</v>
      </c>
      <c r="MS61" s="40">
        <f t="shared" ca="1" si="4228"/>
        <v>0</v>
      </c>
      <c r="MT61" s="40">
        <f t="shared" ca="1" si="4228"/>
        <v>0</v>
      </c>
      <c r="MU61" s="40">
        <f t="shared" ca="1" si="4228"/>
        <v>0</v>
      </c>
      <c r="MV61" s="40">
        <f t="shared" ca="1" si="4228"/>
        <v>0</v>
      </c>
      <c r="MW61" s="40">
        <f t="shared" ca="1" si="4228"/>
        <v>0</v>
      </c>
      <c r="MX61" s="40">
        <f t="shared" ca="1" si="4228"/>
        <v>0</v>
      </c>
      <c r="MY61" s="40">
        <f t="shared" ca="1" si="4228"/>
        <v>0</v>
      </c>
      <c r="MZ61" s="40">
        <f t="shared" ca="1" si="4228"/>
        <v>0</v>
      </c>
      <c r="NA61" s="40">
        <f t="shared" ca="1" si="4228"/>
        <v>0</v>
      </c>
      <c r="NB61" s="40">
        <f t="shared" ca="1" si="4228"/>
        <v>0</v>
      </c>
      <c r="NC61" s="40">
        <f t="shared" ca="1" si="4228"/>
        <v>0</v>
      </c>
      <c r="ND61" s="40">
        <f t="shared" ca="1" si="4228"/>
        <v>0</v>
      </c>
      <c r="NE61" s="40"/>
      <c r="NF61" s="40"/>
      <c r="NG61" s="40"/>
      <c r="NH61" s="40"/>
      <c r="NI61" s="40"/>
      <c r="NJ61" s="40"/>
      <c r="NK61" s="40"/>
      <c r="NL61" s="40"/>
      <c r="NM61" s="40"/>
      <c r="NN61" s="40"/>
      <c r="NO61" s="40"/>
      <c r="NP61" s="40"/>
      <c r="NQ61" s="40"/>
      <c r="NR61" s="40"/>
    </row>
    <row r="62" spans="2:382" x14ac:dyDescent="0.15">
      <c r="B62" s="518"/>
      <c r="C62" s="115" t="s">
        <v>165</v>
      </c>
      <c r="G62" s="12"/>
      <c r="I62" s="40">
        <f>G62+I60+I61</f>
        <v>0</v>
      </c>
      <c r="J62" s="40">
        <f t="shared" ref="J62" si="4229">I62+J60+J61</f>
        <v>0</v>
      </c>
      <c r="K62" s="40">
        <f t="shared" ref="K62" si="4230">J62+K60+K61</f>
        <v>0</v>
      </c>
      <c r="L62" s="40">
        <f t="shared" ref="L62" si="4231">K62+L60+L61</f>
        <v>0</v>
      </c>
      <c r="M62" s="40">
        <f t="shared" ref="M62" si="4232">L62+M60+M61</f>
        <v>0</v>
      </c>
      <c r="N62" s="40">
        <f t="shared" ref="N62" si="4233">M62+N60+N61</f>
        <v>0</v>
      </c>
      <c r="O62" s="40">
        <f t="shared" ref="O62" si="4234">N62+O60+O61</f>
        <v>0</v>
      </c>
      <c r="P62" s="40">
        <f t="shared" ref="P62" si="4235">O62+P60+P61</f>
        <v>0</v>
      </c>
      <c r="Q62" s="40">
        <f t="shared" ref="Q62" si="4236">P62+Q60+Q61</f>
        <v>0</v>
      </c>
      <c r="R62" s="40">
        <f t="shared" ref="R62" si="4237">Q62+R60+R61</f>
        <v>0</v>
      </c>
      <c r="S62" s="40">
        <f t="shared" ref="S62" si="4238">R62+S60+S61</f>
        <v>0</v>
      </c>
      <c r="T62" s="40">
        <f t="shared" ref="T62" si="4239">S62+T60+T61</f>
        <v>0</v>
      </c>
      <c r="U62" s="40">
        <f t="shared" ref="U62" si="4240">T62+U60+U61</f>
        <v>0</v>
      </c>
      <c r="V62" s="40">
        <f t="shared" ref="V62" si="4241">U62+V60+V61</f>
        <v>0</v>
      </c>
      <c r="W62" s="40">
        <f t="shared" ref="W62" si="4242">V62+W60+W61</f>
        <v>0</v>
      </c>
      <c r="X62" s="40">
        <f t="shared" ref="X62" si="4243">W62+X60+X61</f>
        <v>0</v>
      </c>
      <c r="Y62" s="40">
        <f t="shared" ref="Y62" si="4244">X62+Y60+Y61</f>
        <v>0</v>
      </c>
      <c r="Z62" s="40">
        <f t="shared" ref="Z62" si="4245">Y62+Z60+Z61</f>
        <v>0</v>
      </c>
      <c r="AA62" s="40">
        <f t="shared" ref="AA62" si="4246">Z62+AA60+AA61</f>
        <v>0</v>
      </c>
      <c r="AB62" s="40">
        <f t="shared" ref="AB62" si="4247">AA62+AB60+AB61</f>
        <v>0</v>
      </c>
      <c r="AC62" s="40">
        <f t="shared" ref="AC62" si="4248">AB62+AC60+AC61</f>
        <v>0</v>
      </c>
      <c r="AD62" s="40">
        <f t="shared" ref="AD62" si="4249">AC62+AD60+AD61</f>
        <v>0</v>
      </c>
      <c r="AE62" s="40">
        <f t="shared" ref="AE62" si="4250">AD62+AE60+AE61</f>
        <v>0</v>
      </c>
      <c r="AF62" s="40">
        <f t="shared" ref="AF62" si="4251">AE62+AF60+AF61</f>
        <v>0</v>
      </c>
      <c r="AG62" s="40">
        <f t="shared" ref="AG62" si="4252">AF62+AG60+AG61</f>
        <v>0</v>
      </c>
      <c r="AH62" s="40">
        <f t="shared" ref="AH62" si="4253">AG62+AH60+AH61</f>
        <v>0</v>
      </c>
      <c r="AI62" s="40">
        <f t="shared" ref="AI62" si="4254">AH62+AI60+AI61</f>
        <v>0</v>
      </c>
      <c r="AJ62" s="40">
        <f t="shared" ref="AJ62" si="4255">AI62+AJ60+AJ61</f>
        <v>0</v>
      </c>
      <c r="AK62" s="40">
        <f t="shared" ref="AK62" si="4256">AJ62+AK60+AK61</f>
        <v>0</v>
      </c>
      <c r="AL62" s="40">
        <f t="shared" ref="AL62" si="4257">AK62+AL60+AL61</f>
        <v>0</v>
      </c>
      <c r="AM62" s="40">
        <f t="shared" ref="AM62" si="4258">AL62+AM60+AM61</f>
        <v>0</v>
      </c>
      <c r="AN62" s="40">
        <f t="shared" ref="AN62" si="4259">AM62+AN60+AN61</f>
        <v>0</v>
      </c>
      <c r="AO62" s="40">
        <f t="shared" ref="AO62" si="4260">AN62+AO60+AO61</f>
        <v>0</v>
      </c>
      <c r="AP62" s="40">
        <f t="shared" ref="AP62" si="4261">AO62+AP60+AP61</f>
        <v>0</v>
      </c>
      <c r="AQ62" s="40">
        <f t="shared" ref="AQ62" si="4262">AP62+AQ60+AQ61</f>
        <v>0</v>
      </c>
      <c r="AR62" s="40">
        <f t="shared" ref="AR62" si="4263">AQ62+AR60+AR61</f>
        <v>0</v>
      </c>
      <c r="AS62" s="40">
        <f t="shared" ref="AS62" si="4264">AR62+AS60+AS61</f>
        <v>0</v>
      </c>
      <c r="AT62" s="40">
        <f t="shared" ref="AT62" si="4265">AS62+AT60+AT61</f>
        <v>0</v>
      </c>
      <c r="AU62" s="40">
        <f t="shared" ref="AU62" si="4266">AT62+AU60+AU61</f>
        <v>0</v>
      </c>
      <c r="AV62" s="40">
        <f t="shared" ref="AV62" si="4267">AU62+AV60+AV61</f>
        <v>0</v>
      </c>
      <c r="AW62" s="40">
        <f t="shared" ref="AW62" si="4268">AV62+AW60+AW61</f>
        <v>0</v>
      </c>
      <c r="AX62" s="40">
        <f t="shared" ref="AX62" si="4269">AW62+AX60+AX61</f>
        <v>0</v>
      </c>
      <c r="AY62" s="40">
        <f t="shared" ref="AY62" si="4270">AX62+AY60+AY61</f>
        <v>0</v>
      </c>
      <c r="AZ62" s="40">
        <f t="shared" ref="AZ62" si="4271">AY62+AZ60+AZ61</f>
        <v>0</v>
      </c>
      <c r="BA62" s="40">
        <f t="shared" ref="BA62" si="4272">AZ62+BA60+BA61</f>
        <v>0</v>
      </c>
      <c r="BB62" s="40">
        <f t="shared" ref="BB62" si="4273">BA62+BB60+BB61</f>
        <v>0</v>
      </c>
      <c r="BC62" s="40">
        <f t="shared" ref="BC62" si="4274">BB62+BC60+BC61</f>
        <v>0</v>
      </c>
      <c r="BD62" s="40">
        <f t="shared" ref="BD62" si="4275">BC62+BD60+BD61</f>
        <v>0</v>
      </c>
      <c r="BE62" s="40">
        <f t="shared" ref="BE62" si="4276">BD62+BE60+BE61</f>
        <v>0</v>
      </c>
      <c r="BF62" s="40">
        <f t="shared" ref="BF62" si="4277">BE62+BF60+BF61</f>
        <v>0</v>
      </c>
      <c r="BG62" s="40">
        <f t="shared" ref="BG62" si="4278">BF62+BG60+BG61</f>
        <v>0</v>
      </c>
      <c r="BH62" s="40">
        <f t="shared" ref="BH62" si="4279">BG62+BH60+BH61</f>
        <v>0</v>
      </c>
      <c r="BI62" s="40">
        <f t="shared" ref="BI62" si="4280">BH62+BI60+BI61</f>
        <v>0</v>
      </c>
      <c r="BJ62" s="40">
        <f t="shared" ref="BJ62" si="4281">BI62+BJ60+BJ61</f>
        <v>0</v>
      </c>
      <c r="BK62" s="40">
        <f t="shared" ref="BK62" si="4282">BJ62+BK60+BK61</f>
        <v>0</v>
      </c>
      <c r="BL62" s="40">
        <f t="shared" ref="BL62" si="4283">BK62+BL60+BL61</f>
        <v>0</v>
      </c>
      <c r="BM62" s="40">
        <f t="shared" ref="BM62" si="4284">BL62+BM60+BM61</f>
        <v>0</v>
      </c>
      <c r="BN62" s="40">
        <f t="shared" ref="BN62" si="4285">BM62+BN60+BN61</f>
        <v>0</v>
      </c>
      <c r="BO62" s="40">
        <f t="shared" ref="BO62" si="4286">BN62+BO60+BO61</f>
        <v>0</v>
      </c>
      <c r="BP62" s="40">
        <f t="shared" ref="BP62" si="4287">BO62+BP60+BP61</f>
        <v>0</v>
      </c>
      <c r="BQ62" s="40">
        <f t="shared" ref="BQ62" si="4288">BP62+BQ60+BQ61</f>
        <v>0</v>
      </c>
      <c r="BR62" s="40">
        <f t="shared" ref="BR62" si="4289">BQ62+BR60+BR61</f>
        <v>0</v>
      </c>
      <c r="BS62" s="40">
        <f t="shared" ref="BS62" si="4290">BR62+BS60+BS61</f>
        <v>0</v>
      </c>
      <c r="BT62" s="40">
        <f t="shared" ref="BT62" si="4291">BS62+BT60+BT61</f>
        <v>0</v>
      </c>
      <c r="BU62" s="40">
        <f t="shared" ref="BU62" si="4292">BT62+BU60+BU61</f>
        <v>0</v>
      </c>
      <c r="BV62" s="40">
        <f t="shared" ref="BV62" si="4293">BU62+BV60+BV61</f>
        <v>0</v>
      </c>
      <c r="BW62" s="40">
        <f t="shared" ref="BW62" si="4294">BV62+BW60+BW61</f>
        <v>0</v>
      </c>
      <c r="BX62" s="40">
        <f t="shared" ref="BX62" si="4295">BW62+BX60+BX61</f>
        <v>0</v>
      </c>
      <c r="BY62" s="40">
        <f t="shared" ref="BY62" si="4296">BX62+BY60+BY61</f>
        <v>0</v>
      </c>
      <c r="BZ62" s="40">
        <f t="shared" ref="BZ62" si="4297">BY62+BZ60+BZ61</f>
        <v>0</v>
      </c>
      <c r="CA62" s="40">
        <f t="shared" ref="CA62" si="4298">BZ62+CA60+CA61</f>
        <v>0</v>
      </c>
      <c r="CB62" s="40">
        <f t="shared" ref="CB62" si="4299">CA62+CB60+CB61</f>
        <v>0</v>
      </c>
      <c r="CC62" s="40">
        <f t="shared" ref="CC62" si="4300">CB62+CC60+CC61</f>
        <v>0</v>
      </c>
      <c r="CD62" s="40">
        <f t="shared" ref="CD62" si="4301">CC62+CD60+CD61</f>
        <v>0</v>
      </c>
      <c r="CE62" s="40">
        <f t="shared" ref="CE62" si="4302">CD62+CE60+CE61</f>
        <v>0</v>
      </c>
      <c r="CF62" s="40">
        <f t="shared" ref="CF62" si="4303">CE62+CF60+CF61</f>
        <v>0</v>
      </c>
      <c r="CG62" s="40">
        <f t="shared" ref="CG62" si="4304">CF62+CG60+CG61</f>
        <v>0</v>
      </c>
      <c r="CH62" s="40">
        <f t="shared" ref="CH62" si="4305">CG62+CH60+CH61</f>
        <v>0</v>
      </c>
      <c r="CI62" s="40">
        <f t="shared" ref="CI62" si="4306">CH62+CI60+CI61</f>
        <v>0</v>
      </c>
      <c r="CJ62" s="40">
        <f t="shared" ref="CJ62" si="4307">CI62+CJ60+CJ61</f>
        <v>0</v>
      </c>
      <c r="CK62" s="40">
        <f t="shared" ref="CK62" si="4308">CJ62+CK60+CK61</f>
        <v>0</v>
      </c>
      <c r="CL62" s="40">
        <f t="shared" ref="CL62" si="4309">CK62+CL60+CL61</f>
        <v>0</v>
      </c>
      <c r="CM62" s="40">
        <f t="shared" ref="CM62" si="4310">CL62+CM60+CM61</f>
        <v>0</v>
      </c>
      <c r="CN62" s="40">
        <f t="shared" ref="CN62" si="4311">CM62+CN60+CN61</f>
        <v>0</v>
      </c>
      <c r="CO62" s="40">
        <f t="shared" ref="CO62" si="4312">CN62+CO60+CO61</f>
        <v>0</v>
      </c>
      <c r="CP62" s="40">
        <f t="shared" ref="CP62" si="4313">CO62+CP60+CP61</f>
        <v>0</v>
      </c>
      <c r="CQ62" s="40">
        <f t="shared" ref="CQ62" si="4314">CP62+CQ60+CQ61</f>
        <v>0</v>
      </c>
      <c r="CR62" s="40">
        <f t="shared" ref="CR62" si="4315">CQ62+CR60+CR61</f>
        <v>0</v>
      </c>
      <c r="CS62" s="40">
        <f t="shared" ref="CS62" si="4316">CR62+CS60+CS61</f>
        <v>0</v>
      </c>
      <c r="CT62" s="40">
        <f t="shared" ref="CT62" si="4317">CS62+CT60+CT61</f>
        <v>0</v>
      </c>
      <c r="CU62" s="40">
        <f t="shared" ref="CU62" si="4318">CT62+CU60+CU61</f>
        <v>0</v>
      </c>
      <c r="CV62" s="40">
        <f t="shared" ref="CV62" si="4319">CU62+CV60+CV61</f>
        <v>0</v>
      </c>
      <c r="CW62" s="40">
        <f t="shared" ref="CW62" si="4320">CV62+CW60+CW61</f>
        <v>0</v>
      </c>
      <c r="CX62" s="40">
        <f t="shared" ref="CX62" si="4321">CW62+CX60+CX61</f>
        <v>0</v>
      </c>
      <c r="CY62" s="40">
        <f t="shared" ref="CY62" si="4322">CX62+CY60+CY61</f>
        <v>0</v>
      </c>
      <c r="CZ62" s="40">
        <f t="shared" ref="CZ62" si="4323">CY62+CZ60+CZ61</f>
        <v>0</v>
      </c>
      <c r="DA62" s="40">
        <f t="shared" ref="DA62" si="4324">CZ62+DA60+DA61</f>
        <v>0</v>
      </c>
      <c r="DB62" s="40">
        <f t="shared" ref="DB62" si="4325">DA62+DB60+DB61</f>
        <v>0</v>
      </c>
      <c r="DC62" s="40">
        <f t="shared" ref="DC62" si="4326">DB62+DC60+DC61</f>
        <v>0</v>
      </c>
      <c r="DD62" s="40">
        <f t="shared" ref="DD62" si="4327">DC62+DD60+DD61</f>
        <v>0</v>
      </c>
      <c r="DE62" s="40">
        <f t="shared" ref="DE62" si="4328">DD62+DE60+DE61</f>
        <v>0</v>
      </c>
      <c r="DF62" s="40">
        <f t="shared" ref="DF62" si="4329">DE62+DF60+DF61</f>
        <v>0</v>
      </c>
      <c r="DG62" s="40">
        <f t="shared" ref="DG62" si="4330">DF62+DG60+DG61</f>
        <v>0</v>
      </c>
      <c r="DH62" s="40">
        <f t="shared" ref="DH62" si="4331">DG62+DH60+DH61</f>
        <v>0</v>
      </c>
      <c r="DI62" s="40">
        <f t="shared" ref="DI62" si="4332">DH62+DI60+DI61</f>
        <v>0</v>
      </c>
      <c r="DJ62" s="40">
        <f t="shared" ref="DJ62" si="4333">DI62+DJ60+DJ61</f>
        <v>0</v>
      </c>
      <c r="DK62" s="40">
        <f t="shared" ref="DK62" si="4334">DJ62+DK60+DK61</f>
        <v>0</v>
      </c>
      <c r="DL62" s="40">
        <f t="shared" ref="DL62" si="4335">DK62+DL60+DL61</f>
        <v>0</v>
      </c>
      <c r="DM62" s="40">
        <f t="shared" ref="DM62" si="4336">DL62+DM60+DM61</f>
        <v>0</v>
      </c>
      <c r="DN62" s="40">
        <f t="shared" ref="DN62" si="4337">DM62+DN60+DN61</f>
        <v>0</v>
      </c>
      <c r="DO62" s="40">
        <f t="shared" ref="DO62" si="4338">DN62+DO60+DO61</f>
        <v>0</v>
      </c>
      <c r="DP62" s="40">
        <f t="shared" ref="DP62" si="4339">DO62+DP60+DP61</f>
        <v>0</v>
      </c>
      <c r="DQ62" s="40">
        <f t="shared" ref="DQ62" si="4340">DP62+DQ60+DQ61</f>
        <v>0</v>
      </c>
      <c r="DR62" s="40">
        <f t="shared" ref="DR62" si="4341">DQ62+DR60+DR61</f>
        <v>0</v>
      </c>
      <c r="DS62" s="40">
        <f t="shared" ref="DS62" si="4342">DR62+DS60+DS61</f>
        <v>0</v>
      </c>
      <c r="DT62" s="40">
        <f t="shared" ref="DT62" si="4343">DS62+DT60+DT61</f>
        <v>0</v>
      </c>
      <c r="DU62" s="40">
        <f t="shared" ref="DU62" si="4344">DT62+DU60+DU61</f>
        <v>0</v>
      </c>
      <c r="DV62" s="40">
        <f t="shared" ref="DV62" si="4345">DU62+DV60+DV61</f>
        <v>0</v>
      </c>
      <c r="DW62" s="40">
        <f t="shared" ref="DW62" si="4346">DV62+DW60+DW61</f>
        <v>0</v>
      </c>
      <c r="DX62" s="40">
        <f t="shared" ref="DX62" si="4347">DW62+DX60+DX61</f>
        <v>0</v>
      </c>
      <c r="DY62" s="40">
        <f t="shared" ref="DY62" si="4348">DX62+DY60+DY61</f>
        <v>0</v>
      </c>
      <c r="DZ62" s="40">
        <f t="shared" ref="DZ62" si="4349">DY62+DZ60+DZ61</f>
        <v>0</v>
      </c>
      <c r="EA62" s="40">
        <f t="shared" ref="EA62" si="4350">DZ62+EA60+EA61</f>
        <v>0</v>
      </c>
      <c r="EB62" s="40">
        <f t="shared" ref="EB62" si="4351">EA62+EB60+EB61</f>
        <v>0</v>
      </c>
      <c r="EC62" s="40">
        <f t="shared" ref="EC62" si="4352">EB62+EC60+EC61</f>
        <v>0</v>
      </c>
      <c r="ED62" s="40">
        <f t="shared" ref="ED62" si="4353">EC62+ED60+ED61</f>
        <v>0</v>
      </c>
      <c r="EE62" s="40">
        <f t="shared" ref="EE62" si="4354">ED62+EE60+EE61</f>
        <v>0</v>
      </c>
      <c r="EF62" s="40">
        <f t="shared" ref="EF62" si="4355">EE62+EF60+EF61</f>
        <v>0</v>
      </c>
      <c r="EG62" s="40">
        <f t="shared" ref="EG62" si="4356">EF62+EG60+EG61</f>
        <v>0</v>
      </c>
      <c r="EH62" s="40">
        <f t="shared" ref="EH62" si="4357">EG62+EH60+EH61</f>
        <v>0</v>
      </c>
      <c r="EI62" s="40">
        <f t="shared" ref="EI62" si="4358">EH62+EI60+EI61</f>
        <v>0</v>
      </c>
      <c r="EJ62" s="40">
        <f t="shared" ref="EJ62" si="4359">EI62+EJ60+EJ61</f>
        <v>0</v>
      </c>
      <c r="EK62" s="40">
        <f t="shared" ref="EK62" si="4360">EJ62+EK60+EK61</f>
        <v>0</v>
      </c>
      <c r="EL62" s="40">
        <f t="shared" ref="EL62" si="4361">EK62+EL60+EL61</f>
        <v>0</v>
      </c>
      <c r="EM62" s="40">
        <f t="shared" ref="EM62" si="4362">EL62+EM60+EM61</f>
        <v>0</v>
      </c>
      <c r="EN62" s="40">
        <f t="shared" ref="EN62" si="4363">EM62+EN60+EN61</f>
        <v>0</v>
      </c>
      <c r="EO62" s="40">
        <f t="shared" ref="EO62" si="4364">EN62+EO60+EO61</f>
        <v>0</v>
      </c>
      <c r="EP62" s="40">
        <f t="shared" ref="EP62" si="4365">EO62+EP60+EP61</f>
        <v>0</v>
      </c>
      <c r="EQ62" s="40">
        <f t="shared" ref="EQ62" si="4366">EP62+EQ60+EQ61</f>
        <v>0</v>
      </c>
      <c r="ER62" s="40">
        <f t="shared" ref="ER62" si="4367">EQ62+ER60+ER61</f>
        <v>0</v>
      </c>
      <c r="ES62" s="40">
        <f t="shared" ref="ES62" si="4368">ER62+ES60+ES61</f>
        <v>0</v>
      </c>
      <c r="ET62" s="40">
        <f t="shared" ref="ET62" si="4369">ES62+ET60+ET61</f>
        <v>0</v>
      </c>
      <c r="EU62" s="40">
        <f t="shared" ref="EU62" si="4370">ET62+EU60+EU61</f>
        <v>0</v>
      </c>
      <c r="EV62" s="40">
        <f t="shared" ref="EV62" si="4371">EU62+EV60+EV61</f>
        <v>0</v>
      </c>
      <c r="EW62" s="40">
        <f t="shared" ref="EW62" si="4372">EV62+EW60+EW61</f>
        <v>0</v>
      </c>
      <c r="EX62" s="40">
        <f t="shared" ref="EX62" si="4373">EW62+EX60+EX61</f>
        <v>0</v>
      </c>
      <c r="EY62" s="40">
        <f t="shared" ref="EY62" si="4374">EX62+EY60+EY61</f>
        <v>0</v>
      </c>
      <c r="EZ62" s="40">
        <f t="shared" ref="EZ62" si="4375">EY62+EZ60+EZ61</f>
        <v>0</v>
      </c>
      <c r="FA62" s="40">
        <f t="shared" ref="FA62" si="4376">EZ62+FA60+FA61</f>
        <v>0</v>
      </c>
      <c r="FB62" s="40">
        <f t="shared" ref="FB62" si="4377">FA62+FB60+FB61</f>
        <v>0</v>
      </c>
      <c r="FC62" s="40">
        <f t="shared" ref="FC62" si="4378">FB62+FC60+FC61</f>
        <v>0</v>
      </c>
      <c r="FD62" s="40">
        <f t="shared" ref="FD62" si="4379">FC62+FD60+FD61</f>
        <v>0</v>
      </c>
      <c r="FE62" s="40">
        <f t="shared" ref="FE62" si="4380">FD62+FE60+FE61</f>
        <v>0</v>
      </c>
      <c r="FF62" s="40">
        <f t="shared" ref="FF62" si="4381">FE62+FF60+FF61</f>
        <v>0</v>
      </c>
      <c r="FG62" s="40">
        <f t="shared" ref="FG62" si="4382">FF62+FG60+FG61</f>
        <v>0</v>
      </c>
      <c r="FH62" s="40">
        <f t="shared" ref="FH62" si="4383">FG62+FH60+FH61</f>
        <v>0</v>
      </c>
      <c r="FI62" s="40">
        <f t="shared" ref="FI62" si="4384">FH62+FI60+FI61</f>
        <v>0</v>
      </c>
      <c r="FJ62" s="40">
        <f t="shared" ref="FJ62" si="4385">FI62+FJ60+FJ61</f>
        <v>0</v>
      </c>
      <c r="FK62" s="40">
        <f t="shared" ref="FK62" si="4386">FJ62+FK60+FK61</f>
        <v>0</v>
      </c>
      <c r="FL62" s="40">
        <f t="shared" ref="FL62" si="4387">FK62+FL60+FL61</f>
        <v>0</v>
      </c>
      <c r="FM62" s="40">
        <f t="shared" ref="FM62" si="4388">FL62+FM60+FM61</f>
        <v>0</v>
      </c>
      <c r="FN62" s="40">
        <f t="shared" ref="FN62" si="4389">FM62+FN60+FN61</f>
        <v>0</v>
      </c>
      <c r="FO62" s="40">
        <f t="shared" ref="FO62" si="4390">FN62+FO60+FO61</f>
        <v>0</v>
      </c>
      <c r="FP62" s="40">
        <f t="shared" ref="FP62" si="4391">FO62+FP60+FP61</f>
        <v>0</v>
      </c>
      <c r="FQ62" s="40">
        <f t="shared" ref="FQ62" si="4392">FP62+FQ60+FQ61</f>
        <v>0</v>
      </c>
      <c r="FR62" s="40">
        <f t="shared" ref="FR62" si="4393">FQ62+FR60+FR61</f>
        <v>0</v>
      </c>
      <c r="FS62" s="40">
        <f t="shared" ref="FS62" si="4394">FR62+FS60+FS61</f>
        <v>0</v>
      </c>
      <c r="FT62" s="40">
        <f t="shared" ref="FT62" si="4395">FS62+FT60+FT61</f>
        <v>0</v>
      </c>
      <c r="FU62" s="40">
        <f t="shared" ref="FU62" si="4396">FT62+FU60+FU61</f>
        <v>0</v>
      </c>
      <c r="FV62" s="40">
        <f t="shared" ref="FV62" si="4397">FU62+FV60+FV61</f>
        <v>0</v>
      </c>
      <c r="FW62" s="40">
        <f t="shared" ref="FW62" si="4398">FV62+FW60+FW61</f>
        <v>0</v>
      </c>
      <c r="FX62" s="40">
        <f t="shared" ref="FX62" si="4399">FW62+FX60+FX61</f>
        <v>0</v>
      </c>
      <c r="FY62" s="40">
        <f t="shared" ref="FY62" si="4400">FX62+FY60+FY61</f>
        <v>0</v>
      </c>
      <c r="FZ62" s="40">
        <f t="shared" ref="FZ62" si="4401">FY62+FZ60+FZ61</f>
        <v>0</v>
      </c>
      <c r="GA62" s="40">
        <f t="shared" ref="GA62" si="4402">FZ62+GA60+GA61</f>
        <v>0</v>
      </c>
      <c r="GB62" s="40">
        <f t="shared" ref="GB62" si="4403">GA62+GB60+GB61</f>
        <v>0</v>
      </c>
      <c r="GC62" s="40">
        <f t="shared" ref="GC62" si="4404">GB62+GC60+GC61</f>
        <v>0</v>
      </c>
      <c r="GD62" s="40">
        <f t="shared" ref="GD62" si="4405">GC62+GD60+GD61</f>
        <v>0</v>
      </c>
      <c r="GE62" s="40">
        <f t="shared" ref="GE62" si="4406">GD62+GE60+GE61</f>
        <v>0</v>
      </c>
      <c r="GF62" s="40">
        <f t="shared" ref="GF62" ca="1" si="4407">GE62+GF60+GF61</f>
        <v>0</v>
      </c>
      <c r="GG62" s="40">
        <f t="shared" ref="GG62" ca="1" si="4408">GF62+GG60+GG61</f>
        <v>0</v>
      </c>
      <c r="GH62" s="40">
        <f t="shared" ref="GH62" ca="1" si="4409">GG62+GH60+GH61</f>
        <v>0</v>
      </c>
      <c r="GI62" s="40">
        <f t="shared" ref="GI62" ca="1" si="4410">GH62+GI60+GI61</f>
        <v>0</v>
      </c>
      <c r="GJ62" s="40">
        <f t="shared" ref="GJ62" ca="1" si="4411">GI62+GJ60+GJ61</f>
        <v>0</v>
      </c>
      <c r="GK62" s="40">
        <f t="shared" ref="GK62" ca="1" si="4412">GJ62+GK60+GK61</f>
        <v>0</v>
      </c>
      <c r="GL62" s="40">
        <f t="shared" ref="GL62" ca="1" si="4413">GK62+GL60+GL61</f>
        <v>0</v>
      </c>
      <c r="GM62" s="40">
        <f t="shared" ref="GM62" ca="1" si="4414">GL62+GM60+GM61</f>
        <v>0</v>
      </c>
      <c r="GN62" s="40">
        <f t="shared" ref="GN62" ca="1" si="4415">GM62+GN60+GN61</f>
        <v>0</v>
      </c>
      <c r="GO62" s="40">
        <f t="shared" ref="GO62" ca="1" si="4416">GN62+GO60+GO61</f>
        <v>0</v>
      </c>
      <c r="GP62" s="40">
        <f t="shared" ref="GP62" ca="1" si="4417">GO62+GP60+GP61</f>
        <v>0</v>
      </c>
      <c r="GQ62" s="40">
        <f t="shared" ref="GQ62" ca="1" si="4418">GP62+GQ60+GQ61</f>
        <v>0</v>
      </c>
      <c r="GR62" s="40">
        <f t="shared" ref="GR62" ca="1" si="4419">GQ62+GR60+GR61</f>
        <v>0</v>
      </c>
      <c r="GS62" s="40">
        <f t="shared" ref="GS62" ca="1" si="4420">GR62+GS60+GS61</f>
        <v>0</v>
      </c>
      <c r="GT62" s="40">
        <f t="shared" ref="GT62" ca="1" si="4421">GS62+GT60+GT61</f>
        <v>0</v>
      </c>
      <c r="GU62" s="40">
        <f t="shared" ref="GU62" ca="1" si="4422">GT62+GU60+GU61</f>
        <v>0</v>
      </c>
      <c r="GV62" s="40">
        <f t="shared" ref="GV62" ca="1" si="4423">GU62+GV60+GV61</f>
        <v>0</v>
      </c>
      <c r="GW62" s="40">
        <f t="shared" ref="GW62" ca="1" si="4424">GV62+GW60+GW61</f>
        <v>0</v>
      </c>
      <c r="GX62" s="40">
        <f t="shared" ref="GX62" ca="1" si="4425">GW62+GX60+GX61</f>
        <v>0</v>
      </c>
      <c r="GY62" s="40">
        <f t="shared" ref="GY62" ca="1" si="4426">GX62+GY60+GY61</f>
        <v>0</v>
      </c>
      <c r="GZ62" s="40">
        <f t="shared" ref="GZ62" ca="1" si="4427">GY62+GZ60+GZ61</f>
        <v>0</v>
      </c>
      <c r="HA62" s="40">
        <f t="shared" ref="HA62" ca="1" si="4428">GZ62+HA60+HA61</f>
        <v>0</v>
      </c>
      <c r="HB62" s="40">
        <f t="shared" ref="HB62" ca="1" si="4429">HA62+HB60+HB61</f>
        <v>0</v>
      </c>
      <c r="HC62" s="40">
        <f t="shared" ref="HC62" ca="1" si="4430">HB62+HC60+HC61</f>
        <v>0</v>
      </c>
      <c r="HD62" s="40">
        <f t="shared" ref="HD62" ca="1" si="4431">HC62+HD60+HD61</f>
        <v>0</v>
      </c>
      <c r="HE62" s="40">
        <f t="shared" ref="HE62" ca="1" si="4432">HD62+HE60+HE61</f>
        <v>0</v>
      </c>
      <c r="HF62" s="40">
        <f t="shared" ref="HF62" ca="1" si="4433">HE62+HF60+HF61</f>
        <v>0</v>
      </c>
      <c r="HG62" s="40">
        <f t="shared" ref="HG62" ca="1" si="4434">HF62+HG60+HG61</f>
        <v>0</v>
      </c>
      <c r="HH62" s="40">
        <f t="shared" ref="HH62" ca="1" si="4435">HG62+HH60+HH61</f>
        <v>0</v>
      </c>
      <c r="HI62" s="40">
        <f t="shared" ref="HI62" ca="1" si="4436">HH62+HI60+HI61</f>
        <v>0</v>
      </c>
      <c r="HJ62" s="40">
        <f t="shared" ref="HJ62" ca="1" si="4437">HI62+HJ60+HJ61</f>
        <v>0</v>
      </c>
      <c r="HK62" s="40">
        <f t="shared" ref="HK62" ca="1" si="4438">HJ62+HK60+HK61</f>
        <v>0</v>
      </c>
      <c r="HL62" s="40">
        <f t="shared" ref="HL62" ca="1" si="4439">HK62+HL60+HL61</f>
        <v>0</v>
      </c>
      <c r="HM62" s="40">
        <f t="shared" ref="HM62" ca="1" si="4440">HL62+HM60+HM61</f>
        <v>0</v>
      </c>
      <c r="HN62" s="40">
        <f t="shared" ref="HN62" ca="1" si="4441">HM62+HN60+HN61</f>
        <v>0</v>
      </c>
      <c r="HO62" s="40">
        <f t="shared" ref="HO62" ca="1" si="4442">HN62+HO60+HO61</f>
        <v>0</v>
      </c>
      <c r="HP62" s="40">
        <f t="shared" ref="HP62" ca="1" si="4443">HO62+HP60+HP61</f>
        <v>0</v>
      </c>
      <c r="HQ62" s="40">
        <f t="shared" ref="HQ62" ca="1" si="4444">HP62+HQ60+HQ61</f>
        <v>0</v>
      </c>
      <c r="HR62" s="40">
        <f t="shared" ref="HR62" ca="1" si="4445">HQ62+HR60+HR61</f>
        <v>0</v>
      </c>
      <c r="HS62" s="40">
        <f t="shared" ref="HS62" ca="1" si="4446">HR62+HS60+HS61</f>
        <v>0</v>
      </c>
      <c r="HT62" s="40">
        <f t="shared" ref="HT62" ca="1" si="4447">HS62+HT60+HT61</f>
        <v>0</v>
      </c>
      <c r="HU62" s="40">
        <f t="shared" ref="HU62" ca="1" si="4448">HT62+HU60+HU61</f>
        <v>0</v>
      </c>
      <c r="HV62" s="40">
        <f t="shared" ref="HV62" ca="1" si="4449">HU62+HV60+HV61</f>
        <v>0</v>
      </c>
      <c r="HW62" s="40">
        <f t="shared" ref="HW62" ca="1" si="4450">HV62+HW60+HW61</f>
        <v>0</v>
      </c>
      <c r="HX62" s="40">
        <f t="shared" ref="HX62" ca="1" si="4451">HW62+HX60+HX61</f>
        <v>0</v>
      </c>
      <c r="HY62" s="40">
        <f t="shared" ref="HY62" ca="1" si="4452">HX62+HY60+HY61</f>
        <v>0</v>
      </c>
      <c r="HZ62" s="40">
        <f t="shared" ref="HZ62" ca="1" si="4453">HY62+HZ60+HZ61</f>
        <v>0</v>
      </c>
      <c r="IA62" s="40">
        <f t="shared" ref="IA62" ca="1" si="4454">HZ62+IA60+IA61</f>
        <v>0</v>
      </c>
      <c r="IB62" s="40">
        <f t="shared" ref="IB62" ca="1" si="4455">IA62+IB60+IB61</f>
        <v>0</v>
      </c>
      <c r="IC62" s="40">
        <f t="shared" ref="IC62" ca="1" si="4456">IB62+IC60+IC61</f>
        <v>0</v>
      </c>
      <c r="ID62" s="40">
        <f t="shared" ref="ID62" ca="1" si="4457">IC62+ID60+ID61</f>
        <v>0</v>
      </c>
      <c r="IE62" s="40">
        <f t="shared" ref="IE62" ca="1" si="4458">ID62+IE60+IE61</f>
        <v>0</v>
      </c>
      <c r="IF62" s="40">
        <f t="shared" ref="IF62" ca="1" si="4459">IE62+IF60+IF61</f>
        <v>0</v>
      </c>
      <c r="IG62" s="40">
        <f t="shared" ref="IG62" ca="1" si="4460">IF62+IG60+IG61</f>
        <v>0</v>
      </c>
      <c r="IH62" s="40">
        <f t="shared" ref="IH62" ca="1" si="4461">IG62+IH60+IH61</f>
        <v>0</v>
      </c>
      <c r="II62" s="40">
        <f t="shared" ref="II62" ca="1" si="4462">IH62+II60+II61</f>
        <v>0</v>
      </c>
      <c r="IJ62" s="40">
        <f t="shared" ref="IJ62" ca="1" si="4463">II62+IJ60+IJ61</f>
        <v>0</v>
      </c>
      <c r="IK62" s="40">
        <f t="shared" ref="IK62" ca="1" si="4464">IJ62+IK60+IK61</f>
        <v>0</v>
      </c>
      <c r="IL62" s="40">
        <f t="shared" ref="IL62" ca="1" si="4465">IK62+IL60+IL61</f>
        <v>0</v>
      </c>
      <c r="IM62" s="40">
        <f t="shared" ref="IM62" ca="1" si="4466">IL62+IM60+IM61</f>
        <v>0</v>
      </c>
      <c r="IN62" s="40">
        <f t="shared" ref="IN62" ca="1" si="4467">IM62+IN60+IN61</f>
        <v>0</v>
      </c>
      <c r="IO62" s="40">
        <f t="shared" ref="IO62" ca="1" si="4468">IN62+IO60+IO61</f>
        <v>0</v>
      </c>
      <c r="IP62" s="40">
        <f t="shared" ref="IP62" ca="1" si="4469">IO62+IP60+IP61</f>
        <v>0</v>
      </c>
      <c r="IQ62" s="40">
        <f t="shared" ref="IQ62" ca="1" si="4470">IP62+IQ60+IQ61</f>
        <v>0</v>
      </c>
      <c r="IR62" s="40">
        <f t="shared" ref="IR62" ca="1" si="4471">IQ62+IR60+IR61</f>
        <v>0</v>
      </c>
      <c r="IS62" s="40">
        <f t="shared" ref="IS62" ca="1" si="4472">IR62+IS60+IS61</f>
        <v>0</v>
      </c>
      <c r="IT62" s="40">
        <f t="shared" ref="IT62" ca="1" si="4473">IS62+IT60+IT61</f>
        <v>0</v>
      </c>
      <c r="IU62" s="40">
        <f t="shared" ref="IU62" ca="1" si="4474">IT62+IU60+IU61</f>
        <v>0</v>
      </c>
      <c r="IV62" s="40">
        <f t="shared" ref="IV62" ca="1" si="4475">IU62+IV60+IV61</f>
        <v>0</v>
      </c>
      <c r="IW62" s="40">
        <f t="shared" ref="IW62" ca="1" si="4476">IV62+IW60+IW61</f>
        <v>0</v>
      </c>
      <c r="IX62" s="40">
        <f t="shared" ref="IX62" ca="1" si="4477">IW62+IX60+IX61</f>
        <v>0</v>
      </c>
      <c r="IY62" s="40">
        <f t="shared" ref="IY62" ca="1" si="4478">IX62+IY60+IY61</f>
        <v>0</v>
      </c>
      <c r="IZ62" s="40">
        <f t="shared" ref="IZ62" ca="1" si="4479">IY62+IZ60+IZ61</f>
        <v>0</v>
      </c>
      <c r="JA62" s="40">
        <f t="shared" ref="JA62" ca="1" si="4480">IZ62+JA60+JA61</f>
        <v>0</v>
      </c>
      <c r="JB62" s="40">
        <f t="shared" ref="JB62" ca="1" si="4481">JA62+JB60+JB61</f>
        <v>0</v>
      </c>
      <c r="JC62" s="40">
        <f t="shared" ref="JC62" ca="1" si="4482">JB62+JC60+JC61</f>
        <v>0</v>
      </c>
      <c r="JD62" s="40">
        <f t="shared" ref="JD62" ca="1" si="4483">JC62+JD60+JD61</f>
        <v>0</v>
      </c>
      <c r="JE62" s="40">
        <f t="shared" ref="JE62" ca="1" si="4484">JD62+JE60+JE61</f>
        <v>0</v>
      </c>
      <c r="JF62" s="40">
        <f t="shared" ref="JF62" ca="1" si="4485">JE62+JF60+JF61</f>
        <v>0</v>
      </c>
      <c r="JG62" s="40">
        <f t="shared" ref="JG62" ca="1" si="4486">JF62+JG60+JG61</f>
        <v>0</v>
      </c>
      <c r="JH62" s="40">
        <f t="shared" ref="JH62" ca="1" si="4487">JG62+JH60+JH61</f>
        <v>0</v>
      </c>
      <c r="JI62" s="40">
        <f t="shared" ref="JI62" ca="1" si="4488">JH62+JI60+JI61</f>
        <v>0</v>
      </c>
      <c r="JJ62" s="40">
        <f t="shared" ref="JJ62" ca="1" si="4489">JI62+JJ60+JJ61</f>
        <v>0</v>
      </c>
      <c r="JK62" s="40">
        <f t="shared" ref="JK62" ca="1" si="4490">JJ62+JK60+JK61</f>
        <v>0</v>
      </c>
      <c r="JL62" s="40">
        <f t="shared" ref="JL62" ca="1" si="4491">JK62+JL60+JL61</f>
        <v>0</v>
      </c>
      <c r="JM62" s="40">
        <f t="shared" ref="JM62" ca="1" si="4492">JL62+JM60+JM61</f>
        <v>0</v>
      </c>
      <c r="JN62" s="40">
        <f t="shared" ref="JN62" ca="1" si="4493">JM62+JN60+JN61</f>
        <v>0</v>
      </c>
      <c r="JO62" s="40">
        <f t="shared" ref="JO62" ca="1" si="4494">JN62+JO60+JO61</f>
        <v>0</v>
      </c>
      <c r="JP62" s="40">
        <f t="shared" ref="JP62" ca="1" si="4495">JO62+JP60+JP61</f>
        <v>0</v>
      </c>
      <c r="JQ62" s="40">
        <f t="shared" ref="JQ62" ca="1" si="4496">JP62+JQ60+JQ61</f>
        <v>0</v>
      </c>
      <c r="JR62" s="40">
        <f t="shared" ref="JR62" ca="1" si="4497">JQ62+JR60+JR61</f>
        <v>0</v>
      </c>
      <c r="JS62" s="40">
        <f t="shared" ref="JS62" ca="1" si="4498">JR62+JS60+JS61</f>
        <v>0</v>
      </c>
      <c r="JT62" s="40">
        <f t="shared" ref="JT62" ca="1" si="4499">JS62+JT60+JT61</f>
        <v>0</v>
      </c>
      <c r="JU62" s="40">
        <f t="shared" ref="JU62" ca="1" si="4500">JT62+JU60+JU61</f>
        <v>0</v>
      </c>
      <c r="JV62" s="40">
        <f t="shared" ref="JV62" ca="1" si="4501">JU62+JV60+JV61</f>
        <v>0</v>
      </c>
      <c r="JW62" s="40">
        <f t="shared" ref="JW62" ca="1" si="4502">JV62+JW60+JW61</f>
        <v>0</v>
      </c>
      <c r="JX62" s="40">
        <f t="shared" ref="JX62" ca="1" si="4503">JW62+JX60+JX61</f>
        <v>0</v>
      </c>
      <c r="JY62" s="40">
        <f t="shared" ref="JY62" ca="1" si="4504">JX62+JY60+JY61</f>
        <v>0</v>
      </c>
      <c r="JZ62" s="40">
        <f t="shared" ref="JZ62" ca="1" si="4505">JY62+JZ60+JZ61</f>
        <v>0</v>
      </c>
      <c r="KA62" s="40">
        <f t="shared" ref="KA62" ca="1" si="4506">JZ62+KA60+KA61</f>
        <v>0</v>
      </c>
      <c r="KB62" s="40">
        <f t="shared" ref="KB62" ca="1" si="4507">KA62+KB60+KB61</f>
        <v>0</v>
      </c>
      <c r="KC62" s="40">
        <f t="shared" ref="KC62" ca="1" si="4508">KB62+KC60+KC61</f>
        <v>0</v>
      </c>
      <c r="KD62" s="40">
        <f t="shared" ref="KD62" ca="1" si="4509">KC62+KD60+KD61</f>
        <v>0</v>
      </c>
      <c r="KE62" s="40">
        <f t="shared" ref="KE62" ca="1" si="4510">KD62+KE60+KE61</f>
        <v>0</v>
      </c>
      <c r="KF62" s="40">
        <f t="shared" ref="KF62" ca="1" si="4511">KE62+KF60+KF61</f>
        <v>0</v>
      </c>
      <c r="KG62" s="40">
        <f t="shared" ref="KG62" ca="1" si="4512">KF62+KG60+KG61</f>
        <v>0</v>
      </c>
      <c r="KH62" s="40">
        <f t="shared" ref="KH62" ca="1" si="4513">KG62+KH60+KH61</f>
        <v>0</v>
      </c>
      <c r="KI62" s="40">
        <f t="shared" ref="KI62" ca="1" si="4514">KH62+KI60+KI61</f>
        <v>0</v>
      </c>
      <c r="KJ62" s="40">
        <f t="shared" ref="KJ62" ca="1" si="4515">KI62+KJ60+KJ61</f>
        <v>0</v>
      </c>
      <c r="KK62" s="40">
        <f t="shared" ref="KK62" ca="1" si="4516">KJ62+KK60+KK61</f>
        <v>0</v>
      </c>
      <c r="KL62" s="40">
        <f t="shared" ref="KL62" ca="1" si="4517">KK62+KL60+KL61</f>
        <v>0</v>
      </c>
      <c r="KM62" s="40">
        <f t="shared" ref="KM62" ca="1" si="4518">KL62+KM60+KM61</f>
        <v>0</v>
      </c>
      <c r="KN62" s="40">
        <f t="shared" ref="KN62" ca="1" si="4519">KM62+KN60+KN61</f>
        <v>0</v>
      </c>
      <c r="KO62" s="40">
        <f t="shared" ref="KO62" ca="1" si="4520">KN62+KO60+KO61</f>
        <v>0</v>
      </c>
      <c r="KP62" s="40">
        <f t="shared" ref="KP62" ca="1" si="4521">KO62+KP60+KP61</f>
        <v>0</v>
      </c>
      <c r="KQ62" s="40">
        <f t="shared" ref="KQ62" ca="1" si="4522">KP62+KQ60+KQ61</f>
        <v>0</v>
      </c>
      <c r="KR62" s="40">
        <f t="shared" ref="KR62" ca="1" si="4523">KQ62+KR60+KR61</f>
        <v>0</v>
      </c>
      <c r="KS62" s="40">
        <f t="shared" ref="KS62" ca="1" si="4524">KR62+KS60+KS61</f>
        <v>0</v>
      </c>
      <c r="KT62" s="40">
        <f t="shared" ref="KT62" ca="1" si="4525">KS62+KT60+KT61</f>
        <v>0</v>
      </c>
      <c r="KU62" s="40">
        <f t="shared" ref="KU62" ca="1" si="4526">KT62+KU60+KU61</f>
        <v>0</v>
      </c>
      <c r="KV62" s="40">
        <f t="shared" ref="KV62" ca="1" si="4527">KU62+KV60+KV61</f>
        <v>0</v>
      </c>
      <c r="KW62" s="40">
        <f t="shared" ref="KW62" ca="1" si="4528">KV62+KW60+KW61</f>
        <v>0</v>
      </c>
      <c r="KX62" s="40">
        <f t="shared" ref="KX62" ca="1" si="4529">KW62+KX60+KX61</f>
        <v>0</v>
      </c>
      <c r="KY62" s="40">
        <f t="shared" ref="KY62" ca="1" si="4530">KX62+KY60+KY61</f>
        <v>0</v>
      </c>
      <c r="KZ62" s="40">
        <f t="shared" ref="KZ62" ca="1" si="4531">KY62+KZ60+KZ61</f>
        <v>0</v>
      </c>
      <c r="LA62" s="40">
        <f t="shared" ref="LA62" ca="1" si="4532">KZ62+LA60+LA61</f>
        <v>0</v>
      </c>
      <c r="LB62" s="40">
        <f t="shared" ref="LB62" ca="1" si="4533">LA62+LB60+LB61</f>
        <v>0</v>
      </c>
      <c r="LC62" s="40">
        <f t="shared" ref="LC62" ca="1" si="4534">LB62+LC60+LC61</f>
        <v>0</v>
      </c>
      <c r="LD62" s="40">
        <f t="shared" ref="LD62" ca="1" si="4535">LC62+LD60+LD61</f>
        <v>0</v>
      </c>
      <c r="LE62" s="40">
        <f t="shared" ref="LE62" ca="1" si="4536">LD62+LE60+LE61</f>
        <v>0</v>
      </c>
      <c r="LF62" s="40">
        <f t="shared" ref="LF62" ca="1" si="4537">LE62+LF60+LF61</f>
        <v>0</v>
      </c>
      <c r="LG62" s="40">
        <f t="shared" ref="LG62" ca="1" si="4538">LF62+LG60+LG61</f>
        <v>0</v>
      </c>
      <c r="LH62" s="40">
        <f t="shared" ref="LH62" ca="1" si="4539">LG62+LH60+LH61</f>
        <v>0</v>
      </c>
      <c r="LI62" s="40">
        <f t="shared" ref="LI62" ca="1" si="4540">LH62+LI60+LI61</f>
        <v>0</v>
      </c>
      <c r="LJ62" s="40">
        <f t="shared" ref="LJ62" ca="1" si="4541">LI62+LJ60+LJ61</f>
        <v>0</v>
      </c>
      <c r="LK62" s="40">
        <f t="shared" ref="LK62" ca="1" si="4542">LJ62+LK60+LK61</f>
        <v>0</v>
      </c>
      <c r="LL62" s="40">
        <f t="shared" ref="LL62" ca="1" si="4543">LK62+LL60+LL61</f>
        <v>0</v>
      </c>
      <c r="LM62" s="40">
        <f t="shared" ref="LM62" ca="1" si="4544">LL62+LM60+LM61</f>
        <v>0</v>
      </c>
      <c r="LN62" s="40">
        <f t="shared" ref="LN62" ca="1" si="4545">LM62+LN60+LN61</f>
        <v>0</v>
      </c>
      <c r="LO62" s="40">
        <f t="shared" ref="LO62" ca="1" si="4546">LN62+LO60+LO61</f>
        <v>0</v>
      </c>
      <c r="LP62" s="40">
        <f t="shared" ref="LP62" ca="1" si="4547">LO62+LP60+LP61</f>
        <v>0</v>
      </c>
      <c r="LQ62" s="40">
        <f t="shared" ref="LQ62" ca="1" si="4548">LP62+LQ60+LQ61</f>
        <v>0</v>
      </c>
      <c r="LR62" s="40">
        <f t="shared" ref="LR62" ca="1" si="4549">LQ62+LR60+LR61</f>
        <v>0</v>
      </c>
      <c r="LS62" s="40">
        <f t="shared" ref="LS62" ca="1" si="4550">LR62+LS60+LS61</f>
        <v>0</v>
      </c>
      <c r="LT62" s="40">
        <f t="shared" ref="LT62" ca="1" si="4551">LS62+LT60+LT61</f>
        <v>0</v>
      </c>
      <c r="LU62" s="40">
        <f t="shared" ref="LU62" ca="1" si="4552">LT62+LU60+LU61</f>
        <v>0</v>
      </c>
      <c r="LV62" s="40">
        <f t="shared" ref="LV62" ca="1" si="4553">LU62+LV60+LV61</f>
        <v>0</v>
      </c>
      <c r="LW62" s="40">
        <f t="shared" ref="LW62" ca="1" si="4554">LV62+LW60+LW61</f>
        <v>0</v>
      </c>
      <c r="LX62" s="40">
        <f t="shared" ref="LX62" ca="1" si="4555">LW62+LX60+LX61</f>
        <v>0</v>
      </c>
      <c r="LY62" s="40">
        <f t="shared" ref="LY62" ca="1" si="4556">LX62+LY60+LY61</f>
        <v>0</v>
      </c>
      <c r="LZ62" s="40">
        <f t="shared" ref="LZ62" ca="1" si="4557">LY62+LZ60+LZ61</f>
        <v>0</v>
      </c>
      <c r="MA62" s="40">
        <f t="shared" ref="MA62" ca="1" si="4558">LZ62+MA60+MA61</f>
        <v>0</v>
      </c>
      <c r="MB62" s="40">
        <f t="shared" ref="MB62" ca="1" si="4559">MA62+MB60+MB61</f>
        <v>0</v>
      </c>
      <c r="MC62" s="40">
        <f t="shared" ref="MC62" ca="1" si="4560">MB62+MC60+MC61</f>
        <v>0</v>
      </c>
      <c r="MD62" s="40">
        <f t="shared" ref="MD62" ca="1" si="4561">MC62+MD60+MD61</f>
        <v>0</v>
      </c>
      <c r="ME62" s="40">
        <f t="shared" ref="ME62" ca="1" si="4562">MD62+ME60+ME61</f>
        <v>0</v>
      </c>
      <c r="MF62" s="40">
        <f t="shared" ref="MF62" ca="1" si="4563">ME62+MF60+MF61</f>
        <v>0</v>
      </c>
      <c r="MG62" s="40">
        <f t="shared" ref="MG62" ca="1" si="4564">MF62+MG60+MG61</f>
        <v>0</v>
      </c>
      <c r="MH62" s="40">
        <f t="shared" ref="MH62" ca="1" si="4565">MG62+MH60+MH61</f>
        <v>0</v>
      </c>
      <c r="MI62" s="40">
        <f t="shared" ref="MI62" ca="1" si="4566">MH62+MI60+MI61</f>
        <v>0</v>
      </c>
      <c r="MJ62" s="40">
        <f t="shared" ref="MJ62" ca="1" si="4567">MI62+MJ60+MJ61</f>
        <v>0</v>
      </c>
      <c r="MK62" s="40">
        <f t="shared" ref="MK62" ca="1" si="4568">MJ62+MK60+MK61</f>
        <v>0</v>
      </c>
      <c r="ML62" s="40">
        <f t="shared" ref="ML62" ca="1" si="4569">MK62+ML60+ML61</f>
        <v>0</v>
      </c>
      <c r="MM62" s="40">
        <f t="shared" ref="MM62" ca="1" si="4570">ML62+MM60+MM61</f>
        <v>0</v>
      </c>
      <c r="MN62" s="40">
        <f t="shared" ref="MN62" ca="1" si="4571">MM62+MN60+MN61</f>
        <v>0</v>
      </c>
      <c r="MO62" s="40">
        <f t="shared" ref="MO62" ca="1" si="4572">MN62+MO60+MO61</f>
        <v>0</v>
      </c>
      <c r="MP62" s="40">
        <f t="shared" ref="MP62" ca="1" si="4573">MO62+MP60+MP61</f>
        <v>0</v>
      </c>
      <c r="MQ62" s="40">
        <f t="shared" ref="MQ62" ca="1" si="4574">MP62+MQ60+MQ61</f>
        <v>0</v>
      </c>
      <c r="MR62" s="40">
        <f t="shared" ref="MR62" ca="1" si="4575">MQ62+MR60+MR61</f>
        <v>0</v>
      </c>
      <c r="MS62" s="40">
        <f t="shared" ref="MS62" ca="1" si="4576">MR62+MS60+MS61</f>
        <v>0</v>
      </c>
      <c r="MT62" s="40">
        <f t="shared" ref="MT62" ca="1" si="4577">MS62+MT60+MT61</f>
        <v>0</v>
      </c>
      <c r="MU62" s="40">
        <f t="shared" ref="MU62" ca="1" si="4578">MT62+MU60+MU61</f>
        <v>0</v>
      </c>
      <c r="MV62" s="40">
        <f t="shared" ref="MV62" ca="1" si="4579">MU62+MV60+MV61</f>
        <v>0</v>
      </c>
      <c r="MW62" s="40">
        <f t="shared" ref="MW62" ca="1" si="4580">MV62+MW60+MW61</f>
        <v>0</v>
      </c>
      <c r="MX62" s="40">
        <f t="shared" ref="MX62" ca="1" si="4581">MW62+MX60+MX61</f>
        <v>0</v>
      </c>
      <c r="MY62" s="40">
        <f t="shared" ref="MY62" ca="1" si="4582">MX62+MY60+MY61</f>
        <v>0</v>
      </c>
      <c r="MZ62" s="40">
        <f t="shared" ref="MZ62" ca="1" si="4583">MY62+MZ60+MZ61</f>
        <v>0</v>
      </c>
      <c r="NA62" s="40">
        <f t="shared" ref="NA62" ca="1" si="4584">MZ62+NA60+NA61</f>
        <v>0</v>
      </c>
      <c r="NB62" s="40">
        <f t="shared" ref="NB62" ca="1" si="4585">NA62+NB60+NB61</f>
        <v>0</v>
      </c>
      <c r="NC62" s="40">
        <f t="shared" ref="NC62" ca="1" si="4586">NB62+NC60+NC61</f>
        <v>0</v>
      </c>
      <c r="ND62" s="40">
        <f t="shared" ref="ND62" ca="1" si="4587">NC62+ND60+ND61</f>
        <v>0</v>
      </c>
      <c r="NE62" s="40"/>
      <c r="NF62" s="40"/>
      <c r="NG62" s="40"/>
      <c r="NH62" s="40"/>
      <c r="NI62" s="40"/>
      <c r="NJ62" s="40"/>
      <c r="NK62" s="40"/>
      <c r="NL62" s="40"/>
      <c r="NM62" s="40"/>
      <c r="NN62" s="40"/>
      <c r="NO62" s="40"/>
      <c r="NP62" s="40"/>
      <c r="NQ62" s="40"/>
      <c r="NR62" s="40"/>
    </row>
    <row r="63" spans="2:382" x14ac:dyDescent="0.15">
      <c r="B63" s="518"/>
      <c r="C63" s="115" t="s">
        <v>166</v>
      </c>
      <c r="D63" s="116">
        <f>MAX(I63:CN63)</f>
        <v>0</v>
      </c>
      <c r="E63" t="s">
        <v>190</v>
      </c>
      <c r="G63" s="12"/>
      <c r="I63" s="40">
        <f>IF(AND(I62&gt;$E$57,SUM($G$63:G$63)=0),I20,0)</f>
        <v>0</v>
      </c>
      <c r="J63" s="40">
        <f>IF(AND(J62&gt;$E$57,SUM($G$63:I$63)=0),J20,0)</f>
        <v>0</v>
      </c>
      <c r="K63" s="40">
        <f>IF(AND(K62&gt;$E$57,SUM($G$63:J$63)=0),K20,0)</f>
        <v>0</v>
      </c>
      <c r="L63" s="40">
        <f>IF(AND(L62&gt;$E$57,SUM($G$63:K$63)=0),L20,0)</f>
        <v>0</v>
      </c>
      <c r="M63" s="40">
        <f>IF(AND(M62&gt;$E$57,SUM($G$63:L$63)=0),M20,0)</f>
        <v>0</v>
      </c>
      <c r="N63" s="40">
        <f>IF(AND(N62&gt;$E$57,SUM($G$63:M$63)=0),N20,0)</f>
        <v>0</v>
      </c>
      <c r="O63" s="40">
        <f>IF(AND(O62&gt;$E$57,SUM($G$63:N$63)=0),O20,0)</f>
        <v>0</v>
      </c>
      <c r="P63" s="40">
        <f>IF(AND(P62&gt;$E$57,SUM($G$63:O$63)=0),P20,0)</f>
        <v>0</v>
      </c>
      <c r="Q63" s="40">
        <f>IF(AND(Q62&gt;$E$57,SUM($G$63:P$63)=0),Q20,0)</f>
        <v>0</v>
      </c>
      <c r="R63" s="40">
        <f>IF(AND(R62&gt;$E$57,SUM($G$63:Q$63)=0),R20,0)</f>
        <v>0</v>
      </c>
      <c r="S63" s="40">
        <f>IF(AND(S62&gt;$E$57,SUM($G$63:R$63)=0),S20,0)</f>
        <v>0</v>
      </c>
      <c r="T63" s="40">
        <f>IF(AND(T62&gt;$E$57,SUM($G$63:S$63)=0),T20,0)</f>
        <v>0</v>
      </c>
      <c r="U63" s="40">
        <f>IF(AND(U62&gt;$E$57,SUM($G$63:T$63)=0),U20,0)</f>
        <v>0</v>
      </c>
      <c r="V63" s="40">
        <f>IF(AND(V62&gt;$E$57,SUM($G$63:U$63)=0),V20,0)</f>
        <v>0</v>
      </c>
      <c r="W63" s="40">
        <f>IF(AND(W62&gt;$E$57,SUM($G$63:V$63)=0),W20,0)</f>
        <v>0</v>
      </c>
      <c r="X63" s="40">
        <f>IF(AND(X62&gt;$E$57,SUM($G$63:W$63)=0),X20,0)</f>
        <v>0</v>
      </c>
      <c r="Y63" s="40">
        <f>IF(AND(Y62&gt;$E$57,SUM($G$63:X$63)=0),Y20,0)</f>
        <v>0</v>
      </c>
      <c r="Z63" s="40">
        <f>IF(AND(Z62&gt;$E$57,SUM($G$63:Y$63)=0),Z20,0)</f>
        <v>0</v>
      </c>
      <c r="AA63" s="40">
        <f>IF(AND(AA62&gt;$E$57,SUM($G$63:Z$63)=0),AA20,0)</f>
        <v>0</v>
      </c>
      <c r="AB63" s="40">
        <f>IF(AND(AB62&gt;$E$57,SUM($G$63:AA$63)=0),AB20,0)</f>
        <v>0</v>
      </c>
      <c r="AC63" s="40">
        <f>IF(AND(AC62&gt;$E$57,SUM($G$63:AB$63)=0),AC20,0)</f>
        <v>0</v>
      </c>
      <c r="AD63" s="40">
        <f>IF(AND(AD62&gt;$E$57,SUM($G$63:AC$63)=0),AD20,0)</f>
        <v>0</v>
      </c>
      <c r="AE63" s="40">
        <f>IF(AND(AE62&gt;$E$57,SUM($G$63:AD$63)=0),AE20,0)</f>
        <v>0</v>
      </c>
      <c r="AF63" s="40">
        <f>IF(AND(AF62&gt;$E$57,SUM($G$63:AE$63)=0),AF20,0)</f>
        <v>0</v>
      </c>
      <c r="AG63" s="40">
        <f>IF(AND(AG62&gt;$E$57,SUM($G$63:AF$63)=0),AG20,0)</f>
        <v>0</v>
      </c>
      <c r="AH63" s="40">
        <f>IF(AND(AH62&gt;$E$57,SUM($G$63:AG$63)=0),AH20,0)</f>
        <v>0</v>
      </c>
      <c r="AI63" s="40">
        <f>IF(AND(AI62&gt;$E$57,SUM($G$63:AH$63)=0),AI20,0)</f>
        <v>0</v>
      </c>
      <c r="AJ63" s="40">
        <f>IF(AND(AJ62&gt;$E$57,SUM($G$63:AI$63)=0),AJ20,0)</f>
        <v>0</v>
      </c>
      <c r="AK63" s="40">
        <f>IF(AND(AK62&gt;$E$57,SUM($G$63:AJ$63)=0),AK20,0)</f>
        <v>0</v>
      </c>
      <c r="AL63" s="40">
        <f>IF(AND(AL62&gt;$E$57,SUM($G$63:AK$63)=0),AL20,0)</f>
        <v>0</v>
      </c>
      <c r="AM63" s="40">
        <f>IF(AND(AM62&gt;$E$57,SUM($G$63:AL$63)=0),AM20,0)</f>
        <v>0</v>
      </c>
      <c r="AN63" s="40">
        <f>IF(AND(AN62&gt;$E$57,SUM($G$63:AM$63)=0),AN20,0)</f>
        <v>0</v>
      </c>
      <c r="AO63" s="40">
        <f>IF(AND(AO62&gt;$E$57,SUM($G$63:AN$63)=0),AO20,0)</f>
        <v>0</v>
      </c>
      <c r="AP63" s="40">
        <f>IF(AND(AP62&gt;$E$57,SUM($G$63:AO$63)=0),AP20,0)</f>
        <v>0</v>
      </c>
      <c r="AQ63" s="40">
        <f>IF(AND(AQ62&gt;$E$57,SUM($G$63:AP$63)=0),AQ20,0)</f>
        <v>0</v>
      </c>
      <c r="AR63" s="40">
        <f>IF(AND(AR62&gt;$E$57,SUM($G$63:AQ$63)=0),AR20,0)</f>
        <v>0</v>
      </c>
      <c r="AS63" s="40">
        <f>IF(AND(AS62&gt;$E$57,SUM($G$63:AR$63)=0),AS20,0)</f>
        <v>0</v>
      </c>
      <c r="AT63" s="40">
        <f>IF(AND(AT62&gt;$E$57,SUM($G$63:AS$63)=0),AT20,0)</f>
        <v>0</v>
      </c>
      <c r="AU63" s="40">
        <f>IF(AND(AU62&gt;$E$57,SUM($G$63:AT$63)=0),AU20,0)</f>
        <v>0</v>
      </c>
      <c r="AV63" s="40">
        <f>IF(AND(AV62&gt;$E$57,SUM($G$63:AU$63)=0),AV20,0)</f>
        <v>0</v>
      </c>
      <c r="AW63" s="40">
        <f>IF(AND(AW62&gt;$E$57,SUM($G$63:AV$63)=0),AW20,0)</f>
        <v>0</v>
      </c>
      <c r="AX63" s="40">
        <f>IF(AND(AX62&gt;$E$57,SUM($G$63:AW$63)=0),AX20,0)</f>
        <v>0</v>
      </c>
      <c r="AY63" s="40">
        <f>IF(AND(AY62&gt;$E$57,SUM($G$63:AX$63)=0),AY20,0)</f>
        <v>0</v>
      </c>
      <c r="AZ63" s="40">
        <f>IF(AND(AZ62&gt;$E$57,SUM($G$63:AY$63)=0),AZ20,0)</f>
        <v>0</v>
      </c>
      <c r="BA63" s="40">
        <f>IF(AND(BA62&gt;$E$57,SUM($G$63:AZ$63)=0),BA20,0)</f>
        <v>0</v>
      </c>
      <c r="BB63" s="40">
        <f>IF(AND(BB62&gt;$E$57,SUM($G$63:BA$63)=0),BB20,0)</f>
        <v>0</v>
      </c>
      <c r="BC63" s="40">
        <f>IF(AND(BC62&gt;$E$57,SUM($G$63:BB$63)=0),BC20,0)</f>
        <v>0</v>
      </c>
      <c r="BD63" s="40">
        <f>IF(AND(BD62&gt;$E$57,SUM($G$63:BC$63)=0),BD20,0)</f>
        <v>0</v>
      </c>
      <c r="BE63" s="40">
        <f>IF(AND(BE62&gt;$E$57,SUM($G$63:BD$63)=0),BE20,0)</f>
        <v>0</v>
      </c>
      <c r="BF63" s="40">
        <f>IF(AND(BF62&gt;$E$57,SUM($G$63:BE$63)=0),BF20,0)</f>
        <v>0</v>
      </c>
      <c r="BG63" s="40">
        <f>IF(AND(BG62&gt;$E$57,SUM($G$63:BF$63)=0),BG20,0)</f>
        <v>0</v>
      </c>
      <c r="BH63" s="40">
        <f>IF(AND(BH62&gt;$E$57,SUM($G$63:BG$63)=0),BH20,0)</f>
        <v>0</v>
      </c>
      <c r="BI63" s="40">
        <f>IF(AND(BI62&gt;$E$57,SUM($G$63:BH$63)=0),BI20,0)</f>
        <v>0</v>
      </c>
      <c r="BJ63" s="40">
        <f>IF(AND(BJ62&gt;$E$57,SUM($G$63:BI$63)=0),BJ20,0)</f>
        <v>0</v>
      </c>
      <c r="BK63" s="40">
        <f>IF(AND(BK62&gt;$E$57,SUM($G$63:BJ$63)=0),BK20,0)</f>
        <v>0</v>
      </c>
      <c r="BL63" s="40">
        <f>IF(AND(BL62&gt;$E$57,SUM($G$63:BK$63)=0),BL20,0)</f>
        <v>0</v>
      </c>
      <c r="BM63" s="40">
        <f>IF(AND(BM62&gt;$E$57,SUM($G$63:BL$63)=0),BM20,0)</f>
        <v>0</v>
      </c>
      <c r="BN63" s="40">
        <f>IF(AND(BN62&gt;$E$57,SUM($G$63:BM$63)=0),BN20,0)</f>
        <v>0</v>
      </c>
      <c r="BO63" s="40">
        <f>IF(AND(BO62&gt;$E$57,SUM($G$63:BN$63)=0),BO20,0)</f>
        <v>0</v>
      </c>
      <c r="BP63" s="40">
        <f>IF(AND(BP62&gt;$E$57,SUM($G$63:BO$63)=0),BP20,0)</f>
        <v>0</v>
      </c>
      <c r="BQ63" s="40">
        <f>IF(AND(BQ62&gt;$E$57,SUM($G$63:BP$63)=0),BQ20,0)</f>
        <v>0</v>
      </c>
      <c r="BR63" s="40">
        <f>IF(AND(BR62&gt;$E$57,SUM($G$63:BQ$63)=0),BR20,0)</f>
        <v>0</v>
      </c>
      <c r="BS63" s="40">
        <f>IF(AND(BS62&gt;$E$57,SUM($G$63:BR$63)=0),BS20,0)</f>
        <v>0</v>
      </c>
      <c r="BT63" s="40">
        <f>IF(AND(BT62&gt;$E$57,SUM($G$63:BS$63)=0),BT20,0)</f>
        <v>0</v>
      </c>
      <c r="BU63" s="40">
        <f>IF(AND(BU62&gt;$E$57,SUM($G$63:BT$63)=0),BU20,0)</f>
        <v>0</v>
      </c>
      <c r="BV63" s="40">
        <f>IF(AND(BV62&gt;$E$57,SUM($G$63:BU$63)=0),BV20,0)</f>
        <v>0</v>
      </c>
      <c r="BW63" s="40">
        <f>IF(AND(BW62&gt;$E$57,SUM($G$63:BV$63)=0),BW20,0)</f>
        <v>0</v>
      </c>
      <c r="BX63" s="40">
        <f>IF(AND(BX62&gt;$E$57,SUM($G$63:BW$63)=0),BX20,0)</f>
        <v>0</v>
      </c>
      <c r="BY63" s="40">
        <f>IF(AND(BY62&gt;$E$57,SUM($G$63:BX$63)=0),BY20,0)</f>
        <v>0</v>
      </c>
      <c r="BZ63" s="40">
        <f>IF(AND(BZ62&gt;$E$57,SUM($G$63:BY$63)=0),BZ20,0)</f>
        <v>0</v>
      </c>
      <c r="CA63" s="40">
        <f>IF(AND(CA62&gt;$E$57,SUM($G$63:BZ$63)=0),CA20,0)</f>
        <v>0</v>
      </c>
      <c r="CB63" s="40">
        <f>IF(AND(CB62&gt;$E$57,SUM($G$63:CA$63)=0),CB20,0)</f>
        <v>0</v>
      </c>
      <c r="CC63" s="40">
        <f>IF(AND(CC62&gt;$E$57,SUM($G$63:CB$63)=0),CC20,0)</f>
        <v>0</v>
      </c>
      <c r="CD63" s="40">
        <f>IF(AND(CD62&gt;$E$57,SUM($G$63:CC$63)=0),CD20,0)</f>
        <v>0</v>
      </c>
      <c r="CE63" s="40">
        <f>IF(AND(CE62&gt;$E$57,SUM($G$63:CD$63)=0),CE20,0)</f>
        <v>0</v>
      </c>
      <c r="CF63" s="40">
        <f>IF(AND(CF62&gt;$E$57,SUM($G$63:CE$63)=0),CF20,0)</f>
        <v>0</v>
      </c>
      <c r="CG63" s="40">
        <f>IF(AND(CG62&gt;$E$57,SUM($G$63:CF$63)=0),CG20,0)</f>
        <v>0</v>
      </c>
      <c r="CH63" s="40">
        <f>IF(AND(CH62&gt;$E$57,SUM($G$63:CG$63)=0),CH20,0)</f>
        <v>0</v>
      </c>
      <c r="CI63" s="40">
        <f>IF(AND(CI62&gt;$E$57,SUM($G$63:CH$63)=0),CI20,0)</f>
        <v>0</v>
      </c>
      <c r="CJ63" s="40">
        <f>IF(AND(CJ62&gt;$E$57,SUM($G$63:CI$63)=0),CJ20,0)</f>
        <v>0</v>
      </c>
      <c r="CK63" s="40">
        <f>IF(AND(CK62&gt;$E$57,SUM($G$63:CJ$63)=0),CK20,0)</f>
        <v>0</v>
      </c>
      <c r="CL63" s="40">
        <f>IF(AND(CL62&gt;$E$57,SUM($G$63:CK$63)=0),CL20,0)</f>
        <v>0</v>
      </c>
      <c r="CM63" s="40">
        <f>IF(AND(CM62&gt;$E$57,SUM($G$63:CL$63)=0),CM20,0)</f>
        <v>0</v>
      </c>
      <c r="CN63" s="40">
        <f>IF(AND(CN62&gt;$E$57,SUM($G$63:CM$63)=0),CN20,0)</f>
        <v>0</v>
      </c>
      <c r="CO63" s="40">
        <f>IF(AND(CO62&gt;$E$57,SUM($G$63:CN$63)=0),CO20,0)</f>
        <v>0</v>
      </c>
      <c r="CP63" s="40">
        <f>IF(AND(CP62&gt;$E$57,SUM($G$63:CO$63)=0),CP20,0)</f>
        <v>0</v>
      </c>
      <c r="CQ63" s="40">
        <f>IF(AND(CQ62&gt;$E$57,SUM($G$63:CP$63)=0),CQ20,0)</f>
        <v>0</v>
      </c>
      <c r="CR63" s="40">
        <f>IF(AND(CR62&gt;$E$57,SUM($G$63:CQ$63)=0),CR20,0)</f>
        <v>0</v>
      </c>
      <c r="CS63" s="40">
        <f>IF(AND(CS62&gt;$E$57,SUM($G$63:CR$63)=0),CS20,0)</f>
        <v>0</v>
      </c>
      <c r="CT63" s="40">
        <f>IF(AND(CT62&gt;$E$57,SUM($G$63:CS$63)=0),CT20,0)</f>
        <v>0</v>
      </c>
      <c r="CU63" s="40">
        <f>IF(AND(CU62&gt;$E$57,SUM($G$63:CT$63)=0),CU20,0)</f>
        <v>0</v>
      </c>
      <c r="CV63" s="40">
        <f>IF(AND(CV62&gt;$E$57,SUM($G$63:CU$63)=0),CV20,0)</f>
        <v>0</v>
      </c>
      <c r="CW63" s="40">
        <f>IF(AND(CW62&gt;$E$57,SUM($G$63:CV$63)=0),CW20,0)</f>
        <v>0</v>
      </c>
      <c r="CX63" s="40">
        <f>IF(AND(CX62&gt;$E$57,SUM($G$63:CW$63)=0),CX20,0)</f>
        <v>0</v>
      </c>
      <c r="CY63" s="40">
        <f>IF(AND(CY62&gt;$E$57,SUM($G$63:CX$63)=0),CY20,0)</f>
        <v>0</v>
      </c>
      <c r="CZ63" s="40">
        <f>IF(AND(CZ62&gt;$E$57,SUM($G$63:CY$63)=0),CZ20,0)</f>
        <v>0</v>
      </c>
      <c r="DA63" s="40">
        <f>IF(AND(DA62&gt;$E$57,SUM($G$63:CZ$63)=0),DA20,0)</f>
        <v>0</v>
      </c>
      <c r="DB63" s="40">
        <f>IF(AND(DB62&gt;$E$57,SUM($G$63:DA$63)=0),DB20,0)</f>
        <v>0</v>
      </c>
      <c r="DC63" s="40">
        <f>IF(AND(DC62&gt;$E$57,SUM($G$63:DB$63)=0),DC20,0)</f>
        <v>0</v>
      </c>
      <c r="DD63" s="40">
        <f>IF(AND(DD62&gt;$E$57,SUM($G$63:DC$63)=0),DD20,0)</f>
        <v>0</v>
      </c>
      <c r="DE63" s="40">
        <f>IF(AND(DE62&gt;$E$57,SUM($G$63:DD$63)=0),DE20,0)</f>
        <v>0</v>
      </c>
      <c r="DF63" s="40">
        <f>IF(AND(DF62&gt;$E$57,SUM($G$63:DE$63)=0),DF20,0)</f>
        <v>0</v>
      </c>
      <c r="DG63" s="40">
        <f>IF(AND(DG62&gt;$E$57,SUM($G$63:DF$63)=0),DG20,0)</f>
        <v>0</v>
      </c>
      <c r="DH63" s="40">
        <f>IF(AND(DH62&gt;$E$57,SUM($G$63:DG$63)=0),DH20,0)</f>
        <v>0</v>
      </c>
      <c r="DI63" s="40">
        <f>IF(AND(DI62&gt;$E$57,SUM($G$63:DH$63)=0),DI20,0)</f>
        <v>0</v>
      </c>
      <c r="DJ63" s="40">
        <f>IF(AND(DJ62&gt;$E$57,SUM($G$63:DI$63)=0),DJ20,0)</f>
        <v>0</v>
      </c>
      <c r="DK63" s="40">
        <f>IF(AND(DK62&gt;$E$57,SUM($G$63:DJ$63)=0),DK20,0)</f>
        <v>0</v>
      </c>
      <c r="DL63" s="40">
        <f>IF(AND(DL62&gt;$E$57,SUM($G$63:DK$63)=0),DL20,0)</f>
        <v>0</v>
      </c>
      <c r="DM63" s="40">
        <f>IF(AND(DM62&gt;$E$57,SUM($G$63:DL$63)=0),DM20,0)</f>
        <v>0</v>
      </c>
      <c r="DN63" s="40">
        <f>IF(AND(DN62&gt;$E$57,SUM($G$63:DM$63)=0),DN20,0)</f>
        <v>0</v>
      </c>
      <c r="DO63" s="40">
        <f>IF(AND(DO62&gt;$E$57,SUM($G$63:DN$63)=0),DO20,0)</f>
        <v>0</v>
      </c>
      <c r="DP63" s="40">
        <f>IF(AND(DP62&gt;$E$57,SUM($G$63:DO$63)=0),DP20,0)</f>
        <v>0</v>
      </c>
      <c r="DQ63" s="40">
        <f>IF(AND(DQ62&gt;$E$57,SUM($G$63:DP$63)=0),DQ20,0)</f>
        <v>0</v>
      </c>
      <c r="DR63" s="40">
        <f>IF(AND(DR62&gt;$E$57,SUM($G$63:DQ$63)=0),DR20,0)</f>
        <v>0</v>
      </c>
      <c r="DS63" s="40">
        <f>IF(AND(DS62&gt;$E$57,SUM($G$63:DR$63)=0),DS20,0)</f>
        <v>0</v>
      </c>
      <c r="DT63" s="40">
        <f>IF(AND(DT62&gt;$E$57,SUM($G$63:DS$63)=0),DT20,0)</f>
        <v>0</v>
      </c>
      <c r="DU63" s="40">
        <f>IF(AND(DU62&gt;$E$57,SUM($G$63:DT$63)=0),DU20,0)</f>
        <v>0</v>
      </c>
      <c r="DV63" s="40">
        <f>IF(AND(DV62&gt;$E$57,SUM($G$63:DU$63)=0),DV20,0)</f>
        <v>0</v>
      </c>
      <c r="DW63" s="40">
        <f>IF(AND(DW62&gt;$E$57,SUM($G$63:DV$63)=0),DW20,0)</f>
        <v>0</v>
      </c>
      <c r="DX63" s="40">
        <f>IF(AND(DX62&gt;$E$57,SUM($G$63:DW$63)=0),DX20,0)</f>
        <v>0</v>
      </c>
      <c r="DY63" s="40">
        <f>IF(AND(DY62&gt;$E$57,SUM($G$63:DX$63)=0),DY20,0)</f>
        <v>0</v>
      </c>
      <c r="DZ63" s="40">
        <f>IF(AND(DZ62&gt;$E$57,SUM($G$63:DY$63)=0),DZ20,0)</f>
        <v>0</v>
      </c>
      <c r="EA63" s="40">
        <f>IF(AND(EA62&gt;$E$57,SUM($G$63:DZ$63)=0),EA20,0)</f>
        <v>0</v>
      </c>
      <c r="EB63" s="40">
        <f>IF(AND(EB62&gt;$E$57,SUM($G$63:EA$63)=0),EB20,0)</f>
        <v>0</v>
      </c>
      <c r="EC63" s="40">
        <f>IF(AND(EC62&gt;$E$57,SUM($G$63:EB$63)=0),EC20,0)</f>
        <v>0</v>
      </c>
      <c r="ED63" s="40">
        <f>IF(AND(ED62&gt;$E$57,SUM($G$63:EC$63)=0),ED20,0)</f>
        <v>0</v>
      </c>
      <c r="EE63" s="40">
        <f>IF(AND(EE62&gt;$E$57,SUM($G$63:ED$63)=0),EE20,0)</f>
        <v>0</v>
      </c>
      <c r="EF63" s="40">
        <f>IF(AND(EF62&gt;$E$57,SUM($G$63:EE$63)=0),EF20,0)</f>
        <v>0</v>
      </c>
      <c r="EG63" s="40">
        <f>IF(AND(EG62&gt;$E$57,SUM($G$63:EF$63)=0),EG20,0)</f>
        <v>0</v>
      </c>
      <c r="EH63" s="40">
        <f>IF(AND(EH62&gt;$E$57,SUM($G$63:EG$63)=0),EH20,0)</f>
        <v>0</v>
      </c>
      <c r="EI63" s="40">
        <f>IF(AND(EI62&gt;$E$57,SUM($G$63:EH$63)=0),EI20,0)</f>
        <v>0</v>
      </c>
      <c r="EJ63" s="40">
        <f>IF(AND(EJ62&gt;$E$57,SUM($G$63:EI$63)=0),EJ20,0)</f>
        <v>0</v>
      </c>
      <c r="EK63" s="40">
        <f>IF(AND(EK62&gt;$E$57,SUM($G$63:EJ$63)=0),EK20,0)</f>
        <v>0</v>
      </c>
      <c r="EL63" s="40">
        <f>IF(AND(EL62&gt;$E$57,SUM($G$63:EK$63)=0),EL20,0)</f>
        <v>0</v>
      </c>
      <c r="EM63" s="40">
        <f>IF(AND(EM62&gt;$E$57,SUM($G$63:EL$63)=0),EM20,0)</f>
        <v>0</v>
      </c>
      <c r="EN63" s="40">
        <f>IF(AND(EN62&gt;$E$57,SUM($G$63:EM$63)=0),EN20,0)</f>
        <v>0</v>
      </c>
      <c r="EO63" s="40">
        <f>IF(AND(EO62&gt;$E$57,SUM($G$63:EN$63)=0),EO20,0)</f>
        <v>0</v>
      </c>
      <c r="EP63" s="40">
        <f>IF(AND(EP62&gt;$E$57,SUM($G$63:EO$63)=0),EP20,0)</f>
        <v>0</v>
      </c>
      <c r="EQ63" s="40">
        <f>IF(AND(EQ62&gt;$E$57,SUM($G$63:EP$63)=0),EQ20,0)</f>
        <v>0</v>
      </c>
      <c r="ER63" s="40">
        <f>IF(AND(ER62&gt;$E$57,SUM($G$63:EQ$63)=0),ER20,0)</f>
        <v>0</v>
      </c>
      <c r="ES63" s="40">
        <f>IF(AND(ES62&gt;$E$57,SUM($G$63:ER$63)=0),ES20,0)</f>
        <v>0</v>
      </c>
      <c r="ET63" s="40">
        <f>IF(AND(ET62&gt;$E$57,SUM($G$63:ES$63)=0),ET20,0)</f>
        <v>0</v>
      </c>
      <c r="EU63" s="40">
        <f>IF(AND(EU62&gt;$E$57,SUM($G$63:ET$63)=0),EU20,0)</f>
        <v>0</v>
      </c>
      <c r="EV63" s="40">
        <f>IF(AND(EV62&gt;$E$57,SUM($G$63:EU$63)=0),EV20,0)</f>
        <v>0</v>
      </c>
      <c r="EW63" s="40">
        <f>IF(AND(EW62&gt;$E$57,SUM($G$63:EV$63)=0),EW20,0)</f>
        <v>0</v>
      </c>
      <c r="EX63" s="40">
        <f>IF(AND(EX62&gt;$E$57,SUM($G$63:EW$63)=0),EX20,0)</f>
        <v>0</v>
      </c>
      <c r="EY63" s="40">
        <f>IF(AND(EY62&gt;$E$57,SUM($G$63:EX$63)=0),EY20,0)</f>
        <v>0</v>
      </c>
      <c r="EZ63" s="40">
        <f>IF(AND(EZ62&gt;$E$57,SUM($G$63:EY$63)=0),EZ20,0)</f>
        <v>0</v>
      </c>
      <c r="FA63" s="40">
        <f>IF(AND(FA62&gt;$E$57,SUM($G$63:EZ$63)=0),FA20,0)</f>
        <v>0</v>
      </c>
      <c r="FB63" s="40">
        <f>IF(AND(FB62&gt;$E$57,SUM($G$63:FA$63)=0),FB20,0)</f>
        <v>0</v>
      </c>
      <c r="FC63" s="40">
        <f>IF(AND(FC62&gt;$E$57,SUM($G$63:FB$63)=0),FC20,0)</f>
        <v>0</v>
      </c>
      <c r="FD63" s="40">
        <f>IF(AND(FD62&gt;$E$57,SUM($G$63:FC$63)=0),FD20,0)</f>
        <v>0</v>
      </c>
      <c r="FE63" s="40">
        <f>IF(AND(FE62&gt;$E$57,SUM($G$63:FD$63)=0),FE20,0)</f>
        <v>0</v>
      </c>
      <c r="FF63" s="40">
        <f>IF(AND(FF62&gt;$E$57,SUM($G$63:FE$63)=0),FF20,0)</f>
        <v>0</v>
      </c>
      <c r="FG63" s="40">
        <f>IF(AND(FG62&gt;$E$57,SUM($G$63:FF$63)=0),FG20,0)</f>
        <v>0</v>
      </c>
      <c r="FH63" s="40">
        <f>IF(AND(FH62&gt;$E$57,SUM($G$63:FG$63)=0),FH20,0)</f>
        <v>0</v>
      </c>
      <c r="FI63" s="40">
        <f>IF(AND(FI62&gt;$E$57,SUM($G$63:FH$63)=0),FI20,0)</f>
        <v>0</v>
      </c>
      <c r="FJ63" s="40">
        <f>IF(AND(FJ62&gt;$E$57,SUM($G$63:FI$63)=0),FJ20,0)</f>
        <v>0</v>
      </c>
      <c r="FK63" s="40">
        <f>IF(AND(FK62&gt;$E$57,SUM($G$63:FJ$63)=0),FK20,0)</f>
        <v>0</v>
      </c>
      <c r="FL63" s="40">
        <f>IF(AND(FL62&gt;$E$57,SUM($G$63:FK$63)=0),FL20,0)</f>
        <v>0</v>
      </c>
      <c r="FM63" s="40">
        <f>IF(AND(FM62&gt;$E$57,SUM($G$63:FL$63)=0),FM20,0)</f>
        <v>0</v>
      </c>
      <c r="FN63" s="40">
        <f>IF(AND(FN62&gt;$E$57,SUM($G$63:FM$63)=0),FN20,0)</f>
        <v>0</v>
      </c>
      <c r="FO63" s="40">
        <f>IF(AND(FO62&gt;$E$57,SUM($G$63:FN$63)=0),FO20,0)</f>
        <v>0</v>
      </c>
      <c r="FP63" s="40">
        <f>IF(AND(FP62&gt;$E$57,SUM($G$63:FO$63)=0),FP20,0)</f>
        <v>0</v>
      </c>
      <c r="FQ63" s="40">
        <f>IF(AND(FQ62&gt;$E$57,SUM($G$63:FP$63)=0),FQ20,0)</f>
        <v>0</v>
      </c>
      <c r="FR63" s="40">
        <f>IF(AND(FR62&gt;$E$57,SUM($G$63:FQ$63)=0),FR20,0)</f>
        <v>0</v>
      </c>
      <c r="FS63" s="40">
        <f>IF(AND(FS62&gt;$E$57,SUM($G$63:FR$63)=0),FS20,0)</f>
        <v>0</v>
      </c>
      <c r="FT63" s="40">
        <f>IF(AND(FT62&gt;$E$57,SUM($G$63:FS$63)=0),FT20,0)</f>
        <v>0</v>
      </c>
      <c r="FU63" s="40">
        <f>IF(AND(FU62&gt;$E$57,SUM($G$63:FT$63)=0),FU20,0)</f>
        <v>0</v>
      </c>
      <c r="FV63" s="40">
        <f>IF(AND(FV62&gt;$E$57,SUM($G$63:FU$63)=0),FV20,0)</f>
        <v>0</v>
      </c>
      <c r="FW63" s="40">
        <f>IF(AND(FW62&gt;$E$57,SUM($G$63:FV$63)=0),FW20,0)</f>
        <v>0</v>
      </c>
      <c r="FX63" s="40">
        <f>IF(AND(FX62&gt;$E$57,SUM($G$63:FW$63)=0),FX20,0)</f>
        <v>0</v>
      </c>
      <c r="FY63" s="40">
        <f>IF(AND(FY62&gt;$E$57,SUM($G$63:FX$63)=0),FY20,0)</f>
        <v>0</v>
      </c>
      <c r="FZ63" s="40">
        <f>IF(AND(FZ62&gt;$E$57,SUM($G$63:FY$63)=0),FZ20,0)</f>
        <v>0</v>
      </c>
      <c r="GA63" s="40">
        <f>IF(AND(GA62&gt;$E$57,SUM($G$63:FZ$63)=0),GA20,0)</f>
        <v>0</v>
      </c>
      <c r="GB63" s="40">
        <f>IF(AND(GB62&gt;$E$57,SUM($G$63:GA$63)=0),GB20,0)</f>
        <v>0</v>
      </c>
      <c r="GC63" s="40">
        <f>IF(AND(GC62&gt;$E$57,SUM($G$63:GB$63)=0),GC20,0)</f>
        <v>0</v>
      </c>
      <c r="GD63" s="40">
        <f>IF(AND(GD62&gt;$E$57,SUM($G$63:GC$63)=0),GD20,0)</f>
        <v>0</v>
      </c>
      <c r="GE63" s="40">
        <f>IF(AND(GE62&gt;$E$57,SUM($G$63:GD$63)=0),GE20,0)</f>
        <v>0</v>
      </c>
      <c r="GF63" s="40">
        <f ca="1">IF(AND(GF62&gt;$E$57,SUM($G$63:GE$63)=0),GF20,0)</f>
        <v>0</v>
      </c>
      <c r="GG63" s="40">
        <f ca="1">IF(AND(GG62&gt;$E$57,SUM($G$63:GF$63)=0),GG20,0)</f>
        <v>0</v>
      </c>
      <c r="GH63" s="40">
        <f ca="1">IF(AND(GH62&gt;$E$57,SUM($G$63:GG$63)=0),GH20,0)</f>
        <v>0</v>
      </c>
      <c r="GI63" s="40">
        <f ca="1">IF(AND(GI62&gt;$E$57,SUM($G$63:GH$63)=0),GI20,0)</f>
        <v>0</v>
      </c>
      <c r="GJ63" s="40">
        <f ca="1">IF(AND(GJ62&gt;$E$57,SUM($G$63:GI$63)=0),GJ20,0)</f>
        <v>0</v>
      </c>
      <c r="GK63" s="40">
        <f ca="1">IF(AND(GK62&gt;$E$57,SUM($G$63:GJ$63)=0),GK20,0)</f>
        <v>0</v>
      </c>
      <c r="GL63" s="40">
        <f ca="1">IF(AND(GL62&gt;$E$57,SUM($G$63:GK$63)=0),GL20,0)</f>
        <v>0</v>
      </c>
      <c r="GM63" s="40">
        <f ca="1">IF(AND(GM62&gt;$E$57,SUM($G$63:GL$63)=0),GM20,0)</f>
        <v>0</v>
      </c>
      <c r="GN63" s="40">
        <f ca="1">IF(AND(GN62&gt;$E$57,SUM($G$63:GM$63)=0),GN20,0)</f>
        <v>0</v>
      </c>
      <c r="GO63" s="40">
        <f ca="1">IF(AND(GO62&gt;$E$57,SUM($G$63:GN$63)=0),GO20,0)</f>
        <v>0</v>
      </c>
      <c r="GP63" s="40">
        <f ca="1">IF(AND(GP62&gt;$E$57,SUM($G$63:GO$63)=0),GP20,0)</f>
        <v>0</v>
      </c>
      <c r="GQ63" s="40">
        <f ca="1">IF(AND(GQ62&gt;$E$57,SUM($G$63:GP$63)=0),GQ20,0)</f>
        <v>0</v>
      </c>
      <c r="GR63" s="40">
        <f ca="1">IF(AND(GR62&gt;$E$57,SUM($G$63:GQ$63)=0),GR20,0)</f>
        <v>0</v>
      </c>
      <c r="GS63" s="40">
        <f ca="1">IF(AND(GS62&gt;$E$57,SUM($G$63:GR$63)=0),GS20,0)</f>
        <v>0</v>
      </c>
      <c r="GT63" s="40">
        <f ca="1">IF(AND(GT62&gt;$E$57,SUM($G$63:GS$63)=0),GT20,0)</f>
        <v>0</v>
      </c>
      <c r="GU63" s="40">
        <f ca="1">IF(AND(GU62&gt;$E$57,SUM($G$63:GT$63)=0),GU20,0)</f>
        <v>0</v>
      </c>
      <c r="GV63" s="40">
        <f ca="1">IF(AND(GV62&gt;$E$57,SUM($G$63:GU$63)=0),GV20,0)</f>
        <v>0</v>
      </c>
      <c r="GW63" s="40">
        <f ca="1">IF(AND(GW62&gt;$E$57,SUM($G$63:GV$63)=0),GW20,0)</f>
        <v>0</v>
      </c>
      <c r="GX63" s="40">
        <f ca="1">IF(AND(GX62&gt;$E$57,SUM($G$63:GW$63)=0),GX20,0)</f>
        <v>0</v>
      </c>
      <c r="GY63" s="40">
        <f ca="1">IF(AND(GY62&gt;$E$57,SUM($G$63:GX$63)=0),GY20,0)</f>
        <v>0</v>
      </c>
      <c r="GZ63" s="40">
        <f ca="1">IF(AND(GZ62&gt;$E$57,SUM($G$63:GY$63)=0),GZ20,0)</f>
        <v>0</v>
      </c>
      <c r="HA63" s="40">
        <f ca="1">IF(AND(HA62&gt;$E$57,SUM($G$63:GZ$63)=0),HA20,0)</f>
        <v>0</v>
      </c>
      <c r="HB63" s="40">
        <f ca="1">IF(AND(HB62&gt;$E$57,SUM($G$63:HA$63)=0),HB20,0)</f>
        <v>0</v>
      </c>
      <c r="HC63" s="40">
        <f ca="1">IF(AND(HC62&gt;$E$57,SUM($G$63:HB$63)=0),HC20,0)</f>
        <v>0</v>
      </c>
      <c r="HD63" s="40">
        <f ca="1">IF(AND(HD62&gt;$E$57,SUM($G$63:HC$63)=0),HD20,0)</f>
        <v>0</v>
      </c>
      <c r="HE63" s="40">
        <f ca="1">IF(AND(HE62&gt;$E$57,SUM($G$63:HD$63)=0),HE20,0)</f>
        <v>0</v>
      </c>
      <c r="HF63" s="40">
        <f ca="1">IF(AND(HF62&gt;$E$57,SUM($G$63:HE$63)=0),HF20,0)</f>
        <v>0</v>
      </c>
      <c r="HG63" s="40">
        <f ca="1">IF(AND(HG62&gt;$E$57,SUM($G$63:HF$63)=0),HG20,0)</f>
        <v>0</v>
      </c>
      <c r="HH63" s="40">
        <f ca="1">IF(AND(HH62&gt;$E$57,SUM($G$63:HG$63)=0),HH20,0)</f>
        <v>0</v>
      </c>
      <c r="HI63" s="40">
        <f ca="1">IF(AND(HI62&gt;$E$57,SUM($G$63:HH$63)=0),HI20,0)</f>
        <v>0</v>
      </c>
      <c r="HJ63" s="40">
        <f ca="1">IF(AND(HJ62&gt;$E$57,SUM($G$63:HI$63)=0),HJ20,0)</f>
        <v>0</v>
      </c>
      <c r="HK63" s="40">
        <f ca="1">IF(AND(HK62&gt;$E$57,SUM($G$63:HJ$63)=0),HK20,0)</f>
        <v>0</v>
      </c>
      <c r="HL63" s="40">
        <f ca="1">IF(AND(HL62&gt;$E$57,SUM($G$63:HK$63)=0),HL20,0)</f>
        <v>0</v>
      </c>
      <c r="HM63" s="40">
        <f ca="1">IF(AND(HM62&gt;$E$57,SUM($G$63:HL$63)=0),HM20,0)</f>
        <v>0</v>
      </c>
      <c r="HN63" s="40">
        <f ca="1">IF(AND(HN62&gt;$E$57,SUM($G$63:HM$63)=0),HN20,0)</f>
        <v>0</v>
      </c>
      <c r="HO63" s="40">
        <f ca="1">IF(AND(HO62&gt;$E$57,SUM($G$63:HN$63)=0),HO20,0)</f>
        <v>0</v>
      </c>
      <c r="HP63" s="40">
        <f ca="1">IF(AND(HP62&gt;$E$57,SUM($G$63:HO$63)=0),HP20,0)</f>
        <v>0</v>
      </c>
      <c r="HQ63" s="40">
        <f ca="1">IF(AND(HQ62&gt;$E$57,SUM($G$63:HP$63)=0),HQ20,0)</f>
        <v>0</v>
      </c>
      <c r="HR63" s="40">
        <f ca="1">IF(AND(HR62&gt;$E$57,SUM($G$63:HQ$63)=0),HR20,0)</f>
        <v>0</v>
      </c>
      <c r="HS63" s="40">
        <f ca="1">IF(AND(HS62&gt;$E$57,SUM($G$63:HR$63)=0),HS20,0)</f>
        <v>0</v>
      </c>
      <c r="HT63" s="40">
        <f ca="1">IF(AND(HT62&gt;$E$57,SUM($G$63:HS$63)=0),HT20,0)</f>
        <v>0</v>
      </c>
      <c r="HU63" s="40">
        <f ca="1">IF(AND(HU62&gt;$E$57,SUM($G$63:HT$63)=0),HU20,0)</f>
        <v>0</v>
      </c>
      <c r="HV63" s="40">
        <f ca="1">IF(AND(HV62&gt;$E$57,SUM($G$63:HU$63)=0),HV20,0)</f>
        <v>0</v>
      </c>
      <c r="HW63" s="40">
        <f ca="1">IF(AND(HW62&gt;$E$57,SUM($G$63:HV$63)=0),HW20,0)</f>
        <v>0</v>
      </c>
      <c r="HX63" s="40">
        <f ca="1">IF(AND(HX62&gt;$E$57,SUM($G$63:HW$63)=0),HX20,0)</f>
        <v>0</v>
      </c>
      <c r="HY63" s="40">
        <f ca="1">IF(AND(HY62&gt;$E$57,SUM($G$63:HX$63)=0),HY20,0)</f>
        <v>0</v>
      </c>
      <c r="HZ63" s="40">
        <f ca="1">IF(AND(HZ62&gt;$E$57,SUM($G$63:HY$63)=0),HZ20,0)</f>
        <v>0</v>
      </c>
      <c r="IA63" s="40">
        <f ca="1">IF(AND(IA62&gt;$E$57,SUM($G$63:HZ$63)=0),IA20,0)</f>
        <v>0</v>
      </c>
      <c r="IB63" s="40">
        <f ca="1">IF(AND(IB62&gt;$E$57,SUM($G$63:IA$63)=0),IB20,0)</f>
        <v>0</v>
      </c>
      <c r="IC63" s="40">
        <f ca="1">IF(AND(IC62&gt;$E$57,SUM($G$63:IB$63)=0),IC20,0)</f>
        <v>0</v>
      </c>
      <c r="ID63" s="40">
        <f ca="1">IF(AND(ID62&gt;$E$57,SUM($G$63:IC$63)=0),ID20,0)</f>
        <v>0</v>
      </c>
      <c r="IE63" s="40">
        <f ca="1">IF(AND(IE62&gt;$E$57,SUM($G$63:ID$63)=0),IE20,0)</f>
        <v>0</v>
      </c>
      <c r="IF63" s="40">
        <f ca="1">IF(AND(IF62&gt;$E$57,SUM($G$63:IE$63)=0),IF20,0)</f>
        <v>0</v>
      </c>
      <c r="IG63" s="40">
        <f ca="1">IF(AND(IG62&gt;$E$57,SUM($G$63:IF$63)=0),IG20,0)</f>
        <v>0</v>
      </c>
      <c r="IH63" s="40">
        <f ca="1">IF(AND(IH62&gt;$E$57,SUM($G$63:IG$63)=0),IH20,0)</f>
        <v>0</v>
      </c>
      <c r="II63" s="40">
        <f ca="1">IF(AND(II62&gt;$E$57,SUM($G$63:IH$63)=0),II20,0)</f>
        <v>0</v>
      </c>
      <c r="IJ63" s="40">
        <f ca="1">IF(AND(IJ62&gt;$E$57,SUM($G$63:II$63)=0),IJ20,0)</f>
        <v>0</v>
      </c>
      <c r="IK63" s="40">
        <f ca="1">IF(AND(IK62&gt;$E$57,SUM($G$63:IJ$63)=0),IK20,0)</f>
        <v>0</v>
      </c>
      <c r="IL63" s="40">
        <f ca="1">IF(AND(IL62&gt;$E$57,SUM($G$63:IK$63)=0),IL20,0)</f>
        <v>0</v>
      </c>
      <c r="IM63" s="40">
        <f ca="1">IF(AND(IM62&gt;$E$57,SUM($G$63:IL$63)=0),IM20,0)</f>
        <v>0</v>
      </c>
      <c r="IN63" s="40">
        <f ca="1">IF(AND(IN62&gt;$E$57,SUM($G$63:IM$63)=0),IN20,0)</f>
        <v>0</v>
      </c>
      <c r="IO63" s="40">
        <f ca="1">IF(AND(IO62&gt;$E$57,SUM($G$63:IN$63)=0),IO20,0)</f>
        <v>0</v>
      </c>
      <c r="IP63" s="40">
        <f ca="1">IF(AND(IP62&gt;$E$57,SUM($G$63:IO$63)=0),IP20,0)</f>
        <v>0</v>
      </c>
      <c r="IQ63" s="40">
        <f ca="1">IF(AND(IQ62&gt;$E$57,SUM($G$63:IP$63)=0),IQ20,0)</f>
        <v>0</v>
      </c>
      <c r="IR63" s="40">
        <f ca="1">IF(AND(IR62&gt;$E$57,SUM($G$63:IQ$63)=0),IR20,0)</f>
        <v>0</v>
      </c>
      <c r="IS63" s="40">
        <f ca="1">IF(AND(IS62&gt;$E$57,SUM($G$63:IR$63)=0),IS20,0)</f>
        <v>0</v>
      </c>
      <c r="IT63" s="40">
        <f ca="1">IF(AND(IT62&gt;$E$57,SUM($G$63:IS$63)=0),IT20,0)</f>
        <v>0</v>
      </c>
      <c r="IU63" s="40">
        <f ca="1">IF(AND(IU62&gt;$E$57,SUM($G$63:IT$63)=0),IU20,0)</f>
        <v>0</v>
      </c>
      <c r="IV63" s="40">
        <f ca="1">IF(AND(IV62&gt;$E$57,SUM($G$63:IU$63)=0),IV20,0)</f>
        <v>0</v>
      </c>
      <c r="IW63" s="40">
        <f ca="1">IF(AND(IW62&gt;$E$57,SUM($G$63:IV$63)=0),IW20,0)</f>
        <v>0</v>
      </c>
      <c r="IX63" s="40">
        <f ca="1">IF(AND(IX62&gt;$E$57,SUM($G$63:IW$63)=0),IX20,0)</f>
        <v>0</v>
      </c>
      <c r="IY63" s="40">
        <f ca="1">IF(AND(IY62&gt;$E$57,SUM($G$63:IX$63)=0),IY20,0)</f>
        <v>0</v>
      </c>
      <c r="IZ63" s="40">
        <f ca="1">IF(AND(IZ62&gt;$E$57,SUM($G$63:IY$63)=0),IZ20,0)</f>
        <v>0</v>
      </c>
      <c r="JA63" s="40">
        <f ca="1">IF(AND(JA62&gt;$E$57,SUM($G$63:IZ$63)=0),JA20,0)</f>
        <v>0</v>
      </c>
      <c r="JB63" s="40">
        <f ca="1">IF(AND(JB62&gt;$E$57,SUM($G$63:JA$63)=0),JB20,0)</f>
        <v>0</v>
      </c>
      <c r="JC63" s="40">
        <f ca="1">IF(AND(JC62&gt;$E$57,SUM($G$63:JB$63)=0),JC20,0)</f>
        <v>0</v>
      </c>
      <c r="JD63" s="40">
        <f ca="1">IF(AND(JD62&gt;$E$57,SUM($G$63:JC$63)=0),JD20,0)</f>
        <v>0</v>
      </c>
      <c r="JE63" s="40">
        <f ca="1">IF(AND(JE62&gt;$E$57,SUM($G$63:JD$63)=0),JE20,0)</f>
        <v>0</v>
      </c>
      <c r="JF63" s="40">
        <f ca="1">IF(AND(JF62&gt;$E$57,SUM($G$63:JE$63)=0),JF20,0)</f>
        <v>0</v>
      </c>
      <c r="JG63" s="40">
        <f ca="1">IF(AND(JG62&gt;$E$57,SUM($G$63:JF$63)=0),JG20,0)</f>
        <v>0</v>
      </c>
      <c r="JH63" s="40">
        <f ca="1">IF(AND(JH62&gt;$E$57,SUM($G$63:JG$63)=0),JH20,0)</f>
        <v>0</v>
      </c>
      <c r="JI63" s="40">
        <f ca="1">IF(AND(JI62&gt;$E$57,SUM($G$63:JH$63)=0),JI20,0)</f>
        <v>0</v>
      </c>
      <c r="JJ63" s="40">
        <f ca="1">IF(AND(JJ62&gt;$E$57,SUM($G$63:JI$63)=0),JJ20,0)</f>
        <v>0</v>
      </c>
      <c r="JK63" s="40">
        <f ca="1">IF(AND(JK62&gt;$E$57,SUM($G$63:JJ$63)=0),JK20,0)</f>
        <v>0</v>
      </c>
      <c r="JL63" s="40">
        <f ca="1">IF(AND(JL62&gt;$E$57,SUM($G$63:JK$63)=0),JL20,0)</f>
        <v>0</v>
      </c>
      <c r="JM63" s="40">
        <f ca="1">IF(AND(JM62&gt;$E$57,SUM($G$63:JL$63)=0),JM20,0)</f>
        <v>0</v>
      </c>
      <c r="JN63" s="40">
        <f ca="1">IF(AND(JN62&gt;$E$57,SUM($G$63:JM$63)=0),JN20,0)</f>
        <v>0</v>
      </c>
      <c r="JO63" s="40">
        <f ca="1">IF(AND(JO62&gt;$E$57,SUM($G$63:JN$63)=0),JO20,0)</f>
        <v>0</v>
      </c>
      <c r="JP63" s="40">
        <f ca="1">IF(AND(JP62&gt;$E$57,SUM($G$63:JO$63)=0),JP20,0)</f>
        <v>0</v>
      </c>
      <c r="JQ63" s="40">
        <f ca="1">IF(AND(JQ62&gt;$E$57,SUM($G$63:JP$63)=0),JQ20,0)</f>
        <v>0</v>
      </c>
      <c r="JR63" s="40">
        <f ca="1">IF(AND(JR62&gt;$E$57,SUM($G$63:JQ$63)=0),JR20,0)</f>
        <v>0</v>
      </c>
      <c r="JS63" s="40">
        <f ca="1">IF(AND(JS62&gt;$E$57,SUM($G$63:JR$63)=0),JS20,0)</f>
        <v>0</v>
      </c>
      <c r="JT63" s="40">
        <f ca="1">IF(AND(JT62&gt;$E$57,SUM($G$63:JS$63)=0),JT20,0)</f>
        <v>0</v>
      </c>
      <c r="JU63" s="40">
        <f ca="1">IF(AND(JU62&gt;$E$57,SUM($G$63:JT$63)=0),JU20,0)</f>
        <v>0</v>
      </c>
      <c r="JV63" s="40">
        <f ca="1">IF(AND(JV62&gt;$E$57,SUM($G$63:JU$63)=0),JV20,0)</f>
        <v>0</v>
      </c>
      <c r="JW63" s="40">
        <f ca="1">IF(AND(JW62&gt;$E$57,SUM($G$63:JV$63)=0),JW20,0)</f>
        <v>0</v>
      </c>
      <c r="JX63" s="40">
        <f ca="1">IF(AND(JX62&gt;$E$57,SUM($G$63:JW$63)=0),JX20,0)</f>
        <v>0</v>
      </c>
      <c r="JY63" s="40">
        <f ca="1">IF(AND(JY62&gt;$E$57,SUM($G$63:JX$63)=0),JY20,0)</f>
        <v>0</v>
      </c>
      <c r="JZ63" s="40">
        <f ca="1">IF(AND(JZ62&gt;$E$57,SUM($G$63:JY$63)=0),JZ20,0)</f>
        <v>0</v>
      </c>
      <c r="KA63" s="40">
        <f ca="1">IF(AND(KA62&gt;$E$57,SUM($G$63:JZ$63)=0),KA20,0)</f>
        <v>0</v>
      </c>
      <c r="KB63" s="40">
        <f ca="1">IF(AND(KB62&gt;$E$57,SUM($G$63:KA$63)=0),KB20,0)</f>
        <v>0</v>
      </c>
      <c r="KC63" s="40">
        <f ca="1">IF(AND(KC62&gt;$E$57,SUM($G$63:KB$63)=0),KC20,0)</f>
        <v>0</v>
      </c>
      <c r="KD63" s="40">
        <f ca="1">IF(AND(KD62&gt;$E$57,SUM($G$63:KC$63)=0),KD20,0)</f>
        <v>0</v>
      </c>
      <c r="KE63" s="40">
        <f ca="1">IF(AND(KE62&gt;$E$57,SUM($G$63:KD$63)=0),KE20,0)</f>
        <v>0</v>
      </c>
      <c r="KF63" s="40">
        <f ca="1">IF(AND(KF62&gt;$E$57,SUM($G$63:KE$63)=0),KF20,0)</f>
        <v>0</v>
      </c>
      <c r="KG63" s="40">
        <f ca="1">IF(AND(KG62&gt;$E$57,SUM($G$63:KF$63)=0),KG20,0)</f>
        <v>0</v>
      </c>
      <c r="KH63" s="40">
        <f ca="1">IF(AND(KH62&gt;$E$57,SUM($G$63:KG$63)=0),KH20,0)</f>
        <v>0</v>
      </c>
      <c r="KI63" s="40">
        <f ca="1">IF(AND(KI62&gt;$E$57,SUM($G$63:KH$63)=0),KI20,0)</f>
        <v>0</v>
      </c>
      <c r="KJ63" s="40">
        <f ca="1">IF(AND(KJ62&gt;$E$57,SUM($G$63:KI$63)=0),KJ20,0)</f>
        <v>0</v>
      </c>
      <c r="KK63" s="40">
        <f ca="1">IF(AND(KK62&gt;$E$57,SUM($G$63:KJ$63)=0),KK20,0)</f>
        <v>0</v>
      </c>
      <c r="KL63" s="40">
        <f ca="1">IF(AND(KL62&gt;$E$57,SUM($G$63:KK$63)=0),KL20,0)</f>
        <v>0</v>
      </c>
      <c r="KM63" s="40">
        <f ca="1">IF(AND(KM62&gt;$E$57,SUM($G$63:KL$63)=0),KM20,0)</f>
        <v>0</v>
      </c>
      <c r="KN63" s="40">
        <f ca="1">IF(AND(KN62&gt;$E$57,SUM($G$63:KM$63)=0),KN20,0)</f>
        <v>0</v>
      </c>
      <c r="KO63" s="40">
        <f ca="1">IF(AND(KO62&gt;$E$57,SUM($G$63:KN$63)=0),KO20,0)</f>
        <v>0</v>
      </c>
      <c r="KP63" s="40">
        <f ca="1">IF(AND(KP62&gt;$E$57,SUM($G$63:KO$63)=0),KP20,0)</f>
        <v>0</v>
      </c>
      <c r="KQ63" s="40">
        <f ca="1">IF(AND(KQ62&gt;$E$57,SUM($G$63:KP$63)=0),KQ20,0)</f>
        <v>0</v>
      </c>
      <c r="KR63" s="40">
        <f ca="1">IF(AND(KR62&gt;$E$57,SUM($G$63:KQ$63)=0),KR20,0)</f>
        <v>0</v>
      </c>
      <c r="KS63" s="40">
        <f ca="1">IF(AND(KS62&gt;$E$57,SUM($G$63:KR$63)=0),KS20,0)</f>
        <v>0</v>
      </c>
      <c r="KT63" s="40">
        <f ca="1">IF(AND(KT62&gt;$E$57,SUM($G$63:KS$63)=0),KT20,0)</f>
        <v>0</v>
      </c>
      <c r="KU63" s="40">
        <f ca="1">IF(AND(KU62&gt;$E$57,SUM($G$63:KT$63)=0),KU20,0)</f>
        <v>0</v>
      </c>
      <c r="KV63" s="40">
        <f ca="1">IF(AND(KV62&gt;$E$57,SUM($G$63:KU$63)=0),KV20,0)</f>
        <v>0</v>
      </c>
      <c r="KW63" s="40">
        <f ca="1">IF(AND(KW62&gt;$E$57,SUM($G$63:KV$63)=0),KW20,0)</f>
        <v>0</v>
      </c>
      <c r="KX63" s="40">
        <f ca="1">IF(AND(KX62&gt;$E$57,SUM($G$63:KW$63)=0),KX20,0)</f>
        <v>0</v>
      </c>
      <c r="KY63" s="40">
        <f ca="1">IF(AND(KY62&gt;$E$57,SUM($G$63:KX$63)=0),KY20,0)</f>
        <v>0</v>
      </c>
      <c r="KZ63" s="40">
        <f ca="1">IF(AND(KZ62&gt;$E$57,SUM($G$63:KY$63)=0),KZ20,0)</f>
        <v>0</v>
      </c>
      <c r="LA63" s="40">
        <f ca="1">IF(AND(LA62&gt;$E$57,SUM($G$63:KZ$63)=0),LA20,0)</f>
        <v>0</v>
      </c>
      <c r="LB63" s="40">
        <f ca="1">IF(AND(LB62&gt;$E$57,SUM($G$63:LA$63)=0),LB20,0)</f>
        <v>0</v>
      </c>
      <c r="LC63" s="40">
        <f ca="1">IF(AND(LC62&gt;$E$57,SUM($G$63:LB$63)=0),LC20,0)</f>
        <v>0</v>
      </c>
      <c r="LD63" s="40">
        <f ca="1">IF(AND(LD62&gt;$E$57,SUM($G$63:LC$63)=0),LD20,0)</f>
        <v>0</v>
      </c>
      <c r="LE63" s="40">
        <f ca="1">IF(AND(LE62&gt;$E$57,SUM($G$63:LD$63)=0),LE20,0)</f>
        <v>0</v>
      </c>
      <c r="LF63" s="40">
        <f ca="1">IF(AND(LF62&gt;$E$57,SUM($G$63:LE$63)=0),LF20,0)</f>
        <v>0</v>
      </c>
      <c r="LG63" s="40">
        <f ca="1">IF(AND(LG62&gt;$E$57,SUM($G$63:LF$63)=0),LG20,0)</f>
        <v>0</v>
      </c>
      <c r="LH63" s="40">
        <f ca="1">IF(AND(LH62&gt;$E$57,SUM($G$63:LG$63)=0),LH20,0)</f>
        <v>0</v>
      </c>
      <c r="LI63" s="40">
        <f ca="1">IF(AND(LI62&gt;$E$57,SUM($G$63:LH$63)=0),LI20,0)</f>
        <v>0</v>
      </c>
      <c r="LJ63" s="40">
        <f ca="1">IF(AND(LJ62&gt;$E$57,SUM($G$63:LI$63)=0),LJ20,0)</f>
        <v>0</v>
      </c>
      <c r="LK63" s="40">
        <f ca="1">IF(AND(LK62&gt;$E$57,SUM($G$63:LJ$63)=0),LK20,0)</f>
        <v>0</v>
      </c>
      <c r="LL63" s="40">
        <f ca="1">IF(AND(LL62&gt;$E$57,SUM($G$63:LK$63)=0),LL20,0)</f>
        <v>0</v>
      </c>
      <c r="LM63" s="40">
        <f ca="1">IF(AND(LM62&gt;$E$57,SUM($G$63:LL$63)=0),LM20,0)</f>
        <v>0</v>
      </c>
      <c r="LN63" s="40">
        <f ca="1">IF(AND(LN62&gt;$E$57,SUM($G$63:LM$63)=0),LN20,0)</f>
        <v>0</v>
      </c>
      <c r="LO63" s="40">
        <f ca="1">IF(AND(LO62&gt;$E$57,SUM($G$63:LN$63)=0),LO20,0)</f>
        <v>0</v>
      </c>
      <c r="LP63" s="40">
        <f ca="1">IF(AND(LP62&gt;$E$57,SUM($G$63:LO$63)=0),LP20,0)</f>
        <v>0</v>
      </c>
      <c r="LQ63" s="40">
        <f ca="1">IF(AND(LQ62&gt;$E$57,SUM($G$63:LP$63)=0),LQ20,0)</f>
        <v>0</v>
      </c>
      <c r="LR63" s="40">
        <f ca="1">IF(AND(LR62&gt;$E$57,SUM($G$63:LQ$63)=0),LR20,0)</f>
        <v>0</v>
      </c>
      <c r="LS63" s="40">
        <f ca="1">IF(AND(LS62&gt;$E$57,SUM($G$63:LR$63)=0),LS20,0)</f>
        <v>0</v>
      </c>
      <c r="LT63" s="40">
        <f ca="1">IF(AND(LT62&gt;$E$57,SUM($G$63:LS$63)=0),LT20,0)</f>
        <v>0</v>
      </c>
      <c r="LU63" s="40">
        <f ca="1">IF(AND(LU62&gt;$E$57,SUM($G$63:LT$63)=0),LU20,0)</f>
        <v>0</v>
      </c>
      <c r="LV63" s="40">
        <f ca="1">IF(AND(LV62&gt;$E$57,SUM($G$63:LU$63)=0),LV20,0)</f>
        <v>0</v>
      </c>
      <c r="LW63" s="40">
        <f ca="1">IF(AND(LW62&gt;$E$57,SUM($G$63:LV$63)=0),LW20,0)</f>
        <v>0</v>
      </c>
      <c r="LX63" s="40">
        <f ca="1">IF(AND(LX62&gt;$E$57,SUM($G$63:LW$63)=0),LX20,0)</f>
        <v>0</v>
      </c>
      <c r="LY63" s="40">
        <f ca="1">IF(AND(LY62&gt;$E$57,SUM($G$63:LX$63)=0),LY20,0)</f>
        <v>0</v>
      </c>
      <c r="LZ63" s="40">
        <f ca="1">IF(AND(LZ62&gt;$E$57,SUM($G$63:LY$63)=0),LZ20,0)</f>
        <v>0</v>
      </c>
      <c r="MA63" s="40">
        <f ca="1">IF(AND(MA62&gt;$E$57,SUM($G$63:LZ$63)=0),MA20,0)</f>
        <v>0</v>
      </c>
      <c r="MB63" s="40">
        <f ca="1">IF(AND(MB62&gt;$E$57,SUM($G$63:MA$63)=0),MB20,0)</f>
        <v>0</v>
      </c>
      <c r="MC63" s="40">
        <f ca="1">IF(AND(MC62&gt;$E$57,SUM($G$63:MB$63)=0),MC20,0)</f>
        <v>0</v>
      </c>
      <c r="MD63" s="40">
        <f ca="1">IF(AND(MD62&gt;$E$57,SUM($G$63:MC$63)=0),MD20,0)</f>
        <v>0</v>
      </c>
      <c r="ME63" s="40">
        <f ca="1">IF(AND(ME62&gt;$E$57,SUM($G$63:MD$63)=0),ME20,0)</f>
        <v>0</v>
      </c>
      <c r="MF63" s="40">
        <f ca="1">IF(AND(MF62&gt;$E$57,SUM($G$63:ME$63)=0),MF20,0)</f>
        <v>0</v>
      </c>
      <c r="MG63" s="40">
        <f ca="1">IF(AND(MG62&gt;$E$57,SUM($G$63:MF$63)=0),MG20,0)</f>
        <v>0</v>
      </c>
      <c r="MH63" s="40">
        <f ca="1">IF(AND(MH62&gt;$E$57,SUM($G$63:MG$63)=0),MH20,0)</f>
        <v>0</v>
      </c>
      <c r="MI63" s="40">
        <f ca="1">IF(AND(MI62&gt;$E$57,SUM($G$63:MH$63)=0),MI20,0)</f>
        <v>0</v>
      </c>
      <c r="MJ63" s="40">
        <f ca="1">IF(AND(MJ62&gt;$E$57,SUM($G$63:MI$63)=0),MJ20,0)</f>
        <v>0</v>
      </c>
      <c r="MK63" s="40">
        <f ca="1">IF(AND(MK62&gt;$E$57,SUM($G$63:MJ$63)=0),MK20,0)</f>
        <v>0</v>
      </c>
      <c r="ML63" s="40">
        <f ca="1">IF(AND(ML62&gt;$E$57,SUM($G$63:MK$63)=0),ML20,0)</f>
        <v>0</v>
      </c>
      <c r="MM63" s="40">
        <f ca="1">IF(AND(MM62&gt;$E$57,SUM($G$63:ML$63)=0),MM20,0)</f>
        <v>0</v>
      </c>
      <c r="MN63" s="40">
        <f ca="1">IF(AND(MN62&gt;$E$57,SUM($G$63:MM$63)=0),MN20,0)</f>
        <v>0</v>
      </c>
      <c r="MO63" s="40">
        <f ca="1">IF(AND(MO62&gt;$E$57,SUM($G$63:MN$63)=0),MO20,0)</f>
        <v>0</v>
      </c>
      <c r="MP63" s="40">
        <f ca="1">IF(AND(MP62&gt;$E$57,SUM($G$63:MO$63)=0),MP20,0)</f>
        <v>0</v>
      </c>
      <c r="MQ63" s="40">
        <f ca="1">IF(AND(MQ62&gt;$E$57,SUM($G$63:MP$63)=0),MQ20,0)</f>
        <v>0</v>
      </c>
      <c r="MR63" s="40">
        <f ca="1">IF(AND(MR62&gt;$E$57,SUM($G$63:MQ$63)=0),MR20,0)</f>
        <v>0</v>
      </c>
      <c r="MS63" s="40">
        <f ca="1">IF(AND(MS62&gt;$E$57,SUM($G$63:MR$63)=0),MS20,0)</f>
        <v>0</v>
      </c>
      <c r="MT63" s="40">
        <f ca="1">IF(AND(MT62&gt;$E$57,SUM($G$63:MS$63)=0),MT20,0)</f>
        <v>0</v>
      </c>
      <c r="MU63" s="40">
        <f ca="1">IF(AND(MU62&gt;$E$57,SUM($G$63:MT$63)=0),MU20,0)</f>
        <v>0</v>
      </c>
      <c r="MV63" s="40">
        <f ca="1">IF(AND(MV62&gt;$E$57,SUM($G$63:MU$63)=0),MV20,0)</f>
        <v>0</v>
      </c>
      <c r="MW63" s="40">
        <f ca="1">IF(AND(MW62&gt;$E$57,SUM($G$63:MV$63)=0),MW20,0)</f>
        <v>0</v>
      </c>
      <c r="MX63" s="40">
        <f ca="1">IF(AND(MX62&gt;$E$57,SUM($G$63:MW$63)=0),MX20,0)</f>
        <v>0</v>
      </c>
      <c r="MY63" s="40">
        <f ca="1">IF(AND(MY62&gt;$E$57,SUM($G$63:MX$63)=0),MY20,0)</f>
        <v>0</v>
      </c>
      <c r="MZ63" s="40">
        <f ca="1">IF(AND(MZ62&gt;$E$57,SUM($G$63:MY$63)=0),MZ20,0)</f>
        <v>0</v>
      </c>
      <c r="NA63" s="40">
        <f ca="1">IF(AND(NA62&gt;$E$57,SUM($G$63:MZ$63)=0),NA20,0)</f>
        <v>0</v>
      </c>
      <c r="NB63" s="40">
        <f ca="1">IF(AND(NB62&gt;$E$57,SUM($G$63:NA$63)=0),NB20,0)</f>
        <v>0</v>
      </c>
      <c r="NC63" s="40">
        <f ca="1">IF(AND(NC62&gt;$E$57,SUM($G$63:NB$63)=0),NC20,0)</f>
        <v>0</v>
      </c>
      <c r="ND63" s="40">
        <f ca="1">IF(AND(ND62&gt;$E$57,SUM($G$63:NC$63)=0),ND20,0)</f>
        <v>0</v>
      </c>
      <c r="NE63" s="40"/>
      <c r="NF63" s="40"/>
      <c r="NG63" s="40"/>
      <c r="NH63" s="40"/>
      <c r="NI63" s="40"/>
      <c r="NJ63" s="40"/>
      <c r="NK63" s="40"/>
      <c r="NL63" s="40"/>
      <c r="NM63" s="40"/>
      <c r="NN63" s="40"/>
      <c r="NO63" s="40"/>
      <c r="NP63" s="40"/>
      <c r="NQ63" s="40"/>
      <c r="NR63" s="40"/>
    </row>
    <row r="64" spans="2:382" x14ac:dyDescent="0.15">
      <c r="B64" s="518"/>
      <c r="D64" s="52"/>
      <c r="E64" s="40"/>
      <c r="F64" s="40"/>
      <c r="G64" s="114"/>
      <c r="H64" s="40"/>
      <c r="I64" s="40"/>
      <c r="J64" s="40"/>
      <c r="K64" s="40"/>
      <c r="L64" s="40"/>
      <c r="M64" s="40"/>
      <c r="N64" s="40"/>
      <c r="O64" s="40"/>
      <c r="P64" s="40"/>
      <c r="Q64" s="40"/>
      <c r="R64" s="40"/>
      <c r="S64" s="40"/>
      <c r="T64" s="40"/>
      <c r="U64" s="40"/>
      <c r="V64" s="40"/>
      <c r="W64" s="40"/>
      <c r="X64" s="40"/>
      <c r="Y64" s="40"/>
      <c r="Z64" s="40"/>
      <c r="AA64" s="40"/>
      <c r="AB64" s="40"/>
      <c r="AC64" s="40"/>
      <c r="AD64" s="40"/>
      <c r="AE64" s="40"/>
      <c r="AF64" s="40"/>
      <c r="AG64" s="40"/>
      <c r="AH64" s="40"/>
      <c r="AI64" s="40"/>
      <c r="AJ64" s="40"/>
      <c r="AK64" s="40"/>
      <c r="AL64" s="40"/>
      <c r="AM64" s="40"/>
      <c r="AN64" s="40"/>
      <c r="AO64" s="40"/>
      <c r="AP64" s="40"/>
      <c r="AQ64" s="40"/>
      <c r="AR64" s="40"/>
      <c r="AS64" s="40"/>
      <c r="AT64" s="40"/>
      <c r="AU64" s="40"/>
      <c r="AV64" s="40"/>
      <c r="AW64" s="40"/>
      <c r="AX64" s="40"/>
      <c r="AY64" s="40"/>
      <c r="AZ64" s="40"/>
      <c r="BA64" s="40"/>
      <c r="BB64" s="40"/>
      <c r="BC64" s="40"/>
      <c r="BD64" s="40"/>
      <c r="BE64" s="40"/>
      <c r="BF64" s="40"/>
      <c r="BG64" s="40"/>
      <c r="BH64" s="40"/>
      <c r="BI64" s="40"/>
      <c r="BJ64" s="40"/>
      <c r="BK64" s="40"/>
      <c r="BL64" s="40"/>
      <c r="BM64" s="40"/>
      <c r="BN64" s="40"/>
      <c r="BO64" s="40"/>
      <c r="BP64" s="40"/>
      <c r="BQ64" s="40"/>
      <c r="BR64" s="40"/>
      <c r="BS64" s="40"/>
      <c r="BT64" s="40"/>
      <c r="BU64" s="40"/>
      <c r="BV64" s="40"/>
      <c r="BW64" s="40"/>
      <c r="BX64" s="40"/>
      <c r="BY64" s="40"/>
      <c r="BZ64" s="40"/>
      <c r="CA64" s="40"/>
      <c r="CB64" s="40"/>
      <c r="CC64" s="40"/>
      <c r="CD64" s="40"/>
      <c r="CE64" s="40"/>
      <c r="CF64" s="40"/>
      <c r="CG64" s="40"/>
      <c r="CH64" s="40"/>
      <c r="CI64" s="40"/>
      <c r="CJ64" s="40"/>
      <c r="CK64" s="40"/>
      <c r="CL64" s="40"/>
      <c r="CM64" s="40"/>
      <c r="CN64" s="40"/>
      <c r="CO64" s="40"/>
      <c r="CP64" s="40"/>
      <c r="CQ64" s="40"/>
      <c r="CR64" s="40"/>
      <c r="CS64" s="40"/>
      <c r="CT64" s="40"/>
      <c r="CU64" s="40"/>
      <c r="CV64" s="40"/>
      <c r="CW64" s="40"/>
      <c r="CX64" s="40"/>
      <c r="CY64" s="40"/>
      <c r="CZ64" s="40"/>
      <c r="DA64" s="40"/>
      <c r="DB64" s="40"/>
      <c r="DC64" s="40"/>
      <c r="DD64" s="40"/>
      <c r="DE64" s="40"/>
      <c r="DF64" s="40"/>
      <c r="DG64" s="40"/>
      <c r="DH64" s="40"/>
      <c r="DI64" s="40"/>
      <c r="DJ64" s="40"/>
      <c r="DK64" s="40"/>
      <c r="DL64" s="40"/>
      <c r="DM64" s="40"/>
      <c r="DN64" s="40"/>
      <c r="DO64" s="40"/>
      <c r="DP64" s="40"/>
      <c r="DQ64" s="40"/>
      <c r="DR64" s="40"/>
      <c r="DS64" s="40"/>
      <c r="DT64" s="40"/>
      <c r="DU64" s="40"/>
      <c r="DV64" s="40"/>
      <c r="DW64" s="40"/>
      <c r="DX64" s="40"/>
      <c r="DY64" s="40"/>
      <c r="DZ64" s="40"/>
      <c r="EA64" s="40"/>
      <c r="EB64" s="40"/>
      <c r="EC64" s="40"/>
      <c r="ED64" s="40"/>
      <c r="EE64" s="40"/>
      <c r="EF64" s="40"/>
      <c r="EG64" s="40"/>
      <c r="EH64" s="40"/>
      <c r="EI64" s="40"/>
      <c r="EJ64" s="40"/>
      <c r="EK64" s="40"/>
      <c r="EL64" s="40"/>
      <c r="EM64" s="40"/>
      <c r="EN64" s="40"/>
      <c r="EO64" s="40"/>
      <c r="EP64" s="40"/>
      <c r="EQ64" s="40"/>
      <c r="ER64" s="40"/>
      <c r="ES64" s="40"/>
      <c r="ET64" s="40"/>
      <c r="EU64" s="40"/>
      <c r="EV64" s="40"/>
      <c r="EW64" s="40"/>
      <c r="EX64" s="40"/>
      <c r="EY64" s="40"/>
      <c r="EZ64" s="40"/>
      <c r="FA64" s="40"/>
      <c r="FB64" s="40"/>
      <c r="FC64" s="40"/>
      <c r="FD64" s="40"/>
      <c r="FE64" s="40"/>
      <c r="FF64" s="40"/>
      <c r="FG64" s="40"/>
      <c r="FH64" s="40"/>
      <c r="FI64" s="40"/>
      <c r="FJ64" s="40"/>
      <c r="FK64" s="40"/>
      <c r="FL64" s="40"/>
      <c r="FM64" s="40"/>
      <c r="FN64" s="40"/>
      <c r="FO64" s="40"/>
      <c r="FP64" s="40"/>
      <c r="FQ64" s="40"/>
      <c r="FR64" s="40"/>
      <c r="FS64" s="40"/>
      <c r="FT64" s="40"/>
      <c r="FU64" s="40"/>
      <c r="FV64" s="40"/>
      <c r="FW64" s="40"/>
      <c r="FX64" s="40"/>
      <c r="FY64" s="40"/>
      <c r="FZ64" s="40"/>
      <c r="GA64" s="40"/>
      <c r="GB64" s="40"/>
      <c r="GC64" s="40"/>
      <c r="GD64" s="40"/>
      <c r="GE64" s="40"/>
      <c r="GF64" s="40"/>
      <c r="GG64" s="40"/>
      <c r="GH64" s="40"/>
      <c r="GI64" s="40"/>
      <c r="GJ64" s="40"/>
      <c r="GK64" s="40"/>
      <c r="GL64" s="40"/>
      <c r="GM64" s="40"/>
      <c r="GN64" s="40"/>
      <c r="GO64" s="40"/>
      <c r="GP64" s="40"/>
      <c r="GQ64" s="40"/>
      <c r="GR64" s="40"/>
      <c r="GS64" s="40"/>
      <c r="GT64" s="40"/>
      <c r="GU64" s="40"/>
      <c r="GV64" s="40"/>
      <c r="GW64" s="40"/>
      <c r="GX64" s="40"/>
      <c r="GY64" s="40"/>
      <c r="GZ64" s="40"/>
      <c r="HA64" s="40"/>
      <c r="HB64" s="40"/>
      <c r="HC64" s="40"/>
      <c r="HD64" s="40"/>
      <c r="HE64" s="40"/>
      <c r="HF64" s="40"/>
      <c r="HG64" s="40"/>
      <c r="HH64" s="40"/>
      <c r="HI64" s="40"/>
      <c r="HJ64" s="40"/>
      <c r="HK64" s="40"/>
      <c r="HL64" s="40"/>
      <c r="HM64" s="40"/>
      <c r="HN64" s="40"/>
      <c r="HO64" s="40"/>
      <c r="HP64" s="40"/>
      <c r="HQ64" s="40"/>
      <c r="HR64" s="40"/>
      <c r="HS64" s="40"/>
      <c r="HT64" s="40"/>
      <c r="HU64" s="40"/>
      <c r="HV64" s="40"/>
      <c r="HW64" s="40"/>
      <c r="HX64" s="40"/>
      <c r="HY64" s="40"/>
      <c r="HZ64" s="40"/>
      <c r="IA64" s="40"/>
      <c r="IB64" s="40"/>
      <c r="IC64" s="40"/>
      <c r="ID64" s="40"/>
      <c r="IE64" s="40"/>
      <c r="IF64" s="40"/>
      <c r="IG64" s="40"/>
      <c r="IH64" s="40"/>
      <c r="II64" s="40"/>
      <c r="IJ64" s="40"/>
      <c r="IK64" s="40"/>
      <c r="IL64" s="40"/>
      <c r="IM64" s="40"/>
      <c r="IN64" s="40"/>
      <c r="IO64" s="40"/>
      <c r="IP64" s="40"/>
      <c r="IQ64" s="40"/>
      <c r="IR64" s="40"/>
      <c r="IS64" s="40"/>
      <c r="IT64" s="40"/>
      <c r="IU64" s="40"/>
      <c r="IV64" s="40"/>
      <c r="IW64" s="40"/>
      <c r="IX64" s="40"/>
      <c r="IY64" s="40"/>
      <c r="IZ64" s="40"/>
      <c r="JA64" s="40"/>
      <c r="JB64" s="40"/>
      <c r="JC64" s="40"/>
      <c r="JD64" s="40"/>
      <c r="JE64" s="40"/>
      <c r="JF64" s="40"/>
      <c r="JG64" s="40"/>
      <c r="JH64" s="40"/>
      <c r="JI64" s="40"/>
      <c r="JJ64" s="40"/>
      <c r="JK64" s="40"/>
      <c r="JL64" s="40"/>
      <c r="JM64" s="40"/>
      <c r="JN64" s="40"/>
      <c r="JO64" s="40"/>
      <c r="JP64" s="40"/>
      <c r="JQ64" s="40"/>
      <c r="JR64" s="40"/>
      <c r="JS64" s="40"/>
      <c r="JT64" s="40"/>
      <c r="JU64" s="40"/>
      <c r="JV64" s="40"/>
      <c r="JW64" s="40"/>
      <c r="JX64" s="40"/>
      <c r="JY64" s="40"/>
      <c r="JZ64" s="40"/>
      <c r="KA64" s="40"/>
      <c r="KB64" s="40"/>
      <c r="KC64" s="40"/>
      <c r="KD64" s="40"/>
      <c r="KE64" s="40"/>
      <c r="KF64" s="40"/>
      <c r="KG64" s="40"/>
      <c r="KH64" s="40"/>
      <c r="KI64" s="40"/>
      <c r="KJ64" s="40"/>
      <c r="KK64" s="40"/>
      <c r="KL64" s="40"/>
      <c r="KM64" s="40"/>
      <c r="KN64" s="40"/>
      <c r="KO64" s="40"/>
      <c r="KP64" s="40"/>
      <c r="KQ64" s="40"/>
      <c r="KR64" s="40"/>
      <c r="KS64" s="40"/>
      <c r="KT64" s="40"/>
      <c r="KU64" s="40"/>
      <c r="KV64" s="40"/>
      <c r="KW64" s="40"/>
      <c r="KX64" s="40"/>
      <c r="KY64" s="40"/>
      <c r="KZ64" s="40"/>
      <c r="LA64" s="40"/>
      <c r="LB64" s="40"/>
      <c r="LC64" s="40"/>
      <c r="LD64" s="40"/>
      <c r="LE64" s="40"/>
      <c r="LF64" s="40"/>
      <c r="LG64" s="40"/>
      <c r="LH64" s="40"/>
      <c r="LI64" s="40"/>
      <c r="LJ64" s="40"/>
      <c r="LK64" s="40"/>
      <c r="LL64" s="40"/>
      <c r="LM64" s="40"/>
      <c r="LN64" s="40"/>
      <c r="LO64" s="40"/>
      <c r="LP64" s="40"/>
      <c r="LQ64" s="40"/>
      <c r="LR64" s="40"/>
      <c r="LS64" s="40"/>
      <c r="LT64" s="40"/>
      <c r="LU64" s="40"/>
      <c r="LV64" s="40"/>
      <c r="LW64" s="40"/>
      <c r="LX64" s="40"/>
      <c r="LY64" s="40"/>
      <c r="LZ64" s="40"/>
      <c r="MA64" s="40"/>
      <c r="MB64" s="40"/>
      <c r="MC64" s="40"/>
      <c r="MD64" s="40"/>
      <c r="ME64" s="40"/>
      <c r="MF64" s="40"/>
      <c r="MG64" s="40"/>
      <c r="MH64" s="40"/>
      <c r="MI64" s="40"/>
      <c r="MJ64" s="40"/>
      <c r="MK64" s="40"/>
      <c r="ML64" s="40"/>
      <c r="MM64" s="40"/>
      <c r="MN64" s="40"/>
      <c r="MO64" s="40"/>
      <c r="MP64" s="40"/>
      <c r="MQ64" s="40"/>
      <c r="MR64" s="40"/>
      <c r="MS64" s="40"/>
      <c r="MT64" s="40"/>
      <c r="MU64" s="40"/>
      <c r="MV64" s="40"/>
      <c r="MW64" s="40"/>
      <c r="MX64" s="40"/>
      <c r="MY64" s="40"/>
      <c r="MZ64" s="40"/>
      <c r="NA64" s="40"/>
      <c r="NB64" s="40"/>
      <c r="NC64" s="40"/>
      <c r="ND64" s="40"/>
      <c r="NE64" s="40"/>
      <c r="NF64" s="40"/>
      <c r="NG64" s="40"/>
      <c r="NH64" s="40"/>
      <c r="NI64" s="40"/>
      <c r="NJ64" s="40"/>
      <c r="NK64" s="40"/>
      <c r="NL64" s="40"/>
      <c r="NM64" s="40"/>
      <c r="NN64" s="40"/>
      <c r="NO64" s="40"/>
      <c r="NP64" s="40"/>
      <c r="NQ64" s="40"/>
      <c r="NR64" s="40"/>
    </row>
    <row r="65" spans="2:382" x14ac:dyDescent="0.15">
      <c r="B65" s="518"/>
      <c r="C65" s="4" t="s">
        <v>167</v>
      </c>
      <c r="G65" s="118"/>
      <c r="I65" s="40">
        <f>I$23-SUM(I28:I29,I36:I37,I44:I45,I52:I53,I60:I61)</f>
        <v>0</v>
      </c>
      <c r="J65" s="40">
        <f>J$23-SUM(J28:J29,J36:J37,J44:J45,J52:J53,J60:J61)</f>
        <v>0</v>
      </c>
      <c r="K65" s="40">
        <f t="shared" ref="K65:BV65" si="4588">K$23-SUM(K28:K29,K36:K37,K44:K45,K52:K53,K60:K61)</f>
        <v>0</v>
      </c>
      <c r="L65" s="40">
        <f t="shared" si="4588"/>
        <v>0</v>
      </c>
      <c r="M65" s="40">
        <f t="shared" si="4588"/>
        <v>0</v>
      </c>
      <c r="N65" s="40">
        <f t="shared" si="4588"/>
        <v>0</v>
      </c>
      <c r="O65" s="40">
        <f t="shared" si="4588"/>
        <v>0</v>
      </c>
      <c r="P65" s="40">
        <f t="shared" si="4588"/>
        <v>0</v>
      </c>
      <c r="Q65" s="40">
        <f t="shared" si="4588"/>
        <v>0</v>
      </c>
      <c r="R65" s="40">
        <f t="shared" si="4588"/>
        <v>0</v>
      </c>
      <c r="S65" s="40">
        <f t="shared" si="4588"/>
        <v>0</v>
      </c>
      <c r="T65" s="40">
        <f t="shared" si="4588"/>
        <v>0</v>
      </c>
      <c r="U65" s="40">
        <f t="shared" si="4588"/>
        <v>0</v>
      </c>
      <c r="V65" s="40">
        <f t="shared" si="4588"/>
        <v>0</v>
      </c>
      <c r="W65" s="40">
        <f t="shared" si="4588"/>
        <v>0</v>
      </c>
      <c r="X65" s="40">
        <f t="shared" si="4588"/>
        <v>0</v>
      </c>
      <c r="Y65" s="40">
        <f t="shared" si="4588"/>
        <v>0</v>
      </c>
      <c r="Z65" s="40">
        <f t="shared" si="4588"/>
        <v>0</v>
      </c>
      <c r="AA65" s="40">
        <f t="shared" si="4588"/>
        <v>0</v>
      </c>
      <c r="AB65" s="40">
        <f t="shared" si="4588"/>
        <v>0</v>
      </c>
      <c r="AC65" s="40">
        <f t="shared" si="4588"/>
        <v>0</v>
      </c>
      <c r="AD65" s="40">
        <f t="shared" si="4588"/>
        <v>0</v>
      </c>
      <c r="AE65" s="40">
        <f t="shared" si="4588"/>
        <v>0</v>
      </c>
      <c r="AF65" s="40">
        <f t="shared" si="4588"/>
        <v>0</v>
      </c>
      <c r="AG65" s="40">
        <f t="shared" si="4588"/>
        <v>0</v>
      </c>
      <c r="AH65" s="40">
        <f t="shared" si="4588"/>
        <v>0</v>
      </c>
      <c r="AI65" s="40">
        <f t="shared" si="4588"/>
        <v>0</v>
      </c>
      <c r="AJ65" s="40">
        <f t="shared" si="4588"/>
        <v>0</v>
      </c>
      <c r="AK65" s="40">
        <f t="shared" si="4588"/>
        <v>0</v>
      </c>
      <c r="AL65" s="40">
        <f t="shared" si="4588"/>
        <v>0</v>
      </c>
      <c r="AM65" s="40">
        <f t="shared" si="4588"/>
        <v>0</v>
      </c>
      <c r="AN65" s="40">
        <f t="shared" si="4588"/>
        <v>0</v>
      </c>
      <c r="AO65" s="40">
        <f t="shared" si="4588"/>
        <v>0</v>
      </c>
      <c r="AP65" s="40">
        <f t="shared" si="4588"/>
        <v>0</v>
      </c>
      <c r="AQ65" s="40">
        <f t="shared" si="4588"/>
        <v>0</v>
      </c>
      <c r="AR65" s="40">
        <f t="shared" si="4588"/>
        <v>0</v>
      </c>
      <c r="AS65" s="40">
        <f t="shared" si="4588"/>
        <v>0</v>
      </c>
      <c r="AT65" s="40">
        <f t="shared" si="4588"/>
        <v>0</v>
      </c>
      <c r="AU65" s="40">
        <f t="shared" si="4588"/>
        <v>0</v>
      </c>
      <c r="AV65" s="40">
        <f t="shared" si="4588"/>
        <v>0</v>
      </c>
      <c r="AW65" s="40">
        <f t="shared" si="4588"/>
        <v>0</v>
      </c>
      <c r="AX65" s="40">
        <f t="shared" si="4588"/>
        <v>0</v>
      </c>
      <c r="AY65" s="40">
        <f t="shared" si="4588"/>
        <v>0</v>
      </c>
      <c r="AZ65" s="40">
        <f t="shared" si="4588"/>
        <v>0</v>
      </c>
      <c r="BA65" s="40">
        <f t="shared" si="4588"/>
        <v>0</v>
      </c>
      <c r="BB65" s="40">
        <f t="shared" si="4588"/>
        <v>0</v>
      </c>
      <c r="BC65" s="40">
        <f t="shared" si="4588"/>
        <v>0</v>
      </c>
      <c r="BD65" s="40">
        <f t="shared" si="4588"/>
        <v>0</v>
      </c>
      <c r="BE65" s="40">
        <f t="shared" si="4588"/>
        <v>0</v>
      </c>
      <c r="BF65" s="40">
        <f t="shared" si="4588"/>
        <v>0</v>
      </c>
      <c r="BG65" s="40">
        <f t="shared" si="4588"/>
        <v>0</v>
      </c>
      <c r="BH65" s="40">
        <f t="shared" si="4588"/>
        <v>0</v>
      </c>
      <c r="BI65" s="40">
        <f t="shared" si="4588"/>
        <v>0</v>
      </c>
      <c r="BJ65" s="40">
        <f t="shared" si="4588"/>
        <v>0</v>
      </c>
      <c r="BK65" s="40">
        <f t="shared" si="4588"/>
        <v>0</v>
      </c>
      <c r="BL65" s="40">
        <f t="shared" si="4588"/>
        <v>0</v>
      </c>
      <c r="BM65" s="40">
        <f t="shared" si="4588"/>
        <v>0</v>
      </c>
      <c r="BN65" s="40">
        <f t="shared" si="4588"/>
        <v>0</v>
      </c>
      <c r="BO65" s="40">
        <f t="shared" si="4588"/>
        <v>0</v>
      </c>
      <c r="BP65" s="40">
        <f t="shared" si="4588"/>
        <v>0</v>
      </c>
      <c r="BQ65" s="40">
        <f t="shared" si="4588"/>
        <v>0</v>
      </c>
      <c r="BR65" s="40">
        <f t="shared" si="4588"/>
        <v>0</v>
      </c>
      <c r="BS65" s="40">
        <f t="shared" si="4588"/>
        <v>0</v>
      </c>
      <c r="BT65" s="40">
        <f t="shared" si="4588"/>
        <v>0</v>
      </c>
      <c r="BU65" s="40">
        <f t="shared" si="4588"/>
        <v>0</v>
      </c>
      <c r="BV65" s="40">
        <f t="shared" si="4588"/>
        <v>0</v>
      </c>
      <c r="BW65" s="40">
        <f t="shared" ref="BW65:EH65" si="4589">BW$23-SUM(BW28:BW29,BW36:BW37,BW44:BW45,BW52:BW53,BW60:BW61)</f>
        <v>0</v>
      </c>
      <c r="BX65" s="40">
        <f t="shared" si="4589"/>
        <v>0</v>
      </c>
      <c r="BY65" s="40">
        <f t="shared" si="4589"/>
        <v>0</v>
      </c>
      <c r="BZ65" s="40">
        <f t="shared" si="4589"/>
        <v>0</v>
      </c>
      <c r="CA65" s="40">
        <f t="shared" si="4589"/>
        <v>0</v>
      </c>
      <c r="CB65" s="40">
        <f t="shared" si="4589"/>
        <v>0</v>
      </c>
      <c r="CC65" s="40">
        <f t="shared" si="4589"/>
        <v>0</v>
      </c>
      <c r="CD65" s="40">
        <f t="shared" si="4589"/>
        <v>0</v>
      </c>
      <c r="CE65" s="40">
        <f t="shared" si="4589"/>
        <v>0</v>
      </c>
      <c r="CF65" s="40">
        <f t="shared" si="4589"/>
        <v>0</v>
      </c>
      <c r="CG65" s="40">
        <f t="shared" si="4589"/>
        <v>0</v>
      </c>
      <c r="CH65" s="40">
        <f t="shared" si="4589"/>
        <v>0</v>
      </c>
      <c r="CI65" s="40">
        <f>CI$23-SUM(CI28:CI29,CI36:CI37,CI44:CI45,CI52:CI53,CI60:CI61)</f>
        <v>0</v>
      </c>
      <c r="CJ65" s="40">
        <f t="shared" si="4589"/>
        <v>0</v>
      </c>
      <c r="CK65" s="40">
        <f t="shared" si="4589"/>
        <v>0</v>
      </c>
      <c r="CL65" s="40">
        <f t="shared" si="4589"/>
        <v>0</v>
      </c>
      <c r="CM65" s="40">
        <f t="shared" si="4589"/>
        <v>0</v>
      </c>
      <c r="CN65" s="40">
        <f t="shared" si="4589"/>
        <v>0</v>
      </c>
      <c r="CO65" s="40">
        <f t="shared" si="4589"/>
        <v>0</v>
      </c>
      <c r="CP65" s="40">
        <f t="shared" si="4589"/>
        <v>0</v>
      </c>
      <c r="CQ65" s="40">
        <f t="shared" si="4589"/>
        <v>0</v>
      </c>
      <c r="CR65" s="40">
        <f t="shared" si="4589"/>
        <v>0</v>
      </c>
      <c r="CS65" s="40">
        <f t="shared" si="4589"/>
        <v>0</v>
      </c>
      <c r="CT65" s="40">
        <f t="shared" si="4589"/>
        <v>0</v>
      </c>
      <c r="CU65" s="40">
        <f t="shared" si="4589"/>
        <v>0</v>
      </c>
      <c r="CV65" s="40">
        <f t="shared" si="4589"/>
        <v>0</v>
      </c>
      <c r="CW65" s="40">
        <f t="shared" si="4589"/>
        <v>0</v>
      </c>
      <c r="CX65" s="40">
        <f t="shared" si="4589"/>
        <v>0</v>
      </c>
      <c r="CY65" s="40">
        <f t="shared" si="4589"/>
        <v>0</v>
      </c>
      <c r="CZ65" s="40">
        <f t="shared" si="4589"/>
        <v>0</v>
      </c>
      <c r="DA65" s="40">
        <f>DA$23-SUM(DA28:DA29,DA36:DA37,DA44:DA45,DA52:DA53,DA60:DA61)</f>
        <v>0</v>
      </c>
      <c r="DB65" s="40">
        <f t="shared" si="4589"/>
        <v>0</v>
      </c>
      <c r="DC65" s="40">
        <f t="shared" si="4589"/>
        <v>0</v>
      </c>
      <c r="DD65" s="40">
        <f t="shared" si="4589"/>
        <v>0</v>
      </c>
      <c r="DE65" s="40">
        <f t="shared" si="4589"/>
        <v>0</v>
      </c>
      <c r="DF65" s="40">
        <f t="shared" si="4589"/>
        <v>0</v>
      </c>
      <c r="DG65" s="40">
        <f t="shared" si="4589"/>
        <v>0</v>
      </c>
      <c r="DH65" s="40">
        <f t="shared" si="4589"/>
        <v>0</v>
      </c>
      <c r="DI65" s="40">
        <f t="shared" si="4589"/>
        <v>0</v>
      </c>
      <c r="DJ65" s="40">
        <f t="shared" si="4589"/>
        <v>0</v>
      </c>
      <c r="DK65" s="40">
        <f t="shared" si="4589"/>
        <v>0</v>
      </c>
      <c r="DL65" s="40">
        <f t="shared" si="4589"/>
        <v>0</v>
      </c>
      <c r="DM65" s="40">
        <f t="shared" si="4589"/>
        <v>0</v>
      </c>
      <c r="DN65" s="40">
        <f t="shared" si="4589"/>
        <v>0</v>
      </c>
      <c r="DO65" s="40">
        <f t="shared" si="4589"/>
        <v>0</v>
      </c>
      <c r="DP65" s="40">
        <f t="shared" si="4589"/>
        <v>0</v>
      </c>
      <c r="DQ65" s="40">
        <f t="shared" si="4589"/>
        <v>0</v>
      </c>
      <c r="DR65" s="40">
        <f t="shared" si="4589"/>
        <v>0</v>
      </c>
      <c r="DS65" s="40">
        <f t="shared" si="4589"/>
        <v>0</v>
      </c>
      <c r="DT65" s="40">
        <f t="shared" si="4589"/>
        <v>0</v>
      </c>
      <c r="DU65" s="40">
        <f t="shared" si="4589"/>
        <v>0</v>
      </c>
      <c r="DV65" s="40">
        <f t="shared" si="4589"/>
        <v>0</v>
      </c>
      <c r="DW65" s="40">
        <f t="shared" si="4589"/>
        <v>0</v>
      </c>
      <c r="DX65" s="40">
        <f t="shared" si="4589"/>
        <v>0</v>
      </c>
      <c r="DY65" s="40">
        <f t="shared" si="4589"/>
        <v>0</v>
      </c>
      <c r="DZ65" s="40">
        <f t="shared" si="4589"/>
        <v>0</v>
      </c>
      <c r="EA65" s="40">
        <f t="shared" si="4589"/>
        <v>0</v>
      </c>
      <c r="EB65" s="40">
        <f t="shared" si="4589"/>
        <v>0</v>
      </c>
      <c r="EC65" s="40">
        <f t="shared" si="4589"/>
        <v>0</v>
      </c>
      <c r="ED65" s="40">
        <f t="shared" si="4589"/>
        <v>0</v>
      </c>
      <c r="EE65" s="40">
        <f t="shared" si="4589"/>
        <v>0</v>
      </c>
      <c r="EF65" s="40">
        <f t="shared" si="4589"/>
        <v>0</v>
      </c>
      <c r="EG65" s="40">
        <f t="shared" si="4589"/>
        <v>0</v>
      </c>
      <c r="EH65" s="40">
        <f t="shared" si="4589"/>
        <v>0</v>
      </c>
      <c r="EI65" s="40">
        <f t="shared" ref="EI65:GT65" si="4590">EI$23-SUM(EI28:EI29,EI36:EI37,EI44:EI45,EI52:EI53,EI60:EI61)</f>
        <v>0</v>
      </c>
      <c r="EJ65" s="40">
        <f t="shared" si="4590"/>
        <v>0</v>
      </c>
      <c r="EK65" s="40">
        <f t="shared" si="4590"/>
        <v>0</v>
      </c>
      <c r="EL65" s="40">
        <f t="shared" si="4590"/>
        <v>0</v>
      </c>
      <c r="EM65" s="40">
        <f t="shared" si="4590"/>
        <v>0</v>
      </c>
      <c r="EN65" s="40">
        <f t="shared" si="4590"/>
        <v>0</v>
      </c>
      <c r="EO65" s="40">
        <f t="shared" si="4590"/>
        <v>0</v>
      </c>
      <c r="EP65" s="40">
        <f t="shared" si="4590"/>
        <v>0</v>
      </c>
      <c r="EQ65" s="40">
        <f t="shared" si="4590"/>
        <v>0</v>
      </c>
      <c r="ER65" s="40">
        <f t="shared" si="4590"/>
        <v>0</v>
      </c>
      <c r="ES65" s="40">
        <f t="shared" si="4590"/>
        <v>0</v>
      </c>
      <c r="ET65" s="40">
        <f t="shared" si="4590"/>
        <v>0</v>
      </c>
      <c r="EU65" s="40">
        <f t="shared" si="4590"/>
        <v>0</v>
      </c>
      <c r="EV65" s="40">
        <f t="shared" si="4590"/>
        <v>0</v>
      </c>
      <c r="EW65" s="40">
        <f t="shared" si="4590"/>
        <v>0</v>
      </c>
      <c r="EX65" s="40">
        <f t="shared" si="4590"/>
        <v>0</v>
      </c>
      <c r="EY65" s="40">
        <f t="shared" si="4590"/>
        <v>0</v>
      </c>
      <c r="EZ65" s="40">
        <f t="shared" si="4590"/>
        <v>0</v>
      </c>
      <c r="FA65" s="40">
        <f t="shared" si="4590"/>
        <v>0</v>
      </c>
      <c r="FB65" s="40">
        <f t="shared" si="4590"/>
        <v>0</v>
      </c>
      <c r="FC65" s="40">
        <f t="shared" si="4590"/>
        <v>0</v>
      </c>
      <c r="FD65" s="40">
        <f t="shared" si="4590"/>
        <v>0</v>
      </c>
      <c r="FE65" s="40">
        <f t="shared" si="4590"/>
        <v>0</v>
      </c>
      <c r="FF65" s="40">
        <f t="shared" si="4590"/>
        <v>0</v>
      </c>
      <c r="FG65" s="40">
        <f t="shared" si="4590"/>
        <v>0</v>
      </c>
      <c r="FH65" s="40">
        <f t="shared" si="4590"/>
        <v>0</v>
      </c>
      <c r="FI65" s="40">
        <f t="shared" si="4590"/>
        <v>0</v>
      </c>
      <c r="FJ65" s="40">
        <f t="shared" si="4590"/>
        <v>0</v>
      </c>
      <c r="FK65" s="40">
        <f t="shared" si="4590"/>
        <v>0</v>
      </c>
      <c r="FL65" s="40">
        <f t="shared" si="4590"/>
        <v>0</v>
      </c>
      <c r="FM65" s="40">
        <f t="shared" si="4590"/>
        <v>0</v>
      </c>
      <c r="FN65" s="40">
        <f t="shared" si="4590"/>
        <v>0</v>
      </c>
      <c r="FO65" s="40">
        <f t="shared" si="4590"/>
        <v>0</v>
      </c>
      <c r="FP65" s="40">
        <f t="shared" si="4590"/>
        <v>0</v>
      </c>
      <c r="FQ65" s="40">
        <f t="shared" si="4590"/>
        <v>0</v>
      </c>
      <c r="FR65" s="40">
        <f t="shared" si="4590"/>
        <v>0</v>
      </c>
      <c r="FS65" s="40">
        <f t="shared" si="4590"/>
        <v>0</v>
      </c>
      <c r="FT65" s="40">
        <f t="shared" si="4590"/>
        <v>0</v>
      </c>
      <c r="FU65" s="40">
        <f t="shared" si="4590"/>
        <v>0</v>
      </c>
      <c r="FV65" s="40">
        <f t="shared" si="4590"/>
        <v>0</v>
      </c>
      <c r="FW65" s="40">
        <f t="shared" si="4590"/>
        <v>0</v>
      </c>
      <c r="FX65" s="40">
        <f t="shared" si="4590"/>
        <v>0</v>
      </c>
      <c r="FY65" s="40">
        <f t="shared" si="4590"/>
        <v>0</v>
      </c>
      <c r="FZ65" s="40">
        <f t="shared" si="4590"/>
        <v>0</v>
      </c>
      <c r="GA65" s="40">
        <f t="shared" si="4590"/>
        <v>0</v>
      </c>
      <c r="GB65" s="40">
        <f t="shared" si="4590"/>
        <v>0</v>
      </c>
      <c r="GC65" s="40">
        <f t="shared" si="4590"/>
        <v>0</v>
      </c>
      <c r="GD65" s="40">
        <f t="shared" si="4590"/>
        <v>0</v>
      </c>
      <c r="GE65" s="40">
        <f t="shared" si="4590"/>
        <v>0</v>
      </c>
      <c r="GF65" s="40">
        <f t="shared" ca="1" si="4590"/>
        <v>598380.00517586432</v>
      </c>
      <c r="GG65" s="40">
        <f t="shared" ca="1" si="4590"/>
        <v>0</v>
      </c>
      <c r="GH65" s="40">
        <f t="shared" ca="1" si="4590"/>
        <v>0</v>
      </c>
      <c r="GI65" s="40">
        <f t="shared" ca="1" si="4590"/>
        <v>0</v>
      </c>
      <c r="GJ65" s="40">
        <f t="shared" ca="1" si="4590"/>
        <v>0</v>
      </c>
      <c r="GK65" s="40">
        <f t="shared" ca="1" si="4590"/>
        <v>0</v>
      </c>
      <c r="GL65" s="40">
        <f t="shared" ca="1" si="4590"/>
        <v>0</v>
      </c>
      <c r="GM65" s="40">
        <f t="shared" ca="1" si="4590"/>
        <v>0</v>
      </c>
      <c r="GN65" s="40">
        <f t="shared" ca="1" si="4590"/>
        <v>0</v>
      </c>
      <c r="GO65" s="40">
        <f t="shared" ca="1" si="4590"/>
        <v>0</v>
      </c>
      <c r="GP65" s="40">
        <f t="shared" ca="1" si="4590"/>
        <v>0</v>
      </c>
      <c r="GQ65" s="40">
        <f t="shared" ca="1" si="4590"/>
        <v>0</v>
      </c>
      <c r="GR65" s="40">
        <f t="shared" ca="1" si="4590"/>
        <v>0</v>
      </c>
      <c r="GS65" s="40">
        <f t="shared" ca="1" si="4590"/>
        <v>0</v>
      </c>
      <c r="GT65" s="40">
        <f t="shared" ca="1" si="4590"/>
        <v>0</v>
      </c>
      <c r="GU65" s="40">
        <f t="shared" ref="GU65:IN65" ca="1" si="4591">GU$23-SUM(GU28:GU29,GU36:GU37,GU44:GU45,GU52:GU53,GU60:GU61)</f>
        <v>0</v>
      </c>
      <c r="GV65" s="40">
        <f t="shared" ca="1" si="4591"/>
        <v>0</v>
      </c>
      <c r="GW65" s="40">
        <f t="shared" ca="1" si="4591"/>
        <v>0</v>
      </c>
      <c r="GX65" s="40">
        <f t="shared" ca="1" si="4591"/>
        <v>0</v>
      </c>
      <c r="GY65" s="40">
        <f t="shared" ca="1" si="4591"/>
        <v>0</v>
      </c>
      <c r="GZ65" s="40">
        <f t="shared" ca="1" si="4591"/>
        <v>0</v>
      </c>
      <c r="HA65" s="40">
        <f t="shared" ca="1" si="4591"/>
        <v>0</v>
      </c>
      <c r="HB65" s="40">
        <f t="shared" ca="1" si="4591"/>
        <v>0</v>
      </c>
      <c r="HC65" s="40">
        <f t="shared" ca="1" si="4591"/>
        <v>0</v>
      </c>
      <c r="HD65" s="40">
        <f t="shared" ca="1" si="4591"/>
        <v>0</v>
      </c>
      <c r="HE65" s="40">
        <f t="shared" ca="1" si="4591"/>
        <v>0</v>
      </c>
      <c r="HF65" s="40">
        <f t="shared" ca="1" si="4591"/>
        <v>0</v>
      </c>
      <c r="HG65" s="40">
        <f t="shared" ca="1" si="4591"/>
        <v>0</v>
      </c>
      <c r="HH65" s="40">
        <f t="shared" ca="1" si="4591"/>
        <v>0</v>
      </c>
      <c r="HI65" s="40">
        <f t="shared" ca="1" si="4591"/>
        <v>0</v>
      </c>
      <c r="HJ65" s="40">
        <f t="shared" ca="1" si="4591"/>
        <v>0</v>
      </c>
      <c r="HK65" s="40">
        <f t="shared" ca="1" si="4591"/>
        <v>0</v>
      </c>
      <c r="HL65" s="40">
        <f t="shared" ca="1" si="4591"/>
        <v>0</v>
      </c>
      <c r="HM65" s="40">
        <f t="shared" ca="1" si="4591"/>
        <v>0</v>
      </c>
      <c r="HN65" s="40">
        <f t="shared" ca="1" si="4591"/>
        <v>0</v>
      </c>
      <c r="HO65" s="40">
        <f t="shared" ca="1" si="4591"/>
        <v>0</v>
      </c>
      <c r="HP65" s="40">
        <f t="shared" ca="1" si="4591"/>
        <v>0</v>
      </c>
      <c r="HQ65" s="40">
        <f t="shared" ca="1" si="4591"/>
        <v>0</v>
      </c>
      <c r="HR65" s="40">
        <f t="shared" ca="1" si="4591"/>
        <v>0</v>
      </c>
      <c r="HS65" s="40">
        <f t="shared" ca="1" si="4591"/>
        <v>0</v>
      </c>
      <c r="HT65" s="40">
        <f t="shared" ca="1" si="4591"/>
        <v>0</v>
      </c>
      <c r="HU65" s="40">
        <f t="shared" ca="1" si="4591"/>
        <v>0</v>
      </c>
      <c r="HV65" s="40">
        <f t="shared" ca="1" si="4591"/>
        <v>0</v>
      </c>
      <c r="HW65" s="40">
        <f t="shared" ca="1" si="4591"/>
        <v>0</v>
      </c>
      <c r="HX65" s="40">
        <f t="shared" ca="1" si="4591"/>
        <v>0</v>
      </c>
      <c r="HY65" s="40">
        <f t="shared" ca="1" si="4591"/>
        <v>0</v>
      </c>
      <c r="HZ65" s="40">
        <f t="shared" ca="1" si="4591"/>
        <v>0</v>
      </c>
      <c r="IA65" s="40">
        <f t="shared" ca="1" si="4591"/>
        <v>0</v>
      </c>
      <c r="IB65" s="40">
        <f t="shared" ca="1" si="4591"/>
        <v>0</v>
      </c>
      <c r="IC65" s="40">
        <f t="shared" ca="1" si="4591"/>
        <v>0</v>
      </c>
      <c r="ID65" s="40">
        <f t="shared" ca="1" si="4591"/>
        <v>0</v>
      </c>
      <c r="IE65" s="40">
        <f t="shared" ca="1" si="4591"/>
        <v>0</v>
      </c>
      <c r="IF65" s="40">
        <f t="shared" ca="1" si="4591"/>
        <v>0</v>
      </c>
      <c r="IG65" s="40">
        <f t="shared" ca="1" si="4591"/>
        <v>0</v>
      </c>
      <c r="IH65" s="40">
        <f t="shared" ca="1" si="4591"/>
        <v>0</v>
      </c>
      <c r="II65" s="40">
        <f t="shared" ca="1" si="4591"/>
        <v>0</v>
      </c>
      <c r="IJ65" s="40">
        <f t="shared" ca="1" si="4591"/>
        <v>0</v>
      </c>
      <c r="IK65" s="40">
        <f t="shared" ca="1" si="4591"/>
        <v>0</v>
      </c>
      <c r="IL65" s="40">
        <f t="shared" ca="1" si="4591"/>
        <v>0</v>
      </c>
      <c r="IM65" s="40">
        <f t="shared" ca="1" si="4591"/>
        <v>0</v>
      </c>
      <c r="IN65" s="40">
        <f t="shared" ca="1" si="4591"/>
        <v>0</v>
      </c>
      <c r="IO65" s="40">
        <f t="shared" ref="IO65:KZ65" ca="1" si="4592">IO$23-SUM(IO28:IO29,IO36:IO37,IO44:IO45,IO52:IO53,IO60:IO61)</f>
        <v>0</v>
      </c>
      <c r="IP65" s="40">
        <f t="shared" ca="1" si="4592"/>
        <v>0</v>
      </c>
      <c r="IQ65" s="40">
        <f t="shared" ca="1" si="4592"/>
        <v>0</v>
      </c>
      <c r="IR65" s="40">
        <f t="shared" ca="1" si="4592"/>
        <v>0</v>
      </c>
      <c r="IS65" s="40">
        <f t="shared" ca="1" si="4592"/>
        <v>0</v>
      </c>
      <c r="IT65" s="40">
        <f t="shared" ca="1" si="4592"/>
        <v>0</v>
      </c>
      <c r="IU65" s="40">
        <f t="shared" ca="1" si="4592"/>
        <v>0</v>
      </c>
      <c r="IV65" s="40">
        <f t="shared" ca="1" si="4592"/>
        <v>0</v>
      </c>
      <c r="IW65" s="40">
        <f t="shared" ca="1" si="4592"/>
        <v>0</v>
      </c>
      <c r="IX65" s="40">
        <f t="shared" ca="1" si="4592"/>
        <v>0</v>
      </c>
      <c r="IY65" s="40">
        <f t="shared" ca="1" si="4592"/>
        <v>0</v>
      </c>
      <c r="IZ65" s="40">
        <f t="shared" ca="1" si="4592"/>
        <v>0</v>
      </c>
      <c r="JA65" s="40">
        <f t="shared" ca="1" si="4592"/>
        <v>0</v>
      </c>
      <c r="JB65" s="40">
        <f t="shared" ca="1" si="4592"/>
        <v>0</v>
      </c>
      <c r="JC65" s="40">
        <f t="shared" ca="1" si="4592"/>
        <v>0</v>
      </c>
      <c r="JD65" s="40">
        <f t="shared" ca="1" si="4592"/>
        <v>0</v>
      </c>
      <c r="JE65" s="40">
        <f t="shared" ca="1" si="4592"/>
        <v>0</v>
      </c>
      <c r="JF65" s="40">
        <f t="shared" ca="1" si="4592"/>
        <v>0</v>
      </c>
      <c r="JG65" s="40">
        <f t="shared" ca="1" si="4592"/>
        <v>0</v>
      </c>
      <c r="JH65" s="40">
        <f t="shared" ca="1" si="4592"/>
        <v>0</v>
      </c>
      <c r="JI65" s="40">
        <f t="shared" ca="1" si="4592"/>
        <v>0</v>
      </c>
      <c r="JJ65" s="40">
        <f t="shared" ca="1" si="4592"/>
        <v>0</v>
      </c>
      <c r="JK65" s="40">
        <f t="shared" ca="1" si="4592"/>
        <v>0</v>
      </c>
      <c r="JL65" s="40">
        <f t="shared" ca="1" si="4592"/>
        <v>0</v>
      </c>
      <c r="JM65" s="40">
        <f t="shared" ca="1" si="4592"/>
        <v>0</v>
      </c>
      <c r="JN65" s="40">
        <f t="shared" ca="1" si="4592"/>
        <v>0</v>
      </c>
      <c r="JO65" s="40">
        <f t="shared" ca="1" si="4592"/>
        <v>0</v>
      </c>
      <c r="JP65" s="40">
        <f t="shared" ca="1" si="4592"/>
        <v>0</v>
      </c>
      <c r="JQ65" s="40">
        <f t="shared" ca="1" si="4592"/>
        <v>0</v>
      </c>
      <c r="JR65" s="40">
        <f t="shared" ca="1" si="4592"/>
        <v>0</v>
      </c>
      <c r="JS65" s="40">
        <f t="shared" ca="1" si="4592"/>
        <v>0</v>
      </c>
      <c r="JT65" s="40">
        <f t="shared" ca="1" si="4592"/>
        <v>0</v>
      </c>
      <c r="JU65" s="40">
        <f t="shared" ca="1" si="4592"/>
        <v>0</v>
      </c>
      <c r="JV65" s="40">
        <f t="shared" ca="1" si="4592"/>
        <v>0</v>
      </c>
      <c r="JW65" s="40">
        <f t="shared" ca="1" si="4592"/>
        <v>0</v>
      </c>
      <c r="JX65" s="40">
        <f t="shared" ca="1" si="4592"/>
        <v>0</v>
      </c>
      <c r="JY65" s="40">
        <f t="shared" ca="1" si="4592"/>
        <v>0</v>
      </c>
      <c r="JZ65" s="40">
        <f t="shared" ca="1" si="4592"/>
        <v>0</v>
      </c>
      <c r="KA65" s="40">
        <f t="shared" ca="1" si="4592"/>
        <v>0</v>
      </c>
      <c r="KB65" s="40">
        <f t="shared" ca="1" si="4592"/>
        <v>0</v>
      </c>
      <c r="KC65" s="40">
        <f t="shared" ca="1" si="4592"/>
        <v>0</v>
      </c>
      <c r="KD65" s="40">
        <f t="shared" ca="1" si="4592"/>
        <v>0</v>
      </c>
      <c r="KE65" s="40">
        <f t="shared" ca="1" si="4592"/>
        <v>0</v>
      </c>
      <c r="KF65" s="40">
        <f t="shared" ca="1" si="4592"/>
        <v>0</v>
      </c>
      <c r="KG65" s="40">
        <f t="shared" ca="1" si="4592"/>
        <v>0</v>
      </c>
      <c r="KH65" s="40">
        <f t="shared" ca="1" si="4592"/>
        <v>0</v>
      </c>
      <c r="KI65" s="40">
        <f t="shared" ca="1" si="4592"/>
        <v>0</v>
      </c>
      <c r="KJ65" s="40">
        <f t="shared" ca="1" si="4592"/>
        <v>0</v>
      </c>
      <c r="KK65" s="40">
        <f t="shared" ca="1" si="4592"/>
        <v>0</v>
      </c>
      <c r="KL65" s="40">
        <f t="shared" ca="1" si="4592"/>
        <v>0</v>
      </c>
      <c r="KM65" s="40">
        <f t="shared" ca="1" si="4592"/>
        <v>0</v>
      </c>
      <c r="KN65" s="40">
        <f t="shared" ca="1" si="4592"/>
        <v>0</v>
      </c>
      <c r="KO65" s="40">
        <f t="shared" ca="1" si="4592"/>
        <v>0</v>
      </c>
      <c r="KP65" s="40">
        <f t="shared" ca="1" si="4592"/>
        <v>0</v>
      </c>
      <c r="KQ65" s="40">
        <f t="shared" ca="1" si="4592"/>
        <v>0</v>
      </c>
      <c r="KR65" s="40">
        <f t="shared" ca="1" si="4592"/>
        <v>0</v>
      </c>
      <c r="KS65" s="40">
        <f t="shared" ca="1" si="4592"/>
        <v>0</v>
      </c>
      <c r="KT65" s="40">
        <f t="shared" ca="1" si="4592"/>
        <v>0</v>
      </c>
      <c r="KU65" s="40">
        <f t="shared" ca="1" si="4592"/>
        <v>0</v>
      </c>
      <c r="KV65" s="40">
        <f t="shared" ca="1" si="4592"/>
        <v>0</v>
      </c>
      <c r="KW65" s="40">
        <f t="shared" ca="1" si="4592"/>
        <v>0</v>
      </c>
      <c r="KX65" s="40">
        <f t="shared" ca="1" si="4592"/>
        <v>0</v>
      </c>
      <c r="KY65" s="40">
        <f t="shared" ca="1" si="4592"/>
        <v>0</v>
      </c>
      <c r="KZ65" s="40">
        <f t="shared" ca="1" si="4592"/>
        <v>0</v>
      </c>
      <c r="LA65" s="40">
        <f t="shared" ref="LA65:ND65" ca="1" si="4593">LA$23-SUM(LA28:LA29,LA36:LA37,LA44:LA45,LA52:LA53,LA60:LA61)</f>
        <v>0</v>
      </c>
      <c r="LB65" s="40">
        <f t="shared" ca="1" si="4593"/>
        <v>0</v>
      </c>
      <c r="LC65" s="40">
        <f t="shared" ca="1" si="4593"/>
        <v>0</v>
      </c>
      <c r="LD65" s="40">
        <f t="shared" ca="1" si="4593"/>
        <v>0</v>
      </c>
      <c r="LE65" s="40">
        <f t="shared" ca="1" si="4593"/>
        <v>0</v>
      </c>
      <c r="LF65" s="40">
        <f t="shared" ca="1" si="4593"/>
        <v>0</v>
      </c>
      <c r="LG65" s="40">
        <f t="shared" ca="1" si="4593"/>
        <v>0</v>
      </c>
      <c r="LH65" s="40">
        <f t="shared" ca="1" si="4593"/>
        <v>0</v>
      </c>
      <c r="LI65" s="40">
        <f t="shared" ca="1" si="4593"/>
        <v>0</v>
      </c>
      <c r="LJ65" s="40">
        <f t="shared" ca="1" si="4593"/>
        <v>0</v>
      </c>
      <c r="LK65" s="40">
        <f t="shared" ca="1" si="4593"/>
        <v>0</v>
      </c>
      <c r="LL65" s="40">
        <f t="shared" ca="1" si="4593"/>
        <v>0</v>
      </c>
      <c r="LM65" s="40">
        <f t="shared" ca="1" si="4593"/>
        <v>0</v>
      </c>
      <c r="LN65" s="40">
        <f t="shared" ca="1" si="4593"/>
        <v>0</v>
      </c>
      <c r="LO65" s="40">
        <f t="shared" ca="1" si="4593"/>
        <v>0</v>
      </c>
      <c r="LP65" s="40">
        <f t="shared" ca="1" si="4593"/>
        <v>0</v>
      </c>
      <c r="LQ65" s="40">
        <f t="shared" ca="1" si="4593"/>
        <v>0</v>
      </c>
      <c r="LR65" s="40">
        <f t="shared" ca="1" si="4593"/>
        <v>0</v>
      </c>
      <c r="LS65" s="40">
        <f t="shared" ca="1" si="4593"/>
        <v>0</v>
      </c>
      <c r="LT65" s="40">
        <f t="shared" ca="1" si="4593"/>
        <v>0</v>
      </c>
      <c r="LU65" s="40">
        <f t="shared" ca="1" si="4593"/>
        <v>0</v>
      </c>
      <c r="LV65" s="40">
        <f t="shared" ca="1" si="4593"/>
        <v>0</v>
      </c>
      <c r="LW65" s="40">
        <f t="shared" ca="1" si="4593"/>
        <v>0</v>
      </c>
      <c r="LX65" s="40">
        <f t="shared" ca="1" si="4593"/>
        <v>0</v>
      </c>
      <c r="LY65" s="40">
        <f t="shared" ca="1" si="4593"/>
        <v>0</v>
      </c>
      <c r="LZ65" s="40">
        <f t="shared" ca="1" si="4593"/>
        <v>0</v>
      </c>
      <c r="MA65" s="40">
        <f t="shared" ca="1" si="4593"/>
        <v>0</v>
      </c>
      <c r="MB65" s="40">
        <f t="shared" ca="1" si="4593"/>
        <v>0</v>
      </c>
      <c r="MC65" s="40">
        <f t="shared" ca="1" si="4593"/>
        <v>0</v>
      </c>
      <c r="MD65" s="40">
        <f t="shared" ca="1" si="4593"/>
        <v>0</v>
      </c>
      <c r="ME65" s="40">
        <f t="shared" ca="1" si="4593"/>
        <v>0</v>
      </c>
      <c r="MF65" s="40">
        <f t="shared" ca="1" si="4593"/>
        <v>0</v>
      </c>
      <c r="MG65" s="40">
        <f t="shared" ca="1" si="4593"/>
        <v>0</v>
      </c>
      <c r="MH65" s="40">
        <f t="shared" ca="1" si="4593"/>
        <v>0</v>
      </c>
      <c r="MI65" s="40">
        <f t="shared" ca="1" si="4593"/>
        <v>0</v>
      </c>
      <c r="MJ65" s="40">
        <f t="shared" ca="1" si="4593"/>
        <v>0</v>
      </c>
      <c r="MK65" s="40">
        <f t="shared" ca="1" si="4593"/>
        <v>0</v>
      </c>
      <c r="ML65" s="40">
        <f t="shared" ca="1" si="4593"/>
        <v>0</v>
      </c>
      <c r="MM65" s="40">
        <f t="shared" ca="1" si="4593"/>
        <v>0</v>
      </c>
      <c r="MN65" s="40">
        <f t="shared" ca="1" si="4593"/>
        <v>0</v>
      </c>
      <c r="MO65" s="40">
        <f t="shared" ca="1" si="4593"/>
        <v>0</v>
      </c>
      <c r="MP65" s="40">
        <f t="shared" ca="1" si="4593"/>
        <v>0</v>
      </c>
      <c r="MQ65" s="40">
        <f t="shared" ca="1" si="4593"/>
        <v>0</v>
      </c>
      <c r="MR65" s="40">
        <f t="shared" ca="1" si="4593"/>
        <v>0</v>
      </c>
      <c r="MS65" s="40">
        <f t="shared" ca="1" si="4593"/>
        <v>0</v>
      </c>
      <c r="MT65" s="40">
        <f t="shared" ca="1" si="4593"/>
        <v>0</v>
      </c>
      <c r="MU65" s="40">
        <f t="shared" ca="1" si="4593"/>
        <v>0</v>
      </c>
      <c r="MV65" s="40">
        <f t="shared" ca="1" si="4593"/>
        <v>0</v>
      </c>
      <c r="MW65" s="40">
        <f t="shared" ca="1" si="4593"/>
        <v>0</v>
      </c>
      <c r="MX65" s="40">
        <f t="shared" ca="1" si="4593"/>
        <v>0</v>
      </c>
      <c r="MY65" s="40">
        <f t="shared" ca="1" si="4593"/>
        <v>0</v>
      </c>
      <c r="MZ65" s="40">
        <f t="shared" ca="1" si="4593"/>
        <v>0</v>
      </c>
      <c r="NA65" s="40">
        <f t="shared" ca="1" si="4593"/>
        <v>0</v>
      </c>
      <c r="NB65" s="40">
        <f t="shared" ca="1" si="4593"/>
        <v>0</v>
      </c>
      <c r="NC65" s="40">
        <f t="shared" ca="1" si="4593"/>
        <v>0</v>
      </c>
      <c r="ND65" s="40">
        <f t="shared" ca="1" si="4593"/>
        <v>0</v>
      </c>
      <c r="NE65" s="40"/>
      <c r="NF65" s="40"/>
      <c r="NG65" s="40"/>
      <c r="NH65" s="40"/>
      <c r="NI65" s="40"/>
      <c r="NJ65" s="40"/>
      <c r="NK65" s="40"/>
      <c r="NL65" s="40"/>
      <c r="NM65" s="40"/>
      <c r="NN65" s="40"/>
      <c r="NO65" s="40"/>
      <c r="NP65" s="40"/>
      <c r="NQ65" s="40"/>
      <c r="NR65" s="40"/>
    </row>
    <row r="66" spans="2:382" ht="16" customHeight="1" x14ac:dyDescent="0.15">
      <c r="B66" s="519" t="s">
        <v>168</v>
      </c>
      <c r="G66" s="118"/>
    </row>
    <row r="67" spans="2:382" x14ac:dyDescent="0.15">
      <c r="B67" s="519"/>
      <c r="C67" t="s">
        <v>169</v>
      </c>
      <c r="D67" s="218">
        <f>K9</f>
        <v>1.5</v>
      </c>
      <c r="G67" s="118"/>
      <c r="I67" s="40">
        <f t="shared" ref="I67" si="4594">Total_Investment*$K$9</f>
        <v>3779526</v>
      </c>
      <c r="J67" s="40">
        <f>MAX(0,I67-I68-I69)</f>
        <v>3885987.711075</v>
      </c>
      <c r="K67" s="40">
        <f t="shared" ref="K67:BV67" si="4595">MAX(0,J67-J68-J69)</f>
        <v>3992449.42215</v>
      </c>
      <c r="L67" s="40">
        <f t="shared" si="4595"/>
        <v>4098911.133225</v>
      </c>
      <c r="M67" s="40">
        <f t="shared" si="4595"/>
        <v>4098911.133225</v>
      </c>
      <c r="N67" s="40">
        <f t="shared" si="4595"/>
        <v>4098911.133225</v>
      </c>
      <c r="O67" s="40">
        <f t="shared" si="4595"/>
        <v>4098911.133225</v>
      </c>
      <c r="P67" s="40">
        <f t="shared" si="4595"/>
        <v>4098911.133225</v>
      </c>
      <c r="Q67" s="40">
        <f t="shared" si="4595"/>
        <v>4098911.133225</v>
      </c>
      <c r="R67" s="40">
        <f t="shared" si="4595"/>
        <v>4098911.133225</v>
      </c>
      <c r="S67" s="40">
        <f t="shared" si="4595"/>
        <v>4098911.133225</v>
      </c>
      <c r="T67" s="40">
        <f t="shared" si="4595"/>
        <v>4098911.133225</v>
      </c>
      <c r="U67" s="40">
        <f t="shared" si="4595"/>
        <v>4098911.133225</v>
      </c>
      <c r="V67" s="40">
        <f t="shared" si="4595"/>
        <v>4098911.133225</v>
      </c>
      <c r="W67" s="40">
        <f t="shared" si="4595"/>
        <v>4098911.133225</v>
      </c>
      <c r="X67" s="40">
        <f t="shared" si="4595"/>
        <v>4098911.133225</v>
      </c>
      <c r="Y67" s="40">
        <f t="shared" si="4595"/>
        <v>4098911.133225</v>
      </c>
      <c r="Z67" s="40">
        <f t="shared" si="4595"/>
        <v>4098911.133225</v>
      </c>
      <c r="AA67" s="40">
        <f t="shared" si="4595"/>
        <v>4098911.133225</v>
      </c>
      <c r="AB67" s="40">
        <f t="shared" si="4595"/>
        <v>4098911.133225</v>
      </c>
      <c r="AC67" s="40">
        <f t="shared" si="4595"/>
        <v>4098911.133225</v>
      </c>
      <c r="AD67" s="40">
        <f t="shared" si="4595"/>
        <v>4098911.133225</v>
      </c>
      <c r="AE67" s="40">
        <f t="shared" si="4595"/>
        <v>4098911.133225</v>
      </c>
      <c r="AF67" s="40">
        <f t="shared" si="4595"/>
        <v>4098911.133225</v>
      </c>
      <c r="AG67" s="40">
        <f t="shared" si="4595"/>
        <v>4098911.133225</v>
      </c>
      <c r="AH67" s="40">
        <f t="shared" si="4595"/>
        <v>4098911.133225</v>
      </c>
      <c r="AI67" s="40">
        <f t="shared" si="4595"/>
        <v>4098911.133225</v>
      </c>
      <c r="AJ67" s="40">
        <f t="shared" si="4595"/>
        <v>4098911.133225</v>
      </c>
      <c r="AK67" s="40">
        <f t="shared" si="4595"/>
        <v>4098911.133225</v>
      </c>
      <c r="AL67" s="40">
        <f t="shared" si="4595"/>
        <v>4098911.133225</v>
      </c>
      <c r="AM67" s="40">
        <f t="shared" si="4595"/>
        <v>4098911.133225</v>
      </c>
      <c r="AN67" s="40">
        <f t="shared" si="4595"/>
        <v>4098911.133225</v>
      </c>
      <c r="AO67" s="40">
        <f t="shared" si="4595"/>
        <v>4098911.133225</v>
      </c>
      <c r="AP67" s="40">
        <f t="shared" si="4595"/>
        <v>4098911.133225</v>
      </c>
      <c r="AQ67" s="40">
        <f t="shared" si="4595"/>
        <v>4098911.133225</v>
      </c>
      <c r="AR67" s="40">
        <f t="shared" si="4595"/>
        <v>4098911.133225</v>
      </c>
      <c r="AS67" s="40">
        <f t="shared" si="4595"/>
        <v>4098911.133225</v>
      </c>
      <c r="AT67" s="40">
        <f t="shared" si="4595"/>
        <v>4098542.049077807</v>
      </c>
      <c r="AU67" s="40">
        <f t="shared" si="4595"/>
        <v>4098172.964930614</v>
      </c>
      <c r="AV67" s="40">
        <f t="shared" si="4595"/>
        <v>4097803.880783421</v>
      </c>
      <c r="AW67" s="40">
        <f t="shared" si="4595"/>
        <v>4097434.796636228</v>
      </c>
      <c r="AX67" s="40">
        <f t="shared" si="4595"/>
        <v>4097065.712489035</v>
      </c>
      <c r="AY67" s="40">
        <f t="shared" si="4595"/>
        <v>4096696.628341842</v>
      </c>
      <c r="AZ67" s="40">
        <f t="shared" si="4595"/>
        <v>4096327.544194649</v>
      </c>
      <c r="BA67" s="40">
        <f t="shared" si="4595"/>
        <v>4095958.460047456</v>
      </c>
      <c r="BB67" s="40">
        <f t="shared" si="4595"/>
        <v>4095589.375900263</v>
      </c>
      <c r="BC67" s="40">
        <f t="shared" si="4595"/>
        <v>4095220.29175307</v>
      </c>
      <c r="BD67" s="40">
        <f t="shared" si="4595"/>
        <v>4094851.207605877</v>
      </c>
      <c r="BE67" s="40">
        <f t="shared" si="4595"/>
        <v>4094482.123458684</v>
      </c>
      <c r="BF67" s="40">
        <f t="shared" si="4595"/>
        <v>4093169.575387226</v>
      </c>
      <c r="BG67" s="40">
        <f t="shared" si="4595"/>
        <v>4091857.0273157679</v>
      </c>
      <c r="BH67" s="40">
        <f t="shared" si="4595"/>
        <v>4090544.4792443099</v>
      </c>
      <c r="BI67" s="40">
        <f t="shared" si="4595"/>
        <v>4089231.9311728519</v>
      </c>
      <c r="BJ67" s="40">
        <f t="shared" si="4595"/>
        <v>4087919.3831013939</v>
      </c>
      <c r="BK67" s="40">
        <f t="shared" si="4595"/>
        <v>4086606.8350299359</v>
      </c>
      <c r="BL67" s="40">
        <f t="shared" si="4595"/>
        <v>4085294.2869584779</v>
      </c>
      <c r="BM67" s="40">
        <f t="shared" si="4595"/>
        <v>4083981.7388870199</v>
      </c>
      <c r="BN67" s="40">
        <f t="shared" si="4595"/>
        <v>4082669.1908155619</v>
      </c>
      <c r="BO67" s="40">
        <f t="shared" si="4595"/>
        <v>4081356.6427441039</v>
      </c>
      <c r="BP67" s="40">
        <f t="shared" si="4595"/>
        <v>4080044.0946726459</v>
      </c>
      <c r="BQ67" s="40">
        <f t="shared" si="4595"/>
        <v>4078731.5466011879</v>
      </c>
      <c r="BR67" s="40">
        <f t="shared" si="4595"/>
        <v>4076445.9197847531</v>
      </c>
      <c r="BS67" s="40">
        <f t="shared" si="4595"/>
        <v>4074160.2929683183</v>
      </c>
      <c r="BT67" s="40">
        <f t="shared" si="4595"/>
        <v>4071874.6661518835</v>
      </c>
      <c r="BU67" s="40">
        <f t="shared" si="4595"/>
        <v>4069589.0393354488</v>
      </c>
      <c r="BV67" s="40">
        <f t="shared" si="4595"/>
        <v>4067303.412519014</v>
      </c>
      <c r="BW67" s="40">
        <f t="shared" ref="BW67:EH67" si="4596">MAX(0,BV67-BV68-BV69)</f>
        <v>4065017.7857025792</v>
      </c>
      <c r="BX67" s="40">
        <f t="shared" si="4596"/>
        <v>4062732.1588861444</v>
      </c>
      <c r="BY67" s="40">
        <f t="shared" si="4596"/>
        <v>4060446.5320697096</v>
      </c>
      <c r="BZ67" s="40">
        <f t="shared" si="4596"/>
        <v>4058160.9052532748</v>
      </c>
      <c r="CA67" s="40">
        <f t="shared" si="4596"/>
        <v>4055875.27843684</v>
      </c>
      <c r="CB67" s="40">
        <f t="shared" si="4596"/>
        <v>4053589.6516204053</v>
      </c>
      <c r="CC67" s="40">
        <f t="shared" si="4596"/>
        <v>4051304.0248039705</v>
      </c>
      <c r="CD67" s="40">
        <f t="shared" si="4596"/>
        <v>4048014.7880030493</v>
      </c>
      <c r="CE67" s="40">
        <f t="shared" si="4596"/>
        <v>4044725.5512021282</v>
      </c>
      <c r="CF67" s="40">
        <f t="shared" si="4596"/>
        <v>4041436.314401207</v>
      </c>
      <c r="CG67" s="40">
        <f t="shared" si="4596"/>
        <v>4038147.0776002859</v>
      </c>
      <c r="CH67" s="40">
        <f t="shared" si="4596"/>
        <v>4034857.8407993647</v>
      </c>
      <c r="CI67" s="40">
        <f t="shared" si="4596"/>
        <v>4031568.6039984436</v>
      </c>
      <c r="CJ67" s="40">
        <f t="shared" si="4596"/>
        <v>4028279.3671975224</v>
      </c>
      <c r="CK67" s="40">
        <f t="shared" si="4596"/>
        <v>4024990.1303966013</v>
      </c>
      <c r="CL67" s="40">
        <f t="shared" si="4596"/>
        <v>4021700.8935956801</v>
      </c>
      <c r="CM67" s="40">
        <f t="shared" si="4596"/>
        <v>4018411.656794759</v>
      </c>
      <c r="CN67" s="40">
        <f t="shared" si="4596"/>
        <v>4015122.4199938378</v>
      </c>
      <c r="CO67" s="40">
        <f t="shared" si="4596"/>
        <v>4011833.1831929167</v>
      </c>
      <c r="CP67" s="40">
        <f t="shared" si="4596"/>
        <v>4007508.8606532505</v>
      </c>
      <c r="CQ67" s="40">
        <f t="shared" si="4596"/>
        <v>4003184.5381135843</v>
      </c>
      <c r="CR67" s="40">
        <f t="shared" si="4596"/>
        <v>3998860.2155739181</v>
      </c>
      <c r="CS67" s="40">
        <f t="shared" si="4596"/>
        <v>3994535.8930342519</v>
      </c>
      <c r="CT67" s="40">
        <f t="shared" si="4596"/>
        <v>3990211.5704945857</v>
      </c>
      <c r="CU67" s="40">
        <f t="shared" si="4596"/>
        <v>3985887.2479549195</v>
      </c>
      <c r="CV67" s="40">
        <f t="shared" si="4596"/>
        <v>3981562.9254152533</v>
      </c>
      <c r="CW67" s="40">
        <f t="shared" si="4596"/>
        <v>3977238.6028755871</v>
      </c>
      <c r="CX67" s="40">
        <f t="shared" si="4596"/>
        <v>3972914.2803359209</v>
      </c>
      <c r="CY67" s="40">
        <f t="shared" si="4596"/>
        <v>3968589.9577962547</v>
      </c>
      <c r="CZ67" s="40">
        <f t="shared" si="4596"/>
        <v>3964265.6352565885</v>
      </c>
      <c r="DA67" s="40">
        <f t="shared" si="4596"/>
        <v>3959941.3127169223</v>
      </c>
      <c r="DB67" s="40">
        <f t="shared" si="4596"/>
        <v>3954549.4552175109</v>
      </c>
      <c r="DC67" s="40">
        <f t="shared" si="4596"/>
        <v>3949157.5977180996</v>
      </c>
      <c r="DD67" s="40">
        <f t="shared" si="4596"/>
        <v>3943765.7402186883</v>
      </c>
      <c r="DE67" s="40">
        <f t="shared" si="4596"/>
        <v>3938373.8827192769</v>
      </c>
      <c r="DF67" s="40">
        <f t="shared" si="4596"/>
        <v>3932982.0252198656</v>
      </c>
      <c r="DG67" s="40">
        <f t="shared" si="4596"/>
        <v>3927590.1677204543</v>
      </c>
      <c r="DH67" s="40">
        <f t="shared" si="4596"/>
        <v>3922198.3102210429</v>
      </c>
      <c r="DI67" s="40">
        <f t="shared" si="4596"/>
        <v>3916806.4527216316</v>
      </c>
      <c r="DJ67" s="40">
        <f t="shared" si="4596"/>
        <v>3911414.5952222203</v>
      </c>
      <c r="DK67" s="40">
        <f t="shared" si="4596"/>
        <v>3906022.737722809</v>
      </c>
      <c r="DL67" s="40">
        <f t="shared" si="4596"/>
        <v>3900630.8802233976</v>
      </c>
      <c r="DM67" s="40">
        <f t="shared" si="4596"/>
        <v>3895239.0227239863</v>
      </c>
      <c r="DN67" s="40">
        <f t="shared" si="4596"/>
        <v>3888746.1777430759</v>
      </c>
      <c r="DO67" s="40">
        <f t="shared" si="4596"/>
        <v>3882253.3327621655</v>
      </c>
      <c r="DP67" s="40">
        <f t="shared" si="4596"/>
        <v>3875760.487781255</v>
      </c>
      <c r="DQ67" s="40">
        <f t="shared" si="4596"/>
        <v>3869267.6428003446</v>
      </c>
      <c r="DR67" s="40">
        <f t="shared" si="4596"/>
        <v>3862774.7978194342</v>
      </c>
      <c r="DS67" s="40">
        <f t="shared" si="4596"/>
        <v>3856281.9528385238</v>
      </c>
      <c r="DT67" s="40">
        <f t="shared" si="4596"/>
        <v>3849789.1078576134</v>
      </c>
      <c r="DU67" s="40">
        <f t="shared" si="4596"/>
        <v>3843296.2628767029</v>
      </c>
      <c r="DV67" s="40">
        <f t="shared" si="4596"/>
        <v>3836803.4178957925</v>
      </c>
      <c r="DW67" s="40">
        <f t="shared" si="4596"/>
        <v>3830310.5729148821</v>
      </c>
      <c r="DX67" s="40">
        <f t="shared" si="4596"/>
        <v>3823817.7279339717</v>
      </c>
      <c r="DY67" s="40">
        <f t="shared" si="4596"/>
        <v>3817324.8829530613</v>
      </c>
      <c r="DZ67" s="40">
        <f t="shared" si="4596"/>
        <v>3809696.5639253622</v>
      </c>
      <c r="EA67" s="40">
        <f t="shared" si="4596"/>
        <v>3802068.2448976631</v>
      </c>
      <c r="EB67" s="40">
        <f t="shared" si="4596"/>
        <v>3794439.9258699641</v>
      </c>
      <c r="EC67" s="40">
        <f t="shared" si="4596"/>
        <v>3786811.606842265</v>
      </c>
      <c r="ED67" s="40">
        <f t="shared" si="4596"/>
        <v>3779183.2878145659</v>
      </c>
      <c r="EE67" s="40">
        <f t="shared" si="4596"/>
        <v>3771554.9687868669</v>
      </c>
      <c r="EF67" s="40">
        <f t="shared" si="4596"/>
        <v>3763926.6497591678</v>
      </c>
      <c r="EG67" s="40">
        <f t="shared" si="4596"/>
        <v>3756298.3307314687</v>
      </c>
      <c r="EH67" s="40">
        <f t="shared" si="4596"/>
        <v>3748670.0117037697</v>
      </c>
      <c r="EI67" s="40">
        <f t="shared" ref="EI67:GT67" si="4597">MAX(0,EH67-EH68-EH69)</f>
        <v>3741041.6926760706</v>
      </c>
      <c r="EJ67" s="40">
        <f t="shared" si="4597"/>
        <v>3733413.3736483715</v>
      </c>
      <c r="EK67" s="40">
        <f t="shared" si="4597"/>
        <v>3725785.0546206725</v>
      </c>
      <c r="EL67" s="40">
        <f t="shared" si="4597"/>
        <v>3716985.7092582341</v>
      </c>
      <c r="EM67" s="40">
        <f t="shared" si="4597"/>
        <v>3708186.3638957958</v>
      </c>
      <c r="EN67" s="40">
        <f t="shared" si="4597"/>
        <v>3699387.0185333574</v>
      </c>
      <c r="EO67" s="40">
        <f t="shared" si="4597"/>
        <v>3690587.6731709191</v>
      </c>
      <c r="EP67" s="40">
        <f t="shared" si="4597"/>
        <v>3681788.3278084807</v>
      </c>
      <c r="EQ67" s="40">
        <f t="shared" si="4597"/>
        <v>3672988.9824460424</v>
      </c>
      <c r="ER67" s="40">
        <f t="shared" si="4597"/>
        <v>3664189.637083604</v>
      </c>
      <c r="ES67" s="40">
        <f t="shared" si="4597"/>
        <v>3655390.2917211656</v>
      </c>
      <c r="ET67" s="40">
        <f t="shared" si="4597"/>
        <v>3646590.9463587273</v>
      </c>
      <c r="EU67" s="40">
        <f t="shared" si="4597"/>
        <v>3637791.6009962889</v>
      </c>
      <c r="EV67" s="40">
        <f t="shared" si="4597"/>
        <v>3628992.2556338506</v>
      </c>
      <c r="EW67" s="40">
        <f t="shared" si="4597"/>
        <v>3620192.9102714122</v>
      </c>
      <c r="EX67" s="40">
        <f t="shared" si="4597"/>
        <v>3610185.8879197575</v>
      </c>
      <c r="EY67" s="40">
        <f t="shared" si="4597"/>
        <v>3600178.8655681028</v>
      </c>
      <c r="EZ67" s="40">
        <f t="shared" si="4597"/>
        <v>3590171.8432164481</v>
      </c>
      <c r="FA67" s="40">
        <f t="shared" si="4597"/>
        <v>3580164.8208647934</v>
      </c>
      <c r="FB67" s="40">
        <f t="shared" si="4597"/>
        <v>3570157.7985131387</v>
      </c>
      <c r="FC67" s="40">
        <f t="shared" si="4597"/>
        <v>3560150.776161484</v>
      </c>
      <c r="FD67" s="40">
        <f t="shared" si="4597"/>
        <v>3550143.7538098292</v>
      </c>
      <c r="FE67" s="40">
        <f t="shared" si="4597"/>
        <v>3540136.7314581745</v>
      </c>
      <c r="FF67" s="40">
        <f t="shared" si="4597"/>
        <v>3530129.7091065198</v>
      </c>
      <c r="FG67" s="40">
        <f t="shared" si="4597"/>
        <v>3520122.6867548651</v>
      </c>
      <c r="FH67" s="40">
        <f t="shared" si="4597"/>
        <v>3510115.6644032104</v>
      </c>
      <c r="FI67" s="40">
        <f t="shared" si="4597"/>
        <v>3500108.6420515557</v>
      </c>
      <c r="FJ67" s="40">
        <f t="shared" si="4597"/>
        <v>3488856.1600518133</v>
      </c>
      <c r="FK67" s="40">
        <f t="shared" si="4597"/>
        <v>3477603.678052071</v>
      </c>
      <c r="FL67" s="40">
        <f t="shared" si="4597"/>
        <v>3466351.1960523287</v>
      </c>
      <c r="FM67" s="40">
        <f t="shared" si="4597"/>
        <v>3455098.7140525864</v>
      </c>
      <c r="FN67" s="40">
        <f t="shared" si="4597"/>
        <v>3443846.232052844</v>
      </c>
      <c r="FO67" s="40">
        <f t="shared" si="4597"/>
        <v>3432593.7500531017</v>
      </c>
      <c r="FP67" s="40">
        <f t="shared" si="4597"/>
        <v>3421341.2680533594</v>
      </c>
      <c r="FQ67" s="40">
        <f t="shared" si="4597"/>
        <v>3410088.786053617</v>
      </c>
      <c r="FR67" s="40">
        <f t="shared" si="4597"/>
        <v>3398836.3040538747</v>
      </c>
      <c r="FS67" s="40">
        <f t="shared" si="4597"/>
        <v>3387583.8220541324</v>
      </c>
      <c r="FT67" s="40">
        <f t="shared" si="4597"/>
        <v>3376331.34005439</v>
      </c>
      <c r="FU67" s="40">
        <f t="shared" si="4597"/>
        <v>3365078.8580546477</v>
      </c>
      <c r="FV67" s="40">
        <f t="shared" si="4597"/>
        <v>3352541.9670815379</v>
      </c>
      <c r="FW67" s="40">
        <f t="shared" si="4597"/>
        <v>3340005.0761084282</v>
      </c>
      <c r="FX67" s="40">
        <f t="shared" si="4597"/>
        <v>3327468.1851353184</v>
      </c>
      <c r="FY67" s="40">
        <f t="shared" si="4597"/>
        <v>3314931.2941622087</v>
      </c>
      <c r="FZ67" s="40">
        <f t="shared" si="4597"/>
        <v>3302394.4031890989</v>
      </c>
      <c r="GA67" s="40">
        <f t="shared" si="4597"/>
        <v>3289857.5122159892</v>
      </c>
      <c r="GB67" s="40">
        <f t="shared" si="4597"/>
        <v>3277320.6212428794</v>
      </c>
      <c r="GC67" s="40">
        <f t="shared" si="4597"/>
        <v>3264783.7302697697</v>
      </c>
      <c r="GD67" s="40">
        <f t="shared" si="4597"/>
        <v>3264783.7302697697</v>
      </c>
      <c r="GE67" s="40">
        <f t="shared" si="4597"/>
        <v>3264783.7302697697</v>
      </c>
      <c r="GF67" s="40">
        <f t="shared" si="4597"/>
        <v>3264783.7302697697</v>
      </c>
      <c r="GG67" s="40">
        <f t="shared" ca="1" si="4597"/>
        <v>0</v>
      </c>
      <c r="GH67" s="40">
        <f t="shared" ca="1" si="4597"/>
        <v>0</v>
      </c>
      <c r="GI67" s="40">
        <f t="shared" ca="1" si="4597"/>
        <v>0</v>
      </c>
      <c r="GJ67" s="40">
        <f t="shared" ca="1" si="4597"/>
        <v>0</v>
      </c>
      <c r="GK67" s="40">
        <f t="shared" ca="1" si="4597"/>
        <v>0</v>
      </c>
      <c r="GL67" s="40">
        <f t="shared" ca="1" si="4597"/>
        <v>0</v>
      </c>
      <c r="GM67" s="40">
        <f t="shared" ca="1" si="4597"/>
        <v>0</v>
      </c>
      <c r="GN67" s="40">
        <f t="shared" ca="1" si="4597"/>
        <v>0</v>
      </c>
      <c r="GO67" s="40">
        <f t="shared" ca="1" si="4597"/>
        <v>0</v>
      </c>
      <c r="GP67" s="40">
        <f t="shared" ca="1" si="4597"/>
        <v>0</v>
      </c>
      <c r="GQ67" s="40">
        <f t="shared" ca="1" si="4597"/>
        <v>0</v>
      </c>
      <c r="GR67" s="40">
        <f t="shared" ca="1" si="4597"/>
        <v>0</v>
      </c>
      <c r="GS67" s="40">
        <f t="shared" ca="1" si="4597"/>
        <v>0</v>
      </c>
      <c r="GT67" s="40">
        <f t="shared" ca="1" si="4597"/>
        <v>0</v>
      </c>
      <c r="GU67" s="40">
        <f t="shared" ref="GU67:JF67" ca="1" si="4598">MAX(0,GT67-GT68-GT69)</f>
        <v>0</v>
      </c>
      <c r="GV67" s="40">
        <f t="shared" ca="1" si="4598"/>
        <v>0</v>
      </c>
      <c r="GW67" s="40">
        <f t="shared" ca="1" si="4598"/>
        <v>0</v>
      </c>
      <c r="GX67" s="40">
        <f t="shared" ca="1" si="4598"/>
        <v>0</v>
      </c>
      <c r="GY67" s="40">
        <f t="shared" ca="1" si="4598"/>
        <v>0</v>
      </c>
      <c r="GZ67" s="40">
        <f t="shared" ca="1" si="4598"/>
        <v>0</v>
      </c>
      <c r="HA67" s="40">
        <f t="shared" ca="1" si="4598"/>
        <v>0</v>
      </c>
      <c r="HB67" s="40">
        <f t="shared" ca="1" si="4598"/>
        <v>0</v>
      </c>
      <c r="HC67" s="40">
        <f t="shared" ca="1" si="4598"/>
        <v>0</v>
      </c>
      <c r="HD67" s="40">
        <f t="shared" ca="1" si="4598"/>
        <v>0</v>
      </c>
      <c r="HE67" s="40">
        <f t="shared" ca="1" si="4598"/>
        <v>0</v>
      </c>
      <c r="HF67" s="40">
        <f t="shared" ca="1" si="4598"/>
        <v>0</v>
      </c>
      <c r="HG67" s="40">
        <f t="shared" ca="1" si="4598"/>
        <v>0</v>
      </c>
      <c r="HH67" s="40">
        <f t="shared" ca="1" si="4598"/>
        <v>0</v>
      </c>
      <c r="HI67" s="40">
        <f t="shared" ca="1" si="4598"/>
        <v>0</v>
      </c>
      <c r="HJ67" s="40">
        <f t="shared" ca="1" si="4598"/>
        <v>0</v>
      </c>
      <c r="HK67" s="40">
        <f t="shared" ca="1" si="4598"/>
        <v>0</v>
      </c>
      <c r="HL67" s="40">
        <f t="shared" ca="1" si="4598"/>
        <v>0</v>
      </c>
      <c r="HM67" s="40">
        <f t="shared" ca="1" si="4598"/>
        <v>0</v>
      </c>
      <c r="HN67" s="40">
        <f t="shared" ca="1" si="4598"/>
        <v>0</v>
      </c>
      <c r="HO67" s="40">
        <f t="shared" ca="1" si="4598"/>
        <v>0</v>
      </c>
      <c r="HP67" s="40">
        <f t="shared" ca="1" si="4598"/>
        <v>0</v>
      </c>
      <c r="HQ67" s="40">
        <f t="shared" ca="1" si="4598"/>
        <v>0</v>
      </c>
      <c r="HR67" s="40">
        <f t="shared" ca="1" si="4598"/>
        <v>0</v>
      </c>
      <c r="HS67" s="40">
        <f t="shared" ca="1" si="4598"/>
        <v>0</v>
      </c>
      <c r="HT67" s="40">
        <f t="shared" ca="1" si="4598"/>
        <v>0</v>
      </c>
      <c r="HU67" s="40">
        <f t="shared" ca="1" si="4598"/>
        <v>0</v>
      </c>
      <c r="HV67" s="40">
        <f t="shared" ca="1" si="4598"/>
        <v>0</v>
      </c>
      <c r="HW67" s="40">
        <f t="shared" ca="1" si="4598"/>
        <v>0</v>
      </c>
      <c r="HX67" s="40">
        <f t="shared" ca="1" si="4598"/>
        <v>0</v>
      </c>
      <c r="HY67" s="40">
        <f t="shared" ca="1" si="4598"/>
        <v>0</v>
      </c>
      <c r="HZ67" s="40">
        <f t="shared" ca="1" si="4598"/>
        <v>0</v>
      </c>
      <c r="IA67" s="40">
        <f t="shared" ca="1" si="4598"/>
        <v>0</v>
      </c>
      <c r="IB67" s="40">
        <f t="shared" ca="1" si="4598"/>
        <v>0</v>
      </c>
      <c r="IC67" s="40">
        <f t="shared" ca="1" si="4598"/>
        <v>0</v>
      </c>
      <c r="ID67" s="40">
        <f t="shared" ca="1" si="4598"/>
        <v>0</v>
      </c>
      <c r="IE67" s="40">
        <f t="shared" ca="1" si="4598"/>
        <v>0</v>
      </c>
      <c r="IF67" s="40">
        <f t="shared" ca="1" si="4598"/>
        <v>0</v>
      </c>
      <c r="IG67" s="40">
        <f t="shared" ca="1" si="4598"/>
        <v>0</v>
      </c>
      <c r="IH67" s="40">
        <f t="shared" ca="1" si="4598"/>
        <v>0</v>
      </c>
      <c r="II67" s="40">
        <f t="shared" ca="1" si="4598"/>
        <v>0</v>
      </c>
      <c r="IJ67" s="40">
        <f t="shared" ca="1" si="4598"/>
        <v>0</v>
      </c>
      <c r="IK67" s="40">
        <f t="shared" ca="1" si="4598"/>
        <v>0</v>
      </c>
      <c r="IL67" s="40">
        <f t="shared" ca="1" si="4598"/>
        <v>0</v>
      </c>
      <c r="IM67" s="40">
        <f t="shared" ca="1" si="4598"/>
        <v>0</v>
      </c>
      <c r="IN67" s="40">
        <f t="shared" ca="1" si="4598"/>
        <v>0</v>
      </c>
      <c r="IO67" s="40">
        <f t="shared" ca="1" si="4598"/>
        <v>0</v>
      </c>
      <c r="IP67" s="40">
        <f t="shared" ca="1" si="4598"/>
        <v>0</v>
      </c>
      <c r="IQ67" s="40">
        <f t="shared" ca="1" si="4598"/>
        <v>0</v>
      </c>
      <c r="IR67" s="40">
        <f t="shared" ca="1" si="4598"/>
        <v>0</v>
      </c>
      <c r="IS67" s="40">
        <f t="shared" ca="1" si="4598"/>
        <v>0</v>
      </c>
      <c r="IT67" s="40">
        <f t="shared" ca="1" si="4598"/>
        <v>0</v>
      </c>
      <c r="IU67" s="40">
        <f t="shared" ca="1" si="4598"/>
        <v>0</v>
      </c>
      <c r="IV67" s="40">
        <f t="shared" ca="1" si="4598"/>
        <v>0</v>
      </c>
      <c r="IW67" s="40">
        <f t="shared" ca="1" si="4598"/>
        <v>0</v>
      </c>
      <c r="IX67" s="40">
        <f t="shared" ca="1" si="4598"/>
        <v>0</v>
      </c>
      <c r="IY67" s="40">
        <f t="shared" ca="1" si="4598"/>
        <v>0</v>
      </c>
      <c r="IZ67" s="40">
        <f t="shared" ca="1" si="4598"/>
        <v>0</v>
      </c>
      <c r="JA67" s="40">
        <f t="shared" ca="1" si="4598"/>
        <v>0</v>
      </c>
      <c r="JB67" s="40">
        <f t="shared" ca="1" si="4598"/>
        <v>0</v>
      </c>
      <c r="JC67" s="40">
        <f t="shared" ca="1" si="4598"/>
        <v>0</v>
      </c>
      <c r="JD67" s="40">
        <f t="shared" ca="1" si="4598"/>
        <v>0</v>
      </c>
      <c r="JE67" s="40">
        <f t="shared" ca="1" si="4598"/>
        <v>0</v>
      </c>
      <c r="JF67" s="40">
        <f t="shared" ca="1" si="4598"/>
        <v>0</v>
      </c>
      <c r="JG67" s="40">
        <f t="shared" ref="JG67:LR67" ca="1" si="4599">MAX(0,JF67-JF68-JF69)</f>
        <v>0</v>
      </c>
      <c r="JH67" s="40">
        <f t="shared" ca="1" si="4599"/>
        <v>0</v>
      </c>
      <c r="JI67" s="40">
        <f t="shared" ca="1" si="4599"/>
        <v>0</v>
      </c>
      <c r="JJ67" s="40">
        <f t="shared" ca="1" si="4599"/>
        <v>0</v>
      </c>
      <c r="JK67" s="40">
        <f t="shared" ca="1" si="4599"/>
        <v>0</v>
      </c>
      <c r="JL67" s="40">
        <f t="shared" ca="1" si="4599"/>
        <v>0</v>
      </c>
      <c r="JM67" s="40">
        <f t="shared" ca="1" si="4599"/>
        <v>0</v>
      </c>
      <c r="JN67" s="40">
        <f t="shared" ca="1" si="4599"/>
        <v>0</v>
      </c>
      <c r="JO67" s="40">
        <f t="shared" ca="1" si="4599"/>
        <v>0</v>
      </c>
      <c r="JP67" s="40">
        <f t="shared" ca="1" si="4599"/>
        <v>0</v>
      </c>
      <c r="JQ67" s="40">
        <f t="shared" ca="1" si="4599"/>
        <v>0</v>
      </c>
      <c r="JR67" s="40">
        <f t="shared" ca="1" si="4599"/>
        <v>0</v>
      </c>
      <c r="JS67" s="40">
        <f t="shared" ca="1" si="4599"/>
        <v>0</v>
      </c>
      <c r="JT67" s="40">
        <f t="shared" ca="1" si="4599"/>
        <v>0</v>
      </c>
      <c r="JU67" s="40">
        <f t="shared" ca="1" si="4599"/>
        <v>0</v>
      </c>
      <c r="JV67" s="40">
        <f t="shared" ca="1" si="4599"/>
        <v>0</v>
      </c>
      <c r="JW67" s="40">
        <f t="shared" ca="1" si="4599"/>
        <v>0</v>
      </c>
      <c r="JX67" s="40">
        <f t="shared" ca="1" si="4599"/>
        <v>0</v>
      </c>
      <c r="JY67" s="40">
        <f t="shared" ca="1" si="4599"/>
        <v>0</v>
      </c>
      <c r="JZ67" s="40">
        <f t="shared" ca="1" si="4599"/>
        <v>0</v>
      </c>
      <c r="KA67" s="40">
        <f t="shared" ca="1" si="4599"/>
        <v>0</v>
      </c>
      <c r="KB67" s="40">
        <f t="shared" ca="1" si="4599"/>
        <v>0</v>
      </c>
      <c r="KC67" s="40">
        <f t="shared" ca="1" si="4599"/>
        <v>0</v>
      </c>
      <c r="KD67" s="40">
        <f t="shared" ca="1" si="4599"/>
        <v>0</v>
      </c>
      <c r="KE67" s="40">
        <f t="shared" ca="1" si="4599"/>
        <v>0</v>
      </c>
      <c r="KF67" s="40">
        <f t="shared" ca="1" si="4599"/>
        <v>0</v>
      </c>
      <c r="KG67" s="40">
        <f t="shared" ca="1" si="4599"/>
        <v>0</v>
      </c>
      <c r="KH67" s="40">
        <f t="shared" ca="1" si="4599"/>
        <v>0</v>
      </c>
      <c r="KI67" s="40">
        <f t="shared" ca="1" si="4599"/>
        <v>0</v>
      </c>
      <c r="KJ67" s="40">
        <f t="shared" ca="1" si="4599"/>
        <v>0</v>
      </c>
      <c r="KK67" s="40">
        <f t="shared" ca="1" si="4599"/>
        <v>0</v>
      </c>
      <c r="KL67" s="40">
        <f t="shared" ca="1" si="4599"/>
        <v>0</v>
      </c>
      <c r="KM67" s="40">
        <f t="shared" ca="1" si="4599"/>
        <v>0</v>
      </c>
      <c r="KN67" s="40">
        <f t="shared" ca="1" si="4599"/>
        <v>0</v>
      </c>
      <c r="KO67" s="40">
        <f t="shared" ca="1" si="4599"/>
        <v>0</v>
      </c>
      <c r="KP67" s="40">
        <f t="shared" ca="1" si="4599"/>
        <v>0</v>
      </c>
      <c r="KQ67" s="40">
        <f t="shared" ca="1" si="4599"/>
        <v>0</v>
      </c>
      <c r="KR67" s="40">
        <f t="shared" ca="1" si="4599"/>
        <v>0</v>
      </c>
      <c r="KS67" s="40">
        <f t="shared" ca="1" si="4599"/>
        <v>0</v>
      </c>
      <c r="KT67" s="40">
        <f t="shared" ca="1" si="4599"/>
        <v>0</v>
      </c>
      <c r="KU67" s="40">
        <f t="shared" ca="1" si="4599"/>
        <v>0</v>
      </c>
      <c r="KV67" s="40">
        <f t="shared" ca="1" si="4599"/>
        <v>0</v>
      </c>
      <c r="KW67" s="40">
        <f t="shared" ca="1" si="4599"/>
        <v>0</v>
      </c>
      <c r="KX67" s="40">
        <f t="shared" ca="1" si="4599"/>
        <v>0</v>
      </c>
      <c r="KY67" s="40">
        <f t="shared" ca="1" si="4599"/>
        <v>0</v>
      </c>
      <c r="KZ67" s="40">
        <f t="shared" ca="1" si="4599"/>
        <v>0</v>
      </c>
      <c r="LA67" s="40">
        <f t="shared" ca="1" si="4599"/>
        <v>0</v>
      </c>
      <c r="LB67" s="40">
        <f t="shared" ca="1" si="4599"/>
        <v>0</v>
      </c>
      <c r="LC67" s="40">
        <f t="shared" ca="1" si="4599"/>
        <v>0</v>
      </c>
      <c r="LD67" s="40">
        <f t="shared" ca="1" si="4599"/>
        <v>0</v>
      </c>
      <c r="LE67" s="40">
        <f t="shared" ca="1" si="4599"/>
        <v>0</v>
      </c>
      <c r="LF67" s="40">
        <f t="shared" ca="1" si="4599"/>
        <v>0</v>
      </c>
      <c r="LG67" s="40">
        <f t="shared" ca="1" si="4599"/>
        <v>0</v>
      </c>
      <c r="LH67" s="40">
        <f t="shared" ca="1" si="4599"/>
        <v>0</v>
      </c>
      <c r="LI67" s="40">
        <f t="shared" ca="1" si="4599"/>
        <v>0</v>
      </c>
      <c r="LJ67" s="40">
        <f t="shared" ca="1" si="4599"/>
        <v>0</v>
      </c>
      <c r="LK67" s="40">
        <f t="shared" ca="1" si="4599"/>
        <v>0</v>
      </c>
      <c r="LL67" s="40">
        <f t="shared" ca="1" si="4599"/>
        <v>0</v>
      </c>
      <c r="LM67" s="40">
        <f t="shared" ca="1" si="4599"/>
        <v>0</v>
      </c>
      <c r="LN67" s="40">
        <f t="shared" ca="1" si="4599"/>
        <v>0</v>
      </c>
      <c r="LO67" s="40">
        <f t="shared" ca="1" si="4599"/>
        <v>0</v>
      </c>
      <c r="LP67" s="40">
        <f t="shared" ca="1" si="4599"/>
        <v>0</v>
      </c>
      <c r="LQ67" s="40">
        <f t="shared" ca="1" si="4599"/>
        <v>0</v>
      </c>
      <c r="LR67" s="40">
        <f t="shared" ca="1" si="4599"/>
        <v>0</v>
      </c>
      <c r="LS67" s="40">
        <f t="shared" ref="LS67:ND67" ca="1" si="4600">MAX(0,LR67-LR68-LR69)</f>
        <v>0</v>
      </c>
      <c r="LT67" s="40">
        <f t="shared" ca="1" si="4600"/>
        <v>0</v>
      </c>
      <c r="LU67" s="40">
        <f t="shared" ca="1" si="4600"/>
        <v>0</v>
      </c>
      <c r="LV67" s="40">
        <f t="shared" ca="1" si="4600"/>
        <v>0</v>
      </c>
      <c r="LW67" s="40">
        <f t="shared" ca="1" si="4600"/>
        <v>0</v>
      </c>
      <c r="LX67" s="40">
        <f t="shared" ca="1" si="4600"/>
        <v>0</v>
      </c>
      <c r="LY67" s="40">
        <f t="shared" ca="1" si="4600"/>
        <v>0</v>
      </c>
      <c r="LZ67" s="40">
        <f t="shared" ca="1" si="4600"/>
        <v>0</v>
      </c>
      <c r="MA67" s="40">
        <f t="shared" ca="1" si="4600"/>
        <v>0</v>
      </c>
      <c r="MB67" s="40">
        <f t="shared" ca="1" si="4600"/>
        <v>0</v>
      </c>
      <c r="MC67" s="40">
        <f t="shared" ca="1" si="4600"/>
        <v>0</v>
      </c>
      <c r="MD67" s="40">
        <f t="shared" ca="1" si="4600"/>
        <v>0</v>
      </c>
      <c r="ME67" s="40">
        <f t="shared" ca="1" si="4600"/>
        <v>0</v>
      </c>
      <c r="MF67" s="40">
        <f t="shared" ca="1" si="4600"/>
        <v>0</v>
      </c>
      <c r="MG67" s="40">
        <f t="shared" ca="1" si="4600"/>
        <v>0</v>
      </c>
      <c r="MH67" s="40">
        <f t="shared" ca="1" si="4600"/>
        <v>0</v>
      </c>
      <c r="MI67" s="40">
        <f t="shared" ca="1" si="4600"/>
        <v>0</v>
      </c>
      <c r="MJ67" s="40">
        <f t="shared" ca="1" si="4600"/>
        <v>0</v>
      </c>
      <c r="MK67" s="40">
        <f t="shared" ca="1" si="4600"/>
        <v>0</v>
      </c>
      <c r="ML67" s="40">
        <f t="shared" ca="1" si="4600"/>
        <v>0</v>
      </c>
      <c r="MM67" s="40">
        <f t="shared" ca="1" si="4600"/>
        <v>0</v>
      </c>
      <c r="MN67" s="40">
        <f t="shared" ca="1" si="4600"/>
        <v>0</v>
      </c>
      <c r="MO67" s="40">
        <f t="shared" ca="1" si="4600"/>
        <v>0</v>
      </c>
      <c r="MP67" s="40">
        <f t="shared" ca="1" si="4600"/>
        <v>0</v>
      </c>
      <c r="MQ67" s="40">
        <f t="shared" ca="1" si="4600"/>
        <v>0</v>
      </c>
      <c r="MR67" s="40">
        <f t="shared" ca="1" si="4600"/>
        <v>0</v>
      </c>
      <c r="MS67" s="40">
        <f t="shared" ca="1" si="4600"/>
        <v>0</v>
      </c>
      <c r="MT67" s="40">
        <f t="shared" ca="1" si="4600"/>
        <v>0</v>
      </c>
      <c r="MU67" s="40">
        <f t="shared" ca="1" si="4600"/>
        <v>0</v>
      </c>
      <c r="MV67" s="40">
        <f t="shared" ca="1" si="4600"/>
        <v>0</v>
      </c>
      <c r="MW67" s="40">
        <f t="shared" ca="1" si="4600"/>
        <v>0</v>
      </c>
      <c r="MX67" s="40">
        <f t="shared" ca="1" si="4600"/>
        <v>0</v>
      </c>
      <c r="MY67" s="40">
        <f t="shared" ca="1" si="4600"/>
        <v>0</v>
      </c>
      <c r="MZ67" s="40">
        <f t="shared" ca="1" si="4600"/>
        <v>0</v>
      </c>
      <c r="NA67" s="40">
        <f t="shared" ca="1" si="4600"/>
        <v>0</v>
      </c>
      <c r="NB67" s="40">
        <f t="shared" ca="1" si="4600"/>
        <v>0</v>
      </c>
      <c r="NC67" s="40">
        <f t="shared" ca="1" si="4600"/>
        <v>0</v>
      </c>
      <c r="ND67" s="40">
        <f t="shared" ca="1" si="4600"/>
        <v>0</v>
      </c>
      <c r="NE67" s="40"/>
      <c r="NF67" s="40"/>
      <c r="NG67" s="40"/>
      <c r="NH67" s="40"/>
      <c r="NI67" s="40"/>
      <c r="NJ67" s="40"/>
      <c r="NK67" s="40"/>
      <c r="NL67" s="40"/>
      <c r="NM67" s="40"/>
      <c r="NN67" s="40"/>
      <c r="NO67" s="40"/>
      <c r="NP67" s="40"/>
      <c r="NQ67" s="40"/>
      <c r="NR67" s="40"/>
    </row>
    <row r="68" spans="2:382" x14ac:dyDescent="0.15">
      <c r="B68" s="519"/>
      <c r="C68" t="s">
        <v>170</v>
      </c>
      <c r="G68" s="118"/>
      <c r="I68" s="40">
        <f>SUM(I28:I29,I36:I37,I44:I45,I52:I53,I60:I61)</f>
        <v>-106461.711075</v>
      </c>
      <c r="J68" s="40">
        <f t="shared" ref="J68" si="4601">SUM(J28:J29,J36:J37,J44:J45,J52:J53,J60:J61)</f>
        <v>-106461.711075</v>
      </c>
      <c r="K68" s="40">
        <f t="shared" ref="K68:BV68" si="4602">SUM(K28:K29,K36:K37,K44:K45,K52:K53,K60:K61)</f>
        <v>-106461.71107499998</v>
      </c>
      <c r="L68" s="40">
        <f t="shared" si="4602"/>
        <v>0</v>
      </c>
      <c r="M68" s="40">
        <f t="shared" si="4602"/>
        <v>0</v>
      </c>
      <c r="N68" s="40">
        <f t="shared" si="4602"/>
        <v>0</v>
      </c>
      <c r="O68" s="40">
        <f t="shared" si="4602"/>
        <v>0</v>
      </c>
      <c r="P68" s="40">
        <f t="shared" si="4602"/>
        <v>0</v>
      </c>
      <c r="Q68" s="40">
        <f t="shared" si="4602"/>
        <v>0</v>
      </c>
      <c r="R68" s="40">
        <f t="shared" si="4602"/>
        <v>0</v>
      </c>
      <c r="S68" s="40">
        <f t="shared" si="4602"/>
        <v>0</v>
      </c>
      <c r="T68" s="40">
        <f t="shared" si="4602"/>
        <v>0</v>
      </c>
      <c r="U68" s="40">
        <f t="shared" si="4602"/>
        <v>0</v>
      </c>
      <c r="V68" s="40">
        <f t="shared" si="4602"/>
        <v>0</v>
      </c>
      <c r="W68" s="40">
        <f t="shared" si="4602"/>
        <v>0</v>
      </c>
      <c r="X68" s="40">
        <f t="shared" si="4602"/>
        <v>0</v>
      </c>
      <c r="Y68" s="40">
        <f t="shared" si="4602"/>
        <v>0</v>
      </c>
      <c r="Z68" s="40">
        <f t="shared" si="4602"/>
        <v>0</v>
      </c>
      <c r="AA68" s="40">
        <f t="shared" si="4602"/>
        <v>0</v>
      </c>
      <c r="AB68" s="40">
        <f t="shared" si="4602"/>
        <v>0</v>
      </c>
      <c r="AC68" s="40">
        <f t="shared" si="4602"/>
        <v>0</v>
      </c>
      <c r="AD68" s="40">
        <f t="shared" si="4602"/>
        <v>0</v>
      </c>
      <c r="AE68" s="40">
        <f t="shared" si="4602"/>
        <v>0</v>
      </c>
      <c r="AF68" s="40">
        <f t="shared" si="4602"/>
        <v>0</v>
      </c>
      <c r="AG68" s="40">
        <f t="shared" si="4602"/>
        <v>0</v>
      </c>
      <c r="AH68" s="40">
        <f t="shared" si="4602"/>
        <v>0</v>
      </c>
      <c r="AI68" s="40">
        <f t="shared" si="4602"/>
        <v>0</v>
      </c>
      <c r="AJ68" s="40">
        <f t="shared" si="4602"/>
        <v>0</v>
      </c>
      <c r="AK68" s="40">
        <f t="shared" si="4602"/>
        <v>0</v>
      </c>
      <c r="AL68" s="40">
        <f t="shared" si="4602"/>
        <v>0</v>
      </c>
      <c r="AM68" s="40">
        <f t="shared" si="4602"/>
        <v>0</v>
      </c>
      <c r="AN68" s="40">
        <f t="shared" si="4602"/>
        <v>0</v>
      </c>
      <c r="AO68" s="40">
        <f t="shared" si="4602"/>
        <v>0</v>
      </c>
      <c r="AP68" s="40">
        <f t="shared" si="4602"/>
        <v>0</v>
      </c>
      <c r="AQ68" s="40">
        <f t="shared" si="4602"/>
        <v>0</v>
      </c>
      <c r="AR68" s="40">
        <f t="shared" si="4602"/>
        <v>0</v>
      </c>
      <c r="AS68" s="40">
        <f t="shared" si="4602"/>
        <v>369.08414719279244</v>
      </c>
      <c r="AT68" s="40">
        <f t="shared" si="4602"/>
        <v>369.08414719279244</v>
      </c>
      <c r="AU68" s="40">
        <f t="shared" si="4602"/>
        <v>369.08414719279244</v>
      </c>
      <c r="AV68" s="40">
        <f t="shared" si="4602"/>
        <v>369.08414719279244</v>
      </c>
      <c r="AW68" s="40">
        <f t="shared" si="4602"/>
        <v>369.08414719279244</v>
      </c>
      <c r="AX68" s="40">
        <f t="shared" si="4602"/>
        <v>369.08414719279244</v>
      </c>
      <c r="AY68" s="40">
        <f t="shared" si="4602"/>
        <v>369.08414719279244</v>
      </c>
      <c r="AZ68" s="40">
        <f t="shared" si="4602"/>
        <v>369.08414719279244</v>
      </c>
      <c r="BA68" s="40">
        <f t="shared" si="4602"/>
        <v>369.08414719279244</v>
      </c>
      <c r="BB68" s="40">
        <f t="shared" si="4602"/>
        <v>369.08414719279244</v>
      </c>
      <c r="BC68" s="40">
        <f t="shared" si="4602"/>
        <v>369.08414719279244</v>
      </c>
      <c r="BD68" s="40">
        <f t="shared" si="4602"/>
        <v>369.08414719279244</v>
      </c>
      <c r="BE68" s="40">
        <f t="shared" si="4602"/>
        <v>1312.5480714578298</v>
      </c>
      <c r="BF68" s="40">
        <f t="shared" si="4602"/>
        <v>1312.5480714578298</v>
      </c>
      <c r="BG68" s="40">
        <f t="shared" si="4602"/>
        <v>1312.5480714578298</v>
      </c>
      <c r="BH68" s="40">
        <f t="shared" si="4602"/>
        <v>1312.5480714578298</v>
      </c>
      <c r="BI68" s="40">
        <f t="shared" si="4602"/>
        <v>1312.5480714578298</v>
      </c>
      <c r="BJ68" s="40">
        <f t="shared" si="4602"/>
        <v>1312.5480714578298</v>
      </c>
      <c r="BK68" s="40">
        <f t="shared" si="4602"/>
        <v>1312.5480714578298</v>
      </c>
      <c r="BL68" s="40">
        <f t="shared" si="4602"/>
        <v>1312.5480714578298</v>
      </c>
      <c r="BM68" s="40">
        <f t="shared" si="4602"/>
        <v>1312.5480714578298</v>
      </c>
      <c r="BN68" s="40">
        <f t="shared" si="4602"/>
        <v>1312.5480714578298</v>
      </c>
      <c r="BO68" s="40">
        <f t="shared" si="4602"/>
        <v>1312.54807145783</v>
      </c>
      <c r="BP68" s="40">
        <f t="shared" si="4602"/>
        <v>1312.5480714578298</v>
      </c>
      <c r="BQ68" s="40">
        <f t="shared" si="4602"/>
        <v>2285.626816434662</v>
      </c>
      <c r="BR68" s="40">
        <f t="shared" si="4602"/>
        <v>2285.626816434662</v>
      </c>
      <c r="BS68" s="40">
        <f t="shared" si="4602"/>
        <v>2285.626816434662</v>
      </c>
      <c r="BT68" s="40">
        <f t="shared" si="4602"/>
        <v>2285.626816434662</v>
      </c>
      <c r="BU68" s="40">
        <f t="shared" si="4602"/>
        <v>2285.6268164346625</v>
      </c>
      <c r="BV68" s="40">
        <f t="shared" si="4602"/>
        <v>2285.6268164346616</v>
      </c>
      <c r="BW68" s="40">
        <f t="shared" ref="BW68:EH68" si="4603">SUM(BW28:BW29,BW36:BW37,BW44:BW45,BW52:BW53,BW60:BW61)</f>
        <v>2285.626816434662</v>
      </c>
      <c r="BX68" s="40">
        <f t="shared" si="4603"/>
        <v>2285.626816434662</v>
      </c>
      <c r="BY68" s="40">
        <f t="shared" si="4603"/>
        <v>2285.626816434662</v>
      </c>
      <c r="BZ68" s="40">
        <f t="shared" si="4603"/>
        <v>2285.626816434662</v>
      </c>
      <c r="CA68" s="40">
        <f t="shared" si="4603"/>
        <v>2285.626816434662</v>
      </c>
      <c r="CB68" s="40">
        <f t="shared" si="4603"/>
        <v>2285.626816434662</v>
      </c>
      <c r="CC68" s="40">
        <f t="shared" si="4603"/>
        <v>3289.2368009212696</v>
      </c>
      <c r="CD68" s="40">
        <f t="shared" si="4603"/>
        <v>3289.2368009212696</v>
      </c>
      <c r="CE68" s="40">
        <f t="shared" si="4603"/>
        <v>3289.2368009212696</v>
      </c>
      <c r="CF68" s="40">
        <f t="shared" si="4603"/>
        <v>3289.2368009212692</v>
      </c>
      <c r="CG68" s="40">
        <f t="shared" si="4603"/>
        <v>3289.2368009212696</v>
      </c>
      <c r="CH68" s="40">
        <f t="shared" si="4603"/>
        <v>3289.2368009212696</v>
      </c>
      <c r="CI68" s="40">
        <f t="shared" si="4603"/>
        <v>3289.2368009212696</v>
      </c>
      <c r="CJ68" s="40">
        <f t="shared" si="4603"/>
        <v>3289.2368009212687</v>
      </c>
      <c r="CK68" s="40">
        <f t="shared" si="4603"/>
        <v>3289.2368009212696</v>
      </c>
      <c r="CL68" s="40">
        <f t="shared" si="4603"/>
        <v>3289.2368009212696</v>
      </c>
      <c r="CM68" s="40">
        <f t="shared" si="4603"/>
        <v>3289.2368009212696</v>
      </c>
      <c r="CN68" s="40">
        <f t="shared" si="4603"/>
        <v>3289.2368009212692</v>
      </c>
      <c r="CO68" s="40">
        <f t="shared" si="4603"/>
        <v>4324.3225396660137</v>
      </c>
      <c r="CP68" s="40">
        <f t="shared" si="4603"/>
        <v>4324.3225396660137</v>
      </c>
      <c r="CQ68" s="40">
        <f t="shared" si="4603"/>
        <v>4324.3225396660127</v>
      </c>
      <c r="CR68" s="40">
        <f t="shared" si="4603"/>
        <v>4324.3225396660127</v>
      </c>
      <c r="CS68" s="40">
        <f t="shared" si="4603"/>
        <v>4324.3225396660127</v>
      </c>
      <c r="CT68" s="40">
        <f t="shared" si="4603"/>
        <v>4324.3225396660137</v>
      </c>
      <c r="CU68" s="40">
        <f t="shared" si="4603"/>
        <v>4324.3225396660127</v>
      </c>
      <c r="CV68" s="40">
        <f t="shared" si="4603"/>
        <v>4324.3225396660127</v>
      </c>
      <c r="CW68" s="40">
        <f t="shared" si="4603"/>
        <v>4324.3225396660137</v>
      </c>
      <c r="CX68" s="40">
        <f t="shared" si="4603"/>
        <v>4324.3225396660127</v>
      </c>
      <c r="CY68" s="40">
        <f t="shared" si="4603"/>
        <v>4324.3225396660127</v>
      </c>
      <c r="CZ68" s="40">
        <f t="shared" si="4603"/>
        <v>4324.3225396660127</v>
      </c>
      <c r="DA68" s="40">
        <f t="shared" si="4603"/>
        <v>5391.8574994115043</v>
      </c>
      <c r="DB68" s="40">
        <f t="shared" si="4603"/>
        <v>5391.8574994115043</v>
      </c>
      <c r="DC68" s="40">
        <f t="shared" si="4603"/>
        <v>5391.8574994115043</v>
      </c>
      <c r="DD68" s="40">
        <f t="shared" si="4603"/>
        <v>5391.8574994115043</v>
      </c>
      <c r="DE68" s="40">
        <f t="shared" si="4603"/>
        <v>5391.8574994115043</v>
      </c>
      <c r="DF68" s="40">
        <f t="shared" si="4603"/>
        <v>5391.8574994115043</v>
      </c>
      <c r="DG68" s="40">
        <f t="shared" si="4603"/>
        <v>5391.8574994115043</v>
      </c>
      <c r="DH68" s="40">
        <f t="shared" si="4603"/>
        <v>5391.8574994115043</v>
      </c>
      <c r="DI68" s="40">
        <f t="shared" si="4603"/>
        <v>5391.8574994115043</v>
      </c>
      <c r="DJ68" s="40">
        <f t="shared" si="4603"/>
        <v>5391.8574994115043</v>
      </c>
      <c r="DK68" s="40">
        <f t="shared" si="4603"/>
        <v>5391.8574994115043</v>
      </c>
      <c r="DL68" s="40">
        <f t="shared" si="4603"/>
        <v>5391.8574994115043</v>
      </c>
      <c r="DM68" s="40">
        <f t="shared" si="4603"/>
        <v>6492.8449809103913</v>
      </c>
      <c r="DN68" s="40">
        <f t="shared" si="4603"/>
        <v>6492.8449809103913</v>
      </c>
      <c r="DO68" s="40">
        <f t="shared" si="4603"/>
        <v>6492.8449809103922</v>
      </c>
      <c r="DP68" s="40">
        <f t="shared" si="4603"/>
        <v>6492.8449809103913</v>
      </c>
      <c r="DQ68" s="40">
        <f t="shared" si="4603"/>
        <v>6492.8449809103913</v>
      </c>
      <c r="DR68" s="40">
        <f t="shared" si="4603"/>
        <v>6492.8449809103913</v>
      </c>
      <c r="DS68" s="40">
        <f t="shared" si="4603"/>
        <v>6492.8449809103922</v>
      </c>
      <c r="DT68" s="40">
        <f t="shared" si="4603"/>
        <v>6492.8449809103913</v>
      </c>
      <c r="DU68" s="40">
        <f t="shared" si="4603"/>
        <v>6492.8449809103913</v>
      </c>
      <c r="DV68" s="40">
        <f t="shared" si="4603"/>
        <v>6492.8449809103913</v>
      </c>
      <c r="DW68" s="40">
        <f t="shared" si="4603"/>
        <v>6492.8449809103922</v>
      </c>
      <c r="DX68" s="40">
        <f t="shared" si="4603"/>
        <v>6492.8449809103931</v>
      </c>
      <c r="DY68" s="40">
        <f t="shared" si="4603"/>
        <v>7628.3190276990499</v>
      </c>
      <c r="DZ68" s="40">
        <f t="shared" si="4603"/>
        <v>7628.3190276990481</v>
      </c>
      <c r="EA68" s="40">
        <f t="shared" si="4603"/>
        <v>7628.3190276990499</v>
      </c>
      <c r="EB68" s="40">
        <f t="shared" si="4603"/>
        <v>7628.319027699049</v>
      </c>
      <c r="EC68" s="40">
        <f t="shared" si="4603"/>
        <v>7628.3190276990481</v>
      </c>
      <c r="ED68" s="40">
        <f t="shared" si="4603"/>
        <v>7628.3190276990526</v>
      </c>
      <c r="EE68" s="40">
        <f t="shared" si="4603"/>
        <v>7628.3190276990508</v>
      </c>
      <c r="EF68" s="40">
        <f t="shared" si="4603"/>
        <v>7628.3190276990499</v>
      </c>
      <c r="EG68" s="40">
        <f t="shared" si="4603"/>
        <v>7628.319027699049</v>
      </c>
      <c r="EH68" s="40">
        <f t="shared" si="4603"/>
        <v>7628.3190276990499</v>
      </c>
      <c r="EI68" s="40">
        <f t="shared" ref="EI68:GT68" si="4604">SUM(EI28:EI29,EI36:EI37,EI44:EI45,EI52:EI53,EI60:EI61)</f>
        <v>7628.3190276990499</v>
      </c>
      <c r="EJ68" s="40">
        <f t="shared" si="4604"/>
        <v>7628.3190276990499</v>
      </c>
      <c r="EK68" s="40">
        <f t="shared" si="4604"/>
        <v>8799.3453624382</v>
      </c>
      <c r="EL68" s="40">
        <f t="shared" si="4604"/>
        <v>8799.3453624382</v>
      </c>
      <c r="EM68" s="40">
        <f t="shared" si="4604"/>
        <v>8799.3453624382055</v>
      </c>
      <c r="EN68" s="40">
        <f t="shared" si="4604"/>
        <v>8799.3453624382018</v>
      </c>
      <c r="EO68" s="40">
        <f t="shared" si="4604"/>
        <v>8799.3453624382018</v>
      </c>
      <c r="EP68" s="40">
        <f t="shared" si="4604"/>
        <v>8799.3453624382018</v>
      </c>
      <c r="EQ68" s="40">
        <f t="shared" si="4604"/>
        <v>8799.3453624382055</v>
      </c>
      <c r="ER68" s="40">
        <f t="shared" si="4604"/>
        <v>8799.3453624382037</v>
      </c>
      <c r="ES68" s="40">
        <f t="shared" si="4604"/>
        <v>8799.3453624382018</v>
      </c>
      <c r="ET68" s="40">
        <f t="shared" si="4604"/>
        <v>8799.3453624382018</v>
      </c>
      <c r="EU68" s="40">
        <f t="shared" si="4604"/>
        <v>8799.3453624382018</v>
      </c>
      <c r="EV68" s="40">
        <f t="shared" si="4604"/>
        <v>8799.3453624382</v>
      </c>
      <c r="EW68" s="40">
        <f t="shared" si="4604"/>
        <v>10007.022351654545</v>
      </c>
      <c r="EX68" s="40">
        <f t="shared" si="4604"/>
        <v>10007.022351654547</v>
      </c>
      <c r="EY68" s="40">
        <f t="shared" si="4604"/>
        <v>10007.022351654545</v>
      </c>
      <c r="EZ68" s="40">
        <f t="shared" si="4604"/>
        <v>10007.022351654545</v>
      </c>
      <c r="FA68" s="40">
        <f t="shared" si="4604"/>
        <v>10007.022351654545</v>
      </c>
      <c r="FB68" s="40">
        <f t="shared" si="4604"/>
        <v>10007.022351654545</v>
      </c>
      <c r="FC68" s="40">
        <f t="shared" si="4604"/>
        <v>10007.022351654545</v>
      </c>
      <c r="FD68" s="40">
        <f t="shared" si="4604"/>
        <v>10007.022351654545</v>
      </c>
      <c r="FE68" s="40">
        <f t="shared" si="4604"/>
        <v>10007.022351654545</v>
      </c>
      <c r="FF68" s="40">
        <f t="shared" si="4604"/>
        <v>10007.022351654548</v>
      </c>
      <c r="FG68" s="40">
        <f t="shared" si="4604"/>
        <v>10007.022351654543</v>
      </c>
      <c r="FH68" s="40">
        <f t="shared" si="4604"/>
        <v>10007.022351654545</v>
      </c>
      <c r="FI68" s="40">
        <f t="shared" si="4604"/>
        <v>11252.481999742326</v>
      </c>
      <c r="FJ68" s="40">
        <f t="shared" si="4604"/>
        <v>11252.481999742326</v>
      </c>
      <c r="FK68" s="40">
        <f t="shared" si="4604"/>
        <v>11252.481999742326</v>
      </c>
      <c r="FL68" s="40">
        <f t="shared" si="4604"/>
        <v>11252.481999742326</v>
      </c>
      <c r="FM68" s="40">
        <f t="shared" si="4604"/>
        <v>11252.481999742326</v>
      </c>
      <c r="FN68" s="40">
        <f t="shared" si="4604"/>
        <v>11252.481999742326</v>
      </c>
      <c r="FO68" s="40">
        <f t="shared" si="4604"/>
        <v>11252.481999742326</v>
      </c>
      <c r="FP68" s="40">
        <f>SUM(FP28:FP29,FP36:FP37,FP44:FP45,FP52:FP53,FP60:FP61)</f>
        <v>11252.481999742329</v>
      </c>
      <c r="FQ68" s="40">
        <f t="shared" si="4604"/>
        <v>11252.481999742326</v>
      </c>
      <c r="FR68" s="40">
        <f t="shared" si="4604"/>
        <v>11252.481999742326</v>
      </c>
      <c r="FS68" s="40">
        <f t="shared" si="4604"/>
        <v>11252.481999742327</v>
      </c>
      <c r="FT68" s="40">
        <f t="shared" si="4604"/>
        <v>11252.481999742326</v>
      </c>
      <c r="FU68" s="40">
        <f t="shared" si="4604"/>
        <v>12536.89097310957</v>
      </c>
      <c r="FV68" s="40">
        <f t="shared" si="4604"/>
        <v>12536.89097310957</v>
      </c>
      <c r="FW68" s="40">
        <f t="shared" si="4604"/>
        <v>12536.890973109574</v>
      </c>
      <c r="FX68" s="40">
        <f t="shared" si="4604"/>
        <v>12536.890973109572</v>
      </c>
      <c r="FY68" s="40">
        <f t="shared" si="4604"/>
        <v>12536.890973109572</v>
      </c>
      <c r="FZ68" s="40">
        <f t="shared" si="4604"/>
        <v>12536.89097310957</v>
      </c>
      <c r="GA68" s="40">
        <f t="shared" si="4604"/>
        <v>12536.89097310957</v>
      </c>
      <c r="GB68" s="40">
        <f t="shared" si="4604"/>
        <v>12536.89097310957</v>
      </c>
      <c r="GC68" s="40">
        <f t="shared" si="4604"/>
        <v>0</v>
      </c>
      <c r="GD68" s="40">
        <f t="shared" si="4604"/>
        <v>0</v>
      </c>
      <c r="GE68" s="40">
        <f t="shared" si="4604"/>
        <v>0</v>
      </c>
      <c r="GF68" s="40">
        <f t="shared" ca="1" si="4604"/>
        <v>6540372.9302697815</v>
      </c>
      <c r="GG68" s="40">
        <f t="shared" ca="1" si="4604"/>
        <v>0</v>
      </c>
      <c r="GH68" s="40">
        <f t="shared" ca="1" si="4604"/>
        <v>0</v>
      </c>
      <c r="GI68" s="40">
        <f t="shared" ca="1" si="4604"/>
        <v>0</v>
      </c>
      <c r="GJ68" s="40">
        <f t="shared" ca="1" si="4604"/>
        <v>0</v>
      </c>
      <c r="GK68" s="40">
        <f t="shared" ca="1" si="4604"/>
        <v>0</v>
      </c>
      <c r="GL68" s="40">
        <f t="shared" ca="1" si="4604"/>
        <v>0</v>
      </c>
      <c r="GM68" s="40">
        <f t="shared" ca="1" si="4604"/>
        <v>0</v>
      </c>
      <c r="GN68" s="40">
        <f t="shared" ca="1" si="4604"/>
        <v>0</v>
      </c>
      <c r="GO68" s="40">
        <f t="shared" ca="1" si="4604"/>
        <v>0</v>
      </c>
      <c r="GP68" s="40">
        <f t="shared" ca="1" si="4604"/>
        <v>0</v>
      </c>
      <c r="GQ68" s="40">
        <f t="shared" ca="1" si="4604"/>
        <v>0</v>
      </c>
      <c r="GR68" s="40">
        <f t="shared" ca="1" si="4604"/>
        <v>0</v>
      </c>
      <c r="GS68" s="40">
        <f t="shared" ca="1" si="4604"/>
        <v>0</v>
      </c>
      <c r="GT68" s="40">
        <f t="shared" ca="1" si="4604"/>
        <v>0</v>
      </c>
      <c r="GU68" s="40">
        <f t="shared" ref="GU68:IN68" ca="1" si="4605">SUM(GU28:GU29,GU36:GU37,GU44:GU45,GU52:GU53,GU60:GU61)</f>
        <v>0</v>
      </c>
      <c r="GV68" s="40">
        <f t="shared" ca="1" si="4605"/>
        <v>0</v>
      </c>
      <c r="GW68" s="40">
        <f t="shared" ca="1" si="4605"/>
        <v>0</v>
      </c>
      <c r="GX68" s="40">
        <f t="shared" ca="1" si="4605"/>
        <v>0</v>
      </c>
      <c r="GY68" s="40">
        <f t="shared" ca="1" si="4605"/>
        <v>0</v>
      </c>
      <c r="GZ68" s="40">
        <f t="shared" ca="1" si="4605"/>
        <v>0</v>
      </c>
      <c r="HA68" s="40">
        <f t="shared" ca="1" si="4605"/>
        <v>0</v>
      </c>
      <c r="HB68" s="40">
        <f t="shared" ca="1" si="4605"/>
        <v>0</v>
      </c>
      <c r="HC68" s="40">
        <f t="shared" ca="1" si="4605"/>
        <v>0</v>
      </c>
      <c r="HD68" s="40">
        <f t="shared" ca="1" si="4605"/>
        <v>0</v>
      </c>
      <c r="HE68" s="40">
        <f t="shared" ca="1" si="4605"/>
        <v>0</v>
      </c>
      <c r="HF68" s="40">
        <f t="shared" ca="1" si="4605"/>
        <v>0</v>
      </c>
      <c r="HG68" s="40">
        <f t="shared" ca="1" si="4605"/>
        <v>0</v>
      </c>
      <c r="HH68" s="40">
        <f t="shared" ca="1" si="4605"/>
        <v>0</v>
      </c>
      <c r="HI68" s="40">
        <f t="shared" ca="1" si="4605"/>
        <v>0</v>
      </c>
      <c r="HJ68" s="40">
        <f t="shared" ca="1" si="4605"/>
        <v>0</v>
      </c>
      <c r="HK68" s="40">
        <f t="shared" ca="1" si="4605"/>
        <v>0</v>
      </c>
      <c r="HL68" s="40">
        <f t="shared" ca="1" si="4605"/>
        <v>0</v>
      </c>
      <c r="HM68" s="40">
        <f t="shared" ca="1" si="4605"/>
        <v>0</v>
      </c>
      <c r="HN68" s="40">
        <f t="shared" ca="1" si="4605"/>
        <v>0</v>
      </c>
      <c r="HO68" s="40">
        <f t="shared" ca="1" si="4605"/>
        <v>0</v>
      </c>
      <c r="HP68" s="40">
        <f t="shared" ca="1" si="4605"/>
        <v>0</v>
      </c>
      <c r="HQ68" s="40">
        <f t="shared" ca="1" si="4605"/>
        <v>0</v>
      </c>
      <c r="HR68" s="40">
        <f t="shared" ca="1" si="4605"/>
        <v>0</v>
      </c>
      <c r="HS68" s="40">
        <f t="shared" ca="1" si="4605"/>
        <v>0</v>
      </c>
      <c r="HT68" s="40">
        <f t="shared" ca="1" si="4605"/>
        <v>0</v>
      </c>
      <c r="HU68" s="40">
        <f t="shared" ca="1" si="4605"/>
        <v>0</v>
      </c>
      <c r="HV68" s="40">
        <f t="shared" ca="1" si="4605"/>
        <v>0</v>
      </c>
      <c r="HW68" s="40">
        <f t="shared" ca="1" si="4605"/>
        <v>0</v>
      </c>
      <c r="HX68" s="40">
        <f t="shared" ca="1" si="4605"/>
        <v>0</v>
      </c>
      <c r="HY68" s="40">
        <f t="shared" ca="1" si="4605"/>
        <v>0</v>
      </c>
      <c r="HZ68" s="40">
        <f t="shared" ca="1" si="4605"/>
        <v>0</v>
      </c>
      <c r="IA68" s="40">
        <f t="shared" ca="1" si="4605"/>
        <v>0</v>
      </c>
      <c r="IB68" s="40">
        <f t="shared" ca="1" si="4605"/>
        <v>0</v>
      </c>
      <c r="IC68" s="40">
        <f t="shared" ca="1" si="4605"/>
        <v>0</v>
      </c>
      <c r="ID68" s="40">
        <f t="shared" ca="1" si="4605"/>
        <v>0</v>
      </c>
      <c r="IE68" s="40">
        <f t="shared" ca="1" si="4605"/>
        <v>0</v>
      </c>
      <c r="IF68" s="40">
        <f t="shared" ca="1" si="4605"/>
        <v>0</v>
      </c>
      <c r="IG68" s="40">
        <f t="shared" ca="1" si="4605"/>
        <v>0</v>
      </c>
      <c r="IH68" s="40">
        <f t="shared" ca="1" si="4605"/>
        <v>0</v>
      </c>
      <c r="II68" s="40">
        <f t="shared" ca="1" si="4605"/>
        <v>0</v>
      </c>
      <c r="IJ68" s="40">
        <f t="shared" ca="1" si="4605"/>
        <v>0</v>
      </c>
      <c r="IK68" s="40">
        <f t="shared" ca="1" si="4605"/>
        <v>0</v>
      </c>
      <c r="IL68" s="40">
        <f t="shared" ca="1" si="4605"/>
        <v>0</v>
      </c>
      <c r="IM68" s="40">
        <f t="shared" ca="1" si="4605"/>
        <v>0</v>
      </c>
      <c r="IN68" s="40">
        <f t="shared" ca="1" si="4605"/>
        <v>0</v>
      </c>
      <c r="IO68" s="40">
        <f t="shared" ref="IO68:KZ68" ca="1" si="4606">SUM(IO28:IO29,IO36:IO37,IO44:IO45,IO52:IO53,IO60:IO61)</f>
        <v>0</v>
      </c>
      <c r="IP68" s="40">
        <f t="shared" ca="1" si="4606"/>
        <v>0</v>
      </c>
      <c r="IQ68" s="40">
        <f t="shared" ca="1" si="4606"/>
        <v>0</v>
      </c>
      <c r="IR68" s="40">
        <f t="shared" ca="1" si="4606"/>
        <v>0</v>
      </c>
      <c r="IS68" s="40">
        <f t="shared" ca="1" si="4606"/>
        <v>0</v>
      </c>
      <c r="IT68" s="40">
        <f t="shared" ca="1" si="4606"/>
        <v>0</v>
      </c>
      <c r="IU68" s="40">
        <f t="shared" ca="1" si="4606"/>
        <v>0</v>
      </c>
      <c r="IV68" s="40">
        <f t="shared" ca="1" si="4606"/>
        <v>0</v>
      </c>
      <c r="IW68" s="40">
        <f t="shared" ca="1" si="4606"/>
        <v>0</v>
      </c>
      <c r="IX68" s="40">
        <f t="shared" ca="1" si="4606"/>
        <v>0</v>
      </c>
      <c r="IY68" s="40">
        <f t="shared" ca="1" si="4606"/>
        <v>0</v>
      </c>
      <c r="IZ68" s="40">
        <f t="shared" ca="1" si="4606"/>
        <v>0</v>
      </c>
      <c r="JA68" s="40">
        <f t="shared" ca="1" si="4606"/>
        <v>0</v>
      </c>
      <c r="JB68" s="40">
        <f t="shared" ca="1" si="4606"/>
        <v>0</v>
      </c>
      <c r="JC68" s="40">
        <f t="shared" ca="1" si="4606"/>
        <v>0</v>
      </c>
      <c r="JD68" s="40">
        <f t="shared" ca="1" si="4606"/>
        <v>0</v>
      </c>
      <c r="JE68" s="40">
        <f t="shared" ca="1" si="4606"/>
        <v>0</v>
      </c>
      <c r="JF68" s="40">
        <f t="shared" ca="1" si="4606"/>
        <v>0</v>
      </c>
      <c r="JG68" s="40">
        <f t="shared" ca="1" si="4606"/>
        <v>0</v>
      </c>
      <c r="JH68" s="40">
        <f t="shared" ca="1" si="4606"/>
        <v>0</v>
      </c>
      <c r="JI68" s="40">
        <f t="shared" ca="1" si="4606"/>
        <v>0</v>
      </c>
      <c r="JJ68" s="40">
        <f t="shared" ca="1" si="4606"/>
        <v>0</v>
      </c>
      <c r="JK68" s="40">
        <f t="shared" ca="1" si="4606"/>
        <v>0</v>
      </c>
      <c r="JL68" s="40">
        <f t="shared" ca="1" si="4606"/>
        <v>0</v>
      </c>
      <c r="JM68" s="40">
        <f t="shared" ca="1" si="4606"/>
        <v>0</v>
      </c>
      <c r="JN68" s="40">
        <f t="shared" ca="1" si="4606"/>
        <v>0</v>
      </c>
      <c r="JO68" s="40">
        <f t="shared" ca="1" si="4606"/>
        <v>0</v>
      </c>
      <c r="JP68" s="40">
        <f t="shared" ca="1" si="4606"/>
        <v>0</v>
      </c>
      <c r="JQ68" s="40">
        <f t="shared" ca="1" si="4606"/>
        <v>0</v>
      </c>
      <c r="JR68" s="40">
        <f t="shared" ca="1" si="4606"/>
        <v>0</v>
      </c>
      <c r="JS68" s="40">
        <f t="shared" ca="1" si="4606"/>
        <v>0</v>
      </c>
      <c r="JT68" s="40">
        <f t="shared" ca="1" si="4606"/>
        <v>0</v>
      </c>
      <c r="JU68" s="40">
        <f t="shared" ca="1" si="4606"/>
        <v>0</v>
      </c>
      <c r="JV68" s="40">
        <f t="shared" ca="1" si="4606"/>
        <v>0</v>
      </c>
      <c r="JW68" s="40">
        <f t="shared" ca="1" si="4606"/>
        <v>0</v>
      </c>
      <c r="JX68" s="40">
        <f t="shared" ca="1" si="4606"/>
        <v>0</v>
      </c>
      <c r="JY68" s="40">
        <f t="shared" ca="1" si="4606"/>
        <v>0</v>
      </c>
      <c r="JZ68" s="40">
        <f t="shared" ca="1" si="4606"/>
        <v>0</v>
      </c>
      <c r="KA68" s="40">
        <f t="shared" ca="1" si="4606"/>
        <v>0</v>
      </c>
      <c r="KB68" s="40">
        <f t="shared" ca="1" si="4606"/>
        <v>0</v>
      </c>
      <c r="KC68" s="40">
        <f t="shared" ca="1" si="4606"/>
        <v>0</v>
      </c>
      <c r="KD68" s="40">
        <f t="shared" ca="1" si="4606"/>
        <v>0</v>
      </c>
      <c r="KE68" s="40">
        <f t="shared" ca="1" si="4606"/>
        <v>0</v>
      </c>
      <c r="KF68" s="40">
        <f t="shared" ca="1" si="4606"/>
        <v>0</v>
      </c>
      <c r="KG68" s="40">
        <f t="shared" ca="1" si="4606"/>
        <v>0</v>
      </c>
      <c r="KH68" s="40">
        <f t="shared" ca="1" si="4606"/>
        <v>0</v>
      </c>
      <c r="KI68" s="40">
        <f t="shared" ca="1" si="4606"/>
        <v>0</v>
      </c>
      <c r="KJ68" s="40">
        <f t="shared" ca="1" si="4606"/>
        <v>0</v>
      </c>
      <c r="KK68" s="40">
        <f t="shared" ca="1" si="4606"/>
        <v>0</v>
      </c>
      <c r="KL68" s="40">
        <f t="shared" ca="1" si="4606"/>
        <v>0</v>
      </c>
      <c r="KM68" s="40">
        <f t="shared" ca="1" si="4606"/>
        <v>0</v>
      </c>
      <c r="KN68" s="40">
        <f t="shared" ca="1" si="4606"/>
        <v>0</v>
      </c>
      <c r="KO68" s="40">
        <f t="shared" ca="1" si="4606"/>
        <v>0</v>
      </c>
      <c r="KP68" s="40">
        <f t="shared" ca="1" si="4606"/>
        <v>0</v>
      </c>
      <c r="KQ68" s="40">
        <f t="shared" ca="1" si="4606"/>
        <v>0</v>
      </c>
      <c r="KR68" s="40">
        <f t="shared" ca="1" si="4606"/>
        <v>0</v>
      </c>
      <c r="KS68" s="40">
        <f t="shared" ca="1" si="4606"/>
        <v>0</v>
      </c>
      <c r="KT68" s="40">
        <f t="shared" ca="1" si="4606"/>
        <v>0</v>
      </c>
      <c r="KU68" s="40">
        <f t="shared" ca="1" si="4606"/>
        <v>0</v>
      </c>
      <c r="KV68" s="40">
        <f t="shared" ca="1" si="4606"/>
        <v>0</v>
      </c>
      <c r="KW68" s="40">
        <f t="shared" ca="1" si="4606"/>
        <v>0</v>
      </c>
      <c r="KX68" s="40">
        <f t="shared" ca="1" si="4606"/>
        <v>0</v>
      </c>
      <c r="KY68" s="40">
        <f t="shared" ca="1" si="4606"/>
        <v>0</v>
      </c>
      <c r="KZ68" s="40">
        <f t="shared" ca="1" si="4606"/>
        <v>0</v>
      </c>
      <c r="LA68" s="40">
        <f t="shared" ref="LA68:ND68" ca="1" si="4607">SUM(LA28:LA29,LA36:LA37,LA44:LA45,LA52:LA53,LA60:LA61)</f>
        <v>0</v>
      </c>
      <c r="LB68" s="40">
        <f t="shared" ca="1" si="4607"/>
        <v>0</v>
      </c>
      <c r="LC68" s="40">
        <f t="shared" ca="1" si="4607"/>
        <v>0</v>
      </c>
      <c r="LD68" s="40">
        <f t="shared" ca="1" si="4607"/>
        <v>0</v>
      </c>
      <c r="LE68" s="40">
        <f t="shared" ca="1" si="4607"/>
        <v>0</v>
      </c>
      <c r="LF68" s="40">
        <f t="shared" ca="1" si="4607"/>
        <v>0</v>
      </c>
      <c r="LG68" s="40">
        <f t="shared" ca="1" si="4607"/>
        <v>0</v>
      </c>
      <c r="LH68" s="40">
        <f t="shared" ca="1" si="4607"/>
        <v>0</v>
      </c>
      <c r="LI68" s="40">
        <f t="shared" ca="1" si="4607"/>
        <v>0</v>
      </c>
      <c r="LJ68" s="40">
        <f t="shared" ca="1" si="4607"/>
        <v>0</v>
      </c>
      <c r="LK68" s="40">
        <f t="shared" ca="1" si="4607"/>
        <v>0</v>
      </c>
      <c r="LL68" s="40">
        <f t="shared" ca="1" si="4607"/>
        <v>0</v>
      </c>
      <c r="LM68" s="40">
        <f t="shared" ca="1" si="4607"/>
        <v>0</v>
      </c>
      <c r="LN68" s="40">
        <f t="shared" ca="1" si="4607"/>
        <v>0</v>
      </c>
      <c r="LO68" s="40">
        <f t="shared" ca="1" si="4607"/>
        <v>0</v>
      </c>
      <c r="LP68" s="40">
        <f t="shared" ca="1" si="4607"/>
        <v>0</v>
      </c>
      <c r="LQ68" s="40">
        <f t="shared" ca="1" si="4607"/>
        <v>0</v>
      </c>
      <c r="LR68" s="40">
        <f t="shared" ca="1" si="4607"/>
        <v>0</v>
      </c>
      <c r="LS68" s="40">
        <f t="shared" ca="1" si="4607"/>
        <v>0</v>
      </c>
      <c r="LT68" s="40">
        <f t="shared" ca="1" si="4607"/>
        <v>0</v>
      </c>
      <c r="LU68" s="40">
        <f t="shared" ca="1" si="4607"/>
        <v>0</v>
      </c>
      <c r="LV68" s="40">
        <f t="shared" ca="1" si="4607"/>
        <v>0</v>
      </c>
      <c r="LW68" s="40">
        <f t="shared" ca="1" si="4607"/>
        <v>0</v>
      </c>
      <c r="LX68" s="40">
        <f t="shared" ca="1" si="4607"/>
        <v>0</v>
      </c>
      <c r="LY68" s="40">
        <f t="shared" ca="1" si="4607"/>
        <v>0</v>
      </c>
      <c r="LZ68" s="40">
        <f t="shared" ca="1" si="4607"/>
        <v>0</v>
      </c>
      <c r="MA68" s="40">
        <f t="shared" ca="1" si="4607"/>
        <v>0</v>
      </c>
      <c r="MB68" s="40">
        <f t="shared" ca="1" si="4607"/>
        <v>0</v>
      </c>
      <c r="MC68" s="40">
        <f t="shared" ca="1" si="4607"/>
        <v>0</v>
      </c>
      <c r="MD68" s="40">
        <f t="shared" ca="1" si="4607"/>
        <v>0</v>
      </c>
      <c r="ME68" s="40">
        <f t="shared" ca="1" si="4607"/>
        <v>0</v>
      </c>
      <c r="MF68" s="40">
        <f t="shared" ca="1" si="4607"/>
        <v>0</v>
      </c>
      <c r="MG68" s="40">
        <f t="shared" ca="1" si="4607"/>
        <v>0</v>
      </c>
      <c r="MH68" s="40">
        <f t="shared" ca="1" si="4607"/>
        <v>0</v>
      </c>
      <c r="MI68" s="40">
        <f t="shared" ca="1" si="4607"/>
        <v>0</v>
      </c>
      <c r="MJ68" s="40">
        <f t="shared" ca="1" si="4607"/>
        <v>0</v>
      </c>
      <c r="MK68" s="40">
        <f t="shared" ca="1" si="4607"/>
        <v>0</v>
      </c>
      <c r="ML68" s="40">
        <f t="shared" ca="1" si="4607"/>
        <v>0</v>
      </c>
      <c r="MM68" s="40">
        <f t="shared" ca="1" si="4607"/>
        <v>0</v>
      </c>
      <c r="MN68" s="40">
        <f t="shared" ca="1" si="4607"/>
        <v>0</v>
      </c>
      <c r="MO68" s="40">
        <f t="shared" ca="1" si="4607"/>
        <v>0</v>
      </c>
      <c r="MP68" s="40">
        <f t="shared" ca="1" si="4607"/>
        <v>0</v>
      </c>
      <c r="MQ68" s="40">
        <f t="shared" ca="1" si="4607"/>
        <v>0</v>
      </c>
      <c r="MR68" s="40">
        <f t="shared" ca="1" si="4607"/>
        <v>0</v>
      </c>
      <c r="MS68" s="40">
        <f t="shared" ca="1" si="4607"/>
        <v>0</v>
      </c>
      <c r="MT68" s="40">
        <f t="shared" ca="1" si="4607"/>
        <v>0</v>
      </c>
      <c r="MU68" s="40">
        <f t="shared" ca="1" si="4607"/>
        <v>0</v>
      </c>
      <c r="MV68" s="40">
        <f t="shared" ca="1" si="4607"/>
        <v>0</v>
      </c>
      <c r="MW68" s="40">
        <f t="shared" ca="1" si="4607"/>
        <v>0</v>
      </c>
      <c r="MX68" s="40">
        <f t="shared" ca="1" si="4607"/>
        <v>0</v>
      </c>
      <c r="MY68" s="40">
        <f t="shared" ca="1" si="4607"/>
        <v>0</v>
      </c>
      <c r="MZ68" s="40">
        <f t="shared" ca="1" si="4607"/>
        <v>0</v>
      </c>
      <c r="NA68" s="40">
        <f t="shared" ca="1" si="4607"/>
        <v>0</v>
      </c>
      <c r="NB68" s="40">
        <f t="shared" ca="1" si="4607"/>
        <v>0</v>
      </c>
      <c r="NC68" s="40">
        <f t="shared" ca="1" si="4607"/>
        <v>0</v>
      </c>
      <c r="ND68" s="40">
        <f t="shared" ca="1" si="4607"/>
        <v>0</v>
      </c>
      <c r="NE68" s="40"/>
      <c r="NF68" s="40"/>
      <c r="NG68" s="40"/>
      <c r="NH68" s="40"/>
      <c r="NI68" s="40"/>
      <c r="NJ68" s="40"/>
      <c r="NK68" s="40"/>
      <c r="NL68" s="40"/>
      <c r="NM68" s="40"/>
      <c r="NN68" s="40"/>
      <c r="NO68" s="40"/>
      <c r="NP68" s="40"/>
      <c r="NQ68" s="40"/>
      <c r="NR68" s="40"/>
    </row>
    <row r="69" spans="2:382" x14ac:dyDescent="0.15">
      <c r="B69" s="519"/>
      <c r="C69" t="s">
        <v>171</v>
      </c>
      <c r="D69" s="5">
        <f>K5</f>
        <v>1</v>
      </c>
      <c r="G69" s="118"/>
      <c r="I69" s="40">
        <f>MIN(MAX(0,I67-I68),$D$69*I$65)</f>
        <v>0</v>
      </c>
      <c r="J69" s="40">
        <f t="shared" ref="J69" si="4608">MIN(MAX(0,J67-J68),$D$69*J$65)</f>
        <v>0</v>
      </c>
      <c r="K69" s="40">
        <f t="shared" ref="K69:BV69" si="4609">MIN(MAX(0,K67-K68),$D$69*K$65)</f>
        <v>0</v>
      </c>
      <c r="L69" s="40">
        <f t="shared" si="4609"/>
        <v>0</v>
      </c>
      <c r="M69" s="40">
        <f t="shared" si="4609"/>
        <v>0</v>
      </c>
      <c r="N69" s="40">
        <f t="shared" si="4609"/>
        <v>0</v>
      </c>
      <c r="O69" s="40">
        <f t="shared" si="4609"/>
        <v>0</v>
      </c>
      <c r="P69" s="40">
        <f t="shared" si="4609"/>
        <v>0</v>
      </c>
      <c r="Q69" s="40">
        <f t="shared" si="4609"/>
        <v>0</v>
      </c>
      <c r="R69" s="40">
        <f t="shared" si="4609"/>
        <v>0</v>
      </c>
      <c r="S69" s="40">
        <f t="shared" si="4609"/>
        <v>0</v>
      </c>
      <c r="T69" s="40">
        <f t="shared" si="4609"/>
        <v>0</v>
      </c>
      <c r="U69" s="40">
        <f t="shared" si="4609"/>
        <v>0</v>
      </c>
      <c r="V69" s="40">
        <f t="shared" si="4609"/>
        <v>0</v>
      </c>
      <c r="W69" s="40">
        <f t="shared" si="4609"/>
        <v>0</v>
      </c>
      <c r="X69" s="40">
        <f t="shared" si="4609"/>
        <v>0</v>
      </c>
      <c r="Y69" s="40">
        <f t="shared" si="4609"/>
        <v>0</v>
      </c>
      <c r="Z69" s="40">
        <f t="shared" si="4609"/>
        <v>0</v>
      </c>
      <c r="AA69" s="40">
        <f t="shared" si="4609"/>
        <v>0</v>
      </c>
      <c r="AB69" s="40">
        <f t="shared" si="4609"/>
        <v>0</v>
      </c>
      <c r="AC69" s="40">
        <f t="shared" si="4609"/>
        <v>0</v>
      </c>
      <c r="AD69" s="40">
        <f t="shared" si="4609"/>
        <v>0</v>
      </c>
      <c r="AE69" s="40">
        <f t="shared" si="4609"/>
        <v>0</v>
      </c>
      <c r="AF69" s="40">
        <f t="shared" si="4609"/>
        <v>0</v>
      </c>
      <c r="AG69" s="40">
        <f t="shared" si="4609"/>
        <v>0</v>
      </c>
      <c r="AH69" s="40">
        <f t="shared" si="4609"/>
        <v>0</v>
      </c>
      <c r="AI69" s="40">
        <f t="shared" si="4609"/>
        <v>0</v>
      </c>
      <c r="AJ69" s="40">
        <f t="shared" si="4609"/>
        <v>0</v>
      </c>
      <c r="AK69" s="40">
        <f t="shared" si="4609"/>
        <v>0</v>
      </c>
      <c r="AL69" s="40">
        <f t="shared" si="4609"/>
        <v>0</v>
      </c>
      <c r="AM69" s="40">
        <f t="shared" si="4609"/>
        <v>0</v>
      </c>
      <c r="AN69" s="40">
        <f t="shared" si="4609"/>
        <v>0</v>
      </c>
      <c r="AO69" s="40">
        <f t="shared" si="4609"/>
        <v>0</v>
      </c>
      <c r="AP69" s="40">
        <f t="shared" si="4609"/>
        <v>0</v>
      </c>
      <c r="AQ69" s="40">
        <f t="shared" si="4609"/>
        <v>0</v>
      </c>
      <c r="AR69" s="40">
        <f t="shared" si="4609"/>
        <v>0</v>
      </c>
      <c r="AS69" s="40">
        <f t="shared" si="4609"/>
        <v>0</v>
      </c>
      <c r="AT69" s="40">
        <f t="shared" si="4609"/>
        <v>0</v>
      </c>
      <c r="AU69" s="40">
        <f t="shared" si="4609"/>
        <v>0</v>
      </c>
      <c r="AV69" s="40">
        <f t="shared" si="4609"/>
        <v>0</v>
      </c>
      <c r="AW69" s="40">
        <f t="shared" si="4609"/>
        <v>0</v>
      </c>
      <c r="AX69" s="40">
        <f t="shared" si="4609"/>
        <v>0</v>
      </c>
      <c r="AY69" s="40">
        <f t="shared" si="4609"/>
        <v>0</v>
      </c>
      <c r="AZ69" s="40">
        <f t="shared" si="4609"/>
        <v>0</v>
      </c>
      <c r="BA69" s="40">
        <f t="shared" si="4609"/>
        <v>0</v>
      </c>
      <c r="BB69" s="40">
        <f t="shared" si="4609"/>
        <v>0</v>
      </c>
      <c r="BC69" s="40">
        <f t="shared" si="4609"/>
        <v>0</v>
      </c>
      <c r="BD69" s="40">
        <f t="shared" si="4609"/>
        <v>0</v>
      </c>
      <c r="BE69" s="40">
        <f t="shared" si="4609"/>
        <v>0</v>
      </c>
      <c r="BF69" s="40">
        <f t="shared" si="4609"/>
        <v>0</v>
      </c>
      <c r="BG69" s="40">
        <f t="shared" si="4609"/>
        <v>0</v>
      </c>
      <c r="BH69" s="40">
        <f t="shared" si="4609"/>
        <v>0</v>
      </c>
      <c r="BI69" s="40">
        <f t="shared" si="4609"/>
        <v>0</v>
      </c>
      <c r="BJ69" s="40">
        <f t="shared" si="4609"/>
        <v>0</v>
      </c>
      <c r="BK69" s="40">
        <f t="shared" si="4609"/>
        <v>0</v>
      </c>
      <c r="BL69" s="40">
        <f t="shared" si="4609"/>
        <v>0</v>
      </c>
      <c r="BM69" s="40">
        <f t="shared" si="4609"/>
        <v>0</v>
      </c>
      <c r="BN69" s="40">
        <f t="shared" si="4609"/>
        <v>0</v>
      </c>
      <c r="BO69" s="40">
        <f t="shared" si="4609"/>
        <v>0</v>
      </c>
      <c r="BP69" s="40">
        <f t="shared" si="4609"/>
        <v>0</v>
      </c>
      <c r="BQ69" s="40">
        <f t="shared" si="4609"/>
        <v>0</v>
      </c>
      <c r="BR69" s="40">
        <f t="shared" si="4609"/>
        <v>0</v>
      </c>
      <c r="BS69" s="40">
        <f t="shared" si="4609"/>
        <v>0</v>
      </c>
      <c r="BT69" s="40">
        <f t="shared" si="4609"/>
        <v>0</v>
      </c>
      <c r="BU69" s="40">
        <f t="shared" si="4609"/>
        <v>0</v>
      </c>
      <c r="BV69" s="40">
        <f t="shared" si="4609"/>
        <v>0</v>
      </c>
      <c r="BW69" s="40">
        <f t="shared" ref="BW69:EH69" si="4610">MIN(MAX(0,BW67-BW68),$D$69*BW$65)</f>
        <v>0</v>
      </c>
      <c r="BX69" s="40">
        <f t="shared" si="4610"/>
        <v>0</v>
      </c>
      <c r="BY69" s="40">
        <f t="shared" si="4610"/>
        <v>0</v>
      </c>
      <c r="BZ69" s="40">
        <f t="shared" si="4610"/>
        <v>0</v>
      </c>
      <c r="CA69" s="40">
        <f t="shared" si="4610"/>
        <v>0</v>
      </c>
      <c r="CB69" s="40">
        <f t="shared" si="4610"/>
        <v>0</v>
      </c>
      <c r="CC69" s="40">
        <f t="shared" si="4610"/>
        <v>0</v>
      </c>
      <c r="CD69" s="40">
        <f t="shared" si="4610"/>
        <v>0</v>
      </c>
      <c r="CE69" s="40">
        <f t="shared" si="4610"/>
        <v>0</v>
      </c>
      <c r="CF69" s="40">
        <f t="shared" si="4610"/>
        <v>0</v>
      </c>
      <c r="CG69" s="40">
        <f t="shared" si="4610"/>
        <v>0</v>
      </c>
      <c r="CH69" s="40">
        <f t="shared" si="4610"/>
        <v>0</v>
      </c>
      <c r="CI69" s="40">
        <f t="shared" si="4610"/>
        <v>0</v>
      </c>
      <c r="CJ69" s="40">
        <f t="shared" si="4610"/>
        <v>0</v>
      </c>
      <c r="CK69" s="40">
        <f t="shared" si="4610"/>
        <v>0</v>
      </c>
      <c r="CL69" s="40">
        <f t="shared" si="4610"/>
        <v>0</v>
      </c>
      <c r="CM69" s="40">
        <f t="shared" si="4610"/>
        <v>0</v>
      </c>
      <c r="CN69" s="40">
        <f t="shared" si="4610"/>
        <v>0</v>
      </c>
      <c r="CO69" s="40">
        <f t="shared" si="4610"/>
        <v>0</v>
      </c>
      <c r="CP69" s="40">
        <f t="shared" si="4610"/>
        <v>0</v>
      </c>
      <c r="CQ69" s="40">
        <f t="shared" si="4610"/>
        <v>0</v>
      </c>
      <c r="CR69" s="40">
        <f t="shared" si="4610"/>
        <v>0</v>
      </c>
      <c r="CS69" s="40">
        <f t="shared" si="4610"/>
        <v>0</v>
      </c>
      <c r="CT69" s="40">
        <f t="shared" si="4610"/>
        <v>0</v>
      </c>
      <c r="CU69" s="40">
        <f t="shared" si="4610"/>
        <v>0</v>
      </c>
      <c r="CV69" s="40">
        <f t="shared" si="4610"/>
        <v>0</v>
      </c>
      <c r="CW69" s="40">
        <f t="shared" si="4610"/>
        <v>0</v>
      </c>
      <c r="CX69" s="40">
        <f t="shared" si="4610"/>
        <v>0</v>
      </c>
      <c r="CY69" s="40">
        <f t="shared" si="4610"/>
        <v>0</v>
      </c>
      <c r="CZ69" s="40">
        <f t="shared" si="4610"/>
        <v>0</v>
      </c>
      <c r="DA69" s="40">
        <f t="shared" si="4610"/>
        <v>0</v>
      </c>
      <c r="DB69" s="40">
        <f t="shared" si="4610"/>
        <v>0</v>
      </c>
      <c r="DC69" s="40">
        <f t="shared" si="4610"/>
        <v>0</v>
      </c>
      <c r="DD69" s="40">
        <f t="shared" si="4610"/>
        <v>0</v>
      </c>
      <c r="DE69" s="40">
        <f t="shared" si="4610"/>
        <v>0</v>
      </c>
      <c r="DF69" s="40">
        <f t="shared" si="4610"/>
        <v>0</v>
      </c>
      <c r="DG69" s="40">
        <f t="shared" si="4610"/>
        <v>0</v>
      </c>
      <c r="DH69" s="40">
        <f t="shared" si="4610"/>
        <v>0</v>
      </c>
      <c r="DI69" s="40">
        <f t="shared" si="4610"/>
        <v>0</v>
      </c>
      <c r="DJ69" s="40">
        <f t="shared" si="4610"/>
        <v>0</v>
      </c>
      <c r="DK69" s="40">
        <f t="shared" si="4610"/>
        <v>0</v>
      </c>
      <c r="DL69" s="40">
        <f t="shared" si="4610"/>
        <v>0</v>
      </c>
      <c r="DM69" s="40">
        <f t="shared" si="4610"/>
        <v>0</v>
      </c>
      <c r="DN69" s="40">
        <f t="shared" si="4610"/>
        <v>0</v>
      </c>
      <c r="DO69" s="40">
        <f t="shared" si="4610"/>
        <v>0</v>
      </c>
      <c r="DP69" s="40">
        <f t="shared" si="4610"/>
        <v>0</v>
      </c>
      <c r="DQ69" s="40">
        <f t="shared" si="4610"/>
        <v>0</v>
      </c>
      <c r="DR69" s="40">
        <f t="shared" si="4610"/>
        <v>0</v>
      </c>
      <c r="DS69" s="40">
        <f t="shared" si="4610"/>
        <v>0</v>
      </c>
      <c r="DT69" s="40">
        <f t="shared" si="4610"/>
        <v>0</v>
      </c>
      <c r="DU69" s="40">
        <f t="shared" si="4610"/>
        <v>0</v>
      </c>
      <c r="DV69" s="40">
        <f t="shared" si="4610"/>
        <v>0</v>
      </c>
      <c r="DW69" s="40">
        <f t="shared" si="4610"/>
        <v>0</v>
      </c>
      <c r="DX69" s="40">
        <f t="shared" si="4610"/>
        <v>0</v>
      </c>
      <c r="DY69" s="40">
        <f t="shared" si="4610"/>
        <v>0</v>
      </c>
      <c r="DZ69" s="40">
        <f t="shared" si="4610"/>
        <v>0</v>
      </c>
      <c r="EA69" s="40">
        <f t="shared" si="4610"/>
        <v>0</v>
      </c>
      <c r="EB69" s="40">
        <f t="shared" si="4610"/>
        <v>0</v>
      </c>
      <c r="EC69" s="40">
        <f t="shared" si="4610"/>
        <v>0</v>
      </c>
      <c r="ED69" s="40">
        <f t="shared" si="4610"/>
        <v>0</v>
      </c>
      <c r="EE69" s="40">
        <f t="shared" si="4610"/>
        <v>0</v>
      </c>
      <c r="EF69" s="40">
        <f t="shared" si="4610"/>
        <v>0</v>
      </c>
      <c r="EG69" s="40">
        <f t="shared" si="4610"/>
        <v>0</v>
      </c>
      <c r="EH69" s="40">
        <f t="shared" si="4610"/>
        <v>0</v>
      </c>
      <c r="EI69" s="40">
        <f t="shared" ref="EI69:GT69" si="4611">MIN(MAX(0,EI67-EI68),$D$69*EI$65)</f>
        <v>0</v>
      </c>
      <c r="EJ69" s="40">
        <f t="shared" si="4611"/>
        <v>0</v>
      </c>
      <c r="EK69" s="40">
        <f t="shared" si="4611"/>
        <v>0</v>
      </c>
      <c r="EL69" s="40">
        <f t="shared" si="4611"/>
        <v>0</v>
      </c>
      <c r="EM69" s="40">
        <f t="shared" si="4611"/>
        <v>0</v>
      </c>
      <c r="EN69" s="40">
        <f t="shared" si="4611"/>
        <v>0</v>
      </c>
      <c r="EO69" s="40">
        <f t="shared" si="4611"/>
        <v>0</v>
      </c>
      <c r="EP69" s="40">
        <f t="shared" si="4611"/>
        <v>0</v>
      </c>
      <c r="EQ69" s="40">
        <f t="shared" si="4611"/>
        <v>0</v>
      </c>
      <c r="ER69" s="40">
        <f t="shared" si="4611"/>
        <v>0</v>
      </c>
      <c r="ES69" s="40">
        <f t="shared" si="4611"/>
        <v>0</v>
      </c>
      <c r="ET69" s="40">
        <f t="shared" si="4611"/>
        <v>0</v>
      </c>
      <c r="EU69" s="40">
        <f t="shared" si="4611"/>
        <v>0</v>
      </c>
      <c r="EV69" s="40">
        <f t="shared" si="4611"/>
        <v>0</v>
      </c>
      <c r="EW69" s="40">
        <f t="shared" si="4611"/>
        <v>0</v>
      </c>
      <c r="EX69" s="40">
        <f t="shared" si="4611"/>
        <v>0</v>
      </c>
      <c r="EY69" s="40">
        <f t="shared" si="4611"/>
        <v>0</v>
      </c>
      <c r="EZ69" s="40">
        <f t="shared" si="4611"/>
        <v>0</v>
      </c>
      <c r="FA69" s="40">
        <f t="shared" si="4611"/>
        <v>0</v>
      </c>
      <c r="FB69" s="40">
        <f t="shared" si="4611"/>
        <v>0</v>
      </c>
      <c r="FC69" s="40">
        <f t="shared" si="4611"/>
        <v>0</v>
      </c>
      <c r="FD69" s="40">
        <f t="shared" si="4611"/>
        <v>0</v>
      </c>
      <c r="FE69" s="40">
        <f t="shared" si="4611"/>
        <v>0</v>
      </c>
      <c r="FF69" s="40">
        <f t="shared" si="4611"/>
        <v>0</v>
      </c>
      <c r="FG69" s="40">
        <f t="shared" si="4611"/>
        <v>0</v>
      </c>
      <c r="FH69" s="40">
        <f t="shared" si="4611"/>
        <v>0</v>
      </c>
      <c r="FI69" s="40">
        <f t="shared" si="4611"/>
        <v>0</v>
      </c>
      <c r="FJ69" s="40">
        <f t="shared" si="4611"/>
        <v>0</v>
      </c>
      <c r="FK69" s="40">
        <f t="shared" si="4611"/>
        <v>0</v>
      </c>
      <c r="FL69" s="40">
        <f t="shared" si="4611"/>
        <v>0</v>
      </c>
      <c r="FM69" s="40">
        <f t="shared" si="4611"/>
        <v>0</v>
      </c>
      <c r="FN69" s="40">
        <f t="shared" si="4611"/>
        <v>0</v>
      </c>
      <c r="FO69" s="40">
        <f t="shared" si="4611"/>
        <v>0</v>
      </c>
      <c r="FP69" s="40">
        <f t="shared" si="4611"/>
        <v>0</v>
      </c>
      <c r="FQ69" s="40">
        <f t="shared" si="4611"/>
        <v>0</v>
      </c>
      <c r="FR69" s="40">
        <f t="shared" si="4611"/>
        <v>0</v>
      </c>
      <c r="FS69" s="40">
        <f t="shared" si="4611"/>
        <v>0</v>
      </c>
      <c r="FT69" s="40">
        <f t="shared" si="4611"/>
        <v>0</v>
      </c>
      <c r="FU69" s="40">
        <f t="shared" si="4611"/>
        <v>0</v>
      </c>
      <c r="FV69" s="40">
        <f t="shared" si="4611"/>
        <v>0</v>
      </c>
      <c r="FW69" s="40">
        <f t="shared" si="4611"/>
        <v>0</v>
      </c>
      <c r="FX69" s="40">
        <f t="shared" si="4611"/>
        <v>0</v>
      </c>
      <c r="FY69" s="40">
        <f t="shared" si="4611"/>
        <v>0</v>
      </c>
      <c r="FZ69" s="40">
        <f t="shared" si="4611"/>
        <v>0</v>
      </c>
      <c r="GA69" s="40">
        <f t="shared" si="4611"/>
        <v>0</v>
      </c>
      <c r="GB69" s="40">
        <f t="shared" si="4611"/>
        <v>0</v>
      </c>
      <c r="GC69" s="40">
        <f t="shared" si="4611"/>
        <v>0</v>
      </c>
      <c r="GD69" s="40">
        <f t="shared" si="4611"/>
        <v>0</v>
      </c>
      <c r="GE69" s="40">
        <f t="shared" si="4611"/>
        <v>0</v>
      </c>
      <c r="GF69" s="40">
        <f t="shared" ca="1" si="4611"/>
        <v>0</v>
      </c>
      <c r="GG69" s="40">
        <f t="shared" ca="1" si="4611"/>
        <v>0</v>
      </c>
      <c r="GH69" s="40">
        <f t="shared" ca="1" si="4611"/>
        <v>0</v>
      </c>
      <c r="GI69" s="40">
        <f t="shared" ca="1" si="4611"/>
        <v>0</v>
      </c>
      <c r="GJ69" s="40">
        <f t="shared" ca="1" si="4611"/>
        <v>0</v>
      </c>
      <c r="GK69" s="40">
        <f t="shared" ca="1" si="4611"/>
        <v>0</v>
      </c>
      <c r="GL69" s="40">
        <f t="shared" ca="1" si="4611"/>
        <v>0</v>
      </c>
      <c r="GM69" s="40">
        <f t="shared" ca="1" si="4611"/>
        <v>0</v>
      </c>
      <c r="GN69" s="40">
        <f t="shared" ca="1" si="4611"/>
        <v>0</v>
      </c>
      <c r="GO69" s="40">
        <f t="shared" ca="1" si="4611"/>
        <v>0</v>
      </c>
      <c r="GP69" s="40">
        <f t="shared" ca="1" si="4611"/>
        <v>0</v>
      </c>
      <c r="GQ69" s="40">
        <f t="shared" ca="1" si="4611"/>
        <v>0</v>
      </c>
      <c r="GR69" s="40">
        <f t="shared" ca="1" si="4611"/>
        <v>0</v>
      </c>
      <c r="GS69" s="40">
        <f t="shared" ca="1" si="4611"/>
        <v>0</v>
      </c>
      <c r="GT69" s="40">
        <f t="shared" ca="1" si="4611"/>
        <v>0</v>
      </c>
      <c r="GU69" s="40">
        <f t="shared" ref="GU69:IN69" ca="1" si="4612">MIN(MAX(0,GU67-GU68),$D$69*GU$65)</f>
        <v>0</v>
      </c>
      <c r="GV69" s="40">
        <f t="shared" ca="1" si="4612"/>
        <v>0</v>
      </c>
      <c r="GW69" s="40">
        <f t="shared" ca="1" si="4612"/>
        <v>0</v>
      </c>
      <c r="GX69" s="40">
        <f t="shared" ca="1" si="4612"/>
        <v>0</v>
      </c>
      <c r="GY69" s="40">
        <f t="shared" ca="1" si="4612"/>
        <v>0</v>
      </c>
      <c r="GZ69" s="40">
        <f t="shared" ca="1" si="4612"/>
        <v>0</v>
      </c>
      <c r="HA69" s="40">
        <f t="shared" ca="1" si="4612"/>
        <v>0</v>
      </c>
      <c r="HB69" s="40">
        <f t="shared" ca="1" si="4612"/>
        <v>0</v>
      </c>
      <c r="HC69" s="40">
        <f t="shared" ca="1" si="4612"/>
        <v>0</v>
      </c>
      <c r="HD69" s="40">
        <f t="shared" ca="1" si="4612"/>
        <v>0</v>
      </c>
      <c r="HE69" s="40">
        <f t="shared" ca="1" si="4612"/>
        <v>0</v>
      </c>
      <c r="HF69" s="40">
        <f t="shared" ca="1" si="4612"/>
        <v>0</v>
      </c>
      <c r="HG69" s="40">
        <f t="shared" ca="1" si="4612"/>
        <v>0</v>
      </c>
      <c r="HH69" s="40">
        <f t="shared" ca="1" si="4612"/>
        <v>0</v>
      </c>
      <c r="HI69" s="40">
        <f t="shared" ca="1" si="4612"/>
        <v>0</v>
      </c>
      <c r="HJ69" s="40">
        <f t="shared" ca="1" si="4612"/>
        <v>0</v>
      </c>
      <c r="HK69" s="40">
        <f t="shared" ca="1" si="4612"/>
        <v>0</v>
      </c>
      <c r="HL69" s="40">
        <f t="shared" ca="1" si="4612"/>
        <v>0</v>
      </c>
      <c r="HM69" s="40">
        <f t="shared" ca="1" si="4612"/>
        <v>0</v>
      </c>
      <c r="HN69" s="40">
        <f t="shared" ca="1" si="4612"/>
        <v>0</v>
      </c>
      <c r="HO69" s="40">
        <f t="shared" ca="1" si="4612"/>
        <v>0</v>
      </c>
      <c r="HP69" s="40">
        <f t="shared" ca="1" si="4612"/>
        <v>0</v>
      </c>
      <c r="HQ69" s="40">
        <f t="shared" ca="1" si="4612"/>
        <v>0</v>
      </c>
      <c r="HR69" s="40">
        <f t="shared" ca="1" si="4612"/>
        <v>0</v>
      </c>
      <c r="HS69" s="40">
        <f t="shared" ca="1" si="4612"/>
        <v>0</v>
      </c>
      <c r="HT69" s="40">
        <f t="shared" ca="1" si="4612"/>
        <v>0</v>
      </c>
      <c r="HU69" s="40">
        <f t="shared" ca="1" si="4612"/>
        <v>0</v>
      </c>
      <c r="HV69" s="40">
        <f t="shared" ca="1" si="4612"/>
        <v>0</v>
      </c>
      <c r="HW69" s="40">
        <f t="shared" ca="1" si="4612"/>
        <v>0</v>
      </c>
      <c r="HX69" s="40">
        <f t="shared" ca="1" si="4612"/>
        <v>0</v>
      </c>
      <c r="HY69" s="40">
        <f t="shared" ca="1" si="4612"/>
        <v>0</v>
      </c>
      <c r="HZ69" s="40">
        <f t="shared" ca="1" si="4612"/>
        <v>0</v>
      </c>
      <c r="IA69" s="40">
        <f t="shared" ca="1" si="4612"/>
        <v>0</v>
      </c>
      <c r="IB69" s="40">
        <f t="shared" ca="1" si="4612"/>
        <v>0</v>
      </c>
      <c r="IC69" s="40">
        <f t="shared" ca="1" si="4612"/>
        <v>0</v>
      </c>
      <c r="ID69" s="40">
        <f t="shared" ca="1" si="4612"/>
        <v>0</v>
      </c>
      <c r="IE69" s="40">
        <f t="shared" ca="1" si="4612"/>
        <v>0</v>
      </c>
      <c r="IF69" s="40">
        <f t="shared" ca="1" si="4612"/>
        <v>0</v>
      </c>
      <c r="IG69" s="40">
        <f t="shared" ca="1" si="4612"/>
        <v>0</v>
      </c>
      <c r="IH69" s="40">
        <f t="shared" ca="1" si="4612"/>
        <v>0</v>
      </c>
      <c r="II69" s="40">
        <f t="shared" ca="1" si="4612"/>
        <v>0</v>
      </c>
      <c r="IJ69" s="40">
        <f t="shared" ca="1" si="4612"/>
        <v>0</v>
      </c>
      <c r="IK69" s="40">
        <f t="shared" ca="1" si="4612"/>
        <v>0</v>
      </c>
      <c r="IL69" s="40">
        <f t="shared" ca="1" si="4612"/>
        <v>0</v>
      </c>
      <c r="IM69" s="40">
        <f t="shared" ca="1" si="4612"/>
        <v>0</v>
      </c>
      <c r="IN69" s="40">
        <f t="shared" ca="1" si="4612"/>
        <v>0</v>
      </c>
      <c r="IO69" s="40">
        <f t="shared" ref="IO69:KZ69" ca="1" si="4613">MIN(MAX(0,IO67-IO68),$D$69*IO$65)</f>
        <v>0</v>
      </c>
      <c r="IP69" s="40">
        <f t="shared" ca="1" si="4613"/>
        <v>0</v>
      </c>
      <c r="IQ69" s="40">
        <f t="shared" ca="1" si="4613"/>
        <v>0</v>
      </c>
      <c r="IR69" s="40">
        <f t="shared" ca="1" si="4613"/>
        <v>0</v>
      </c>
      <c r="IS69" s="40">
        <f t="shared" ca="1" si="4613"/>
        <v>0</v>
      </c>
      <c r="IT69" s="40">
        <f t="shared" ca="1" si="4613"/>
        <v>0</v>
      </c>
      <c r="IU69" s="40">
        <f t="shared" ca="1" si="4613"/>
        <v>0</v>
      </c>
      <c r="IV69" s="40">
        <f t="shared" ca="1" si="4613"/>
        <v>0</v>
      </c>
      <c r="IW69" s="40">
        <f t="shared" ca="1" si="4613"/>
        <v>0</v>
      </c>
      <c r="IX69" s="40">
        <f t="shared" ca="1" si="4613"/>
        <v>0</v>
      </c>
      <c r="IY69" s="40">
        <f t="shared" ca="1" si="4613"/>
        <v>0</v>
      </c>
      <c r="IZ69" s="40">
        <f t="shared" ca="1" si="4613"/>
        <v>0</v>
      </c>
      <c r="JA69" s="40">
        <f t="shared" ca="1" si="4613"/>
        <v>0</v>
      </c>
      <c r="JB69" s="40">
        <f t="shared" ca="1" si="4613"/>
        <v>0</v>
      </c>
      <c r="JC69" s="40">
        <f t="shared" ca="1" si="4613"/>
        <v>0</v>
      </c>
      <c r="JD69" s="40">
        <f t="shared" ca="1" si="4613"/>
        <v>0</v>
      </c>
      <c r="JE69" s="40">
        <f t="shared" ca="1" si="4613"/>
        <v>0</v>
      </c>
      <c r="JF69" s="40">
        <f t="shared" ca="1" si="4613"/>
        <v>0</v>
      </c>
      <c r="JG69" s="40">
        <f t="shared" ca="1" si="4613"/>
        <v>0</v>
      </c>
      <c r="JH69" s="40">
        <f t="shared" ca="1" si="4613"/>
        <v>0</v>
      </c>
      <c r="JI69" s="40">
        <f t="shared" ca="1" si="4613"/>
        <v>0</v>
      </c>
      <c r="JJ69" s="40">
        <f t="shared" ca="1" si="4613"/>
        <v>0</v>
      </c>
      <c r="JK69" s="40">
        <f t="shared" ca="1" si="4613"/>
        <v>0</v>
      </c>
      <c r="JL69" s="40">
        <f t="shared" ca="1" si="4613"/>
        <v>0</v>
      </c>
      <c r="JM69" s="40">
        <f t="shared" ca="1" si="4613"/>
        <v>0</v>
      </c>
      <c r="JN69" s="40">
        <f t="shared" ca="1" si="4613"/>
        <v>0</v>
      </c>
      <c r="JO69" s="40">
        <f t="shared" ca="1" si="4613"/>
        <v>0</v>
      </c>
      <c r="JP69" s="40">
        <f t="shared" ca="1" si="4613"/>
        <v>0</v>
      </c>
      <c r="JQ69" s="40">
        <f t="shared" ca="1" si="4613"/>
        <v>0</v>
      </c>
      <c r="JR69" s="40">
        <f t="shared" ca="1" si="4613"/>
        <v>0</v>
      </c>
      <c r="JS69" s="40">
        <f t="shared" ca="1" si="4613"/>
        <v>0</v>
      </c>
      <c r="JT69" s="40">
        <f t="shared" ca="1" si="4613"/>
        <v>0</v>
      </c>
      <c r="JU69" s="40">
        <f t="shared" ca="1" si="4613"/>
        <v>0</v>
      </c>
      <c r="JV69" s="40">
        <f t="shared" ca="1" si="4613"/>
        <v>0</v>
      </c>
      <c r="JW69" s="40">
        <f t="shared" ca="1" si="4613"/>
        <v>0</v>
      </c>
      <c r="JX69" s="40">
        <f t="shared" ca="1" si="4613"/>
        <v>0</v>
      </c>
      <c r="JY69" s="40">
        <f t="shared" ca="1" si="4613"/>
        <v>0</v>
      </c>
      <c r="JZ69" s="40">
        <f t="shared" ca="1" si="4613"/>
        <v>0</v>
      </c>
      <c r="KA69" s="40">
        <f t="shared" ca="1" si="4613"/>
        <v>0</v>
      </c>
      <c r="KB69" s="40">
        <f t="shared" ca="1" si="4613"/>
        <v>0</v>
      </c>
      <c r="KC69" s="40">
        <f t="shared" ca="1" si="4613"/>
        <v>0</v>
      </c>
      <c r="KD69" s="40">
        <f t="shared" ca="1" si="4613"/>
        <v>0</v>
      </c>
      <c r="KE69" s="40">
        <f t="shared" ca="1" si="4613"/>
        <v>0</v>
      </c>
      <c r="KF69" s="40">
        <f t="shared" ca="1" si="4613"/>
        <v>0</v>
      </c>
      <c r="KG69" s="40">
        <f t="shared" ca="1" si="4613"/>
        <v>0</v>
      </c>
      <c r="KH69" s="40">
        <f t="shared" ca="1" si="4613"/>
        <v>0</v>
      </c>
      <c r="KI69" s="40">
        <f t="shared" ca="1" si="4613"/>
        <v>0</v>
      </c>
      <c r="KJ69" s="40">
        <f t="shared" ca="1" si="4613"/>
        <v>0</v>
      </c>
      <c r="KK69" s="40">
        <f t="shared" ca="1" si="4613"/>
        <v>0</v>
      </c>
      <c r="KL69" s="40">
        <f t="shared" ca="1" si="4613"/>
        <v>0</v>
      </c>
      <c r="KM69" s="40">
        <f t="shared" ca="1" si="4613"/>
        <v>0</v>
      </c>
      <c r="KN69" s="40">
        <f t="shared" ca="1" si="4613"/>
        <v>0</v>
      </c>
      <c r="KO69" s="40">
        <f t="shared" ca="1" si="4613"/>
        <v>0</v>
      </c>
      <c r="KP69" s="40">
        <f t="shared" ca="1" si="4613"/>
        <v>0</v>
      </c>
      <c r="KQ69" s="40">
        <f t="shared" ca="1" si="4613"/>
        <v>0</v>
      </c>
      <c r="KR69" s="40">
        <f t="shared" ca="1" si="4613"/>
        <v>0</v>
      </c>
      <c r="KS69" s="40">
        <f t="shared" ca="1" si="4613"/>
        <v>0</v>
      </c>
      <c r="KT69" s="40">
        <f t="shared" ca="1" si="4613"/>
        <v>0</v>
      </c>
      <c r="KU69" s="40">
        <f t="shared" ca="1" si="4613"/>
        <v>0</v>
      </c>
      <c r="KV69" s="40">
        <f t="shared" ca="1" si="4613"/>
        <v>0</v>
      </c>
      <c r="KW69" s="40">
        <f t="shared" ca="1" si="4613"/>
        <v>0</v>
      </c>
      <c r="KX69" s="40">
        <f t="shared" ca="1" si="4613"/>
        <v>0</v>
      </c>
      <c r="KY69" s="40">
        <f t="shared" ca="1" si="4613"/>
        <v>0</v>
      </c>
      <c r="KZ69" s="40">
        <f t="shared" ca="1" si="4613"/>
        <v>0</v>
      </c>
      <c r="LA69" s="40">
        <f t="shared" ref="LA69:ND69" ca="1" si="4614">MIN(MAX(0,LA67-LA68),$D$69*LA$65)</f>
        <v>0</v>
      </c>
      <c r="LB69" s="40">
        <f t="shared" ca="1" si="4614"/>
        <v>0</v>
      </c>
      <c r="LC69" s="40">
        <f t="shared" ca="1" si="4614"/>
        <v>0</v>
      </c>
      <c r="LD69" s="40">
        <f t="shared" ca="1" si="4614"/>
        <v>0</v>
      </c>
      <c r="LE69" s="40">
        <f t="shared" ca="1" si="4614"/>
        <v>0</v>
      </c>
      <c r="LF69" s="40">
        <f t="shared" ca="1" si="4614"/>
        <v>0</v>
      </c>
      <c r="LG69" s="40">
        <f t="shared" ca="1" si="4614"/>
        <v>0</v>
      </c>
      <c r="LH69" s="40">
        <f t="shared" ca="1" si="4614"/>
        <v>0</v>
      </c>
      <c r="LI69" s="40">
        <f t="shared" ca="1" si="4614"/>
        <v>0</v>
      </c>
      <c r="LJ69" s="40">
        <f t="shared" ca="1" si="4614"/>
        <v>0</v>
      </c>
      <c r="LK69" s="40">
        <f t="shared" ca="1" si="4614"/>
        <v>0</v>
      </c>
      <c r="LL69" s="40">
        <f t="shared" ca="1" si="4614"/>
        <v>0</v>
      </c>
      <c r="LM69" s="40">
        <f t="shared" ca="1" si="4614"/>
        <v>0</v>
      </c>
      <c r="LN69" s="40">
        <f t="shared" ca="1" si="4614"/>
        <v>0</v>
      </c>
      <c r="LO69" s="40">
        <f t="shared" ca="1" si="4614"/>
        <v>0</v>
      </c>
      <c r="LP69" s="40">
        <f t="shared" ca="1" si="4614"/>
        <v>0</v>
      </c>
      <c r="LQ69" s="40">
        <f t="shared" ca="1" si="4614"/>
        <v>0</v>
      </c>
      <c r="LR69" s="40">
        <f t="shared" ca="1" si="4614"/>
        <v>0</v>
      </c>
      <c r="LS69" s="40">
        <f t="shared" ca="1" si="4614"/>
        <v>0</v>
      </c>
      <c r="LT69" s="40">
        <f t="shared" ca="1" si="4614"/>
        <v>0</v>
      </c>
      <c r="LU69" s="40">
        <f t="shared" ca="1" si="4614"/>
        <v>0</v>
      </c>
      <c r="LV69" s="40">
        <f t="shared" ca="1" si="4614"/>
        <v>0</v>
      </c>
      <c r="LW69" s="40">
        <f t="shared" ca="1" si="4614"/>
        <v>0</v>
      </c>
      <c r="LX69" s="40">
        <f t="shared" ca="1" si="4614"/>
        <v>0</v>
      </c>
      <c r="LY69" s="40">
        <f t="shared" ca="1" si="4614"/>
        <v>0</v>
      </c>
      <c r="LZ69" s="40">
        <f t="shared" ca="1" si="4614"/>
        <v>0</v>
      </c>
      <c r="MA69" s="40">
        <f t="shared" ca="1" si="4614"/>
        <v>0</v>
      </c>
      <c r="MB69" s="40">
        <f t="shared" ca="1" si="4614"/>
        <v>0</v>
      </c>
      <c r="MC69" s="40">
        <f t="shared" ca="1" si="4614"/>
        <v>0</v>
      </c>
      <c r="MD69" s="40">
        <f t="shared" ca="1" si="4614"/>
        <v>0</v>
      </c>
      <c r="ME69" s="40">
        <f t="shared" ca="1" si="4614"/>
        <v>0</v>
      </c>
      <c r="MF69" s="40">
        <f t="shared" ca="1" si="4614"/>
        <v>0</v>
      </c>
      <c r="MG69" s="40">
        <f t="shared" ca="1" si="4614"/>
        <v>0</v>
      </c>
      <c r="MH69" s="40">
        <f t="shared" ca="1" si="4614"/>
        <v>0</v>
      </c>
      <c r="MI69" s="40">
        <f t="shared" ca="1" si="4614"/>
        <v>0</v>
      </c>
      <c r="MJ69" s="40">
        <f t="shared" ca="1" si="4614"/>
        <v>0</v>
      </c>
      <c r="MK69" s="40">
        <f t="shared" ca="1" si="4614"/>
        <v>0</v>
      </c>
      <c r="ML69" s="40">
        <f t="shared" ca="1" si="4614"/>
        <v>0</v>
      </c>
      <c r="MM69" s="40">
        <f t="shared" ca="1" si="4614"/>
        <v>0</v>
      </c>
      <c r="MN69" s="40">
        <f t="shared" ca="1" si="4614"/>
        <v>0</v>
      </c>
      <c r="MO69" s="40">
        <f t="shared" ca="1" si="4614"/>
        <v>0</v>
      </c>
      <c r="MP69" s="40">
        <f t="shared" ca="1" si="4614"/>
        <v>0</v>
      </c>
      <c r="MQ69" s="40">
        <f t="shared" ca="1" si="4614"/>
        <v>0</v>
      </c>
      <c r="MR69" s="40">
        <f t="shared" ca="1" si="4614"/>
        <v>0</v>
      </c>
      <c r="MS69" s="40">
        <f t="shared" ca="1" si="4614"/>
        <v>0</v>
      </c>
      <c r="MT69" s="40">
        <f t="shared" ca="1" si="4614"/>
        <v>0</v>
      </c>
      <c r="MU69" s="40">
        <f t="shared" ca="1" si="4614"/>
        <v>0</v>
      </c>
      <c r="MV69" s="40">
        <f t="shared" ca="1" si="4614"/>
        <v>0</v>
      </c>
      <c r="MW69" s="40">
        <f t="shared" ca="1" si="4614"/>
        <v>0</v>
      </c>
      <c r="MX69" s="40">
        <f t="shared" ca="1" si="4614"/>
        <v>0</v>
      </c>
      <c r="MY69" s="40">
        <f t="shared" ca="1" si="4614"/>
        <v>0</v>
      </c>
      <c r="MZ69" s="40">
        <f t="shared" ca="1" si="4614"/>
        <v>0</v>
      </c>
      <c r="NA69" s="40">
        <f t="shared" ca="1" si="4614"/>
        <v>0</v>
      </c>
      <c r="NB69" s="40">
        <f t="shared" ca="1" si="4614"/>
        <v>0</v>
      </c>
      <c r="NC69" s="40">
        <f t="shared" ca="1" si="4614"/>
        <v>0</v>
      </c>
      <c r="ND69" s="40">
        <f t="shared" ca="1" si="4614"/>
        <v>0</v>
      </c>
      <c r="NE69" s="40"/>
      <c r="NF69" s="40"/>
      <c r="NG69" s="40"/>
      <c r="NH69" s="40"/>
      <c r="NI69" s="40"/>
      <c r="NJ69" s="40"/>
      <c r="NK69" s="40"/>
      <c r="NL69" s="40"/>
      <c r="NM69" s="40"/>
      <c r="NN69" s="40"/>
      <c r="NO69" s="40"/>
      <c r="NP69" s="40"/>
      <c r="NQ69" s="40"/>
      <c r="NR69" s="40"/>
    </row>
    <row r="70" spans="2:382" x14ac:dyDescent="0.15">
      <c r="B70" s="519"/>
      <c r="C70" t="s">
        <v>172</v>
      </c>
      <c r="D70" s="5">
        <f>K6</f>
        <v>0</v>
      </c>
      <c r="G70" s="118"/>
      <c r="I70" s="40">
        <f>I69/$D$69*D70</f>
        <v>0</v>
      </c>
      <c r="J70" s="40">
        <f>J69/$D$69*E70</f>
        <v>0</v>
      </c>
      <c r="K70" s="40">
        <f>K69/$D$69*F70</f>
        <v>0</v>
      </c>
      <c r="L70" s="40">
        <f>L69/$D$69*G70</f>
        <v>0</v>
      </c>
      <c r="M70" s="40">
        <f t="shared" ref="M70:BV70" si="4615">M69/$D$69*I70</f>
        <v>0</v>
      </c>
      <c r="N70" s="40">
        <f t="shared" si="4615"/>
        <v>0</v>
      </c>
      <c r="O70" s="40">
        <f t="shared" si="4615"/>
        <v>0</v>
      </c>
      <c r="P70" s="40">
        <f t="shared" si="4615"/>
        <v>0</v>
      </c>
      <c r="Q70" s="40">
        <f t="shared" si="4615"/>
        <v>0</v>
      </c>
      <c r="R70" s="40">
        <f t="shared" si="4615"/>
        <v>0</v>
      </c>
      <c r="S70" s="40">
        <f t="shared" si="4615"/>
        <v>0</v>
      </c>
      <c r="T70" s="40">
        <f t="shared" si="4615"/>
        <v>0</v>
      </c>
      <c r="U70" s="40">
        <f t="shared" si="4615"/>
        <v>0</v>
      </c>
      <c r="V70" s="40">
        <f t="shared" si="4615"/>
        <v>0</v>
      </c>
      <c r="W70" s="40">
        <f t="shared" si="4615"/>
        <v>0</v>
      </c>
      <c r="X70" s="40">
        <f t="shared" si="4615"/>
        <v>0</v>
      </c>
      <c r="Y70" s="40">
        <f t="shared" si="4615"/>
        <v>0</v>
      </c>
      <c r="Z70" s="40">
        <f t="shared" si="4615"/>
        <v>0</v>
      </c>
      <c r="AA70" s="40">
        <f t="shared" si="4615"/>
        <v>0</v>
      </c>
      <c r="AB70" s="40">
        <f t="shared" si="4615"/>
        <v>0</v>
      </c>
      <c r="AC70" s="40">
        <f t="shared" si="4615"/>
        <v>0</v>
      </c>
      <c r="AD70" s="40">
        <f t="shared" si="4615"/>
        <v>0</v>
      </c>
      <c r="AE70" s="40">
        <f t="shared" si="4615"/>
        <v>0</v>
      </c>
      <c r="AF70" s="40">
        <f t="shared" si="4615"/>
        <v>0</v>
      </c>
      <c r="AG70" s="40">
        <f t="shared" si="4615"/>
        <v>0</v>
      </c>
      <c r="AH70" s="40">
        <f t="shared" si="4615"/>
        <v>0</v>
      </c>
      <c r="AI70" s="40">
        <f t="shared" si="4615"/>
        <v>0</v>
      </c>
      <c r="AJ70" s="40">
        <f t="shared" si="4615"/>
        <v>0</v>
      </c>
      <c r="AK70" s="40">
        <f t="shared" si="4615"/>
        <v>0</v>
      </c>
      <c r="AL70" s="40">
        <f t="shared" si="4615"/>
        <v>0</v>
      </c>
      <c r="AM70" s="40">
        <f t="shared" si="4615"/>
        <v>0</v>
      </c>
      <c r="AN70" s="40">
        <f t="shared" si="4615"/>
        <v>0</v>
      </c>
      <c r="AO70" s="40">
        <f t="shared" si="4615"/>
        <v>0</v>
      </c>
      <c r="AP70" s="40">
        <f t="shared" si="4615"/>
        <v>0</v>
      </c>
      <c r="AQ70" s="40">
        <f t="shared" si="4615"/>
        <v>0</v>
      </c>
      <c r="AR70" s="40">
        <f t="shared" si="4615"/>
        <v>0</v>
      </c>
      <c r="AS70" s="40">
        <f t="shared" si="4615"/>
        <v>0</v>
      </c>
      <c r="AT70" s="40">
        <f t="shared" si="4615"/>
        <v>0</v>
      </c>
      <c r="AU70" s="40">
        <f t="shared" si="4615"/>
        <v>0</v>
      </c>
      <c r="AV70" s="40">
        <f t="shared" si="4615"/>
        <v>0</v>
      </c>
      <c r="AW70" s="40">
        <f t="shared" si="4615"/>
        <v>0</v>
      </c>
      <c r="AX70" s="40">
        <f t="shared" si="4615"/>
        <v>0</v>
      </c>
      <c r="AY70" s="40">
        <f t="shared" si="4615"/>
        <v>0</v>
      </c>
      <c r="AZ70" s="40">
        <f t="shared" si="4615"/>
        <v>0</v>
      </c>
      <c r="BA70" s="40">
        <f t="shared" si="4615"/>
        <v>0</v>
      </c>
      <c r="BB70" s="40">
        <f t="shared" si="4615"/>
        <v>0</v>
      </c>
      <c r="BC70" s="40">
        <f t="shared" si="4615"/>
        <v>0</v>
      </c>
      <c r="BD70" s="40">
        <f t="shared" si="4615"/>
        <v>0</v>
      </c>
      <c r="BE70" s="40">
        <f t="shared" si="4615"/>
        <v>0</v>
      </c>
      <c r="BF70" s="40">
        <f t="shared" si="4615"/>
        <v>0</v>
      </c>
      <c r="BG70" s="40">
        <f t="shared" si="4615"/>
        <v>0</v>
      </c>
      <c r="BH70" s="40">
        <f t="shared" si="4615"/>
        <v>0</v>
      </c>
      <c r="BI70" s="40">
        <f t="shared" si="4615"/>
        <v>0</v>
      </c>
      <c r="BJ70" s="40">
        <f t="shared" si="4615"/>
        <v>0</v>
      </c>
      <c r="BK70" s="40">
        <f t="shared" si="4615"/>
        <v>0</v>
      </c>
      <c r="BL70" s="40">
        <f t="shared" si="4615"/>
        <v>0</v>
      </c>
      <c r="BM70" s="40">
        <f t="shared" si="4615"/>
        <v>0</v>
      </c>
      <c r="BN70" s="40">
        <f t="shared" si="4615"/>
        <v>0</v>
      </c>
      <c r="BO70" s="40">
        <f t="shared" si="4615"/>
        <v>0</v>
      </c>
      <c r="BP70" s="40">
        <f t="shared" si="4615"/>
        <v>0</v>
      </c>
      <c r="BQ70" s="40">
        <f t="shared" si="4615"/>
        <v>0</v>
      </c>
      <c r="BR70" s="40">
        <f t="shared" si="4615"/>
        <v>0</v>
      </c>
      <c r="BS70" s="40">
        <f t="shared" si="4615"/>
        <v>0</v>
      </c>
      <c r="BT70" s="40">
        <f t="shared" si="4615"/>
        <v>0</v>
      </c>
      <c r="BU70" s="40">
        <f t="shared" si="4615"/>
        <v>0</v>
      </c>
      <c r="BV70" s="40">
        <f t="shared" si="4615"/>
        <v>0</v>
      </c>
      <c r="BW70" s="40">
        <f t="shared" ref="BW70:EH70" si="4616">BW69/$D$69*BS70</f>
        <v>0</v>
      </c>
      <c r="BX70" s="40">
        <f t="shared" si="4616"/>
        <v>0</v>
      </c>
      <c r="BY70" s="40">
        <f t="shared" si="4616"/>
        <v>0</v>
      </c>
      <c r="BZ70" s="40">
        <f t="shared" si="4616"/>
        <v>0</v>
      </c>
      <c r="CA70" s="40">
        <f t="shared" si="4616"/>
        <v>0</v>
      </c>
      <c r="CB70" s="40">
        <f t="shared" si="4616"/>
        <v>0</v>
      </c>
      <c r="CC70" s="40">
        <f t="shared" si="4616"/>
        <v>0</v>
      </c>
      <c r="CD70" s="40">
        <f t="shared" si="4616"/>
        <v>0</v>
      </c>
      <c r="CE70" s="40">
        <f t="shared" si="4616"/>
        <v>0</v>
      </c>
      <c r="CF70" s="40">
        <f t="shared" si="4616"/>
        <v>0</v>
      </c>
      <c r="CG70" s="40">
        <f t="shared" si="4616"/>
        <v>0</v>
      </c>
      <c r="CH70" s="40">
        <f t="shared" si="4616"/>
        <v>0</v>
      </c>
      <c r="CI70" s="40">
        <f t="shared" si="4616"/>
        <v>0</v>
      </c>
      <c r="CJ70" s="40">
        <f t="shared" si="4616"/>
        <v>0</v>
      </c>
      <c r="CK70" s="40">
        <f t="shared" si="4616"/>
        <v>0</v>
      </c>
      <c r="CL70" s="40">
        <f t="shared" si="4616"/>
        <v>0</v>
      </c>
      <c r="CM70" s="40">
        <f t="shared" si="4616"/>
        <v>0</v>
      </c>
      <c r="CN70" s="40">
        <f t="shared" si="4616"/>
        <v>0</v>
      </c>
      <c r="CO70" s="40">
        <f t="shared" si="4616"/>
        <v>0</v>
      </c>
      <c r="CP70" s="40">
        <f t="shared" si="4616"/>
        <v>0</v>
      </c>
      <c r="CQ70" s="40">
        <f t="shared" si="4616"/>
        <v>0</v>
      </c>
      <c r="CR70" s="40">
        <f t="shared" si="4616"/>
        <v>0</v>
      </c>
      <c r="CS70" s="40">
        <f t="shared" si="4616"/>
        <v>0</v>
      </c>
      <c r="CT70" s="40">
        <f t="shared" si="4616"/>
        <v>0</v>
      </c>
      <c r="CU70" s="40">
        <f t="shared" si="4616"/>
        <v>0</v>
      </c>
      <c r="CV70" s="40">
        <f t="shared" si="4616"/>
        <v>0</v>
      </c>
      <c r="CW70" s="40">
        <f t="shared" si="4616"/>
        <v>0</v>
      </c>
      <c r="CX70" s="40">
        <f t="shared" si="4616"/>
        <v>0</v>
      </c>
      <c r="CY70" s="40">
        <f t="shared" si="4616"/>
        <v>0</v>
      </c>
      <c r="CZ70" s="40">
        <f t="shared" si="4616"/>
        <v>0</v>
      </c>
      <c r="DA70" s="40">
        <f t="shared" si="4616"/>
        <v>0</v>
      </c>
      <c r="DB70" s="40">
        <f t="shared" si="4616"/>
        <v>0</v>
      </c>
      <c r="DC70" s="40">
        <f t="shared" si="4616"/>
        <v>0</v>
      </c>
      <c r="DD70" s="40">
        <f t="shared" si="4616"/>
        <v>0</v>
      </c>
      <c r="DE70" s="40">
        <f t="shared" si="4616"/>
        <v>0</v>
      </c>
      <c r="DF70" s="40">
        <f t="shared" si="4616"/>
        <v>0</v>
      </c>
      <c r="DG70" s="40">
        <f t="shared" si="4616"/>
        <v>0</v>
      </c>
      <c r="DH70" s="40">
        <f t="shared" si="4616"/>
        <v>0</v>
      </c>
      <c r="DI70" s="40">
        <f t="shared" si="4616"/>
        <v>0</v>
      </c>
      <c r="DJ70" s="40">
        <f t="shared" si="4616"/>
        <v>0</v>
      </c>
      <c r="DK70" s="40">
        <f t="shared" si="4616"/>
        <v>0</v>
      </c>
      <c r="DL70" s="40">
        <f t="shared" si="4616"/>
        <v>0</v>
      </c>
      <c r="DM70" s="40">
        <f t="shared" si="4616"/>
        <v>0</v>
      </c>
      <c r="DN70" s="40">
        <f t="shared" si="4616"/>
        <v>0</v>
      </c>
      <c r="DO70" s="40">
        <f t="shared" si="4616"/>
        <v>0</v>
      </c>
      <c r="DP70" s="40">
        <f t="shared" si="4616"/>
        <v>0</v>
      </c>
      <c r="DQ70" s="40">
        <f t="shared" si="4616"/>
        <v>0</v>
      </c>
      <c r="DR70" s="40">
        <f t="shared" si="4616"/>
        <v>0</v>
      </c>
      <c r="DS70" s="40">
        <f t="shared" si="4616"/>
        <v>0</v>
      </c>
      <c r="DT70" s="40">
        <f t="shared" si="4616"/>
        <v>0</v>
      </c>
      <c r="DU70" s="40">
        <f t="shared" si="4616"/>
        <v>0</v>
      </c>
      <c r="DV70" s="40">
        <f t="shared" si="4616"/>
        <v>0</v>
      </c>
      <c r="DW70" s="40">
        <f t="shared" si="4616"/>
        <v>0</v>
      </c>
      <c r="DX70" s="40">
        <f t="shared" si="4616"/>
        <v>0</v>
      </c>
      <c r="DY70" s="40">
        <f t="shared" si="4616"/>
        <v>0</v>
      </c>
      <c r="DZ70" s="40">
        <f t="shared" si="4616"/>
        <v>0</v>
      </c>
      <c r="EA70" s="40">
        <f t="shared" si="4616"/>
        <v>0</v>
      </c>
      <c r="EB70" s="40">
        <f t="shared" si="4616"/>
        <v>0</v>
      </c>
      <c r="EC70" s="40">
        <f t="shared" si="4616"/>
        <v>0</v>
      </c>
      <c r="ED70" s="40">
        <f t="shared" si="4616"/>
        <v>0</v>
      </c>
      <c r="EE70" s="40">
        <f t="shared" si="4616"/>
        <v>0</v>
      </c>
      <c r="EF70" s="40">
        <f t="shared" si="4616"/>
        <v>0</v>
      </c>
      <c r="EG70" s="40">
        <f t="shared" si="4616"/>
        <v>0</v>
      </c>
      <c r="EH70" s="40">
        <f t="shared" si="4616"/>
        <v>0</v>
      </c>
      <c r="EI70" s="40">
        <f t="shared" ref="EI70:GT70" si="4617">EI69/$D$69*EE70</f>
        <v>0</v>
      </c>
      <c r="EJ70" s="40">
        <f t="shared" si="4617"/>
        <v>0</v>
      </c>
      <c r="EK70" s="40">
        <f t="shared" si="4617"/>
        <v>0</v>
      </c>
      <c r="EL70" s="40">
        <f t="shared" si="4617"/>
        <v>0</v>
      </c>
      <c r="EM70" s="40">
        <f t="shared" si="4617"/>
        <v>0</v>
      </c>
      <c r="EN70" s="40">
        <f t="shared" si="4617"/>
        <v>0</v>
      </c>
      <c r="EO70" s="40">
        <f t="shared" si="4617"/>
        <v>0</v>
      </c>
      <c r="EP70" s="40">
        <f t="shared" si="4617"/>
        <v>0</v>
      </c>
      <c r="EQ70" s="40">
        <f t="shared" si="4617"/>
        <v>0</v>
      </c>
      <c r="ER70" s="40">
        <f t="shared" si="4617"/>
        <v>0</v>
      </c>
      <c r="ES70" s="40">
        <f t="shared" si="4617"/>
        <v>0</v>
      </c>
      <c r="ET70" s="40">
        <f t="shared" si="4617"/>
        <v>0</v>
      </c>
      <c r="EU70" s="40">
        <f t="shared" si="4617"/>
        <v>0</v>
      </c>
      <c r="EV70" s="40">
        <f t="shared" si="4617"/>
        <v>0</v>
      </c>
      <c r="EW70" s="40">
        <f t="shared" si="4617"/>
        <v>0</v>
      </c>
      <c r="EX70" s="40">
        <f t="shared" si="4617"/>
        <v>0</v>
      </c>
      <c r="EY70" s="40">
        <f t="shared" si="4617"/>
        <v>0</v>
      </c>
      <c r="EZ70" s="40">
        <f t="shared" si="4617"/>
        <v>0</v>
      </c>
      <c r="FA70" s="40">
        <f t="shared" si="4617"/>
        <v>0</v>
      </c>
      <c r="FB70" s="40">
        <f t="shared" si="4617"/>
        <v>0</v>
      </c>
      <c r="FC70" s="40">
        <f t="shared" si="4617"/>
        <v>0</v>
      </c>
      <c r="FD70" s="40">
        <f t="shared" si="4617"/>
        <v>0</v>
      </c>
      <c r="FE70" s="40">
        <f t="shared" si="4617"/>
        <v>0</v>
      </c>
      <c r="FF70" s="40">
        <f t="shared" si="4617"/>
        <v>0</v>
      </c>
      <c r="FG70" s="40">
        <f t="shared" si="4617"/>
        <v>0</v>
      </c>
      <c r="FH70" s="40">
        <f t="shared" si="4617"/>
        <v>0</v>
      </c>
      <c r="FI70" s="40">
        <f t="shared" si="4617"/>
        <v>0</v>
      </c>
      <c r="FJ70" s="40">
        <f t="shared" si="4617"/>
        <v>0</v>
      </c>
      <c r="FK70" s="40">
        <f t="shared" si="4617"/>
        <v>0</v>
      </c>
      <c r="FL70" s="40">
        <f t="shared" si="4617"/>
        <v>0</v>
      </c>
      <c r="FM70" s="40">
        <f t="shared" si="4617"/>
        <v>0</v>
      </c>
      <c r="FN70" s="40">
        <f t="shared" si="4617"/>
        <v>0</v>
      </c>
      <c r="FO70" s="40">
        <f t="shared" si="4617"/>
        <v>0</v>
      </c>
      <c r="FP70" s="40">
        <f t="shared" si="4617"/>
        <v>0</v>
      </c>
      <c r="FQ70" s="40">
        <f t="shared" si="4617"/>
        <v>0</v>
      </c>
      <c r="FR70" s="40">
        <f t="shared" si="4617"/>
        <v>0</v>
      </c>
      <c r="FS70" s="40">
        <f t="shared" si="4617"/>
        <v>0</v>
      </c>
      <c r="FT70" s="40">
        <f t="shared" si="4617"/>
        <v>0</v>
      </c>
      <c r="FU70" s="40">
        <f t="shared" si="4617"/>
        <v>0</v>
      </c>
      <c r="FV70" s="40">
        <f t="shared" si="4617"/>
        <v>0</v>
      </c>
      <c r="FW70" s="40">
        <f t="shared" si="4617"/>
        <v>0</v>
      </c>
      <c r="FX70" s="40">
        <f t="shared" si="4617"/>
        <v>0</v>
      </c>
      <c r="FY70" s="40">
        <f t="shared" si="4617"/>
        <v>0</v>
      </c>
      <c r="FZ70" s="40">
        <f t="shared" si="4617"/>
        <v>0</v>
      </c>
      <c r="GA70" s="40">
        <f t="shared" si="4617"/>
        <v>0</v>
      </c>
      <c r="GB70" s="40">
        <f t="shared" si="4617"/>
        <v>0</v>
      </c>
      <c r="GC70" s="40">
        <f t="shared" si="4617"/>
        <v>0</v>
      </c>
      <c r="GD70" s="40">
        <f t="shared" si="4617"/>
        <v>0</v>
      </c>
      <c r="GE70" s="40">
        <f t="shared" si="4617"/>
        <v>0</v>
      </c>
      <c r="GF70" s="40">
        <f t="shared" ca="1" si="4617"/>
        <v>0</v>
      </c>
      <c r="GG70" s="40">
        <f t="shared" ca="1" si="4617"/>
        <v>0</v>
      </c>
      <c r="GH70" s="40">
        <f t="shared" ca="1" si="4617"/>
        <v>0</v>
      </c>
      <c r="GI70" s="40">
        <f t="shared" ca="1" si="4617"/>
        <v>0</v>
      </c>
      <c r="GJ70" s="40">
        <f t="shared" ca="1" si="4617"/>
        <v>0</v>
      </c>
      <c r="GK70" s="40">
        <f t="shared" ca="1" si="4617"/>
        <v>0</v>
      </c>
      <c r="GL70" s="40">
        <f t="shared" ca="1" si="4617"/>
        <v>0</v>
      </c>
      <c r="GM70" s="40">
        <f t="shared" ca="1" si="4617"/>
        <v>0</v>
      </c>
      <c r="GN70" s="40">
        <f t="shared" ca="1" si="4617"/>
        <v>0</v>
      </c>
      <c r="GO70" s="40">
        <f t="shared" ca="1" si="4617"/>
        <v>0</v>
      </c>
      <c r="GP70" s="40">
        <f t="shared" ca="1" si="4617"/>
        <v>0</v>
      </c>
      <c r="GQ70" s="40">
        <f t="shared" ca="1" si="4617"/>
        <v>0</v>
      </c>
      <c r="GR70" s="40">
        <f t="shared" ca="1" si="4617"/>
        <v>0</v>
      </c>
      <c r="GS70" s="40">
        <f t="shared" ca="1" si="4617"/>
        <v>0</v>
      </c>
      <c r="GT70" s="40">
        <f t="shared" ca="1" si="4617"/>
        <v>0</v>
      </c>
      <c r="GU70" s="40">
        <f t="shared" ref="GU70:IN70" ca="1" si="4618">GU69/$D$69*GQ70</f>
        <v>0</v>
      </c>
      <c r="GV70" s="40">
        <f t="shared" ca="1" si="4618"/>
        <v>0</v>
      </c>
      <c r="GW70" s="40">
        <f t="shared" ca="1" si="4618"/>
        <v>0</v>
      </c>
      <c r="GX70" s="40">
        <f t="shared" ca="1" si="4618"/>
        <v>0</v>
      </c>
      <c r="GY70" s="40">
        <f t="shared" ca="1" si="4618"/>
        <v>0</v>
      </c>
      <c r="GZ70" s="40">
        <f t="shared" ca="1" si="4618"/>
        <v>0</v>
      </c>
      <c r="HA70" s="40">
        <f t="shared" ca="1" si="4618"/>
        <v>0</v>
      </c>
      <c r="HB70" s="40">
        <f t="shared" ca="1" si="4618"/>
        <v>0</v>
      </c>
      <c r="HC70" s="40">
        <f t="shared" ca="1" si="4618"/>
        <v>0</v>
      </c>
      <c r="HD70" s="40">
        <f t="shared" ca="1" si="4618"/>
        <v>0</v>
      </c>
      <c r="HE70" s="40">
        <f t="shared" ca="1" si="4618"/>
        <v>0</v>
      </c>
      <c r="HF70" s="40">
        <f t="shared" ca="1" si="4618"/>
        <v>0</v>
      </c>
      <c r="HG70" s="40">
        <f t="shared" ca="1" si="4618"/>
        <v>0</v>
      </c>
      <c r="HH70" s="40">
        <f t="shared" ca="1" si="4618"/>
        <v>0</v>
      </c>
      <c r="HI70" s="40">
        <f t="shared" ca="1" si="4618"/>
        <v>0</v>
      </c>
      <c r="HJ70" s="40">
        <f t="shared" ca="1" si="4618"/>
        <v>0</v>
      </c>
      <c r="HK70" s="40">
        <f t="shared" ca="1" si="4618"/>
        <v>0</v>
      </c>
      <c r="HL70" s="40">
        <f t="shared" ca="1" si="4618"/>
        <v>0</v>
      </c>
      <c r="HM70" s="40">
        <f t="shared" ca="1" si="4618"/>
        <v>0</v>
      </c>
      <c r="HN70" s="40">
        <f t="shared" ca="1" si="4618"/>
        <v>0</v>
      </c>
      <c r="HO70" s="40">
        <f t="shared" ca="1" si="4618"/>
        <v>0</v>
      </c>
      <c r="HP70" s="40">
        <f t="shared" ca="1" si="4618"/>
        <v>0</v>
      </c>
      <c r="HQ70" s="40">
        <f t="shared" ca="1" si="4618"/>
        <v>0</v>
      </c>
      <c r="HR70" s="40">
        <f t="shared" ca="1" si="4618"/>
        <v>0</v>
      </c>
      <c r="HS70" s="40">
        <f t="shared" ca="1" si="4618"/>
        <v>0</v>
      </c>
      <c r="HT70" s="40">
        <f t="shared" ca="1" si="4618"/>
        <v>0</v>
      </c>
      <c r="HU70" s="40">
        <f t="shared" ca="1" si="4618"/>
        <v>0</v>
      </c>
      <c r="HV70" s="40">
        <f t="shared" ca="1" si="4618"/>
        <v>0</v>
      </c>
      <c r="HW70" s="40">
        <f t="shared" ca="1" si="4618"/>
        <v>0</v>
      </c>
      <c r="HX70" s="40">
        <f t="shared" ca="1" si="4618"/>
        <v>0</v>
      </c>
      <c r="HY70" s="40">
        <f t="shared" ca="1" si="4618"/>
        <v>0</v>
      </c>
      <c r="HZ70" s="40">
        <f t="shared" ca="1" si="4618"/>
        <v>0</v>
      </c>
      <c r="IA70" s="40">
        <f t="shared" ca="1" si="4618"/>
        <v>0</v>
      </c>
      <c r="IB70" s="40">
        <f t="shared" ca="1" si="4618"/>
        <v>0</v>
      </c>
      <c r="IC70" s="40">
        <f t="shared" ca="1" si="4618"/>
        <v>0</v>
      </c>
      <c r="ID70" s="40">
        <f t="shared" ca="1" si="4618"/>
        <v>0</v>
      </c>
      <c r="IE70" s="40">
        <f t="shared" ca="1" si="4618"/>
        <v>0</v>
      </c>
      <c r="IF70" s="40">
        <f t="shared" ca="1" si="4618"/>
        <v>0</v>
      </c>
      <c r="IG70" s="40">
        <f t="shared" ca="1" si="4618"/>
        <v>0</v>
      </c>
      <c r="IH70" s="40">
        <f t="shared" ca="1" si="4618"/>
        <v>0</v>
      </c>
      <c r="II70" s="40">
        <f t="shared" ca="1" si="4618"/>
        <v>0</v>
      </c>
      <c r="IJ70" s="40">
        <f t="shared" ca="1" si="4618"/>
        <v>0</v>
      </c>
      <c r="IK70" s="40">
        <f t="shared" ca="1" si="4618"/>
        <v>0</v>
      </c>
      <c r="IL70" s="40">
        <f t="shared" ca="1" si="4618"/>
        <v>0</v>
      </c>
      <c r="IM70" s="40">
        <f t="shared" ca="1" si="4618"/>
        <v>0</v>
      </c>
      <c r="IN70" s="40">
        <f t="shared" ca="1" si="4618"/>
        <v>0</v>
      </c>
      <c r="IO70" s="40">
        <f t="shared" ref="IO70" ca="1" si="4619">IO69/$D$69*IK70</f>
        <v>0</v>
      </c>
      <c r="IP70" s="40">
        <f t="shared" ref="IP70" ca="1" si="4620">IP69/$D$69*IL70</f>
        <v>0</v>
      </c>
      <c r="IQ70" s="40">
        <f t="shared" ref="IQ70" ca="1" si="4621">IQ69/$D$69*IM70</f>
        <v>0</v>
      </c>
      <c r="IR70" s="40">
        <f t="shared" ref="IR70" ca="1" si="4622">IR69/$D$69*IN70</f>
        <v>0</v>
      </c>
      <c r="IS70" s="40">
        <f t="shared" ref="IS70" ca="1" si="4623">IS69/$D$69*IO70</f>
        <v>0</v>
      </c>
      <c r="IT70" s="40">
        <f t="shared" ref="IT70" ca="1" si="4624">IT69/$D$69*IP70</f>
        <v>0</v>
      </c>
      <c r="IU70" s="40">
        <f t="shared" ref="IU70" ca="1" si="4625">IU69/$D$69*IQ70</f>
        <v>0</v>
      </c>
      <c r="IV70" s="40">
        <f t="shared" ref="IV70" ca="1" si="4626">IV69/$D$69*IR70</f>
        <v>0</v>
      </c>
      <c r="IW70" s="40">
        <f t="shared" ref="IW70" ca="1" si="4627">IW69/$D$69*IS70</f>
        <v>0</v>
      </c>
      <c r="IX70" s="40">
        <f t="shared" ref="IX70" ca="1" si="4628">IX69/$D$69*IT70</f>
        <v>0</v>
      </c>
      <c r="IY70" s="40">
        <f t="shared" ref="IY70" ca="1" si="4629">IY69/$D$69*IU70</f>
        <v>0</v>
      </c>
      <c r="IZ70" s="40">
        <f t="shared" ref="IZ70" ca="1" si="4630">IZ69/$D$69*IV70</f>
        <v>0</v>
      </c>
      <c r="JA70" s="40">
        <f t="shared" ref="JA70" ca="1" si="4631">JA69/$D$69*IW70</f>
        <v>0</v>
      </c>
      <c r="JB70" s="40">
        <f t="shared" ref="JB70" ca="1" si="4632">JB69/$D$69*IX70</f>
        <v>0</v>
      </c>
      <c r="JC70" s="40">
        <f t="shared" ref="JC70" ca="1" si="4633">JC69/$D$69*IY70</f>
        <v>0</v>
      </c>
      <c r="JD70" s="40">
        <f t="shared" ref="JD70" ca="1" si="4634">JD69/$D$69*IZ70</f>
        <v>0</v>
      </c>
      <c r="JE70" s="40">
        <f t="shared" ref="JE70" ca="1" si="4635">JE69/$D$69*JA70</f>
        <v>0</v>
      </c>
      <c r="JF70" s="40">
        <f t="shared" ref="JF70" ca="1" si="4636">JF69/$D$69*JB70</f>
        <v>0</v>
      </c>
      <c r="JG70" s="40">
        <f t="shared" ref="JG70" ca="1" si="4637">JG69/$D$69*JC70</f>
        <v>0</v>
      </c>
      <c r="JH70" s="40">
        <f t="shared" ref="JH70" ca="1" si="4638">JH69/$D$69*JD70</f>
        <v>0</v>
      </c>
      <c r="JI70" s="40">
        <f t="shared" ref="JI70" ca="1" si="4639">JI69/$D$69*JE70</f>
        <v>0</v>
      </c>
      <c r="JJ70" s="40">
        <f t="shared" ref="JJ70" ca="1" si="4640">JJ69/$D$69*JF70</f>
        <v>0</v>
      </c>
      <c r="JK70" s="40">
        <f t="shared" ref="JK70" ca="1" si="4641">JK69/$D$69*JG70</f>
        <v>0</v>
      </c>
      <c r="JL70" s="40">
        <f t="shared" ref="JL70" ca="1" si="4642">JL69/$D$69*JH70</f>
        <v>0</v>
      </c>
      <c r="JM70" s="40">
        <f t="shared" ref="JM70" ca="1" si="4643">JM69/$D$69*JI70</f>
        <v>0</v>
      </c>
      <c r="JN70" s="40">
        <f t="shared" ref="JN70" ca="1" si="4644">JN69/$D$69*JJ70</f>
        <v>0</v>
      </c>
      <c r="JO70" s="40">
        <f t="shared" ref="JO70" ca="1" si="4645">JO69/$D$69*JK70</f>
        <v>0</v>
      </c>
      <c r="JP70" s="40">
        <f t="shared" ref="JP70" ca="1" si="4646">JP69/$D$69*JL70</f>
        <v>0</v>
      </c>
      <c r="JQ70" s="40">
        <f t="shared" ref="JQ70" ca="1" si="4647">JQ69/$D$69*JM70</f>
        <v>0</v>
      </c>
      <c r="JR70" s="40">
        <f t="shared" ref="JR70" ca="1" si="4648">JR69/$D$69*JN70</f>
        <v>0</v>
      </c>
      <c r="JS70" s="40">
        <f t="shared" ref="JS70" ca="1" si="4649">JS69/$D$69*JO70</f>
        <v>0</v>
      </c>
      <c r="JT70" s="40">
        <f t="shared" ref="JT70" ca="1" si="4650">JT69/$D$69*JP70</f>
        <v>0</v>
      </c>
      <c r="JU70" s="40">
        <f t="shared" ref="JU70" ca="1" si="4651">JU69/$D$69*JQ70</f>
        <v>0</v>
      </c>
      <c r="JV70" s="40">
        <f t="shared" ref="JV70" ca="1" si="4652">JV69/$D$69*JR70</f>
        <v>0</v>
      </c>
      <c r="JW70" s="40">
        <f t="shared" ref="JW70" ca="1" si="4653">JW69/$D$69*JS70</f>
        <v>0</v>
      </c>
      <c r="JX70" s="40">
        <f t="shared" ref="JX70" ca="1" si="4654">JX69/$D$69*JT70</f>
        <v>0</v>
      </c>
      <c r="JY70" s="40">
        <f t="shared" ref="JY70" ca="1" si="4655">JY69/$D$69*JU70</f>
        <v>0</v>
      </c>
      <c r="JZ70" s="40">
        <f t="shared" ref="JZ70" ca="1" si="4656">JZ69/$D$69*JV70</f>
        <v>0</v>
      </c>
      <c r="KA70" s="40">
        <f t="shared" ref="KA70" ca="1" si="4657">KA69/$D$69*JW70</f>
        <v>0</v>
      </c>
      <c r="KB70" s="40">
        <f t="shared" ref="KB70" ca="1" si="4658">KB69/$D$69*JX70</f>
        <v>0</v>
      </c>
      <c r="KC70" s="40">
        <f t="shared" ref="KC70" ca="1" si="4659">KC69/$D$69*JY70</f>
        <v>0</v>
      </c>
      <c r="KD70" s="40">
        <f t="shared" ref="KD70" ca="1" si="4660">KD69/$D$69*JZ70</f>
        <v>0</v>
      </c>
      <c r="KE70" s="40">
        <f t="shared" ref="KE70" ca="1" si="4661">KE69/$D$69*KA70</f>
        <v>0</v>
      </c>
      <c r="KF70" s="40">
        <f t="shared" ref="KF70" ca="1" si="4662">KF69/$D$69*KB70</f>
        <v>0</v>
      </c>
      <c r="KG70" s="40">
        <f t="shared" ref="KG70" ca="1" si="4663">KG69/$D$69*KC70</f>
        <v>0</v>
      </c>
      <c r="KH70" s="40">
        <f t="shared" ref="KH70" ca="1" si="4664">KH69/$D$69*KD70</f>
        <v>0</v>
      </c>
      <c r="KI70" s="40">
        <f t="shared" ref="KI70" ca="1" si="4665">KI69/$D$69*KE70</f>
        <v>0</v>
      </c>
      <c r="KJ70" s="40">
        <f t="shared" ref="KJ70" ca="1" si="4666">KJ69/$D$69*KF70</f>
        <v>0</v>
      </c>
      <c r="KK70" s="40">
        <f t="shared" ref="KK70" ca="1" si="4667">KK69/$D$69*KG70</f>
        <v>0</v>
      </c>
      <c r="KL70" s="40">
        <f t="shared" ref="KL70" ca="1" si="4668">KL69/$D$69*KH70</f>
        <v>0</v>
      </c>
      <c r="KM70" s="40">
        <f t="shared" ref="KM70" ca="1" si="4669">KM69/$D$69*KI70</f>
        <v>0</v>
      </c>
      <c r="KN70" s="40">
        <f t="shared" ref="KN70" ca="1" si="4670">KN69/$D$69*KJ70</f>
        <v>0</v>
      </c>
      <c r="KO70" s="40">
        <f t="shared" ref="KO70" ca="1" si="4671">KO69/$D$69*KK70</f>
        <v>0</v>
      </c>
      <c r="KP70" s="40">
        <f t="shared" ref="KP70" ca="1" si="4672">KP69/$D$69*KL70</f>
        <v>0</v>
      </c>
      <c r="KQ70" s="40">
        <f t="shared" ref="KQ70" ca="1" si="4673">KQ69/$D$69*KM70</f>
        <v>0</v>
      </c>
      <c r="KR70" s="40">
        <f t="shared" ref="KR70" ca="1" si="4674">KR69/$D$69*KN70</f>
        <v>0</v>
      </c>
      <c r="KS70" s="40">
        <f t="shared" ref="KS70" ca="1" si="4675">KS69/$D$69*KO70</f>
        <v>0</v>
      </c>
      <c r="KT70" s="40">
        <f t="shared" ref="KT70" ca="1" si="4676">KT69/$D$69*KP70</f>
        <v>0</v>
      </c>
      <c r="KU70" s="40">
        <f t="shared" ref="KU70" ca="1" si="4677">KU69/$D$69*KQ70</f>
        <v>0</v>
      </c>
      <c r="KV70" s="40">
        <f t="shared" ref="KV70" ca="1" si="4678">KV69/$D$69*KR70</f>
        <v>0</v>
      </c>
      <c r="KW70" s="40">
        <f t="shared" ref="KW70" ca="1" si="4679">KW69/$D$69*KS70</f>
        <v>0</v>
      </c>
      <c r="KX70" s="40">
        <f t="shared" ref="KX70" ca="1" si="4680">KX69/$D$69*KT70</f>
        <v>0</v>
      </c>
      <c r="KY70" s="40">
        <f t="shared" ref="KY70" ca="1" si="4681">KY69/$D$69*KU70</f>
        <v>0</v>
      </c>
      <c r="KZ70" s="40">
        <f t="shared" ref="KZ70" ca="1" si="4682">KZ69/$D$69*KV70</f>
        <v>0</v>
      </c>
      <c r="LA70" s="40">
        <f t="shared" ref="LA70" ca="1" si="4683">LA69/$D$69*KW70</f>
        <v>0</v>
      </c>
      <c r="LB70" s="40">
        <f t="shared" ref="LB70" ca="1" si="4684">LB69/$D$69*KX70</f>
        <v>0</v>
      </c>
      <c r="LC70" s="40">
        <f t="shared" ref="LC70" ca="1" si="4685">LC69/$D$69*KY70</f>
        <v>0</v>
      </c>
      <c r="LD70" s="40">
        <f t="shared" ref="LD70" ca="1" si="4686">LD69/$D$69*KZ70</f>
        <v>0</v>
      </c>
      <c r="LE70" s="40">
        <f t="shared" ref="LE70" ca="1" si="4687">LE69/$D$69*LA70</f>
        <v>0</v>
      </c>
      <c r="LF70" s="40">
        <f t="shared" ref="LF70" ca="1" si="4688">LF69/$D$69*LB70</f>
        <v>0</v>
      </c>
      <c r="LG70" s="40">
        <f t="shared" ref="LG70" ca="1" si="4689">LG69/$D$69*LC70</f>
        <v>0</v>
      </c>
      <c r="LH70" s="40">
        <f t="shared" ref="LH70" ca="1" si="4690">LH69/$D$69*LD70</f>
        <v>0</v>
      </c>
      <c r="LI70" s="40">
        <f t="shared" ref="LI70" ca="1" si="4691">LI69/$D$69*LE70</f>
        <v>0</v>
      </c>
      <c r="LJ70" s="40">
        <f t="shared" ref="LJ70" ca="1" si="4692">LJ69/$D$69*LF70</f>
        <v>0</v>
      </c>
      <c r="LK70" s="40">
        <f t="shared" ref="LK70" ca="1" si="4693">LK69/$D$69*LG70</f>
        <v>0</v>
      </c>
      <c r="LL70" s="40">
        <f t="shared" ref="LL70" ca="1" si="4694">LL69/$D$69*LH70</f>
        <v>0</v>
      </c>
      <c r="LM70" s="40">
        <f t="shared" ref="LM70" ca="1" si="4695">LM69/$D$69*LI70</f>
        <v>0</v>
      </c>
      <c r="LN70" s="40">
        <f t="shared" ref="LN70" ca="1" si="4696">LN69/$D$69*LJ70</f>
        <v>0</v>
      </c>
      <c r="LO70" s="40">
        <f t="shared" ref="LO70" ca="1" si="4697">LO69/$D$69*LK70</f>
        <v>0</v>
      </c>
      <c r="LP70" s="40">
        <f t="shared" ref="LP70" ca="1" si="4698">LP69/$D$69*LL70</f>
        <v>0</v>
      </c>
      <c r="LQ70" s="40">
        <f t="shared" ref="LQ70" ca="1" si="4699">LQ69/$D$69*LM70</f>
        <v>0</v>
      </c>
      <c r="LR70" s="40">
        <f t="shared" ref="LR70" ca="1" si="4700">LR69/$D$69*LN70</f>
        <v>0</v>
      </c>
      <c r="LS70" s="40">
        <f t="shared" ref="LS70" ca="1" si="4701">LS69/$D$69*LO70</f>
        <v>0</v>
      </c>
      <c r="LT70" s="40">
        <f t="shared" ref="LT70" ca="1" si="4702">LT69/$D$69*LP70</f>
        <v>0</v>
      </c>
      <c r="LU70" s="40">
        <f t="shared" ref="LU70" ca="1" si="4703">LU69/$D$69*LQ70</f>
        <v>0</v>
      </c>
      <c r="LV70" s="40">
        <f t="shared" ref="LV70" ca="1" si="4704">LV69/$D$69*LR70</f>
        <v>0</v>
      </c>
      <c r="LW70" s="40">
        <f t="shared" ref="LW70" ca="1" si="4705">LW69/$D$69*LS70</f>
        <v>0</v>
      </c>
      <c r="LX70" s="40">
        <f t="shared" ref="LX70" ca="1" si="4706">LX69/$D$69*LT70</f>
        <v>0</v>
      </c>
      <c r="LY70" s="40">
        <f t="shared" ref="LY70" ca="1" si="4707">LY69/$D$69*LU70</f>
        <v>0</v>
      </c>
      <c r="LZ70" s="40">
        <f t="shared" ref="LZ70" ca="1" si="4708">LZ69/$D$69*LV70</f>
        <v>0</v>
      </c>
      <c r="MA70" s="40">
        <f t="shared" ref="MA70" ca="1" si="4709">MA69/$D$69*LW70</f>
        <v>0</v>
      </c>
      <c r="MB70" s="40">
        <f t="shared" ref="MB70" ca="1" si="4710">MB69/$D$69*LX70</f>
        <v>0</v>
      </c>
      <c r="MC70" s="40">
        <f t="shared" ref="MC70" ca="1" si="4711">MC69/$D$69*LY70</f>
        <v>0</v>
      </c>
      <c r="MD70" s="40">
        <f t="shared" ref="MD70" ca="1" si="4712">MD69/$D$69*LZ70</f>
        <v>0</v>
      </c>
      <c r="ME70" s="40">
        <f t="shared" ref="ME70" ca="1" si="4713">ME69/$D$69*MA70</f>
        <v>0</v>
      </c>
      <c r="MF70" s="40">
        <f t="shared" ref="MF70" ca="1" si="4714">MF69/$D$69*MB70</f>
        <v>0</v>
      </c>
      <c r="MG70" s="40">
        <f t="shared" ref="MG70" ca="1" si="4715">MG69/$D$69*MC70</f>
        <v>0</v>
      </c>
      <c r="MH70" s="40">
        <f t="shared" ref="MH70" ca="1" si="4716">MH69/$D$69*MD70</f>
        <v>0</v>
      </c>
      <c r="MI70" s="40">
        <f t="shared" ref="MI70" ca="1" si="4717">MI69/$D$69*ME70</f>
        <v>0</v>
      </c>
      <c r="MJ70" s="40">
        <f t="shared" ref="MJ70" ca="1" si="4718">MJ69/$D$69*MF70</f>
        <v>0</v>
      </c>
      <c r="MK70" s="40">
        <f t="shared" ref="MK70" ca="1" si="4719">MK69/$D$69*MG70</f>
        <v>0</v>
      </c>
      <c r="ML70" s="40">
        <f t="shared" ref="ML70" ca="1" si="4720">ML69/$D$69*MH70</f>
        <v>0</v>
      </c>
      <c r="MM70" s="40">
        <f t="shared" ref="MM70" ca="1" si="4721">MM69/$D$69*MI70</f>
        <v>0</v>
      </c>
      <c r="MN70" s="40">
        <f t="shared" ref="MN70" ca="1" si="4722">MN69/$D$69*MJ70</f>
        <v>0</v>
      </c>
      <c r="MO70" s="40">
        <f t="shared" ref="MO70" ca="1" si="4723">MO69/$D$69*MK70</f>
        <v>0</v>
      </c>
      <c r="MP70" s="40">
        <f t="shared" ref="MP70" ca="1" si="4724">MP69/$D$69*ML70</f>
        <v>0</v>
      </c>
      <c r="MQ70" s="40">
        <f t="shared" ref="MQ70" ca="1" si="4725">MQ69/$D$69*MM70</f>
        <v>0</v>
      </c>
      <c r="MR70" s="40">
        <f t="shared" ref="MR70" ca="1" si="4726">MR69/$D$69*MN70</f>
        <v>0</v>
      </c>
      <c r="MS70" s="40">
        <f t="shared" ref="MS70" ca="1" si="4727">MS69/$D$69*MO70</f>
        <v>0</v>
      </c>
      <c r="MT70" s="40">
        <f t="shared" ref="MT70" ca="1" si="4728">MT69/$D$69*MP70</f>
        <v>0</v>
      </c>
      <c r="MU70" s="40">
        <f t="shared" ref="MU70" ca="1" si="4729">MU69/$D$69*MQ70</f>
        <v>0</v>
      </c>
      <c r="MV70" s="40">
        <f t="shared" ref="MV70" ca="1" si="4730">MV69/$D$69*MR70</f>
        <v>0</v>
      </c>
      <c r="MW70" s="40">
        <f t="shared" ref="MW70" ca="1" si="4731">MW69/$D$69*MS70</f>
        <v>0</v>
      </c>
      <c r="MX70" s="40">
        <f t="shared" ref="MX70" ca="1" si="4732">MX69/$D$69*MT70</f>
        <v>0</v>
      </c>
      <c r="MY70" s="40">
        <f t="shared" ref="MY70" ca="1" si="4733">MY69/$D$69*MU70</f>
        <v>0</v>
      </c>
      <c r="MZ70" s="40">
        <f t="shared" ref="MZ70" ca="1" si="4734">MZ69/$D$69*MV70</f>
        <v>0</v>
      </c>
      <c r="NA70" s="40">
        <f t="shared" ref="NA70" ca="1" si="4735">NA69/$D$69*MW70</f>
        <v>0</v>
      </c>
      <c r="NB70" s="40">
        <f t="shared" ref="NB70" ca="1" si="4736">NB69/$D$69*MX70</f>
        <v>0</v>
      </c>
      <c r="NC70" s="40">
        <f t="shared" ref="NC70" ca="1" si="4737">NC69/$D$69*MY70</f>
        <v>0</v>
      </c>
      <c r="ND70" s="40">
        <f t="shared" ref="ND70" ca="1" si="4738">ND69/$D$69*MZ70</f>
        <v>0</v>
      </c>
      <c r="NE70" s="40"/>
      <c r="NF70" s="40"/>
      <c r="NG70" s="40"/>
      <c r="NH70" s="40"/>
      <c r="NI70" s="40"/>
      <c r="NJ70" s="40"/>
      <c r="NK70" s="40"/>
      <c r="NL70" s="40"/>
      <c r="NM70" s="40"/>
      <c r="NN70" s="40"/>
      <c r="NO70" s="40"/>
      <c r="NP70" s="40"/>
      <c r="NQ70" s="40"/>
      <c r="NR70" s="40"/>
    </row>
    <row r="71" spans="2:382" x14ac:dyDescent="0.15">
      <c r="B71" s="519"/>
      <c r="G71" s="118"/>
      <c r="I71" s="40"/>
      <c r="J71" s="40"/>
      <c r="K71" s="40"/>
      <c r="L71" s="40"/>
      <c r="M71" s="40"/>
      <c r="N71" s="40"/>
      <c r="O71" s="40"/>
      <c r="P71" s="40"/>
      <c r="Q71" s="40"/>
      <c r="R71" s="40"/>
      <c r="S71" s="40"/>
      <c r="T71" s="40"/>
      <c r="U71" s="40"/>
      <c r="V71" s="40"/>
      <c r="W71" s="40"/>
      <c r="X71" s="40"/>
      <c r="Y71" s="40"/>
      <c r="Z71" s="40"/>
      <c r="AA71" s="40"/>
      <c r="AB71" s="40"/>
      <c r="AC71" s="40"/>
      <c r="AD71" s="40"/>
      <c r="AE71" s="40"/>
      <c r="AF71" s="40"/>
      <c r="AG71" s="40"/>
      <c r="AH71" s="40"/>
      <c r="AI71" s="40"/>
      <c r="AJ71" s="40"/>
      <c r="AK71" s="40"/>
      <c r="AL71" s="40"/>
      <c r="AM71" s="40"/>
      <c r="AN71" s="40"/>
      <c r="AO71" s="40"/>
      <c r="AP71" s="40"/>
      <c r="AQ71" s="40"/>
      <c r="AR71" s="40"/>
      <c r="AS71" s="40"/>
      <c r="AT71" s="40"/>
      <c r="AU71" s="40"/>
      <c r="AV71" s="40"/>
      <c r="AW71" s="40"/>
      <c r="AX71" s="40"/>
      <c r="AY71" s="40"/>
      <c r="AZ71" s="40"/>
      <c r="BA71" s="40"/>
      <c r="BB71" s="40"/>
      <c r="BC71" s="40"/>
      <c r="BD71" s="40"/>
      <c r="BE71" s="40"/>
      <c r="BF71" s="40"/>
      <c r="BG71" s="40"/>
      <c r="BH71" s="40"/>
      <c r="BI71" s="40"/>
      <c r="BJ71" s="40"/>
      <c r="BK71" s="40"/>
      <c r="BL71" s="40"/>
      <c r="BM71" s="40"/>
      <c r="BN71" s="40"/>
      <c r="BO71" s="40"/>
      <c r="BP71" s="40"/>
      <c r="BQ71" s="40"/>
      <c r="BR71" s="40"/>
      <c r="BS71" s="40"/>
      <c r="BT71" s="40"/>
      <c r="BU71" s="40"/>
      <c r="BV71" s="40"/>
      <c r="BW71" s="40"/>
      <c r="BX71" s="40"/>
      <c r="BY71" s="40"/>
      <c r="BZ71" s="40"/>
      <c r="CA71" s="40"/>
      <c r="CB71" s="40"/>
      <c r="CC71" s="40"/>
      <c r="CD71" s="40"/>
      <c r="CE71" s="40"/>
      <c r="CF71" s="40"/>
      <c r="CG71" s="40"/>
      <c r="CH71" s="40"/>
      <c r="CI71" s="40"/>
      <c r="CJ71" s="40"/>
      <c r="CK71" s="40"/>
      <c r="CL71" s="40"/>
      <c r="CM71" s="40"/>
      <c r="CN71" s="40"/>
      <c r="CO71" s="40"/>
      <c r="CP71" s="40"/>
      <c r="CQ71" s="40"/>
      <c r="CR71" s="40"/>
      <c r="CS71" s="40"/>
      <c r="CT71" s="40"/>
      <c r="CU71" s="40"/>
      <c r="CV71" s="40"/>
      <c r="CW71" s="40"/>
      <c r="CX71" s="40"/>
      <c r="CY71" s="40"/>
      <c r="CZ71" s="40"/>
      <c r="DA71" s="40"/>
      <c r="DB71" s="40"/>
      <c r="DC71" s="40"/>
      <c r="DD71" s="40"/>
      <c r="DE71" s="40"/>
      <c r="DF71" s="40"/>
      <c r="DG71" s="40"/>
      <c r="DH71" s="40"/>
      <c r="DI71" s="40"/>
      <c r="DJ71" s="40"/>
      <c r="DK71" s="40"/>
      <c r="DL71" s="40"/>
      <c r="DM71" s="40"/>
      <c r="DN71" s="40"/>
      <c r="DO71" s="40"/>
      <c r="DP71" s="40"/>
      <c r="DQ71" s="40"/>
      <c r="DR71" s="40"/>
      <c r="DS71" s="40"/>
      <c r="DT71" s="40"/>
      <c r="DU71" s="40"/>
      <c r="DV71" s="40"/>
      <c r="DW71" s="40"/>
      <c r="DX71" s="40"/>
      <c r="DY71" s="40"/>
      <c r="DZ71" s="40"/>
      <c r="EA71" s="40"/>
      <c r="EB71" s="40"/>
      <c r="EC71" s="40"/>
      <c r="ED71" s="40"/>
      <c r="EE71" s="40"/>
      <c r="EF71" s="40"/>
      <c r="EG71" s="40"/>
      <c r="EH71" s="40"/>
      <c r="EI71" s="40"/>
      <c r="EJ71" s="40"/>
      <c r="EK71" s="40"/>
      <c r="EL71" s="40"/>
      <c r="EM71" s="40"/>
      <c r="EN71" s="40"/>
      <c r="EO71" s="40"/>
      <c r="EP71" s="40"/>
      <c r="EQ71" s="40"/>
      <c r="ER71" s="40"/>
      <c r="ES71" s="40"/>
      <c r="ET71" s="40"/>
      <c r="EU71" s="40"/>
      <c r="EV71" s="40"/>
      <c r="EW71" s="40"/>
      <c r="EX71" s="40"/>
      <c r="EY71" s="40"/>
      <c r="EZ71" s="40"/>
      <c r="FA71" s="40"/>
      <c r="FB71" s="40"/>
      <c r="FC71" s="40"/>
      <c r="FD71" s="40"/>
      <c r="FE71" s="40"/>
      <c r="FF71" s="40"/>
      <c r="FG71" s="40"/>
      <c r="FH71" s="40"/>
      <c r="FI71" s="40"/>
      <c r="FJ71" s="40"/>
      <c r="FK71" s="40"/>
      <c r="FL71" s="40"/>
      <c r="FM71" s="40"/>
      <c r="FN71" s="40"/>
      <c r="FO71" s="40"/>
      <c r="FP71" s="40"/>
      <c r="FQ71" s="40"/>
      <c r="FR71" s="40"/>
      <c r="FS71" s="40"/>
      <c r="FT71" s="40"/>
      <c r="FU71" s="40"/>
      <c r="FV71" s="40"/>
      <c r="FW71" s="40"/>
      <c r="FX71" s="40"/>
      <c r="FY71" s="40"/>
      <c r="FZ71" s="40"/>
      <c r="GA71" s="40"/>
      <c r="GB71" s="40"/>
      <c r="GC71" s="40"/>
      <c r="GD71" s="40"/>
      <c r="GE71" s="40"/>
      <c r="GF71" s="40"/>
      <c r="GG71" s="40"/>
      <c r="GH71" s="40"/>
      <c r="GI71" s="40"/>
      <c r="GJ71" s="40"/>
      <c r="GK71" s="40"/>
      <c r="GL71" s="40"/>
      <c r="GM71" s="40"/>
      <c r="GN71" s="40"/>
      <c r="GO71" s="40"/>
      <c r="GP71" s="40"/>
      <c r="GQ71" s="40"/>
      <c r="GR71" s="40"/>
      <c r="GS71" s="40"/>
      <c r="GT71" s="40"/>
      <c r="GU71" s="40"/>
      <c r="GV71" s="40"/>
      <c r="GW71" s="40"/>
      <c r="GX71" s="40"/>
      <c r="GY71" s="40"/>
      <c r="GZ71" s="40"/>
      <c r="HA71" s="40"/>
      <c r="HB71" s="40"/>
      <c r="HC71" s="40"/>
      <c r="HD71" s="40"/>
      <c r="HE71" s="40"/>
      <c r="HF71" s="40"/>
      <c r="HG71" s="40"/>
      <c r="HH71" s="40"/>
      <c r="HI71" s="40"/>
      <c r="HJ71" s="40"/>
      <c r="HK71" s="40"/>
      <c r="HL71" s="40"/>
      <c r="HM71" s="40"/>
      <c r="HN71" s="40"/>
      <c r="HO71" s="40"/>
      <c r="HP71" s="40"/>
      <c r="HQ71" s="40"/>
      <c r="HR71" s="40"/>
      <c r="HS71" s="40"/>
      <c r="HT71" s="40"/>
      <c r="HU71" s="40"/>
      <c r="HV71" s="40"/>
      <c r="HW71" s="40"/>
      <c r="HX71" s="40"/>
      <c r="HY71" s="40"/>
      <c r="HZ71" s="40"/>
      <c r="IA71" s="40"/>
      <c r="IB71" s="40"/>
      <c r="IC71" s="40"/>
      <c r="ID71" s="40"/>
      <c r="IE71" s="40"/>
      <c r="IF71" s="40"/>
      <c r="IG71" s="40"/>
      <c r="IH71" s="40"/>
      <c r="II71" s="40"/>
      <c r="IJ71" s="40"/>
      <c r="IK71" s="40"/>
      <c r="IL71" s="40"/>
      <c r="IM71" s="40"/>
      <c r="IN71" s="40"/>
      <c r="IO71" s="40"/>
      <c r="IP71" s="40"/>
      <c r="IQ71" s="40"/>
      <c r="IR71" s="40"/>
      <c r="IS71" s="40"/>
      <c r="IT71" s="40"/>
      <c r="IU71" s="40"/>
      <c r="IV71" s="40"/>
      <c r="IW71" s="40"/>
      <c r="IX71" s="40"/>
      <c r="IY71" s="40"/>
      <c r="IZ71" s="40"/>
      <c r="JA71" s="40"/>
      <c r="JB71" s="40"/>
      <c r="JC71" s="40"/>
      <c r="JD71" s="40"/>
      <c r="JE71" s="40"/>
      <c r="JF71" s="40"/>
      <c r="JG71" s="40"/>
      <c r="JH71" s="40"/>
      <c r="JI71" s="40"/>
      <c r="JJ71" s="40"/>
      <c r="JK71" s="40"/>
      <c r="JL71" s="40"/>
      <c r="JM71" s="40"/>
      <c r="JN71" s="40"/>
      <c r="JO71" s="40"/>
      <c r="JP71" s="40"/>
      <c r="JQ71" s="40"/>
      <c r="JR71" s="40"/>
      <c r="JS71" s="40"/>
      <c r="JT71" s="40"/>
      <c r="JU71" s="40"/>
      <c r="JV71" s="40"/>
      <c r="JW71" s="40"/>
      <c r="JX71" s="40"/>
      <c r="JY71" s="40"/>
      <c r="JZ71" s="40"/>
      <c r="KA71" s="40"/>
      <c r="KB71" s="40"/>
      <c r="KC71" s="40"/>
      <c r="KD71" s="40"/>
      <c r="KE71" s="40"/>
      <c r="KF71" s="40"/>
      <c r="KG71" s="40"/>
      <c r="KH71" s="40"/>
      <c r="KI71" s="40"/>
      <c r="KJ71" s="40"/>
      <c r="KK71" s="40"/>
      <c r="KL71" s="40"/>
      <c r="KM71" s="40"/>
      <c r="KN71" s="40"/>
      <c r="KO71" s="40"/>
      <c r="KP71" s="40"/>
      <c r="KQ71" s="40"/>
      <c r="KR71" s="40"/>
      <c r="KS71" s="40"/>
      <c r="KT71" s="40"/>
      <c r="KU71" s="40"/>
      <c r="KV71" s="40"/>
      <c r="KW71" s="40"/>
      <c r="KX71" s="40"/>
      <c r="KY71" s="40"/>
      <c r="KZ71" s="40"/>
      <c r="LA71" s="40"/>
      <c r="LB71" s="40"/>
      <c r="LC71" s="40"/>
      <c r="LD71" s="40"/>
      <c r="LE71" s="40"/>
      <c r="LF71" s="40"/>
      <c r="LG71" s="40"/>
      <c r="LH71" s="40"/>
      <c r="LI71" s="40"/>
      <c r="LJ71" s="40"/>
      <c r="LK71" s="40"/>
      <c r="LL71" s="40"/>
      <c r="LM71" s="40"/>
      <c r="LN71" s="40"/>
      <c r="LO71" s="40"/>
      <c r="LP71" s="40"/>
      <c r="LQ71" s="40"/>
      <c r="LR71" s="40"/>
      <c r="LS71" s="40"/>
      <c r="LT71" s="40"/>
      <c r="LU71" s="40"/>
      <c r="LV71" s="40"/>
      <c r="LW71" s="40"/>
      <c r="LX71" s="40"/>
      <c r="LY71" s="40"/>
      <c r="LZ71" s="40"/>
      <c r="MA71" s="40"/>
      <c r="MB71" s="40"/>
      <c r="MC71" s="40"/>
      <c r="MD71" s="40"/>
      <c r="ME71" s="40"/>
      <c r="MF71" s="40"/>
      <c r="MG71" s="40"/>
      <c r="MH71" s="40"/>
      <c r="MI71" s="40"/>
      <c r="MJ71" s="40"/>
      <c r="MK71" s="40"/>
      <c r="ML71" s="40"/>
      <c r="MM71" s="40"/>
      <c r="MN71" s="40"/>
      <c r="MO71" s="40"/>
      <c r="MP71" s="40"/>
      <c r="MQ71" s="40"/>
      <c r="MR71" s="40"/>
      <c r="MS71" s="40"/>
      <c r="MT71" s="40"/>
      <c r="MU71" s="40"/>
      <c r="MV71" s="40"/>
      <c r="MW71" s="40"/>
      <c r="MX71" s="40"/>
      <c r="MY71" s="40"/>
      <c r="MZ71" s="40"/>
      <c r="NA71" s="40"/>
      <c r="NB71" s="40"/>
      <c r="NC71" s="40"/>
      <c r="ND71" s="40"/>
      <c r="NE71" s="40"/>
      <c r="NF71" s="40"/>
      <c r="NG71" s="40"/>
      <c r="NH71" s="40"/>
      <c r="NI71" s="40"/>
      <c r="NJ71" s="40"/>
      <c r="NK71" s="40"/>
      <c r="NL71" s="40"/>
      <c r="NM71" s="40"/>
      <c r="NN71" s="40"/>
      <c r="NO71" s="40"/>
      <c r="NP71" s="40"/>
      <c r="NQ71" s="40"/>
      <c r="NR71" s="40"/>
    </row>
    <row r="72" spans="2:382" x14ac:dyDescent="0.15">
      <c r="B72" s="519"/>
      <c r="C72" t="s">
        <v>173</v>
      </c>
      <c r="D72" s="119">
        <f>K8</f>
        <v>0.11799999999999999</v>
      </c>
      <c r="G72" s="118"/>
      <c r="I72" s="40">
        <f>Total_Investment*(1+$D$72/12)</f>
        <v>2544460.8926666668</v>
      </c>
      <c r="J72" s="40">
        <f>MAX(0,(I72-I73-I74)*(1+$D$72/12))</f>
        <v>2676990.0093451263</v>
      </c>
      <c r="K72" s="40">
        <f t="shared" ref="K72:BV72" si="4739">MAX(0,(J72-J73-J74)*(1+$D$72/12))</f>
        <v>2810822.3290042575</v>
      </c>
      <c r="L72" s="40">
        <f t="shared" si="4739"/>
        <v>2945970.66647337</v>
      </c>
      <c r="M72" s="40">
        <f t="shared" si="4739"/>
        <v>2974939.3780270251</v>
      </c>
      <c r="N72" s="40">
        <f t="shared" si="4739"/>
        <v>3004192.9485776243</v>
      </c>
      <c r="O72" s="40">
        <f t="shared" si="4739"/>
        <v>3033734.1792386374</v>
      </c>
      <c r="P72" s="40">
        <f t="shared" si="4739"/>
        <v>3063565.8986678175</v>
      </c>
      <c r="Q72" s="40">
        <f t="shared" si="4739"/>
        <v>3093690.963338051</v>
      </c>
      <c r="R72" s="40">
        <f t="shared" si="4739"/>
        <v>3124112.2578108753</v>
      </c>
      <c r="S72" s="40">
        <f t="shared" si="4739"/>
        <v>3154832.6950126821</v>
      </c>
      <c r="T72" s="40">
        <f t="shared" si="4739"/>
        <v>3185855.2165136402</v>
      </c>
      <c r="U72" s="40">
        <f t="shared" si="4739"/>
        <v>3217182.7928093579</v>
      </c>
      <c r="V72" s="40">
        <f t="shared" si="4739"/>
        <v>3248818.4236053168</v>
      </c>
      <c r="W72" s="40">
        <f t="shared" si="4739"/>
        <v>3280765.1381041026</v>
      </c>
      <c r="X72" s="40">
        <f t="shared" si="4739"/>
        <v>3313025.9952954599</v>
      </c>
      <c r="Y72" s="40">
        <f t="shared" si="4739"/>
        <v>3345604.0842491984</v>
      </c>
      <c r="Z72" s="40">
        <f t="shared" si="4739"/>
        <v>3378502.5244109822</v>
      </c>
      <c r="AA72" s="40">
        <f t="shared" si="4739"/>
        <v>3411724.4659010237</v>
      </c>
      <c r="AB72" s="40">
        <f t="shared" si="4739"/>
        <v>3445273.0898157172</v>
      </c>
      <c r="AC72" s="40">
        <f t="shared" si="4739"/>
        <v>3479151.6085322383</v>
      </c>
      <c r="AD72" s="40">
        <f t="shared" si="4739"/>
        <v>3513363.2660161387</v>
      </c>
      <c r="AE72" s="40">
        <f t="shared" si="4739"/>
        <v>3547911.3381319642</v>
      </c>
      <c r="AF72" s="40">
        <f t="shared" si="4739"/>
        <v>3582799.1329569286</v>
      </c>
      <c r="AG72" s="40">
        <f t="shared" si="4739"/>
        <v>3618029.9910976719</v>
      </c>
      <c r="AH72" s="40">
        <f t="shared" si="4739"/>
        <v>3653607.2860101326</v>
      </c>
      <c r="AI72" s="40">
        <f t="shared" si="4739"/>
        <v>3689534.4243225656</v>
      </c>
      <c r="AJ72" s="40">
        <f t="shared" si="4739"/>
        <v>3725814.8461617376</v>
      </c>
      <c r="AK72" s="40">
        <f t="shared" si="4739"/>
        <v>3762452.0254823281</v>
      </c>
      <c r="AL72" s="40">
        <f t="shared" si="4739"/>
        <v>3799449.4703995711</v>
      </c>
      <c r="AM72" s="40">
        <f t="shared" si="4739"/>
        <v>3836810.723525167</v>
      </c>
      <c r="AN72" s="40">
        <f t="shared" si="4739"/>
        <v>3874539.362306498</v>
      </c>
      <c r="AO72" s="40">
        <f t="shared" si="4739"/>
        <v>3912638.9993691784</v>
      </c>
      <c r="AP72" s="40">
        <f t="shared" si="4739"/>
        <v>3951113.2828629753</v>
      </c>
      <c r="AQ72" s="40">
        <f t="shared" si="4739"/>
        <v>3989965.8968111281</v>
      </c>
      <c r="AR72" s="40">
        <f t="shared" si="4739"/>
        <v>4029200.5614631046</v>
      </c>
      <c r="AS72" s="40">
        <f t="shared" si="4739"/>
        <v>4068821.0336508253</v>
      </c>
      <c r="AT72" s="40">
        <f t="shared" si="4739"/>
        <v>4108458.3936737515</v>
      </c>
      <c r="AU72" s="40">
        <f t="shared" si="4739"/>
        <v>4148485.5210702363</v>
      </c>
      <c r="AV72" s="40">
        <f t="shared" si="4739"/>
        <v>4188906.2485527867</v>
      </c>
      <c r="AW72" s="40">
        <f t="shared" si="4739"/>
        <v>4229724.4465222489</v>
      </c>
      <c r="AX72" s="40">
        <f t="shared" si="4739"/>
        <v>4270944.0234384108</v>
      </c>
      <c r="AY72" s="40">
        <f t="shared" si="4739"/>
        <v>4312568.9261942487</v>
      </c>
      <c r="AZ72" s="40">
        <f t="shared" si="4739"/>
        <v>4354603.1404938521</v>
      </c>
      <c r="BA72" s="40">
        <f t="shared" si="4739"/>
        <v>4397050.6912340689</v>
      </c>
      <c r="BB72" s="40">
        <f t="shared" si="4739"/>
        <v>4439915.6428898973</v>
      </c>
      <c r="BC72" s="40">
        <f t="shared" si="4739"/>
        <v>4483202.0999036748</v>
      </c>
      <c r="BD72" s="40">
        <f t="shared" si="4739"/>
        <v>4526914.2070780881</v>
      </c>
      <c r="BE72" s="40">
        <f t="shared" si="4739"/>
        <v>4571056.1499730498</v>
      </c>
      <c r="BF72" s="40">
        <f t="shared" si="4739"/>
        <v>4614679.4139869576</v>
      </c>
      <c r="BG72" s="40">
        <f t="shared" si="4739"/>
        <v>4658731.6400970025</v>
      </c>
      <c r="BH72" s="40">
        <f t="shared" si="4739"/>
        <v>4703217.046430462</v>
      </c>
      <c r="BI72" s="40">
        <f t="shared" si="4739"/>
        <v>4748139.8925928678</v>
      </c>
      <c r="BJ72" s="40">
        <f t="shared" si="4739"/>
        <v>4793504.4800758706</v>
      </c>
      <c r="BK72" s="40">
        <f t="shared" si="4739"/>
        <v>4839315.1526691224</v>
      </c>
      <c r="BL72" s="40">
        <f t="shared" si="4739"/>
        <v>4885576.2968762079</v>
      </c>
      <c r="BM72" s="40">
        <f t="shared" si="4739"/>
        <v>4932292.3423346635</v>
      </c>
      <c r="BN72" s="40">
        <f t="shared" si="4739"/>
        <v>4979467.7622401267</v>
      </c>
      <c r="BO72" s="40">
        <f t="shared" si="4739"/>
        <v>5027107.0737746609</v>
      </c>
      <c r="BP72" s="40">
        <f t="shared" si="4739"/>
        <v>5075214.8385392847</v>
      </c>
      <c r="BQ72" s="40">
        <f t="shared" si="4739"/>
        <v>5123795.6629907601</v>
      </c>
      <c r="BR72" s="40">
        <f t="shared" si="4739"/>
        <v>5171871.5515300399</v>
      </c>
      <c r="BS72" s="40">
        <f t="shared" si="4739"/>
        <v>5220420.1863066219</v>
      </c>
      <c r="BT72" s="40">
        <f t="shared" si="4739"/>
        <v>5269446.2159918407</v>
      </c>
      <c r="BU72" s="40">
        <f t="shared" si="4739"/>
        <v>5318954.3349689646</v>
      </c>
      <c r="BV72" s="40">
        <f t="shared" si="4739"/>
        <v>5368949.2837826964</v>
      </c>
      <c r="BW72" s="40">
        <f t="shared" ref="BW72:EH72" si="4740">MAX(0,(BV72-BV73-BV74)*(1+$D$72/12))</f>
        <v>5419435.8495930964</v>
      </c>
      <c r="BX72" s="40">
        <f t="shared" si="4740"/>
        <v>5470418.8666339656</v>
      </c>
      <c r="BY72" s="40">
        <f t="shared" si="4740"/>
        <v>5521903.2166757369</v>
      </c>
      <c r="BZ72" s="40">
        <f t="shared" si="4740"/>
        <v>5573893.8294929191</v>
      </c>
      <c r="CA72" s="40">
        <f t="shared" si="4740"/>
        <v>5626395.6833361369</v>
      </c>
      <c r="CB72" s="40">
        <f t="shared" si="4740"/>
        <v>5679413.8054088131</v>
      </c>
      <c r="CC72" s="40">
        <f t="shared" si="4740"/>
        <v>5732953.2723485371</v>
      </c>
      <c r="CD72" s="40">
        <f t="shared" si="4740"/>
        <v>5786005.7318971679</v>
      </c>
      <c r="CE72" s="40">
        <f t="shared" si="4740"/>
        <v>5839579.8739646934</v>
      </c>
      <c r="CF72" s="40">
        <f t="shared" si="4740"/>
        <v>5893680.8284292165</v>
      </c>
      <c r="CG72" s="40">
        <f t="shared" si="4740"/>
        <v>5948313.7756126402</v>
      </c>
      <c r="CH72" s="40">
        <f t="shared" si="4740"/>
        <v>6003483.9467767011</v>
      </c>
      <c r="CI72" s="40">
        <f t="shared" si="4740"/>
        <v>6059196.6246238751</v>
      </c>
      <c r="CJ72" s="40">
        <f t="shared" si="4740"/>
        <v>6115457.1438032128</v>
      </c>
      <c r="CK72" s="40">
        <f t="shared" si="4740"/>
        <v>6172270.8914211476</v>
      </c>
      <c r="CL72" s="40">
        <f t="shared" si="4740"/>
        <v>6229643.3075573258</v>
      </c>
      <c r="CM72" s="40">
        <f t="shared" si="4740"/>
        <v>6287579.8857855098</v>
      </c>
      <c r="CN72" s="40">
        <f t="shared" si="4740"/>
        <v>6346086.1736996043</v>
      </c>
      <c r="CO72" s="40">
        <f t="shared" si="4740"/>
        <v>6405167.7734448537</v>
      </c>
      <c r="CP72" s="40">
        <f t="shared" si="4740"/>
        <v>6463785.0781724229</v>
      </c>
      <c r="CQ72" s="40">
        <f t="shared" si="4740"/>
        <v>6522978.7863964792</v>
      </c>
      <c r="CR72" s="40">
        <f t="shared" si="4740"/>
        <v>6582754.5660847388</v>
      </c>
      <c r="CS72" s="40">
        <f t="shared" si="4740"/>
        <v>6643118.1409399332</v>
      </c>
      <c r="CT72" s="40">
        <f t="shared" si="4740"/>
        <v>6704075.2909478704</v>
      </c>
      <c r="CU72" s="40">
        <f t="shared" si="4740"/>
        <v>6765631.8529308857</v>
      </c>
      <c r="CV72" s="40">
        <f t="shared" si="4740"/>
        <v>6827793.7211067341</v>
      </c>
      <c r="CW72" s="40">
        <f t="shared" si="4740"/>
        <v>6890566.8476529783</v>
      </c>
      <c r="CX72" s="40">
        <f t="shared" si="4740"/>
        <v>6953957.2432769267</v>
      </c>
      <c r="CY72" s="40">
        <f t="shared" si="4740"/>
        <v>7017970.9777911771</v>
      </c>
      <c r="CZ72" s="40">
        <f t="shared" si="4740"/>
        <v>7082614.1806948185</v>
      </c>
      <c r="DA72" s="40">
        <f t="shared" si="4740"/>
        <v>7147893.041760345</v>
      </c>
      <c r="DB72" s="40">
        <f t="shared" si="4740"/>
        <v>7212735.7792394999</v>
      </c>
      <c r="DC72" s="40">
        <f t="shared" si="4740"/>
        <v>7278216.1369705331</v>
      </c>
      <c r="DD72" s="40">
        <f t="shared" si="4740"/>
        <v>7344340.3848859211</v>
      </c>
      <c r="DE72" s="40">
        <f t="shared" si="4740"/>
        <v>7411114.8545724778</v>
      </c>
      <c r="DF72" s="40">
        <f t="shared" si="4740"/>
        <v>7478545.9398776181</v>
      </c>
      <c r="DG72" s="40">
        <f t="shared" si="4740"/>
        <v>7546640.0975215929</v>
      </c>
      <c r="DH72" s="40">
        <f t="shared" si="4740"/>
        <v>7615403.8477157336</v>
      </c>
      <c r="DI72" s="40">
        <f t="shared" si="4740"/>
        <v>7684843.7747867834</v>
      </c>
      <c r="DJ72" s="40">
        <f t="shared" si="4740"/>
        <v>7754966.5278073652</v>
      </c>
      <c r="DK72" s="40">
        <f t="shared" si="4740"/>
        <v>7825778.8212326486</v>
      </c>
      <c r="DL72" s="40">
        <f t="shared" si="4740"/>
        <v>7897287.435543281</v>
      </c>
      <c r="DM72" s="40">
        <f t="shared" si="4740"/>
        <v>7969499.2178946342</v>
      </c>
      <c r="DN72" s="40">
        <f t="shared" si="4740"/>
        <v>8041309.268914042</v>
      </c>
      <c r="DO72" s="40">
        <f t="shared" si="4740"/>
        <v>8113825.452101808</v>
      </c>
      <c r="DP72" s="40">
        <f t="shared" si="4740"/>
        <v>8187054.7110909196</v>
      </c>
      <c r="DQ72" s="40">
        <f t="shared" si="4740"/>
        <v>8261004.0577934245</v>
      </c>
      <c r="DR72" s="40">
        <f t="shared" si="4740"/>
        <v>8335680.5730718374</v>
      </c>
      <c r="DS72" s="40">
        <f t="shared" si="4740"/>
        <v>8411091.4074171539</v>
      </c>
      <c r="DT72" s="40">
        <f t="shared" si="4740"/>
        <v>8487243.7816335335</v>
      </c>
      <c r="DU72" s="40">
        <f t="shared" si="4740"/>
        <v>8564144.9875297081</v>
      </c>
      <c r="DV72" s="40">
        <f t="shared" si="4740"/>
        <v>8641802.3886171952</v>
      </c>
      <c r="DW72" s="40">
        <f t="shared" si="4740"/>
        <v>8720223.4208153747</v>
      </c>
      <c r="DX72" s="40">
        <f t="shared" si="4740"/>
        <v>8799415.5931635033</v>
      </c>
      <c r="DY72" s="40">
        <f t="shared" si="4740"/>
        <v>8879386.4885397218</v>
      </c>
      <c r="DZ72" s="40">
        <f t="shared" si="4740"/>
        <v>8958997.1248455569</v>
      </c>
      <c r="EA72" s="40">
        <f t="shared" si="4740"/>
        <v>9039390.5990750659</v>
      </c>
      <c r="EB72" s="40">
        <f t="shared" si="4740"/>
        <v>9120574.609134499</v>
      </c>
      <c r="EC72" s="40">
        <f t="shared" si="4740"/>
        <v>9202556.9286261834</v>
      </c>
      <c r="ED72" s="40">
        <f t="shared" si="4740"/>
        <v>9285345.4075928684</v>
      </c>
      <c r="EE72" s="40">
        <f t="shared" si="4740"/>
        <v>9368947.9732693937</v>
      </c>
      <c r="EF72" s="40">
        <f t="shared" si="4740"/>
        <v>9453372.6308417376</v>
      </c>
      <c r="EG72" s="40">
        <f t="shared" si="4740"/>
        <v>9538627.4642135426</v>
      </c>
      <c r="EH72" s="40">
        <f t="shared" si="4740"/>
        <v>9624720.6367801707</v>
      </c>
      <c r="EI72" s="40">
        <f t="shared" ref="EI72:GT72" si="4741">MAX(0,(EH72-EH73-EH74)*(1+$D$72/12))</f>
        <v>9711660.3922103699</v>
      </c>
      <c r="EJ72" s="40">
        <f t="shared" si="4741"/>
        <v>9799455.0552356336</v>
      </c>
      <c r="EK72" s="40">
        <f t="shared" si="4741"/>
        <v>9888113.032447312</v>
      </c>
      <c r="EL72" s="40">
        <f t="shared" si="4741"/>
        <v>9976460.2716745418</v>
      </c>
      <c r="EM72" s="40">
        <f t="shared" si="4741"/>
        <v>10065676.258754173</v>
      </c>
      <c r="EN72" s="40">
        <f t="shared" si="4741"/>
        <v>10155769.536373422</v>
      </c>
      <c r="EO72" s="40">
        <f t="shared" si="4741"/>
        <v>10246748.731222592</v>
      </c>
      <c r="EP72" s="40">
        <f t="shared" si="4741"/>
        <v>10338622.554821113</v>
      </c>
      <c r="EQ72" s="40">
        <f t="shared" si="4741"/>
        <v>10431399.804351686</v>
      </c>
      <c r="ER72" s="40">
        <f t="shared" si="4741"/>
        <v>10525089.363502642</v>
      </c>
      <c r="ES72" s="40">
        <f t="shared" si="4741"/>
        <v>10619700.203318583</v>
      </c>
      <c r="ET72" s="40">
        <f t="shared" si="4741"/>
        <v>10715241.383059381</v>
      </c>
      <c r="EU72" s="40">
        <f t="shared" si="4741"/>
        <v>10811722.05106763</v>
      </c>
      <c r="EV72" s="40">
        <f t="shared" si="4741"/>
        <v>10909151.445644626</v>
      </c>
      <c r="EW72" s="40">
        <f t="shared" si="4741"/>
        <v>11007538.895934964</v>
      </c>
      <c r="EX72" s="40">
        <f t="shared" si="4741"/>
        <v>11105674.270340212</v>
      </c>
      <c r="EY72" s="40">
        <f t="shared" si="4741"/>
        <v>11204774.642593779</v>
      </c>
      <c r="EZ72" s="40">
        <f t="shared" si="4741"/>
        <v>11304849.501841173</v>
      </c>
      <c r="FA72" s="40">
        <f t="shared" si="4741"/>
        <v>11405908.430537833</v>
      </c>
      <c r="FB72" s="40">
        <f t="shared" si="4741"/>
        <v>11507961.105366677</v>
      </c>
      <c r="FC72" s="40">
        <f t="shared" si="4741"/>
        <v>11611017.298164671</v>
      </c>
      <c r="FD72" s="40">
        <f t="shared" si="4741"/>
        <v>11715086.876858512</v>
      </c>
      <c r="FE72" s="40">
        <f t="shared" si="4741"/>
        <v>11820179.806409508</v>
      </c>
      <c r="FF72" s="40">
        <f t="shared" si="4741"/>
        <v>11926306.149767756</v>
      </c>
      <c r="FG72" s="40">
        <f t="shared" si="4741"/>
        <v>12033476.068835694</v>
      </c>
      <c r="FH72" s="40">
        <f t="shared" si="4741"/>
        <v>12141699.825441133</v>
      </c>
      <c r="FI72" s="40">
        <f t="shared" si="4741"/>
        <v>12250987.782319859</v>
      </c>
      <c r="FJ72" s="40">
        <f t="shared" si="4741"/>
        <v>12360092.697439931</v>
      </c>
      <c r="FK72" s="40">
        <f t="shared" si="4741"/>
        <v>12470270.477558685</v>
      </c>
      <c r="FL72" s="40">
        <f t="shared" si="4741"/>
        <v>12581531.672515273</v>
      </c>
      <c r="FM72" s="40">
        <f t="shared" si="4741"/>
        <v>12693886.935888935</v>
      </c>
      <c r="FN72" s="40">
        <f t="shared" si="4741"/>
        <v>12807347.026019104</v>
      </c>
      <c r="FO72" s="40">
        <f t="shared" si="4741"/>
        <v>12921922.807035552</v>
      </c>
      <c r="FP72" s="40">
        <f t="shared" si="4741"/>
        <v>13037625.249898663</v>
      </c>
      <c r="FQ72" s="40">
        <f t="shared" si="4741"/>
        <v>13154465.433449928</v>
      </c>
      <c r="FR72" s="40">
        <f t="shared" si="4741"/>
        <v>13272454.54547278</v>
      </c>
      <c r="FS72" s="40">
        <f t="shared" si="4741"/>
        <v>13391603.883763857</v>
      </c>
      <c r="FT72" s="40">
        <f t="shared" si="4741"/>
        <v>13511924.857214795</v>
      </c>
      <c r="FU72" s="40">
        <f t="shared" si="4741"/>
        <v>13633428.986904668</v>
      </c>
      <c r="FV72" s="40">
        <f t="shared" si="4741"/>
        <v>13754830.868208218</v>
      </c>
      <c r="FW72" s="40">
        <f t="shared" si="4741"/>
        <v>13877426.534677921</v>
      </c>
      <c r="FX72" s="40">
        <f t="shared" si="4741"/>
        <v>14001227.725201242</v>
      </c>
      <c r="FY72" s="40">
        <f t="shared" si="4741"/>
        <v>14126246.294098042</v>
      </c>
      <c r="FZ72" s="40">
        <f t="shared" si="4741"/>
        <v>14252494.21225566</v>
      </c>
      <c r="GA72" s="40">
        <f t="shared" si="4741"/>
        <v>14379983.568275163</v>
      </c>
      <c r="GB72" s="40">
        <f t="shared" si="4741"/>
        <v>14508726.569628857</v>
      </c>
      <c r="GC72" s="40">
        <f t="shared" si="4741"/>
        <v>14638735.543829195</v>
      </c>
      <c r="GD72" s="40">
        <f t="shared" si="4741"/>
        <v>14782683.110010182</v>
      </c>
      <c r="GE72" s="40">
        <f t="shared" si="4741"/>
        <v>14928046.160591949</v>
      </c>
      <c r="GF72" s="40">
        <f t="shared" si="4741"/>
        <v>15074838.614504436</v>
      </c>
      <c r="GG72" s="40">
        <f t="shared" ca="1" si="4741"/>
        <v>8014123.8549028682</v>
      </c>
      <c r="GH72" s="40">
        <f t="shared" ca="1" si="4741"/>
        <v>8092929.406142747</v>
      </c>
      <c r="GI72" s="40">
        <f t="shared" ca="1" si="4741"/>
        <v>8172509.878636484</v>
      </c>
      <c r="GJ72" s="40">
        <f t="shared" ca="1" si="4741"/>
        <v>8252872.8924430767</v>
      </c>
      <c r="GK72" s="40">
        <f t="shared" ca="1" si="4741"/>
        <v>8334026.1425521001</v>
      </c>
      <c r="GL72" s="40">
        <f t="shared" ca="1" si="4741"/>
        <v>8415977.3996205293</v>
      </c>
      <c r="GM72" s="40">
        <f t="shared" ca="1" si="4741"/>
        <v>8498734.5107167978</v>
      </c>
      <c r="GN72" s="40">
        <f t="shared" ca="1" si="4741"/>
        <v>8582305.4000721797</v>
      </c>
      <c r="GO72" s="40">
        <f t="shared" ca="1" si="4741"/>
        <v>8666698.0698395558</v>
      </c>
      <c r="GP72" s="40">
        <f t="shared" ca="1" si="4741"/>
        <v>8751920.6008596458</v>
      </c>
      <c r="GQ72" s="40">
        <f t="shared" ca="1" si="4741"/>
        <v>8837981.1534347665</v>
      </c>
      <c r="GR72" s="40">
        <f t="shared" ca="1" si="4741"/>
        <v>8924887.9681102093</v>
      </c>
      <c r="GS72" s="40">
        <f t="shared" ca="1" si="4741"/>
        <v>9012649.3664632924</v>
      </c>
      <c r="GT72" s="40">
        <f t="shared" ca="1" si="4741"/>
        <v>9101273.7519001812</v>
      </c>
      <c r="GU72" s="40">
        <f t="shared" ref="GU72:IN72" ca="1" si="4742">MAX(0,(GT72-GT73-GT74)*(1+$D$72/12))</f>
        <v>9190769.6104605328</v>
      </c>
      <c r="GV72" s="40">
        <f t="shared" ca="1" si="4742"/>
        <v>9281145.511630062</v>
      </c>
      <c r="GW72" s="40">
        <f t="shared" ca="1" si="4742"/>
        <v>9372410.109161092</v>
      </c>
      <c r="GX72" s="40">
        <f t="shared" ca="1" si="4742"/>
        <v>9464572.1419011764</v>
      </c>
      <c r="GY72" s="40">
        <f t="shared" ca="1" si="4742"/>
        <v>9557640.4346298724</v>
      </c>
      <c r="GZ72" s="40">
        <f t="shared" ca="1" si="4742"/>
        <v>9651623.8989037331</v>
      </c>
      <c r="HA72" s="40">
        <f t="shared" ca="1" si="4742"/>
        <v>9746531.5339096207</v>
      </c>
      <c r="HB72" s="40">
        <f t="shared" ca="1" si="4742"/>
        <v>9842372.4273263998</v>
      </c>
      <c r="HC72" s="40">
        <f t="shared" ca="1" si="4742"/>
        <v>9939155.7561951093</v>
      </c>
      <c r="HD72" s="40">
        <f t="shared" ca="1" si="4742"/>
        <v>10036890.787797695</v>
      </c>
      <c r="HE72" s="40">
        <f t="shared" ca="1" si="4742"/>
        <v>10135586.880544372</v>
      </c>
      <c r="HF72" s="40">
        <f t="shared" ca="1" si="4742"/>
        <v>10235253.484869726</v>
      </c>
      <c r="HG72" s="40">
        <f t="shared" ca="1" si="4742"/>
        <v>10335900.144137612</v>
      </c>
      <c r="HH72" s="40">
        <f t="shared" ca="1" si="4742"/>
        <v>10437536.495554965</v>
      </c>
      <c r="HI72" s="40">
        <f t="shared" ca="1" si="4742"/>
        <v>10540172.271094589</v>
      </c>
      <c r="HJ72" s="40">
        <f t="shared" ca="1" si="4742"/>
        <v>10643817.298427019</v>
      </c>
      <c r="HK72" s="40">
        <f t="shared" ca="1" si="4742"/>
        <v>10748481.501861552</v>
      </c>
      <c r="HL72" s="40">
        <f t="shared" ca="1" si="4742"/>
        <v>10854174.903296525</v>
      </c>
      <c r="HM72" s="40">
        <f t="shared" ca="1" si="4742"/>
        <v>10960907.62317894</v>
      </c>
      <c r="HN72" s="40">
        <f t="shared" ca="1" si="4742"/>
        <v>11068689.881473534</v>
      </c>
      <c r="HO72" s="40">
        <f t="shared" ca="1" si="4742"/>
        <v>11177531.998641357</v>
      </c>
      <c r="HP72" s="40">
        <f t="shared" ca="1" si="4742"/>
        <v>11287444.396627998</v>
      </c>
      <c r="HQ72" s="40">
        <f t="shared" ca="1" si="4742"/>
        <v>11398437.599861506</v>
      </c>
      <c r="HR72" s="40">
        <f t="shared" ca="1" si="4742"/>
        <v>11510522.236260144</v>
      </c>
      <c r="HS72" s="40">
        <f t="shared" ca="1" si="4742"/>
        <v>11623709.038250037</v>
      </c>
      <c r="HT72" s="40">
        <f t="shared" ca="1" si="4742"/>
        <v>11738008.84379283</v>
      </c>
      <c r="HU72" s="40">
        <f t="shared" ca="1" si="4742"/>
        <v>11853432.59742346</v>
      </c>
      <c r="HV72" s="40">
        <f t="shared" ca="1" si="4742"/>
        <v>11969991.351298125</v>
      </c>
      <c r="HW72" s="40">
        <f t="shared" ca="1" si="4742"/>
        <v>12087696.266252557</v>
      </c>
      <c r="HX72" s="40">
        <f t="shared" ca="1" si="4742"/>
        <v>12206558.612870708</v>
      </c>
      <c r="HY72" s="40">
        <f t="shared" ca="1" si="4742"/>
        <v>12326589.772563936</v>
      </c>
      <c r="HZ72" s="40">
        <f t="shared" ca="1" si="4742"/>
        <v>12447801.238660816</v>
      </c>
      <c r="IA72" s="40">
        <f t="shared" ca="1" si="4742"/>
        <v>12570204.617507648</v>
      </c>
      <c r="IB72" s="40">
        <f t="shared" ca="1" si="4742"/>
        <v>12693811.629579807</v>
      </c>
      <c r="IC72" s="40">
        <f t="shared" ca="1" si="4742"/>
        <v>12818634.110604009</v>
      </c>
      <c r="ID72" s="40">
        <f t="shared" ca="1" si="4742"/>
        <v>12944684.012691615</v>
      </c>
      <c r="IE72" s="40">
        <f t="shared" ca="1" si="4742"/>
        <v>13071973.405483084</v>
      </c>
      <c r="IF72" s="40">
        <f t="shared" ca="1" si="4742"/>
        <v>13200514.477303667</v>
      </c>
      <c r="IG72" s="40">
        <f t="shared" ca="1" si="4742"/>
        <v>13330319.536330488</v>
      </c>
      <c r="IH72" s="40">
        <f t="shared" ca="1" si="4742"/>
        <v>13461401.011771072</v>
      </c>
      <c r="II72" s="40">
        <f t="shared" ca="1" si="4742"/>
        <v>13593771.455053488</v>
      </c>
      <c r="IJ72" s="40">
        <f t="shared" ca="1" si="4742"/>
        <v>13727443.541028181</v>
      </c>
      <c r="IK72" s="40">
        <f t="shared" ca="1" si="4742"/>
        <v>13862430.069181625</v>
      </c>
      <c r="IL72" s="40">
        <f t="shared" ca="1" si="4742"/>
        <v>13998743.964861911</v>
      </c>
      <c r="IM72" s="40">
        <f t="shared" ca="1" si="4742"/>
        <v>14136398.280516386</v>
      </c>
      <c r="IN72" s="40">
        <f t="shared" ca="1" si="4742"/>
        <v>14275406.196941465</v>
      </c>
      <c r="IO72" s="40">
        <f t="shared" ref="IO72" ca="1" si="4743">MAX(0,(IN72-IN73-IN74)*(1+$D$72/12))</f>
        <v>14415781.024544723</v>
      </c>
      <c r="IP72" s="40">
        <f t="shared" ref="IP72" ca="1" si="4744">MAX(0,(IO72-IO73-IO74)*(1+$D$72/12))</f>
        <v>14557536.204619413</v>
      </c>
      <c r="IQ72" s="40">
        <f t="shared" ref="IQ72" ca="1" si="4745">MAX(0,(IP72-IP73-IP74)*(1+$D$72/12))</f>
        <v>14700685.310631504</v>
      </c>
      <c r="IR72" s="40">
        <f t="shared" ref="IR72" ca="1" si="4746">MAX(0,(IQ72-IQ73-IQ74)*(1+$D$72/12))</f>
        <v>14845242.049519381</v>
      </c>
      <c r="IS72" s="40">
        <f t="shared" ref="IS72" ca="1" si="4747">MAX(0,(IR72-IR73-IR74)*(1+$D$72/12))</f>
        <v>14991220.263006322</v>
      </c>
      <c r="IT72" s="40">
        <f t="shared" ref="IT72" ca="1" si="4748">MAX(0,(IS72-IS73-IS74)*(1+$D$72/12))</f>
        <v>15138633.928925885</v>
      </c>
      <c r="IU72" s="40">
        <f t="shared" ref="IU72" ca="1" si="4749">MAX(0,(IT72-IT73-IT74)*(1+$D$72/12))</f>
        <v>15287497.162560323</v>
      </c>
      <c r="IV72" s="40">
        <f t="shared" ref="IV72" ca="1" si="4750">MAX(0,(IU72-IU73-IU74)*(1+$D$72/12))</f>
        <v>15437824.217992166</v>
      </c>
      <c r="IW72" s="40">
        <f t="shared" ref="IW72" ca="1" si="4751">MAX(0,(IV72-IV73-IV74)*(1+$D$72/12))</f>
        <v>15589629.489469089</v>
      </c>
      <c r="IX72" s="40">
        <f t="shared" ref="IX72" ca="1" si="4752">MAX(0,(IW72-IW73-IW74)*(1+$D$72/12))</f>
        <v>15742927.512782201</v>
      </c>
      <c r="IY72" s="40">
        <f t="shared" ref="IY72" ca="1" si="4753">MAX(0,(IX72-IX73-IX74)*(1+$D$72/12))</f>
        <v>15897732.966657894</v>
      </c>
      <c r="IZ72" s="40">
        <f t="shared" ref="IZ72" ca="1" si="4754">MAX(0,(IY72-IY73-IY74)*(1+$D$72/12))</f>
        <v>16054060.674163364</v>
      </c>
      <c r="JA72" s="40">
        <f t="shared" ref="JA72" ca="1" si="4755">MAX(0,(IZ72-IZ73-IZ74)*(1+$D$72/12))</f>
        <v>16211925.604125971</v>
      </c>
      <c r="JB72" s="40">
        <f t="shared" ref="JB72" ca="1" si="4756">MAX(0,(JA72-JA73-JA74)*(1+$D$72/12))</f>
        <v>16371342.872566544</v>
      </c>
      <c r="JC72" s="40">
        <f t="shared" ref="JC72" ca="1" si="4757">MAX(0,(JB72-JB73-JB74)*(1+$D$72/12))</f>
        <v>16532327.744146781</v>
      </c>
      <c r="JD72" s="40">
        <f t="shared" ref="JD72" ca="1" si="4758">MAX(0,(JC72-JC73-JC74)*(1+$D$72/12))</f>
        <v>16694895.633630892</v>
      </c>
      <c r="JE72" s="40">
        <f t="shared" ref="JE72" ca="1" si="4759">MAX(0,(JD72-JD73-JD74)*(1+$D$72/12))</f>
        <v>16859062.107361596</v>
      </c>
      <c r="JF72" s="40">
        <f t="shared" ref="JF72" ca="1" si="4760">MAX(0,(JE72-JE73-JE74)*(1+$D$72/12))</f>
        <v>17024842.884750653</v>
      </c>
      <c r="JG72" s="40">
        <f t="shared" ref="JG72" ca="1" si="4761">MAX(0,(JF72-JF73-JF74)*(1+$D$72/12))</f>
        <v>17192253.839784034</v>
      </c>
      <c r="JH72" s="40">
        <f t="shared" ref="JH72" ca="1" si="4762">MAX(0,(JG72-JG73-JG74)*(1+$D$72/12))</f>
        <v>17361311.002541911</v>
      </c>
      <c r="JI72" s="40">
        <f t="shared" ref="JI72" ca="1" si="4763">MAX(0,(JH72-JH73-JH74)*(1+$D$72/12))</f>
        <v>17532030.560733572</v>
      </c>
      <c r="JJ72" s="40">
        <f t="shared" ref="JJ72" ca="1" si="4764">MAX(0,(JI72-JI73-JI74)*(1+$D$72/12))</f>
        <v>17704428.861247454</v>
      </c>
      <c r="JK72" s="40">
        <f t="shared" ref="JK72" ca="1" si="4765">MAX(0,(JJ72-JJ73-JJ74)*(1+$D$72/12))</f>
        <v>17878522.411716387</v>
      </c>
      <c r="JL72" s="40">
        <f t="shared" ref="JL72" ca="1" si="4766">MAX(0,(JK72-JK73-JK74)*(1+$D$72/12))</f>
        <v>18054327.882098265</v>
      </c>
      <c r="JM72" s="40">
        <f t="shared" ref="JM72" ca="1" si="4767">MAX(0,(JL72-JL73-JL74)*(1+$D$72/12))</f>
        <v>18231862.106272232</v>
      </c>
      <c r="JN72" s="40">
        <f t="shared" ref="JN72" ca="1" si="4768">MAX(0,(JM72-JM73-JM74)*(1+$D$72/12))</f>
        <v>18411142.083650574</v>
      </c>
      <c r="JO72" s="40">
        <f t="shared" ref="JO72" ca="1" si="4769">MAX(0,(JN72-JN73-JN74)*(1+$D$72/12))</f>
        <v>18592184.980806474</v>
      </c>
      <c r="JP72" s="40">
        <f t="shared" ref="JP72" ca="1" si="4770">MAX(0,(JO72-JO73-JO74)*(1+$D$72/12))</f>
        <v>18775008.133117739</v>
      </c>
      <c r="JQ72" s="40">
        <f t="shared" ref="JQ72" ca="1" si="4771">MAX(0,(JP72-JP73-JP74)*(1+$D$72/12))</f>
        <v>18959629.046426732</v>
      </c>
      <c r="JR72" s="40">
        <f t="shared" ref="JR72" ca="1" si="4772">MAX(0,(JQ72-JQ73-JQ74)*(1+$D$72/12))</f>
        <v>19146065.398716595</v>
      </c>
      <c r="JS72" s="40">
        <f t="shared" ref="JS72" ca="1" si="4773">MAX(0,(JR72-JR73-JR74)*(1+$D$72/12))</f>
        <v>19334335.041803975</v>
      </c>
      <c r="JT72" s="40">
        <f t="shared" ref="JT72" ca="1" si="4774">MAX(0,(JS72-JS73-JS74)*(1+$D$72/12))</f>
        <v>19524456.003048383</v>
      </c>
      <c r="JU72" s="40">
        <f t="shared" ref="JU72" ca="1" si="4775">MAX(0,(JT72-JT73-JT74)*(1+$D$72/12))</f>
        <v>19716446.487078357</v>
      </c>
      <c r="JV72" s="40">
        <f t="shared" ref="JV72" ca="1" si="4776">MAX(0,(JU72-JU73-JU74)*(1+$D$72/12))</f>
        <v>19910324.877534628</v>
      </c>
      <c r="JW72" s="40">
        <f t="shared" ref="JW72" ca="1" si="4777">MAX(0,(JV72-JV73-JV74)*(1+$D$72/12))</f>
        <v>20106109.738830384</v>
      </c>
      <c r="JX72" s="40">
        <f t="shared" ref="JX72" ca="1" si="4778">MAX(0,(JW72-JW73-JW74)*(1+$D$72/12))</f>
        <v>20303819.817928884</v>
      </c>
      <c r="JY72" s="40">
        <f t="shared" ref="JY72" ca="1" si="4779">MAX(0,(JX72-JX73-JX74)*(1+$D$72/12))</f>
        <v>20503474.046138518</v>
      </c>
      <c r="JZ72" s="40">
        <f t="shared" ref="JZ72" ca="1" si="4780">MAX(0,(JY72-JY73-JY74)*(1+$D$72/12))</f>
        <v>20705091.540925547</v>
      </c>
      <c r="KA72" s="40">
        <f t="shared" ref="KA72" ca="1" si="4781">MAX(0,(JZ72-JZ73-JZ74)*(1+$D$72/12))</f>
        <v>20908691.607744649</v>
      </c>
      <c r="KB72" s="40">
        <f t="shared" ref="KB72" ca="1" si="4782">MAX(0,(KA72-KA73-KA74)*(1+$D$72/12))</f>
        <v>21114293.741887473</v>
      </c>
      <c r="KC72" s="40">
        <f t="shared" ref="KC72" ca="1" si="4783">MAX(0,(KB72-KB73-KB74)*(1+$D$72/12))</f>
        <v>21321917.630349368</v>
      </c>
      <c r="KD72" s="40">
        <f t="shared" ref="KD72" ca="1" si="4784">MAX(0,(KC72-KC73-KC74)*(1+$D$72/12))</f>
        <v>21531583.153714471</v>
      </c>
      <c r="KE72" s="40">
        <f t="shared" ref="KE72" ca="1" si="4785">MAX(0,(KD72-KD73-KD74)*(1+$D$72/12))</f>
        <v>21743310.388059329</v>
      </c>
      <c r="KF72" s="40">
        <f t="shared" ref="KF72" ca="1" si="4786">MAX(0,(KE72-KE73-KE74)*(1+$D$72/12))</f>
        <v>21957119.606875248</v>
      </c>
      <c r="KG72" s="40">
        <f t="shared" ref="KG72" ca="1" si="4787">MAX(0,(KF72-KF73-KF74)*(1+$D$72/12))</f>
        <v>22173031.283009522</v>
      </c>
      <c r="KH72" s="40">
        <f t="shared" ref="KH72" ca="1" si="4788">MAX(0,(KG72-KG73-KG74)*(1+$D$72/12))</f>
        <v>22391066.090625782</v>
      </c>
      <c r="KI72" s="40">
        <f t="shared" ref="KI72" ca="1" si="4789">MAX(0,(KH72-KH73-KH74)*(1+$D$72/12))</f>
        <v>22611244.907183602</v>
      </c>
      <c r="KJ72" s="40">
        <f t="shared" ref="KJ72" ca="1" si="4790">MAX(0,(KI72-KI73-KI74)*(1+$D$72/12))</f>
        <v>22833588.815437574</v>
      </c>
      <c r="KK72" s="40">
        <f t="shared" ref="KK72" ca="1" si="4791">MAX(0,(KJ72-KJ73-KJ74)*(1+$D$72/12))</f>
        <v>23058119.105456043</v>
      </c>
      <c r="KL72" s="40">
        <f t="shared" ref="KL72" ca="1" si="4792">MAX(0,(KK72-KK73-KK74)*(1+$D$72/12))</f>
        <v>23284857.276659694</v>
      </c>
      <c r="KM72" s="40">
        <f t="shared" ref="KM72" ca="1" si="4793">MAX(0,(KL72-KL73-KL74)*(1+$D$72/12))</f>
        <v>23513825.039880183</v>
      </c>
      <c r="KN72" s="40">
        <f t="shared" ref="KN72" ca="1" si="4794">MAX(0,(KM72-KM73-KM74)*(1+$D$72/12))</f>
        <v>23745044.319439005</v>
      </c>
      <c r="KO72" s="40">
        <f t="shared" ref="KO72" ca="1" si="4795">MAX(0,(KN72-KN73-KN74)*(1+$D$72/12))</f>
        <v>23978537.255246822</v>
      </c>
      <c r="KP72" s="40">
        <f t="shared" ref="KP72" ca="1" si="4796">MAX(0,(KO72-KO73-KO74)*(1+$D$72/12))</f>
        <v>24214326.204923417</v>
      </c>
      <c r="KQ72" s="40">
        <f t="shared" ref="KQ72" ca="1" si="4797">MAX(0,(KP72-KP73-KP74)*(1+$D$72/12))</f>
        <v>24452433.745938499</v>
      </c>
      <c r="KR72" s="40">
        <f t="shared" ref="KR72" ca="1" si="4798">MAX(0,(KQ72-KQ73-KQ74)*(1+$D$72/12))</f>
        <v>24692882.677773561</v>
      </c>
      <c r="KS72" s="40">
        <f t="shared" ref="KS72" ca="1" si="4799">MAX(0,(KR72-KR73-KR74)*(1+$D$72/12))</f>
        <v>24935696.024105001</v>
      </c>
      <c r="KT72" s="40">
        <f t="shared" ref="KT72" ca="1" si="4800">MAX(0,(KS72-KS73-KS74)*(1+$D$72/12))</f>
        <v>25180897.035008702</v>
      </c>
      <c r="KU72" s="40">
        <f t="shared" ref="KU72" ca="1" si="4801">MAX(0,(KT72-KT73-KT74)*(1+$D$72/12))</f>
        <v>25428509.18918629</v>
      </c>
      <c r="KV72" s="40">
        <f t="shared" ref="KV72" ca="1" si="4802">MAX(0,(KU72-KU73-KU74)*(1+$D$72/12))</f>
        <v>25678556.19621329</v>
      </c>
      <c r="KW72" s="40">
        <f t="shared" ref="KW72" ca="1" si="4803">MAX(0,(KV72-KV73-KV74)*(1+$D$72/12))</f>
        <v>25931061.99880939</v>
      </c>
      <c r="KX72" s="40">
        <f t="shared" ref="KX72" ca="1" si="4804">MAX(0,(KW72-KW73-KW74)*(1+$D$72/12))</f>
        <v>26186050.775131017</v>
      </c>
      <c r="KY72" s="40">
        <f t="shared" ref="KY72" ca="1" si="4805">MAX(0,(KX72-KX73-KX74)*(1+$D$72/12))</f>
        <v>26443546.941086471</v>
      </c>
      <c r="KZ72" s="40">
        <f t="shared" ref="KZ72" ca="1" si="4806">MAX(0,(KY72-KY73-KY74)*(1+$D$72/12))</f>
        <v>26703575.152673822</v>
      </c>
      <c r="LA72" s="40">
        <f t="shared" ref="LA72" ca="1" si="4807">MAX(0,(KZ72-KZ73-KZ74)*(1+$D$72/12))</f>
        <v>26966160.308341783</v>
      </c>
      <c r="LB72" s="40">
        <f t="shared" ref="LB72" ca="1" si="4808">MAX(0,(LA72-LA73-LA74)*(1+$D$72/12))</f>
        <v>27231327.55137381</v>
      </c>
      <c r="LC72" s="40">
        <f t="shared" ref="LC72" ca="1" si="4809">MAX(0,(LB72-LB73-LB74)*(1+$D$72/12))</f>
        <v>27499102.272295654</v>
      </c>
      <c r="LD72" s="40">
        <f t="shared" ref="LD72" ca="1" si="4810">MAX(0,(LC72-LC73-LC74)*(1+$D$72/12))</f>
        <v>27769510.111306563</v>
      </c>
      <c r="LE72" s="40">
        <f t="shared" ref="LE72" ca="1" si="4811">MAX(0,(LD72-LD73-LD74)*(1+$D$72/12))</f>
        <v>28042576.960734412</v>
      </c>
      <c r="LF72" s="40">
        <f t="shared" ref="LF72" ca="1" si="4812">MAX(0,(LE72-LE73-LE74)*(1+$D$72/12))</f>
        <v>28318328.967514969</v>
      </c>
      <c r="LG72" s="40">
        <f t="shared" ref="LG72" ca="1" si="4813">MAX(0,(LF72-LF73-LF74)*(1+$D$72/12))</f>
        <v>28596792.535695534</v>
      </c>
      <c r="LH72" s="40">
        <f t="shared" ref="LH72" ca="1" si="4814">MAX(0,(LG72-LG73-LG74)*(1+$D$72/12))</f>
        <v>28877994.328963209</v>
      </c>
      <c r="LI72" s="40">
        <f t="shared" ref="LI72" ca="1" si="4815">MAX(0,(LH72-LH73-LH74)*(1+$D$72/12))</f>
        <v>29161961.273198016</v>
      </c>
      <c r="LJ72" s="40">
        <f t="shared" ref="LJ72" ca="1" si="4816">MAX(0,(LI72-LI73-LI74)*(1+$D$72/12))</f>
        <v>29448720.55905113</v>
      </c>
      <c r="LK72" s="40">
        <f t="shared" ref="LK72" ca="1" si="4817">MAX(0,(LJ72-LJ73-LJ74)*(1+$D$72/12))</f>
        <v>29738299.644548468</v>
      </c>
      <c r="LL72" s="40">
        <f t="shared" ref="LL72" ca="1" si="4818">MAX(0,(LK72-LK73-LK74)*(1+$D$72/12))</f>
        <v>30030726.257719863</v>
      </c>
      <c r="LM72" s="40">
        <f t="shared" ref="LM72" ca="1" si="4819">MAX(0,(LL72-LL73-LL74)*(1+$D$72/12))</f>
        <v>30326028.39925411</v>
      </c>
      <c r="LN72" s="40">
        <f t="shared" ref="LN72" ca="1" si="4820">MAX(0,(LM72-LM73-LM74)*(1+$D$72/12))</f>
        <v>30624234.345180109</v>
      </c>
      <c r="LO72" s="40">
        <f t="shared" ref="LO72" ca="1" si="4821">MAX(0,(LN72-LN73-LN74)*(1+$D$72/12))</f>
        <v>30925372.64957438</v>
      </c>
      <c r="LP72" s="40">
        <f t="shared" ref="LP72" ca="1" si="4822">MAX(0,(LO72-LO73-LO74)*(1+$D$72/12))</f>
        <v>31229472.147295196</v>
      </c>
      <c r="LQ72" s="40">
        <f t="shared" ref="LQ72" ca="1" si="4823">MAX(0,(LP72-LP73-LP74)*(1+$D$72/12))</f>
        <v>31536561.956743598</v>
      </c>
      <c r="LR72" s="40">
        <f t="shared" ref="LR72" ca="1" si="4824">MAX(0,(LQ72-LQ73-LQ74)*(1+$D$72/12))</f>
        <v>31846671.482651576</v>
      </c>
      <c r="LS72" s="40">
        <f t="shared" ref="LS72" ca="1" si="4825">MAX(0,(LR72-LR73-LR74)*(1+$D$72/12))</f>
        <v>32159830.418897651</v>
      </c>
      <c r="LT72" s="40">
        <f t="shared" ref="LT72" ca="1" si="4826">MAX(0,(LS72-LS73-LS74)*(1+$D$72/12))</f>
        <v>32476068.751350146</v>
      </c>
      <c r="LU72" s="40">
        <f t="shared" ref="LU72" ca="1" si="4827">MAX(0,(LT72-LT73-LT74)*(1+$D$72/12))</f>
        <v>32795416.760738425</v>
      </c>
      <c r="LV72" s="40">
        <f t="shared" ref="LV72" ca="1" si="4828">MAX(0,(LU72-LU73-LU74)*(1+$D$72/12))</f>
        <v>33117905.025552355</v>
      </c>
      <c r="LW72" s="40">
        <f t="shared" ref="LW72" ca="1" si="4829">MAX(0,(LV72-LV73-LV74)*(1+$D$72/12))</f>
        <v>33443564.424970288</v>
      </c>
      <c r="LX72" s="40">
        <f t="shared" ref="LX72" ca="1" si="4830">MAX(0,(LW72-LW73-LW74)*(1+$D$72/12))</f>
        <v>33772426.141815826</v>
      </c>
      <c r="LY72" s="40">
        <f t="shared" ref="LY72" ca="1" si="4831">MAX(0,(LX72-LX73-LX74)*(1+$D$72/12))</f>
        <v>34104521.665543683</v>
      </c>
      <c r="LZ72" s="40">
        <f t="shared" ref="LZ72" ca="1" si="4832">MAX(0,(LY72-LY73-LY74)*(1+$D$72/12))</f>
        <v>34439882.795254864</v>
      </c>
      <c r="MA72" s="40">
        <f t="shared" ref="MA72" ca="1" si="4833">MAX(0,(LZ72-LZ73-LZ74)*(1+$D$72/12))</f>
        <v>34778541.642741539</v>
      </c>
      <c r="MB72" s="40">
        <f t="shared" ref="MB72" ca="1" si="4834">MAX(0,(MA72-MA73-MA74)*(1+$D$72/12))</f>
        <v>35120530.635561831</v>
      </c>
      <c r="MC72" s="40">
        <f t="shared" ref="MC72" ca="1" si="4835">MAX(0,(MB72-MB73-MB74)*(1+$D$72/12))</f>
        <v>35465882.520144857</v>
      </c>
      <c r="MD72" s="40">
        <f t="shared" ref="MD72" ca="1" si="4836">MAX(0,(MC72-MC73-MC74)*(1+$D$72/12))</f>
        <v>35814630.364926286</v>
      </c>
      <c r="ME72" s="40">
        <f t="shared" ref="ME72" ca="1" si="4837">MAX(0,(MD72-MD73-MD74)*(1+$D$72/12))</f>
        <v>36166807.563514732</v>
      </c>
      <c r="MF72" s="40">
        <f t="shared" ref="MF72" ca="1" si="4838">MAX(0,(ME72-ME73-ME74)*(1+$D$72/12))</f>
        <v>36522447.837889291</v>
      </c>
      <c r="MG72" s="40">
        <f t="shared" ref="MG72" ca="1" si="4839">MAX(0,(MF72-MF73-MF74)*(1+$D$72/12))</f>
        <v>36881585.241628535</v>
      </c>
      <c r="MH72" s="40">
        <f t="shared" ref="MH72" ca="1" si="4840">MAX(0,(MG72-MG73-MG74)*(1+$D$72/12))</f>
        <v>37244254.163171217</v>
      </c>
      <c r="MI72" s="40">
        <f t="shared" ref="MI72" ca="1" si="4841">MAX(0,(MH72-MH73-MH74)*(1+$D$72/12))</f>
        <v>37610489.329109065</v>
      </c>
      <c r="MJ72" s="40">
        <f t="shared" ref="MJ72" ca="1" si="4842">MAX(0,(MI72-MI73-MI74)*(1+$D$72/12))</f>
        <v>37980325.80751197</v>
      </c>
      <c r="MK72" s="40">
        <f t="shared" ref="MK72" ca="1" si="4843">MAX(0,(MJ72-MJ73-MJ74)*(1+$D$72/12))</f>
        <v>38353799.011285841</v>
      </c>
      <c r="ML72" s="40">
        <f t="shared" ref="ML72" ca="1" si="4844">MAX(0,(MK72-MK73-MK74)*(1+$D$72/12))</f>
        <v>38730944.701563485</v>
      </c>
      <c r="MM72" s="40">
        <f t="shared" ref="MM72" ca="1" si="4845">MAX(0,(ML72-ML73-ML74)*(1+$D$72/12))</f>
        <v>39111798.991128862</v>
      </c>
      <c r="MN72" s="40">
        <f t="shared" ref="MN72" ca="1" si="4846">MAX(0,(MM72-MM73-MM74)*(1+$D$72/12))</f>
        <v>39496398.347874962</v>
      </c>
      <c r="MO72" s="40">
        <f t="shared" ref="MO72" ca="1" si="4847">MAX(0,(MN72-MN73-MN74)*(1+$D$72/12))</f>
        <v>39884779.598295733</v>
      </c>
      <c r="MP72" s="40">
        <f t="shared" ref="MP72" ca="1" si="4848">MAX(0,(MO72-MO73-MO74)*(1+$D$72/12))</f>
        <v>40276979.93101231</v>
      </c>
      <c r="MQ72" s="40">
        <f t="shared" ref="MQ72" ca="1" si="4849">MAX(0,(MP72-MP73-MP74)*(1+$D$72/12))</f>
        <v>40673036.900333934</v>
      </c>
      <c r="MR72" s="40">
        <f t="shared" ref="MR72" ca="1" si="4850">MAX(0,(MQ72-MQ73-MQ74)*(1+$D$72/12))</f>
        <v>41072988.429853886</v>
      </c>
      <c r="MS72" s="40">
        <f t="shared" ref="MS72" ca="1" si="4851">MAX(0,(MR72-MR73-MR74)*(1+$D$72/12))</f>
        <v>41476872.816080786</v>
      </c>
      <c r="MT72" s="40">
        <f t="shared" ref="MT72" ca="1" si="4852">MAX(0,(MS72-MS73-MS74)*(1+$D$72/12))</f>
        <v>41884728.732105583</v>
      </c>
      <c r="MU72" s="40">
        <f t="shared" ref="MU72" ca="1" si="4853">MAX(0,(MT72-MT73-MT74)*(1+$D$72/12))</f>
        <v>42296595.231304623</v>
      </c>
      <c r="MV72" s="40">
        <f t="shared" ref="MV72" ca="1" si="4854">MAX(0,(MU72-MU73-MU74)*(1+$D$72/12))</f>
        <v>42712511.75107912</v>
      </c>
      <c r="MW72" s="40">
        <f t="shared" ref="MW72" ca="1" si="4855">MAX(0,(MV72-MV73-MV74)*(1+$D$72/12))</f>
        <v>43132518.116631396</v>
      </c>
      <c r="MX72" s="40">
        <f t="shared" ref="MX72" ca="1" si="4856">MAX(0,(MW72-MW73-MW74)*(1+$D$72/12))</f>
        <v>43556654.544778273</v>
      </c>
      <c r="MY72" s="40">
        <f t="shared" ref="MY72" ca="1" si="4857">MAX(0,(MX72-MX73-MX74)*(1+$D$72/12))</f>
        <v>43984961.647801928</v>
      </c>
      <c r="MZ72" s="40">
        <f t="shared" ref="MZ72" ca="1" si="4858">MAX(0,(MY72-MY73-MY74)*(1+$D$72/12))</f>
        <v>44417480.43733865</v>
      </c>
      <c r="NA72" s="40">
        <f t="shared" ref="NA72" ca="1" si="4859">MAX(0,(MZ72-MZ73-MZ74)*(1+$D$72/12))</f>
        <v>44854252.328305818</v>
      </c>
      <c r="NB72" s="40">
        <f t="shared" ref="NB72" ca="1" si="4860">MAX(0,(NA72-NA73-NA74)*(1+$D$72/12))</f>
        <v>45295319.142867491</v>
      </c>
      <c r="NC72" s="40">
        <f t="shared" ref="NC72" ca="1" si="4861">MAX(0,(NB72-NB73-NB74)*(1+$D$72/12))</f>
        <v>45740723.114439026</v>
      </c>
      <c r="ND72" s="40">
        <f t="shared" ref="ND72" ca="1" si="4862">MAX(0,(NC72-NC73-NC74)*(1+$D$72/12))</f>
        <v>46190506.891731009</v>
      </c>
      <c r="NE72" s="40"/>
      <c r="NF72" s="40"/>
      <c r="NG72" s="40"/>
      <c r="NH72" s="40"/>
      <c r="NI72" s="40"/>
      <c r="NJ72" s="40"/>
      <c r="NK72" s="40"/>
      <c r="NL72" s="40"/>
      <c r="NM72" s="40"/>
      <c r="NN72" s="40"/>
      <c r="NO72" s="40"/>
      <c r="NP72" s="40"/>
      <c r="NQ72" s="40"/>
      <c r="NR72" s="40"/>
    </row>
    <row r="73" spans="2:382" x14ac:dyDescent="0.15">
      <c r="B73" s="519"/>
      <c r="C73" t="s">
        <v>170</v>
      </c>
      <c r="G73" s="118"/>
      <c r="I73" s="40">
        <f>SUM(I28:I29,I36:I37,I44:I45,I52:I53,I60:I61)</f>
        <v>-106461.711075</v>
      </c>
      <c r="J73" s="40">
        <f t="shared" ref="J73" si="4863">SUM(J28:J29,J36:J37,J44:J45,J52:J53)</f>
        <v>-106461.711075</v>
      </c>
      <c r="K73" s="40">
        <f t="shared" ref="K73:BV73" si="4864">SUM(K28:K29,K36:K37,K44:K45,K52:K53)</f>
        <v>-106461.71107499998</v>
      </c>
      <c r="L73" s="40">
        <f t="shared" si="4864"/>
        <v>0</v>
      </c>
      <c r="M73" s="40">
        <f t="shared" si="4864"/>
        <v>0</v>
      </c>
      <c r="N73" s="40">
        <f t="shared" si="4864"/>
        <v>0</v>
      </c>
      <c r="O73" s="40">
        <f t="shared" si="4864"/>
        <v>0</v>
      </c>
      <c r="P73" s="40">
        <f t="shared" si="4864"/>
        <v>0</v>
      </c>
      <c r="Q73" s="40">
        <f t="shared" si="4864"/>
        <v>0</v>
      </c>
      <c r="R73" s="40">
        <f t="shared" si="4864"/>
        <v>0</v>
      </c>
      <c r="S73" s="40">
        <f t="shared" si="4864"/>
        <v>0</v>
      </c>
      <c r="T73" s="40">
        <f t="shared" si="4864"/>
        <v>0</v>
      </c>
      <c r="U73" s="40">
        <f t="shared" si="4864"/>
        <v>0</v>
      </c>
      <c r="V73" s="40">
        <f t="shared" si="4864"/>
        <v>0</v>
      </c>
      <c r="W73" s="40">
        <f t="shared" si="4864"/>
        <v>0</v>
      </c>
      <c r="X73" s="40">
        <f t="shared" si="4864"/>
        <v>0</v>
      </c>
      <c r="Y73" s="40">
        <f t="shared" si="4864"/>
        <v>0</v>
      </c>
      <c r="Z73" s="40">
        <f t="shared" si="4864"/>
        <v>0</v>
      </c>
      <c r="AA73" s="40">
        <f t="shared" si="4864"/>
        <v>0</v>
      </c>
      <c r="AB73" s="40">
        <f t="shared" si="4864"/>
        <v>0</v>
      </c>
      <c r="AC73" s="40">
        <f t="shared" si="4864"/>
        <v>0</v>
      </c>
      <c r="AD73" s="40">
        <f t="shared" si="4864"/>
        <v>0</v>
      </c>
      <c r="AE73" s="40">
        <f t="shared" si="4864"/>
        <v>0</v>
      </c>
      <c r="AF73" s="40">
        <f t="shared" si="4864"/>
        <v>0</v>
      </c>
      <c r="AG73" s="40">
        <f t="shared" si="4864"/>
        <v>0</v>
      </c>
      <c r="AH73" s="40">
        <f t="shared" si="4864"/>
        <v>0</v>
      </c>
      <c r="AI73" s="40">
        <f t="shared" si="4864"/>
        <v>0</v>
      </c>
      <c r="AJ73" s="40">
        <f t="shared" si="4864"/>
        <v>0</v>
      </c>
      <c r="AK73" s="40">
        <f t="shared" si="4864"/>
        <v>0</v>
      </c>
      <c r="AL73" s="40">
        <f t="shared" si="4864"/>
        <v>0</v>
      </c>
      <c r="AM73" s="40">
        <f t="shared" si="4864"/>
        <v>0</v>
      </c>
      <c r="AN73" s="40">
        <f t="shared" si="4864"/>
        <v>0</v>
      </c>
      <c r="AO73" s="40">
        <f t="shared" si="4864"/>
        <v>0</v>
      </c>
      <c r="AP73" s="40">
        <f t="shared" si="4864"/>
        <v>0</v>
      </c>
      <c r="AQ73" s="40">
        <f t="shared" si="4864"/>
        <v>0</v>
      </c>
      <c r="AR73" s="40">
        <f t="shared" si="4864"/>
        <v>0</v>
      </c>
      <c r="AS73" s="40">
        <f t="shared" si="4864"/>
        <v>369.08414719279244</v>
      </c>
      <c r="AT73" s="40">
        <f t="shared" si="4864"/>
        <v>369.08414719279244</v>
      </c>
      <c r="AU73" s="40">
        <f t="shared" si="4864"/>
        <v>369.08414719279244</v>
      </c>
      <c r="AV73" s="40">
        <f t="shared" si="4864"/>
        <v>369.08414719279244</v>
      </c>
      <c r="AW73" s="40">
        <f t="shared" si="4864"/>
        <v>369.08414719279244</v>
      </c>
      <c r="AX73" s="40">
        <f t="shared" si="4864"/>
        <v>369.08414719279244</v>
      </c>
      <c r="AY73" s="40">
        <f t="shared" si="4864"/>
        <v>369.08414719279244</v>
      </c>
      <c r="AZ73" s="40">
        <f t="shared" si="4864"/>
        <v>369.08414719279244</v>
      </c>
      <c r="BA73" s="40">
        <f t="shared" si="4864"/>
        <v>369.08414719279244</v>
      </c>
      <c r="BB73" s="40">
        <f t="shared" si="4864"/>
        <v>369.08414719279244</v>
      </c>
      <c r="BC73" s="40">
        <f t="shared" si="4864"/>
        <v>369.08414719279244</v>
      </c>
      <c r="BD73" s="40">
        <f t="shared" si="4864"/>
        <v>369.08414719279244</v>
      </c>
      <c r="BE73" s="40">
        <f t="shared" si="4864"/>
        <v>1312.5480714578298</v>
      </c>
      <c r="BF73" s="40">
        <f t="shared" si="4864"/>
        <v>1312.5480714578298</v>
      </c>
      <c r="BG73" s="40">
        <f t="shared" si="4864"/>
        <v>1312.5480714578298</v>
      </c>
      <c r="BH73" s="40">
        <f t="shared" si="4864"/>
        <v>1312.5480714578298</v>
      </c>
      <c r="BI73" s="40">
        <f t="shared" si="4864"/>
        <v>1312.5480714578298</v>
      </c>
      <c r="BJ73" s="40">
        <f t="shared" si="4864"/>
        <v>1312.5480714578298</v>
      </c>
      <c r="BK73" s="40">
        <f t="shared" si="4864"/>
        <v>1312.5480714578298</v>
      </c>
      <c r="BL73" s="40">
        <f t="shared" si="4864"/>
        <v>1312.5480714578298</v>
      </c>
      <c r="BM73" s="40">
        <f t="shared" si="4864"/>
        <v>1312.5480714578298</v>
      </c>
      <c r="BN73" s="40">
        <f t="shared" si="4864"/>
        <v>1312.5480714578298</v>
      </c>
      <c r="BO73" s="40">
        <f t="shared" si="4864"/>
        <v>1312.54807145783</v>
      </c>
      <c r="BP73" s="40">
        <f t="shared" si="4864"/>
        <v>1312.5480714578298</v>
      </c>
      <c r="BQ73" s="40">
        <f t="shared" si="4864"/>
        <v>2285.626816434662</v>
      </c>
      <c r="BR73" s="40">
        <f t="shared" si="4864"/>
        <v>2285.626816434662</v>
      </c>
      <c r="BS73" s="40">
        <f t="shared" si="4864"/>
        <v>2285.626816434662</v>
      </c>
      <c r="BT73" s="40">
        <f t="shared" si="4864"/>
        <v>2285.626816434662</v>
      </c>
      <c r="BU73" s="40">
        <f t="shared" si="4864"/>
        <v>2285.6268164346625</v>
      </c>
      <c r="BV73" s="40">
        <f t="shared" si="4864"/>
        <v>2285.6268164346616</v>
      </c>
      <c r="BW73" s="40">
        <f t="shared" ref="BW73:EH73" si="4865">SUM(BW28:BW29,BW36:BW37,BW44:BW45,BW52:BW53)</f>
        <v>2285.626816434662</v>
      </c>
      <c r="BX73" s="40">
        <f t="shared" si="4865"/>
        <v>2285.626816434662</v>
      </c>
      <c r="BY73" s="40">
        <f t="shared" si="4865"/>
        <v>2285.626816434662</v>
      </c>
      <c r="BZ73" s="40">
        <f t="shared" si="4865"/>
        <v>2285.626816434662</v>
      </c>
      <c r="CA73" s="40">
        <f t="shared" si="4865"/>
        <v>2285.626816434662</v>
      </c>
      <c r="CB73" s="40">
        <f t="shared" si="4865"/>
        <v>2285.626816434662</v>
      </c>
      <c r="CC73" s="40">
        <f t="shared" si="4865"/>
        <v>3289.2368009212696</v>
      </c>
      <c r="CD73" s="40">
        <f t="shared" si="4865"/>
        <v>3289.2368009212696</v>
      </c>
      <c r="CE73" s="40">
        <f t="shared" si="4865"/>
        <v>3289.2368009212696</v>
      </c>
      <c r="CF73" s="40">
        <f t="shared" si="4865"/>
        <v>3289.2368009212692</v>
      </c>
      <c r="CG73" s="40">
        <f t="shared" si="4865"/>
        <v>3289.2368009212696</v>
      </c>
      <c r="CH73" s="40">
        <f t="shared" si="4865"/>
        <v>3289.2368009212696</v>
      </c>
      <c r="CI73" s="40">
        <f t="shared" si="4865"/>
        <v>3289.2368009212696</v>
      </c>
      <c r="CJ73" s="40">
        <f t="shared" si="4865"/>
        <v>3289.2368009212687</v>
      </c>
      <c r="CK73" s="40">
        <f t="shared" si="4865"/>
        <v>3289.2368009212696</v>
      </c>
      <c r="CL73" s="40">
        <f t="shared" si="4865"/>
        <v>3289.2368009212696</v>
      </c>
      <c r="CM73" s="40">
        <f t="shared" si="4865"/>
        <v>3289.2368009212696</v>
      </c>
      <c r="CN73" s="40">
        <f t="shared" si="4865"/>
        <v>3289.2368009212692</v>
      </c>
      <c r="CO73" s="40">
        <f t="shared" si="4865"/>
        <v>4324.3225396660137</v>
      </c>
      <c r="CP73" s="40">
        <f t="shared" si="4865"/>
        <v>4324.3225396660137</v>
      </c>
      <c r="CQ73" s="40">
        <f t="shared" si="4865"/>
        <v>4324.3225396660127</v>
      </c>
      <c r="CR73" s="40">
        <f t="shared" si="4865"/>
        <v>4324.3225396660127</v>
      </c>
      <c r="CS73" s="40">
        <f t="shared" si="4865"/>
        <v>4324.3225396660127</v>
      </c>
      <c r="CT73" s="40">
        <f t="shared" si="4865"/>
        <v>4324.3225396660137</v>
      </c>
      <c r="CU73" s="40">
        <f t="shared" si="4865"/>
        <v>4324.3225396660127</v>
      </c>
      <c r="CV73" s="40">
        <f t="shared" si="4865"/>
        <v>4324.3225396660127</v>
      </c>
      <c r="CW73" s="40">
        <f t="shared" si="4865"/>
        <v>4324.3225396660137</v>
      </c>
      <c r="CX73" s="40">
        <f t="shared" si="4865"/>
        <v>4324.3225396660127</v>
      </c>
      <c r="CY73" s="40">
        <f t="shared" si="4865"/>
        <v>4324.3225396660127</v>
      </c>
      <c r="CZ73" s="40">
        <f t="shared" si="4865"/>
        <v>4324.3225396660127</v>
      </c>
      <c r="DA73" s="40">
        <f t="shared" si="4865"/>
        <v>5391.8574994115043</v>
      </c>
      <c r="DB73" s="40">
        <f t="shared" si="4865"/>
        <v>5391.8574994115043</v>
      </c>
      <c r="DC73" s="40">
        <f t="shared" si="4865"/>
        <v>5391.8574994115043</v>
      </c>
      <c r="DD73" s="40">
        <f t="shared" si="4865"/>
        <v>5391.8574994115043</v>
      </c>
      <c r="DE73" s="40">
        <f t="shared" si="4865"/>
        <v>5391.8574994115043</v>
      </c>
      <c r="DF73" s="40">
        <f t="shared" si="4865"/>
        <v>5391.8574994115043</v>
      </c>
      <c r="DG73" s="40">
        <f t="shared" si="4865"/>
        <v>5391.8574994115043</v>
      </c>
      <c r="DH73" s="40">
        <f t="shared" si="4865"/>
        <v>5391.8574994115043</v>
      </c>
      <c r="DI73" s="40">
        <f t="shared" si="4865"/>
        <v>5391.8574994115043</v>
      </c>
      <c r="DJ73" s="40">
        <f t="shared" si="4865"/>
        <v>5391.8574994115043</v>
      </c>
      <c r="DK73" s="40">
        <f t="shared" si="4865"/>
        <v>5391.8574994115043</v>
      </c>
      <c r="DL73" s="40">
        <f t="shared" si="4865"/>
        <v>5391.8574994115043</v>
      </c>
      <c r="DM73" s="40">
        <f t="shared" si="4865"/>
        <v>6492.8449809103913</v>
      </c>
      <c r="DN73" s="40">
        <f t="shared" si="4865"/>
        <v>6492.8449809103913</v>
      </c>
      <c r="DO73" s="40">
        <f t="shared" si="4865"/>
        <v>6492.8449809103922</v>
      </c>
      <c r="DP73" s="40">
        <f t="shared" si="4865"/>
        <v>6492.8449809103913</v>
      </c>
      <c r="DQ73" s="40">
        <f t="shared" si="4865"/>
        <v>6492.8449809103913</v>
      </c>
      <c r="DR73" s="40">
        <f t="shared" si="4865"/>
        <v>6492.8449809103913</v>
      </c>
      <c r="DS73" s="40">
        <f t="shared" si="4865"/>
        <v>6492.8449809103922</v>
      </c>
      <c r="DT73" s="40">
        <f t="shared" si="4865"/>
        <v>6492.8449809103913</v>
      </c>
      <c r="DU73" s="40">
        <f t="shared" si="4865"/>
        <v>6492.8449809103913</v>
      </c>
      <c r="DV73" s="40">
        <f t="shared" si="4865"/>
        <v>6492.8449809103913</v>
      </c>
      <c r="DW73" s="40">
        <f t="shared" si="4865"/>
        <v>6492.8449809103922</v>
      </c>
      <c r="DX73" s="40">
        <f t="shared" si="4865"/>
        <v>6492.8449809103931</v>
      </c>
      <c r="DY73" s="40">
        <f t="shared" si="4865"/>
        <v>7628.3190276990499</v>
      </c>
      <c r="DZ73" s="40">
        <f t="shared" si="4865"/>
        <v>7628.3190276990481</v>
      </c>
      <c r="EA73" s="40">
        <f t="shared" si="4865"/>
        <v>7628.3190276990499</v>
      </c>
      <c r="EB73" s="40">
        <f t="shared" si="4865"/>
        <v>7628.319027699049</v>
      </c>
      <c r="EC73" s="40">
        <f t="shared" si="4865"/>
        <v>7628.3190276990481</v>
      </c>
      <c r="ED73" s="40">
        <f t="shared" si="4865"/>
        <v>7628.3190276990526</v>
      </c>
      <c r="EE73" s="40">
        <f t="shared" si="4865"/>
        <v>7628.3190276990508</v>
      </c>
      <c r="EF73" s="40">
        <f t="shared" si="4865"/>
        <v>7628.3190276990499</v>
      </c>
      <c r="EG73" s="40">
        <f t="shared" si="4865"/>
        <v>7628.319027699049</v>
      </c>
      <c r="EH73" s="40">
        <f t="shared" si="4865"/>
        <v>7628.3190276990499</v>
      </c>
      <c r="EI73" s="40">
        <f t="shared" ref="EI73:GT73" si="4866">SUM(EI28:EI29,EI36:EI37,EI44:EI45,EI52:EI53)</f>
        <v>7628.3190276990499</v>
      </c>
      <c r="EJ73" s="40">
        <f t="shared" si="4866"/>
        <v>7628.3190276990499</v>
      </c>
      <c r="EK73" s="40">
        <f t="shared" si="4866"/>
        <v>8799.3453624382</v>
      </c>
      <c r="EL73" s="40">
        <f t="shared" si="4866"/>
        <v>8799.3453624382</v>
      </c>
      <c r="EM73" s="40">
        <f t="shared" si="4866"/>
        <v>8799.3453624382055</v>
      </c>
      <c r="EN73" s="40">
        <f t="shared" si="4866"/>
        <v>8799.3453624382018</v>
      </c>
      <c r="EO73" s="40">
        <f t="shared" si="4866"/>
        <v>8799.3453624382018</v>
      </c>
      <c r="EP73" s="40">
        <f t="shared" si="4866"/>
        <v>8799.3453624382018</v>
      </c>
      <c r="EQ73" s="40">
        <f t="shared" si="4866"/>
        <v>8799.3453624382055</v>
      </c>
      <c r="ER73" s="40">
        <f t="shared" si="4866"/>
        <v>8799.3453624382037</v>
      </c>
      <c r="ES73" s="40">
        <f t="shared" si="4866"/>
        <v>8799.3453624382018</v>
      </c>
      <c r="ET73" s="40">
        <f t="shared" si="4866"/>
        <v>8799.3453624382018</v>
      </c>
      <c r="EU73" s="40">
        <f t="shared" si="4866"/>
        <v>8799.3453624382018</v>
      </c>
      <c r="EV73" s="40">
        <f t="shared" si="4866"/>
        <v>8799.3453624382</v>
      </c>
      <c r="EW73" s="40">
        <f t="shared" si="4866"/>
        <v>10007.022351654545</v>
      </c>
      <c r="EX73" s="40">
        <f t="shared" si="4866"/>
        <v>10007.022351654547</v>
      </c>
      <c r="EY73" s="40">
        <f t="shared" si="4866"/>
        <v>10007.022351654545</v>
      </c>
      <c r="EZ73" s="40">
        <f t="shared" si="4866"/>
        <v>10007.022351654545</v>
      </c>
      <c r="FA73" s="40">
        <f t="shared" si="4866"/>
        <v>10007.022351654545</v>
      </c>
      <c r="FB73" s="40">
        <f t="shared" si="4866"/>
        <v>10007.022351654545</v>
      </c>
      <c r="FC73" s="40">
        <f t="shared" si="4866"/>
        <v>10007.022351654545</v>
      </c>
      <c r="FD73" s="40">
        <f t="shared" si="4866"/>
        <v>10007.022351654545</v>
      </c>
      <c r="FE73" s="40">
        <f t="shared" si="4866"/>
        <v>10007.022351654545</v>
      </c>
      <c r="FF73" s="40">
        <f t="shared" si="4866"/>
        <v>10007.022351654548</v>
      </c>
      <c r="FG73" s="40">
        <f t="shared" si="4866"/>
        <v>10007.022351654543</v>
      </c>
      <c r="FH73" s="40">
        <f t="shared" si="4866"/>
        <v>10007.022351654545</v>
      </c>
      <c r="FI73" s="40">
        <f t="shared" si="4866"/>
        <v>11252.481999742326</v>
      </c>
      <c r="FJ73" s="40">
        <f t="shared" si="4866"/>
        <v>11252.481999742326</v>
      </c>
      <c r="FK73" s="40">
        <f t="shared" si="4866"/>
        <v>11252.481999742326</v>
      </c>
      <c r="FL73" s="40">
        <f t="shared" si="4866"/>
        <v>11252.481999742326</v>
      </c>
      <c r="FM73" s="40">
        <f t="shared" si="4866"/>
        <v>11252.481999742326</v>
      </c>
      <c r="FN73" s="40">
        <f t="shared" si="4866"/>
        <v>11252.481999742326</v>
      </c>
      <c r="FO73" s="40">
        <f t="shared" si="4866"/>
        <v>11252.481999742326</v>
      </c>
      <c r="FP73" s="40">
        <f>SUM(FP28:FP29,FP36:FP37,FP44:FP45,FP52:FP53)</f>
        <v>11252.481999742329</v>
      </c>
      <c r="FQ73" s="40">
        <f t="shared" si="4866"/>
        <v>11252.481999742326</v>
      </c>
      <c r="FR73" s="40">
        <f t="shared" si="4866"/>
        <v>11252.481999742326</v>
      </c>
      <c r="FS73" s="40">
        <f t="shared" si="4866"/>
        <v>11252.481999742327</v>
      </c>
      <c r="FT73" s="40">
        <f t="shared" si="4866"/>
        <v>11252.481999742326</v>
      </c>
      <c r="FU73" s="40">
        <f t="shared" si="4866"/>
        <v>12536.89097310957</v>
      </c>
      <c r="FV73" s="40">
        <f t="shared" si="4866"/>
        <v>12536.89097310957</v>
      </c>
      <c r="FW73" s="40">
        <f t="shared" si="4866"/>
        <v>12536.890973109574</v>
      </c>
      <c r="FX73" s="40">
        <f t="shared" si="4866"/>
        <v>12536.890973109572</v>
      </c>
      <c r="FY73" s="40">
        <f t="shared" si="4866"/>
        <v>12536.890973109572</v>
      </c>
      <c r="FZ73" s="40">
        <f t="shared" si="4866"/>
        <v>12536.89097310957</v>
      </c>
      <c r="GA73" s="40">
        <f t="shared" si="4866"/>
        <v>12536.89097310957</v>
      </c>
      <c r="GB73" s="40">
        <f t="shared" si="4866"/>
        <v>12536.89097310957</v>
      </c>
      <c r="GC73" s="40">
        <f t="shared" si="4866"/>
        <v>0</v>
      </c>
      <c r="GD73" s="40">
        <f t="shared" si="4866"/>
        <v>0</v>
      </c>
      <c r="GE73" s="40">
        <f t="shared" si="4866"/>
        <v>0</v>
      </c>
      <c r="GF73" s="40">
        <f t="shared" ca="1" si="4866"/>
        <v>6540372.9302697815</v>
      </c>
      <c r="GG73" s="40">
        <f t="shared" ca="1" si="4866"/>
        <v>0</v>
      </c>
      <c r="GH73" s="40">
        <f t="shared" ca="1" si="4866"/>
        <v>0</v>
      </c>
      <c r="GI73" s="40">
        <f t="shared" ca="1" si="4866"/>
        <v>0</v>
      </c>
      <c r="GJ73" s="40">
        <f t="shared" ca="1" si="4866"/>
        <v>0</v>
      </c>
      <c r="GK73" s="40">
        <f t="shared" ca="1" si="4866"/>
        <v>0</v>
      </c>
      <c r="GL73" s="40">
        <f t="shared" ca="1" si="4866"/>
        <v>0</v>
      </c>
      <c r="GM73" s="40">
        <f t="shared" ca="1" si="4866"/>
        <v>0</v>
      </c>
      <c r="GN73" s="40">
        <f t="shared" ca="1" si="4866"/>
        <v>0</v>
      </c>
      <c r="GO73" s="40">
        <f t="shared" ca="1" si="4866"/>
        <v>0</v>
      </c>
      <c r="GP73" s="40">
        <f t="shared" ca="1" si="4866"/>
        <v>0</v>
      </c>
      <c r="GQ73" s="40">
        <f t="shared" ca="1" si="4866"/>
        <v>0</v>
      </c>
      <c r="GR73" s="40">
        <f t="shared" ca="1" si="4866"/>
        <v>0</v>
      </c>
      <c r="GS73" s="40">
        <f t="shared" ca="1" si="4866"/>
        <v>0</v>
      </c>
      <c r="GT73" s="40">
        <f t="shared" ca="1" si="4866"/>
        <v>0</v>
      </c>
      <c r="GU73" s="40">
        <f t="shared" ref="GU73:IN73" ca="1" si="4867">SUM(GU28:GU29,GU36:GU37,GU44:GU45,GU52:GU53)</f>
        <v>0</v>
      </c>
      <c r="GV73" s="40">
        <f t="shared" ca="1" si="4867"/>
        <v>0</v>
      </c>
      <c r="GW73" s="40">
        <f t="shared" ca="1" si="4867"/>
        <v>0</v>
      </c>
      <c r="GX73" s="40">
        <f t="shared" ca="1" si="4867"/>
        <v>0</v>
      </c>
      <c r="GY73" s="40">
        <f t="shared" ca="1" si="4867"/>
        <v>0</v>
      </c>
      <c r="GZ73" s="40">
        <f t="shared" ca="1" si="4867"/>
        <v>0</v>
      </c>
      <c r="HA73" s="40">
        <f t="shared" ca="1" si="4867"/>
        <v>0</v>
      </c>
      <c r="HB73" s="40">
        <f t="shared" ca="1" si="4867"/>
        <v>0</v>
      </c>
      <c r="HC73" s="40">
        <f t="shared" ca="1" si="4867"/>
        <v>0</v>
      </c>
      <c r="HD73" s="40">
        <f t="shared" ca="1" si="4867"/>
        <v>0</v>
      </c>
      <c r="HE73" s="40">
        <f t="shared" ca="1" si="4867"/>
        <v>0</v>
      </c>
      <c r="HF73" s="40">
        <f t="shared" ca="1" si="4867"/>
        <v>0</v>
      </c>
      <c r="HG73" s="40">
        <f t="shared" ca="1" si="4867"/>
        <v>0</v>
      </c>
      <c r="HH73" s="40">
        <f t="shared" ca="1" si="4867"/>
        <v>0</v>
      </c>
      <c r="HI73" s="40">
        <f t="shared" ca="1" si="4867"/>
        <v>0</v>
      </c>
      <c r="HJ73" s="40">
        <f t="shared" ca="1" si="4867"/>
        <v>0</v>
      </c>
      <c r="HK73" s="40">
        <f t="shared" ca="1" si="4867"/>
        <v>0</v>
      </c>
      <c r="HL73" s="40">
        <f t="shared" ca="1" si="4867"/>
        <v>0</v>
      </c>
      <c r="HM73" s="40">
        <f t="shared" ca="1" si="4867"/>
        <v>0</v>
      </c>
      <c r="HN73" s="40">
        <f t="shared" ca="1" si="4867"/>
        <v>0</v>
      </c>
      <c r="HO73" s="40">
        <f t="shared" ca="1" si="4867"/>
        <v>0</v>
      </c>
      <c r="HP73" s="40">
        <f t="shared" ca="1" si="4867"/>
        <v>0</v>
      </c>
      <c r="HQ73" s="40">
        <f t="shared" ca="1" si="4867"/>
        <v>0</v>
      </c>
      <c r="HR73" s="40">
        <f t="shared" ca="1" si="4867"/>
        <v>0</v>
      </c>
      <c r="HS73" s="40">
        <f t="shared" ca="1" si="4867"/>
        <v>0</v>
      </c>
      <c r="HT73" s="40">
        <f t="shared" ca="1" si="4867"/>
        <v>0</v>
      </c>
      <c r="HU73" s="40">
        <f t="shared" ca="1" si="4867"/>
        <v>0</v>
      </c>
      <c r="HV73" s="40">
        <f t="shared" ca="1" si="4867"/>
        <v>0</v>
      </c>
      <c r="HW73" s="40">
        <f t="shared" ca="1" si="4867"/>
        <v>0</v>
      </c>
      <c r="HX73" s="40">
        <f t="shared" ca="1" si="4867"/>
        <v>0</v>
      </c>
      <c r="HY73" s="40">
        <f t="shared" ca="1" si="4867"/>
        <v>0</v>
      </c>
      <c r="HZ73" s="40">
        <f t="shared" ca="1" si="4867"/>
        <v>0</v>
      </c>
      <c r="IA73" s="40">
        <f t="shared" ca="1" si="4867"/>
        <v>0</v>
      </c>
      <c r="IB73" s="40">
        <f t="shared" ca="1" si="4867"/>
        <v>0</v>
      </c>
      <c r="IC73" s="40">
        <f t="shared" ca="1" si="4867"/>
        <v>0</v>
      </c>
      <c r="ID73" s="40">
        <f t="shared" ca="1" si="4867"/>
        <v>0</v>
      </c>
      <c r="IE73" s="40">
        <f t="shared" ca="1" si="4867"/>
        <v>0</v>
      </c>
      <c r="IF73" s="40">
        <f t="shared" ca="1" si="4867"/>
        <v>0</v>
      </c>
      <c r="IG73" s="40">
        <f t="shared" ca="1" si="4867"/>
        <v>0</v>
      </c>
      <c r="IH73" s="40">
        <f t="shared" ca="1" si="4867"/>
        <v>0</v>
      </c>
      <c r="II73" s="40">
        <f t="shared" ca="1" si="4867"/>
        <v>0</v>
      </c>
      <c r="IJ73" s="40">
        <f t="shared" ca="1" si="4867"/>
        <v>0</v>
      </c>
      <c r="IK73" s="40">
        <f t="shared" ca="1" si="4867"/>
        <v>0</v>
      </c>
      <c r="IL73" s="40">
        <f t="shared" ca="1" si="4867"/>
        <v>0</v>
      </c>
      <c r="IM73" s="40">
        <f t="shared" ca="1" si="4867"/>
        <v>0</v>
      </c>
      <c r="IN73" s="40">
        <f t="shared" ca="1" si="4867"/>
        <v>0</v>
      </c>
      <c r="IO73" s="40">
        <f t="shared" ref="IO73:KZ73" ca="1" si="4868">SUM(IO28:IO29,IO36:IO37,IO44:IO45,IO52:IO53)</f>
        <v>0</v>
      </c>
      <c r="IP73" s="40">
        <f t="shared" ca="1" si="4868"/>
        <v>0</v>
      </c>
      <c r="IQ73" s="40">
        <f t="shared" ca="1" si="4868"/>
        <v>0</v>
      </c>
      <c r="IR73" s="40">
        <f t="shared" ca="1" si="4868"/>
        <v>0</v>
      </c>
      <c r="IS73" s="40">
        <f t="shared" ca="1" si="4868"/>
        <v>0</v>
      </c>
      <c r="IT73" s="40">
        <f t="shared" ca="1" si="4868"/>
        <v>0</v>
      </c>
      <c r="IU73" s="40">
        <f t="shared" ca="1" si="4868"/>
        <v>0</v>
      </c>
      <c r="IV73" s="40">
        <f t="shared" ca="1" si="4868"/>
        <v>0</v>
      </c>
      <c r="IW73" s="40">
        <f t="shared" ca="1" si="4868"/>
        <v>0</v>
      </c>
      <c r="IX73" s="40">
        <f t="shared" ca="1" si="4868"/>
        <v>0</v>
      </c>
      <c r="IY73" s="40">
        <f t="shared" ca="1" si="4868"/>
        <v>0</v>
      </c>
      <c r="IZ73" s="40">
        <f t="shared" ca="1" si="4868"/>
        <v>0</v>
      </c>
      <c r="JA73" s="40">
        <f t="shared" ca="1" si="4868"/>
        <v>0</v>
      </c>
      <c r="JB73" s="40">
        <f t="shared" ca="1" si="4868"/>
        <v>0</v>
      </c>
      <c r="JC73" s="40">
        <f t="shared" ca="1" si="4868"/>
        <v>0</v>
      </c>
      <c r="JD73" s="40">
        <f t="shared" ca="1" si="4868"/>
        <v>0</v>
      </c>
      <c r="JE73" s="40">
        <f t="shared" ca="1" si="4868"/>
        <v>0</v>
      </c>
      <c r="JF73" s="40">
        <f t="shared" ca="1" si="4868"/>
        <v>0</v>
      </c>
      <c r="JG73" s="40">
        <f t="shared" ca="1" si="4868"/>
        <v>0</v>
      </c>
      <c r="JH73" s="40">
        <f t="shared" ca="1" si="4868"/>
        <v>0</v>
      </c>
      <c r="JI73" s="40">
        <f t="shared" ca="1" si="4868"/>
        <v>0</v>
      </c>
      <c r="JJ73" s="40">
        <f t="shared" ca="1" si="4868"/>
        <v>0</v>
      </c>
      <c r="JK73" s="40">
        <f t="shared" ca="1" si="4868"/>
        <v>0</v>
      </c>
      <c r="JL73" s="40">
        <f t="shared" ca="1" si="4868"/>
        <v>0</v>
      </c>
      <c r="JM73" s="40">
        <f t="shared" ca="1" si="4868"/>
        <v>0</v>
      </c>
      <c r="JN73" s="40">
        <f t="shared" ca="1" si="4868"/>
        <v>0</v>
      </c>
      <c r="JO73" s="40">
        <f t="shared" ca="1" si="4868"/>
        <v>0</v>
      </c>
      <c r="JP73" s="40">
        <f t="shared" ca="1" si="4868"/>
        <v>0</v>
      </c>
      <c r="JQ73" s="40">
        <f t="shared" ca="1" si="4868"/>
        <v>0</v>
      </c>
      <c r="JR73" s="40">
        <f t="shared" ca="1" si="4868"/>
        <v>0</v>
      </c>
      <c r="JS73" s="40">
        <f t="shared" ca="1" si="4868"/>
        <v>0</v>
      </c>
      <c r="JT73" s="40">
        <f t="shared" ca="1" si="4868"/>
        <v>0</v>
      </c>
      <c r="JU73" s="40">
        <f t="shared" ca="1" si="4868"/>
        <v>0</v>
      </c>
      <c r="JV73" s="40">
        <f t="shared" ca="1" si="4868"/>
        <v>0</v>
      </c>
      <c r="JW73" s="40">
        <f t="shared" ca="1" si="4868"/>
        <v>0</v>
      </c>
      <c r="JX73" s="40">
        <f t="shared" ca="1" si="4868"/>
        <v>0</v>
      </c>
      <c r="JY73" s="40">
        <f t="shared" ca="1" si="4868"/>
        <v>0</v>
      </c>
      <c r="JZ73" s="40">
        <f t="shared" ca="1" si="4868"/>
        <v>0</v>
      </c>
      <c r="KA73" s="40">
        <f t="shared" ca="1" si="4868"/>
        <v>0</v>
      </c>
      <c r="KB73" s="40">
        <f t="shared" ca="1" si="4868"/>
        <v>0</v>
      </c>
      <c r="KC73" s="40">
        <f t="shared" ca="1" si="4868"/>
        <v>0</v>
      </c>
      <c r="KD73" s="40">
        <f t="shared" ca="1" si="4868"/>
        <v>0</v>
      </c>
      <c r="KE73" s="40">
        <f t="shared" ca="1" si="4868"/>
        <v>0</v>
      </c>
      <c r="KF73" s="40">
        <f t="shared" ca="1" si="4868"/>
        <v>0</v>
      </c>
      <c r="KG73" s="40">
        <f t="shared" ca="1" si="4868"/>
        <v>0</v>
      </c>
      <c r="KH73" s="40">
        <f t="shared" ca="1" si="4868"/>
        <v>0</v>
      </c>
      <c r="KI73" s="40">
        <f t="shared" ca="1" si="4868"/>
        <v>0</v>
      </c>
      <c r="KJ73" s="40">
        <f t="shared" ca="1" si="4868"/>
        <v>0</v>
      </c>
      <c r="KK73" s="40">
        <f t="shared" ca="1" si="4868"/>
        <v>0</v>
      </c>
      <c r="KL73" s="40">
        <f t="shared" ca="1" si="4868"/>
        <v>0</v>
      </c>
      <c r="KM73" s="40">
        <f t="shared" ca="1" si="4868"/>
        <v>0</v>
      </c>
      <c r="KN73" s="40">
        <f t="shared" ca="1" si="4868"/>
        <v>0</v>
      </c>
      <c r="KO73" s="40">
        <f t="shared" ca="1" si="4868"/>
        <v>0</v>
      </c>
      <c r="KP73" s="40">
        <f t="shared" ca="1" si="4868"/>
        <v>0</v>
      </c>
      <c r="KQ73" s="40">
        <f t="shared" ca="1" si="4868"/>
        <v>0</v>
      </c>
      <c r="KR73" s="40">
        <f t="shared" ca="1" si="4868"/>
        <v>0</v>
      </c>
      <c r="KS73" s="40">
        <f t="shared" ca="1" si="4868"/>
        <v>0</v>
      </c>
      <c r="KT73" s="40">
        <f t="shared" ca="1" si="4868"/>
        <v>0</v>
      </c>
      <c r="KU73" s="40">
        <f t="shared" ca="1" si="4868"/>
        <v>0</v>
      </c>
      <c r="KV73" s="40">
        <f t="shared" ca="1" si="4868"/>
        <v>0</v>
      </c>
      <c r="KW73" s="40">
        <f t="shared" ca="1" si="4868"/>
        <v>0</v>
      </c>
      <c r="KX73" s="40">
        <f t="shared" ca="1" si="4868"/>
        <v>0</v>
      </c>
      <c r="KY73" s="40">
        <f t="shared" ca="1" si="4868"/>
        <v>0</v>
      </c>
      <c r="KZ73" s="40">
        <f t="shared" ca="1" si="4868"/>
        <v>0</v>
      </c>
      <c r="LA73" s="40">
        <f t="shared" ref="LA73:ND73" ca="1" si="4869">SUM(LA28:LA29,LA36:LA37,LA44:LA45,LA52:LA53)</f>
        <v>0</v>
      </c>
      <c r="LB73" s="40">
        <f t="shared" ca="1" si="4869"/>
        <v>0</v>
      </c>
      <c r="LC73" s="40">
        <f t="shared" ca="1" si="4869"/>
        <v>0</v>
      </c>
      <c r="LD73" s="40">
        <f t="shared" ca="1" si="4869"/>
        <v>0</v>
      </c>
      <c r="LE73" s="40">
        <f t="shared" ca="1" si="4869"/>
        <v>0</v>
      </c>
      <c r="LF73" s="40">
        <f t="shared" ca="1" si="4869"/>
        <v>0</v>
      </c>
      <c r="LG73" s="40">
        <f t="shared" ca="1" si="4869"/>
        <v>0</v>
      </c>
      <c r="LH73" s="40">
        <f t="shared" ca="1" si="4869"/>
        <v>0</v>
      </c>
      <c r="LI73" s="40">
        <f t="shared" ca="1" si="4869"/>
        <v>0</v>
      </c>
      <c r="LJ73" s="40">
        <f t="shared" ca="1" si="4869"/>
        <v>0</v>
      </c>
      <c r="LK73" s="40">
        <f t="shared" ca="1" si="4869"/>
        <v>0</v>
      </c>
      <c r="LL73" s="40">
        <f t="shared" ca="1" si="4869"/>
        <v>0</v>
      </c>
      <c r="LM73" s="40">
        <f t="shared" ca="1" si="4869"/>
        <v>0</v>
      </c>
      <c r="LN73" s="40">
        <f t="shared" ca="1" si="4869"/>
        <v>0</v>
      </c>
      <c r="LO73" s="40">
        <f t="shared" ca="1" si="4869"/>
        <v>0</v>
      </c>
      <c r="LP73" s="40">
        <f t="shared" ca="1" si="4869"/>
        <v>0</v>
      </c>
      <c r="LQ73" s="40">
        <f t="shared" ca="1" si="4869"/>
        <v>0</v>
      </c>
      <c r="LR73" s="40">
        <f t="shared" ca="1" si="4869"/>
        <v>0</v>
      </c>
      <c r="LS73" s="40">
        <f t="shared" ca="1" si="4869"/>
        <v>0</v>
      </c>
      <c r="LT73" s="40">
        <f t="shared" ca="1" si="4869"/>
        <v>0</v>
      </c>
      <c r="LU73" s="40">
        <f t="shared" ca="1" si="4869"/>
        <v>0</v>
      </c>
      <c r="LV73" s="40">
        <f t="shared" ca="1" si="4869"/>
        <v>0</v>
      </c>
      <c r="LW73" s="40">
        <f t="shared" ca="1" si="4869"/>
        <v>0</v>
      </c>
      <c r="LX73" s="40">
        <f t="shared" ca="1" si="4869"/>
        <v>0</v>
      </c>
      <c r="LY73" s="40">
        <f t="shared" ca="1" si="4869"/>
        <v>0</v>
      </c>
      <c r="LZ73" s="40">
        <f t="shared" ca="1" si="4869"/>
        <v>0</v>
      </c>
      <c r="MA73" s="40">
        <f t="shared" ca="1" si="4869"/>
        <v>0</v>
      </c>
      <c r="MB73" s="40">
        <f t="shared" ca="1" si="4869"/>
        <v>0</v>
      </c>
      <c r="MC73" s="40">
        <f t="shared" ca="1" si="4869"/>
        <v>0</v>
      </c>
      <c r="MD73" s="40">
        <f t="shared" ca="1" si="4869"/>
        <v>0</v>
      </c>
      <c r="ME73" s="40">
        <f t="shared" ca="1" si="4869"/>
        <v>0</v>
      </c>
      <c r="MF73" s="40">
        <f t="shared" ca="1" si="4869"/>
        <v>0</v>
      </c>
      <c r="MG73" s="40">
        <f t="shared" ca="1" si="4869"/>
        <v>0</v>
      </c>
      <c r="MH73" s="40">
        <f t="shared" ca="1" si="4869"/>
        <v>0</v>
      </c>
      <c r="MI73" s="40">
        <f t="shared" ca="1" si="4869"/>
        <v>0</v>
      </c>
      <c r="MJ73" s="40">
        <f t="shared" ca="1" si="4869"/>
        <v>0</v>
      </c>
      <c r="MK73" s="40">
        <f t="shared" ca="1" si="4869"/>
        <v>0</v>
      </c>
      <c r="ML73" s="40">
        <f t="shared" ca="1" si="4869"/>
        <v>0</v>
      </c>
      <c r="MM73" s="40">
        <f t="shared" ca="1" si="4869"/>
        <v>0</v>
      </c>
      <c r="MN73" s="40">
        <f t="shared" ca="1" si="4869"/>
        <v>0</v>
      </c>
      <c r="MO73" s="40">
        <f t="shared" ca="1" si="4869"/>
        <v>0</v>
      </c>
      <c r="MP73" s="40">
        <f t="shared" ca="1" si="4869"/>
        <v>0</v>
      </c>
      <c r="MQ73" s="40">
        <f t="shared" ca="1" si="4869"/>
        <v>0</v>
      </c>
      <c r="MR73" s="40">
        <f t="shared" ca="1" si="4869"/>
        <v>0</v>
      </c>
      <c r="MS73" s="40">
        <f t="shared" ca="1" si="4869"/>
        <v>0</v>
      </c>
      <c r="MT73" s="40">
        <f t="shared" ca="1" si="4869"/>
        <v>0</v>
      </c>
      <c r="MU73" s="40">
        <f t="shared" ca="1" si="4869"/>
        <v>0</v>
      </c>
      <c r="MV73" s="40">
        <f t="shared" ca="1" si="4869"/>
        <v>0</v>
      </c>
      <c r="MW73" s="40">
        <f t="shared" ca="1" si="4869"/>
        <v>0</v>
      </c>
      <c r="MX73" s="40">
        <f t="shared" ca="1" si="4869"/>
        <v>0</v>
      </c>
      <c r="MY73" s="40">
        <f t="shared" ca="1" si="4869"/>
        <v>0</v>
      </c>
      <c r="MZ73" s="40">
        <f t="shared" ca="1" si="4869"/>
        <v>0</v>
      </c>
      <c r="NA73" s="40">
        <f t="shared" ca="1" si="4869"/>
        <v>0</v>
      </c>
      <c r="NB73" s="40">
        <f t="shared" ca="1" si="4869"/>
        <v>0</v>
      </c>
      <c r="NC73" s="40">
        <f t="shared" ca="1" si="4869"/>
        <v>0</v>
      </c>
      <c r="ND73" s="40">
        <f t="shared" ca="1" si="4869"/>
        <v>0</v>
      </c>
      <c r="NE73" s="40"/>
      <c r="NF73" s="40"/>
      <c r="NG73" s="40"/>
      <c r="NH73" s="40"/>
      <c r="NI73" s="40"/>
      <c r="NJ73" s="40"/>
      <c r="NK73" s="40"/>
      <c r="NL73" s="40"/>
      <c r="NM73" s="40"/>
      <c r="NN73" s="40"/>
      <c r="NO73" s="40"/>
      <c r="NP73" s="40"/>
      <c r="NQ73" s="40"/>
      <c r="NR73" s="40"/>
    </row>
    <row r="74" spans="2:382" x14ac:dyDescent="0.15">
      <c r="B74" s="519"/>
      <c r="C74" t="s">
        <v>171</v>
      </c>
      <c r="D74" s="5">
        <f>D69</f>
        <v>1</v>
      </c>
      <c r="G74" s="118"/>
      <c r="I74" s="40">
        <f>MIN(MAX(0,I72-I73),$D$74*I$65)</f>
        <v>0</v>
      </c>
      <c r="J74" s="40">
        <f t="shared" ref="J74" si="4870">MIN(MAX(0,J72-J73),$D$74*J$65)</f>
        <v>0</v>
      </c>
      <c r="K74" s="40">
        <f t="shared" ref="K74:BV74" si="4871">MIN(MAX(0,K72-K73),$D$74*K$65)</f>
        <v>0</v>
      </c>
      <c r="L74" s="40">
        <f t="shared" si="4871"/>
        <v>0</v>
      </c>
      <c r="M74" s="40">
        <f t="shared" si="4871"/>
        <v>0</v>
      </c>
      <c r="N74" s="40">
        <f t="shared" si="4871"/>
        <v>0</v>
      </c>
      <c r="O74" s="40">
        <f t="shared" si="4871"/>
        <v>0</v>
      </c>
      <c r="P74" s="40">
        <f t="shared" si="4871"/>
        <v>0</v>
      </c>
      <c r="Q74" s="40">
        <f t="shared" si="4871"/>
        <v>0</v>
      </c>
      <c r="R74" s="40">
        <f t="shared" si="4871"/>
        <v>0</v>
      </c>
      <c r="S74" s="40">
        <f t="shared" si="4871"/>
        <v>0</v>
      </c>
      <c r="T74" s="40">
        <f t="shared" si="4871"/>
        <v>0</v>
      </c>
      <c r="U74" s="40">
        <f t="shared" si="4871"/>
        <v>0</v>
      </c>
      <c r="V74" s="40">
        <f t="shared" si="4871"/>
        <v>0</v>
      </c>
      <c r="W74" s="40">
        <f t="shared" si="4871"/>
        <v>0</v>
      </c>
      <c r="X74" s="40">
        <f t="shared" si="4871"/>
        <v>0</v>
      </c>
      <c r="Y74" s="40">
        <f t="shared" si="4871"/>
        <v>0</v>
      </c>
      <c r="Z74" s="40">
        <f t="shared" si="4871"/>
        <v>0</v>
      </c>
      <c r="AA74" s="40">
        <f t="shared" si="4871"/>
        <v>0</v>
      </c>
      <c r="AB74" s="40">
        <f t="shared" si="4871"/>
        <v>0</v>
      </c>
      <c r="AC74" s="40">
        <f t="shared" si="4871"/>
        <v>0</v>
      </c>
      <c r="AD74" s="40">
        <f t="shared" si="4871"/>
        <v>0</v>
      </c>
      <c r="AE74" s="40">
        <f t="shared" si="4871"/>
        <v>0</v>
      </c>
      <c r="AF74" s="40">
        <f t="shared" si="4871"/>
        <v>0</v>
      </c>
      <c r="AG74" s="40">
        <f t="shared" si="4871"/>
        <v>0</v>
      </c>
      <c r="AH74" s="40">
        <f t="shared" si="4871"/>
        <v>0</v>
      </c>
      <c r="AI74" s="40">
        <f t="shared" si="4871"/>
        <v>0</v>
      </c>
      <c r="AJ74" s="40">
        <f t="shared" si="4871"/>
        <v>0</v>
      </c>
      <c r="AK74" s="40">
        <f t="shared" si="4871"/>
        <v>0</v>
      </c>
      <c r="AL74" s="40">
        <f t="shared" si="4871"/>
        <v>0</v>
      </c>
      <c r="AM74" s="40">
        <f t="shared" si="4871"/>
        <v>0</v>
      </c>
      <c r="AN74" s="40">
        <f t="shared" si="4871"/>
        <v>0</v>
      </c>
      <c r="AO74" s="40">
        <f t="shared" si="4871"/>
        <v>0</v>
      </c>
      <c r="AP74" s="40">
        <f t="shared" si="4871"/>
        <v>0</v>
      </c>
      <c r="AQ74" s="40">
        <f t="shared" si="4871"/>
        <v>0</v>
      </c>
      <c r="AR74" s="40">
        <f t="shared" si="4871"/>
        <v>0</v>
      </c>
      <c r="AS74" s="40">
        <f t="shared" si="4871"/>
        <v>0</v>
      </c>
      <c r="AT74" s="40">
        <f t="shared" si="4871"/>
        <v>0</v>
      </c>
      <c r="AU74" s="40">
        <f t="shared" si="4871"/>
        <v>0</v>
      </c>
      <c r="AV74" s="40">
        <f t="shared" si="4871"/>
        <v>0</v>
      </c>
      <c r="AW74" s="40">
        <f t="shared" si="4871"/>
        <v>0</v>
      </c>
      <c r="AX74" s="40">
        <f t="shared" si="4871"/>
        <v>0</v>
      </c>
      <c r="AY74" s="40">
        <f t="shared" si="4871"/>
        <v>0</v>
      </c>
      <c r="AZ74" s="40">
        <f t="shared" si="4871"/>
        <v>0</v>
      </c>
      <c r="BA74" s="40">
        <f t="shared" si="4871"/>
        <v>0</v>
      </c>
      <c r="BB74" s="40">
        <f t="shared" si="4871"/>
        <v>0</v>
      </c>
      <c r="BC74" s="40">
        <f t="shared" si="4871"/>
        <v>0</v>
      </c>
      <c r="BD74" s="40">
        <f t="shared" si="4871"/>
        <v>0</v>
      </c>
      <c r="BE74" s="40">
        <f t="shared" si="4871"/>
        <v>0</v>
      </c>
      <c r="BF74" s="40">
        <f t="shared" si="4871"/>
        <v>0</v>
      </c>
      <c r="BG74" s="40">
        <f t="shared" si="4871"/>
        <v>0</v>
      </c>
      <c r="BH74" s="40">
        <f t="shared" si="4871"/>
        <v>0</v>
      </c>
      <c r="BI74" s="40">
        <f t="shared" si="4871"/>
        <v>0</v>
      </c>
      <c r="BJ74" s="40">
        <f t="shared" si="4871"/>
        <v>0</v>
      </c>
      <c r="BK74" s="40">
        <f t="shared" si="4871"/>
        <v>0</v>
      </c>
      <c r="BL74" s="40">
        <f t="shared" si="4871"/>
        <v>0</v>
      </c>
      <c r="BM74" s="40">
        <f t="shared" si="4871"/>
        <v>0</v>
      </c>
      <c r="BN74" s="40">
        <f t="shared" si="4871"/>
        <v>0</v>
      </c>
      <c r="BO74" s="40">
        <f t="shared" si="4871"/>
        <v>0</v>
      </c>
      <c r="BP74" s="40">
        <f t="shared" si="4871"/>
        <v>0</v>
      </c>
      <c r="BQ74" s="40">
        <f t="shared" si="4871"/>
        <v>0</v>
      </c>
      <c r="BR74" s="40">
        <f t="shared" si="4871"/>
        <v>0</v>
      </c>
      <c r="BS74" s="40">
        <f t="shared" si="4871"/>
        <v>0</v>
      </c>
      <c r="BT74" s="40">
        <f t="shared" si="4871"/>
        <v>0</v>
      </c>
      <c r="BU74" s="40">
        <f t="shared" si="4871"/>
        <v>0</v>
      </c>
      <c r="BV74" s="40">
        <f t="shared" si="4871"/>
        <v>0</v>
      </c>
      <c r="BW74" s="40">
        <f t="shared" ref="BW74:EH74" si="4872">MIN(MAX(0,BW72-BW73),$D$74*BW$65)</f>
        <v>0</v>
      </c>
      <c r="BX74" s="40">
        <f t="shared" si="4872"/>
        <v>0</v>
      </c>
      <c r="BY74" s="40">
        <f t="shared" si="4872"/>
        <v>0</v>
      </c>
      <c r="BZ74" s="40">
        <f t="shared" si="4872"/>
        <v>0</v>
      </c>
      <c r="CA74" s="40">
        <f t="shared" si="4872"/>
        <v>0</v>
      </c>
      <c r="CB74" s="40">
        <f t="shared" si="4872"/>
        <v>0</v>
      </c>
      <c r="CC74" s="40">
        <f t="shared" si="4872"/>
        <v>0</v>
      </c>
      <c r="CD74" s="40">
        <f t="shared" si="4872"/>
        <v>0</v>
      </c>
      <c r="CE74" s="40">
        <f t="shared" si="4872"/>
        <v>0</v>
      </c>
      <c r="CF74" s="40">
        <f t="shared" si="4872"/>
        <v>0</v>
      </c>
      <c r="CG74" s="40">
        <f t="shared" si="4872"/>
        <v>0</v>
      </c>
      <c r="CH74" s="40">
        <f t="shared" si="4872"/>
        <v>0</v>
      </c>
      <c r="CI74" s="40">
        <f t="shared" si="4872"/>
        <v>0</v>
      </c>
      <c r="CJ74" s="40">
        <f t="shared" si="4872"/>
        <v>0</v>
      </c>
      <c r="CK74" s="40">
        <f t="shared" si="4872"/>
        <v>0</v>
      </c>
      <c r="CL74" s="40">
        <f t="shared" si="4872"/>
        <v>0</v>
      </c>
      <c r="CM74" s="40">
        <f t="shared" si="4872"/>
        <v>0</v>
      </c>
      <c r="CN74" s="40">
        <f t="shared" si="4872"/>
        <v>0</v>
      </c>
      <c r="CO74" s="40">
        <f t="shared" si="4872"/>
        <v>0</v>
      </c>
      <c r="CP74" s="40">
        <f t="shared" si="4872"/>
        <v>0</v>
      </c>
      <c r="CQ74" s="40">
        <f t="shared" si="4872"/>
        <v>0</v>
      </c>
      <c r="CR74" s="40">
        <f t="shared" si="4872"/>
        <v>0</v>
      </c>
      <c r="CS74" s="40">
        <f t="shared" si="4872"/>
        <v>0</v>
      </c>
      <c r="CT74" s="40">
        <f t="shared" si="4872"/>
        <v>0</v>
      </c>
      <c r="CU74" s="40">
        <f t="shared" si="4872"/>
        <v>0</v>
      </c>
      <c r="CV74" s="40">
        <f t="shared" si="4872"/>
        <v>0</v>
      </c>
      <c r="CW74" s="40">
        <f t="shared" si="4872"/>
        <v>0</v>
      </c>
      <c r="CX74" s="40">
        <f t="shared" si="4872"/>
        <v>0</v>
      </c>
      <c r="CY74" s="40">
        <f t="shared" si="4872"/>
        <v>0</v>
      </c>
      <c r="CZ74" s="40">
        <f t="shared" si="4872"/>
        <v>0</v>
      </c>
      <c r="DA74" s="40">
        <f t="shared" si="4872"/>
        <v>0</v>
      </c>
      <c r="DB74" s="40">
        <f t="shared" si="4872"/>
        <v>0</v>
      </c>
      <c r="DC74" s="40">
        <f t="shared" si="4872"/>
        <v>0</v>
      </c>
      <c r="DD74" s="40">
        <f t="shared" si="4872"/>
        <v>0</v>
      </c>
      <c r="DE74" s="40">
        <f t="shared" si="4872"/>
        <v>0</v>
      </c>
      <c r="DF74" s="40">
        <f t="shared" si="4872"/>
        <v>0</v>
      </c>
      <c r="DG74" s="40">
        <f t="shared" si="4872"/>
        <v>0</v>
      </c>
      <c r="DH74" s="40">
        <f t="shared" si="4872"/>
        <v>0</v>
      </c>
      <c r="DI74" s="40">
        <f t="shared" si="4872"/>
        <v>0</v>
      </c>
      <c r="DJ74" s="40">
        <f t="shared" si="4872"/>
        <v>0</v>
      </c>
      <c r="DK74" s="40">
        <f t="shared" si="4872"/>
        <v>0</v>
      </c>
      <c r="DL74" s="40">
        <f t="shared" si="4872"/>
        <v>0</v>
      </c>
      <c r="DM74" s="40">
        <f t="shared" si="4872"/>
        <v>0</v>
      </c>
      <c r="DN74" s="40">
        <f t="shared" si="4872"/>
        <v>0</v>
      </c>
      <c r="DO74" s="40">
        <f t="shared" si="4872"/>
        <v>0</v>
      </c>
      <c r="DP74" s="40">
        <f t="shared" si="4872"/>
        <v>0</v>
      </c>
      <c r="DQ74" s="40">
        <f t="shared" si="4872"/>
        <v>0</v>
      </c>
      <c r="DR74" s="40">
        <f t="shared" si="4872"/>
        <v>0</v>
      </c>
      <c r="DS74" s="40">
        <f t="shared" si="4872"/>
        <v>0</v>
      </c>
      <c r="DT74" s="40">
        <f t="shared" si="4872"/>
        <v>0</v>
      </c>
      <c r="DU74" s="40">
        <f t="shared" si="4872"/>
        <v>0</v>
      </c>
      <c r="DV74" s="40">
        <f t="shared" si="4872"/>
        <v>0</v>
      </c>
      <c r="DW74" s="40">
        <f t="shared" si="4872"/>
        <v>0</v>
      </c>
      <c r="DX74" s="40">
        <f t="shared" si="4872"/>
        <v>0</v>
      </c>
      <c r="DY74" s="40">
        <f t="shared" si="4872"/>
        <v>0</v>
      </c>
      <c r="DZ74" s="40">
        <f t="shared" si="4872"/>
        <v>0</v>
      </c>
      <c r="EA74" s="40">
        <f t="shared" si="4872"/>
        <v>0</v>
      </c>
      <c r="EB74" s="40">
        <f t="shared" si="4872"/>
        <v>0</v>
      </c>
      <c r="EC74" s="40">
        <f t="shared" si="4872"/>
        <v>0</v>
      </c>
      <c r="ED74" s="40">
        <f t="shared" si="4872"/>
        <v>0</v>
      </c>
      <c r="EE74" s="40">
        <f t="shared" si="4872"/>
        <v>0</v>
      </c>
      <c r="EF74" s="40">
        <f t="shared" si="4872"/>
        <v>0</v>
      </c>
      <c r="EG74" s="40">
        <f t="shared" si="4872"/>
        <v>0</v>
      </c>
      <c r="EH74" s="40">
        <f t="shared" si="4872"/>
        <v>0</v>
      </c>
      <c r="EI74" s="40">
        <f t="shared" ref="EI74:GT74" si="4873">MIN(MAX(0,EI72-EI73),$D$74*EI$65)</f>
        <v>0</v>
      </c>
      <c r="EJ74" s="40">
        <f t="shared" si="4873"/>
        <v>0</v>
      </c>
      <c r="EK74" s="40">
        <f t="shared" si="4873"/>
        <v>0</v>
      </c>
      <c r="EL74" s="40">
        <f t="shared" si="4873"/>
        <v>0</v>
      </c>
      <c r="EM74" s="40">
        <f t="shared" si="4873"/>
        <v>0</v>
      </c>
      <c r="EN74" s="40">
        <f t="shared" si="4873"/>
        <v>0</v>
      </c>
      <c r="EO74" s="40">
        <f t="shared" si="4873"/>
        <v>0</v>
      </c>
      <c r="EP74" s="40">
        <f t="shared" si="4873"/>
        <v>0</v>
      </c>
      <c r="EQ74" s="40">
        <f t="shared" si="4873"/>
        <v>0</v>
      </c>
      <c r="ER74" s="40">
        <f t="shared" si="4873"/>
        <v>0</v>
      </c>
      <c r="ES74" s="40">
        <f t="shared" si="4873"/>
        <v>0</v>
      </c>
      <c r="ET74" s="40">
        <f t="shared" si="4873"/>
        <v>0</v>
      </c>
      <c r="EU74" s="40">
        <f t="shared" si="4873"/>
        <v>0</v>
      </c>
      <c r="EV74" s="40">
        <f t="shared" si="4873"/>
        <v>0</v>
      </c>
      <c r="EW74" s="40">
        <f t="shared" si="4873"/>
        <v>0</v>
      </c>
      <c r="EX74" s="40">
        <f t="shared" si="4873"/>
        <v>0</v>
      </c>
      <c r="EY74" s="40">
        <f t="shared" si="4873"/>
        <v>0</v>
      </c>
      <c r="EZ74" s="40">
        <f t="shared" si="4873"/>
        <v>0</v>
      </c>
      <c r="FA74" s="40">
        <f t="shared" si="4873"/>
        <v>0</v>
      </c>
      <c r="FB74" s="40">
        <f t="shared" si="4873"/>
        <v>0</v>
      </c>
      <c r="FC74" s="40">
        <f t="shared" si="4873"/>
        <v>0</v>
      </c>
      <c r="FD74" s="40">
        <f t="shared" si="4873"/>
        <v>0</v>
      </c>
      <c r="FE74" s="40">
        <f t="shared" si="4873"/>
        <v>0</v>
      </c>
      <c r="FF74" s="40">
        <f t="shared" si="4873"/>
        <v>0</v>
      </c>
      <c r="FG74" s="40">
        <f t="shared" si="4873"/>
        <v>0</v>
      </c>
      <c r="FH74" s="40">
        <f t="shared" si="4873"/>
        <v>0</v>
      </c>
      <c r="FI74" s="40">
        <f t="shared" si="4873"/>
        <v>0</v>
      </c>
      <c r="FJ74" s="40">
        <f t="shared" si="4873"/>
        <v>0</v>
      </c>
      <c r="FK74" s="40">
        <f t="shared" si="4873"/>
        <v>0</v>
      </c>
      <c r="FL74" s="40">
        <f t="shared" si="4873"/>
        <v>0</v>
      </c>
      <c r="FM74" s="40">
        <f t="shared" si="4873"/>
        <v>0</v>
      </c>
      <c r="FN74" s="40">
        <f t="shared" si="4873"/>
        <v>0</v>
      </c>
      <c r="FO74" s="40">
        <f t="shared" si="4873"/>
        <v>0</v>
      </c>
      <c r="FP74" s="40">
        <f t="shared" si="4873"/>
        <v>0</v>
      </c>
      <c r="FQ74" s="40">
        <f t="shared" si="4873"/>
        <v>0</v>
      </c>
      <c r="FR74" s="40">
        <f t="shared" si="4873"/>
        <v>0</v>
      </c>
      <c r="FS74" s="40">
        <f t="shared" si="4873"/>
        <v>0</v>
      </c>
      <c r="FT74" s="40">
        <f t="shared" si="4873"/>
        <v>0</v>
      </c>
      <c r="FU74" s="40">
        <f t="shared" si="4873"/>
        <v>0</v>
      </c>
      <c r="FV74" s="40">
        <f t="shared" si="4873"/>
        <v>0</v>
      </c>
      <c r="FW74" s="40">
        <f t="shared" si="4873"/>
        <v>0</v>
      </c>
      <c r="FX74" s="40">
        <f t="shared" si="4873"/>
        <v>0</v>
      </c>
      <c r="FY74" s="40">
        <f t="shared" si="4873"/>
        <v>0</v>
      </c>
      <c r="FZ74" s="40">
        <f t="shared" si="4873"/>
        <v>0</v>
      </c>
      <c r="GA74" s="40">
        <f t="shared" si="4873"/>
        <v>0</v>
      </c>
      <c r="GB74" s="40">
        <f t="shared" si="4873"/>
        <v>0</v>
      </c>
      <c r="GC74" s="40">
        <f t="shared" si="4873"/>
        <v>0</v>
      </c>
      <c r="GD74" s="40">
        <f t="shared" si="4873"/>
        <v>0</v>
      </c>
      <c r="GE74" s="40">
        <f t="shared" si="4873"/>
        <v>0</v>
      </c>
      <c r="GF74" s="40">
        <f t="shared" ca="1" si="4873"/>
        <v>598380.00517586432</v>
      </c>
      <c r="GG74" s="40">
        <f t="shared" ca="1" si="4873"/>
        <v>0</v>
      </c>
      <c r="GH74" s="40">
        <f t="shared" ca="1" si="4873"/>
        <v>0</v>
      </c>
      <c r="GI74" s="40">
        <f t="shared" ca="1" si="4873"/>
        <v>0</v>
      </c>
      <c r="GJ74" s="40">
        <f t="shared" ca="1" si="4873"/>
        <v>0</v>
      </c>
      <c r="GK74" s="40">
        <f t="shared" ca="1" si="4873"/>
        <v>0</v>
      </c>
      <c r="GL74" s="40">
        <f t="shared" ca="1" si="4873"/>
        <v>0</v>
      </c>
      <c r="GM74" s="40">
        <f t="shared" ca="1" si="4873"/>
        <v>0</v>
      </c>
      <c r="GN74" s="40">
        <f t="shared" ca="1" si="4873"/>
        <v>0</v>
      </c>
      <c r="GO74" s="40">
        <f t="shared" ca="1" si="4873"/>
        <v>0</v>
      </c>
      <c r="GP74" s="40">
        <f t="shared" ca="1" si="4873"/>
        <v>0</v>
      </c>
      <c r="GQ74" s="40">
        <f t="shared" ca="1" si="4873"/>
        <v>0</v>
      </c>
      <c r="GR74" s="40">
        <f t="shared" ca="1" si="4873"/>
        <v>0</v>
      </c>
      <c r="GS74" s="40">
        <f t="shared" ca="1" si="4873"/>
        <v>0</v>
      </c>
      <c r="GT74" s="40">
        <f t="shared" ca="1" si="4873"/>
        <v>0</v>
      </c>
      <c r="GU74" s="40">
        <f t="shared" ref="GU74:IN74" ca="1" si="4874">MIN(MAX(0,GU72-GU73),$D$74*GU$65)</f>
        <v>0</v>
      </c>
      <c r="GV74" s="40">
        <f t="shared" ca="1" si="4874"/>
        <v>0</v>
      </c>
      <c r="GW74" s="40">
        <f t="shared" ca="1" si="4874"/>
        <v>0</v>
      </c>
      <c r="GX74" s="40">
        <f t="shared" ca="1" si="4874"/>
        <v>0</v>
      </c>
      <c r="GY74" s="40">
        <f t="shared" ca="1" si="4874"/>
        <v>0</v>
      </c>
      <c r="GZ74" s="40">
        <f t="shared" ca="1" si="4874"/>
        <v>0</v>
      </c>
      <c r="HA74" s="40">
        <f t="shared" ca="1" si="4874"/>
        <v>0</v>
      </c>
      <c r="HB74" s="40">
        <f t="shared" ca="1" si="4874"/>
        <v>0</v>
      </c>
      <c r="HC74" s="40">
        <f t="shared" ca="1" si="4874"/>
        <v>0</v>
      </c>
      <c r="HD74" s="40">
        <f t="shared" ca="1" si="4874"/>
        <v>0</v>
      </c>
      <c r="HE74" s="40">
        <f t="shared" ca="1" si="4874"/>
        <v>0</v>
      </c>
      <c r="HF74" s="40">
        <f t="shared" ca="1" si="4874"/>
        <v>0</v>
      </c>
      <c r="HG74" s="40">
        <f ca="1">MIN(MAX(0,HG72-HG73),$D$74*HG$65)</f>
        <v>0</v>
      </c>
      <c r="HH74" s="40">
        <f t="shared" ca="1" si="4874"/>
        <v>0</v>
      </c>
      <c r="HI74" s="40">
        <f t="shared" ca="1" si="4874"/>
        <v>0</v>
      </c>
      <c r="HJ74" s="40">
        <f t="shared" ca="1" si="4874"/>
        <v>0</v>
      </c>
      <c r="HK74" s="40">
        <f t="shared" ca="1" si="4874"/>
        <v>0</v>
      </c>
      <c r="HL74" s="40">
        <f t="shared" ca="1" si="4874"/>
        <v>0</v>
      </c>
      <c r="HM74" s="40">
        <f t="shared" ca="1" si="4874"/>
        <v>0</v>
      </c>
      <c r="HN74" s="40">
        <f t="shared" ca="1" si="4874"/>
        <v>0</v>
      </c>
      <c r="HO74" s="40">
        <f t="shared" ca="1" si="4874"/>
        <v>0</v>
      </c>
      <c r="HP74" s="40">
        <f t="shared" ca="1" si="4874"/>
        <v>0</v>
      </c>
      <c r="HQ74" s="40">
        <f t="shared" ca="1" si="4874"/>
        <v>0</v>
      </c>
      <c r="HR74" s="40">
        <f t="shared" ca="1" si="4874"/>
        <v>0</v>
      </c>
      <c r="HS74" s="40">
        <f t="shared" ca="1" si="4874"/>
        <v>0</v>
      </c>
      <c r="HT74" s="40">
        <f t="shared" ca="1" si="4874"/>
        <v>0</v>
      </c>
      <c r="HU74" s="40">
        <f t="shared" ca="1" si="4874"/>
        <v>0</v>
      </c>
      <c r="HV74" s="40">
        <f t="shared" ca="1" si="4874"/>
        <v>0</v>
      </c>
      <c r="HW74" s="40">
        <f t="shared" ca="1" si="4874"/>
        <v>0</v>
      </c>
      <c r="HX74" s="40">
        <f t="shared" ca="1" si="4874"/>
        <v>0</v>
      </c>
      <c r="HY74" s="40">
        <f t="shared" ca="1" si="4874"/>
        <v>0</v>
      </c>
      <c r="HZ74" s="40">
        <f t="shared" ca="1" si="4874"/>
        <v>0</v>
      </c>
      <c r="IA74" s="40">
        <f t="shared" ca="1" si="4874"/>
        <v>0</v>
      </c>
      <c r="IB74" s="40">
        <f t="shared" ca="1" si="4874"/>
        <v>0</v>
      </c>
      <c r="IC74" s="40">
        <f t="shared" ca="1" si="4874"/>
        <v>0</v>
      </c>
      <c r="ID74" s="40">
        <f t="shared" ca="1" si="4874"/>
        <v>0</v>
      </c>
      <c r="IE74" s="40">
        <f t="shared" ca="1" si="4874"/>
        <v>0</v>
      </c>
      <c r="IF74" s="40">
        <f t="shared" ca="1" si="4874"/>
        <v>0</v>
      </c>
      <c r="IG74" s="40">
        <f t="shared" ca="1" si="4874"/>
        <v>0</v>
      </c>
      <c r="IH74" s="40">
        <f t="shared" ca="1" si="4874"/>
        <v>0</v>
      </c>
      <c r="II74" s="40">
        <f t="shared" ca="1" si="4874"/>
        <v>0</v>
      </c>
      <c r="IJ74" s="40">
        <f t="shared" ca="1" si="4874"/>
        <v>0</v>
      </c>
      <c r="IK74" s="40">
        <f t="shared" ca="1" si="4874"/>
        <v>0</v>
      </c>
      <c r="IL74" s="40">
        <f t="shared" ca="1" si="4874"/>
        <v>0</v>
      </c>
      <c r="IM74" s="40">
        <f t="shared" ca="1" si="4874"/>
        <v>0</v>
      </c>
      <c r="IN74" s="40">
        <f t="shared" ca="1" si="4874"/>
        <v>0</v>
      </c>
      <c r="IO74" s="40">
        <f t="shared" ref="IO74:KZ74" ca="1" si="4875">MIN(MAX(0,IO72-IO73),$D$74*IO$65)</f>
        <v>0</v>
      </c>
      <c r="IP74" s="40">
        <f t="shared" ca="1" si="4875"/>
        <v>0</v>
      </c>
      <c r="IQ74" s="40">
        <f ca="1">MIN(MAX(0,IQ72-IQ73),$D$74*IQ$65)</f>
        <v>0</v>
      </c>
      <c r="IR74" s="40">
        <f t="shared" ca="1" si="4875"/>
        <v>0</v>
      </c>
      <c r="IS74" s="40">
        <f t="shared" ca="1" si="4875"/>
        <v>0</v>
      </c>
      <c r="IT74" s="40">
        <f t="shared" ca="1" si="4875"/>
        <v>0</v>
      </c>
      <c r="IU74" s="40">
        <f t="shared" ca="1" si="4875"/>
        <v>0</v>
      </c>
      <c r="IV74" s="40">
        <f t="shared" ca="1" si="4875"/>
        <v>0</v>
      </c>
      <c r="IW74" s="40">
        <f t="shared" ca="1" si="4875"/>
        <v>0</v>
      </c>
      <c r="IX74" s="40">
        <f t="shared" ca="1" si="4875"/>
        <v>0</v>
      </c>
      <c r="IY74" s="40">
        <f t="shared" ca="1" si="4875"/>
        <v>0</v>
      </c>
      <c r="IZ74" s="40">
        <f t="shared" ca="1" si="4875"/>
        <v>0</v>
      </c>
      <c r="JA74" s="40">
        <f t="shared" ca="1" si="4875"/>
        <v>0</v>
      </c>
      <c r="JB74" s="40">
        <f t="shared" ca="1" si="4875"/>
        <v>0</v>
      </c>
      <c r="JC74" s="40">
        <f t="shared" ca="1" si="4875"/>
        <v>0</v>
      </c>
      <c r="JD74" s="40">
        <f t="shared" ca="1" si="4875"/>
        <v>0</v>
      </c>
      <c r="JE74" s="40">
        <f t="shared" ca="1" si="4875"/>
        <v>0</v>
      </c>
      <c r="JF74" s="40">
        <f t="shared" ca="1" si="4875"/>
        <v>0</v>
      </c>
      <c r="JG74" s="40">
        <f t="shared" ca="1" si="4875"/>
        <v>0</v>
      </c>
      <c r="JH74" s="40">
        <f t="shared" ca="1" si="4875"/>
        <v>0</v>
      </c>
      <c r="JI74" s="40">
        <f t="shared" ca="1" si="4875"/>
        <v>0</v>
      </c>
      <c r="JJ74" s="40">
        <f t="shared" ca="1" si="4875"/>
        <v>0</v>
      </c>
      <c r="JK74" s="40">
        <f t="shared" ca="1" si="4875"/>
        <v>0</v>
      </c>
      <c r="JL74" s="40">
        <f t="shared" ca="1" si="4875"/>
        <v>0</v>
      </c>
      <c r="JM74" s="40">
        <f t="shared" ca="1" si="4875"/>
        <v>0</v>
      </c>
      <c r="JN74" s="40">
        <f t="shared" ca="1" si="4875"/>
        <v>0</v>
      </c>
      <c r="JO74" s="40">
        <f t="shared" ca="1" si="4875"/>
        <v>0</v>
      </c>
      <c r="JP74" s="40">
        <f t="shared" ca="1" si="4875"/>
        <v>0</v>
      </c>
      <c r="JQ74" s="40">
        <f t="shared" ca="1" si="4875"/>
        <v>0</v>
      </c>
      <c r="JR74" s="40">
        <f t="shared" ca="1" si="4875"/>
        <v>0</v>
      </c>
      <c r="JS74" s="40">
        <f t="shared" ca="1" si="4875"/>
        <v>0</v>
      </c>
      <c r="JT74" s="40">
        <f t="shared" ca="1" si="4875"/>
        <v>0</v>
      </c>
      <c r="JU74" s="40">
        <f t="shared" ca="1" si="4875"/>
        <v>0</v>
      </c>
      <c r="JV74" s="40">
        <f t="shared" ca="1" si="4875"/>
        <v>0</v>
      </c>
      <c r="JW74" s="40">
        <f t="shared" ca="1" si="4875"/>
        <v>0</v>
      </c>
      <c r="JX74" s="40">
        <f t="shared" ca="1" si="4875"/>
        <v>0</v>
      </c>
      <c r="JY74" s="40">
        <f t="shared" ca="1" si="4875"/>
        <v>0</v>
      </c>
      <c r="JZ74" s="40">
        <f t="shared" ca="1" si="4875"/>
        <v>0</v>
      </c>
      <c r="KA74" s="40">
        <f t="shared" ca="1" si="4875"/>
        <v>0</v>
      </c>
      <c r="KB74" s="40">
        <f t="shared" ca="1" si="4875"/>
        <v>0</v>
      </c>
      <c r="KC74" s="40">
        <f t="shared" ca="1" si="4875"/>
        <v>0</v>
      </c>
      <c r="KD74" s="40">
        <f t="shared" ca="1" si="4875"/>
        <v>0</v>
      </c>
      <c r="KE74" s="40">
        <f t="shared" ca="1" si="4875"/>
        <v>0</v>
      </c>
      <c r="KF74" s="40">
        <f t="shared" ca="1" si="4875"/>
        <v>0</v>
      </c>
      <c r="KG74" s="40">
        <f t="shared" ca="1" si="4875"/>
        <v>0</v>
      </c>
      <c r="KH74" s="40">
        <f t="shared" ca="1" si="4875"/>
        <v>0</v>
      </c>
      <c r="KI74" s="40">
        <f t="shared" ca="1" si="4875"/>
        <v>0</v>
      </c>
      <c r="KJ74" s="40">
        <f t="shared" ca="1" si="4875"/>
        <v>0</v>
      </c>
      <c r="KK74" s="40">
        <f t="shared" ca="1" si="4875"/>
        <v>0</v>
      </c>
      <c r="KL74" s="40">
        <f t="shared" ca="1" si="4875"/>
        <v>0</v>
      </c>
      <c r="KM74" s="40">
        <f t="shared" ca="1" si="4875"/>
        <v>0</v>
      </c>
      <c r="KN74" s="40">
        <f t="shared" ca="1" si="4875"/>
        <v>0</v>
      </c>
      <c r="KO74" s="40">
        <f t="shared" ca="1" si="4875"/>
        <v>0</v>
      </c>
      <c r="KP74" s="40">
        <f t="shared" ca="1" si="4875"/>
        <v>0</v>
      </c>
      <c r="KQ74" s="40">
        <f t="shared" ca="1" si="4875"/>
        <v>0</v>
      </c>
      <c r="KR74" s="40">
        <f t="shared" ca="1" si="4875"/>
        <v>0</v>
      </c>
      <c r="KS74" s="40">
        <f t="shared" ca="1" si="4875"/>
        <v>0</v>
      </c>
      <c r="KT74" s="40">
        <f t="shared" ca="1" si="4875"/>
        <v>0</v>
      </c>
      <c r="KU74" s="40">
        <f t="shared" ca="1" si="4875"/>
        <v>0</v>
      </c>
      <c r="KV74" s="40">
        <f t="shared" ca="1" si="4875"/>
        <v>0</v>
      </c>
      <c r="KW74" s="40">
        <f t="shared" ca="1" si="4875"/>
        <v>0</v>
      </c>
      <c r="KX74" s="40">
        <f t="shared" ca="1" si="4875"/>
        <v>0</v>
      </c>
      <c r="KY74" s="40">
        <f t="shared" ca="1" si="4875"/>
        <v>0</v>
      </c>
      <c r="KZ74" s="40">
        <f t="shared" ca="1" si="4875"/>
        <v>0</v>
      </c>
      <c r="LA74" s="40">
        <f t="shared" ref="LA74:ND74" ca="1" si="4876">MIN(MAX(0,LA72-LA73),$D$74*LA$65)</f>
        <v>0</v>
      </c>
      <c r="LB74" s="40">
        <f t="shared" ca="1" si="4876"/>
        <v>0</v>
      </c>
      <c r="LC74" s="40">
        <f t="shared" ca="1" si="4876"/>
        <v>0</v>
      </c>
      <c r="LD74" s="40">
        <f t="shared" ca="1" si="4876"/>
        <v>0</v>
      </c>
      <c r="LE74" s="40">
        <f t="shared" ca="1" si="4876"/>
        <v>0</v>
      </c>
      <c r="LF74" s="40">
        <f t="shared" ca="1" si="4876"/>
        <v>0</v>
      </c>
      <c r="LG74" s="40">
        <f t="shared" ca="1" si="4876"/>
        <v>0</v>
      </c>
      <c r="LH74" s="40">
        <f t="shared" ca="1" si="4876"/>
        <v>0</v>
      </c>
      <c r="LI74" s="40">
        <f t="shared" ca="1" si="4876"/>
        <v>0</v>
      </c>
      <c r="LJ74" s="40">
        <f t="shared" ca="1" si="4876"/>
        <v>0</v>
      </c>
      <c r="LK74" s="40">
        <f t="shared" ca="1" si="4876"/>
        <v>0</v>
      </c>
      <c r="LL74" s="40">
        <f t="shared" ca="1" si="4876"/>
        <v>0</v>
      </c>
      <c r="LM74" s="40">
        <f t="shared" ca="1" si="4876"/>
        <v>0</v>
      </c>
      <c r="LN74" s="40">
        <f t="shared" ca="1" si="4876"/>
        <v>0</v>
      </c>
      <c r="LO74" s="40">
        <f t="shared" ca="1" si="4876"/>
        <v>0</v>
      </c>
      <c r="LP74" s="40">
        <f t="shared" ca="1" si="4876"/>
        <v>0</v>
      </c>
      <c r="LQ74" s="40">
        <f t="shared" ca="1" si="4876"/>
        <v>0</v>
      </c>
      <c r="LR74" s="40">
        <f t="shared" ca="1" si="4876"/>
        <v>0</v>
      </c>
      <c r="LS74" s="40">
        <f t="shared" ca="1" si="4876"/>
        <v>0</v>
      </c>
      <c r="LT74" s="40">
        <f t="shared" ca="1" si="4876"/>
        <v>0</v>
      </c>
      <c r="LU74" s="40">
        <f t="shared" ca="1" si="4876"/>
        <v>0</v>
      </c>
      <c r="LV74" s="40">
        <f t="shared" ca="1" si="4876"/>
        <v>0</v>
      </c>
      <c r="LW74" s="40">
        <f t="shared" ca="1" si="4876"/>
        <v>0</v>
      </c>
      <c r="LX74" s="40">
        <f t="shared" ca="1" si="4876"/>
        <v>0</v>
      </c>
      <c r="LY74" s="40">
        <f t="shared" ca="1" si="4876"/>
        <v>0</v>
      </c>
      <c r="LZ74" s="40">
        <f t="shared" ca="1" si="4876"/>
        <v>0</v>
      </c>
      <c r="MA74" s="40">
        <f t="shared" ca="1" si="4876"/>
        <v>0</v>
      </c>
      <c r="MB74" s="40">
        <f t="shared" ca="1" si="4876"/>
        <v>0</v>
      </c>
      <c r="MC74" s="40">
        <f t="shared" ca="1" si="4876"/>
        <v>0</v>
      </c>
      <c r="MD74" s="40">
        <f t="shared" ca="1" si="4876"/>
        <v>0</v>
      </c>
      <c r="ME74" s="40">
        <f t="shared" ca="1" si="4876"/>
        <v>0</v>
      </c>
      <c r="MF74" s="40">
        <f t="shared" ca="1" si="4876"/>
        <v>0</v>
      </c>
      <c r="MG74" s="40">
        <f t="shared" ca="1" si="4876"/>
        <v>0</v>
      </c>
      <c r="MH74" s="40">
        <f t="shared" ca="1" si="4876"/>
        <v>0</v>
      </c>
      <c r="MI74" s="40">
        <f t="shared" ca="1" si="4876"/>
        <v>0</v>
      </c>
      <c r="MJ74" s="40">
        <f t="shared" ca="1" si="4876"/>
        <v>0</v>
      </c>
      <c r="MK74" s="40">
        <f t="shared" ca="1" si="4876"/>
        <v>0</v>
      </c>
      <c r="ML74" s="40">
        <f t="shared" ca="1" si="4876"/>
        <v>0</v>
      </c>
      <c r="MM74" s="40">
        <f t="shared" ca="1" si="4876"/>
        <v>0</v>
      </c>
      <c r="MN74" s="40">
        <f t="shared" ca="1" si="4876"/>
        <v>0</v>
      </c>
      <c r="MO74" s="40">
        <f t="shared" ca="1" si="4876"/>
        <v>0</v>
      </c>
      <c r="MP74" s="40">
        <f t="shared" ca="1" si="4876"/>
        <v>0</v>
      </c>
      <c r="MQ74" s="40">
        <f t="shared" ca="1" si="4876"/>
        <v>0</v>
      </c>
      <c r="MR74" s="40">
        <f t="shared" ca="1" si="4876"/>
        <v>0</v>
      </c>
      <c r="MS74" s="40">
        <f t="shared" ca="1" si="4876"/>
        <v>0</v>
      </c>
      <c r="MT74" s="40">
        <f t="shared" ca="1" si="4876"/>
        <v>0</v>
      </c>
      <c r="MU74" s="40">
        <f t="shared" ca="1" si="4876"/>
        <v>0</v>
      </c>
      <c r="MV74" s="40">
        <f t="shared" ca="1" si="4876"/>
        <v>0</v>
      </c>
      <c r="MW74" s="40">
        <f t="shared" ca="1" si="4876"/>
        <v>0</v>
      </c>
      <c r="MX74" s="40">
        <f t="shared" ca="1" si="4876"/>
        <v>0</v>
      </c>
      <c r="MY74" s="40">
        <f t="shared" ca="1" si="4876"/>
        <v>0</v>
      </c>
      <c r="MZ74" s="40">
        <f t="shared" ca="1" si="4876"/>
        <v>0</v>
      </c>
      <c r="NA74" s="40">
        <f t="shared" ca="1" si="4876"/>
        <v>0</v>
      </c>
      <c r="NB74" s="40">
        <f t="shared" ca="1" si="4876"/>
        <v>0</v>
      </c>
      <c r="NC74" s="40">
        <f t="shared" ca="1" si="4876"/>
        <v>0</v>
      </c>
      <c r="ND74" s="40">
        <f t="shared" ca="1" si="4876"/>
        <v>0</v>
      </c>
      <c r="NE74" s="40"/>
      <c r="NF74" s="40"/>
      <c r="NG74" s="40"/>
      <c r="NH74" s="40"/>
      <c r="NI74" s="40"/>
      <c r="NJ74" s="40"/>
      <c r="NK74" s="40"/>
      <c r="NL74" s="40"/>
      <c r="NM74" s="40"/>
      <c r="NN74" s="40"/>
      <c r="NO74" s="40"/>
      <c r="NP74" s="40"/>
      <c r="NQ74" s="40"/>
      <c r="NR74" s="40"/>
    </row>
    <row r="75" spans="2:382" x14ac:dyDescent="0.15">
      <c r="B75" s="519"/>
      <c r="C75" t="s">
        <v>172</v>
      </c>
      <c r="D75" s="5">
        <f>D70</f>
        <v>0</v>
      </c>
      <c r="G75" s="118"/>
      <c r="I75" s="40">
        <f>I74/$D$74*$D$75</f>
        <v>0</v>
      </c>
      <c r="J75" s="40">
        <f t="shared" ref="J75" si="4877">J74/$D$74*$D$75</f>
        <v>0</v>
      </c>
      <c r="K75" s="40">
        <f t="shared" ref="K75:BV75" si="4878">K74/$D$74*$D$75</f>
        <v>0</v>
      </c>
      <c r="L75" s="40">
        <f t="shared" si="4878"/>
        <v>0</v>
      </c>
      <c r="M75" s="40">
        <f t="shared" si="4878"/>
        <v>0</v>
      </c>
      <c r="N75" s="40">
        <f t="shared" si="4878"/>
        <v>0</v>
      </c>
      <c r="O75" s="40">
        <f t="shared" si="4878"/>
        <v>0</v>
      </c>
      <c r="P75" s="40">
        <f t="shared" si="4878"/>
        <v>0</v>
      </c>
      <c r="Q75" s="40">
        <f t="shared" si="4878"/>
        <v>0</v>
      </c>
      <c r="R75" s="40">
        <f t="shared" si="4878"/>
        <v>0</v>
      </c>
      <c r="S75" s="40">
        <f t="shared" si="4878"/>
        <v>0</v>
      </c>
      <c r="T75" s="40">
        <f t="shared" si="4878"/>
        <v>0</v>
      </c>
      <c r="U75" s="40">
        <f t="shared" si="4878"/>
        <v>0</v>
      </c>
      <c r="V75" s="40">
        <f t="shared" si="4878"/>
        <v>0</v>
      </c>
      <c r="W75" s="40">
        <f t="shared" si="4878"/>
        <v>0</v>
      </c>
      <c r="X75" s="40">
        <f t="shared" si="4878"/>
        <v>0</v>
      </c>
      <c r="Y75" s="40">
        <f t="shared" si="4878"/>
        <v>0</v>
      </c>
      <c r="Z75" s="40">
        <f t="shared" si="4878"/>
        <v>0</v>
      </c>
      <c r="AA75" s="40">
        <f t="shared" si="4878"/>
        <v>0</v>
      </c>
      <c r="AB75" s="40">
        <f t="shared" si="4878"/>
        <v>0</v>
      </c>
      <c r="AC75" s="40">
        <f t="shared" si="4878"/>
        <v>0</v>
      </c>
      <c r="AD75" s="40">
        <f t="shared" si="4878"/>
        <v>0</v>
      </c>
      <c r="AE75" s="40">
        <f t="shared" si="4878"/>
        <v>0</v>
      </c>
      <c r="AF75" s="40">
        <f t="shared" si="4878"/>
        <v>0</v>
      </c>
      <c r="AG75" s="40">
        <f t="shared" si="4878"/>
        <v>0</v>
      </c>
      <c r="AH75" s="40">
        <f t="shared" si="4878"/>
        <v>0</v>
      </c>
      <c r="AI75" s="40">
        <f t="shared" si="4878"/>
        <v>0</v>
      </c>
      <c r="AJ75" s="40">
        <f t="shared" si="4878"/>
        <v>0</v>
      </c>
      <c r="AK75" s="40">
        <f t="shared" si="4878"/>
        <v>0</v>
      </c>
      <c r="AL75" s="40">
        <f t="shared" si="4878"/>
        <v>0</v>
      </c>
      <c r="AM75" s="40">
        <f t="shared" si="4878"/>
        <v>0</v>
      </c>
      <c r="AN75" s="40">
        <f t="shared" si="4878"/>
        <v>0</v>
      </c>
      <c r="AO75" s="40">
        <f t="shared" si="4878"/>
        <v>0</v>
      </c>
      <c r="AP75" s="40">
        <f t="shared" si="4878"/>
        <v>0</v>
      </c>
      <c r="AQ75" s="40">
        <f t="shared" si="4878"/>
        <v>0</v>
      </c>
      <c r="AR75" s="40">
        <f t="shared" si="4878"/>
        <v>0</v>
      </c>
      <c r="AS75" s="40">
        <f t="shared" si="4878"/>
        <v>0</v>
      </c>
      <c r="AT75" s="40">
        <f t="shared" si="4878"/>
        <v>0</v>
      </c>
      <c r="AU75" s="40">
        <f t="shared" si="4878"/>
        <v>0</v>
      </c>
      <c r="AV75" s="40">
        <f t="shared" si="4878"/>
        <v>0</v>
      </c>
      <c r="AW75" s="40">
        <f t="shared" si="4878"/>
        <v>0</v>
      </c>
      <c r="AX75" s="40">
        <f t="shared" si="4878"/>
        <v>0</v>
      </c>
      <c r="AY75" s="40">
        <f t="shared" si="4878"/>
        <v>0</v>
      </c>
      <c r="AZ75" s="40">
        <f t="shared" si="4878"/>
        <v>0</v>
      </c>
      <c r="BA75" s="40">
        <f t="shared" si="4878"/>
        <v>0</v>
      </c>
      <c r="BB75" s="40">
        <f t="shared" si="4878"/>
        <v>0</v>
      </c>
      <c r="BC75" s="40">
        <f t="shared" si="4878"/>
        <v>0</v>
      </c>
      <c r="BD75" s="40">
        <f t="shared" si="4878"/>
        <v>0</v>
      </c>
      <c r="BE75" s="40">
        <f t="shared" si="4878"/>
        <v>0</v>
      </c>
      <c r="BF75" s="40">
        <f t="shared" si="4878"/>
        <v>0</v>
      </c>
      <c r="BG75" s="40">
        <f t="shared" si="4878"/>
        <v>0</v>
      </c>
      <c r="BH75" s="40">
        <f t="shared" si="4878"/>
        <v>0</v>
      </c>
      <c r="BI75" s="40">
        <f t="shared" si="4878"/>
        <v>0</v>
      </c>
      <c r="BJ75" s="40">
        <f t="shared" si="4878"/>
        <v>0</v>
      </c>
      <c r="BK75" s="40">
        <f t="shared" si="4878"/>
        <v>0</v>
      </c>
      <c r="BL75" s="40">
        <f t="shared" si="4878"/>
        <v>0</v>
      </c>
      <c r="BM75" s="40">
        <f t="shared" si="4878"/>
        <v>0</v>
      </c>
      <c r="BN75" s="40">
        <f t="shared" si="4878"/>
        <v>0</v>
      </c>
      <c r="BO75" s="40">
        <f t="shared" si="4878"/>
        <v>0</v>
      </c>
      <c r="BP75" s="40">
        <f t="shared" si="4878"/>
        <v>0</v>
      </c>
      <c r="BQ75" s="40">
        <f t="shared" si="4878"/>
        <v>0</v>
      </c>
      <c r="BR75" s="40">
        <f t="shared" si="4878"/>
        <v>0</v>
      </c>
      <c r="BS75" s="40">
        <f t="shared" si="4878"/>
        <v>0</v>
      </c>
      <c r="BT75" s="40">
        <f t="shared" si="4878"/>
        <v>0</v>
      </c>
      <c r="BU75" s="40">
        <f t="shared" si="4878"/>
        <v>0</v>
      </c>
      <c r="BV75" s="40">
        <f t="shared" si="4878"/>
        <v>0</v>
      </c>
      <c r="BW75" s="40">
        <f t="shared" ref="BW75:EH75" si="4879">BW74/$D$74*$D$75</f>
        <v>0</v>
      </c>
      <c r="BX75" s="40">
        <f t="shared" si="4879"/>
        <v>0</v>
      </c>
      <c r="BY75" s="40">
        <f t="shared" si="4879"/>
        <v>0</v>
      </c>
      <c r="BZ75" s="40">
        <f t="shared" si="4879"/>
        <v>0</v>
      </c>
      <c r="CA75" s="40">
        <f t="shared" si="4879"/>
        <v>0</v>
      </c>
      <c r="CB75" s="40">
        <f t="shared" si="4879"/>
        <v>0</v>
      </c>
      <c r="CC75" s="40">
        <f t="shared" si="4879"/>
        <v>0</v>
      </c>
      <c r="CD75" s="40">
        <f t="shared" si="4879"/>
        <v>0</v>
      </c>
      <c r="CE75" s="40">
        <f t="shared" si="4879"/>
        <v>0</v>
      </c>
      <c r="CF75" s="40">
        <f t="shared" si="4879"/>
        <v>0</v>
      </c>
      <c r="CG75" s="40">
        <f t="shared" si="4879"/>
        <v>0</v>
      </c>
      <c r="CH75" s="40">
        <f t="shared" si="4879"/>
        <v>0</v>
      </c>
      <c r="CI75" s="40">
        <f t="shared" si="4879"/>
        <v>0</v>
      </c>
      <c r="CJ75" s="40">
        <f t="shared" si="4879"/>
        <v>0</v>
      </c>
      <c r="CK75" s="40">
        <f t="shared" si="4879"/>
        <v>0</v>
      </c>
      <c r="CL75" s="40">
        <f t="shared" si="4879"/>
        <v>0</v>
      </c>
      <c r="CM75" s="40">
        <f t="shared" si="4879"/>
        <v>0</v>
      </c>
      <c r="CN75" s="40">
        <f t="shared" si="4879"/>
        <v>0</v>
      </c>
      <c r="CO75" s="40">
        <f t="shared" si="4879"/>
        <v>0</v>
      </c>
      <c r="CP75" s="40">
        <f t="shared" si="4879"/>
        <v>0</v>
      </c>
      <c r="CQ75" s="40">
        <f t="shared" si="4879"/>
        <v>0</v>
      </c>
      <c r="CR75" s="40">
        <f t="shared" si="4879"/>
        <v>0</v>
      </c>
      <c r="CS75" s="40">
        <f t="shared" si="4879"/>
        <v>0</v>
      </c>
      <c r="CT75" s="40">
        <f t="shared" si="4879"/>
        <v>0</v>
      </c>
      <c r="CU75" s="40">
        <f t="shared" si="4879"/>
        <v>0</v>
      </c>
      <c r="CV75" s="40">
        <f t="shared" si="4879"/>
        <v>0</v>
      </c>
      <c r="CW75" s="40">
        <f t="shared" si="4879"/>
        <v>0</v>
      </c>
      <c r="CX75" s="40">
        <f t="shared" si="4879"/>
        <v>0</v>
      </c>
      <c r="CY75" s="40">
        <f t="shared" si="4879"/>
        <v>0</v>
      </c>
      <c r="CZ75" s="40">
        <f t="shared" si="4879"/>
        <v>0</v>
      </c>
      <c r="DA75" s="40">
        <f t="shared" si="4879"/>
        <v>0</v>
      </c>
      <c r="DB75" s="40">
        <f t="shared" si="4879"/>
        <v>0</v>
      </c>
      <c r="DC75" s="40">
        <f t="shared" si="4879"/>
        <v>0</v>
      </c>
      <c r="DD75" s="40">
        <f t="shared" si="4879"/>
        <v>0</v>
      </c>
      <c r="DE75" s="40">
        <f t="shared" si="4879"/>
        <v>0</v>
      </c>
      <c r="DF75" s="40">
        <f t="shared" si="4879"/>
        <v>0</v>
      </c>
      <c r="DG75" s="40">
        <f t="shared" si="4879"/>
        <v>0</v>
      </c>
      <c r="DH75" s="40">
        <f t="shared" si="4879"/>
        <v>0</v>
      </c>
      <c r="DI75" s="40">
        <f t="shared" si="4879"/>
        <v>0</v>
      </c>
      <c r="DJ75" s="40">
        <f t="shared" si="4879"/>
        <v>0</v>
      </c>
      <c r="DK75" s="40">
        <f t="shared" si="4879"/>
        <v>0</v>
      </c>
      <c r="DL75" s="40">
        <f t="shared" si="4879"/>
        <v>0</v>
      </c>
      <c r="DM75" s="40">
        <f t="shared" si="4879"/>
        <v>0</v>
      </c>
      <c r="DN75" s="40">
        <f t="shared" si="4879"/>
        <v>0</v>
      </c>
      <c r="DO75" s="40">
        <f t="shared" si="4879"/>
        <v>0</v>
      </c>
      <c r="DP75" s="40">
        <f t="shared" si="4879"/>
        <v>0</v>
      </c>
      <c r="DQ75" s="40">
        <f t="shared" si="4879"/>
        <v>0</v>
      </c>
      <c r="DR75" s="40">
        <f t="shared" si="4879"/>
        <v>0</v>
      </c>
      <c r="DS75" s="40">
        <f t="shared" si="4879"/>
        <v>0</v>
      </c>
      <c r="DT75" s="40">
        <f t="shared" si="4879"/>
        <v>0</v>
      </c>
      <c r="DU75" s="40">
        <f t="shared" si="4879"/>
        <v>0</v>
      </c>
      <c r="DV75" s="40">
        <f t="shared" si="4879"/>
        <v>0</v>
      </c>
      <c r="DW75" s="40">
        <f t="shared" si="4879"/>
        <v>0</v>
      </c>
      <c r="DX75" s="40">
        <f t="shared" si="4879"/>
        <v>0</v>
      </c>
      <c r="DY75" s="40">
        <f t="shared" si="4879"/>
        <v>0</v>
      </c>
      <c r="DZ75" s="40">
        <f t="shared" si="4879"/>
        <v>0</v>
      </c>
      <c r="EA75" s="40">
        <f t="shared" si="4879"/>
        <v>0</v>
      </c>
      <c r="EB75" s="40">
        <f t="shared" si="4879"/>
        <v>0</v>
      </c>
      <c r="EC75" s="40">
        <f t="shared" si="4879"/>
        <v>0</v>
      </c>
      <c r="ED75" s="40">
        <f t="shared" si="4879"/>
        <v>0</v>
      </c>
      <c r="EE75" s="40">
        <f t="shared" si="4879"/>
        <v>0</v>
      </c>
      <c r="EF75" s="40">
        <f t="shared" si="4879"/>
        <v>0</v>
      </c>
      <c r="EG75" s="40">
        <f t="shared" si="4879"/>
        <v>0</v>
      </c>
      <c r="EH75" s="40">
        <f t="shared" si="4879"/>
        <v>0</v>
      </c>
      <c r="EI75" s="40">
        <f t="shared" ref="EI75:GT75" si="4880">EI74/$D$74*$D$75</f>
        <v>0</v>
      </c>
      <c r="EJ75" s="40">
        <f t="shared" si="4880"/>
        <v>0</v>
      </c>
      <c r="EK75" s="40">
        <f t="shared" si="4880"/>
        <v>0</v>
      </c>
      <c r="EL75" s="40">
        <f t="shared" si="4880"/>
        <v>0</v>
      </c>
      <c r="EM75" s="40">
        <f t="shared" si="4880"/>
        <v>0</v>
      </c>
      <c r="EN75" s="40">
        <f t="shared" si="4880"/>
        <v>0</v>
      </c>
      <c r="EO75" s="40">
        <f t="shared" si="4880"/>
        <v>0</v>
      </c>
      <c r="EP75" s="40">
        <f t="shared" si="4880"/>
        <v>0</v>
      </c>
      <c r="EQ75" s="40">
        <f t="shared" si="4880"/>
        <v>0</v>
      </c>
      <c r="ER75" s="40">
        <f t="shared" si="4880"/>
        <v>0</v>
      </c>
      <c r="ES75" s="40">
        <f t="shared" si="4880"/>
        <v>0</v>
      </c>
      <c r="ET75" s="40">
        <f t="shared" si="4880"/>
        <v>0</v>
      </c>
      <c r="EU75" s="40">
        <f t="shared" si="4880"/>
        <v>0</v>
      </c>
      <c r="EV75" s="40">
        <f t="shared" si="4880"/>
        <v>0</v>
      </c>
      <c r="EW75" s="40">
        <f t="shared" si="4880"/>
        <v>0</v>
      </c>
      <c r="EX75" s="40">
        <f t="shared" si="4880"/>
        <v>0</v>
      </c>
      <c r="EY75" s="40">
        <f t="shared" si="4880"/>
        <v>0</v>
      </c>
      <c r="EZ75" s="40">
        <f t="shared" si="4880"/>
        <v>0</v>
      </c>
      <c r="FA75" s="40">
        <f t="shared" si="4880"/>
        <v>0</v>
      </c>
      <c r="FB75" s="40">
        <f t="shared" si="4880"/>
        <v>0</v>
      </c>
      <c r="FC75" s="40">
        <f t="shared" si="4880"/>
        <v>0</v>
      </c>
      <c r="FD75" s="40">
        <f t="shared" si="4880"/>
        <v>0</v>
      </c>
      <c r="FE75" s="40">
        <f t="shared" si="4880"/>
        <v>0</v>
      </c>
      <c r="FF75" s="40">
        <f t="shared" si="4880"/>
        <v>0</v>
      </c>
      <c r="FG75" s="40">
        <f t="shared" si="4880"/>
        <v>0</v>
      </c>
      <c r="FH75" s="40">
        <f t="shared" si="4880"/>
        <v>0</v>
      </c>
      <c r="FI75" s="40">
        <f t="shared" si="4880"/>
        <v>0</v>
      </c>
      <c r="FJ75" s="40">
        <f t="shared" si="4880"/>
        <v>0</v>
      </c>
      <c r="FK75" s="40">
        <f t="shared" si="4880"/>
        <v>0</v>
      </c>
      <c r="FL75" s="40">
        <f t="shared" si="4880"/>
        <v>0</v>
      </c>
      <c r="FM75" s="40">
        <f t="shared" si="4880"/>
        <v>0</v>
      </c>
      <c r="FN75" s="40">
        <f t="shared" si="4880"/>
        <v>0</v>
      </c>
      <c r="FO75" s="40">
        <f t="shared" si="4880"/>
        <v>0</v>
      </c>
      <c r="FP75" s="40">
        <f t="shared" si="4880"/>
        <v>0</v>
      </c>
      <c r="FQ75" s="40">
        <f t="shared" si="4880"/>
        <v>0</v>
      </c>
      <c r="FR75" s="40">
        <f t="shared" si="4880"/>
        <v>0</v>
      </c>
      <c r="FS75" s="40">
        <f t="shared" si="4880"/>
        <v>0</v>
      </c>
      <c r="FT75" s="40">
        <f t="shared" si="4880"/>
        <v>0</v>
      </c>
      <c r="FU75" s="40">
        <f t="shared" si="4880"/>
        <v>0</v>
      </c>
      <c r="FV75" s="40">
        <f t="shared" si="4880"/>
        <v>0</v>
      </c>
      <c r="FW75" s="40">
        <f t="shared" si="4880"/>
        <v>0</v>
      </c>
      <c r="FX75" s="40">
        <f t="shared" si="4880"/>
        <v>0</v>
      </c>
      <c r="FY75" s="40">
        <f t="shared" si="4880"/>
        <v>0</v>
      </c>
      <c r="FZ75" s="40">
        <f t="shared" si="4880"/>
        <v>0</v>
      </c>
      <c r="GA75" s="40">
        <f t="shared" si="4880"/>
        <v>0</v>
      </c>
      <c r="GB75" s="40">
        <f t="shared" si="4880"/>
        <v>0</v>
      </c>
      <c r="GC75" s="40">
        <f t="shared" si="4880"/>
        <v>0</v>
      </c>
      <c r="GD75" s="40">
        <f t="shared" si="4880"/>
        <v>0</v>
      </c>
      <c r="GE75" s="40">
        <f t="shared" si="4880"/>
        <v>0</v>
      </c>
      <c r="GF75" s="40">
        <f t="shared" ca="1" si="4880"/>
        <v>0</v>
      </c>
      <c r="GG75" s="40">
        <f t="shared" ca="1" si="4880"/>
        <v>0</v>
      </c>
      <c r="GH75" s="40">
        <f t="shared" ca="1" si="4880"/>
        <v>0</v>
      </c>
      <c r="GI75" s="40">
        <f t="shared" ca="1" si="4880"/>
        <v>0</v>
      </c>
      <c r="GJ75" s="40">
        <f t="shared" ca="1" si="4880"/>
        <v>0</v>
      </c>
      <c r="GK75" s="40">
        <f t="shared" ca="1" si="4880"/>
        <v>0</v>
      </c>
      <c r="GL75" s="40">
        <f t="shared" ca="1" si="4880"/>
        <v>0</v>
      </c>
      <c r="GM75" s="40">
        <f t="shared" ca="1" si="4880"/>
        <v>0</v>
      </c>
      <c r="GN75" s="40">
        <f t="shared" ca="1" si="4880"/>
        <v>0</v>
      </c>
      <c r="GO75" s="40">
        <f t="shared" ca="1" si="4880"/>
        <v>0</v>
      </c>
      <c r="GP75" s="40">
        <f t="shared" ca="1" si="4880"/>
        <v>0</v>
      </c>
      <c r="GQ75" s="40">
        <f t="shared" ca="1" si="4880"/>
        <v>0</v>
      </c>
      <c r="GR75" s="40">
        <f t="shared" ca="1" si="4880"/>
        <v>0</v>
      </c>
      <c r="GS75" s="40">
        <f t="shared" ca="1" si="4880"/>
        <v>0</v>
      </c>
      <c r="GT75" s="40">
        <f t="shared" ca="1" si="4880"/>
        <v>0</v>
      </c>
      <c r="GU75" s="40">
        <f t="shared" ref="GU75:IN75" ca="1" si="4881">GU74/$D$74*$D$75</f>
        <v>0</v>
      </c>
      <c r="GV75" s="40">
        <f t="shared" ca="1" si="4881"/>
        <v>0</v>
      </c>
      <c r="GW75" s="40">
        <f t="shared" ca="1" si="4881"/>
        <v>0</v>
      </c>
      <c r="GX75" s="40">
        <f t="shared" ca="1" si="4881"/>
        <v>0</v>
      </c>
      <c r="GY75" s="40">
        <f t="shared" ca="1" si="4881"/>
        <v>0</v>
      </c>
      <c r="GZ75" s="40">
        <f t="shared" ca="1" si="4881"/>
        <v>0</v>
      </c>
      <c r="HA75" s="40">
        <f t="shared" ca="1" si="4881"/>
        <v>0</v>
      </c>
      <c r="HB75" s="40">
        <f t="shared" ca="1" si="4881"/>
        <v>0</v>
      </c>
      <c r="HC75" s="40">
        <f t="shared" ca="1" si="4881"/>
        <v>0</v>
      </c>
      <c r="HD75" s="40">
        <f t="shared" ca="1" si="4881"/>
        <v>0</v>
      </c>
      <c r="HE75" s="40">
        <f t="shared" ca="1" si="4881"/>
        <v>0</v>
      </c>
      <c r="HF75" s="40">
        <f t="shared" ca="1" si="4881"/>
        <v>0</v>
      </c>
      <c r="HG75" s="40">
        <f t="shared" ca="1" si="4881"/>
        <v>0</v>
      </c>
      <c r="HH75" s="40">
        <f t="shared" ca="1" si="4881"/>
        <v>0</v>
      </c>
      <c r="HI75" s="40">
        <f t="shared" ca="1" si="4881"/>
        <v>0</v>
      </c>
      <c r="HJ75" s="40">
        <f t="shared" ca="1" si="4881"/>
        <v>0</v>
      </c>
      <c r="HK75" s="40">
        <f t="shared" ca="1" si="4881"/>
        <v>0</v>
      </c>
      <c r="HL75" s="40">
        <f t="shared" ca="1" si="4881"/>
        <v>0</v>
      </c>
      <c r="HM75" s="40">
        <f t="shared" ca="1" si="4881"/>
        <v>0</v>
      </c>
      <c r="HN75" s="40">
        <f t="shared" ca="1" si="4881"/>
        <v>0</v>
      </c>
      <c r="HO75" s="40">
        <f t="shared" ca="1" si="4881"/>
        <v>0</v>
      </c>
      <c r="HP75" s="40">
        <f t="shared" ca="1" si="4881"/>
        <v>0</v>
      </c>
      <c r="HQ75" s="40">
        <f t="shared" ca="1" si="4881"/>
        <v>0</v>
      </c>
      <c r="HR75" s="40">
        <f t="shared" ca="1" si="4881"/>
        <v>0</v>
      </c>
      <c r="HS75" s="40">
        <f t="shared" ca="1" si="4881"/>
        <v>0</v>
      </c>
      <c r="HT75" s="40">
        <f t="shared" ca="1" si="4881"/>
        <v>0</v>
      </c>
      <c r="HU75" s="40">
        <f t="shared" ca="1" si="4881"/>
        <v>0</v>
      </c>
      <c r="HV75" s="40">
        <f t="shared" ca="1" si="4881"/>
        <v>0</v>
      </c>
      <c r="HW75" s="40">
        <f t="shared" ca="1" si="4881"/>
        <v>0</v>
      </c>
      <c r="HX75" s="40">
        <f t="shared" ca="1" si="4881"/>
        <v>0</v>
      </c>
      <c r="HY75" s="40">
        <f t="shared" ca="1" si="4881"/>
        <v>0</v>
      </c>
      <c r="HZ75" s="40">
        <f t="shared" ca="1" si="4881"/>
        <v>0</v>
      </c>
      <c r="IA75" s="40">
        <f t="shared" ca="1" si="4881"/>
        <v>0</v>
      </c>
      <c r="IB75" s="40">
        <f t="shared" ca="1" si="4881"/>
        <v>0</v>
      </c>
      <c r="IC75" s="40">
        <f t="shared" ca="1" si="4881"/>
        <v>0</v>
      </c>
      <c r="ID75" s="40">
        <f t="shared" ca="1" si="4881"/>
        <v>0</v>
      </c>
      <c r="IE75" s="40">
        <f t="shared" ca="1" si="4881"/>
        <v>0</v>
      </c>
      <c r="IF75" s="40">
        <f t="shared" ca="1" si="4881"/>
        <v>0</v>
      </c>
      <c r="IG75" s="40">
        <f t="shared" ca="1" si="4881"/>
        <v>0</v>
      </c>
      <c r="IH75" s="40">
        <f t="shared" ca="1" si="4881"/>
        <v>0</v>
      </c>
      <c r="II75" s="40">
        <f t="shared" ca="1" si="4881"/>
        <v>0</v>
      </c>
      <c r="IJ75" s="40">
        <f t="shared" ca="1" si="4881"/>
        <v>0</v>
      </c>
      <c r="IK75" s="40">
        <f t="shared" ca="1" si="4881"/>
        <v>0</v>
      </c>
      <c r="IL75" s="40">
        <f t="shared" ca="1" si="4881"/>
        <v>0</v>
      </c>
      <c r="IM75" s="40">
        <f t="shared" ca="1" si="4881"/>
        <v>0</v>
      </c>
      <c r="IN75" s="40">
        <f t="shared" ca="1" si="4881"/>
        <v>0</v>
      </c>
      <c r="IO75" s="40">
        <f t="shared" ref="IO75:KZ75" ca="1" si="4882">IO74/$D$74*$D$75</f>
        <v>0</v>
      </c>
      <c r="IP75" s="40">
        <f t="shared" ca="1" si="4882"/>
        <v>0</v>
      </c>
      <c r="IQ75" s="40">
        <f t="shared" ca="1" si="4882"/>
        <v>0</v>
      </c>
      <c r="IR75" s="40">
        <f t="shared" ca="1" si="4882"/>
        <v>0</v>
      </c>
      <c r="IS75" s="40">
        <f t="shared" ca="1" si="4882"/>
        <v>0</v>
      </c>
      <c r="IT75" s="40">
        <f t="shared" ca="1" si="4882"/>
        <v>0</v>
      </c>
      <c r="IU75" s="40">
        <f t="shared" ca="1" si="4882"/>
        <v>0</v>
      </c>
      <c r="IV75" s="40">
        <f t="shared" ca="1" si="4882"/>
        <v>0</v>
      </c>
      <c r="IW75" s="40">
        <f t="shared" ca="1" si="4882"/>
        <v>0</v>
      </c>
      <c r="IX75" s="40">
        <f t="shared" ca="1" si="4882"/>
        <v>0</v>
      </c>
      <c r="IY75" s="40">
        <f t="shared" ca="1" si="4882"/>
        <v>0</v>
      </c>
      <c r="IZ75" s="40">
        <f t="shared" ca="1" si="4882"/>
        <v>0</v>
      </c>
      <c r="JA75" s="40">
        <f t="shared" ca="1" si="4882"/>
        <v>0</v>
      </c>
      <c r="JB75" s="40">
        <f t="shared" ca="1" si="4882"/>
        <v>0</v>
      </c>
      <c r="JC75" s="40">
        <f t="shared" ca="1" si="4882"/>
        <v>0</v>
      </c>
      <c r="JD75" s="40">
        <f t="shared" ca="1" si="4882"/>
        <v>0</v>
      </c>
      <c r="JE75" s="40">
        <f t="shared" ca="1" si="4882"/>
        <v>0</v>
      </c>
      <c r="JF75" s="40">
        <f t="shared" ca="1" si="4882"/>
        <v>0</v>
      </c>
      <c r="JG75" s="40">
        <f t="shared" ca="1" si="4882"/>
        <v>0</v>
      </c>
      <c r="JH75" s="40">
        <f t="shared" ca="1" si="4882"/>
        <v>0</v>
      </c>
      <c r="JI75" s="40">
        <f t="shared" ca="1" si="4882"/>
        <v>0</v>
      </c>
      <c r="JJ75" s="40">
        <f t="shared" ca="1" si="4882"/>
        <v>0</v>
      </c>
      <c r="JK75" s="40">
        <f t="shared" ca="1" si="4882"/>
        <v>0</v>
      </c>
      <c r="JL75" s="40">
        <f t="shared" ca="1" si="4882"/>
        <v>0</v>
      </c>
      <c r="JM75" s="40">
        <f t="shared" ca="1" si="4882"/>
        <v>0</v>
      </c>
      <c r="JN75" s="40">
        <f t="shared" ca="1" si="4882"/>
        <v>0</v>
      </c>
      <c r="JO75" s="40">
        <f t="shared" ca="1" si="4882"/>
        <v>0</v>
      </c>
      <c r="JP75" s="40">
        <f t="shared" ca="1" si="4882"/>
        <v>0</v>
      </c>
      <c r="JQ75" s="40">
        <f t="shared" ca="1" si="4882"/>
        <v>0</v>
      </c>
      <c r="JR75" s="40">
        <f t="shared" ca="1" si="4882"/>
        <v>0</v>
      </c>
      <c r="JS75" s="40">
        <f t="shared" ca="1" si="4882"/>
        <v>0</v>
      </c>
      <c r="JT75" s="40">
        <f t="shared" ca="1" si="4882"/>
        <v>0</v>
      </c>
      <c r="JU75" s="40">
        <f t="shared" ca="1" si="4882"/>
        <v>0</v>
      </c>
      <c r="JV75" s="40">
        <f t="shared" ca="1" si="4882"/>
        <v>0</v>
      </c>
      <c r="JW75" s="40">
        <f t="shared" ca="1" si="4882"/>
        <v>0</v>
      </c>
      <c r="JX75" s="40">
        <f t="shared" ca="1" si="4882"/>
        <v>0</v>
      </c>
      <c r="JY75" s="40">
        <f t="shared" ca="1" si="4882"/>
        <v>0</v>
      </c>
      <c r="JZ75" s="40">
        <f t="shared" ca="1" si="4882"/>
        <v>0</v>
      </c>
      <c r="KA75" s="40">
        <f t="shared" ca="1" si="4882"/>
        <v>0</v>
      </c>
      <c r="KB75" s="40">
        <f t="shared" ca="1" si="4882"/>
        <v>0</v>
      </c>
      <c r="KC75" s="40">
        <f t="shared" ca="1" si="4882"/>
        <v>0</v>
      </c>
      <c r="KD75" s="40">
        <f t="shared" ca="1" si="4882"/>
        <v>0</v>
      </c>
      <c r="KE75" s="40">
        <f t="shared" ca="1" si="4882"/>
        <v>0</v>
      </c>
      <c r="KF75" s="40">
        <f t="shared" ca="1" si="4882"/>
        <v>0</v>
      </c>
      <c r="KG75" s="40">
        <f t="shared" ca="1" si="4882"/>
        <v>0</v>
      </c>
      <c r="KH75" s="40">
        <f t="shared" ca="1" si="4882"/>
        <v>0</v>
      </c>
      <c r="KI75" s="40">
        <f t="shared" ca="1" si="4882"/>
        <v>0</v>
      </c>
      <c r="KJ75" s="40">
        <f t="shared" ca="1" si="4882"/>
        <v>0</v>
      </c>
      <c r="KK75" s="40">
        <f t="shared" ca="1" si="4882"/>
        <v>0</v>
      </c>
      <c r="KL75" s="40">
        <f t="shared" ca="1" si="4882"/>
        <v>0</v>
      </c>
      <c r="KM75" s="40">
        <f t="shared" ca="1" si="4882"/>
        <v>0</v>
      </c>
      <c r="KN75" s="40">
        <f t="shared" ca="1" si="4882"/>
        <v>0</v>
      </c>
      <c r="KO75" s="40">
        <f t="shared" ca="1" si="4882"/>
        <v>0</v>
      </c>
      <c r="KP75" s="40">
        <f t="shared" ca="1" si="4882"/>
        <v>0</v>
      </c>
      <c r="KQ75" s="40">
        <f t="shared" ca="1" si="4882"/>
        <v>0</v>
      </c>
      <c r="KR75" s="40">
        <f t="shared" ca="1" si="4882"/>
        <v>0</v>
      </c>
      <c r="KS75" s="40">
        <f t="shared" ca="1" si="4882"/>
        <v>0</v>
      </c>
      <c r="KT75" s="40">
        <f t="shared" ca="1" si="4882"/>
        <v>0</v>
      </c>
      <c r="KU75" s="40">
        <f t="shared" ca="1" si="4882"/>
        <v>0</v>
      </c>
      <c r="KV75" s="40">
        <f t="shared" ca="1" si="4882"/>
        <v>0</v>
      </c>
      <c r="KW75" s="40">
        <f t="shared" ca="1" si="4882"/>
        <v>0</v>
      </c>
      <c r="KX75" s="40">
        <f t="shared" ca="1" si="4882"/>
        <v>0</v>
      </c>
      <c r="KY75" s="40">
        <f t="shared" ca="1" si="4882"/>
        <v>0</v>
      </c>
      <c r="KZ75" s="40">
        <f t="shared" ca="1" si="4882"/>
        <v>0</v>
      </c>
      <c r="LA75" s="40">
        <f t="shared" ref="LA75:ND75" ca="1" si="4883">LA74/$D$74*$D$75</f>
        <v>0</v>
      </c>
      <c r="LB75" s="40">
        <f t="shared" ca="1" si="4883"/>
        <v>0</v>
      </c>
      <c r="LC75" s="40">
        <f t="shared" ca="1" si="4883"/>
        <v>0</v>
      </c>
      <c r="LD75" s="40">
        <f t="shared" ca="1" si="4883"/>
        <v>0</v>
      </c>
      <c r="LE75" s="40">
        <f t="shared" ca="1" si="4883"/>
        <v>0</v>
      </c>
      <c r="LF75" s="40">
        <f t="shared" ca="1" si="4883"/>
        <v>0</v>
      </c>
      <c r="LG75" s="40">
        <f t="shared" ca="1" si="4883"/>
        <v>0</v>
      </c>
      <c r="LH75" s="40">
        <f t="shared" ca="1" si="4883"/>
        <v>0</v>
      </c>
      <c r="LI75" s="40">
        <f t="shared" ca="1" si="4883"/>
        <v>0</v>
      </c>
      <c r="LJ75" s="40">
        <f t="shared" ca="1" si="4883"/>
        <v>0</v>
      </c>
      <c r="LK75" s="40">
        <f t="shared" ca="1" si="4883"/>
        <v>0</v>
      </c>
      <c r="LL75" s="40">
        <f t="shared" ca="1" si="4883"/>
        <v>0</v>
      </c>
      <c r="LM75" s="40">
        <f t="shared" ca="1" si="4883"/>
        <v>0</v>
      </c>
      <c r="LN75" s="40">
        <f t="shared" ca="1" si="4883"/>
        <v>0</v>
      </c>
      <c r="LO75" s="40">
        <f t="shared" ca="1" si="4883"/>
        <v>0</v>
      </c>
      <c r="LP75" s="40">
        <f t="shared" ca="1" si="4883"/>
        <v>0</v>
      </c>
      <c r="LQ75" s="40">
        <f t="shared" ca="1" si="4883"/>
        <v>0</v>
      </c>
      <c r="LR75" s="40">
        <f t="shared" ca="1" si="4883"/>
        <v>0</v>
      </c>
      <c r="LS75" s="40">
        <f t="shared" ca="1" si="4883"/>
        <v>0</v>
      </c>
      <c r="LT75" s="40">
        <f t="shared" ca="1" si="4883"/>
        <v>0</v>
      </c>
      <c r="LU75" s="40">
        <f t="shared" ca="1" si="4883"/>
        <v>0</v>
      </c>
      <c r="LV75" s="40">
        <f t="shared" ca="1" si="4883"/>
        <v>0</v>
      </c>
      <c r="LW75" s="40">
        <f t="shared" ca="1" si="4883"/>
        <v>0</v>
      </c>
      <c r="LX75" s="40">
        <f t="shared" ca="1" si="4883"/>
        <v>0</v>
      </c>
      <c r="LY75" s="40">
        <f t="shared" ca="1" si="4883"/>
        <v>0</v>
      </c>
      <c r="LZ75" s="40">
        <f t="shared" ca="1" si="4883"/>
        <v>0</v>
      </c>
      <c r="MA75" s="40">
        <f t="shared" ca="1" si="4883"/>
        <v>0</v>
      </c>
      <c r="MB75" s="40">
        <f t="shared" ca="1" si="4883"/>
        <v>0</v>
      </c>
      <c r="MC75" s="40">
        <f t="shared" ca="1" si="4883"/>
        <v>0</v>
      </c>
      <c r="MD75" s="40">
        <f t="shared" ca="1" si="4883"/>
        <v>0</v>
      </c>
      <c r="ME75" s="40">
        <f t="shared" ca="1" si="4883"/>
        <v>0</v>
      </c>
      <c r="MF75" s="40">
        <f t="shared" ca="1" si="4883"/>
        <v>0</v>
      </c>
      <c r="MG75" s="40">
        <f t="shared" ca="1" si="4883"/>
        <v>0</v>
      </c>
      <c r="MH75" s="40">
        <f t="shared" ca="1" si="4883"/>
        <v>0</v>
      </c>
      <c r="MI75" s="40">
        <f t="shared" ca="1" si="4883"/>
        <v>0</v>
      </c>
      <c r="MJ75" s="40">
        <f t="shared" ca="1" si="4883"/>
        <v>0</v>
      </c>
      <c r="MK75" s="40">
        <f t="shared" ca="1" si="4883"/>
        <v>0</v>
      </c>
      <c r="ML75" s="40">
        <f t="shared" ca="1" si="4883"/>
        <v>0</v>
      </c>
      <c r="MM75" s="40">
        <f t="shared" ca="1" si="4883"/>
        <v>0</v>
      </c>
      <c r="MN75" s="40">
        <f t="shared" ca="1" si="4883"/>
        <v>0</v>
      </c>
      <c r="MO75" s="40">
        <f t="shared" ca="1" si="4883"/>
        <v>0</v>
      </c>
      <c r="MP75" s="40">
        <f t="shared" ca="1" si="4883"/>
        <v>0</v>
      </c>
      <c r="MQ75" s="40">
        <f t="shared" ca="1" si="4883"/>
        <v>0</v>
      </c>
      <c r="MR75" s="40">
        <f t="shared" ca="1" si="4883"/>
        <v>0</v>
      </c>
      <c r="MS75" s="40">
        <f t="shared" ca="1" si="4883"/>
        <v>0</v>
      </c>
      <c r="MT75" s="40">
        <f t="shared" ca="1" si="4883"/>
        <v>0</v>
      </c>
      <c r="MU75" s="40">
        <f t="shared" ca="1" si="4883"/>
        <v>0</v>
      </c>
      <c r="MV75" s="40">
        <f t="shared" ca="1" si="4883"/>
        <v>0</v>
      </c>
      <c r="MW75" s="40">
        <f t="shared" ca="1" si="4883"/>
        <v>0</v>
      </c>
      <c r="MX75" s="40">
        <f t="shared" ca="1" si="4883"/>
        <v>0</v>
      </c>
      <c r="MY75" s="40">
        <f t="shared" ca="1" si="4883"/>
        <v>0</v>
      </c>
      <c r="MZ75" s="40">
        <f t="shared" ca="1" si="4883"/>
        <v>0</v>
      </c>
      <c r="NA75" s="40">
        <f t="shared" ca="1" si="4883"/>
        <v>0</v>
      </c>
      <c r="NB75" s="40">
        <f t="shared" ca="1" si="4883"/>
        <v>0</v>
      </c>
      <c r="NC75" s="40">
        <f t="shared" ca="1" si="4883"/>
        <v>0</v>
      </c>
      <c r="ND75" s="40">
        <f t="shared" ca="1" si="4883"/>
        <v>0</v>
      </c>
      <c r="NE75" s="40"/>
      <c r="NF75" s="40"/>
      <c r="NG75" s="40"/>
      <c r="NH75" s="40"/>
      <c r="NI75" s="40"/>
      <c r="NJ75" s="40"/>
      <c r="NK75" s="40"/>
      <c r="NL75" s="40"/>
      <c r="NM75" s="40"/>
      <c r="NN75" s="40"/>
      <c r="NO75" s="40"/>
      <c r="NP75" s="40"/>
      <c r="NQ75" s="40"/>
      <c r="NR75" s="40"/>
    </row>
    <row r="76" spans="2:382" x14ac:dyDescent="0.15">
      <c r="B76" s="519"/>
      <c r="G76" s="118"/>
      <c r="I76" s="40"/>
      <c r="J76" s="40"/>
      <c r="K76" s="40"/>
      <c r="L76" s="40"/>
      <c r="M76" s="40"/>
      <c r="N76" s="40"/>
      <c r="O76" s="40"/>
      <c r="P76" s="40"/>
      <c r="Q76" s="40"/>
      <c r="R76" s="40"/>
      <c r="S76" s="40"/>
      <c r="T76" s="40"/>
      <c r="U76" s="40"/>
      <c r="V76" s="40"/>
      <c r="W76" s="40"/>
      <c r="X76" s="40"/>
      <c r="Y76" s="40"/>
      <c r="Z76" s="40"/>
      <c r="AA76" s="40"/>
      <c r="AB76" s="40"/>
      <c r="AC76" s="40"/>
      <c r="AD76" s="40"/>
      <c r="AE76" s="40"/>
      <c r="AF76" s="40"/>
      <c r="AG76" s="40"/>
      <c r="AH76" s="40"/>
      <c r="AI76" s="40"/>
      <c r="AJ76" s="40"/>
      <c r="AK76" s="40"/>
      <c r="AL76" s="40"/>
      <c r="AM76" s="40"/>
      <c r="AN76" s="40"/>
      <c r="AO76" s="40"/>
      <c r="AP76" s="40"/>
      <c r="AQ76" s="40"/>
      <c r="AR76" s="40"/>
      <c r="AS76" s="40"/>
      <c r="AT76" s="40"/>
      <c r="AU76" s="40"/>
      <c r="AV76" s="40"/>
      <c r="AW76" s="40"/>
      <c r="AX76" s="40"/>
      <c r="AY76" s="40"/>
      <c r="AZ76" s="40"/>
      <c r="BA76" s="40"/>
      <c r="BB76" s="40"/>
      <c r="BC76" s="40"/>
      <c r="BD76" s="40"/>
      <c r="BE76" s="40"/>
      <c r="BF76" s="40"/>
      <c r="BG76" s="40"/>
      <c r="BH76" s="40"/>
      <c r="BI76" s="40"/>
      <c r="BJ76" s="40"/>
      <c r="BK76" s="40"/>
      <c r="BL76" s="40"/>
      <c r="BM76" s="40"/>
      <c r="BN76" s="40"/>
      <c r="BO76" s="40"/>
      <c r="BP76" s="40"/>
      <c r="BQ76" s="40"/>
      <c r="BR76" s="40"/>
      <c r="BS76" s="40"/>
      <c r="BT76" s="40"/>
      <c r="BU76" s="40"/>
      <c r="BV76" s="40"/>
      <c r="BW76" s="40"/>
      <c r="BX76" s="40"/>
      <c r="BY76" s="40"/>
      <c r="BZ76" s="40"/>
      <c r="CA76" s="40"/>
      <c r="CB76" s="40"/>
      <c r="CC76" s="40"/>
      <c r="CD76" s="40"/>
      <c r="CE76" s="40"/>
      <c r="CF76" s="40"/>
      <c r="CG76" s="40"/>
      <c r="CH76" s="40"/>
      <c r="CI76" s="40"/>
      <c r="CJ76" s="40"/>
      <c r="CK76" s="40"/>
      <c r="CL76" s="40"/>
      <c r="CM76" s="40"/>
      <c r="CN76" s="40"/>
      <c r="CO76" s="40"/>
      <c r="CP76" s="40"/>
      <c r="CQ76" s="40"/>
      <c r="CR76" s="40"/>
      <c r="CS76" s="40"/>
      <c r="CT76" s="40"/>
      <c r="CU76" s="40"/>
      <c r="CV76" s="40"/>
      <c r="CW76" s="40"/>
      <c r="CX76" s="40"/>
      <c r="CY76" s="40"/>
      <c r="CZ76" s="40"/>
      <c r="DA76" s="40"/>
      <c r="DB76" s="40"/>
      <c r="DC76" s="40"/>
      <c r="DD76" s="40"/>
      <c r="DE76" s="40"/>
      <c r="DF76" s="40"/>
      <c r="DG76" s="40"/>
      <c r="DH76" s="40"/>
      <c r="DI76" s="40"/>
      <c r="DJ76" s="40"/>
      <c r="DK76" s="40"/>
      <c r="DL76" s="40"/>
      <c r="DM76" s="40"/>
      <c r="DN76" s="40"/>
      <c r="DO76" s="40"/>
      <c r="DP76" s="40"/>
      <c r="DQ76" s="40"/>
      <c r="DR76" s="40"/>
      <c r="DS76" s="40"/>
      <c r="DT76" s="40"/>
      <c r="DU76" s="40"/>
      <c r="DV76" s="40"/>
      <c r="DW76" s="40"/>
      <c r="DX76" s="40"/>
      <c r="DY76" s="40"/>
      <c r="DZ76" s="40"/>
      <c r="EA76" s="40"/>
      <c r="EB76" s="40"/>
      <c r="EC76" s="40"/>
      <c r="ED76" s="40"/>
      <c r="EE76" s="40"/>
      <c r="EF76" s="40"/>
      <c r="EG76" s="40"/>
      <c r="EH76" s="40"/>
      <c r="EI76" s="40"/>
      <c r="EJ76" s="40"/>
      <c r="EK76" s="40"/>
      <c r="EL76" s="40"/>
      <c r="EM76" s="40"/>
      <c r="EN76" s="40"/>
      <c r="EO76" s="40"/>
      <c r="EP76" s="40"/>
      <c r="EQ76" s="40"/>
      <c r="ER76" s="40"/>
      <c r="ES76" s="40"/>
      <c r="ET76" s="40"/>
      <c r="EU76" s="40"/>
      <c r="EV76" s="40"/>
      <c r="EW76" s="40"/>
      <c r="EX76" s="40"/>
      <c r="EY76" s="40"/>
      <c r="EZ76" s="40"/>
      <c r="FA76" s="40"/>
      <c r="FB76" s="40"/>
      <c r="FC76" s="40"/>
      <c r="FD76" s="40"/>
      <c r="FE76" s="40"/>
      <c r="FF76" s="40"/>
      <c r="FG76" s="40"/>
      <c r="FH76" s="40"/>
      <c r="FI76" s="40"/>
      <c r="FJ76" s="40"/>
      <c r="FK76" s="40"/>
      <c r="FL76" s="40"/>
      <c r="FM76" s="40"/>
      <c r="FN76" s="40"/>
      <c r="FO76" s="40"/>
      <c r="FP76" s="40"/>
      <c r="FQ76" s="40"/>
      <c r="FR76" s="40"/>
      <c r="FS76" s="40"/>
      <c r="FT76" s="40"/>
      <c r="FU76" s="40"/>
      <c r="FV76" s="40"/>
      <c r="FW76" s="40"/>
      <c r="FX76" s="40"/>
      <c r="FY76" s="40"/>
      <c r="FZ76" s="40"/>
      <c r="GA76" s="40"/>
      <c r="GB76" s="40"/>
      <c r="GC76" s="40"/>
      <c r="GD76" s="40"/>
      <c r="GE76" s="40"/>
      <c r="GF76" s="40"/>
      <c r="GG76" s="40"/>
      <c r="GH76" s="40"/>
      <c r="GI76" s="40"/>
      <c r="GJ76" s="40"/>
      <c r="GK76" s="40"/>
      <c r="GL76" s="40"/>
      <c r="GM76" s="40"/>
      <c r="GN76" s="40"/>
      <c r="GO76" s="40"/>
      <c r="GP76" s="40"/>
      <c r="GQ76" s="40"/>
      <c r="GR76" s="40"/>
      <c r="GS76" s="40"/>
      <c r="GT76" s="40"/>
      <c r="GU76" s="40"/>
      <c r="GV76" s="40"/>
      <c r="GW76" s="40"/>
      <c r="GX76" s="40"/>
      <c r="GY76" s="40"/>
      <c r="GZ76" s="40"/>
      <c r="HA76" s="40"/>
      <c r="HB76" s="40"/>
      <c r="HC76" s="40"/>
      <c r="HD76" s="40"/>
      <c r="HE76" s="40"/>
      <c r="HF76" s="40"/>
      <c r="HG76" s="40"/>
      <c r="HH76" s="40"/>
      <c r="HI76" s="40"/>
      <c r="HJ76" s="40"/>
      <c r="HK76" s="40"/>
      <c r="HL76" s="40"/>
      <c r="HM76" s="40"/>
      <c r="HN76" s="40"/>
      <c r="HO76" s="40"/>
      <c r="HP76" s="40"/>
      <c r="HQ76" s="40"/>
      <c r="HR76" s="40"/>
      <c r="HS76" s="40"/>
      <c r="HT76" s="40"/>
      <c r="HU76" s="40"/>
      <c r="HV76" s="40"/>
      <c r="HW76" s="40"/>
      <c r="HX76" s="40"/>
      <c r="HY76" s="40"/>
      <c r="HZ76" s="40"/>
      <c r="IA76" s="40"/>
      <c r="IB76" s="40"/>
      <c r="IC76" s="40"/>
      <c r="ID76" s="40"/>
      <c r="IE76" s="40"/>
      <c r="IF76" s="40"/>
      <c r="IG76" s="40"/>
      <c r="IH76" s="40"/>
      <c r="II76" s="40"/>
      <c r="IJ76" s="40"/>
      <c r="IK76" s="40"/>
      <c r="IL76" s="40"/>
      <c r="IM76" s="40"/>
      <c r="IN76" s="40"/>
      <c r="IO76" s="40"/>
      <c r="IP76" s="40"/>
      <c r="IQ76" s="40"/>
      <c r="IR76" s="40"/>
      <c r="IS76" s="40"/>
      <c r="IT76" s="40"/>
      <c r="IU76" s="40"/>
      <c r="IV76" s="40"/>
      <c r="IW76" s="40"/>
      <c r="IX76" s="40"/>
      <c r="IY76" s="40"/>
      <c r="IZ76" s="40"/>
      <c r="JA76" s="40"/>
      <c r="JB76" s="40"/>
      <c r="JC76" s="40"/>
      <c r="JD76" s="40"/>
      <c r="JE76" s="40"/>
      <c r="JF76" s="40"/>
      <c r="JG76" s="40"/>
      <c r="JH76" s="40"/>
      <c r="JI76" s="40"/>
      <c r="JJ76" s="40"/>
      <c r="JK76" s="40"/>
      <c r="JL76" s="40"/>
      <c r="JM76" s="40"/>
      <c r="JN76" s="40"/>
      <c r="JO76" s="40"/>
      <c r="JP76" s="40"/>
      <c r="JQ76" s="40"/>
      <c r="JR76" s="40"/>
      <c r="JS76" s="40"/>
      <c r="JT76" s="40"/>
      <c r="JU76" s="40"/>
      <c r="JV76" s="40"/>
      <c r="JW76" s="40"/>
      <c r="JX76" s="40"/>
      <c r="JY76" s="40"/>
      <c r="JZ76" s="40"/>
      <c r="KA76" s="40"/>
      <c r="KB76" s="40"/>
      <c r="KC76" s="40"/>
      <c r="KD76" s="40"/>
      <c r="KE76" s="40"/>
      <c r="KF76" s="40"/>
      <c r="KG76" s="40"/>
      <c r="KH76" s="40"/>
      <c r="KI76" s="40"/>
      <c r="KJ76" s="40"/>
      <c r="KK76" s="40"/>
      <c r="KL76" s="40"/>
      <c r="KM76" s="40"/>
      <c r="KN76" s="40"/>
      <c r="KO76" s="40"/>
      <c r="KP76" s="40"/>
      <c r="KQ76" s="40"/>
      <c r="KR76" s="40"/>
      <c r="KS76" s="40"/>
      <c r="KT76" s="40"/>
      <c r="KU76" s="40"/>
      <c r="KV76" s="40"/>
      <c r="KW76" s="40"/>
      <c r="KX76" s="40"/>
      <c r="KY76" s="40"/>
      <c r="KZ76" s="40"/>
      <c r="LA76" s="40"/>
      <c r="LB76" s="40"/>
      <c r="LC76" s="40"/>
      <c r="LD76" s="40"/>
      <c r="LE76" s="40"/>
      <c r="LF76" s="40"/>
      <c r="LG76" s="40"/>
      <c r="LH76" s="40"/>
      <c r="LI76" s="40"/>
      <c r="LJ76" s="40"/>
      <c r="LK76" s="40"/>
      <c r="LL76" s="40"/>
      <c r="LM76" s="40"/>
      <c r="LN76" s="40"/>
      <c r="LO76" s="40"/>
      <c r="LP76" s="40"/>
      <c r="LQ76" s="40"/>
      <c r="LR76" s="40"/>
      <c r="LS76" s="40"/>
      <c r="LT76" s="40"/>
      <c r="LU76" s="40"/>
      <c r="LV76" s="40"/>
      <c r="LW76" s="40"/>
      <c r="LX76" s="40"/>
      <c r="LY76" s="40"/>
      <c r="LZ76" s="40"/>
      <c r="MA76" s="40"/>
      <c r="MB76" s="40"/>
      <c r="MC76" s="40"/>
      <c r="MD76" s="40"/>
      <c r="ME76" s="40"/>
      <c r="MF76" s="40"/>
      <c r="MG76" s="40"/>
      <c r="MH76" s="40"/>
      <c r="MI76" s="40"/>
      <c r="MJ76" s="40"/>
      <c r="MK76" s="40"/>
      <c r="ML76" s="40"/>
      <c r="MM76" s="40"/>
      <c r="MN76" s="40"/>
      <c r="MO76" s="40"/>
      <c r="MP76" s="40"/>
      <c r="MQ76" s="40"/>
      <c r="MR76" s="40"/>
      <c r="MS76" s="40"/>
      <c r="MT76" s="40"/>
      <c r="MU76" s="40"/>
      <c r="MV76" s="40"/>
      <c r="MW76" s="40"/>
      <c r="MX76" s="40"/>
      <c r="MY76" s="40"/>
      <c r="MZ76" s="40"/>
      <c r="NA76" s="40"/>
      <c r="NB76" s="40"/>
      <c r="NC76" s="40"/>
      <c r="ND76" s="40"/>
      <c r="NE76" s="40"/>
      <c r="NF76" s="40"/>
      <c r="NG76" s="40"/>
      <c r="NH76" s="40"/>
      <c r="NI76" s="40"/>
      <c r="NJ76" s="40"/>
      <c r="NK76" s="40"/>
      <c r="NL76" s="40"/>
      <c r="NM76" s="40"/>
      <c r="NN76" s="40"/>
      <c r="NO76" s="40"/>
      <c r="NP76" s="40"/>
      <c r="NQ76" s="40"/>
      <c r="NR76" s="40"/>
    </row>
    <row r="77" spans="2:382" x14ac:dyDescent="0.15">
      <c r="B77" s="519"/>
      <c r="C77" s="4" t="s">
        <v>174</v>
      </c>
      <c r="G77" s="118"/>
      <c r="I77" s="40">
        <f>MAX(I69,I74)</f>
        <v>0</v>
      </c>
      <c r="J77" s="40">
        <f t="shared" ref="J77" si="4884">MAX(J69,J74)</f>
        <v>0</v>
      </c>
      <c r="K77" s="40">
        <f t="shared" ref="K77:BV77" si="4885">MAX(K69,K74)</f>
        <v>0</v>
      </c>
      <c r="L77" s="40">
        <f t="shared" si="4885"/>
        <v>0</v>
      </c>
      <c r="M77" s="40">
        <f t="shared" si="4885"/>
        <v>0</v>
      </c>
      <c r="N77" s="40">
        <f t="shared" si="4885"/>
        <v>0</v>
      </c>
      <c r="O77" s="40">
        <f t="shared" si="4885"/>
        <v>0</v>
      </c>
      <c r="P77" s="40">
        <f t="shared" si="4885"/>
        <v>0</v>
      </c>
      <c r="Q77" s="40">
        <f t="shared" si="4885"/>
        <v>0</v>
      </c>
      <c r="R77" s="40">
        <f t="shared" si="4885"/>
        <v>0</v>
      </c>
      <c r="S77" s="40">
        <f t="shared" si="4885"/>
        <v>0</v>
      </c>
      <c r="T77" s="40">
        <f t="shared" si="4885"/>
        <v>0</v>
      </c>
      <c r="U77" s="40">
        <f t="shared" si="4885"/>
        <v>0</v>
      </c>
      <c r="V77" s="40">
        <f t="shared" si="4885"/>
        <v>0</v>
      </c>
      <c r="W77" s="40">
        <f t="shared" si="4885"/>
        <v>0</v>
      </c>
      <c r="X77" s="40">
        <f t="shared" si="4885"/>
        <v>0</v>
      </c>
      <c r="Y77" s="40">
        <f t="shared" si="4885"/>
        <v>0</v>
      </c>
      <c r="Z77" s="40">
        <f t="shared" si="4885"/>
        <v>0</v>
      </c>
      <c r="AA77" s="40">
        <f t="shared" si="4885"/>
        <v>0</v>
      </c>
      <c r="AB77" s="40">
        <f t="shared" si="4885"/>
        <v>0</v>
      </c>
      <c r="AC77" s="40">
        <f t="shared" si="4885"/>
        <v>0</v>
      </c>
      <c r="AD77" s="40">
        <f t="shared" si="4885"/>
        <v>0</v>
      </c>
      <c r="AE77" s="40">
        <f t="shared" si="4885"/>
        <v>0</v>
      </c>
      <c r="AF77" s="40">
        <f t="shared" si="4885"/>
        <v>0</v>
      </c>
      <c r="AG77" s="40">
        <f t="shared" si="4885"/>
        <v>0</v>
      </c>
      <c r="AH77" s="40">
        <f t="shared" si="4885"/>
        <v>0</v>
      </c>
      <c r="AI77" s="40">
        <f t="shared" si="4885"/>
        <v>0</v>
      </c>
      <c r="AJ77" s="40">
        <f t="shared" si="4885"/>
        <v>0</v>
      </c>
      <c r="AK77" s="40">
        <f t="shared" si="4885"/>
        <v>0</v>
      </c>
      <c r="AL77" s="40">
        <f t="shared" si="4885"/>
        <v>0</v>
      </c>
      <c r="AM77" s="40">
        <f t="shared" si="4885"/>
        <v>0</v>
      </c>
      <c r="AN77" s="40">
        <f t="shared" si="4885"/>
        <v>0</v>
      </c>
      <c r="AO77" s="40">
        <f t="shared" si="4885"/>
        <v>0</v>
      </c>
      <c r="AP77" s="40">
        <f t="shared" si="4885"/>
        <v>0</v>
      </c>
      <c r="AQ77" s="40">
        <f t="shared" si="4885"/>
        <v>0</v>
      </c>
      <c r="AR77" s="40">
        <f t="shared" si="4885"/>
        <v>0</v>
      </c>
      <c r="AS77" s="40">
        <f t="shared" si="4885"/>
        <v>0</v>
      </c>
      <c r="AT77" s="40">
        <f t="shared" si="4885"/>
        <v>0</v>
      </c>
      <c r="AU77" s="40">
        <f t="shared" si="4885"/>
        <v>0</v>
      </c>
      <c r="AV77" s="40">
        <f t="shared" si="4885"/>
        <v>0</v>
      </c>
      <c r="AW77" s="40">
        <f t="shared" si="4885"/>
        <v>0</v>
      </c>
      <c r="AX77" s="40">
        <f t="shared" si="4885"/>
        <v>0</v>
      </c>
      <c r="AY77" s="40">
        <f t="shared" si="4885"/>
        <v>0</v>
      </c>
      <c r="AZ77" s="40">
        <f t="shared" si="4885"/>
        <v>0</v>
      </c>
      <c r="BA77" s="40">
        <f t="shared" si="4885"/>
        <v>0</v>
      </c>
      <c r="BB77" s="40">
        <f t="shared" si="4885"/>
        <v>0</v>
      </c>
      <c r="BC77" s="40">
        <f t="shared" si="4885"/>
        <v>0</v>
      </c>
      <c r="BD77" s="40">
        <f t="shared" si="4885"/>
        <v>0</v>
      </c>
      <c r="BE77" s="40">
        <f t="shared" si="4885"/>
        <v>0</v>
      </c>
      <c r="BF77" s="40">
        <f t="shared" si="4885"/>
        <v>0</v>
      </c>
      <c r="BG77" s="40">
        <f t="shared" si="4885"/>
        <v>0</v>
      </c>
      <c r="BH77" s="40">
        <f t="shared" si="4885"/>
        <v>0</v>
      </c>
      <c r="BI77" s="40">
        <f t="shared" si="4885"/>
        <v>0</v>
      </c>
      <c r="BJ77" s="40">
        <f t="shared" si="4885"/>
        <v>0</v>
      </c>
      <c r="BK77" s="40">
        <f t="shared" si="4885"/>
        <v>0</v>
      </c>
      <c r="BL77" s="40">
        <f t="shared" si="4885"/>
        <v>0</v>
      </c>
      <c r="BM77" s="40">
        <f t="shared" si="4885"/>
        <v>0</v>
      </c>
      <c r="BN77" s="40">
        <f t="shared" si="4885"/>
        <v>0</v>
      </c>
      <c r="BO77" s="40">
        <f t="shared" si="4885"/>
        <v>0</v>
      </c>
      <c r="BP77" s="40">
        <f t="shared" si="4885"/>
        <v>0</v>
      </c>
      <c r="BQ77" s="40">
        <f t="shared" si="4885"/>
        <v>0</v>
      </c>
      <c r="BR77" s="40">
        <f t="shared" si="4885"/>
        <v>0</v>
      </c>
      <c r="BS77" s="40">
        <f t="shared" si="4885"/>
        <v>0</v>
      </c>
      <c r="BT77" s="40">
        <f t="shared" si="4885"/>
        <v>0</v>
      </c>
      <c r="BU77" s="40">
        <f t="shared" si="4885"/>
        <v>0</v>
      </c>
      <c r="BV77" s="40">
        <f t="shared" si="4885"/>
        <v>0</v>
      </c>
      <c r="BW77" s="40">
        <f t="shared" ref="BW77:EH77" si="4886">MAX(BW69,BW74)</f>
        <v>0</v>
      </c>
      <c r="BX77" s="40">
        <f t="shared" si="4886"/>
        <v>0</v>
      </c>
      <c r="BY77" s="40">
        <f t="shared" si="4886"/>
        <v>0</v>
      </c>
      <c r="BZ77" s="40">
        <f t="shared" si="4886"/>
        <v>0</v>
      </c>
      <c r="CA77" s="40">
        <f t="shared" si="4886"/>
        <v>0</v>
      </c>
      <c r="CB77" s="40">
        <f t="shared" si="4886"/>
        <v>0</v>
      </c>
      <c r="CC77" s="40">
        <f t="shared" si="4886"/>
        <v>0</v>
      </c>
      <c r="CD77" s="40">
        <f t="shared" si="4886"/>
        <v>0</v>
      </c>
      <c r="CE77" s="40">
        <f t="shared" si="4886"/>
        <v>0</v>
      </c>
      <c r="CF77" s="40">
        <f t="shared" si="4886"/>
        <v>0</v>
      </c>
      <c r="CG77" s="40">
        <f t="shared" si="4886"/>
        <v>0</v>
      </c>
      <c r="CH77" s="40">
        <f t="shared" si="4886"/>
        <v>0</v>
      </c>
      <c r="CI77" s="40">
        <f t="shared" si="4886"/>
        <v>0</v>
      </c>
      <c r="CJ77" s="40">
        <f t="shared" si="4886"/>
        <v>0</v>
      </c>
      <c r="CK77" s="40">
        <f t="shared" si="4886"/>
        <v>0</v>
      </c>
      <c r="CL77" s="40">
        <f t="shared" si="4886"/>
        <v>0</v>
      </c>
      <c r="CM77" s="40">
        <f t="shared" si="4886"/>
        <v>0</v>
      </c>
      <c r="CN77" s="40">
        <f t="shared" si="4886"/>
        <v>0</v>
      </c>
      <c r="CO77" s="40">
        <f t="shared" si="4886"/>
        <v>0</v>
      </c>
      <c r="CP77" s="40">
        <f t="shared" si="4886"/>
        <v>0</v>
      </c>
      <c r="CQ77" s="40">
        <f t="shared" si="4886"/>
        <v>0</v>
      </c>
      <c r="CR77" s="40">
        <f t="shared" si="4886"/>
        <v>0</v>
      </c>
      <c r="CS77" s="40">
        <f t="shared" si="4886"/>
        <v>0</v>
      </c>
      <c r="CT77" s="40">
        <f t="shared" si="4886"/>
        <v>0</v>
      </c>
      <c r="CU77" s="40">
        <f t="shared" si="4886"/>
        <v>0</v>
      </c>
      <c r="CV77" s="40">
        <f t="shared" si="4886"/>
        <v>0</v>
      </c>
      <c r="CW77" s="40">
        <f t="shared" si="4886"/>
        <v>0</v>
      </c>
      <c r="CX77" s="40">
        <f t="shared" si="4886"/>
        <v>0</v>
      </c>
      <c r="CY77" s="40">
        <f t="shared" si="4886"/>
        <v>0</v>
      </c>
      <c r="CZ77" s="40">
        <f t="shared" si="4886"/>
        <v>0</v>
      </c>
      <c r="DA77" s="40">
        <f t="shared" si="4886"/>
        <v>0</v>
      </c>
      <c r="DB77" s="40">
        <f t="shared" si="4886"/>
        <v>0</v>
      </c>
      <c r="DC77" s="40">
        <f t="shared" si="4886"/>
        <v>0</v>
      </c>
      <c r="DD77" s="40">
        <f t="shared" si="4886"/>
        <v>0</v>
      </c>
      <c r="DE77" s="40">
        <f t="shared" si="4886"/>
        <v>0</v>
      </c>
      <c r="DF77" s="40">
        <f t="shared" si="4886"/>
        <v>0</v>
      </c>
      <c r="DG77" s="40">
        <f t="shared" si="4886"/>
        <v>0</v>
      </c>
      <c r="DH77" s="40">
        <f t="shared" si="4886"/>
        <v>0</v>
      </c>
      <c r="DI77" s="40">
        <f t="shared" si="4886"/>
        <v>0</v>
      </c>
      <c r="DJ77" s="40">
        <f t="shared" si="4886"/>
        <v>0</v>
      </c>
      <c r="DK77" s="40">
        <f t="shared" si="4886"/>
        <v>0</v>
      </c>
      <c r="DL77" s="40">
        <f t="shared" si="4886"/>
        <v>0</v>
      </c>
      <c r="DM77" s="40">
        <f t="shared" si="4886"/>
        <v>0</v>
      </c>
      <c r="DN77" s="40">
        <f t="shared" si="4886"/>
        <v>0</v>
      </c>
      <c r="DO77" s="40">
        <f t="shared" si="4886"/>
        <v>0</v>
      </c>
      <c r="DP77" s="40">
        <f t="shared" si="4886"/>
        <v>0</v>
      </c>
      <c r="DQ77" s="40">
        <f t="shared" si="4886"/>
        <v>0</v>
      </c>
      <c r="DR77" s="40">
        <f t="shared" si="4886"/>
        <v>0</v>
      </c>
      <c r="DS77" s="40">
        <f t="shared" si="4886"/>
        <v>0</v>
      </c>
      <c r="DT77" s="40">
        <f t="shared" si="4886"/>
        <v>0</v>
      </c>
      <c r="DU77" s="40">
        <f t="shared" si="4886"/>
        <v>0</v>
      </c>
      <c r="DV77" s="40">
        <f t="shared" si="4886"/>
        <v>0</v>
      </c>
      <c r="DW77" s="40">
        <f t="shared" si="4886"/>
        <v>0</v>
      </c>
      <c r="DX77" s="40">
        <f t="shared" si="4886"/>
        <v>0</v>
      </c>
      <c r="DY77" s="40">
        <f t="shared" si="4886"/>
        <v>0</v>
      </c>
      <c r="DZ77" s="40">
        <f t="shared" si="4886"/>
        <v>0</v>
      </c>
      <c r="EA77" s="40">
        <f t="shared" si="4886"/>
        <v>0</v>
      </c>
      <c r="EB77" s="40">
        <f t="shared" si="4886"/>
        <v>0</v>
      </c>
      <c r="EC77" s="40">
        <f t="shared" si="4886"/>
        <v>0</v>
      </c>
      <c r="ED77" s="40">
        <f t="shared" si="4886"/>
        <v>0</v>
      </c>
      <c r="EE77" s="40">
        <f t="shared" si="4886"/>
        <v>0</v>
      </c>
      <c r="EF77" s="40">
        <f t="shared" si="4886"/>
        <v>0</v>
      </c>
      <c r="EG77" s="40">
        <f t="shared" si="4886"/>
        <v>0</v>
      </c>
      <c r="EH77" s="40">
        <f t="shared" si="4886"/>
        <v>0</v>
      </c>
      <c r="EI77" s="40">
        <f t="shared" ref="EI77:GT77" si="4887">MAX(EI69,EI74)</f>
        <v>0</v>
      </c>
      <c r="EJ77" s="40">
        <f t="shared" si="4887"/>
        <v>0</v>
      </c>
      <c r="EK77" s="40">
        <f t="shared" si="4887"/>
        <v>0</v>
      </c>
      <c r="EL77" s="40">
        <f t="shared" si="4887"/>
        <v>0</v>
      </c>
      <c r="EM77" s="40">
        <f t="shared" si="4887"/>
        <v>0</v>
      </c>
      <c r="EN77" s="40">
        <f t="shared" si="4887"/>
        <v>0</v>
      </c>
      <c r="EO77" s="40">
        <f t="shared" si="4887"/>
        <v>0</v>
      </c>
      <c r="EP77" s="40">
        <f t="shared" si="4887"/>
        <v>0</v>
      </c>
      <c r="EQ77" s="40">
        <f t="shared" si="4887"/>
        <v>0</v>
      </c>
      <c r="ER77" s="40">
        <f t="shared" si="4887"/>
        <v>0</v>
      </c>
      <c r="ES77" s="40">
        <f t="shared" si="4887"/>
        <v>0</v>
      </c>
      <c r="ET77" s="40">
        <f t="shared" si="4887"/>
        <v>0</v>
      </c>
      <c r="EU77" s="40">
        <f t="shared" si="4887"/>
        <v>0</v>
      </c>
      <c r="EV77" s="40">
        <f t="shared" si="4887"/>
        <v>0</v>
      </c>
      <c r="EW77" s="40">
        <f t="shared" si="4887"/>
        <v>0</v>
      </c>
      <c r="EX77" s="40">
        <f t="shared" si="4887"/>
        <v>0</v>
      </c>
      <c r="EY77" s="40">
        <f t="shared" si="4887"/>
        <v>0</v>
      </c>
      <c r="EZ77" s="40">
        <f t="shared" si="4887"/>
        <v>0</v>
      </c>
      <c r="FA77" s="40">
        <f t="shared" si="4887"/>
        <v>0</v>
      </c>
      <c r="FB77" s="40">
        <f t="shared" si="4887"/>
        <v>0</v>
      </c>
      <c r="FC77" s="40">
        <f t="shared" si="4887"/>
        <v>0</v>
      </c>
      <c r="FD77" s="40">
        <f t="shared" si="4887"/>
        <v>0</v>
      </c>
      <c r="FE77" s="40">
        <f t="shared" si="4887"/>
        <v>0</v>
      </c>
      <c r="FF77" s="40">
        <f t="shared" si="4887"/>
        <v>0</v>
      </c>
      <c r="FG77" s="40">
        <f t="shared" si="4887"/>
        <v>0</v>
      </c>
      <c r="FH77" s="40">
        <f t="shared" si="4887"/>
        <v>0</v>
      </c>
      <c r="FI77" s="40">
        <f t="shared" si="4887"/>
        <v>0</v>
      </c>
      <c r="FJ77" s="40">
        <f t="shared" si="4887"/>
        <v>0</v>
      </c>
      <c r="FK77" s="40">
        <f t="shared" si="4887"/>
        <v>0</v>
      </c>
      <c r="FL77" s="40">
        <f t="shared" si="4887"/>
        <v>0</v>
      </c>
      <c r="FM77" s="40">
        <f t="shared" si="4887"/>
        <v>0</v>
      </c>
      <c r="FN77" s="40">
        <f t="shared" si="4887"/>
        <v>0</v>
      </c>
      <c r="FO77" s="40">
        <f t="shared" si="4887"/>
        <v>0</v>
      </c>
      <c r="FP77" s="40">
        <f>MAX(FP69,FP74)</f>
        <v>0</v>
      </c>
      <c r="FQ77" s="40">
        <f t="shared" si="4887"/>
        <v>0</v>
      </c>
      <c r="FR77" s="40">
        <f t="shared" si="4887"/>
        <v>0</v>
      </c>
      <c r="FS77" s="40">
        <f t="shared" si="4887"/>
        <v>0</v>
      </c>
      <c r="FT77" s="40">
        <f t="shared" si="4887"/>
        <v>0</v>
      </c>
      <c r="FU77" s="40">
        <f t="shared" si="4887"/>
        <v>0</v>
      </c>
      <c r="FV77" s="40">
        <f t="shared" si="4887"/>
        <v>0</v>
      </c>
      <c r="FW77" s="40">
        <f t="shared" si="4887"/>
        <v>0</v>
      </c>
      <c r="FX77" s="40">
        <f t="shared" si="4887"/>
        <v>0</v>
      </c>
      <c r="FY77" s="40">
        <f t="shared" si="4887"/>
        <v>0</v>
      </c>
      <c r="FZ77" s="40">
        <f t="shared" si="4887"/>
        <v>0</v>
      </c>
      <c r="GA77" s="40">
        <f t="shared" si="4887"/>
        <v>0</v>
      </c>
      <c r="GB77" s="40">
        <f t="shared" si="4887"/>
        <v>0</v>
      </c>
      <c r="GC77" s="40">
        <f t="shared" si="4887"/>
        <v>0</v>
      </c>
      <c r="GD77" s="40">
        <f t="shared" si="4887"/>
        <v>0</v>
      </c>
      <c r="GE77" s="40">
        <f t="shared" si="4887"/>
        <v>0</v>
      </c>
      <c r="GF77" s="40">
        <f t="shared" ca="1" si="4887"/>
        <v>598380.00517586432</v>
      </c>
      <c r="GG77" s="40">
        <f t="shared" ca="1" si="4887"/>
        <v>0</v>
      </c>
      <c r="GH77" s="40">
        <f t="shared" ca="1" si="4887"/>
        <v>0</v>
      </c>
      <c r="GI77" s="40">
        <f t="shared" ca="1" si="4887"/>
        <v>0</v>
      </c>
      <c r="GJ77" s="40">
        <f t="shared" ca="1" si="4887"/>
        <v>0</v>
      </c>
      <c r="GK77" s="40">
        <f t="shared" ca="1" si="4887"/>
        <v>0</v>
      </c>
      <c r="GL77" s="40">
        <f t="shared" ca="1" si="4887"/>
        <v>0</v>
      </c>
      <c r="GM77" s="40">
        <f t="shared" ca="1" si="4887"/>
        <v>0</v>
      </c>
      <c r="GN77" s="40">
        <f t="shared" ca="1" si="4887"/>
        <v>0</v>
      </c>
      <c r="GO77" s="40">
        <f t="shared" ca="1" si="4887"/>
        <v>0</v>
      </c>
      <c r="GP77" s="40">
        <f t="shared" ca="1" si="4887"/>
        <v>0</v>
      </c>
      <c r="GQ77" s="40">
        <f t="shared" ca="1" si="4887"/>
        <v>0</v>
      </c>
      <c r="GR77" s="40">
        <f t="shared" ca="1" si="4887"/>
        <v>0</v>
      </c>
      <c r="GS77" s="40">
        <f t="shared" ca="1" si="4887"/>
        <v>0</v>
      </c>
      <c r="GT77" s="40">
        <f t="shared" ca="1" si="4887"/>
        <v>0</v>
      </c>
      <c r="GU77" s="40">
        <f t="shared" ref="GU77:IN77" ca="1" si="4888">MAX(GU69,GU74)</f>
        <v>0</v>
      </c>
      <c r="GV77" s="40">
        <f t="shared" ca="1" si="4888"/>
        <v>0</v>
      </c>
      <c r="GW77" s="40">
        <f t="shared" ca="1" si="4888"/>
        <v>0</v>
      </c>
      <c r="GX77" s="40">
        <f t="shared" ca="1" si="4888"/>
        <v>0</v>
      </c>
      <c r="GY77" s="40">
        <f t="shared" ca="1" si="4888"/>
        <v>0</v>
      </c>
      <c r="GZ77" s="40">
        <f t="shared" ca="1" si="4888"/>
        <v>0</v>
      </c>
      <c r="HA77" s="40">
        <f t="shared" ca="1" si="4888"/>
        <v>0</v>
      </c>
      <c r="HB77" s="40">
        <f t="shared" ca="1" si="4888"/>
        <v>0</v>
      </c>
      <c r="HC77" s="40">
        <f t="shared" ca="1" si="4888"/>
        <v>0</v>
      </c>
      <c r="HD77" s="40">
        <f t="shared" ca="1" si="4888"/>
        <v>0</v>
      </c>
      <c r="HE77" s="40">
        <f t="shared" ca="1" si="4888"/>
        <v>0</v>
      </c>
      <c r="HF77" s="40">
        <f t="shared" ca="1" si="4888"/>
        <v>0</v>
      </c>
      <c r="HG77" s="40">
        <f t="shared" ca="1" si="4888"/>
        <v>0</v>
      </c>
      <c r="HH77" s="40">
        <f t="shared" ca="1" si="4888"/>
        <v>0</v>
      </c>
      <c r="HI77" s="40">
        <f t="shared" ca="1" si="4888"/>
        <v>0</v>
      </c>
      <c r="HJ77" s="40">
        <f t="shared" ca="1" si="4888"/>
        <v>0</v>
      </c>
      <c r="HK77" s="40">
        <f t="shared" ca="1" si="4888"/>
        <v>0</v>
      </c>
      <c r="HL77" s="40">
        <f t="shared" ca="1" si="4888"/>
        <v>0</v>
      </c>
      <c r="HM77" s="40">
        <f t="shared" ca="1" si="4888"/>
        <v>0</v>
      </c>
      <c r="HN77" s="40">
        <f t="shared" ca="1" si="4888"/>
        <v>0</v>
      </c>
      <c r="HO77" s="40">
        <f t="shared" ca="1" si="4888"/>
        <v>0</v>
      </c>
      <c r="HP77" s="40">
        <f t="shared" ca="1" si="4888"/>
        <v>0</v>
      </c>
      <c r="HQ77" s="40">
        <f t="shared" ca="1" si="4888"/>
        <v>0</v>
      </c>
      <c r="HR77" s="40">
        <f t="shared" ca="1" si="4888"/>
        <v>0</v>
      </c>
      <c r="HS77" s="40">
        <f t="shared" ca="1" si="4888"/>
        <v>0</v>
      </c>
      <c r="HT77" s="40">
        <f t="shared" ca="1" si="4888"/>
        <v>0</v>
      </c>
      <c r="HU77" s="40">
        <f t="shared" ca="1" si="4888"/>
        <v>0</v>
      </c>
      <c r="HV77" s="40">
        <f t="shared" ca="1" si="4888"/>
        <v>0</v>
      </c>
      <c r="HW77" s="40">
        <f t="shared" ca="1" si="4888"/>
        <v>0</v>
      </c>
      <c r="HX77" s="40">
        <f t="shared" ca="1" si="4888"/>
        <v>0</v>
      </c>
      <c r="HY77" s="40">
        <f t="shared" ca="1" si="4888"/>
        <v>0</v>
      </c>
      <c r="HZ77" s="40">
        <f t="shared" ca="1" si="4888"/>
        <v>0</v>
      </c>
      <c r="IA77" s="40">
        <f t="shared" ca="1" si="4888"/>
        <v>0</v>
      </c>
      <c r="IB77" s="40">
        <f t="shared" ca="1" si="4888"/>
        <v>0</v>
      </c>
      <c r="IC77" s="40">
        <f t="shared" ca="1" si="4888"/>
        <v>0</v>
      </c>
      <c r="ID77" s="40">
        <f t="shared" ca="1" si="4888"/>
        <v>0</v>
      </c>
      <c r="IE77" s="40">
        <f t="shared" ca="1" si="4888"/>
        <v>0</v>
      </c>
      <c r="IF77" s="40">
        <f t="shared" ca="1" si="4888"/>
        <v>0</v>
      </c>
      <c r="IG77" s="40">
        <f t="shared" ca="1" si="4888"/>
        <v>0</v>
      </c>
      <c r="IH77" s="40">
        <f t="shared" ca="1" si="4888"/>
        <v>0</v>
      </c>
      <c r="II77" s="40">
        <f t="shared" ca="1" si="4888"/>
        <v>0</v>
      </c>
      <c r="IJ77" s="40">
        <f t="shared" ca="1" si="4888"/>
        <v>0</v>
      </c>
      <c r="IK77" s="40">
        <f t="shared" ca="1" si="4888"/>
        <v>0</v>
      </c>
      <c r="IL77" s="40">
        <f t="shared" ca="1" si="4888"/>
        <v>0</v>
      </c>
      <c r="IM77" s="40">
        <f t="shared" ca="1" si="4888"/>
        <v>0</v>
      </c>
      <c r="IN77" s="40">
        <f t="shared" ca="1" si="4888"/>
        <v>0</v>
      </c>
      <c r="IO77" s="40">
        <f t="shared" ref="IO77:KZ77" ca="1" si="4889">MAX(IO69,IO74)</f>
        <v>0</v>
      </c>
      <c r="IP77" s="40">
        <f t="shared" ca="1" si="4889"/>
        <v>0</v>
      </c>
      <c r="IQ77" s="40">
        <f ca="1">MAX(IQ69,IQ74)</f>
        <v>0</v>
      </c>
      <c r="IR77" s="40">
        <f t="shared" ca="1" si="4889"/>
        <v>0</v>
      </c>
      <c r="IS77" s="40">
        <f t="shared" ca="1" si="4889"/>
        <v>0</v>
      </c>
      <c r="IT77" s="40">
        <f t="shared" ca="1" si="4889"/>
        <v>0</v>
      </c>
      <c r="IU77" s="40">
        <f t="shared" ca="1" si="4889"/>
        <v>0</v>
      </c>
      <c r="IV77" s="40">
        <f t="shared" ca="1" si="4889"/>
        <v>0</v>
      </c>
      <c r="IW77" s="40">
        <f t="shared" ca="1" si="4889"/>
        <v>0</v>
      </c>
      <c r="IX77" s="40">
        <f t="shared" ca="1" si="4889"/>
        <v>0</v>
      </c>
      <c r="IY77" s="40">
        <f t="shared" ca="1" si="4889"/>
        <v>0</v>
      </c>
      <c r="IZ77" s="40">
        <f t="shared" ca="1" si="4889"/>
        <v>0</v>
      </c>
      <c r="JA77" s="40">
        <f t="shared" ca="1" si="4889"/>
        <v>0</v>
      </c>
      <c r="JB77" s="40">
        <f t="shared" ca="1" si="4889"/>
        <v>0</v>
      </c>
      <c r="JC77" s="40">
        <f t="shared" ca="1" si="4889"/>
        <v>0</v>
      </c>
      <c r="JD77" s="40">
        <f t="shared" ca="1" si="4889"/>
        <v>0</v>
      </c>
      <c r="JE77" s="40">
        <f t="shared" ca="1" si="4889"/>
        <v>0</v>
      </c>
      <c r="JF77" s="40">
        <f t="shared" ca="1" si="4889"/>
        <v>0</v>
      </c>
      <c r="JG77" s="40">
        <f t="shared" ca="1" si="4889"/>
        <v>0</v>
      </c>
      <c r="JH77" s="40">
        <f t="shared" ca="1" si="4889"/>
        <v>0</v>
      </c>
      <c r="JI77" s="40">
        <f t="shared" ca="1" si="4889"/>
        <v>0</v>
      </c>
      <c r="JJ77" s="40">
        <f t="shared" ca="1" si="4889"/>
        <v>0</v>
      </c>
      <c r="JK77" s="40">
        <f t="shared" ca="1" si="4889"/>
        <v>0</v>
      </c>
      <c r="JL77" s="40">
        <f t="shared" ca="1" si="4889"/>
        <v>0</v>
      </c>
      <c r="JM77" s="40">
        <f t="shared" ca="1" si="4889"/>
        <v>0</v>
      </c>
      <c r="JN77" s="40">
        <f t="shared" ca="1" si="4889"/>
        <v>0</v>
      </c>
      <c r="JO77" s="40">
        <f t="shared" ca="1" si="4889"/>
        <v>0</v>
      </c>
      <c r="JP77" s="40">
        <f t="shared" ca="1" si="4889"/>
        <v>0</v>
      </c>
      <c r="JQ77" s="40">
        <f t="shared" ca="1" si="4889"/>
        <v>0</v>
      </c>
      <c r="JR77" s="40">
        <f t="shared" ca="1" si="4889"/>
        <v>0</v>
      </c>
      <c r="JS77" s="40">
        <f t="shared" ca="1" si="4889"/>
        <v>0</v>
      </c>
      <c r="JT77" s="40">
        <f t="shared" ca="1" si="4889"/>
        <v>0</v>
      </c>
      <c r="JU77" s="40">
        <f t="shared" ca="1" si="4889"/>
        <v>0</v>
      </c>
      <c r="JV77" s="40">
        <f t="shared" ca="1" si="4889"/>
        <v>0</v>
      </c>
      <c r="JW77" s="40">
        <f t="shared" ca="1" si="4889"/>
        <v>0</v>
      </c>
      <c r="JX77" s="40">
        <f t="shared" ca="1" si="4889"/>
        <v>0</v>
      </c>
      <c r="JY77" s="40">
        <f t="shared" ca="1" si="4889"/>
        <v>0</v>
      </c>
      <c r="JZ77" s="40">
        <f t="shared" ca="1" si="4889"/>
        <v>0</v>
      </c>
      <c r="KA77" s="40">
        <f t="shared" ca="1" si="4889"/>
        <v>0</v>
      </c>
      <c r="KB77" s="40">
        <f t="shared" ca="1" si="4889"/>
        <v>0</v>
      </c>
      <c r="KC77" s="40">
        <f t="shared" ca="1" si="4889"/>
        <v>0</v>
      </c>
      <c r="KD77" s="40">
        <f t="shared" ca="1" si="4889"/>
        <v>0</v>
      </c>
      <c r="KE77" s="40">
        <f t="shared" ca="1" si="4889"/>
        <v>0</v>
      </c>
      <c r="KF77" s="40">
        <f t="shared" ca="1" si="4889"/>
        <v>0</v>
      </c>
      <c r="KG77" s="40">
        <f t="shared" ca="1" si="4889"/>
        <v>0</v>
      </c>
      <c r="KH77" s="40">
        <f t="shared" ca="1" si="4889"/>
        <v>0</v>
      </c>
      <c r="KI77" s="40">
        <f t="shared" ca="1" si="4889"/>
        <v>0</v>
      </c>
      <c r="KJ77" s="40">
        <f t="shared" ca="1" si="4889"/>
        <v>0</v>
      </c>
      <c r="KK77" s="40">
        <f t="shared" ca="1" si="4889"/>
        <v>0</v>
      </c>
      <c r="KL77" s="40">
        <f t="shared" ca="1" si="4889"/>
        <v>0</v>
      </c>
      <c r="KM77" s="40">
        <f t="shared" ca="1" si="4889"/>
        <v>0</v>
      </c>
      <c r="KN77" s="40">
        <f t="shared" ca="1" si="4889"/>
        <v>0</v>
      </c>
      <c r="KO77" s="40">
        <f t="shared" ca="1" si="4889"/>
        <v>0</v>
      </c>
      <c r="KP77" s="40">
        <f t="shared" ca="1" si="4889"/>
        <v>0</v>
      </c>
      <c r="KQ77" s="40">
        <f t="shared" ca="1" si="4889"/>
        <v>0</v>
      </c>
      <c r="KR77" s="40">
        <f t="shared" ca="1" si="4889"/>
        <v>0</v>
      </c>
      <c r="KS77" s="40">
        <f t="shared" ca="1" si="4889"/>
        <v>0</v>
      </c>
      <c r="KT77" s="40">
        <f t="shared" ca="1" si="4889"/>
        <v>0</v>
      </c>
      <c r="KU77" s="40">
        <f t="shared" ca="1" si="4889"/>
        <v>0</v>
      </c>
      <c r="KV77" s="40">
        <f t="shared" ca="1" si="4889"/>
        <v>0</v>
      </c>
      <c r="KW77" s="40">
        <f t="shared" ca="1" si="4889"/>
        <v>0</v>
      </c>
      <c r="KX77" s="40">
        <f t="shared" ca="1" si="4889"/>
        <v>0</v>
      </c>
      <c r="KY77" s="40">
        <f t="shared" ca="1" si="4889"/>
        <v>0</v>
      </c>
      <c r="KZ77" s="40">
        <f t="shared" ca="1" si="4889"/>
        <v>0</v>
      </c>
      <c r="LA77" s="40">
        <f t="shared" ref="LA77:ND77" ca="1" si="4890">MAX(LA69,LA74)</f>
        <v>0</v>
      </c>
      <c r="LB77" s="40">
        <f t="shared" ca="1" si="4890"/>
        <v>0</v>
      </c>
      <c r="LC77" s="40">
        <f t="shared" ca="1" si="4890"/>
        <v>0</v>
      </c>
      <c r="LD77" s="40">
        <f t="shared" ca="1" si="4890"/>
        <v>0</v>
      </c>
      <c r="LE77" s="40">
        <f t="shared" ca="1" si="4890"/>
        <v>0</v>
      </c>
      <c r="LF77" s="40">
        <f t="shared" ca="1" si="4890"/>
        <v>0</v>
      </c>
      <c r="LG77" s="40">
        <f t="shared" ca="1" si="4890"/>
        <v>0</v>
      </c>
      <c r="LH77" s="40">
        <f t="shared" ca="1" si="4890"/>
        <v>0</v>
      </c>
      <c r="LI77" s="40">
        <f t="shared" ca="1" si="4890"/>
        <v>0</v>
      </c>
      <c r="LJ77" s="40">
        <f t="shared" ca="1" si="4890"/>
        <v>0</v>
      </c>
      <c r="LK77" s="40">
        <f t="shared" ca="1" si="4890"/>
        <v>0</v>
      </c>
      <c r="LL77" s="40">
        <f t="shared" ca="1" si="4890"/>
        <v>0</v>
      </c>
      <c r="LM77" s="40">
        <f t="shared" ca="1" si="4890"/>
        <v>0</v>
      </c>
      <c r="LN77" s="40">
        <f t="shared" ca="1" si="4890"/>
        <v>0</v>
      </c>
      <c r="LO77" s="40">
        <f t="shared" ca="1" si="4890"/>
        <v>0</v>
      </c>
      <c r="LP77" s="40">
        <f t="shared" ca="1" si="4890"/>
        <v>0</v>
      </c>
      <c r="LQ77" s="40">
        <f t="shared" ca="1" si="4890"/>
        <v>0</v>
      </c>
      <c r="LR77" s="40">
        <f t="shared" ca="1" si="4890"/>
        <v>0</v>
      </c>
      <c r="LS77" s="40">
        <f t="shared" ca="1" si="4890"/>
        <v>0</v>
      </c>
      <c r="LT77" s="40">
        <f t="shared" ca="1" si="4890"/>
        <v>0</v>
      </c>
      <c r="LU77" s="40">
        <f t="shared" ca="1" si="4890"/>
        <v>0</v>
      </c>
      <c r="LV77" s="40">
        <f t="shared" ca="1" si="4890"/>
        <v>0</v>
      </c>
      <c r="LW77" s="40">
        <f t="shared" ca="1" si="4890"/>
        <v>0</v>
      </c>
      <c r="LX77" s="40">
        <f t="shared" ca="1" si="4890"/>
        <v>0</v>
      </c>
      <c r="LY77" s="40">
        <f t="shared" ca="1" si="4890"/>
        <v>0</v>
      </c>
      <c r="LZ77" s="40">
        <f t="shared" ca="1" si="4890"/>
        <v>0</v>
      </c>
      <c r="MA77" s="40">
        <f t="shared" ca="1" si="4890"/>
        <v>0</v>
      </c>
      <c r="MB77" s="40">
        <f t="shared" ca="1" si="4890"/>
        <v>0</v>
      </c>
      <c r="MC77" s="40">
        <f t="shared" ca="1" si="4890"/>
        <v>0</v>
      </c>
      <c r="MD77" s="40">
        <f t="shared" ca="1" si="4890"/>
        <v>0</v>
      </c>
      <c r="ME77" s="40">
        <f t="shared" ca="1" si="4890"/>
        <v>0</v>
      </c>
      <c r="MF77" s="40">
        <f t="shared" ca="1" si="4890"/>
        <v>0</v>
      </c>
      <c r="MG77" s="40">
        <f t="shared" ca="1" si="4890"/>
        <v>0</v>
      </c>
      <c r="MH77" s="40">
        <f t="shared" ca="1" si="4890"/>
        <v>0</v>
      </c>
      <c r="MI77" s="40">
        <f t="shared" ca="1" si="4890"/>
        <v>0</v>
      </c>
      <c r="MJ77" s="40">
        <f t="shared" ca="1" si="4890"/>
        <v>0</v>
      </c>
      <c r="MK77" s="40">
        <f t="shared" ca="1" si="4890"/>
        <v>0</v>
      </c>
      <c r="ML77" s="40">
        <f t="shared" ca="1" si="4890"/>
        <v>0</v>
      </c>
      <c r="MM77" s="40">
        <f t="shared" ca="1" si="4890"/>
        <v>0</v>
      </c>
      <c r="MN77" s="40">
        <f t="shared" ca="1" si="4890"/>
        <v>0</v>
      </c>
      <c r="MO77" s="40">
        <f t="shared" ca="1" si="4890"/>
        <v>0</v>
      </c>
      <c r="MP77" s="40">
        <f t="shared" ca="1" si="4890"/>
        <v>0</v>
      </c>
      <c r="MQ77" s="40">
        <f t="shared" ca="1" si="4890"/>
        <v>0</v>
      </c>
      <c r="MR77" s="40">
        <f t="shared" ca="1" si="4890"/>
        <v>0</v>
      </c>
      <c r="MS77" s="40">
        <f t="shared" ca="1" si="4890"/>
        <v>0</v>
      </c>
      <c r="MT77" s="40">
        <f t="shared" ca="1" si="4890"/>
        <v>0</v>
      </c>
      <c r="MU77" s="40">
        <f t="shared" ca="1" si="4890"/>
        <v>0</v>
      </c>
      <c r="MV77" s="40">
        <f t="shared" ca="1" si="4890"/>
        <v>0</v>
      </c>
      <c r="MW77" s="40">
        <f t="shared" ca="1" si="4890"/>
        <v>0</v>
      </c>
      <c r="MX77" s="40">
        <f t="shared" ca="1" si="4890"/>
        <v>0</v>
      </c>
      <c r="MY77" s="40">
        <f t="shared" ca="1" si="4890"/>
        <v>0</v>
      </c>
      <c r="MZ77" s="40">
        <f t="shared" ca="1" si="4890"/>
        <v>0</v>
      </c>
      <c r="NA77" s="40">
        <f t="shared" ca="1" si="4890"/>
        <v>0</v>
      </c>
      <c r="NB77" s="40">
        <f t="shared" ca="1" si="4890"/>
        <v>0</v>
      </c>
      <c r="NC77" s="40">
        <f t="shared" ca="1" si="4890"/>
        <v>0</v>
      </c>
      <c r="ND77" s="40">
        <f t="shared" ca="1" si="4890"/>
        <v>0</v>
      </c>
      <c r="NE77" s="40"/>
      <c r="NF77" s="40"/>
      <c r="NG77" s="40"/>
      <c r="NH77" s="40"/>
      <c r="NI77" s="40"/>
      <c r="NJ77" s="40"/>
      <c r="NK77" s="40"/>
      <c r="NL77" s="40"/>
      <c r="NM77" s="40"/>
      <c r="NN77" s="40"/>
      <c r="NO77" s="40"/>
      <c r="NP77" s="40"/>
      <c r="NQ77" s="40"/>
      <c r="NR77" s="40"/>
    </row>
    <row r="78" spans="2:382" x14ac:dyDescent="0.15">
      <c r="B78" s="519"/>
      <c r="C78" s="120" t="str">
        <f>$C$3</f>
        <v>Aaron (Manager)</v>
      </c>
      <c r="D78" s="5">
        <f t="shared" ref="D78:D82" si="4891">D3</f>
        <v>0.30000000000000004</v>
      </c>
      <c r="G78" s="118"/>
      <c r="I78" s="40">
        <f>$D78*I$77</f>
        <v>0</v>
      </c>
      <c r="J78" s="40">
        <f t="shared" ref="J78:BU78" si="4892">$D78*J$77</f>
        <v>0</v>
      </c>
      <c r="K78" s="40">
        <f t="shared" si="4892"/>
        <v>0</v>
      </c>
      <c r="L78" s="40">
        <f t="shared" si="4892"/>
        <v>0</v>
      </c>
      <c r="M78" s="40">
        <f t="shared" si="4892"/>
        <v>0</v>
      </c>
      <c r="N78" s="40">
        <f t="shared" si="4892"/>
        <v>0</v>
      </c>
      <c r="O78" s="40">
        <f t="shared" si="4892"/>
        <v>0</v>
      </c>
      <c r="P78" s="40">
        <f t="shared" si="4892"/>
        <v>0</v>
      </c>
      <c r="Q78" s="40">
        <f t="shared" si="4892"/>
        <v>0</v>
      </c>
      <c r="R78" s="40">
        <f t="shared" si="4892"/>
        <v>0</v>
      </c>
      <c r="S78" s="40">
        <f t="shared" si="4892"/>
        <v>0</v>
      </c>
      <c r="T78" s="40">
        <f t="shared" si="4892"/>
        <v>0</v>
      </c>
      <c r="U78" s="40">
        <f t="shared" si="4892"/>
        <v>0</v>
      </c>
      <c r="V78" s="40">
        <f t="shared" si="4892"/>
        <v>0</v>
      </c>
      <c r="W78" s="40">
        <f t="shared" si="4892"/>
        <v>0</v>
      </c>
      <c r="X78" s="40">
        <f t="shared" si="4892"/>
        <v>0</v>
      </c>
      <c r="Y78" s="40">
        <f t="shared" si="4892"/>
        <v>0</v>
      </c>
      <c r="Z78" s="40">
        <f t="shared" si="4892"/>
        <v>0</v>
      </c>
      <c r="AA78" s="40">
        <f t="shared" si="4892"/>
        <v>0</v>
      </c>
      <c r="AB78" s="40">
        <f t="shared" si="4892"/>
        <v>0</v>
      </c>
      <c r="AC78" s="40">
        <f t="shared" si="4892"/>
        <v>0</v>
      </c>
      <c r="AD78" s="40">
        <f t="shared" si="4892"/>
        <v>0</v>
      </c>
      <c r="AE78" s="40">
        <f t="shared" si="4892"/>
        <v>0</v>
      </c>
      <c r="AF78" s="40">
        <f t="shared" si="4892"/>
        <v>0</v>
      </c>
      <c r="AG78" s="40">
        <f t="shared" si="4892"/>
        <v>0</v>
      </c>
      <c r="AH78" s="40">
        <f t="shared" si="4892"/>
        <v>0</v>
      </c>
      <c r="AI78" s="40">
        <f t="shared" si="4892"/>
        <v>0</v>
      </c>
      <c r="AJ78" s="40">
        <f t="shared" si="4892"/>
        <v>0</v>
      </c>
      <c r="AK78" s="40">
        <f t="shared" si="4892"/>
        <v>0</v>
      </c>
      <c r="AL78" s="40">
        <f t="shared" si="4892"/>
        <v>0</v>
      </c>
      <c r="AM78" s="40">
        <f t="shared" si="4892"/>
        <v>0</v>
      </c>
      <c r="AN78" s="40">
        <f t="shared" si="4892"/>
        <v>0</v>
      </c>
      <c r="AO78" s="40">
        <f t="shared" si="4892"/>
        <v>0</v>
      </c>
      <c r="AP78" s="40">
        <f t="shared" si="4892"/>
        <v>0</v>
      </c>
      <c r="AQ78" s="40">
        <f t="shared" si="4892"/>
        <v>0</v>
      </c>
      <c r="AR78" s="40">
        <f t="shared" si="4892"/>
        <v>0</v>
      </c>
      <c r="AS78" s="40">
        <f t="shared" si="4892"/>
        <v>0</v>
      </c>
      <c r="AT78" s="40">
        <f t="shared" si="4892"/>
        <v>0</v>
      </c>
      <c r="AU78" s="40">
        <f t="shared" si="4892"/>
        <v>0</v>
      </c>
      <c r="AV78" s="40">
        <f t="shared" si="4892"/>
        <v>0</v>
      </c>
      <c r="AW78" s="40">
        <f t="shared" si="4892"/>
        <v>0</v>
      </c>
      <c r="AX78" s="40">
        <f t="shared" si="4892"/>
        <v>0</v>
      </c>
      <c r="AY78" s="40">
        <f t="shared" si="4892"/>
        <v>0</v>
      </c>
      <c r="AZ78" s="40">
        <f t="shared" si="4892"/>
        <v>0</v>
      </c>
      <c r="BA78" s="40">
        <f t="shared" si="4892"/>
        <v>0</v>
      </c>
      <c r="BB78" s="40">
        <f t="shared" si="4892"/>
        <v>0</v>
      </c>
      <c r="BC78" s="40">
        <f t="shared" si="4892"/>
        <v>0</v>
      </c>
      <c r="BD78" s="40">
        <f t="shared" si="4892"/>
        <v>0</v>
      </c>
      <c r="BE78" s="40">
        <f t="shared" si="4892"/>
        <v>0</v>
      </c>
      <c r="BF78" s="40">
        <f t="shared" si="4892"/>
        <v>0</v>
      </c>
      <c r="BG78" s="40">
        <f t="shared" si="4892"/>
        <v>0</v>
      </c>
      <c r="BH78" s="40">
        <f t="shared" si="4892"/>
        <v>0</v>
      </c>
      <c r="BI78" s="40">
        <f t="shared" si="4892"/>
        <v>0</v>
      </c>
      <c r="BJ78" s="40">
        <f t="shared" si="4892"/>
        <v>0</v>
      </c>
      <c r="BK78" s="40">
        <f t="shared" si="4892"/>
        <v>0</v>
      </c>
      <c r="BL78" s="40">
        <f t="shared" si="4892"/>
        <v>0</v>
      </c>
      <c r="BM78" s="40">
        <f t="shared" si="4892"/>
        <v>0</v>
      </c>
      <c r="BN78" s="40">
        <f t="shared" si="4892"/>
        <v>0</v>
      </c>
      <c r="BO78" s="40">
        <f t="shared" si="4892"/>
        <v>0</v>
      </c>
      <c r="BP78" s="40">
        <f t="shared" si="4892"/>
        <v>0</v>
      </c>
      <c r="BQ78" s="40">
        <f t="shared" si="4892"/>
        <v>0</v>
      </c>
      <c r="BR78" s="40">
        <f t="shared" si="4892"/>
        <v>0</v>
      </c>
      <c r="BS78" s="40">
        <f t="shared" si="4892"/>
        <v>0</v>
      </c>
      <c r="BT78" s="40">
        <f t="shared" si="4892"/>
        <v>0</v>
      </c>
      <c r="BU78" s="40">
        <f t="shared" si="4892"/>
        <v>0</v>
      </c>
      <c r="BV78" s="40">
        <f t="shared" ref="BV78:EG81" si="4893">$D78*BV$77</f>
        <v>0</v>
      </c>
      <c r="BW78" s="40">
        <f t="shared" si="4893"/>
        <v>0</v>
      </c>
      <c r="BX78" s="40">
        <f t="shared" si="4893"/>
        <v>0</v>
      </c>
      <c r="BY78" s="40">
        <f t="shared" si="4893"/>
        <v>0</v>
      </c>
      <c r="BZ78" s="40">
        <f t="shared" si="4893"/>
        <v>0</v>
      </c>
      <c r="CA78" s="40">
        <f t="shared" si="4893"/>
        <v>0</v>
      </c>
      <c r="CB78" s="40">
        <f t="shared" si="4893"/>
        <v>0</v>
      </c>
      <c r="CC78" s="40">
        <f t="shared" si="4893"/>
        <v>0</v>
      </c>
      <c r="CD78" s="40">
        <f t="shared" si="4893"/>
        <v>0</v>
      </c>
      <c r="CE78" s="40">
        <f t="shared" si="4893"/>
        <v>0</v>
      </c>
      <c r="CF78" s="40">
        <f t="shared" si="4893"/>
        <v>0</v>
      </c>
      <c r="CG78" s="40">
        <f t="shared" si="4893"/>
        <v>0</v>
      </c>
      <c r="CH78" s="40">
        <f t="shared" si="4893"/>
        <v>0</v>
      </c>
      <c r="CI78" s="40">
        <f t="shared" si="4893"/>
        <v>0</v>
      </c>
      <c r="CJ78" s="40">
        <f t="shared" si="4893"/>
        <v>0</v>
      </c>
      <c r="CK78" s="40">
        <f t="shared" si="4893"/>
        <v>0</v>
      </c>
      <c r="CL78" s="40">
        <f t="shared" si="4893"/>
        <v>0</v>
      </c>
      <c r="CM78" s="40">
        <f t="shared" si="4893"/>
        <v>0</v>
      </c>
      <c r="CN78" s="40">
        <f t="shared" si="4893"/>
        <v>0</v>
      </c>
      <c r="CO78" s="40">
        <f t="shared" si="4893"/>
        <v>0</v>
      </c>
      <c r="CP78" s="40">
        <f t="shared" si="4893"/>
        <v>0</v>
      </c>
      <c r="CQ78" s="40">
        <f t="shared" si="4893"/>
        <v>0</v>
      </c>
      <c r="CR78" s="40">
        <f t="shared" si="4893"/>
        <v>0</v>
      </c>
      <c r="CS78" s="40">
        <f t="shared" si="4893"/>
        <v>0</v>
      </c>
      <c r="CT78" s="40">
        <f t="shared" si="4893"/>
        <v>0</v>
      </c>
      <c r="CU78" s="40">
        <f t="shared" si="4893"/>
        <v>0</v>
      </c>
      <c r="CV78" s="40">
        <f t="shared" si="4893"/>
        <v>0</v>
      </c>
      <c r="CW78" s="40">
        <f t="shared" si="4893"/>
        <v>0</v>
      </c>
      <c r="CX78" s="40">
        <f t="shared" si="4893"/>
        <v>0</v>
      </c>
      <c r="CY78" s="40">
        <f t="shared" si="4893"/>
        <v>0</v>
      </c>
      <c r="CZ78" s="40">
        <f t="shared" si="4893"/>
        <v>0</v>
      </c>
      <c r="DA78" s="40">
        <f t="shared" si="4893"/>
        <v>0</v>
      </c>
      <c r="DB78" s="40">
        <f t="shared" si="4893"/>
        <v>0</v>
      </c>
      <c r="DC78" s="40">
        <f t="shared" si="4893"/>
        <v>0</v>
      </c>
      <c r="DD78" s="40">
        <f t="shared" si="4893"/>
        <v>0</v>
      </c>
      <c r="DE78" s="40">
        <f t="shared" si="4893"/>
        <v>0</v>
      </c>
      <c r="DF78" s="40">
        <f t="shared" si="4893"/>
        <v>0</v>
      </c>
      <c r="DG78" s="40">
        <f t="shared" si="4893"/>
        <v>0</v>
      </c>
      <c r="DH78" s="40">
        <f t="shared" si="4893"/>
        <v>0</v>
      </c>
      <c r="DI78" s="40">
        <f t="shared" si="4893"/>
        <v>0</v>
      </c>
      <c r="DJ78" s="40">
        <f t="shared" si="4893"/>
        <v>0</v>
      </c>
      <c r="DK78" s="40">
        <f t="shared" si="4893"/>
        <v>0</v>
      </c>
      <c r="DL78" s="40">
        <f t="shared" si="4893"/>
        <v>0</v>
      </c>
      <c r="DM78" s="40">
        <f t="shared" si="4893"/>
        <v>0</v>
      </c>
      <c r="DN78" s="40">
        <f t="shared" si="4893"/>
        <v>0</v>
      </c>
      <c r="DO78" s="40">
        <f t="shared" si="4893"/>
        <v>0</v>
      </c>
      <c r="DP78" s="40">
        <f t="shared" si="4893"/>
        <v>0</v>
      </c>
      <c r="DQ78" s="40">
        <f t="shared" si="4893"/>
        <v>0</v>
      </c>
      <c r="DR78" s="40">
        <f t="shared" si="4893"/>
        <v>0</v>
      </c>
      <c r="DS78" s="40">
        <f t="shared" si="4893"/>
        <v>0</v>
      </c>
      <c r="DT78" s="40">
        <f t="shared" si="4893"/>
        <v>0</v>
      </c>
      <c r="DU78" s="40">
        <f t="shared" si="4893"/>
        <v>0</v>
      </c>
      <c r="DV78" s="40">
        <f t="shared" si="4893"/>
        <v>0</v>
      </c>
      <c r="DW78" s="40">
        <f t="shared" si="4893"/>
        <v>0</v>
      </c>
      <c r="DX78" s="40">
        <f t="shared" si="4893"/>
        <v>0</v>
      </c>
      <c r="DY78" s="40">
        <f t="shared" si="4893"/>
        <v>0</v>
      </c>
      <c r="DZ78" s="40">
        <f t="shared" si="4893"/>
        <v>0</v>
      </c>
      <c r="EA78" s="40">
        <f t="shared" si="4893"/>
        <v>0</v>
      </c>
      <c r="EB78" s="40">
        <f t="shared" si="4893"/>
        <v>0</v>
      </c>
      <c r="EC78" s="40">
        <f t="shared" si="4893"/>
        <v>0</v>
      </c>
      <c r="ED78" s="40">
        <f t="shared" si="4893"/>
        <v>0</v>
      </c>
      <c r="EE78" s="40">
        <f t="shared" si="4893"/>
        <v>0</v>
      </c>
      <c r="EF78" s="40">
        <f t="shared" si="4893"/>
        <v>0</v>
      </c>
      <c r="EG78" s="40">
        <f t="shared" si="4893"/>
        <v>0</v>
      </c>
      <c r="EH78" s="40">
        <f t="shared" ref="EH78:GS81" si="4894">$D78*EH$77</f>
        <v>0</v>
      </c>
      <c r="EI78" s="40">
        <f t="shared" si="4894"/>
        <v>0</v>
      </c>
      <c r="EJ78" s="40">
        <f t="shared" si="4894"/>
        <v>0</v>
      </c>
      <c r="EK78" s="40">
        <f t="shared" si="4894"/>
        <v>0</v>
      </c>
      <c r="EL78" s="40">
        <f t="shared" si="4894"/>
        <v>0</v>
      </c>
      <c r="EM78" s="40">
        <f t="shared" si="4894"/>
        <v>0</v>
      </c>
      <c r="EN78" s="40">
        <f t="shared" si="4894"/>
        <v>0</v>
      </c>
      <c r="EO78" s="40">
        <f t="shared" si="4894"/>
        <v>0</v>
      </c>
      <c r="EP78" s="40">
        <f t="shared" si="4894"/>
        <v>0</v>
      </c>
      <c r="EQ78" s="40">
        <f t="shared" si="4894"/>
        <v>0</v>
      </c>
      <c r="ER78" s="40">
        <f t="shared" si="4894"/>
        <v>0</v>
      </c>
      <c r="ES78" s="40">
        <f t="shared" si="4894"/>
        <v>0</v>
      </c>
      <c r="ET78" s="40">
        <f t="shared" si="4894"/>
        <v>0</v>
      </c>
      <c r="EU78" s="40">
        <f t="shared" si="4894"/>
        <v>0</v>
      </c>
      <c r="EV78" s="40">
        <f t="shared" si="4894"/>
        <v>0</v>
      </c>
      <c r="EW78" s="40">
        <f t="shared" si="4894"/>
        <v>0</v>
      </c>
      <c r="EX78" s="40">
        <f t="shared" si="4894"/>
        <v>0</v>
      </c>
      <c r="EY78" s="40">
        <f t="shared" si="4894"/>
        <v>0</v>
      </c>
      <c r="EZ78" s="40">
        <f t="shared" si="4894"/>
        <v>0</v>
      </c>
      <c r="FA78" s="40">
        <f t="shared" si="4894"/>
        <v>0</v>
      </c>
      <c r="FB78" s="40">
        <f t="shared" si="4894"/>
        <v>0</v>
      </c>
      <c r="FC78" s="40">
        <f t="shared" si="4894"/>
        <v>0</v>
      </c>
      <c r="FD78" s="40">
        <f t="shared" si="4894"/>
        <v>0</v>
      </c>
      <c r="FE78" s="40">
        <f t="shared" si="4894"/>
        <v>0</v>
      </c>
      <c r="FF78" s="40">
        <f t="shared" si="4894"/>
        <v>0</v>
      </c>
      <c r="FG78" s="40">
        <f t="shared" si="4894"/>
        <v>0</v>
      </c>
      <c r="FH78" s="40">
        <f t="shared" si="4894"/>
        <v>0</v>
      </c>
      <c r="FI78" s="40">
        <f t="shared" si="4894"/>
        <v>0</v>
      </c>
      <c r="FJ78" s="40">
        <f t="shared" si="4894"/>
        <v>0</v>
      </c>
      <c r="FK78" s="40">
        <f t="shared" si="4894"/>
        <v>0</v>
      </c>
      <c r="FL78" s="40">
        <f t="shared" si="4894"/>
        <v>0</v>
      </c>
      <c r="FM78" s="40">
        <f t="shared" si="4894"/>
        <v>0</v>
      </c>
      <c r="FN78" s="40">
        <f t="shared" si="4894"/>
        <v>0</v>
      </c>
      <c r="FO78" s="40">
        <f t="shared" si="4894"/>
        <v>0</v>
      </c>
      <c r="FP78" s="40">
        <f t="shared" si="4894"/>
        <v>0</v>
      </c>
      <c r="FQ78" s="40">
        <f t="shared" si="4894"/>
        <v>0</v>
      </c>
      <c r="FR78" s="40">
        <f t="shared" si="4894"/>
        <v>0</v>
      </c>
      <c r="FS78" s="40">
        <f t="shared" si="4894"/>
        <v>0</v>
      </c>
      <c r="FT78" s="40">
        <f t="shared" si="4894"/>
        <v>0</v>
      </c>
      <c r="FU78" s="40">
        <f t="shared" si="4894"/>
        <v>0</v>
      </c>
      <c r="FV78" s="40">
        <f t="shared" si="4894"/>
        <v>0</v>
      </c>
      <c r="FW78" s="40">
        <f t="shared" si="4894"/>
        <v>0</v>
      </c>
      <c r="FX78" s="40">
        <f t="shared" si="4894"/>
        <v>0</v>
      </c>
      <c r="FY78" s="40">
        <f t="shared" si="4894"/>
        <v>0</v>
      </c>
      <c r="FZ78" s="40">
        <f t="shared" si="4894"/>
        <v>0</v>
      </c>
      <c r="GA78" s="40">
        <f t="shared" si="4894"/>
        <v>0</v>
      </c>
      <c r="GB78" s="40">
        <f t="shared" si="4894"/>
        <v>0</v>
      </c>
      <c r="GC78" s="40">
        <f t="shared" si="4894"/>
        <v>0</v>
      </c>
      <c r="GD78" s="40">
        <f t="shared" si="4894"/>
        <v>0</v>
      </c>
      <c r="GE78" s="40">
        <f t="shared" si="4894"/>
        <v>0</v>
      </c>
      <c r="GF78" s="40">
        <f t="shared" ca="1" si="4894"/>
        <v>179514.00155275932</v>
      </c>
      <c r="GG78" s="40">
        <f t="shared" ca="1" si="4894"/>
        <v>0</v>
      </c>
      <c r="GH78" s="40">
        <f t="shared" ca="1" si="4894"/>
        <v>0</v>
      </c>
      <c r="GI78" s="40">
        <f t="shared" ca="1" si="4894"/>
        <v>0</v>
      </c>
      <c r="GJ78" s="40">
        <f t="shared" ca="1" si="4894"/>
        <v>0</v>
      </c>
      <c r="GK78" s="40">
        <f t="shared" ca="1" si="4894"/>
        <v>0</v>
      </c>
      <c r="GL78" s="40">
        <f t="shared" ca="1" si="4894"/>
        <v>0</v>
      </c>
      <c r="GM78" s="40">
        <f t="shared" ca="1" si="4894"/>
        <v>0</v>
      </c>
      <c r="GN78" s="40">
        <f t="shared" ca="1" si="4894"/>
        <v>0</v>
      </c>
      <c r="GO78" s="40">
        <f t="shared" ca="1" si="4894"/>
        <v>0</v>
      </c>
      <c r="GP78" s="40">
        <f t="shared" ca="1" si="4894"/>
        <v>0</v>
      </c>
      <c r="GQ78" s="40">
        <f t="shared" ca="1" si="4894"/>
        <v>0</v>
      </c>
      <c r="GR78" s="40">
        <f t="shared" ca="1" si="4894"/>
        <v>0</v>
      </c>
      <c r="GS78" s="40">
        <f t="shared" ca="1" si="4894"/>
        <v>0</v>
      </c>
      <c r="GT78" s="40">
        <f t="shared" ref="GT78:IO80" ca="1" si="4895">$D78*GT$77</f>
        <v>0</v>
      </c>
      <c r="GU78" s="40">
        <f t="shared" ca="1" si="4895"/>
        <v>0</v>
      </c>
      <c r="GV78" s="40">
        <f t="shared" ca="1" si="4895"/>
        <v>0</v>
      </c>
      <c r="GW78" s="40">
        <f t="shared" ca="1" si="4895"/>
        <v>0</v>
      </c>
      <c r="GX78" s="40">
        <f t="shared" ca="1" si="4895"/>
        <v>0</v>
      </c>
      <c r="GY78" s="40">
        <f t="shared" ca="1" si="4895"/>
        <v>0</v>
      </c>
      <c r="GZ78" s="40">
        <f t="shared" ca="1" si="4895"/>
        <v>0</v>
      </c>
      <c r="HA78" s="40">
        <f t="shared" ca="1" si="4895"/>
        <v>0</v>
      </c>
      <c r="HB78" s="40">
        <f t="shared" ca="1" si="4895"/>
        <v>0</v>
      </c>
      <c r="HC78" s="40">
        <f t="shared" ca="1" si="4895"/>
        <v>0</v>
      </c>
      <c r="HD78" s="40">
        <f t="shared" ca="1" si="4895"/>
        <v>0</v>
      </c>
      <c r="HE78" s="40">
        <f t="shared" ca="1" si="4895"/>
        <v>0</v>
      </c>
      <c r="HF78" s="40">
        <f t="shared" ca="1" si="4895"/>
        <v>0</v>
      </c>
      <c r="HG78" s="40">
        <f t="shared" ca="1" si="4895"/>
        <v>0</v>
      </c>
      <c r="HH78" s="40">
        <f t="shared" ca="1" si="4895"/>
        <v>0</v>
      </c>
      <c r="HI78" s="40">
        <f t="shared" ca="1" si="4895"/>
        <v>0</v>
      </c>
      <c r="HJ78" s="40">
        <f t="shared" ca="1" si="4895"/>
        <v>0</v>
      </c>
      <c r="HK78" s="40">
        <f t="shared" ca="1" si="4895"/>
        <v>0</v>
      </c>
      <c r="HL78" s="40">
        <f t="shared" ca="1" si="4895"/>
        <v>0</v>
      </c>
      <c r="HM78" s="40">
        <f t="shared" ca="1" si="4895"/>
        <v>0</v>
      </c>
      <c r="HN78" s="40">
        <f t="shared" ca="1" si="4895"/>
        <v>0</v>
      </c>
      <c r="HO78" s="40">
        <f t="shared" ca="1" si="4895"/>
        <v>0</v>
      </c>
      <c r="HP78" s="40">
        <f t="shared" ca="1" si="4895"/>
        <v>0</v>
      </c>
      <c r="HQ78" s="40">
        <f t="shared" ca="1" si="4895"/>
        <v>0</v>
      </c>
      <c r="HR78" s="40">
        <f t="shared" ca="1" si="4895"/>
        <v>0</v>
      </c>
      <c r="HS78" s="40">
        <f t="shared" ca="1" si="4895"/>
        <v>0</v>
      </c>
      <c r="HT78" s="40">
        <f t="shared" ca="1" si="4895"/>
        <v>0</v>
      </c>
      <c r="HU78" s="40">
        <f t="shared" ca="1" si="4895"/>
        <v>0</v>
      </c>
      <c r="HV78" s="40">
        <f t="shared" ca="1" si="4895"/>
        <v>0</v>
      </c>
      <c r="HW78" s="40">
        <f t="shared" ca="1" si="4895"/>
        <v>0</v>
      </c>
      <c r="HX78" s="40">
        <f t="shared" ca="1" si="4895"/>
        <v>0</v>
      </c>
      <c r="HY78" s="40">
        <f t="shared" ca="1" si="4895"/>
        <v>0</v>
      </c>
      <c r="HZ78" s="40">
        <f t="shared" ca="1" si="4895"/>
        <v>0</v>
      </c>
      <c r="IA78" s="40">
        <f t="shared" ca="1" si="4895"/>
        <v>0</v>
      </c>
      <c r="IB78" s="40">
        <f t="shared" ca="1" si="4895"/>
        <v>0</v>
      </c>
      <c r="IC78" s="40">
        <f t="shared" ca="1" si="4895"/>
        <v>0</v>
      </c>
      <c r="ID78" s="40">
        <f t="shared" ca="1" si="4895"/>
        <v>0</v>
      </c>
      <c r="IE78" s="40">
        <f t="shared" ca="1" si="4895"/>
        <v>0</v>
      </c>
      <c r="IF78" s="40">
        <f t="shared" ca="1" si="4895"/>
        <v>0</v>
      </c>
      <c r="IG78" s="40">
        <f t="shared" ca="1" si="4895"/>
        <v>0</v>
      </c>
      <c r="IH78" s="40">
        <f t="shared" ca="1" si="4895"/>
        <v>0</v>
      </c>
      <c r="II78" s="40">
        <f t="shared" ca="1" si="4895"/>
        <v>0</v>
      </c>
      <c r="IJ78" s="40">
        <f t="shared" ca="1" si="4895"/>
        <v>0</v>
      </c>
      <c r="IK78" s="40">
        <f t="shared" ca="1" si="4895"/>
        <v>0</v>
      </c>
      <c r="IL78" s="40">
        <f t="shared" ca="1" si="4895"/>
        <v>0</v>
      </c>
      <c r="IM78" s="40">
        <f t="shared" ca="1" si="4895"/>
        <v>0</v>
      </c>
      <c r="IN78" s="40">
        <f t="shared" ca="1" si="4895"/>
        <v>0</v>
      </c>
      <c r="IO78" s="40">
        <f t="shared" ca="1" si="4895"/>
        <v>0</v>
      </c>
      <c r="IP78" s="40">
        <f t="shared" ref="IP78:LA81" ca="1" si="4896">$D78*IP$77</f>
        <v>0</v>
      </c>
      <c r="IQ78" s="40">
        <f t="shared" ca="1" si="4896"/>
        <v>0</v>
      </c>
      <c r="IR78" s="40">
        <f t="shared" ca="1" si="4896"/>
        <v>0</v>
      </c>
      <c r="IS78" s="40">
        <f t="shared" ca="1" si="4896"/>
        <v>0</v>
      </c>
      <c r="IT78" s="40">
        <f t="shared" ca="1" si="4896"/>
        <v>0</v>
      </c>
      <c r="IU78" s="40">
        <f t="shared" ca="1" si="4896"/>
        <v>0</v>
      </c>
      <c r="IV78" s="40">
        <f t="shared" ca="1" si="4896"/>
        <v>0</v>
      </c>
      <c r="IW78" s="40">
        <f t="shared" ca="1" si="4896"/>
        <v>0</v>
      </c>
      <c r="IX78" s="40">
        <f t="shared" ca="1" si="4896"/>
        <v>0</v>
      </c>
      <c r="IY78" s="40">
        <f t="shared" ca="1" si="4896"/>
        <v>0</v>
      </c>
      <c r="IZ78" s="40">
        <f t="shared" ca="1" si="4896"/>
        <v>0</v>
      </c>
      <c r="JA78" s="40">
        <f t="shared" ca="1" si="4896"/>
        <v>0</v>
      </c>
      <c r="JB78" s="40">
        <f t="shared" ca="1" si="4896"/>
        <v>0</v>
      </c>
      <c r="JC78" s="40">
        <f t="shared" ca="1" si="4896"/>
        <v>0</v>
      </c>
      <c r="JD78" s="40">
        <f t="shared" ca="1" si="4896"/>
        <v>0</v>
      </c>
      <c r="JE78" s="40">
        <f t="shared" ca="1" si="4896"/>
        <v>0</v>
      </c>
      <c r="JF78" s="40">
        <f t="shared" ca="1" si="4896"/>
        <v>0</v>
      </c>
      <c r="JG78" s="40">
        <f t="shared" ca="1" si="4896"/>
        <v>0</v>
      </c>
      <c r="JH78" s="40">
        <f t="shared" ca="1" si="4896"/>
        <v>0</v>
      </c>
      <c r="JI78" s="40">
        <f t="shared" ca="1" si="4896"/>
        <v>0</v>
      </c>
      <c r="JJ78" s="40">
        <f t="shared" ca="1" si="4896"/>
        <v>0</v>
      </c>
      <c r="JK78" s="40">
        <f t="shared" ca="1" si="4896"/>
        <v>0</v>
      </c>
      <c r="JL78" s="40">
        <f t="shared" ca="1" si="4896"/>
        <v>0</v>
      </c>
      <c r="JM78" s="40">
        <f t="shared" ca="1" si="4896"/>
        <v>0</v>
      </c>
      <c r="JN78" s="40">
        <f t="shared" ca="1" si="4896"/>
        <v>0</v>
      </c>
      <c r="JO78" s="40">
        <f t="shared" ca="1" si="4896"/>
        <v>0</v>
      </c>
      <c r="JP78" s="40">
        <f t="shared" ca="1" si="4896"/>
        <v>0</v>
      </c>
      <c r="JQ78" s="40">
        <f t="shared" ca="1" si="4896"/>
        <v>0</v>
      </c>
      <c r="JR78" s="40">
        <f t="shared" ca="1" si="4896"/>
        <v>0</v>
      </c>
      <c r="JS78" s="40">
        <f t="shared" ca="1" si="4896"/>
        <v>0</v>
      </c>
      <c r="JT78" s="40">
        <f t="shared" ca="1" si="4896"/>
        <v>0</v>
      </c>
      <c r="JU78" s="40">
        <f t="shared" ca="1" si="4896"/>
        <v>0</v>
      </c>
      <c r="JV78" s="40">
        <f t="shared" ca="1" si="4896"/>
        <v>0</v>
      </c>
      <c r="JW78" s="40">
        <f t="shared" ca="1" si="4896"/>
        <v>0</v>
      </c>
      <c r="JX78" s="40">
        <f t="shared" ca="1" si="4896"/>
        <v>0</v>
      </c>
      <c r="JY78" s="40">
        <f t="shared" ca="1" si="4896"/>
        <v>0</v>
      </c>
      <c r="JZ78" s="40">
        <f t="shared" ca="1" si="4896"/>
        <v>0</v>
      </c>
      <c r="KA78" s="40">
        <f t="shared" ca="1" si="4896"/>
        <v>0</v>
      </c>
      <c r="KB78" s="40">
        <f t="shared" ca="1" si="4896"/>
        <v>0</v>
      </c>
      <c r="KC78" s="40">
        <f t="shared" ca="1" si="4896"/>
        <v>0</v>
      </c>
      <c r="KD78" s="40">
        <f t="shared" ca="1" si="4896"/>
        <v>0</v>
      </c>
      <c r="KE78" s="40">
        <f t="shared" ca="1" si="4896"/>
        <v>0</v>
      </c>
      <c r="KF78" s="40">
        <f t="shared" ca="1" si="4896"/>
        <v>0</v>
      </c>
      <c r="KG78" s="40">
        <f t="shared" ca="1" si="4896"/>
        <v>0</v>
      </c>
      <c r="KH78" s="40">
        <f t="shared" ca="1" si="4896"/>
        <v>0</v>
      </c>
      <c r="KI78" s="40">
        <f t="shared" ca="1" si="4896"/>
        <v>0</v>
      </c>
      <c r="KJ78" s="40">
        <f t="shared" ca="1" si="4896"/>
        <v>0</v>
      </c>
      <c r="KK78" s="40">
        <f t="shared" ca="1" si="4896"/>
        <v>0</v>
      </c>
      <c r="KL78" s="40">
        <f t="shared" ca="1" si="4896"/>
        <v>0</v>
      </c>
      <c r="KM78" s="40">
        <f t="shared" ca="1" si="4896"/>
        <v>0</v>
      </c>
      <c r="KN78" s="40">
        <f t="shared" ca="1" si="4896"/>
        <v>0</v>
      </c>
      <c r="KO78" s="40">
        <f t="shared" ca="1" si="4896"/>
        <v>0</v>
      </c>
      <c r="KP78" s="40">
        <f t="shared" ca="1" si="4896"/>
        <v>0</v>
      </c>
      <c r="KQ78" s="40">
        <f t="shared" ca="1" si="4896"/>
        <v>0</v>
      </c>
      <c r="KR78" s="40">
        <f t="shared" ca="1" si="4896"/>
        <v>0</v>
      </c>
      <c r="KS78" s="40">
        <f t="shared" ca="1" si="4896"/>
        <v>0</v>
      </c>
      <c r="KT78" s="40">
        <f t="shared" ca="1" si="4896"/>
        <v>0</v>
      </c>
      <c r="KU78" s="40">
        <f t="shared" ca="1" si="4896"/>
        <v>0</v>
      </c>
      <c r="KV78" s="40">
        <f t="shared" ca="1" si="4896"/>
        <v>0</v>
      </c>
      <c r="KW78" s="40">
        <f t="shared" ca="1" si="4896"/>
        <v>0</v>
      </c>
      <c r="KX78" s="40">
        <f t="shared" ca="1" si="4896"/>
        <v>0</v>
      </c>
      <c r="KY78" s="40">
        <f t="shared" ca="1" si="4896"/>
        <v>0</v>
      </c>
      <c r="KZ78" s="40">
        <f t="shared" ca="1" si="4896"/>
        <v>0</v>
      </c>
      <c r="LA78" s="40">
        <f t="shared" ca="1" si="4896"/>
        <v>0</v>
      </c>
      <c r="LB78" s="40">
        <f t="shared" ref="LB78:ND81" ca="1" si="4897">$D78*LB$77</f>
        <v>0</v>
      </c>
      <c r="LC78" s="40">
        <f t="shared" ca="1" si="4897"/>
        <v>0</v>
      </c>
      <c r="LD78" s="40">
        <f t="shared" ca="1" si="4897"/>
        <v>0</v>
      </c>
      <c r="LE78" s="40">
        <f t="shared" ca="1" si="4897"/>
        <v>0</v>
      </c>
      <c r="LF78" s="40">
        <f t="shared" ca="1" si="4897"/>
        <v>0</v>
      </c>
      <c r="LG78" s="40">
        <f t="shared" ca="1" si="4897"/>
        <v>0</v>
      </c>
      <c r="LH78" s="40">
        <f t="shared" ca="1" si="4897"/>
        <v>0</v>
      </c>
      <c r="LI78" s="40">
        <f t="shared" ca="1" si="4897"/>
        <v>0</v>
      </c>
      <c r="LJ78" s="40">
        <f t="shared" ca="1" si="4897"/>
        <v>0</v>
      </c>
      <c r="LK78" s="40">
        <f t="shared" ca="1" si="4897"/>
        <v>0</v>
      </c>
      <c r="LL78" s="40">
        <f t="shared" ca="1" si="4897"/>
        <v>0</v>
      </c>
      <c r="LM78" s="40">
        <f t="shared" ca="1" si="4897"/>
        <v>0</v>
      </c>
      <c r="LN78" s="40">
        <f t="shared" ca="1" si="4897"/>
        <v>0</v>
      </c>
      <c r="LO78" s="40">
        <f t="shared" ca="1" si="4897"/>
        <v>0</v>
      </c>
      <c r="LP78" s="40">
        <f t="shared" ca="1" si="4897"/>
        <v>0</v>
      </c>
      <c r="LQ78" s="40">
        <f t="shared" ca="1" si="4897"/>
        <v>0</v>
      </c>
      <c r="LR78" s="40">
        <f t="shared" ca="1" si="4897"/>
        <v>0</v>
      </c>
      <c r="LS78" s="40">
        <f t="shared" ca="1" si="4897"/>
        <v>0</v>
      </c>
      <c r="LT78" s="40">
        <f t="shared" ca="1" si="4897"/>
        <v>0</v>
      </c>
      <c r="LU78" s="40">
        <f t="shared" ca="1" si="4897"/>
        <v>0</v>
      </c>
      <c r="LV78" s="40">
        <f t="shared" ca="1" si="4897"/>
        <v>0</v>
      </c>
      <c r="LW78" s="40">
        <f t="shared" ca="1" si="4897"/>
        <v>0</v>
      </c>
      <c r="LX78" s="40">
        <f t="shared" ca="1" si="4897"/>
        <v>0</v>
      </c>
      <c r="LY78" s="40">
        <f t="shared" ca="1" si="4897"/>
        <v>0</v>
      </c>
      <c r="LZ78" s="40">
        <f t="shared" ca="1" si="4897"/>
        <v>0</v>
      </c>
      <c r="MA78" s="40">
        <f t="shared" ca="1" si="4897"/>
        <v>0</v>
      </c>
      <c r="MB78" s="40">
        <f t="shared" ca="1" si="4897"/>
        <v>0</v>
      </c>
      <c r="MC78" s="40">
        <f t="shared" ca="1" si="4897"/>
        <v>0</v>
      </c>
      <c r="MD78" s="40">
        <f t="shared" ca="1" si="4897"/>
        <v>0</v>
      </c>
      <c r="ME78" s="40">
        <f t="shared" ca="1" si="4897"/>
        <v>0</v>
      </c>
      <c r="MF78" s="40">
        <f t="shared" ca="1" si="4897"/>
        <v>0</v>
      </c>
      <c r="MG78" s="40">
        <f t="shared" ca="1" si="4897"/>
        <v>0</v>
      </c>
      <c r="MH78" s="40">
        <f t="shared" ca="1" si="4897"/>
        <v>0</v>
      </c>
      <c r="MI78" s="40">
        <f t="shared" ca="1" si="4897"/>
        <v>0</v>
      </c>
      <c r="MJ78" s="40">
        <f t="shared" ca="1" si="4897"/>
        <v>0</v>
      </c>
      <c r="MK78" s="40">
        <f t="shared" ca="1" si="4897"/>
        <v>0</v>
      </c>
      <c r="ML78" s="40">
        <f t="shared" ca="1" si="4897"/>
        <v>0</v>
      </c>
      <c r="MM78" s="40">
        <f t="shared" ca="1" si="4897"/>
        <v>0</v>
      </c>
      <c r="MN78" s="40">
        <f t="shared" ca="1" si="4897"/>
        <v>0</v>
      </c>
      <c r="MO78" s="40">
        <f t="shared" ca="1" si="4897"/>
        <v>0</v>
      </c>
      <c r="MP78" s="40">
        <f t="shared" ca="1" si="4897"/>
        <v>0</v>
      </c>
      <c r="MQ78" s="40">
        <f t="shared" ca="1" si="4897"/>
        <v>0</v>
      </c>
      <c r="MR78" s="40">
        <f t="shared" ca="1" si="4897"/>
        <v>0</v>
      </c>
      <c r="MS78" s="40">
        <f t="shared" ca="1" si="4897"/>
        <v>0</v>
      </c>
      <c r="MT78" s="40">
        <f t="shared" ca="1" si="4897"/>
        <v>0</v>
      </c>
      <c r="MU78" s="40">
        <f t="shared" ca="1" si="4897"/>
        <v>0</v>
      </c>
      <c r="MV78" s="40">
        <f t="shared" ca="1" si="4897"/>
        <v>0</v>
      </c>
      <c r="MW78" s="40">
        <f t="shared" ca="1" si="4897"/>
        <v>0</v>
      </c>
      <c r="MX78" s="40">
        <f t="shared" ca="1" si="4897"/>
        <v>0</v>
      </c>
      <c r="MY78" s="40">
        <f t="shared" ca="1" si="4897"/>
        <v>0</v>
      </c>
      <c r="MZ78" s="40">
        <f t="shared" ca="1" si="4897"/>
        <v>0</v>
      </c>
      <c r="NA78" s="40">
        <f t="shared" ca="1" si="4897"/>
        <v>0</v>
      </c>
      <c r="NB78" s="40">
        <f t="shared" ca="1" si="4897"/>
        <v>0</v>
      </c>
      <c r="NC78" s="40">
        <f t="shared" ca="1" si="4897"/>
        <v>0</v>
      </c>
      <c r="ND78" s="40">
        <f t="shared" ca="1" si="4897"/>
        <v>0</v>
      </c>
      <c r="NE78" s="40"/>
      <c r="NF78" s="40"/>
      <c r="NG78" s="40"/>
      <c r="NH78" s="40"/>
      <c r="NI78" s="40"/>
      <c r="NJ78" s="40"/>
      <c r="NK78" s="40"/>
      <c r="NL78" s="40"/>
      <c r="NM78" s="40"/>
      <c r="NN78" s="40"/>
      <c r="NO78" s="40"/>
      <c r="NP78" s="40"/>
      <c r="NQ78" s="40"/>
      <c r="NR78" s="40"/>
    </row>
    <row r="79" spans="2:382" x14ac:dyDescent="0.15">
      <c r="B79" s="519"/>
      <c r="C79" s="120" t="str">
        <f>$C$4</f>
        <v>Brian</v>
      </c>
      <c r="D79" s="5">
        <f t="shared" si="4891"/>
        <v>0.3</v>
      </c>
      <c r="G79" s="118"/>
      <c r="I79" s="40">
        <f>$D79*I$77</f>
        <v>0</v>
      </c>
      <c r="J79" s="40">
        <f t="shared" ref="J79:BU79" si="4898">$D79*J$77</f>
        <v>0</v>
      </c>
      <c r="K79" s="40">
        <f t="shared" si="4898"/>
        <v>0</v>
      </c>
      <c r="L79" s="40">
        <f t="shared" si="4898"/>
        <v>0</v>
      </c>
      <c r="M79" s="40">
        <f t="shared" si="4898"/>
        <v>0</v>
      </c>
      <c r="N79" s="40">
        <f t="shared" si="4898"/>
        <v>0</v>
      </c>
      <c r="O79" s="40">
        <f t="shared" si="4898"/>
        <v>0</v>
      </c>
      <c r="P79" s="40">
        <f t="shared" si="4898"/>
        <v>0</v>
      </c>
      <c r="Q79" s="40">
        <f t="shared" si="4898"/>
        <v>0</v>
      </c>
      <c r="R79" s="40">
        <f t="shared" si="4898"/>
        <v>0</v>
      </c>
      <c r="S79" s="40">
        <f t="shared" si="4898"/>
        <v>0</v>
      </c>
      <c r="T79" s="40">
        <f t="shared" si="4898"/>
        <v>0</v>
      </c>
      <c r="U79" s="40">
        <f t="shared" si="4898"/>
        <v>0</v>
      </c>
      <c r="V79" s="40">
        <f t="shared" si="4898"/>
        <v>0</v>
      </c>
      <c r="W79" s="40">
        <f t="shared" si="4898"/>
        <v>0</v>
      </c>
      <c r="X79" s="40">
        <f t="shared" si="4898"/>
        <v>0</v>
      </c>
      <c r="Y79" s="40">
        <f t="shared" si="4898"/>
        <v>0</v>
      </c>
      <c r="Z79" s="40">
        <f t="shared" si="4898"/>
        <v>0</v>
      </c>
      <c r="AA79" s="40">
        <f t="shared" si="4898"/>
        <v>0</v>
      </c>
      <c r="AB79" s="40">
        <f t="shared" si="4898"/>
        <v>0</v>
      </c>
      <c r="AC79" s="40">
        <f t="shared" si="4898"/>
        <v>0</v>
      </c>
      <c r="AD79" s="40">
        <f t="shared" si="4898"/>
        <v>0</v>
      </c>
      <c r="AE79" s="40">
        <f t="shared" si="4898"/>
        <v>0</v>
      </c>
      <c r="AF79" s="40">
        <f t="shared" si="4898"/>
        <v>0</v>
      </c>
      <c r="AG79" s="40">
        <f t="shared" si="4898"/>
        <v>0</v>
      </c>
      <c r="AH79" s="40">
        <f t="shared" si="4898"/>
        <v>0</v>
      </c>
      <c r="AI79" s="40">
        <f t="shared" si="4898"/>
        <v>0</v>
      </c>
      <c r="AJ79" s="40">
        <f t="shared" si="4898"/>
        <v>0</v>
      </c>
      <c r="AK79" s="40">
        <f t="shared" si="4898"/>
        <v>0</v>
      </c>
      <c r="AL79" s="40">
        <f t="shared" si="4898"/>
        <v>0</v>
      </c>
      <c r="AM79" s="40">
        <f t="shared" si="4898"/>
        <v>0</v>
      </c>
      <c r="AN79" s="40">
        <f t="shared" si="4898"/>
        <v>0</v>
      </c>
      <c r="AO79" s="40">
        <f t="shared" si="4898"/>
        <v>0</v>
      </c>
      <c r="AP79" s="40">
        <f t="shared" si="4898"/>
        <v>0</v>
      </c>
      <c r="AQ79" s="40">
        <f t="shared" si="4898"/>
        <v>0</v>
      </c>
      <c r="AR79" s="40">
        <f t="shared" si="4898"/>
        <v>0</v>
      </c>
      <c r="AS79" s="40">
        <f t="shared" si="4898"/>
        <v>0</v>
      </c>
      <c r="AT79" s="40">
        <f t="shared" si="4898"/>
        <v>0</v>
      </c>
      <c r="AU79" s="40">
        <f t="shared" si="4898"/>
        <v>0</v>
      </c>
      <c r="AV79" s="40">
        <f t="shared" si="4898"/>
        <v>0</v>
      </c>
      <c r="AW79" s="40">
        <f t="shared" si="4898"/>
        <v>0</v>
      </c>
      <c r="AX79" s="40">
        <f t="shared" si="4898"/>
        <v>0</v>
      </c>
      <c r="AY79" s="40">
        <f t="shared" si="4898"/>
        <v>0</v>
      </c>
      <c r="AZ79" s="40">
        <f t="shared" si="4898"/>
        <v>0</v>
      </c>
      <c r="BA79" s="40">
        <f t="shared" si="4898"/>
        <v>0</v>
      </c>
      <c r="BB79" s="40">
        <f t="shared" si="4898"/>
        <v>0</v>
      </c>
      <c r="BC79" s="40">
        <f t="shared" si="4898"/>
        <v>0</v>
      </c>
      <c r="BD79" s="40">
        <f t="shared" si="4898"/>
        <v>0</v>
      </c>
      <c r="BE79" s="40">
        <f t="shared" si="4898"/>
        <v>0</v>
      </c>
      <c r="BF79" s="40">
        <f t="shared" si="4898"/>
        <v>0</v>
      </c>
      <c r="BG79" s="40">
        <f t="shared" si="4898"/>
        <v>0</v>
      </c>
      <c r="BH79" s="40">
        <f t="shared" si="4898"/>
        <v>0</v>
      </c>
      <c r="BI79" s="40">
        <f t="shared" si="4898"/>
        <v>0</v>
      </c>
      <c r="BJ79" s="40">
        <f t="shared" si="4898"/>
        <v>0</v>
      </c>
      <c r="BK79" s="40">
        <f t="shared" si="4898"/>
        <v>0</v>
      </c>
      <c r="BL79" s="40">
        <f t="shared" si="4898"/>
        <v>0</v>
      </c>
      <c r="BM79" s="40">
        <f t="shared" si="4898"/>
        <v>0</v>
      </c>
      <c r="BN79" s="40">
        <f t="shared" si="4898"/>
        <v>0</v>
      </c>
      <c r="BO79" s="40">
        <f t="shared" si="4898"/>
        <v>0</v>
      </c>
      <c r="BP79" s="40">
        <f t="shared" si="4898"/>
        <v>0</v>
      </c>
      <c r="BQ79" s="40">
        <f t="shared" si="4898"/>
        <v>0</v>
      </c>
      <c r="BR79" s="40">
        <f t="shared" si="4898"/>
        <v>0</v>
      </c>
      <c r="BS79" s="40">
        <f t="shared" si="4898"/>
        <v>0</v>
      </c>
      <c r="BT79" s="40">
        <f t="shared" si="4898"/>
        <v>0</v>
      </c>
      <c r="BU79" s="40">
        <f t="shared" si="4898"/>
        <v>0</v>
      </c>
      <c r="BV79" s="40">
        <f t="shared" si="4893"/>
        <v>0</v>
      </c>
      <c r="BW79" s="40">
        <f t="shared" si="4893"/>
        <v>0</v>
      </c>
      <c r="BX79" s="40">
        <f t="shared" si="4893"/>
        <v>0</v>
      </c>
      <c r="BY79" s="40">
        <f t="shared" si="4893"/>
        <v>0</v>
      </c>
      <c r="BZ79" s="40">
        <f t="shared" si="4893"/>
        <v>0</v>
      </c>
      <c r="CA79" s="40">
        <f t="shared" si="4893"/>
        <v>0</v>
      </c>
      <c r="CB79" s="40">
        <f t="shared" si="4893"/>
        <v>0</v>
      </c>
      <c r="CC79" s="40">
        <f t="shared" si="4893"/>
        <v>0</v>
      </c>
      <c r="CD79" s="40">
        <f t="shared" si="4893"/>
        <v>0</v>
      </c>
      <c r="CE79" s="40">
        <f t="shared" si="4893"/>
        <v>0</v>
      </c>
      <c r="CF79" s="40">
        <f t="shared" si="4893"/>
        <v>0</v>
      </c>
      <c r="CG79" s="40">
        <f t="shared" si="4893"/>
        <v>0</v>
      </c>
      <c r="CH79" s="40">
        <f t="shared" si="4893"/>
        <v>0</v>
      </c>
      <c r="CI79" s="40">
        <f t="shared" si="4893"/>
        <v>0</v>
      </c>
      <c r="CJ79" s="40">
        <f t="shared" si="4893"/>
        <v>0</v>
      </c>
      <c r="CK79" s="40">
        <f t="shared" si="4893"/>
        <v>0</v>
      </c>
      <c r="CL79" s="40">
        <f t="shared" si="4893"/>
        <v>0</v>
      </c>
      <c r="CM79" s="40">
        <f t="shared" si="4893"/>
        <v>0</v>
      </c>
      <c r="CN79" s="40">
        <f t="shared" si="4893"/>
        <v>0</v>
      </c>
      <c r="CO79" s="40">
        <f t="shared" si="4893"/>
        <v>0</v>
      </c>
      <c r="CP79" s="40">
        <f t="shared" si="4893"/>
        <v>0</v>
      </c>
      <c r="CQ79" s="40">
        <f t="shared" si="4893"/>
        <v>0</v>
      </c>
      <c r="CR79" s="40">
        <f t="shared" si="4893"/>
        <v>0</v>
      </c>
      <c r="CS79" s="40">
        <f t="shared" si="4893"/>
        <v>0</v>
      </c>
      <c r="CT79" s="40">
        <f t="shared" si="4893"/>
        <v>0</v>
      </c>
      <c r="CU79" s="40">
        <f t="shared" si="4893"/>
        <v>0</v>
      </c>
      <c r="CV79" s="40">
        <f t="shared" si="4893"/>
        <v>0</v>
      </c>
      <c r="CW79" s="40">
        <f t="shared" si="4893"/>
        <v>0</v>
      </c>
      <c r="CX79" s="40">
        <f t="shared" si="4893"/>
        <v>0</v>
      </c>
      <c r="CY79" s="40">
        <f t="shared" si="4893"/>
        <v>0</v>
      </c>
      <c r="CZ79" s="40">
        <f t="shared" si="4893"/>
        <v>0</v>
      </c>
      <c r="DA79" s="40">
        <f t="shared" si="4893"/>
        <v>0</v>
      </c>
      <c r="DB79" s="40">
        <f t="shared" si="4893"/>
        <v>0</v>
      </c>
      <c r="DC79" s="40">
        <f t="shared" si="4893"/>
        <v>0</v>
      </c>
      <c r="DD79" s="40">
        <f t="shared" si="4893"/>
        <v>0</v>
      </c>
      <c r="DE79" s="40">
        <f t="shared" si="4893"/>
        <v>0</v>
      </c>
      <c r="DF79" s="40">
        <f t="shared" si="4893"/>
        <v>0</v>
      </c>
      <c r="DG79" s="40">
        <f t="shared" si="4893"/>
        <v>0</v>
      </c>
      <c r="DH79" s="40">
        <f t="shared" si="4893"/>
        <v>0</v>
      </c>
      <c r="DI79" s="40">
        <f t="shared" si="4893"/>
        <v>0</v>
      </c>
      <c r="DJ79" s="40">
        <f t="shared" si="4893"/>
        <v>0</v>
      </c>
      <c r="DK79" s="40">
        <f t="shared" si="4893"/>
        <v>0</v>
      </c>
      <c r="DL79" s="40">
        <f t="shared" si="4893"/>
        <v>0</v>
      </c>
      <c r="DM79" s="40">
        <f t="shared" si="4893"/>
        <v>0</v>
      </c>
      <c r="DN79" s="40">
        <f t="shared" si="4893"/>
        <v>0</v>
      </c>
      <c r="DO79" s="40">
        <f t="shared" si="4893"/>
        <v>0</v>
      </c>
      <c r="DP79" s="40">
        <f t="shared" si="4893"/>
        <v>0</v>
      </c>
      <c r="DQ79" s="40">
        <f t="shared" si="4893"/>
        <v>0</v>
      </c>
      <c r="DR79" s="40">
        <f t="shared" si="4893"/>
        <v>0</v>
      </c>
      <c r="DS79" s="40">
        <f t="shared" si="4893"/>
        <v>0</v>
      </c>
      <c r="DT79" s="40">
        <f t="shared" si="4893"/>
        <v>0</v>
      </c>
      <c r="DU79" s="40">
        <f t="shared" si="4893"/>
        <v>0</v>
      </c>
      <c r="DV79" s="40">
        <f t="shared" si="4893"/>
        <v>0</v>
      </c>
      <c r="DW79" s="40">
        <f t="shared" si="4893"/>
        <v>0</v>
      </c>
      <c r="DX79" s="40">
        <f t="shared" si="4893"/>
        <v>0</v>
      </c>
      <c r="DY79" s="40">
        <f t="shared" si="4893"/>
        <v>0</v>
      </c>
      <c r="DZ79" s="40">
        <f t="shared" si="4893"/>
        <v>0</v>
      </c>
      <c r="EA79" s="40">
        <f t="shared" si="4893"/>
        <v>0</v>
      </c>
      <c r="EB79" s="40">
        <f t="shared" si="4893"/>
        <v>0</v>
      </c>
      <c r="EC79" s="40">
        <f t="shared" si="4893"/>
        <v>0</v>
      </c>
      <c r="ED79" s="40">
        <f t="shared" si="4893"/>
        <v>0</v>
      </c>
      <c r="EE79" s="40">
        <f t="shared" si="4893"/>
        <v>0</v>
      </c>
      <c r="EF79" s="40">
        <f t="shared" si="4893"/>
        <v>0</v>
      </c>
      <c r="EG79" s="40">
        <f t="shared" si="4893"/>
        <v>0</v>
      </c>
      <c r="EH79" s="40">
        <f t="shared" si="4894"/>
        <v>0</v>
      </c>
      <c r="EI79" s="40">
        <f t="shared" si="4894"/>
        <v>0</v>
      </c>
      <c r="EJ79" s="40">
        <f t="shared" si="4894"/>
        <v>0</v>
      </c>
      <c r="EK79" s="40">
        <f t="shared" si="4894"/>
        <v>0</v>
      </c>
      <c r="EL79" s="40">
        <f t="shared" si="4894"/>
        <v>0</v>
      </c>
      <c r="EM79" s="40">
        <f t="shared" si="4894"/>
        <v>0</v>
      </c>
      <c r="EN79" s="40">
        <f t="shared" si="4894"/>
        <v>0</v>
      </c>
      <c r="EO79" s="40">
        <f t="shared" si="4894"/>
        <v>0</v>
      </c>
      <c r="EP79" s="40">
        <f t="shared" si="4894"/>
        <v>0</v>
      </c>
      <c r="EQ79" s="40">
        <f t="shared" si="4894"/>
        <v>0</v>
      </c>
      <c r="ER79" s="40">
        <f t="shared" si="4894"/>
        <v>0</v>
      </c>
      <c r="ES79" s="40">
        <f t="shared" si="4894"/>
        <v>0</v>
      </c>
      <c r="ET79" s="40">
        <f t="shared" si="4894"/>
        <v>0</v>
      </c>
      <c r="EU79" s="40">
        <f t="shared" si="4894"/>
        <v>0</v>
      </c>
      <c r="EV79" s="40">
        <f t="shared" si="4894"/>
        <v>0</v>
      </c>
      <c r="EW79" s="40">
        <f t="shared" si="4894"/>
        <v>0</v>
      </c>
      <c r="EX79" s="40">
        <f t="shared" si="4894"/>
        <v>0</v>
      </c>
      <c r="EY79" s="40">
        <f t="shared" si="4894"/>
        <v>0</v>
      </c>
      <c r="EZ79" s="40">
        <f t="shared" si="4894"/>
        <v>0</v>
      </c>
      <c r="FA79" s="40">
        <f t="shared" si="4894"/>
        <v>0</v>
      </c>
      <c r="FB79" s="40">
        <f t="shared" si="4894"/>
        <v>0</v>
      </c>
      <c r="FC79" s="40">
        <f t="shared" si="4894"/>
        <v>0</v>
      </c>
      <c r="FD79" s="40">
        <f t="shared" si="4894"/>
        <v>0</v>
      </c>
      <c r="FE79" s="40">
        <f t="shared" si="4894"/>
        <v>0</v>
      </c>
      <c r="FF79" s="40">
        <f t="shared" si="4894"/>
        <v>0</v>
      </c>
      <c r="FG79" s="40">
        <f t="shared" si="4894"/>
        <v>0</v>
      </c>
      <c r="FH79" s="40">
        <f t="shared" si="4894"/>
        <v>0</v>
      </c>
      <c r="FI79" s="40">
        <f t="shared" si="4894"/>
        <v>0</v>
      </c>
      <c r="FJ79" s="40">
        <f t="shared" si="4894"/>
        <v>0</v>
      </c>
      <c r="FK79" s="40">
        <f t="shared" si="4894"/>
        <v>0</v>
      </c>
      <c r="FL79" s="40">
        <f t="shared" si="4894"/>
        <v>0</v>
      </c>
      <c r="FM79" s="40">
        <f t="shared" si="4894"/>
        <v>0</v>
      </c>
      <c r="FN79" s="40">
        <f t="shared" si="4894"/>
        <v>0</v>
      </c>
      <c r="FO79" s="40">
        <f t="shared" si="4894"/>
        <v>0</v>
      </c>
      <c r="FP79" s="40">
        <f t="shared" si="4894"/>
        <v>0</v>
      </c>
      <c r="FQ79" s="40">
        <f t="shared" si="4894"/>
        <v>0</v>
      </c>
      <c r="FR79" s="40">
        <f t="shared" si="4894"/>
        <v>0</v>
      </c>
      <c r="FS79" s="40">
        <f t="shared" si="4894"/>
        <v>0</v>
      </c>
      <c r="FT79" s="40">
        <f t="shared" si="4894"/>
        <v>0</v>
      </c>
      <c r="FU79" s="40">
        <f t="shared" si="4894"/>
        <v>0</v>
      </c>
      <c r="FV79" s="40">
        <f t="shared" si="4894"/>
        <v>0</v>
      </c>
      <c r="FW79" s="40">
        <f t="shared" si="4894"/>
        <v>0</v>
      </c>
      <c r="FX79" s="40">
        <f t="shared" si="4894"/>
        <v>0</v>
      </c>
      <c r="FY79" s="40">
        <f t="shared" si="4894"/>
        <v>0</v>
      </c>
      <c r="FZ79" s="40">
        <f t="shared" si="4894"/>
        <v>0</v>
      </c>
      <c r="GA79" s="40">
        <f t="shared" si="4894"/>
        <v>0</v>
      </c>
      <c r="GB79" s="40">
        <f t="shared" si="4894"/>
        <v>0</v>
      </c>
      <c r="GC79" s="40">
        <f t="shared" si="4894"/>
        <v>0</v>
      </c>
      <c r="GD79" s="40">
        <f t="shared" si="4894"/>
        <v>0</v>
      </c>
      <c r="GE79" s="40">
        <f t="shared" si="4894"/>
        <v>0</v>
      </c>
      <c r="GF79" s="40">
        <f t="shared" ca="1" si="4894"/>
        <v>179514.00155275929</v>
      </c>
      <c r="GG79" s="40">
        <f t="shared" ca="1" si="4894"/>
        <v>0</v>
      </c>
      <c r="GH79" s="40">
        <f t="shared" ca="1" si="4894"/>
        <v>0</v>
      </c>
      <c r="GI79" s="40">
        <f t="shared" ca="1" si="4894"/>
        <v>0</v>
      </c>
      <c r="GJ79" s="40">
        <f t="shared" ca="1" si="4894"/>
        <v>0</v>
      </c>
      <c r="GK79" s="40">
        <f t="shared" ca="1" si="4894"/>
        <v>0</v>
      </c>
      <c r="GL79" s="40">
        <f t="shared" ca="1" si="4894"/>
        <v>0</v>
      </c>
      <c r="GM79" s="40">
        <f t="shared" ca="1" si="4894"/>
        <v>0</v>
      </c>
      <c r="GN79" s="40">
        <f t="shared" ca="1" si="4894"/>
        <v>0</v>
      </c>
      <c r="GO79" s="40">
        <f t="shared" ca="1" si="4894"/>
        <v>0</v>
      </c>
      <c r="GP79" s="40">
        <f t="shared" ca="1" si="4894"/>
        <v>0</v>
      </c>
      <c r="GQ79" s="40">
        <f t="shared" ca="1" si="4894"/>
        <v>0</v>
      </c>
      <c r="GR79" s="40">
        <f t="shared" ca="1" si="4894"/>
        <v>0</v>
      </c>
      <c r="GS79" s="40">
        <f t="shared" ca="1" si="4894"/>
        <v>0</v>
      </c>
      <c r="GT79" s="40">
        <f t="shared" ca="1" si="4895"/>
        <v>0</v>
      </c>
      <c r="GU79" s="40">
        <f t="shared" ca="1" si="4895"/>
        <v>0</v>
      </c>
      <c r="GV79" s="40">
        <f t="shared" ca="1" si="4895"/>
        <v>0</v>
      </c>
      <c r="GW79" s="40">
        <f t="shared" ca="1" si="4895"/>
        <v>0</v>
      </c>
      <c r="GX79" s="40">
        <f t="shared" ca="1" si="4895"/>
        <v>0</v>
      </c>
      <c r="GY79" s="40">
        <f t="shared" ca="1" si="4895"/>
        <v>0</v>
      </c>
      <c r="GZ79" s="40">
        <f t="shared" ca="1" si="4895"/>
        <v>0</v>
      </c>
      <c r="HA79" s="40">
        <f t="shared" ca="1" si="4895"/>
        <v>0</v>
      </c>
      <c r="HB79" s="40">
        <f t="shared" ca="1" si="4895"/>
        <v>0</v>
      </c>
      <c r="HC79" s="40">
        <f t="shared" ca="1" si="4895"/>
        <v>0</v>
      </c>
      <c r="HD79" s="40">
        <f t="shared" ca="1" si="4895"/>
        <v>0</v>
      </c>
      <c r="HE79" s="40">
        <f t="shared" ca="1" si="4895"/>
        <v>0</v>
      </c>
      <c r="HF79" s="40">
        <f t="shared" ca="1" si="4895"/>
        <v>0</v>
      </c>
      <c r="HG79" s="40">
        <f t="shared" ca="1" si="4895"/>
        <v>0</v>
      </c>
      <c r="HH79" s="40">
        <f t="shared" ca="1" si="4895"/>
        <v>0</v>
      </c>
      <c r="HI79" s="40">
        <f t="shared" ca="1" si="4895"/>
        <v>0</v>
      </c>
      <c r="HJ79" s="40">
        <f t="shared" ca="1" si="4895"/>
        <v>0</v>
      </c>
      <c r="HK79" s="40">
        <f t="shared" ca="1" si="4895"/>
        <v>0</v>
      </c>
      <c r="HL79" s="40">
        <f t="shared" ca="1" si="4895"/>
        <v>0</v>
      </c>
      <c r="HM79" s="40">
        <f t="shared" ca="1" si="4895"/>
        <v>0</v>
      </c>
      <c r="HN79" s="40">
        <f t="shared" ca="1" si="4895"/>
        <v>0</v>
      </c>
      <c r="HO79" s="40">
        <f t="shared" ca="1" si="4895"/>
        <v>0</v>
      </c>
      <c r="HP79" s="40">
        <f t="shared" ca="1" si="4895"/>
        <v>0</v>
      </c>
      <c r="HQ79" s="40">
        <f t="shared" ca="1" si="4895"/>
        <v>0</v>
      </c>
      <c r="HR79" s="40">
        <f t="shared" ca="1" si="4895"/>
        <v>0</v>
      </c>
      <c r="HS79" s="40">
        <f t="shared" ca="1" si="4895"/>
        <v>0</v>
      </c>
      <c r="HT79" s="40">
        <f t="shared" ca="1" si="4895"/>
        <v>0</v>
      </c>
      <c r="HU79" s="40">
        <f t="shared" ca="1" si="4895"/>
        <v>0</v>
      </c>
      <c r="HV79" s="40">
        <f t="shared" ca="1" si="4895"/>
        <v>0</v>
      </c>
      <c r="HW79" s="40">
        <f t="shared" ca="1" si="4895"/>
        <v>0</v>
      </c>
      <c r="HX79" s="40">
        <f t="shared" ca="1" si="4895"/>
        <v>0</v>
      </c>
      <c r="HY79" s="40">
        <f t="shared" ca="1" si="4895"/>
        <v>0</v>
      </c>
      <c r="HZ79" s="40">
        <f t="shared" ca="1" si="4895"/>
        <v>0</v>
      </c>
      <c r="IA79" s="40">
        <f t="shared" ca="1" si="4895"/>
        <v>0</v>
      </c>
      <c r="IB79" s="40">
        <f t="shared" ca="1" si="4895"/>
        <v>0</v>
      </c>
      <c r="IC79" s="40">
        <f t="shared" ca="1" si="4895"/>
        <v>0</v>
      </c>
      <c r="ID79" s="40">
        <f t="shared" ca="1" si="4895"/>
        <v>0</v>
      </c>
      <c r="IE79" s="40">
        <f t="shared" ca="1" si="4895"/>
        <v>0</v>
      </c>
      <c r="IF79" s="40">
        <f t="shared" ca="1" si="4895"/>
        <v>0</v>
      </c>
      <c r="IG79" s="40">
        <f t="shared" ca="1" si="4895"/>
        <v>0</v>
      </c>
      <c r="IH79" s="40">
        <f t="shared" ca="1" si="4895"/>
        <v>0</v>
      </c>
      <c r="II79" s="40">
        <f t="shared" ca="1" si="4895"/>
        <v>0</v>
      </c>
      <c r="IJ79" s="40">
        <f t="shared" ca="1" si="4895"/>
        <v>0</v>
      </c>
      <c r="IK79" s="40">
        <f t="shared" ca="1" si="4895"/>
        <v>0</v>
      </c>
      <c r="IL79" s="40">
        <f t="shared" ca="1" si="4895"/>
        <v>0</v>
      </c>
      <c r="IM79" s="40">
        <f t="shared" ca="1" si="4895"/>
        <v>0</v>
      </c>
      <c r="IN79" s="40">
        <f t="shared" ca="1" si="4895"/>
        <v>0</v>
      </c>
      <c r="IO79" s="40">
        <f t="shared" ref="IO79:KZ81" ca="1" si="4899">$D79*IO$77</f>
        <v>0</v>
      </c>
      <c r="IP79" s="40">
        <f t="shared" ca="1" si="4899"/>
        <v>0</v>
      </c>
      <c r="IQ79" s="40">
        <f t="shared" ca="1" si="4899"/>
        <v>0</v>
      </c>
      <c r="IR79" s="40">
        <f t="shared" ca="1" si="4899"/>
        <v>0</v>
      </c>
      <c r="IS79" s="40">
        <f t="shared" ca="1" si="4899"/>
        <v>0</v>
      </c>
      <c r="IT79" s="40">
        <f t="shared" ca="1" si="4899"/>
        <v>0</v>
      </c>
      <c r="IU79" s="40">
        <f t="shared" ca="1" si="4899"/>
        <v>0</v>
      </c>
      <c r="IV79" s="40">
        <f t="shared" ca="1" si="4899"/>
        <v>0</v>
      </c>
      <c r="IW79" s="40">
        <f t="shared" ca="1" si="4899"/>
        <v>0</v>
      </c>
      <c r="IX79" s="40">
        <f t="shared" ca="1" si="4899"/>
        <v>0</v>
      </c>
      <c r="IY79" s="40">
        <f t="shared" ca="1" si="4899"/>
        <v>0</v>
      </c>
      <c r="IZ79" s="40">
        <f t="shared" ca="1" si="4899"/>
        <v>0</v>
      </c>
      <c r="JA79" s="40">
        <f t="shared" ca="1" si="4899"/>
        <v>0</v>
      </c>
      <c r="JB79" s="40">
        <f t="shared" ca="1" si="4899"/>
        <v>0</v>
      </c>
      <c r="JC79" s="40">
        <f t="shared" ca="1" si="4899"/>
        <v>0</v>
      </c>
      <c r="JD79" s="40">
        <f t="shared" ca="1" si="4899"/>
        <v>0</v>
      </c>
      <c r="JE79" s="40">
        <f t="shared" ca="1" si="4899"/>
        <v>0</v>
      </c>
      <c r="JF79" s="40">
        <f t="shared" ca="1" si="4899"/>
        <v>0</v>
      </c>
      <c r="JG79" s="40">
        <f t="shared" ca="1" si="4899"/>
        <v>0</v>
      </c>
      <c r="JH79" s="40">
        <f t="shared" ca="1" si="4899"/>
        <v>0</v>
      </c>
      <c r="JI79" s="40">
        <f t="shared" ca="1" si="4899"/>
        <v>0</v>
      </c>
      <c r="JJ79" s="40">
        <f t="shared" ca="1" si="4899"/>
        <v>0</v>
      </c>
      <c r="JK79" s="40">
        <f t="shared" ca="1" si="4899"/>
        <v>0</v>
      </c>
      <c r="JL79" s="40">
        <f t="shared" ca="1" si="4899"/>
        <v>0</v>
      </c>
      <c r="JM79" s="40">
        <f t="shared" ca="1" si="4899"/>
        <v>0</v>
      </c>
      <c r="JN79" s="40">
        <f t="shared" ca="1" si="4899"/>
        <v>0</v>
      </c>
      <c r="JO79" s="40">
        <f t="shared" ca="1" si="4899"/>
        <v>0</v>
      </c>
      <c r="JP79" s="40">
        <f t="shared" ca="1" si="4899"/>
        <v>0</v>
      </c>
      <c r="JQ79" s="40">
        <f t="shared" ca="1" si="4899"/>
        <v>0</v>
      </c>
      <c r="JR79" s="40">
        <f t="shared" ca="1" si="4899"/>
        <v>0</v>
      </c>
      <c r="JS79" s="40">
        <f t="shared" ca="1" si="4899"/>
        <v>0</v>
      </c>
      <c r="JT79" s="40">
        <f t="shared" ca="1" si="4899"/>
        <v>0</v>
      </c>
      <c r="JU79" s="40">
        <f t="shared" ca="1" si="4899"/>
        <v>0</v>
      </c>
      <c r="JV79" s="40">
        <f t="shared" ca="1" si="4899"/>
        <v>0</v>
      </c>
      <c r="JW79" s="40">
        <f t="shared" ca="1" si="4899"/>
        <v>0</v>
      </c>
      <c r="JX79" s="40">
        <f t="shared" ca="1" si="4899"/>
        <v>0</v>
      </c>
      <c r="JY79" s="40">
        <f t="shared" ca="1" si="4899"/>
        <v>0</v>
      </c>
      <c r="JZ79" s="40">
        <f t="shared" ca="1" si="4899"/>
        <v>0</v>
      </c>
      <c r="KA79" s="40">
        <f t="shared" ca="1" si="4899"/>
        <v>0</v>
      </c>
      <c r="KB79" s="40">
        <f t="shared" ca="1" si="4899"/>
        <v>0</v>
      </c>
      <c r="KC79" s="40">
        <f t="shared" ca="1" si="4899"/>
        <v>0</v>
      </c>
      <c r="KD79" s="40">
        <f t="shared" ca="1" si="4899"/>
        <v>0</v>
      </c>
      <c r="KE79" s="40">
        <f t="shared" ca="1" si="4899"/>
        <v>0</v>
      </c>
      <c r="KF79" s="40">
        <f t="shared" ca="1" si="4899"/>
        <v>0</v>
      </c>
      <c r="KG79" s="40">
        <f t="shared" ca="1" si="4899"/>
        <v>0</v>
      </c>
      <c r="KH79" s="40">
        <f t="shared" ca="1" si="4899"/>
        <v>0</v>
      </c>
      <c r="KI79" s="40">
        <f t="shared" ca="1" si="4899"/>
        <v>0</v>
      </c>
      <c r="KJ79" s="40">
        <f t="shared" ca="1" si="4899"/>
        <v>0</v>
      </c>
      <c r="KK79" s="40">
        <f t="shared" ca="1" si="4899"/>
        <v>0</v>
      </c>
      <c r="KL79" s="40">
        <f t="shared" ca="1" si="4899"/>
        <v>0</v>
      </c>
      <c r="KM79" s="40">
        <f t="shared" ca="1" si="4899"/>
        <v>0</v>
      </c>
      <c r="KN79" s="40">
        <f t="shared" ca="1" si="4899"/>
        <v>0</v>
      </c>
      <c r="KO79" s="40">
        <f t="shared" ca="1" si="4899"/>
        <v>0</v>
      </c>
      <c r="KP79" s="40">
        <f t="shared" ca="1" si="4899"/>
        <v>0</v>
      </c>
      <c r="KQ79" s="40">
        <f t="shared" ca="1" si="4899"/>
        <v>0</v>
      </c>
      <c r="KR79" s="40">
        <f t="shared" ca="1" si="4899"/>
        <v>0</v>
      </c>
      <c r="KS79" s="40">
        <f t="shared" ca="1" si="4899"/>
        <v>0</v>
      </c>
      <c r="KT79" s="40">
        <f t="shared" ca="1" si="4899"/>
        <v>0</v>
      </c>
      <c r="KU79" s="40">
        <f t="shared" ca="1" si="4899"/>
        <v>0</v>
      </c>
      <c r="KV79" s="40">
        <f t="shared" ca="1" si="4899"/>
        <v>0</v>
      </c>
      <c r="KW79" s="40">
        <f t="shared" ca="1" si="4899"/>
        <v>0</v>
      </c>
      <c r="KX79" s="40">
        <f t="shared" ca="1" si="4899"/>
        <v>0</v>
      </c>
      <c r="KY79" s="40">
        <f t="shared" ca="1" si="4899"/>
        <v>0</v>
      </c>
      <c r="KZ79" s="40">
        <f t="shared" ca="1" si="4899"/>
        <v>0</v>
      </c>
      <c r="LA79" s="40">
        <f t="shared" ca="1" si="4896"/>
        <v>0</v>
      </c>
      <c r="LB79" s="40">
        <f t="shared" ca="1" si="4897"/>
        <v>0</v>
      </c>
      <c r="LC79" s="40">
        <f t="shared" ca="1" si="4897"/>
        <v>0</v>
      </c>
      <c r="LD79" s="40">
        <f t="shared" ca="1" si="4897"/>
        <v>0</v>
      </c>
      <c r="LE79" s="40">
        <f t="shared" ca="1" si="4897"/>
        <v>0</v>
      </c>
      <c r="LF79" s="40">
        <f t="shared" ca="1" si="4897"/>
        <v>0</v>
      </c>
      <c r="LG79" s="40">
        <f t="shared" ca="1" si="4897"/>
        <v>0</v>
      </c>
      <c r="LH79" s="40">
        <f t="shared" ca="1" si="4897"/>
        <v>0</v>
      </c>
      <c r="LI79" s="40">
        <f t="shared" ca="1" si="4897"/>
        <v>0</v>
      </c>
      <c r="LJ79" s="40">
        <f t="shared" ca="1" si="4897"/>
        <v>0</v>
      </c>
      <c r="LK79" s="40">
        <f t="shared" ca="1" si="4897"/>
        <v>0</v>
      </c>
      <c r="LL79" s="40">
        <f t="shared" ca="1" si="4897"/>
        <v>0</v>
      </c>
      <c r="LM79" s="40">
        <f t="shared" ca="1" si="4897"/>
        <v>0</v>
      </c>
      <c r="LN79" s="40">
        <f t="shared" ca="1" si="4897"/>
        <v>0</v>
      </c>
      <c r="LO79" s="40">
        <f t="shared" ca="1" si="4897"/>
        <v>0</v>
      </c>
      <c r="LP79" s="40">
        <f t="shared" ca="1" si="4897"/>
        <v>0</v>
      </c>
      <c r="LQ79" s="40">
        <f t="shared" ca="1" si="4897"/>
        <v>0</v>
      </c>
      <c r="LR79" s="40">
        <f t="shared" ca="1" si="4897"/>
        <v>0</v>
      </c>
      <c r="LS79" s="40">
        <f t="shared" ca="1" si="4897"/>
        <v>0</v>
      </c>
      <c r="LT79" s="40">
        <f t="shared" ca="1" si="4897"/>
        <v>0</v>
      </c>
      <c r="LU79" s="40">
        <f t="shared" ca="1" si="4897"/>
        <v>0</v>
      </c>
      <c r="LV79" s="40">
        <f t="shared" ca="1" si="4897"/>
        <v>0</v>
      </c>
      <c r="LW79" s="40">
        <f t="shared" ca="1" si="4897"/>
        <v>0</v>
      </c>
      <c r="LX79" s="40">
        <f t="shared" ca="1" si="4897"/>
        <v>0</v>
      </c>
      <c r="LY79" s="40">
        <f t="shared" ca="1" si="4897"/>
        <v>0</v>
      </c>
      <c r="LZ79" s="40">
        <f t="shared" ca="1" si="4897"/>
        <v>0</v>
      </c>
      <c r="MA79" s="40">
        <f t="shared" ca="1" si="4897"/>
        <v>0</v>
      </c>
      <c r="MB79" s="40">
        <f t="shared" ca="1" si="4897"/>
        <v>0</v>
      </c>
      <c r="MC79" s="40">
        <f t="shared" ca="1" si="4897"/>
        <v>0</v>
      </c>
      <c r="MD79" s="40">
        <f t="shared" ca="1" si="4897"/>
        <v>0</v>
      </c>
      <c r="ME79" s="40">
        <f t="shared" ca="1" si="4897"/>
        <v>0</v>
      </c>
      <c r="MF79" s="40">
        <f t="shared" ca="1" si="4897"/>
        <v>0</v>
      </c>
      <c r="MG79" s="40">
        <f t="shared" ca="1" si="4897"/>
        <v>0</v>
      </c>
      <c r="MH79" s="40">
        <f t="shared" ca="1" si="4897"/>
        <v>0</v>
      </c>
      <c r="MI79" s="40">
        <f t="shared" ca="1" si="4897"/>
        <v>0</v>
      </c>
      <c r="MJ79" s="40">
        <f t="shared" ca="1" si="4897"/>
        <v>0</v>
      </c>
      <c r="MK79" s="40">
        <f t="shared" ca="1" si="4897"/>
        <v>0</v>
      </c>
      <c r="ML79" s="40">
        <f t="shared" ca="1" si="4897"/>
        <v>0</v>
      </c>
      <c r="MM79" s="40">
        <f t="shared" ca="1" si="4897"/>
        <v>0</v>
      </c>
      <c r="MN79" s="40">
        <f t="shared" ca="1" si="4897"/>
        <v>0</v>
      </c>
      <c r="MO79" s="40">
        <f t="shared" ca="1" si="4897"/>
        <v>0</v>
      </c>
      <c r="MP79" s="40">
        <f t="shared" ca="1" si="4897"/>
        <v>0</v>
      </c>
      <c r="MQ79" s="40">
        <f t="shared" ca="1" si="4897"/>
        <v>0</v>
      </c>
      <c r="MR79" s="40">
        <f t="shared" ca="1" si="4897"/>
        <v>0</v>
      </c>
      <c r="MS79" s="40">
        <f t="shared" ca="1" si="4897"/>
        <v>0</v>
      </c>
      <c r="MT79" s="40">
        <f t="shared" ca="1" si="4897"/>
        <v>0</v>
      </c>
      <c r="MU79" s="40">
        <f t="shared" ca="1" si="4897"/>
        <v>0</v>
      </c>
      <c r="MV79" s="40">
        <f t="shared" ca="1" si="4897"/>
        <v>0</v>
      </c>
      <c r="MW79" s="40">
        <f t="shared" ca="1" si="4897"/>
        <v>0</v>
      </c>
      <c r="MX79" s="40">
        <f t="shared" ca="1" si="4897"/>
        <v>0</v>
      </c>
      <c r="MY79" s="40">
        <f t="shared" ca="1" si="4897"/>
        <v>0</v>
      </c>
      <c r="MZ79" s="40">
        <f t="shared" ca="1" si="4897"/>
        <v>0</v>
      </c>
      <c r="NA79" s="40">
        <f t="shared" ca="1" si="4897"/>
        <v>0</v>
      </c>
      <c r="NB79" s="40">
        <f t="shared" ca="1" si="4897"/>
        <v>0</v>
      </c>
      <c r="NC79" s="40">
        <f t="shared" ca="1" si="4897"/>
        <v>0</v>
      </c>
      <c r="ND79" s="40">
        <f t="shared" ca="1" si="4897"/>
        <v>0</v>
      </c>
      <c r="NE79" s="40"/>
      <c r="NF79" s="40"/>
      <c r="NG79" s="40"/>
      <c r="NH79" s="40"/>
      <c r="NI79" s="40"/>
      <c r="NJ79" s="40"/>
      <c r="NK79" s="40"/>
      <c r="NL79" s="40"/>
      <c r="NM79" s="40"/>
      <c r="NN79" s="40"/>
      <c r="NO79" s="40"/>
      <c r="NP79" s="40"/>
      <c r="NQ79" s="40"/>
      <c r="NR79" s="40"/>
    </row>
    <row r="80" spans="2:382" x14ac:dyDescent="0.15">
      <c r="B80" s="519"/>
      <c r="C80" s="120" t="str">
        <f>$C$5</f>
        <v>Chris</v>
      </c>
      <c r="D80" s="5">
        <f t="shared" si="4891"/>
        <v>0.4</v>
      </c>
      <c r="G80" s="118"/>
      <c r="I80" s="40">
        <f>$D80*I$77</f>
        <v>0</v>
      </c>
      <c r="J80" s="40">
        <f t="shared" ref="J80:BU81" si="4900">$D80*J$77</f>
        <v>0</v>
      </c>
      <c r="K80" s="40">
        <f t="shared" si="4900"/>
        <v>0</v>
      </c>
      <c r="L80" s="40">
        <f t="shared" si="4900"/>
        <v>0</v>
      </c>
      <c r="M80" s="40">
        <f t="shared" si="4900"/>
        <v>0</v>
      </c>
      <c r="N80" s="40">
        <f t="shared" si="4900"/>
        <v>0</v>
      </c>
      <c r="O80" s="40">
        <f t="shared" si="4900"/>
        <v>0</v>
      </c>
      <c r="P80" s="40">
        <f t="shared" si="4900"/>
        <v>0</v>
      </c>
      <c r="Q80" s="40">
        <f t="shared" si="4900"/>
        <v>0</v>
      </c>
      <c r="R80" s="40">
        <f t="shared" si="4900"/>
        <v>0</v>
      </c>
      <c r="S80" s="40">
        <f t="shared" si="4900"/>
        <v>0</v>
      </c>
      <c r="T80" s="40">
        <f t="shared" si="4900"/>
        <v>0</v>
      </c>
      <c r="U80" s="40">
        <f t="shared" si="4900"/>
        <v>0</v>
      </c>
      <c r="V80" s="40">
        <f t="shared" si="4900"/>
        <v>0</v>
      </c>
      <c r="W80" s="40">
        <f t="shared" si="4900"/>
        <v>0</v>
      </c>
      <c r="X80" s="40">
        <f t="shared" si="4900"/>
        <v>0</v>
      </c>
      <c r="Y80" s="40">
        <f t="shared" si="4900"/>
        <v>0</v>
      </c>
      <c r="Z80" s="40">
        <f t="shared" si="4900"/>
        <v>0</v>
      </c>
      <c r="AA80" s="40">
        <f t="shared" si="4900"/>
        <v>0</v>
      </c>
      <c r="AB80" s="40">
        <f t="shared" si="4900"/>
        <v>0</v>
      </c>
      <c r="AC80" s="40">
        <f t="shared" si="4900"/>
        <v>0</v>
      </c>
      <c r="AD80" s="40">
        <f t="shared" si="4900"/>
        <v>0</v>
      </c>
      <c r="AE80" s="40">
        <f t="shared" si="4900"/>
        <v>0</v>
      </c>
      <c r="AF80" s="40">
        <f t="shared" si="4900"/>
        <v>0</v>
      </c>
      <c r="AG80" s="40">
        <f t="shared" si="4900"/>
        <v>0</v>
      </c>
      <c r="AH80" s="40">
        <f t="shared" si="4900"/>
        <v>0</v>
      </c>
      <c r="AI80" s="40">
        <f t="shared" si="4900"/>
        <v>0</v>
      </c>
      <c r="AJ80" s="40">
        <f t="shared" si="4900"/>
        <v>0</v>
      </c>
      <c r="AK80" s="40">
        <f t="shared" si="4900"/>
        <v>0</v>
      </c>
      <c r="AL80" s="40">
        <f t="shared" si="4900"/>
        <v>0</v>
      </c>
      <c r="AM80" s="40">
        <f t="shared" si="4900"/>
        <v>0</v>
      </c>
      <c r="AN80" s="40">
        <f t="shared" si="4900"/>
        <v>0</v>
      </c>
      <c r="AO80" s="40">
        <f t="shared" si="4900"/>
        <v>0</v>
      </c>
      <c r="AP80" s="40">
        <f t="shared" si="4900"/>
        <v>0</v>
      </c>
      <c r="AQ80" s="40">
        <f t="shared" si="4900"/>
        <v>0</v>
      </c>
      <c r="AR80" s="40">
        <f t="shared" si="4900"/>
        <v>0</v>
      </c>
      <c r="AS80" s="40">
        <f t="shared" si="4900"/>
        <v>0</v>
      </c>
      <c r="AT80" s="40">
        <f t="shared" si="4900"/>
        <v>0</v>
      </c>
      <c r="AU80" s="40">
        <f t="shared" si="4900"/>
        <v>0</v>
      </c>
      <c r="AV80" s="40">
        <f t="shared" si="4900"/>
        <v>0</v>
      </c>
      <c r="AW80" s="40">
        <f t="shared" si="4900"/>
        <v>0</v>
      </c>
      <c r="AX80" s="40">
        <f t="shared" si="4900"/>
        <v>0</v>
      </c>
      <c r="AY80" s="40">
        <f t="shared" si="4900"/>
        <v>0</v>
      </c>
      <c r="AZ80" s="40">
        <f t="shared" si="4900"/>
        <v>0</v>
      </c>
      <c r="BA80" s="40">
        <f t="shared" si="4900"/>
        <v>0</v>
      </c>
      <c r="BB80" s="40">
        <f t="shared" si="4900"/>
        <v>0</v>
      </c>
      <c r="BC80" s="40">
        <f t="shared" si="4900"/>
        <v>0</v>
      </c>
      <c r="BD80" s="40">
        <f t="shared" si="4900"/>
        <v>0</v>
      </c>
      <c r="BE80" s="40">
        <f t="shared" si="4900"/>
        <v>0</v>
      </c>
      <c r="BF80" s="40">
        <f t="shared" si="4900"/>
        <v>0</v>
      </c>
      <c r="BG80" s="40">
        <f t="shared" si="4900"/>
        <v>0</v>
      </c>
      <c r="BH80" s="40">
        <f t="shared" si="4900"/>
        <v>0</v>
      </c>
      <c r="BI80" s="40">
        <f t="shared" si="4900"/>
        <v>0</v>
      </c>
      <c r="BJ80" s="40">
        <f t="shared" si="4900"/>
        <v>0</v>
      </c>
      <c r="BK80" s="40">
        <f t="shared" si="4900"/>
        <v>0</v>
      </c>
      <c r="BL80" s="40">
        <f t="shared" si="4900"/>
        <v>0</v>
      </c>
      <c r="BM80" s="40">
        <f t="shared" si="4900"/>
        <v>0</v>
      </c>
      <c r="BN80" s="40">
        <f t="shared" si="4900"/>
        <v>0</v>
      </c>
      <c r="BO80" s="40">
        <f t="shared" si="4900"/>
        <v>0</v>
      </c>
      <c r="BP80" s="40">
        <f t="shared" si="4900"/>
        <v>0</v>
      </c>
      <c r="BQ80" s="40">
        <f t="shared" si="4900"/>
        <v>0</v>
      </c>
      <c r="BR80" s="40">
        <f t="shared" si="4900"/>
        <v>0</v>
      </c>
      <c r="BS80" s="40">
        <f t="shared" si="4900"/>
        <v>0</v>
      </c>
      <c r="BT80" s="40">
        <f t="shared" si="4900"/>
        <v>0</v>
      </c>
      <c r="BU80" s="40">
        <f t="shared" si="4900"/>
        <v>0</v>
      </c>
      <c r="BV80" s="40">
        <f t="shared" si="4893"/>
        <v>0</v>
      </c>
      <c r="BW80" s="40">
        <f t="shared" si="4893"/>
        <v>0</v>
      </c>
      <c r="BX80" s="40">
        <f t="shared" si="4893"/>
        <v>0</v>
      </c>
      <c r="BY80" s="40">
        <f t="shared" si="4893"/>
        <v>0</v>
      </c>
      <c r="BZ80" s="40">
        <f t="shared" si="4893"/>
        <v>0</v>
      </c>
      <c r="CA80" s="40">
        <f t="shared" si="4893"/>
        <v>0</v>
      </c>
      <c r="CB80" s="40">
        <f t="shared" si="4893"/>
        <v>0</v>
      </c>
      <c r="CC80" s="40">
        <f t="shared" si="4893"/>
        <v>0</v>
      </c>
      <c r="CD80" s="40">
        <f t="shared" si="4893"/>
        <v>0</v>
      </c>
      <c r="CE80" s="40">
        <f t="shared" si="4893"/>
        <v>0</v>
      </c>
      <c r="CF80" s="40">
        <f t="shared" si="4893"/>
        <v>0</v>
      </c>
      <c r="CG80" s="40">
        <f t="shared" si="4893"/>
        <v>0</v>
      </c>
      <c r="CH80" s="40">
        <f t="shared" si="4893"/>
        <v>0</v>
      </c>
      <c r="CI80" s="40">
        <f t="shared" si="4893"/>
        <v>0</v>
      </c>
      <c r="CJ80" s="40">
        <f t="shared" si="4893"/>
        <v>0</v>
      </c>
      <c r="CK80" s="40">
        <f t="shared" si="4893"/>
        <v>0</v>
      </c>
      <c r="CL80" s="40">
        <f t="shared" si="4893"/>
        <v>0</v>
      </c>
      <c r="CM80" s="40">
        <f t="shared" si="4893"/>
        <v>0</v>
      </c>
      <c r="CN80" s="40">
        <f t="shared" si="4893"/>
        <v>0</v>
      </c>
      <c r="CO80" s="40">
        <f t="shared" si="4893"/>
        <v>0</v>
      </c>
      <c r="CP80" s="40">
        <f t="shared" si="4893"/>
        <v>0</v>
      </c>
      <c r="CQ80" s="40">
        <f t="shared" si="4893"/>
        <v>0</v>
      </c>
      <c r="CR80" s="40">
        <f t="shared" si="4893"/>
        <v>0</v>
      </c>
      <c r="CS80" s="40">
        <f t="shared" si="4893"/>
        <v>0</v>
      </c>
      <c r="CT80" s="40">
        <f t="shared" si="4893"/>
        <v>0</v>
      </c>
      <c r="CU80" s="40">
        <f t="shared" si="4893"/>
        <v>0</v>
      </c>
      <c r="CV80" s="40">
        <f t="shared" si="4893"/>
        <v>0</v>
      </c>
      <c r="CW80" s="40">
        <f t="shared" si="4893"/>
        <v>0</v>
      </c>
      <c r="CX80" s="40">
        <f t="shared" si="4893"/>
        <v>0</v>
      </c>
      <c r="CY80" s="40">
        <f t="shared" si="4893"/>
        <v>0</v>
      </c>
      <c r="CZ80" s="40">
        <f t="shared" si="4893"/>
        <v>0</v>
      </c>
      <c r="DA80" s="40">
        <f t="shared" si="4893"/>
        <v>0</v>
      </c>
      <c r="DB80" s="40">
        <f t="shared" si="4893"/>
        <v>0</v>
      </c>
      <c r="DC80" s="40">
        <f t="shared" si="4893"/>
        <v>0</v>
      </c>
      <c r="DD80" s="40">
        <f t="shared" si="4893"/>
        <v>0</v>
      </c>
      <c r="DE80" s="40">
        <f t="shared" si="4893"/>
        <v>0</v>
      </c>
      <c r="DF80" s="40">
        <f t="shared" si="4893"/>
        <v>0</v>
      </c>
      <c r="DG80" s="40">
        <f t="shared" si="4893"/>
        <v>0</v>
      </c>
      <c r="DH80" s="40">
        <f t="shared" si="4893"/>
        <v>0</v>
      </c>
      <c r="DI80" s="40">
        <f t="shared" si="4893"/>
        <v>0</v>
      </c>
      <c r="DJ80" s="40">
        <f t="shared" si="4893"/>
        <v>0</v>
      </c>
      <c r="DK80" s="40">
        <f t="shared" si="4893"/>
        <v>0</v>
      </c>
      <c r="DL80" s="40">
        <f t="shared" si="4893"/>
        <v>0</v>
      </c>
      <c r="DM80" s="40">
        <f t="shared" si="4893"/>
        <v>0</v>
      </c>
      <c r="DN80" s="40">
        <f t="shared" si="4893"/>
        <v>0</v>
      </c>
      <c r="DO80" s="40">
        <f t="shared" si="4893"/>
        <v>0</v>
      </c>
      <c r="DP80" s="40">
        <f t="shared" si="4893"/>
        <v>0</v>
      </c>
      <c r="DQ80" s="40">
        <f t="shared" si="4893"/>
        <v>0</v>
      </c>
      <c r="DR80" s="40">
        <f t="shared" si="4893"/>
        <v>0</v>
      </c>
      <c r="DS80" s="40">
        <f t="shared" si="4893"/>
        <v>0</v>
      </c>
      <c r="DT80" s="40">
        <f t="shared" si="4893"/>
        <v>0</v>
      </c>
      <c r="DU80" s="40">
        <f t="shared" si="4893"/>
        <v>0</v>
      </c>
      <c r="DV80" s="40">
        <f t="shared" si="4893"/>
        <v>0</v>
      </c>
      <c r="DW80" s="40">
        <f t="shared" si="4893"/>
        <v>0</v>
      </c>
      <c r="DX80" s="40">
        <f t="shared" si="4893"/>
        <v>0</v>
      </c>
      <c r="DY80" s="40">
        <f t="shared" si="4893"/>
        <v>0</v>
      </c>
      <c r="DZ80" s="40">
        <f t="shared" si="4893"/>
        <v>0</v>
      </c>
      <c r="EA80" s="40">
        <f t="shared" si="4893"/>
        <v>0</v>
      </c>
      <c r="EB80" s="40">
        <f t="shared" si="4893"/>
        <v>0</v>
      </c>
      <c r="EC80" s="40">
        <f t="shared" si="4893"/>
        <v>0</v>
      </c>
      <c r="ED80" s="40">
        <f t="shared" si="4893"/>
        <v>0</v>
      </c>
      <c r="EE80" s="40">
        <f t="shared" si="4893"/>
        <v>0</v>
      </c>
      <c r="EF80" s="40">
        <f t="shared" si="4893"/>
        <v>0</v>
      </c>
      <c r="EG80" s="40">
        <f t="shared" si="4893"/>
        <v>0</v>
      </c>
      <c r="EH80" s="40">
        <f t="shared" si="4894"/>
        <v>0</v>
      </c>
      <c r="EI80" s="40">
        <f t="shared" si="4894"/>
        <v>0</v>
      </c>
      <c r="EJ80" s="40">
        <f t="shared" si="4894"/>
        <v>0</v>
      </c>
      <c r="EK80" s="40">
        <f t="shared" si="4894"/>
        <v>0</v>
      </c>
      <c r="EL80" s="40">
        <f t="shared" si="4894"/>
        <v>0</v>
      </c>
      <c r="EM80" s="40">
        <f t="shared" si="4894"/>
        <v>0</v>
      </c>
      <c r="EN80" s="40">
        <f t="shared" si="4894"/>
        <v>0</v>
      </c>
      <c r="EO80" s="40">
        <f t="shared" si="4894"/>
        <v>0</v>
      </c>
      <c r="EP80" s="40">
        <f t="shared" si="4894"/>
        <v>0</v>
      </c>
      <c r="EQ80" s="40">
        <f t="shared" si="4894"/>
        <v>0</v>
      </c>
      <c r="ER80" s="40">
        <f t="shared" si="4894"/>
        <v>0</v>
      </c>
      <c r="ES80" s="40">
        <f t="shared" si="4894"/>
        <v>0</v>
      </c>
      <c r="ET80" s="40">
        <f t="shared" si="4894"/>
        <v>0</v>
      </c>
      <c r="EU80" s="40">
        <f t="shared" si="4894"/>
        <v>0</v>
      </c>
      <c r="EV80" s="40">
        <f t="shared" si="4894"/>
        <v>0</v>
      </c>
      <c r="EW80" s="40">
        <f t="shared" si="4894"/>
        <v>0</v>
      </c>
      <c r="EX80" s="40">
        <f t="shared" si="4894"/>
        <v>0</v>
      </c>
      <c r="EY80" s="40">
        <f t="shared" si="4894"/>
        <v>0</v>
      </c>
      <c r="EZ80" s="40">
        <f t="shared" si="4894"/>
        <v>0</v>
      </c>
      <c r="FA80" s="40">
        <f t="shared" si="4894"/>
        <v>0</v>
      </c>
      <c r="FB80" s="40">
        <f t="shared" si="4894"/>
        <v>0</v>
      </c>
      <c r="FC80" s="40">
        <f t="shared" si="4894"/>
        <v>0</v>
      </c>
      <c r="FD80" s="40">
        <f t="shared" si="4894"/>
        <v>0</v>
      </c>
      <c r="FE80" s="40">
        <f t="shared" si="4894"/>
        <v>0</v>
      </c>
      <c r="FF80" s="40">
        <f t="shared" si="4894"/>
        <v>0</v>
      </c>
      <c r="FG80" s="40">
        <f t="shared" si="4894"/>
        <v>0</v>
      </c>
      <c r="FH80" s="40">
        <f t="shared" si="4894"/>
        <v>0</v>
      </c>
      <c r="FI80" s="40">
        <f t="shared" si="4894"/>
        <v>0</v>
      </c>
      <c r="FJ80" s="40">
        <f t="shared" si="4894"/>
        <v>0</v>
      </c>
      <c r="FK80" s="40">
        <f t="shared" si="4894"/>
        <v>0</v>
      </c>
      <c r="FL80" s="40">
        <f t="shared" si="4894"/>
        <v>0</v>
      </c>
      <c r="FM80" s="40">
        <f t="shared" si="4894"/>
        <v>0</v>
      </c>
      <c r="FN80" s="40">
        <f t="shared" si="4894"/>
        <v>0</v>
      </c>
      <c r="FO80" s="40">
        <f t="shared" si="4894"/>
        <v>0</v>
      </c>
      <c r="FP80" s="40">
        <f t="shared" si="4894"/>
        <v>0</v>
      </c>
      <c r="FQ80" s="40">
        <f t="shared" si="4894"/>
        <v>0</v>
      </c>
      <c r="FR80" s="40">
        <f t="shared" si="4894"/>
        <v>0</v>
      </c>
      <c r="FS80" s="40">
        <f t="shared" si="4894"/>
        <v>0</v>
      </c>
      <c r="FT80" s="40">
        <f t="shared" si="4894"/>
        <v>0</v>
      </c>
      <c r="FU80" s="40">
        <f t="shared" si="4894"/>
        <v>0</v>
      </c>
      <c r="FV80" s="40">
        <f t="shared" si="4894"/>
        <v>0</v>
      </c>
      <c r="FW80" s="40">
        <f t="shared" si="4894"/>
        <v>0</v>
      </c>
      <c r="FX80" s="40">
        <f t="shared" si="4894"/>
        <v>0</v>
      </c>
      <c r="FY80" s="40">
        <f t="shared" si="4894"/>
        <v>0</v>
      </c>
      <c r="FZ80" s="40">
        <f t="shared" si="4894"/>
        <v>0</v>
      </c>
      <c r="GA80" s="40">
        <f t="shared" si="4894"/>
        <v>0</v>
      </c>
      <c r="GB80" s="40">
        <f t="shared" si="4894"/>
        <v>0</v>
      </c>
      <c r="GC80" s="40">
        <f t="shared" si="4894"/>
        <v>0</v>
      </c>
      <c r="GD80" s="40">
        <f t="shared" si="4894"/>
        <v>0</v>
      </c>
      <c r="GE80" s="40">
        <f t="shared" si="4894"/>
        <v>0</v>
      </c>
      <c r="GF80" s="40">
        <f t="shared" ca="1" si="4894"/>
        <v>239352.00207034574</v>
      </c>
      <c r="GG80" s="40">
        <f t="shared" ca="1" si="4894"/>
        <v>0</v>
      </c>
      <c r="GH80" s="40">
        <f t="shared" ca="1" si="4894"/>
        <v>0</v>
      </c>
      <c r="GI80" s="40">
        <f t="shared" ca="1" si="4894"/>
        <v>0</v>
      </c>
      <c r="GJ80" s="40">
        <f t="shared" ca="1" si="4894"/>
        <v>0</v>
      </c>
      <c r="GK80" s="40">
        <f t="shared" ca="1" si="4894"/>
        <v>0</v>
      </c>
      <c r="GL80" s="40">
        <f t="shared" ca="1" si="4894"/>
        <v>0</v>
      </c>
      <c r="GM80" s="40">
        <f t="shared" ca="1" si="4894"/>
        <v>0</v>
      </c>
      <c r="GN80" s="40">
        <f t="shared" ca="1" si="4894"/>
        <v>0</v>
      </c>
      <c r="GO80" s="40">
        <f t="shared" ca="1" si="4894"/>
        <v>0</v>
      </c>
      <c r="GP80" s="40">
        <f t="shared" ca="1" si="4894"/>
        <v>0</v>
      </c>
      <c r="GQ80" s="40">
        <f t="shared" ca="1" si="4894"/>
        <v>0</v>
      </c>
      <c r="GR80" s="40">
        <f t="shared" ca="1" si="4894"/>
        <v>0</v>
      </c>
      <c r="GS80" s="40">
        <f t="shared" ca="1" si="4894"/>
        <v>0</v>
      </c>
      <c r="GT80" s="40">
        <f t="shared" ca="1" si="4895"/>
        <v>0</v>
      </c>
      <c r="GU80" s="40">
        <f t="shared" ca="1" si="4895"/>
        <v>0</v>
      </c>
      <c r="GV80" s="40">
        <f t="shared" ca="1" si="4895"/>
        <v>0</v>
      </c>
      <c r="GW80" s="40">
        <f t="shared" ca="1" si="4895"/>
        <v>0</v>
      </c>
      <c r="GX80" s="40">
        <f t="shared" ca="1" si="4895"/>
        <v>0</v>
      </c>
      <c r="GY80" s="40">
        <f t="shared" ca="1" si="4895"/>
        <v>0</v>
      </c>
      <c r="GZ80" s="40">
        <f t="shared" ca="1" si="4895"/>
        <v>0</v>
      </c>
      <c r="HA80" s="40">
        <f t="shared" ca="1" si="4895"/>
        <v>0</v>
      </c>
      <c r="HB80" s="40">
        <f t="shared" ca="1" si="4895"/>
        <v>0</v>
      </c>
      <c r="HC80" s="40">
        <f t="shared" ca="1" si="4895"/>
        <v>0</v>
      </c>
      <c r="HD80" s="40">
        <f t="shared" ca="1" si="4895"/>
        <v>0</v>
      </c>
      <c r="HE80" s="40">
        <f t="shared" ca="1" si="4895"/>
        <v>0</v>
      </c>
      <c r="HF80" s="40">
        <f t="shared" ca="1" si="4895"/>
        <v>0</v>
      </c>
      <c r="HG80" s="40">
        <f t="shared" ca="1" si="4895"/>
        <v>0</v>
      </c>
      <c r="HH80" s="40">
        <f t="shared" ca="1" si="4895"/>
        <v>0</v>
      </c>
      <c r="HI80" s="40">
        <f t="shared" ca="1" si="4895"/>
        <v>0</v>
      </c>
      <c r="HJ80" s="40">
        <f t="shared" ca="1" si="4895"/>
        <v>0</v>
      </c>
      <c r="HK80" s="40">
        <f t="shared" ca="1" si="4895"/>
        <v>0</v>
      </c>
      <c r="HL80" s="40">
        <f t="shared" ca="1" si="4895"/>
        <v>0</v>
      </c>
      <c r="HM80" s="40">
        <f t="shared" ca="1" si="4895"/>
        <v>0</v>
      </c>
      <c r="HN80" s="40">
        <f t="shared" ca="1" si="4895"/>
        <v>0</v>
      </c>
      <c r="HO80" s="40">
        <f t="shared" ca="1" si="4895"/>
        <v>0</v>
      </c>
      <c r="HP80" s="40">
        <f t="shared" ca="1" si="4895"/>
        <v>0</v>
      </c>
      <c r="HQ80" s="40">
        <f t="shared" ca="1" si="4895"/>
        <v>0</v>
      </c>
      <c r="HR80" s="40">
        <f t="shared" ca="1" si="4895"/>
        <v>0</v>
      </c>
      <c r="HS80" s="40">
        <f t="shared" ca="1" si="4895"/>
        <v>0</v>
      </c>
      <c r="HT80" s="40">
        <f t="shared" ca="1" si="4895"/>
        <v>0</v>
      </c>
      <c r="HU80" s="40">
        <f t="shared" ca="1" si="4895"/>
        <v>0</v>
      </c>
      <c r="HV80" s="40">
        <f t="shared" ca="1" si="4895"/>
        <v>0</v>
      </c>
      <c r="HW80" s="40">
        <f t="shared" ca="1" si="4895"/>
        <v>0</v>
      </c>
      <c r="HX80" s="40">
        <f t="shared" ca="1" si="4895"/>
        <v>0</v>
      </c>
      <c r="HY80" s="40">
        <f t="shared" ca="1" si="4895"/>
        <v>0</v>
      </c>
      <c r="HZ80" s="40">
        <f t="shared" ca="1" si="4895"/>
        <v>0</v>
      </c>
      <c r="IA80" s="40">
        <f t="shared" ca="1" si="4895"/>
        <v>0</v>
      </c>
      <c r="IB80" s="40">
        <f t="shared" ca="1" si="4895"/>
        <v>0</v>
      </c>
      <c r="IC80" s="40">
        <f t="shared" ca="1" si="4895"/>
        <v>0</v>
      </c>
      <c r="ID80" s="40">
        <f t="shared" ca="1" si="4895"/>
        <v>0</v>
      </c>
      <c r="IE80" s="40">
        <f t="shared" ca="1" si="4895"/>
        <v>0</v>
      </c>
      <c r="IF80" s="40">
        <f t="shared" ca="1" si="4895"/>
        <v>0</v>
      </c>
      <c r="IG80" s="40">
        <f t="shared" ca="1" si="4895"/>
        <v>0</v>
      </c>
      <c r="IH80" s="40">
        <f t="shared" ca="1" si="4895"/>
        <v>0</v>
      </c>
      <c r="II80" s="40">
        <f t="shared" ca="1" si="4895"/>
        <v>0</v>
      </c>
      <c r="IJ80" s="40">
        <f t="shared" ca="1" si="4895"/>
        <v>0</v>
      </c>
      <c r="IK80" s="40">
        <f t="shared" ca="1" si="4895"/>
        <v>0</v>
      </c>
      <c r="IL80" s="40">
        <f t="shared" ca="1" si="4895"/>
        <v>0</v>
      </c>
      <c r="IM80" s="40">
        <f t="shared" ca="1" si="4895"/>
        <v>0</v>
      </c>
      <c r="IN80" s="40">
        <f t="shared" ca="1" si="4895"/>
        <v>0</v>
      </c>
      <c r="IO80" s="40">
        <f t="shared" ca="1" si="4899"/>
        <v>0</v>
      </c>
      <c r="IP80" s="40">
        <f t="shared" ca="1" si="4899"/>
        <v>0</v>
      </c>
      <c r="IQ80" s="40">
        <f t="shared" ca="1" si="4899"/>
        <v>0</v>
      </c>
      <c r="IR80" s="40">
        <f t="shared" ca="1" si="4899"/>
        <v>0</v>
      </c>
      <c r="IS80" s="40">
        <f t="shared" ca="1" si="4899"/>
        <v>0</v>
      </c>
      <c r="IT80" s="40">
        <f t="shared" ca="1" si="4899"/>
        <v>0</v>
      </c>
      <c r="IU80" s="40">
        <f t="shared" ca="1" si="4899"/>
        <v>0</v>
      </c>
      <c r="IV80" s="40">
        <f t="shared" ca="1" si="4899"/>
        <v>0</v>
      </c>
      <c r="IW80" s="40">
        <f t="shared" ca="1" si="4899"/>
        <v>0</v>
      </c>
      <c r="IX80" s="40">
        <f t="shared" ca="1" si="4899"/>
        <v>0</v>
      </c>
      <c r="IY80" s="40">
        <f t="shared" ca="1" si="4899"/>
        <v>0</v>
      </c>
      <c r="IZ80" s="40">
        <f t="shared" ca="1" si="4899"/>
        <v>0</v>
      </c>
      <c r="JA80" s="40">
        <f t="shared" ca="1" si="4899"/>
        <v>0</v>
      </c>
      <c r="JB80" s="40">
        <f t="shared" ca="1" si="4899"/>
        <v>0</v>
      </c>
      <c r="JC80" s="40">
        <f t="shared" ca="1" si="4899"/>
        <v>0</v>
      </c>
      <c r="JD80" s="40">
        <f t="shared" ca="1" si="4899"/>
        <v>0</v>
      </c>
      <c r="JE80" s="40">
        <f t="shared" ca="1" si="4899"/>
        <v>0</v>
      </c>
      <c r="JF80" s="40">
        <f t="shared" ca="1" si="4899"/>
        <v>0</v>
      </c>
      <c r="JG80" s="40">
        <f t="shared" ca="1" si="4899"/>
        <v>0</v>
      </c>
      <c r="JH80" s="40">
        <f t="shared" ca="1" si="4899"/>
        <v>0</v>
      </c>
      <c r="JI80" s="40">
        <f t="shared" ca="1" si="4899"/>
        <v>0</v>
      </c>
      <c r="JJ80" s="40">
        <f t="shared" ca="1" si="4899"/>
        <v>0</v>
      </c>
      <c r="JK80" s="40">
        <f t="shared" ca="1" si="4899"/>
        <v>0</v>
      </c>
      <c r="JL80" s="40">
        <f t="shared" ca="1" si="4899"/>
        <v>0</v>
      </c>
      <c r="JM80" s="40">
        <f t="shared" ca="1" si="4899"/>
        <v>0</v>
      </c>
      <c r="JN80" s="40">
        <f t="shared" ca="1" si="4899"/>
        <v>0</v>
      </c>
      <c r="JO80" s="40">
        <f t="shared" ca="1" si="4899"/>
        <v>0</v>
      </c>
      <c r="JP80" s="40">
        <f t="shared" ca="1" si="4899"/>
        <v>0</v>
      </c>
      <c r="JQ80" s="40">
        <f t="shared" ca="1" si="4899"/>
        <v>0</v>
      </c>
      <c r="JR80" s="40">
        <f t="shared" ca="1" si="4899"/>
        <v>0</v>
      </c>
      <c r="JS80" s="40">
        <f t="shared" ca="1" si="4899"/>
        <v>0</v>
      </c>
      <c r="JT80" s="40">
        <f t="shared" ca="1" si="4899"/>
        <v>0</v>
      </c>
      <c r="JU80" s="40">
        <f t="shared" ca="1" si="4899"/>
        <v>0</v>
      </c>
      <c r="JV80" s="40">
        <f t="shared" ca="1" si="4899"/>
        <v>0</v>
      </c>
      <c r="JW80" s="40">
        <f t="shared" ca="1" si="4899"/>
        <v>0</v>
      </c>
      <c r="JX80" s="40">
        <f t="shared" ca="1" si="4899"/>
        <v>0</v>
      </c>
      <c r="JY80" s="40">
        <f t="shared" ca="1" si="4899"/>
        <v>0</v>
      </c>
      <c r="JZ80" s="40">
        <f t="shared" ca="1" si="4899"/>
        <v>0</v>
      </c>
      <c r="KA80" s="40">
        <f t="shared" ca="1" si="4899"/>
        <v>0</v>
      </c>
      <c r="KB80" s="40">
        <f t="shared" ca="1" si="4899"/>
        <v>0</v>
      </c>
      <c r="KC80" s="40">
        <f t="shared" ca="1" si="4899"/>
        <v>0</v>
      </c>
      <c r="KD80" s="40">
        <f t="shared" ca="1" si="4899"/>
        <v>0</v>
      </c>
      <c r="KE80" s="40">
        <f t="shared" ca="1" si="4899"/>
        <v>0</v>
      </c>
      <c r="KF80" s="40">
        <f t="shared" ca="1" si="4899"/>
        <v>0</v>
      </c>
      <c r="KG80" s="40">
        <f t="shared" ca="1" si="4899"/>
        <v>0</v>
      </c>
      <c r="KH80" s="40">
        <f t="shared" ca="1" si="4899"/>
        <v>0</v>
      </c>
      <c r="KI80" s="40">
        <f t="shared" ca="1" si="4899"/>
        <v>0</v>
      </c>
      <c r="KJ80" s="40">
        <f t="shared" ca="1" si="4899"/>
        <v>0</v>
      </c>
      <c r="KK80" s="40">
        <f t="shared" ca="1" si="4899"/>
        <v>0</v>
      </c>
      <c r="KL80" s="40">
        <f t="shared" ca="1" si="4899"/>
        <v>0</v>
      </c>
      <c r="KM80" s="40">
        <f t="shared" ca="1" si="4899"/>
        <v>0</v>
      </c>
      <c r="KN80" s="40">
        <f t="shared" ca="1" si="4899"/>
        <v>0</v>
      </c>
      <c r="KO80" s="40">
        <f t="shared" ca="1" si="4899"/>
        <v>0</v>
      </c>
      <c r="KP80" s="40">
        <f t="shared" ca="1" si="4899"/>
        <v>0</v>
      </c>
      <c r="KQ80" s="40">
        <f t="shared" ca="1" si="4899"/>
        <v>0</v>
      </c>
      <c r="KR80" s="40">
        <f t="shared" ca="1" si="4899"/>
        <v>0</v>
      </c>
      <c r="KS80" s="40">
        <f t="shared" ca="1" si="4899"/>
        <v>0</v>
      </c>
      <c r="KT80" s="40">
        <f t="shared" ca="1" si="4899"/>
        <v>0</v>
      </c>
      <c r="KU80" s="40">
        <f t="shared" ca="1" si="4899"/>
        <v>0</v>
      </c>
      <c r="KV80" s="40">
        <f t="shared" ca="1" si="4899"/>
        <v>0</v>
      </c>
      <c r="KW80" s="40">
        <f t="shared" ca="1" si="4899"/>
        <v>0</v>
      </c>
      <c r="KX80" s="40">
        <f t="shared" ca="1" si="4899"/>
        <v>0</v>
      </c>
      <c r="KY80" s="40">
        <f t="shared" ca="1" si="4899"/>
        <v>0</v>
      </c>
      <c r="KZ80" s="40">
        <f t="shared" ca="1" si="4899"/>
        <v>0</v>
      </c>
      <c r="LA80" s="40">
        <f t="shared" ca="1" si="4896"/>
        <v>0</v>
      </c>
      <c r="LB80" s="40">
        <f t="shared" ca="1" si="4897"/>
        <v>0</v>
      </c>
      <c r="LC80" s="40">
        <f t="shared" ca="1" si="4897"/>
        <v>0</v>
      </c>
      <c r="LD80" s="40">
        <f t="shared" ca="1" si="4897"/>
        <v>0</v>
      </c>
      <c r="LE80" s="40">
        <f t="shared" ca="1" si="4897"/>
        <v>0</v>
      </c>
      <c r="LF80" s="40">
        <f t="shared" ca="1" si="4897"/>
        <v>0</v>
      </c>
      <c r="LG80" s="40">
        <f t="shared" ca="1" si="4897"/>
        <v>0</v>
      </c>
      <c r="LH80" s="40">
        <f t="shared" ca="1" si="4897"/>
        <v>0</v>
      </c>
      <c r="LI80" s="40">
        <f t="shared" ca="1" si="4897"/>
        <v>0</v>
      </c>
      <c r="LJ80" s="40">
        <f t="shared" ca="1" si="4897"/>
        <v>0</v>
      </c>
      <c r="LK80" s="40">
        <f t="shared" ca="1" si="4897"/>
        <v>0</v>
      </c>
      <c r="LL80" s="40">
        <f t="shared" ca="1" si="4897"/>
        <v>0</v>
      </c>
      <c r="LM80" s="40">
        <f t="shared" ca="1" si="4897"/>
        <v>0</v>
      </c>
      <c r="LN80" s="40">
        <f t="shared" ca="1" si="4897"/>
        <v>0</v>
      </c>
      <c r="LO80" s="40">
        <f t="shared" ca="1" si="4897"/>
        <v>0</v>
      </c>
      <c r="LP80" s="40">
        <f t="shared" ca="1" si="4897"/>
        <v>0</v>
      </c>
      <c r="LQ80" s="40">
        <f t="shared" ca="1" si="4897"/>
        <v>0</v>
      </c>
      <c r="LR80" s="40">
        <f t="shared" ca="1" si="4897"/>
        <v>0</v>
      </c>
      <c r="LS80" s="40">
        <f t="shared" ca="1" si="4897"/>
        <v>0</v>
      </c>
      <c r="LT80" s="40">
        <f t="shared" ca="1" si="4897"/>
        <v>0</v>
      </c>
      <c r="LU80" s="40">
        <f t="shared" ca="1" si="4897"/>
        <v>0</v>
      </c>
      <c r="LV80" s="40">
        <f t="shared" ca="1" si="4897"/>
        <v>0</v>
      </c>
      <c r="LW80" s="40">
        <f t="shared" ca="1" si="4897"/>
        <v>0</v>
      </c>
      <c r="LX80" s="40">
        <f t="shared" ca="1" si="4897"/>
        <v>0</v>
      </c>
      <c r="LY80" s="40">
        <f t="shared" ca="1" si="4897"/>
        <v>0</v>
      </c>
      <c r="LZ80" s="40">
        <f t="shared" ca="1" si="4897"/>
        <v>0</v>
      </c>
      <c r="MA80" s="40">
        <f t="shared" ca="1" si="4897"/>
        <v>0</v>
      </c>
      <c r="MB80" s="40">
        <f t="shared" ca="1" si="4897"/>
        <v>0</v>
      </c>
      <c r="MC80" s="40">
        <f t="shared" ca="1" si="4897"/>
        <v>0</v>
      </c>
      <c r="MD80" s="40">
        <f t="shared" ca="1" si="4897"/>
        <v>0</v>
      </c>
      <c r="ME80" s="40">
        <f t="shared" ca="1" si="4897"/>
        <v>0</v>
      </c>
      <c r="MF80" s="40">
        <f t="shared" ca="1" si="4897"/>
        <v>0</v>
      </c>
      <c r="MG80" s="40">
        <f t="shared" ca="1" si="4897"/>
        <v>0</v>
      </c>
      <c r="MH80" s="40">
        <f t="shared" ca="1" si="4897"/>
        <v>0</v>
      </c>
      <c r="MI80" s="40">
        <f t="shared" ca="1" si="4897"/>
        <v>0</v>
      </c>
      <c r="MJ80" s="40">
        <f t="shared" ca="1" si="4897"/>
        <v>0</v>
      </c>
      <c r="MK80" s="40">
        <f t="shared" ca="1" si="4897"/>
        <v>0</v>
      </c>
      <c r="ML80" s="40">
        <f t="shared" ca="1" si="4897"/>
        <v>0</v>
      </c>
      <c r="MM80" s="40">
        <f t="shared" ca="1" si="4897"/>
        <v>0</v>
      </c>
      <c r="MN80" s="40">
        <f t="shared" ca="1" si="4897"/>
        <v>0</v>
      </c>
      <c r="MO80" s="40">
        <f t="shared" ca="1" si="4897"/>
        <v>0</v>
      </c>
      <c r="MP80" s="40">
        <f t="shared" ca="1" si="4897"/>
        <v>0</v>
      </c>
      <c r="MQ80" s="40">
        <f t="shared" ca="1" si="4897"/>
        <v>0</v>
      </c>
      <c r="MR80" s="40">
        <f t="shared" ca="1" si="4897"/>
        <v>0</v>
      </c>
      <c r="MS80" s="40">
        <f t="shared" ca="1" si="4897"/>
        <v>0</v>
      </c>
      <c r="MT80" s="40">
        <f t="shared" ca="1" si="4897"/>
        <v>0</v>
      </c>
      <c r="MU80" s="40">
        <f t="shared" ca="1" si="4897"/>
        <v>0</v>
      </c>
      <c r="MV80" s="40">
        <f t="shared" ca="1" si="4897"/>
        <v>0</v>
      </c>
      <c r="MW80" s="40">
        <f t="shared" ca="1" si="4897"/>
        <v>0</v>
      </c>
      <c r="MX80" s="40">
        <f t="shared" ca="1" si="4897"/>
        <v>0</v>
      </c>
      <c r="MY80" s="40">
        <f t="shared" ca="1" si="4897"/>
        <v>0</v>
      </c>
      <c r="MZ80" s="40">
        <f t="shared" ca="1" si="4897"/>
        <v>0</v>
      </c>
      <c r="NA80" s="40">
        <f t="shared" ca="1" si="4897"/>
        <v>0</v>
      </c>
      <c r="NB80" s="40">
        <f t="shared" ca="1" si="4897"/>
        <v>0</v>
      </c>
      <c r="NC80" s="40">
        <f t="shared" ca="1" si="4897"/>
        <v>0</v>
      </c>
      <c r="ND80" s="40">
        <f t="shared" ca="1" si="4897"/>
        <v>0</v>
      </c>
      <c r="NE80" s="40"/>
      <c r="NF80" s="40"/>
      <c r="NG80" s="40"/>
      <c r="NH80" s="40"/>
      <c r="NI80" s="40"/>
      <c r="NJ80" s="40"/>
      <c r="NK80" s="40"/>
      <c r="NL80" s="40"/>
      <c r="NM80" s="40"/>
      <c r="NN80" s="40"/>
      <c r="NO80" s="40"/>
      <c r="NP80" s="40"/>
      <c r="NQ80" s="40"/>
      <c r="NR80" s="40"/>
    </row>
    <row r="81" spans="2:382" x14ac:dyDescent="0.15">
      <c r="B81" s="519"/>
      <c r="C81" s="120" t="str">
        <f>$C$6</f>
        <v>-</v>
      </c>
      <c r="D81" s="5">
        <f t="shared" si="4891"/>
        <v>0</v>
      </c>
      <c r="G81" s="118"/>
      <c r="I81" s="40">
        <f>$D81*I$77</f>
        <v>0</v>
      </c>
      <c r="J81" s="40">
        <f t="shared" si="4900"/>
        <v>0</v>
      </c>
      <c r="K81" s="40">
        <f t="shared" ref="K81:BV81" si="4901">$D81*K$77</f>
        <v>0</v>
      </c>
      <c r="L81" s="40">
        <f t="shared" si="4901"/>
        <v>0</v>
      </c>
      <c r="M81" s="40">
        <f t="shared" si="4901"/>
        <v>0</v>
      </c>
      <c r="N81" s="40">
        <f t="shared" si="4901"/>
        <v>0</v>
      </c>
      <c r="O81" s="40">
        <f t="shared" si="4901"/>
        <v>0</v>
      </c>
      <c r="P81" s="40">
        <f t="shared" si="4901"/>
        <v>0</v>
      </c>
      <c r="Q81" s="40">
        <f t="shared" si="4901"/>
        <v>0</v>
      </c>
      <c r="R81" s="40">
        <f t="shared" si="4901"/>
        <v>0</v>
      </c>
      <c r="S81" s="40">
        <f t="shared" si="4901"/>
        <v>0</v>
      </c>
      <c r="T81" s="40">
        <f t="shared" si="4901"/>
        <v>0</v>
      </c>
      <c r="U81" s="40">
        <f t="shared" si="4901"/>
        <v>0</v>
      </c>
      <c r="V81" s="40">
        <f t="shared" si="4901"/>
        <v>0</v>
      </c>
      <c r="W81" s="40">
        <f t="shared" si="4901"/>
        <v>0</v>
      </c>
      <c r="X81" s="40">
        <f t="shared" si="4901"/>
        <v>0</v>
      </c>
      <c r="Y81" s="40">
        <f t="shared" si="4901"/>
        <v>0</v>
      </c>
      <c r="Z81" s="40">
        <f t="shared" si="4901"/>
        <v>0</v>
      </c>
      <c r="AA81" s="40">
        <f t="shared" si="4901"/>
        <v>0</v>
      </c>
      <c r="AB81" s="40">
        <f t="shared" si="4901"/>
        <v>0</v>
      </c>
      <c r="AC81" s="40">
        <f t="shared" si="4901"/>
        <v>0</v>
      </c>
      <c r="AD81" s="40">
        <f t="shared" si="4901"/>
        <v>0</v>
      </c>
      <c r="AE81" s="40">
        <f t="shared" si="4901"/>
        <v>0</v>
      </c>
      <c r="AF81" s="40">
        <f t="shared" si="4901"/>
        <v>0</v>
      </c>
      <c r="AG81" s="40">
        <f t="shared" si="4901"/>
        <v>0</v>
      </c>
      <c r="AH81" s="40">
        <f t="shared" si="4901"/>
        <v>0</v>
      </c>
      <c r="AI81" s="40">
        <f t="shared" si="4901"/>
        <v>0</v>
      </c>
      <c r="AJ81" s="40">
        <f t="shared" si="4901"/>
        <v>0</v>
      </c>
      <c r="AK81" s="40">
        <f t="shared" si="4901"/>
        <v>0</v>
      </c>
      <c r="AL81" s="40">
        <f t="shared" si="4901"/>
        <v>0</v>
      </c>
      <c r="AM81" s="40">
        <f t="shared" si="4901"/>
        <v>0</v>
      </c>
      <c r="AN81" s="40">
        <f t="shared" si="4901"/>
        <v>0</v>
      </c>
      <c r="AO81" s="40">
        <f t="shared" si="4901"/>
        <v>0</v>
      </c>
      <c r="AP81" s="40">
        <f t="shared" si="4901"/>
        <v>0</v>
      </c>
      <c r="AQ81" s="40">
        <f t="shared" si="4901"/>
        <v>0</v>
      </c>
      <c r="AR81" s="40">
        <f t="shared" si="4901"/>
        <v>0</v>
      </c>
      <c r="AS81" s="40">
        <f t="shared" si="4901"/>
        <v>0</v>
      </c>
      <c r="AT81" s="40">
        <f t="shared" si="4901"/>
        <v>0</v>
      </c>
      <c r="AU81" s="40">
        <f t="shared" si="4901"/>
        <v>0</v>
      </c>
      <c r="AV81" s="40">
        <f t="shared" si="4901"/>
        <v>0</v>
      </c>
      <c r="AW81" s="40">
        <f t="shared" si="4901"/>
        <v>0</v>
      </c>
      <c r="AX81" s="40">
        <f t="shared" si="4901"/>
        <v>0</v>
      </c>
      <c r="AY81" s="40">
        <f t="shared" si="4901"/>
        <v>0</v>
      </c>
      <c r="AZ81" s="40">
        <f t="shared" si="4901"/>
        <v>0</v>
      </c>
      <c r="BA81" s="40">
        <f t="shared" si="4901"/>
        <v>0</v>
      </c>
      <c r="BB81" s="40">
        <f t="shared" si="4901"/>
        <v>0</v>
      </c>
      <c r="BC81" s="40">
        <f t="shared" si="4901"/>
        <v>0</v>
      </c>
      <c r="BD81" s="40">
        <f t="shared" si="4901"/>
        <v>0</v>
      </c>
      <c r="BE81" s="40">
        <f t="shared" si="4901"/>
        <v>0</v>
      </c>
      <c r="BF81" s="40">
        <f t="shared" si="4901"/>
        <v>0</v>
      </c>
      <c r="BG81" s="40">
        <f t="shared" si="4901"/>
        <v>0</v>
      </c>
      <c r="BH81" s="40">
        <f t="shared" si="4901"/>
        <v>0</v>
      </c>
      <c r="BI81" s="40">
        <f t="shared" si="4901"/>
        <v>0</v>
      </c>
      <c r="BJ81" s="40">
        <f t="shared" si="4901"/>
        <v>0</v>
      </c>
      <c r="BK81" s="40">
        <f t="shared" si="4901"/>
        <v>0</v>
      </c>
      <c r="BL81" s="40">
        <f t="shared" si="4901"/>
        <v>0</v>
      </c>
      <c r="BM81" s="40">
        <f t="shared" si="4901"/>
        <v>0</v>
      </c>
      <c r="BN81" s="40">
        <f t="shared" si="4901"/>
        <v>0</v>
      </c>
      <c r="BO81" s="40">
        <f t="shared" si="4901"/>
        <v>0</v>
      </c>
      <c r="BP81" s="40">
        <f t="shared" si="4901"/>
        <v>0</v>
      </c>
      <c r="BQ81" s="40">
        <f t="shared" si="4901"/>
        <v>0</v>
      </c>
      <c r="BR81" s="40">
        <f t="shared" si="4901"/>
        <v>0</v>
      </c>
      <c r="BS81" s="40">
        <f t="shared" si="4901"/>
        <v>0</v>
      </c>
      <c r="BT81" s="40">
        <f t="shared" si="4901"/>
        <v>0</v>
      </c>
      <c r="BU81" s="40">
        <f t="shared" si="4901"/>
        <v>0</v>
      </c>
      <c r="BV81" s="40">
        <f t="shared" si="4901"/>
        <v>0</v>
      </c>
      <c r="BW81" s="40">
        <f t="shared" si="4893"/>
        <v>0</v>
      </c>
      <c r="BX81" s="40">
        <f t="shared" si="4893"/>
        <v>0</v>
      </c>
      <c r="BY81" s="40">
        <f t="shared" si="4893"/>
        <v>0</v>
      </c>
      <c r="BZ81" s="40">
        <f t="shared" si="4893"/>
        <v>0</v>
      </c>
      <c r="CA81" s="40">
        <f t="shared" si="4893"/>
        <v>0</v>
      </c>
      <c r="CB81" s="40">
        <f t="shared" si="4893"/>
        <v>0</v>
      </c>
      <c r="CC81" s="40">
        <f t="shared" si="4893"/>
        <v>0</v>
      </c>
      <c r="CD81" s="40">
        <f t="shared" si="4893"/>
        <v>0</v>
      </c>
      <c r="CE81" s="40">
        <f t="shared" si="4893"/>
        <v>0</v>
      </c>
      <c r="CF81" s="40">
        <f t="shared" si="4893"/>
        <v>0</v>
      </c>
      <c r="CG81" s="40">
        <f t="shared" si="4893"/>
        <v>0</v>
      </c>
      <c r="CH81" s="40">
        <f t="shared" si="4893"/>
        <v>0</v>
      </c>
      <c r="CI81" s="40">
        <f t="shared" si="4893"/>
        <v>0</v>
      </c>
      <c r="CJ81" s="40">
        <f t="shared" si="4893"/>
        <v>0</v>
      </c>
      <c r="CK81" s="40">
        <f t="shared" si="4893"/>
        <v>0</v>
      </c>
      <c r="CL81" s="40">
        <f t="shared" si="4893"/>
        <v>0</v>
      </c>
      <c r="CM81" s="40">
        <f t="shared" si="4893"/>
        <v>0</v>
      </c>
      <c r="CN81" s="40">
        <f t="shared" si="4893"/>
        <v>0</v>
      </c>
      <c r="CO81" s="40">
        <f t="shared" si="4893"/>
        <v>0</v>
      </c>
      <c r="CP81" s="40">
        <f t="shared" si="4893"/>
        <v>0</v>
      </c>
      <c r="CQ81" s="40">
        <f t="shared" si="4893"/>
        <v>0</v>
      </c>
      <c r="CR81" s="40">
        <f t="shared" si="4893"/>
        <v>0</v>
      </c>
      <c r="CS81" s="40">
        <f t="shared" si="4893"/>
        <v>0</v>
      </c>
      <c r="CT81" s="40">
        <f t="shared" si="4893"/>
        <v>0</v>
      </c>
      <c r="CU81" s="40">
        <f t="shared" si="4893"/>
        <v>0</v>
      </c>
      <c r="CV81" s="40">
        <f t="shared" si="4893"/>
        <v>0</v>
      </c>
      <c r="CW81" s="40">
        <f t="shared" si="4893"/>
        <v>0</v>
      </c>
      <c r="CX81" s="40">
        <f t="shared" si="4893"/>
        <v>0</v>
      </c>
      <c r="CY81" s="40">
        <f t="shared" si="4893"/>
        <v>0</v>
      </c>
      <c r="CZ81" s="40">
        <f t="shared" si="4893"/>
        <v>0</v>
      </c>
      <c r="DA81" s="40">
        <f t="shared" si="4893"/>
        <v>0</v>
      </c>
      <c r="DB81" s="40">
        <f t="shared" si="4893"/>
        <v>0</v>
      </c>
      <c r="DC81" s="40">
        <f t="shared" si="4893"/>
        <v>0</v>
      </c>
      <c r="DD81" s="40">
        <f t="shared" si="4893"/>
        <v>0</v>
      </c>
      <c r="DE81" s="40">
        <f t="shared" si="4893"/>
        <v>0</v>
      </c>
      <c r="DF81" s="40">
        <f t="shared" si="4893"/>
        <v>0</v>
      </c>
      <c r="DG81" s="40">
        <f t="shared" si="4893"/>
        <v>0</v>
      </c>
      <c r="DH81" s="40">
        <f t="shared" si="4893"/>
        <v>0</v>
      </c>
      <c r="DI81" s="40">
        <f t="shared" si="4893"/>
        <v>0</v>
      </c>
      <c r="DJ81" s="40">
        <f t="shared" si="4893"/>
        <v>0</v>
      </c>
      <c r="DK81" s="40">
        <f t="shared" si="4893"/>
        <v>0</v>
      </c>
      <c r="DL81" s="40">
        <f t="shared" si="4893"/>
        <v>0</v>
      </c>
      <c r="DM81" s="40">
        <f t="shared" si="4893"/>
        <v>0</v>
      </c>
      <c r="DN81" s="40">
        <f t="shared" si="4893"/>
        <v>0</v>
      </c>
      <c r="DO81" s="40">
        <f t="shared" si="4893"/>
        <v>0</v>
      </c>
      <c r="DP81" s="40">
        <f t="shared" si="4893"/>
        <v>0</v>
      </c>
      <c r="DQ81" s="40">
        <f t="shared" si="4893"/>
        <v>0</v>
      </c>
      <c r="DR81" s="40">
        <f t="shared" si="4893"/>
        <v>0</v>
      </c>
      <c r="DS81" s="40">
        <f t="shared" si="4893"/>
        <v>0</v>
      </c>
      <c r="DT81" s="40">
        <f t="shared" si="4893"/>
        <v>0</v>
      </c>
      <c r="DU81" s="40">
        <f t="shared" si="4893"/>
        <v>0</v>
      </c>
      <c r="DV81" s="40">
        <f t="shared" si="4893"/>
        <v>0</v>
      </c>
      <c r="DW81" s="40">
        <f t="shared" si="4893"/>
        <v>0</v>
      </c>
      <c r="DX81" s="40">
        <f t="shared" si="4893"/>
        <v>0</v>
      </c>
      <c r="DY81" s="40">
        <f t="shared" si="4893"/>
        <v>0</v>
      </c>
      <c r="DZ81" s="40">
        <f t="shared" si="4893"/>
        <v>0</v>
      </c>
      <c r="EA81" s="40">
        <f t="shared" si="4893"/>
        <v>0</v>
      </c>
      <c r="EB81" s="40">
        <f t="shared" si="4893"/>
        <v>0</v>
      </c>
      <c r="EC81" s="40">
        <f t="shared" si="4893"/>
        <v>0</v>
      </c>
      <c r="ED81" s="40">
        <f t="shared" si="4893"/>
        <v>0</v>
      </c>
      <c r="EE81" s="40">
        <f t="shared" si="4893"/>
        <v>0</v>
      </c>
      <c r="EF81" s="40">
        <f t="shared" si="4893"/>
        <v>0</v>
      </c>
      <c r="EG81" s="40">
        <f t="shared" si="4893"/>
        <v>0</v>
      </c>
      <c r="EH81" s="40">
        <f t="shared" si="4894"/>
        <v>0</v>
      </c>
      <c r="EI81" s="40">
        <f t="shared" si="4894"/>
        <v>0</v>
      </c>
      <c r="EJ81" s="40">
        <f t="shared" si="4894"/>
        <v>0</v>
      </c>
      <c r="EK81" s="40">
        <f t="shared" si="4894"/>
        <v>0</v>
      </c>
      <c r="EL81" s="40">
        <f t="shared" si="4894"/>
        <v>0</v>
      </c>
      <c r="EM81" s="40">
        <f t="shared" si="4894"/>
        <v>0</v>
      </c>
      <c r="EN81" s="40">
        <f t="shared" si="4894"/>
        <v>0</v>
      </c>
      <c r="EO81" s="40">
        <f t="shared" si="4894"/>
        <v>0</v>
      </c>
      <c r="EP81" s="40">
        <f t="shared" si="4894"/>
        <v>0</v>
      </c>
      <c r="EQ81" s="40">
        <f t="shared" si="4894"/>
        <v>0</v>
      </c>
      <c r="ER81" s="40">
        <f t="shared" si="4894"/>
        <v>0</v>
      </c>
      <c r="ES81" s="40">
        <f t="shared" si="4894"/>
        <v>0</v>
      </c>
      <c r="ET81" s="40">
        <f t="shared" si="4894"/>
        <v>0</v>
      </c>
      <c r="EU81" s="40">
        <f t="shared" si="4894"/>
        <v>0</v>
      </c>
      <c r="EV81" s="40">
        <f t="shared" si="4894"/>
        <v>0</v>
      </c>
      <c r="EW81" s="40">
        <f t="shared" si="4894"/>
        <v>0</v>
      </c>
      <c r="EX81" s="40">
        <f t="shared" si="4894"/>
        <v>0</v>
      </c>
      <c r="EY81" s="40">
        <f t="shared" si="4894"/>
        <v>0</v>
      </c>
      <c r="EZ81" s="40">
        <f t="shared" si="4894"/>
        <v>0</v>
      </c>
      <c r="FA81" s="40">
        <f t="shared" si="4894"/>
        <v>0</v>
      </c>
      <c r="FB81" s="40">
        <f t="shared" si="4894"/>
        <v>0</v>
      </c>
      <c r="FC81" s="40">
        <f t="shared" si="4894"/>
        <v>0</v>
      </c>
      <c r="FD81" s="40">
        <f t="shared" si="4894"/>
        <v>0</v>
      </c>
      <c r="FE81" s="40">
        <f t="shared" si="4894"/>
        <v>0</v>
      </c>
      <c r="FF81" s="40">
        <f t="shared" si="4894"/>
        <v>0</v>
      </c>
      <c r="FG81" s="40">
        <f t="shared" si="4894"/>
        <v>0</v>
      </c>
      <c r="FH81" s="40">
        <f t="shared" si="4894"/>
        <v>0</v>
      </c>
      <c r="FI81" s="40">
        <f t="shared" si="4894"/>
        <v>0</v>
      </c>
      <c r="FJ81" s="40">
        <f t="shared" si="4894"/>
        <v>0</v>
      </c>
      <c r="FK81" s="40">
        <f t="shared" si="4894"/>
        <v>0</v>
      </c>
      <c r="FL81" s="40">
        <f t="shared" si="4894"/>
        <v>0</v>
      </c>
      <c r="FM81" s="40">
        <f t="shared" si="4894"/>
        <v>0</v>
      </c>
      <c r="FN81" s="40">
        <f t="shared" si="4894"/>
        <v>0</v>
      </c>
      <c r="FO81" s="40">
        <f t="shared" si="4894"/>
        <v>0</v>
      </c>
      <c r="FP81" s="40">
        <f t="shared" si="4894"/>
        <v>0</v>
      </c>
      <c r="FQ81" s="40">
        <f t="shared" si="4894"/>
        <v>0</v>
      </c>
      <c r="FR81" s="40">
        <f t="shared" si="4894"/>
        <v>0</v>
      </c>
      <c r="FS81" s="40">
        <f t="shared" si="4894"/>
        <v>0</v>
      </c>
      <c r="FT81" s="40">
        <f t="shared" si="4894"/>
        <v>0</v>
      </c>
      <c r="FU81" s="40">
        <f t="shared" si="4894"/>
        <v>0</v>
      </c>
      <c r="FV81" s="40">
        <f t="shared" si="4894"/>
        <v>0</v>
      </c>
      <c r="FW81" s="40">
        <f t="shared" si="4894"/>
        <v>0</v>
      </c>
      <c r="FX81" s="40">
        <f t="shared" si="4894"/>
        <v>0</v>
      </c>
      <c r="FY81" s="40">
        <f t="shared" si="4894"/>
        <v>0</v>
      </c>
      <c r="FZ81" s="40">
        <f t="shared" si="4894"/>
        <v>0</v>
      </c>
      <c r="GA81" s="40">
        <f t="shared" si="4894"/>
        <v>0</v>
      </c>
      <c r="GB81" s="40">
        <f t="shared" si="4894"/>
        <v>0</v>
      </c>
      <c r="GC81" s="40">
        <f t="shared" si="4894"/>
        <v>0</v>
      </c>
      <c r="GD81" s="40">
        <f t="shared" si="4894"/>
        <v>0</v>
      </c>
      <c r="GE81" s="40">
        <f t="shared" si="4894"/>
        <v>0</v>
      </c>
      <c r="GF81" s="40">
        <f t="shared" ca="1" si="4894"/>
        <v>0</v>
      </c>
      <c r="GG81" s="40">
        <f t="shared" ca="1" si="4894"/>
        <v>0</v>
      </c>
      <c r="GH81" s="40">
        <f t="shared" ca="1" si="4894"/>
        <v>0</v>
      </c>
      <c r="GI81" s="40">
        <f t="shared" ca="1" si="4894"/>
        <v>0</v>
      </c>
      <c r="GJ81" s="40">
        <f t="shared" ca="1" si="4894"/>
        <v>0</v>
      </c>
      <c r="GK81" s="40">
        <f t="shared" ca="1" si="4894"/>
        <v>0</v>
      </c>
      <c r="GL81" s="40">
        <f t="shared" ca="1" si="4894"/>
        <v>0</v>
      </c>
      <c r="GM81" s="40">
        <f t="shared" ca="1" si="4894"/>
        <v>0</v>
      </c>
      <c r="GN81" s="40">
        <f t="shared" ca="1" si="4894"/>
        <v>0</v>
      </c>
      <c r="GO81" s="40">
        <f t="shared" ca="1" si="4894"/>
        <v>0</v>
      </c>
      <c r="GP81" s="40">
        <f t="shared" ca="1" si="4894"/>
        <v>0</v>
      </c>
      <c r="GQ81" s="40">
        <f t="shared" ca="1" si="4894"/>
        <v>0</v>
      </c>
      <c r="GR81" s="40">
        <f t="shared" ca="1" si="4894"/>
        <v>0</v>
      </c>
      <c r="GS81" s="40">
        <f t="shared" ref="GS81:JD81" ca="1" si="4902">$D81*GS$77</f>
        <v>0</v>
      </c>
      <c r="GT81" s="40">
        <f t="shared" ca="1" si="4902"/>
        <v>0</v>
      </c>
      <c r="GU81" s="40">
        <f t="shared" ca="1" si="4902"/>
        <v>0</v>
      </c>
      <c r="GV81" s="40">
        <f t="shared" ca="1" si="4902"/>
        <v>0</v>
      </c>
      <c r="GW81" s="40">
        <f t="shared" ca="1" si="4902"/>
        <v>0</v>
      </c>
      <c r="GX81" s="40">
        <f t="shared" ca="1" si="4902"/>
        <v>0</v>
      </c>
      <c r="GY81" s="40">
        <f t="shared" ca="1" si="4902"/>
        <v>0</v>
      </c>
      <c r="GZ81" s="40">
        <f t="shared" ca="1" si="4902"/>
        <v>0</v>
      </c>
      <c r="HA81" s="40">
        <f t="shared" ca="1" si="4902"/>
        <v>0</v>
      </c>
      <c r="HB81" s="40">
        <f t="shared" ca="1" si="4902"/>
        <v>0</v>
      </c>
      <c r="HC81" s="40">
        <f t="shared" ca="1" si="4902"/>
        <v>0</v>
      </c>
      <c r="HD81" s="40">
        <f t="shared" ca="1" si="4902"/>
        <v>0</v>
      </c>
      <c r="HE81" s="40">
        <f t="shared" ca="1" si="4902"/>
        <v>0</v>
      </c>
      <c r="HF81" s="40">
        <f t="shared" ca="1" si="4902"/>
        <v>0</v>
      </c>
      <c r="HG81" s="40">
        <f t="shared" ca="1" si="4902"/>
        <v>0</v>
      </c>
      <c r="HH81" s="40">
        <f t="shared" ca="1" si="4902"/>
        <v>0</v>
      </c>
      <c r="HI81" s="40">
        <f t="shared" ca="1" si="4902"/>
        <v>0</v>
      </c>
      <c r="HJ81" s="40">
        <f t="shared" ca="1" si="4902"/>
        <v>0</v>
      </c>
      <c r="HK81" s="40">
        <f t="shared" ca="1" si="4902"/>
        <v>0</v>
      </c>
      <c r="HL81" s="40">
        <f t="shared" ca="1" si="4902"/>
        <v>0</v>
      </c>
      <c r="HM81" s="40">
        <f t="shared" ca="1" si="4902"/>
        <v>0</v>
      </c>
      <c r="HN81" s="40">
        <f t="shared" ca="1" si="4902"/>
        <v>0</v>
      </c>
      <c r="HO81" s="40">
        <f t="shared" ca="1" si="4902"/>
        <v>0</v>
      </c>
      <c r="HP81" s="40">
        <f t="shared" ca="1" si="4902"/>
        <v>0</v>
      </c>
      <c r="HQ81" s="40">
        <f t="shared" ca="1" si="4902"/>
        <v>0</v>
      </c>
      <c r="HR81" s="40">
        <f t="shared" ca="1" si="4902"/>
        <v>0</v>
      </c>
      <c r="HS81" s="40">
        <f t="shared" ca="1" si="4902"/>
        <v>0</v>
      </c>
      <c r="HT81" s="40">
        <f t="shared" ca="1" si="4902"/>
        <v>0</v>
      </c>
      <c r="HU81" s="40">
        <f t="shared" ca="1" si="4902"/>
        <v>0</v>
      </c>
      <c r="HV81" s="40">
        <f t="shared" ca="1" si="4902"/>
        <v>0</v>
      </c>
      <c r="HW81" s="40">
        <f t="shared" ca="1" si="4902"/>
        <v>0</v>
      </c>
      <c r="HX81" s="40">
        <f t="shared" ca="1" si="4902"/>
        <v>0</v>
      </c>
      <c r="HY81" s="40">
        <f t="shared" ca="1" si="4902"/>
        <v>0</v>
      </c>
      <c r="HZ81" s="40">
        <f t="shared" ca="1" si="4902"/>
        <v>0</v>
      </c>
      <c r="IA81" s="40">
        <f t="shared" ca="1" si="4902"/>
        <v>0</v>
      </c>
      <c r="IB81" s="40">
        <f t="shared" ca="1" si="4902"/>
        <v>0</v>
      </c>
      <c r="IC81" s="40">
        <f t="shared" ca="1" si="4902"/>
        <v>0</v>
      </c>
      <c r="ID81" s="40">
        <f t="shared" ca="1" si="4902"/>
        <v>0</v>
      </c>
      <c r="IE81" s="40">
        <f t="shared" ca="1" si="4902"/>
        <v>0</v>
      </c>
      <c r="IF81" s="40">
        <f t="shared" ca="1" si="4902"/>
        <v>0</v>
      </c>
      <c r="IG81" s="40">
        <f t="shared" ca="1" si="4902"/>
        <v>0</v>
      </c>
      <c r="IH81" s="40">
        <f t="shared" ca="1" si="4902"/>
        <v>0</v>
      </c>
      <c r="II81" s="40">
        <f t="shared" ca="1" si="4902"/>
        <v>0</v>
      </c>
      <c r="IJ81" s="40">
        <f t="shared" ca="1" si="4902"/>
        <v>0</v>
      </c>
      <c r="IK81" s="40">
        <f t="shared" ca="1" si="4902"/>
        <v>0</v>
      </c>
      <c r="IL81" s="40">
        <f t="shared" ca="1" si="4902"/>
        <v>0</v>
      </c>
      <c r="IM81" s="40">
        <f t="shared" ca="1" si="4902"/>
        <v>0</v>
      </c>
      <c r="IN81" s="40">
        <f t="shared" ca="1" si="4902"/>
        <v>0</v>
      </c>
      <c r="IO81" s="40">
        <f t="shared" ca="1" si="4902"/>
        <v>0</v>
      </c>
      <c r="IP81" s="40">
        <f t="shared" ca="1" si="4902"/>
        <v>0</v>
      </c>
      <c r="IQ81" s="40">
        <f t="shared" ca="1" si="4902"/>
        <v>0</v>
      </c>
      <c r="IR81" s="40">
        <f t="shared" ca="1" si="4902"/>
        <v>0</v>
      </c>
      <c r="IS81" s="40">
        <f t="shared" ca="1" si="4902"/>
        <v>0</v>
      </c>
      <c r="IT81" s="40">
        <f t="shared" ca="1" si="4902"/>
        <v>0</v>
      </c>
      <c r="IU81" s="40">
        <f t="shared" ca="1" si="4902"/>
        <v>0</v>
      </c>
      <c r="IV81" s="40">
        <f t="shared" ca="1" si="4902"/>
        <v>0</v>
      </c>
      <c r="IW81" s="40">
        <f t="shared" ca="1" si="4902"/>
        <v>0</v>
      </c>
      <c r="IX81" s="40">
        <f t="shared" ca="1" si="4902"/>
        <v>0</v>
      </c>
      <c r="IY81" s="40">
        <f t="shared" ca="1" si="4902"/>
        <v>0</v>
      </c>
      <c r="IZ81" s="40">
        <f t="shared" ca="1" si="4902"/>
        <v>0</v>
      </c>
      <c r="JA81" s="40">
        <f t="shared" ca="1" si="4902"/>
        <v>0</v>
      </c>
      <c r="JB81" s="40">
        <f t="shared" ca="1" si="4902"/>
        <v>0</v>
      </c>
      <c r="JC81" s="40">
        <f t="shared" ca="1" si="4902"/>
        <v>0</v>
      </c>
      <c r="JD81" s="40">
        <f t="shared" ca="1" si="4902"/>
        <v>0</v>
      </c>
      <c r="JE81" s="40">
        <f t="shared" ca="1" si="4899"/>
        <v>0</v>
      </c>
      <c r="JF81" s="40">
        <f t="shared" ca="1" si="4899"/>
        <v>0</v>
      </c>
      <c r="JG81" s="40">
        <f t="shared" ca="1" si="4899"/>
        <v>0</v>
      </c>
      <c r="JH81" s="40">
        <f t="shared" ca="1" si="4899"/>
        <v>0</v>
      </c>
      <c r="JI81" s="40">
        <f t="shared" ca="1" si="4899"/>
        <v>0</v>
      </c>
      <c r="JJ81" s="40">
        <f t="shared" ca="1" si="4899"/>
        <v>0</v>
      </c>
      <c r="JK81" s="40">
        <f t="shared" ca="1" si="4899"/>
        <v>0</v>
      </c>
      <c r="JL81" s="40">
        <f t="shared" ca="1" si="4899"/>
        <v>0</v>
      </c>
      <c r="JM81" s="40">
        <f t="shared" ca="1" si="4899"/>
        <v>0</v>
      </c>
      <c r="JN81" s="40">
        <f t="shared" ca="1" si="4899"/>
        <v>0</v>
      </c>
      <c r="JO81" s="40">
        <f t="shared" ca="1" si="4899"/>
        <v>0</v>
      </c>
      <c r="JP81" s="40">
        <f t="shared" ca="1" si="4899"/>
        <v>0</v>
      </c>
      <c r="JQ81" s="40">
        <f t="shared" ca="1" si="4899"/>
        <v>0</v>
      </c>
      <c r="JR81" s="40">
        <f t="shared" ca="1" si="4899"/>
        <v>0</v>
      </c>
      <c r="JS81" s="40">
        <f t="shared" ca="1" si="4899"/>
        <v>0</v>
      </c>
      <c r="JT81" s="40">
        <f t="shared" ca="1" si="4899"/>
        <v>0</v>
      </c>
      <c r="JU81" s="40">
        <f t="shared" ca="1" si="4899"/>
        <v>0</v>
      </c>
      <c r="JV81" s="40">
        <f t="shared" ca="1" si="4899"/>
        <v>0</v>
      </c>
      <c r="JW81" s="40">
        <f t="shared" ca="1" si="4899"/>
        <v>0</v>
      </c>
      <c r="JX81" s="40">
        <f t="shared" ca="1" si="4899"/>
        <v>0</v>
      </c>
      <c r="JY81" s="40">
        <f t="shared" ca="1" si="4899"/>
        <v>0</v>
      </c>
      <c r="JZ81" s="40">
        <f t="shared" ca="1" si="4899"/>
        <v>0</v>
      </c>
      <c r="KA81" s="40">
        <f t="shared" ca="1" si="4899"/>
        <v>0</v>
      </c>
      <c r="KB81" s="40">
        <f t="shared" ca="1" si="4899"/>
        <v>0</v>
      </c>
      <c r="KC81" s="40">
        <f t="shared" ca="1" si="4899"/>
        <v>0</v>
      </c>
      <c r="KD81" s="40">
        <f t="shared" ca="1" si="4899"/>
        <v>0</v>
      </c>
      <c r="KE81" s="40">
        <f t="shared" ca="1" si="4899"/>
        <v>0</v>
      </c>
      <c r="KF81" s="40">
        <f t="shared" ca="1" si="4899"/>
        <v>0</v>
      </c>
      <c r="KG81" s="40">
        <f t="shared" ca="1" si="4899"/>
        <v>0</v>
      </c>
      <c r="KH81" s="40">
        <f t="shared" ca="1" si="4899"/>
        <v>0</v>
      </c>
      <c r="KI81" s="40">
        <f t="shared" ca="1" si="4899"/>
        <v>0</v>
      </c>
      <c r="KJ81" s="40">
        <f t="shared" ca="1" si="4899"/>
        <v>0</v>
      </c>
      <c r="KK81" s="40">
        <f t="shared" ca="1" si="4899"/>
        <v>0</v>
      </c>
      <c r="KL81" s="40">
        <f t="shared" ca="1" si="4899"/>
        <v>0</v>
      </c>
      <c r="KM81" s="40">
        <f t="shared" ca="1" si="4899"/>
        <v>0</v>
      </c>
      <c r="KN81" s="40">
        <f t="shared" ca="1" si="4899"/>
        <v>0</v>
      </c>
      <c r="KO81" s="40">
        <f t="shared" ca="1" si="4899"/>
        <v>0</v>
      </c>
      <c r="KP81" s="40">
        <f t="shared" ca="1" si="4899"/>
        <v>0</v>
      </c>
      <c r="KQ81" s="40">
        <f t="shared" ca="1" si="4899"/>
        <v>0</v>
      </c>
      <c r="KR81" s="40">
        <f t="shared" ca="1" si="4899"/>
        <v>0</v>
      </c>
      <c r="KS81" s="40">
        <f t="shared" ca="1" si="4899"/>
        <v>0</v>
      </c>
      <c r="KT81" s="40">
        <f t="shared" ca="1" si="4899"/>
        <v>0</v>
      </c>
      <c r="KU81" s="40">
        <f t="shared" ca="1" si="4899"/>
        <v>0</v>
      </c>
      <c r="KV81" s="40">
        <f t="shared" ca="1" si="4899"/>
        <v>0</v>
      </c>
      <c r="KW81" s="40">
        <f t="shared" ca="1" si="4899"/>
        <v>0</v>
      </c>
      <c r="KX81" s="40">
        <f t="shared" ca="1" si="4899"/>
        <v>0</v>
      </c>
      <c r="KY81" s="40">
        <f t="shared" ca="1" si="4899"/>
        <v>0</v>
      </c>
      <c r="KZ81" s="40">
        <f t="shared" ca="1" si="4899"/>
        <v>0</v>
      </c>
      <c r="LA81" s="40">
        <f t="shared" ca="1" si="4896"/>
        <v>0</v>
      </c>
      <c r="LB81" s="40">
        <f t="shared" ca="1" si="4897"/>
        <v>0</v>
      </c>
      <c r="LC81" s="40">
        <f t="shared" ca="1" si="4897"/>
        <v>0</v>
      </c>
      <c r="LD81" s="40">
        <f t="shared" ca="1" si="4897"/>
        <v>0</v>
      </c>
      <c r="LE81" s="40">
        <f t="shared" ca="1" si="4897"/>
        <v>0</v>
      </c>
      <c r="LF81" s="40">
        <f t="shared" ca="1" si="4897"/>
        <v>0</v>
      </c>
      <c r="LG81" s="40">
        <f t="shared" ca="1" si="4897"/>
        <v>0</v>
      </c>
      <c r="LH81" s="40">
        <f t="shared" ca="1" si="4897"/>
        <v>0</v>
      </c>
      <c r="LI81" s="40">
        <f t="shared" ca="1" si="4897"/>
        <v>0</v>
      </c>
      <c r="LJ81" s="40">
        <f t="shared" ca="1" si="4897"/>
        <v>0</v>
      </c>
      <c r="LK81" s="40">
        <f t="shared" ca="1" si="4897"/>
        <v>0</v>
      </c>
      <c r="LL81" s="40">
        <f t="shared" ca="1" si="4897"/>
        <v>0</v>
      </c>
      <c r="LM81" s="40">
        <f t="shared" ca="1" si="4897"/>
        <v>0</v>
      </c>
      <c r="LN81" s="40">
        <f t="shared" ca="1" si="4897"/>
        <v>0</v>
      </c>
      <c r="LO81" s="40">
        <f t="shared" ca="1" si="4897"/>
        <v>0</v>
      </c>
      <c r="LP81" s="40">
        <f t="shared" ca="1" si="4897"/>
        <v>0</v>
      </c>
      <c r="LQ81" s="40">
        <f t="shared" ca="1" si="4897"/>
        <v>0</v>
      </c>
      <c r="LR81" s="40">
        <f t="shared" ca="1" si="4897"/>
        <v>0</v>
      </c>
      <c r="LS81" s="40">
        <f t="shared" ca="1" si="4897"/>
        <v>0</v>
      </c>
      <c r="LT81" s="40">
        <f t="shared" ca="1" si="4897"/>
        <v>0</v>
      </c>
      <c r="LU81" s="40">
        <f t="shared" ca="1" si="4897"/>
        <v>0</v>
      </c>
      <c r="LV81" s="40">
        <f t="shared" ca="1" si="4897"/>
        <v>0</v>
      </c>
      <c r="LW81" s="40">
        <f t="shared" ca="1" si="4897"/>
        <v>0</v>
      </c>
      <c r="LX81" s="40">
        <f t="shared" ca="1" si="4897"/>
        <v>0</v>
      </c>
      <c r="LY81" s="40">
        <f t="shared" ca="1" si="4897"/>
        <v>0</v>
      </c>
      <c r="LZ81" s="40">
        <f t="shared" ca="1" si="4897"/>
        <v>0</v>
      </c>
      <c r="MA81" s="40">
        <f t="shared" ca="1" si="4897"/>
        <v>0</v>
      </c>
      <c r="MB81" s="40">
        <f t="shared" ca="1" si="4897"/>
        <v>0</v>
      </c>
      <c r="MC81" s="40">
        <f t="shared" ca="1" si="4897"/>
        <v>0</v>
      </c>
      <c r="MD81" s="40">
        <f t="shared" ca="1" si="4897"/>
        <v>0</v>
      </c>
      <c r="ME81" s="40">
        <f t="shared" ca="1" si="4897"/>
        <v>0</v>
      </c>
      <c r="MF81" s="40">
        <f t="shared" ca="1" si="4897"/>
        <v>0</v>
      </c>
      <c r="MG81" s="40">
        <f t="shared" ca="1" si="4897"/>
        <v>0</v>
      </c>
      <c r="MH81" s="40">
        <f t="shared" ca="1" si="4897"/>
        <v>0</v>
      </c>
      <c r="MI81" s="40">
        <f t="shared" ca="1" si="4897"/>
        <v>0</v>
      </c>
      <c r="MJ81" s="40">
        <f t="shared" ca="1" si="4897"/>
        <v>0</v>
      </c>
      <c r="MK81" s="40">
        <f t="shared" ca="1" si="4897"/>
        <v>0</v>
      </c>
      <c r="ML81" s="40">
        <f t="shared" ca="1" si="4897"/>
        <v>0</v>
      </c>
      <c r="MM81" s="40">
        <f t="shared" ca="1" si="4897"/>
        <v>0</v>
      </c>
      <c r="MN81" s="40">
        <f t="shared" ca="1" si="4897"/>
        <v>0</v>
      </c>
      <c r="MO81" s="40">
        <f t="shared" ca="1" si="4897"/>
        <v>0</v>
      </c>
      <c r="MP81" s="40">
        <f t="shared" ca="1" si="4897"/>
        <v>0</v>
      </c>
      <c r="MQ81" s="40">
        <f t="shared" ca="1" si="4897"/>
        <v>0</v>
      </c>
      <c r="MR81" s="40">
        <f t="shared" ca="1" si="4897"/>
        <v>0</v>
      </c>
      <c r="MS81" s="40">
        <f t="shared" ca="1" si="4897"/>
        <v>0</v>
      </c>
      <c r="MT81" s="40">
        <f t="shared" ca="1" si="4897"/>
        <v>0</v>
      </c>
      <c r="MU81" s="40">
        <f t="shared" ca="1" si="4897"/>
        <v>0</v>
      </c>
      <c r="MV81" s="40">
        <f t="shared" ca="1" si="4897"/>
        <v>0</v>
      </c>
      <c r="MW81" s="40">
        <f t="shared" ca="1" si="4897"/>
        <v>0</v>
      </c>
      <c r="MX81" s="40">
        <f t="shared" ca="1" si="4897"/>
        <v>0</v>
      </c>
      <c r="MY81" s="40">
        <f t="shared" ca="1" si="4897"/>
        <v>0</v>
      </c>
      <c r="MZ81" s="40">
        <f t="shared" ca="1" si="4897"/>
        <v>0</v>
      </c>
      <c r="NA81" s="40">
        <f t="shared" ca="1" si="4897"/>
        <v>0</v>
      </c>
      <c r="NB81" s="40">
        <f t="shared" ca="1" si="4897"/>
        <v>0</v>
      </c>
      <c r="NC81" s="40">
        <f t="shared" ca="1" si="4897"/>
        <v>0</v>
      </c>
      <c r="ND81" s="40">
        <f t="shared" ca="1" si="4897"/>
        <v>0</v>
      </c>
      <c r="NE81" s="40"/>
      <c r="NF81" s="40"/>
      <c r="NG81" s="40"/>
      <c r="NH81" s="40"/>
      <c r="NI81" s="40"/>
      <c r="NJ81" s="40"/>
      <c r="NK81" s="40"/>
      <c r="NL81" s="40"/>
      <c r="NM81" s="40"/>
      <c r="NN81" s="40"/>
      <c r="NO81" s="40"/>
      <c r="NP81" s="40"/>
      <c r="NQ81" s="40"/>
      <c r="NR81" s="40"/>
    </row>
    <row r="82" spans="2:382" x14ac:dyDescent="0.15">
      <c r="B82" s="519"/>
      <c r="C82" s="120" t="str">
        <f>$C$7</f>
        <v>-</v>
      </c>
      <c r="D82" s="5">
        <f t="shared" si="4891"/>
        <v>0</v>
      </c>
      <c r="G82" s="118"/>
      <c r="I82" s="40">
        <f>$D$82*I$77</f>
        <v>0</v>
      </c>
      <c r="J82" s="40">
        <f t="shared" ref="J82:BU82" si="4903">$D$82*J$77</f>
        <v>0</v>
      </c>
      <c r="K82" s="40">
        <f t="shared" si="4903"/>
        <v>0</v>
      </c>
      <c r="L82" s="40">
        <f t="shared" si="4903"/>
        <v>0</v>
      </c>
      <c r="M82" s="40">
        <f t="shared" si="4903"/>
        <v>0</v>
      </c>
      <c r="N82" s="40">
        <f t="shared" si="4903"/>
        <v>0</v>
      </c>
      <c r="O82" s="40">
        <f t="shared" si="4903"/>
        <v>0</v>
      </c>
      <c r="P82" s="40">
        <f t="shared" si="4903"/>
        <v>0</v>
      </c>
      <c r="Q82" s="40">
        <f t="shared" si="4903"/>
        <v>0</v>
      </c>
      <c r="R82" s="40">
        <f t="shared" si="4903"/>
        <v>0</v>
      </c>
      <c r="S82" s="40">
        <f t="shared" si="4903"/>
        <v>0</v>
      </c>
      <c r="T82" s="40">
        <f t="shared" si="4903"/>
        <v>0</v>
      </c>
      <c r="U82" s="40">
        <f t="shared" si="4903"/>
        <v>0</v>
      </c>
      <c r="V82" s="40">
        <f t="shared" si="4903"/>
        <v>0</v>
      </c>
      <c r="W82" s="40">
        <f t="shared" si="4903"/>
        <v>0</v>
      </c>
      <c r="X82" s="40">
        <f t="shared" si="4903"/>
        <v>0</v>
      </c>
      <c r="Y82" s="40">
        <f t="shared" si="4903"/>
        <v>0</v>
      </c>
      <c r="Z82" s="40">
        <f t="shared" si="4903"/>
        <v>0</v>
      </c>
      <c r="AA82" s="40">
        <f t="shared" si="4903"/>
        <v>0</v>
      </c>
      <c r="AB82" s="40">
        <f t="shared" si="4903"/>
        <v>0</v>
      </c>
      <c r="AC82" s="40">
        <f t="shared" si="4903"/>
        <v>0</v>
      </c>
      <c r="AD82" s="40">
        <f t="shared" si="4903"/>
        <v>0</v>
      </c>
      <c r="AE82" s="40">
        <f t="shared" si="4903"/>
        <v>0</v>
      </c>
      <c r="AF82" s="40">
        <f t="shared" si="4903"/>
        <v>0</v>
      </c>
      <c r="AG82" s="40">
        <f t="shared" si="4903"/>
        <v>0</v>
      </c>
      <c r="AH82" s="40">
        <f t="shared" si="4903"/>
        <v>0</v>
      </c>
      <c r="AI82" s="40">
        <f t="shared" si="4903"/>
        <v>0</v>
      </c>
      <c r="AJ82" s="40">
        <f t="shared" si="4903"/>
        <v>0</v>
      </c>
      <c r="AK82" s="40">
        <f t="shared" si="4903"/>
        <v>0</v>
      </c>
      <c r="AL82" s="40">
        <f t="shared" si="4903"/>
        <v>0</v>
      </c>
      <c r="AM82" s="40">
        <f t="shared" si="4903"/>
        <v>0</v>
      </c>
      <c r="AN82" s="40">
        <f t="shared" si="4903"/>
        <v>0</v>
      </c>
      <c r="AO82" s="40">
        <f t="shared" si="4903"/>
        <v>0</v>
      </c>
      <c r="AP82" s="40">
        <f t="shared" si="4903"/>
        <v>0</v>
      </c>
      <c r="AQ82" s="40">
        <f t="shared" si="4903"/>
        <v>0</v>
      </c>
      <c r="AR82" s="40">
        <f t="shared" si="4903"/>
        <v>0</v>
      </c>
      <c r="AS82" s="40">
        <f t="shared" si="4903"/>
        <v>0</v>
      </c>
      <c r="AT82" s="40">
        <f t="shared" si="4903"/>
        <v>0</v>
      </c>
      <c r="AU82" s="40">
        <f t="shared" si="4903"/>
        <v>0</v>
      </c>
      <c r="AV82" s="40">
        <f t="shared" si="4903"/>
        <v>0</v>
      </c>
      <c r="AW82" s="40">
        <f t="shared" si="4903"/>
        <v>0</v>
      </c>
      <c r="AX82" s="40">
        <f t="shared" si="4903"/>
        <v>0</v>
      </c>
      <c r="AY82" s="40">
        <f t="shared" si="4903"/>
        <v>0</v>
      </c>
      <c r="AZ82" s="40">
        <f t="shared" si="4903"/>
        <v>0</v>
      </c>
      <c r="BA82" s="40">
        <f t="shared" si="4903"/>
        <v>0</v>
      </c>
      <c r="BB82" s="40">
        <f t="shared" si="4903"/>
        <v>0</v>
      </c>
      <c r="BC82" s="40">
        <f t="shared" si="4903"/>
        <v>0</v>
      </c>
      <c r="BD82" s="40">
        <f t="shared" si="4903"/>
        <v>0</v>
      </c>
      <c r="BE82" s="40">
        <f t="shared" si="4903"/>
        <v>0</v>
      </c>
      <c r="BF82" s="40">
        <f t="shared" si="4903"/>
        <v>0</v>
      </c>
      <c r="BG82" s="40">
        <f t="shared" si="4903"/>
        <v>0</v>
      </c>
      <c r="BH82" s="40">
        <f t="shared" si="4903"/>
        <v>0</v>
      </c>
      <c r="BI82" s="40">
        <f t="shared" si="4903"/>
        <v>0</v>
      </c>
      <c r="BJ82" s="40">
        <f t="shared" si="4903"/>
        <v>0</v>
      </c>
      <c r="BK82" s="40">
        <f t="shared" si="4903"/>
        <v>0</v>
      </c>
      <c r="BL82" s="40">
        <f t="shared" si="4903"/>
        <v>0</v>
      </c>
      <c r="BM82" s="40">
        <f t="shared" si="4903"/>
        <v>0</v>
      </c>
      <c r="BN82" s="40">
        <f t="shared" si="4903"/>
        <v>0</v>
      </c>
      <c r="BO82" s="40">
        <f t="shared" si="4903"/>
        <v>0</v>
      </c>
      <c r="BP82" s="40">
        <f t="shared" si="4903"/>
        <v>0</v>
      </c>
      <c r="BQ82" s="40">
        <f t="shared" si="4903"/>
        <v>0</v>
      </c>
      <c r="BR82" s="40">
        <f t="shared" si="4903"/>
        <v>0</v>
      </c>
      <c r="BS82" s="40">
        <f t="shared" si="4903"/>
        <v>0</v>
      </c>
      <c r="BT82" s="40">
        <f t="shared" si="4903"/>
        <v>0</v>
      </c>
      <c r="BU82" s="40">
        <f t="shared" si="4903"/>
        <v>0</v>
      </c>
      <c r="BV82" s="40">
        <f t="shared" ref="BV82:EG82" si="4904">$D$82*BV$77</f>
        <v>0</v>
      </c>
      <c r="BW82" s="40">
        <f t="shared" si="4904"/>
        <v>0</v>
      </c>
      <c r="BX82" s="40">
        <f t="shared" si="4904"/>
        <v>0</v>
      </c>
      <c r="BY82" s="40">
        <f t="shared" si="4904"/>
        <v>0</v>
      </c>
      <c r="BZ82" s="40">
        <f t="shared" si="4904"/>
        <v>0</v>
      </c>
      <c r="CA82" s="40">
        <f t="shared" si="4904"/>
        <v>0</v>
      </c>
      <c r="CB82" s="40">
        <f t="shared" si="4904"/>
        <v>0</v>
      </c>
      <c r="CC82" s="40">
        <f t="shared" si="4904"/>
        <v>0</v>
      </c>
      <c r="CD82" s="40">
        <f t="shared" si="4904"/>
        <v>0</v>
      </c>
      <c r="CE82" s="40">
        <f t="shared" si="4904"/>
        <v>0</v>
      </c>
      <c r="CF82" s="40">
        <f t="shared" si="4904"/>
        <v>0</v>
      </c>
      <c r="CG82" s="40">
        <f t="shared" si="4904"/>
        <v>0</v>
      </c>
      <c r="CH82" s="40">
        <f t="shared" si="4904"/>
        <v>0</v>
      </c>
      <c r="CI82" s="40">
        <f t="shared" si="4904"/>
        <v>0</v>
      </c>
      <c r="CJ82" s="40">
        <f t="shared" si="4904"/>
        <v>0</v>
      </c>
      <c r="CK82" s="40">
        <f t="shared" si="4904"/>
        <v>0</v>
      </c>
      <c r="CL82" s="40">
        <f t="shared" si="4904"/>
        <v>0</v>
      </c>
      <c r="CM82" s="40">
        <f t="shared" si="4904"/>
        <v>0</v>
      </c>
      <c r="CN82" s="40">
        <f t="shared" si="4904"/>
        <v>0</v>
      </c>
      <c r="CO82" s="40">
        <f t="shared" si="4904"/>
        <v>0</v>
      </c>
      <c r="CP82" s="40">
        <f t="shared" si="4904"/>
        <v>0</v>
      </c>
      <c r="CQ82" s="40">
        <f t="shared" si="4904"/>
        <v>0</v>
      </c>
      <c r="CR82" s="40">
        <f t="shared" si="4904"/>
        <v>0</v>
      </c>
      <c r="CS82" s="40">
        <f t="shared" si="4904"/>
        <v>0</v>
      </c>
      <c r="CT82" s="40">
        <f t="shared" si="4904"/>
        <v>0</v>
      </c>
      <c r="CU82" s="40">
        <f t="shared" si="4904"/>
        <v>0</v>
      </c>
      <c r="CV82" s="40">
        <f t="shared" si="4904"/>
        <v>0</v>
      </c>
      <c r="CW82" s="40">
        <f t="shared" si="4904"/>
        <v>0</v>
      </c>
      <c r="CX82" s="40">
        <f t="shared" si="4904"/>
        <v>0</v>
      </c>
      <c r="CY82" s="40">
        <f t="shared" si="4904"/>
        <v>0</v>
      </c>
      <c r="CZ82" s="40">
        <f t="shared" si="4904"/>
        <v>0</v>
      </c>
      <c r="DA82" s="40">
        <f t="shared" si="4904"/>
        <v>0</v>
      </c>
      <c r="DB82" s="40">
        <f t="shared" si="4904"/>
        <v>0</v>
      </c>
      <c r="DC82" s="40">
        <f t="shared" si="4904"/>
        <v>0</v>
      </c>
      <c r="DD82" s="40">
        <f t="shared" si="4904"/>
        <v>0</v>
      </c>
      <c r="DE82" s="40">
        <f t="shared" si="4904"/>
        <v>0</v>
      </c>
      <c r="DF82" s="40">
        <f t="shared" si="4904"/>
        <v>0</v>
      </c>
      <c r="DG82" s="40">
        <f t="shared" si="4904"/>
        <v>0</v>
      </c>
      <c r="DH82" s="40">
        <f t="shared" si="4904"/>
        <v>0</v>
      </c>
      <c r="DI82" s="40">
        <f t="shared" si="4904"/>
        <v>0</v>
      </c>
      <c r="DJ82" s="40">
        <f t="shared" si="4904"/>
        <v>0</v>
      </c>
      <c r="DK82" s="40">
        <f t="shared" si="4904"/>
        <v>0</v>
      </c>
      <c r="DL82" s="40">
        <f t="shared" si="4904"/>
        <v>0</v>
      </c>
      <c r="DM82" s="40">
        <f t="shared" si="4904"/>
        <v>0</v>
      </c>
      <c r="DN82" s="40">
        <f t="shared" si="4904"/>
        <v>0</v>
      </c>
      <c r="DO82" s="40">
        <f t="shared" si="4904"/>
        <v>0</v>
      </c>
      <c r="DP82" s="40">
        <f t="shared" si="4904"/>
        <v>0</v>
      </c>
      <c r="DQ82" s="40">
        <f t="shared" si="4904"/>
        <v>0</v>
      </c>
      <c r="DR82" s="40">
        <f t="shared" si="4904"/>
        <v>0</v>
      </c>
      <c r="DS82" s="40">
        <f t="shared" si="4904"/>
        <v>0</v>
      </c>
      <c r="DT82" s="40">
        <f t="shared" si="4904"/>
        <v>0</v>
      </c>
      <c r="DU82" s="40">
        <f t="shared" si="4904"/>
        <v>0</v>
      </c>
      <c r="DV82" s="40">
        <f t="shared" si="4904"/>
        <v>0</v>
      </c>
      <c r="DW82" s="40">
        <f t="shared" si="4904"/>
        <v>0</v>
      </c>
      <c r="DX82" s="40">
        <f t="shared" si="4904"/>
        <v>0</v>
      </c>
      <c r="DY82" s="40">
        <f t="shared" si="4904"/>
        <v>0</v>
      </c>
      <c r="DZ82" s="40">
        <f t="shared" si="4904"/>
        <v>0</v>
      </c>
      <c r="EA82" s="40">
        <f t="shared" si="4904"/>
        <v>0</v>
      </c>
      <c r="EB82" s="40">
        <f t="shared" si="4904"/>
        <v>0</v>
      </c>
      <c r="EC82" s="40">
        <f t="shared" si="4904"/>
        <v>0</v>
      </c>
      <c r="ED82" s="40">
        <f t="shared" si="4904"/>
        <v>0</v>
      </c>
      <c r="EE82" s="40">
        <f t="shared" si="4904"/>
        <v>0</v>
      </c>
      <c r="EF82" s="40">
        <f t="shared" si="4904"/>
        <v>0</v>
      </c>
      <c r="EG82" s="40">
        <f t="shared" si="4904"/>
        <v>0</v>
      </c>
      <c r="EH82" s="40">
        <f t="shared" ref="EH82:GS82" si="4905">$D$82*EH$77</f>
        <v>0</v>
      </c>
      <c r="EI82" s="40">
        <f t="shared" si="4905"/>
        <v>0</v>
      </c>
      <c r="EJ82" s="40">
        <f t="shared" si="4905"/>
        <v>0</v>
      </c>
      <c r="EK82" s="40">
        <f t="shared" si="4905"/>
        <v>0</v>
      </c>
      <c r="EL82" s="40">
        <f t="shared" si="4905"/>
        <v>0</v>
      </c>
      <c r="EM82" s="40">
        <f t="shared" si="4905"/>
        <v>0</v>
      </c>
      <c r="EN82" s="40">
        <f t="shared" si="4905"/>
        <v>0</v>
      </c>
      <c r="EO82" s="40">
        <f t="shared" si="4905"/>
        <v>0</v>
      </c>
      <c r="EP82" s="40">
        <f t="shared" si="4905"/>
        <v>0</v>
      </c>
      <c r="EQ82" s="40">
        <f t="shared" si="4905"/>
        <v>0</v>
      </c>
      <c r="ER82" s="40">
        <f t="shared" si="4905"/>
        <v>0</v>
      </c>
      <c r="ES82" s="40">
        <f t="shared" si="4905"/>
        <v>0</v>
      </c>
      <c r="ET82" s="40">
        <f t="shared" si="4905"/>
        <v>0</v>
      </c>
      <c r="EU82" s="40">
        <f t="shared" si="4905"/>
        <v>0</v>
      </c>
      <c r="EV82" s="40">
        <f t="shared" si="4905"/>
        <v>0</v>
      </c>
      <c r="EW82" s="40">
        <f t="shared" si="4905"/>
        <v>0</v>
      </c>
      <c r="EX82" s="40">
        <f t="shared" si="4905"/>
        <v>0</v>
      </c>
      <c r="EY82" s="40">
        <f t="shared" si="4905"/>
        <v>0</v>
      </c>
      <c r="EZ82" s="40">
        <f t="shared" si="4905"/>
        <v>0</v>
      </c>
      <c r="FA82" s="40">
        <f t="shared" si="4905"/>
        <v>0</v>
      </c>
      <c r="FB82" s="40">
        <f t="shared" si="4905"/>
        <v>0</v>
      </c>
      <c r="FC82" s="40">
        <f t="shared" si="4905"/>
        <v>0</v>
      </c>
      <c r="FD82" s="40">
        <f t="shared" si="4905"/>
        <v>0</v>
      </c>
      <c r="FE82" s="40">
        <f t="shared" si="4905"/>
        <v>0</v>
      </c>
      <c r="FF82" s="40">
        <f t="shared" si="4905"/>
        <v>0</v>
      </c>
      <c r="FG82" s="40">
        <f t="shared" si="4905"/>
        <v>0</v>
      </c>
      <c r="FH82" s="40">
        <f t="shared" si="4905"/>
        <v>0</v>
      </c>
      <c r="FI82" s="40">
        <f t="shared" si="4905"/>
        <v>0</v>
      </c>
      <c r="FJ82" s="40">
        <f t="shared" si="4905"/>
        <v>0</v>
      </c>
      <c r="FK82" s="40">
        <f t="shared" si="4905"/>
        <v>0</v>
      </c>
      <c r="FL82" s="40">
        <f t="shared" si="4905"/>
        <v>0</v>
      </c>
      <c r="FM82" s="40">
        <f t="shared" si="4905"/>
        <v>0</v>
      </c>
      <c r="FN82" s="40">
        <f t="shared" si="4905"/>
        <v>0</v>
      </c>
      <c r="FO82" s="40">
        <f t="shared" si="4905"/>
        <v>0</v>
      </c>
      <c r="FP82" s="40">
        <f t="shared" si="4905"/>
        <v>0</v>
      </c>
      <c r="FQ82" s="40">
        <f t="shared" si="4905"/>
        <v>0</v>
      </c>
      <c r="FR82" s="40">
        <f t="shared" si="4905"/>
        <v>0</v>
      </c>
      <c r="FS82" s="40">
        <f t="shared" si="4905"/>
        <v>0</v>
      </c>
      <c r="FT82" s="40">
        <f t="shared" si="4905"/>
        <v>0</v>
      </c>
      <c r="FU82" s="40">
        <f t="shared" si="4905"/>
        <v>0</v>
      </c>
      <c r="FV82" s="40">
        <f t="shared" si="4905"/>
        <v>0</v>
      </c>
      <c r="FW82" s="40">
        <f t="shared" si="4905"/>
        <v>0</v>
      </c>
      <c r="FX82" s="40">
        <f t="shared" si="4905"/>
        <v>0</v>
      </c>
      <c r="FY82" s="40">
        <f t="shared" si="4905"/>
        <v>0</v>
      </c>
      <c r="FZ82" s="40">
        <f t="shared" si="4905"/>
        <v>0</v>
      </c>
      <c r="GA82" s="40">
        <f t="shared" si="4905"/>
        <v>0</v>
      </c>
      <c r="GB82" s="40">
        <f t="shared" si="4905"/>
        <v>0</v>
      </c>
      <c r="GC82" s="40">
        <f t="shared" si="4905"/>
        <v>0</v>
      </c>
      <c r="GD82" s="40">
        <f t="shared" si="4905"/>
        <v>0</v>
      </c>
      <c r="GE82" s="40">
        <f t="shared" si="4905"/>
        <v>0</v>
      </c>
      <c r="GF82" s="40">
        <f t="shared" ca="1" si="4905"/>
        <v>0</v>
      </c>
      <c r="GG82" s="40">
        <f t="shared" ca="1" si="4905"/>
        <v>0</v>
      </c>
      <c r="GH82" s="40">
        <f t="shared" ca="1" si="4905"/>
        <v>0</v>
      </c>
      <c r="GI82" s="40">
        <f t="shared" ca="1" si="4905"/>
        <v>0</v>
      </c>
      <c r="GJ82" s="40">
        <f t="shared" ca="1" si="4905"/>
        <v>0</v>
      </c>
      <c r="GK82" s="40">
        <f t="shared" ca="1" si="4905"/>
        <v>0</v>
      </c>
      <c r="GL82" s="40">
        <f t="shared" ca="1" si="4905"/>
        <v>0</v>
      </c>
      <c r="GM82" s="40">
        <f t="shared" ca="1" si="4905"/>
        <v>0</v>
      </c>
      <c r="GN82" s="40">
        <f t="shared" ca="1" si="4905"/>
        <v>0</v>
      </c>
      <c r="GO82" s="40">
        <f t="shared" ca="1" si="4905"/>
        <v>0</v>
      </c>
      <c r="GP82" s="40">
        <f t="shared" ca="1" si="4905"/>
        <v>0</v>
      </c>
      <c r="GQ82" s="40">
        <f t="shared" ca="1" si="4905"/>
        <v>0</v>
      </c>
      <c r="GR82" s="40">
        <f t="shared" ca="1" si="4905"/>
        <v>0</v>
      </c>
      <c r="GS82" s="40">
        <f t="shared" ca="1" si="4905"/>
        <v>0</v>
      </c>
      <c r="GT82" s="40">
        <f t="shared" ref="GT82:JE82" ca="1" si="4906">$D$82*GT$77</f>
        <v>0</v>
      </c>
      <c r="GU82" s="40">
        <f t="shared" ca="1" si="4906"/>
        <v>0</v>
      </c>
      <c r="GV82" s="40">
        <f t="shared" ca="1" si="4906"/>
        <v>0</v>
      </c>
      <c r="GW82" s="40">
        <f t="shared" ca="1" si="4906"/>
        <v>0</v>
      </c>
      <c r="GX82" s="40">
        <f t="shared" ca="1" si="4906"/>
        <v>0</v>
      </c>
      <c r="GY82" s="40">
        <f t="shared" ca="1" si="4906"/>
        <v>0</v>
      </c>
      <c r="GZ82" s="40">
        <f t="shared" ca="1" si="4906"/>
        <v>0</v>
      </c>
      <c r="HA82" s="40">
        <f t="shared" ca="1" si="4906"/>
        <v>0</v>
      </c>
      <c r="HB82" s="40">
        <f t="shared" ca="1" si="4906"/>
        <v>0</v>
      </c>
      <c r="HC82" s="40">
        <f t="shared" ca="1" si="4906"/>
        <v>0</v>
      </c>
      <c r="HD82" s="40">
        <f t="shared" ca="1" si="4906"/>
        <v>0</v>
      </c>
      <c r="HE82" s="40">
        <f t="shared" ca="1" si="4906"/>
        <v>0</v>
      </c>
      <c r="HF82" s="40">
        <f t="shared" ca="1" si="4906"/>
        <v>0</v>
      </c>
      <c r="HG82" s="40">
        <f t="shared" ca="1" si="4906"/>
        <v>0</v>
      </c>
      <c r="HH82" s="40">
        <f t="shared" ca="1" si="4906"/>
        <v>0</v>
      </c>
      <c r="HI82" s="40">
        <f t="shared" ca="1" si="4906"/>
        <v>0</v>
      </c>
      <c r="HJ82" s="40">
        <f t="shared" ca="1" si="4906"/>
        <v>0</v>
      </c>
      <c r="HK82" s="40">
        <f t="shared" ca="1" si="4906"/>
        <v>0</v>
      </c>
      <c r="HL82" s="40">
        <f t="shared" ca="1" si="4906"/>
        <v>0</v>
      </c>
      <c r="HM82" s="40">
        <f t="shared" ca="1" si="4906"/>
        <v>0</v>
      </c>
      <c r="HN82" s="40">
        <f t="shared" ca="1" si="4906"/>
        <v>0</v>
      </c>
      <c r="HO82" s="40">
        <f t="shared" ca="1" si="4906"/>
        <v>0</v>
      </c>
      <c r="HP82" s="40">
        <f t="shared" ca="1" si="4906"/>
        <v>0</v>
      </c>
      <c r="HQ82" s="40">
        <f t="shared" ca="1" si="4906"/>
        <v>0</v>
      </c>
      <c r="HR82" s="40">
        <f t="shared" ca="1" si="4906"/>
        <v>0</v>
      </c>
      <c r="HS82" s="40">
        <f t="shared" ca="1" si="4906"/>
        <v>0</v>
      </c>
      <c r="HT82" s="40">
        <f t="shared" ca="1" si="4906"/>
        <v>0</v>
      </c>
      <c r="HU82" s="40">
        <f t="shared" ca="1" si="4906"/>
        <v>0</v>
      </c>
      <c r="HV82" s="40">
        <f t="shared" ca="1" si="4906"/>
        <v>0</v>
      </c>
      <c r="HW82" s="40">
        <f t="shared" ca="1" si="4906"/>
        <v>0</v>
      </c>
      <c r="HX82" s="40">
        <f t="shared" ca="1" si="4906"/>
        <v>0</v>
      </c>
      <c r="HY82" s="40">
        <f t="shared" ca="1" si="4906"/>
        <v>0</v>
      </c>
      <c r="HZ82" s="40">
        <f t="shared" ca="1" si="4906"/>
        <v>0</v>
      </c>
      <c r="IA82" s="40">
        <f t="shared" ca="1" si="4906"/>
        <v>0</v>
      </c>
      <c r="IB82" s="40">
        <f t="shared" ca="1" si="4906"/>
        <v>0</v>
      </c>
      <c r="IC82" s="40">
        <f t="shared" ca="1" si="4906"/>
        <v>0</v>
      </c>
      <c r="ID82" s="40">
        <f t="shared" ca="1" si="4906"/>
        <v>0</v>
      </c>
      <c r="IE82" s="40">
        <f t="shared" ca="1" si="4906"/>
        <v>0</v>
      </c>
      <c r="IF82" s="40">
        <f t="shared" ca="1" si="4906"/>
        <v>0</v>
      </c>
      <c r="IG82" s="40">
        <f t="shared" ca="1" si="4906"/>
        <v>0</v>
      </c>
      <c r="IH82" s="40">
        <f t="shared" ca="1" si="4906"/>
        <v>0</v>
      </c>
      <c r="II82" s="40">
        <f t="shared" ca="1" si="4906"/>
        <v>0</v>
      </c>
      <c r="IJ82" s="40">
        <f t="shared" ca="1" si="4906"/>
        <v>0</v>
      </c>
      <c r="IK82" s="40">
        <f t="shared" ca="1" si="4906"/>
        <v>0</v>
      </c>
      <c r="IL82" s="40">
        <f t="shared" ca="1" si="4906"/>
        <v>0</v>
      </c>
      <c r="IM82" s="40">
        <f t="shared" ca="1" si="4906"/>
        <v>0</v>
      </c>
      <c r="IN82" s="40">
        <f t="shared" ca="1" si="4906"/>
        <v>0</v>
      </c>
      <c r="IO82" s="40">
        <f t="shared" ca="1" si="4906"/>
        <v>0</v>
      </c>
      <c r="IP82" s="40">
        <f t="shared" ca="1" si="4906"/>
        <v>0</v>
      </c>
      <c r="IQ82" s="40">
        <f t="shared" ca="1" si="4906"/>
        <v>0</v>
      </c>
      <c r="IR82" s="40">
        <f t="shared" ca="1" si="4906"/>
        <v>0</v>
      </c>
      <c r="IS82" s="40">
        <f t="shared" ca="1" si="4906"/>
        <v>0</v>
      </c>
      <c r="IT82" s="40">
        <f t="shared" ca="1" si="4906"/>
        <v>0</v>
      </c>
      <c r="IU82" s="40">
        <f t="shared" ca="1" si="4906"/>
        <v>0</v>
      </c>
      <c r="IV82" s="40">
        <f t="shared" ca="1" si="4906"/>
        <v>0</v>
      </c>
      <c r="IW82" s="40">
        <f t="shared" ca="1" si="4906"/>
        <v>0</v>
      </c>
      <c r="IX82" s="40">
        <f t="shared" ca="1" si="4906"/>
        <v>0</v>
      </c>
      <c r="IY82" s="40">
        <f t="shared" ca="1" si="4906"/>
        <v>0</v>
      </c>
      <c r="IZ82" s="40">
        <f t="shared" ca="1" si="4906"/>
        <v>0</v>
      </c>
      <c r="JA82" s="40">
        <f t="shared" ca="1" si="4906"/>
        <v>0</v>
      </c>
      <c r="JB82" s="40">
        <f t="shared" ca="1" si="4906"/>
        <v>0</v>
      </c>
      <c r="JC82" s="40">
        <f t="shared" ca="1" si="4906"/>
        <v>0</v>
      </c>
      <c r="JD82" s="40">
        <f t="shared" ca="1" si="4906"/>
        <v>0</v>
      </c>
      <c r="JE82" s="40">
        <f t="shared" ca="1" si="4906"/>
        <v>0</v>
      </c>
      <c r="JF82" s="40">
        <f t="shared" ref="JF82:LQ82" ca="1" si="4907">$D$82*JF$77</f>
        <v>0</v>
      </c>
      <c r="JG82" s="40">
        <f t="shared" ca="1" si="4907"/>
        <v>0</v>
      </c>
      <c r="JH82" s="40">
        <f t="shared" ca="1" si="4907"/>
        <v>0</v>
      </c>
      <c r="JI82" s="40">
        <f t="shared" ca="1" si="4907"/>
        <v>0</v>
      </c>
      <c r="JJ82" s="40">
        <f t="shared" ca="1" si="4907"/>
        <v>0</v>
      </c>
      <c r="JK82" s="40">
        <f t="shared" ca="1" si="4907"/>
        <v>0</v>
      </c>
      <c r="JL82" s="40">
        <f t="shared" ca="1" si="4907"/>
        <v>0</v>
      </c>
      <c r="JM82" s="40">
        <f t="shared" ca="1" si="4907"/>
        <v>0</v>
      </c>
      <c r="JN82" s="40">
        <f t="shared" ca="1" si="4907"/>
        <v>0</v>
      </c>
      <c r="JO82" s="40">
        <f t="shared" ca="1" si="4907"/>
        <v>0</v>
      </c>
      <c r="JP82" s="40">
        <f t="shared" ca="1" si="4907"/>
        <v>0</v>
      </c>
      <c r="JQ82" s="40">
        <f t="shared" ca="1" si="4907"/>
        <v>0</v>
      </c>
      <c r="JR82" s="40">
        <f t="shared" ca="1" si="4907"/>
        <v>0</v>
      </c>
      <c r="JS82" s="40">
        <f t="shared" ca="1" si="4907"/>
        <v>0</v>
      </c>
      <c r="JT82" s="40">
        <f t="shared" ca="1" si="4907"/>
        <v>0</v>
      </c>
      <c r="JU82" s="40">
        <f t="shared" ca="1" si="4907"/>
        <v>0</v>
      </c>
      <c r="JV82" s="40">
        <f t="shared" ca="1" si="4907"/>
        <v>0</v>
      </c>
      <c r="JW82" s="40">
        <f t="shared" ca="1" si="4907"/>
        <v>0</v>
      </c>
      <c r="JX82" s="40">
        <f t="shared" ca="1" si="4907"/>
        <v>0</v>
      </c>
      <c r="JY82" s="40">
        <f t="shared" ca="1" si="4907"/>
        <v>0</v>
      </c>
      <c r="JZ82" s="40">
        <f t="shared" ca="1" si="4907"/>
        <v>0</v>
      </c>
      <c r="KA82" s="40">
        <f t="shared" ca="1" si="4907"/>
        <v>0</v>
      </c>
      <c r="KB82" s="40">
        <f t="shared" ca="1" si="4907"/>
        <v>0</v>
      </c>
      <c r="KC82" s="40">
        <f t="shared" ca="1" si="4907"/>
        <v>0</v>
      </c>
      <c r="KD82" s="40">
        <f t="shared" ca="1" si="4907"/>
        <v>0</v>
      </c>
      <c r="KE82" s="40">
        <f t="shared" ca="1" si="4907"/>
        <v>0</v>
      </c>
      <c r="KF82" s="40">
        <f t="shared" ca="1" si="4907"/>
        <v>0</v>
      </c>
      <c r="KG82" s="40">
        <f t="shared" ca="1" si="4907"/>
        <v>0</v>
      </c>
      <c r="KH82" s="40">
        <f t="shared" ca="1" si="4907"/>
        <v>0</v>
      </c>
      <c r="KI82" s="40">
        <f t="shared" ca="1" si="4907"/>
        <v>0</v>
      </c>
      <c r="KJ82" s="40">
        <f t="shared" ca="1" si="4907"/>
        <v>0</v>
      </c>
      <c r="KK82" s="40">
        <f t="shared" ca="1" si="4907"/>
        <v>0</v>
      </c>
      <c r="KL82" s="40">
        <f t="shared" ca="1" si="4907"/>
        <v>0</v>
      </c>
      <c r="KM82" s="40">
        <f t="shared" ca="1" si="4907"/>
        <v>0</v>
      </c>
      <c r="KN82" s="40">
        <f t="shared" ca="1" si="4907"/>
        <v>0</v>
      </c>
      <c r="KO82" s="40">
        <f t="shared" ca="1" si="4907"/>
        <v>0</v>
      </c>
      <c r="KP82" s="40">
        <f t="shared" ca="1" si="4907"/>
        <v>0</v>
      </c>
      <c r="KQ82" s="40">
        <f t="shared" ca="1" si="4907"/>
        <v>0</v>
      </c>
      <c r="KR82" s="40">
        <f t="shared" ca="1" si="4907"/>
        <v>0</v>
      </c>
      <c r="KS82" s="40">
        <f t="shared" ca="1" si="4907"/>
        <v>0</v>
      </c>
      <c r="KT82" s="40">
        <f t="shared" ca="1" si="4907"/>
        <v>0</v>
      </c>
      <c r="KU82" s="40">
        <f t="shared" ca="1" si="4907"/>
        <v>0</v>
      </c>
      <c r="KV82" s="40">
        <f t="shared" ca="1" si="4907"/>
        <v>0</v>
      </c>
      <c r="KW82" s="40">
        <f t="shared" ca="1" si="4907"/>
        <v>0</v>
      </c>
      <c r="KX82" s="40">
        <f t="shared" ca="1" si="4907"/>
        <v>0</v>
      </c>
      <c r="KY82" s="40">
        <f t="shared" ca="1" si="4907"/>
        <v>0</v>
      </c>
      <c r="KZ82" s="40">
        <f t="shared" ca="1" si="4907"/>
        <v>0</v>
      </c>
      <c r="LA82" s="40">
        <f t="shared" ca="1" si="4907"/>
        <v>0</v>
      </c>
      <c r="LB82" s="40">
        <f t="shared" ca="1" si="4907"/>
        <v>0</v>
      </c>
      <c r="LC82" s="40">
        <f t="shared" ca="1" si="4907"/>
        <v>0</v>
      </c>
      <c r="LD82" s="40">
        <f t="shared" ca="1" si="4907"/>
        <v>0</v>
      </c>
      <c r="LE82" s="40">
        <f t="shared" ca="1" si="4907"/>
        <v>0</v>
      </c>
      <c r="LF82" s="40">
        <f t="shared" ca="1" si="4907"/>
        <v>0</v>
      </c>
      <c r="LG82" s="40">
        <f t="shared" ca="1" si="4907"/>
        <v>0</v>
      </c>
      <c r="LH82" s="40">
        <f t="shared" ca="1" si="4907"/>
        <v>0</v>
      </c>
      <c r="LI82" s="40">
        <f t="shared" ca="1" si="4907"/>
        <v>0</v>
      </c>
      <c r="LJ82" s="40">
        <f t="shared" ca="1" si="4907"/>
        <v>0</v>
      </c>
      <c r="LK82" s="40">
        <f t="shared" ca="1" si="4907"/>
        <v>0</v>
      </c>
      <c r="LL82" s="40">
        <f t="shared" ca="1" si="4907"/>
        <v>0</v>
      </c>
      <c r="LM82" s="40">
        <f t="shared" ca="1" si="4907"/>
        <v>0</v>
      </c>
      <c r="LN82" s="40">
        <f t="shared" ca="1" si="4907"/>
        <v>0</v>
      </c>
      <c r="LO82" s="40">
        <f t="shared" ca="1" si="4907"/>
        <v>0</v>
      </c>
      <c r="LP82" s="40">
        <f t="shared" ca="1" si="4907"/>
        <v>0</v>
      </c>
      <c r="LQ82" s="40">
        <f t="shared" ca="1" si="4907"/>
        <v>0</v>
      </c>
      <c r="LR82" s="40">
        <f t="shared" ref="LR82:ND82" ca="1" si="4908">$D$82*LR$77</f>
        <v>0</v>
      </c>
      <c r="LS82" s="40">
        <f t="shared" ca="1" si="4908"/>
        <v>0</v>
      </c>
      <c r="LT82" s="40">
        <f t="shared" ca="1" si="4908"/>
        <v>0</v>
      </c>
      <c r="LU82" s="40">
        <f t="shared" ca="1" si="4908"/>
        <v>0</v>
      </c>
      <c r="LV82" s="40">
        <f t="shared" ca="1" si="4908"/>
        <v>0</v>
      </c>
      <c r="LW82" s="40">
        <f t="shared" ca="1" si="4908"/>
        <v>0</v>
      </c>
      <c r="LX82" s="40">
        <f t="shared" ca="1" si="4908"/>
        <v>0</v>
      </c>
      <c r="LY82" s="40">
        <f t="shared" ca="1" si="4908"/>
        <v>0</v>
      </c>
      <c r="LZ82" s="40">
        <f t="shared" ca="1" si="4908"/>
        <v>0</v>
      </c>
      <c r="MA82" s="40">
        <f t="shared" ca="1" si="4908"/>
        <v>0</v>
      </c>
      <c r="MB82" s="40">
        <f t="shared" ca="1" si="4908"/>
        <v>0</v>
      </c>
      <c r="MC82" s="40">
        <f t="shared" ca="1" si="4908"/>
        <v>0</v>
      </c>
      <c r="MD82" s="40">
        <f t="shared" ca="1" si="4908"/>
        <v>0</v>
      </c>
      <c r="ME82" s="40">
        <f t="shared" ca="1" si="4908"/>
        <v>0</v>
      </c>
      <c r="MF82" s="40">
        <f t="shared" ca="1" si="4908"/>
        <v>0</v>
      </c>
      <c r="MG82" s="40">
        <f t="shared" ca="1" si="4908"/>
        <v>0</v>
      </c>
      <c r="MH82" s="40">
        <f t="shared" ca="1" si="4908"/>
        <v>0</v>
      </c>
      <c r="MI82" s="40">
        <f t="shared" ca="1" si="4908"/>
        <v>0</v>
      </c>
      <c r="MJ82" s="40">
        <f t="shared" ca="1" si="4908"/>
        <v>0</v>
      </c>
      <c r="MK82" s="40">
        <f t="shared" ca="1" si="4908"/>
        <v>0</v>
      </c>
      <c r="ML82" s="40">
        <f t="shared" ca="1" si="4908"/>
        <v>0</v>
      </c>
      <c r="MM82" s="40">
        <f t="shared" ca="1" si="4908"/>
        <v>0</v>
      </c>
      <c r="MN82" s="40">
        <f t="shared" ca="1" si="4908"/>
        <v>0</v>
      </c>
      <c r="MO82" s="40">
        <f t="shared" ca="1" si="4908"/>
        <v>0</v>
      </c>
      <c r="MP82" s="40">
        <f t="shared" ca="1" si="4908"/>
        <v>0</v>
      </c>
      <c r="MQ82" s="40">
        <f t="shared" ca="1" si="4908"/>
        <v>0</v>
      </c>
      <c r="MR82" s="40">
        <f t="shared" ca="1" si="4908"/>
        <v>0</v>
      </c>
      <c r="MS82" s="40">
        <f t="shared" ca="1" si="4908"/>
        <v>0</v>
      </c>
      <c r="MT82" s="40">
        <f t="shared" ca="1" si="4908"/>
        <v>0</v>
      </c>
      <c r="MU82" s="40">
        <f t="shared" ca="1" si="4908"/>
        <v>0</v>
      </c>
      <c r="MV82" s="40">
        <f t="shared" ca="1" si="4908"/>
        <v>0</v>
      </c>
      <c r="MW82" s="40">
        <f t="shared" ca="1" si="4908"/>
        <v>0</v>
      </c>
      <c r="MX82" s="40">
        <f t="shared" ca="1" si="4908"/>
        <v>0</v>
      </c>
      <c r="MY82" s="40">
        <f t="shared" ca="1" si="4908"/>
        <v>0</v>
      </c>
      <c r="MZ82" s="40">
        <f t="shared" ca="1" si="4908"/>
        <v>0</v>
      </c>
      <c r="NA82" s="40">
        <f t="shared" ca="1" si="4908"/>
        <v>0</v>
      </c>
      <c r="NB82" s="40">
        <f t="shared" ca="1" si="4908"/>
        <v>0</v>
      </c>
      <c r="NC82" s="40">
        <f t="shared" ca="1" si="4908"/>
        <v>0</v>
      </c>
      <c r="ND82" s="40">
        <f t="shared" ca="1" si="4908"/>
        <v>0</v>
      </c>
      <c r="NE82" s="40"/>
      <c r="NF82" s="40"/>
      <c r="NG82" s="40"/>
      <c r="NH82" s="40"/>
      <c r="NI82" s="40"/>
      <c r="NJ82" s="40"/>
      <c r="NK82" s="40"/>
      <c r="NL82" s="40"/>
      <c r="NM82" s="40"/>
      <c r="NN82" s="40"/>
      <c r="NO82" s="40"/>
      <c r="NP82" s="40"/>
      <c r="NQ82" s="40"/>
      <c r="NR82" s="40"/>
    </row>
    <row r="83" spans="2:382" x14ac:dyDescent="0.15">
      <c r="B83" s="519"/>
      <c r="C83" t="s">
        <v>175</v>
      </c>
      <c r="G83" s="118"/>
      <c r="I83" s="40">
        <f>MAX(I70,I75)</f>
        <v>0</v>
      </c>
      <c r="J83" s="40">
        <f t="shared" ref="J83" si="4909">MAX(J70,J75)</f>
        <v>0</v>
      </c>
      <c r="K83" s="40">
        <f t="shared" ref="K83:BV83" si="4910">MAX(K70,K75)</f>
        <v>0</v>
      </c>
      <c r="L83" s="40">
        <f t="shared" si="4910"/>
        <v>0</v>
      </c>
      <c r="M83" s="40">
        <f t="shared" si="4910"/>
        <v>0</v>
      </c>
      <c r="N83" s="40">
        <f t="shared" si="4910"/>
        <v>0</v>
      </c>
      <c r="O83" s="40">
        <f t="shared" si="4910"/>
        <v>0</v>
      </c>
      <c r="P83" s="40">
        <f t="shared" si="4910"/>
        <v>0</v>
      </c>
      <c r="Q83" s="40">
        <f t="shared" si="4910"/>
        <v>0</v>
      </c>
      <c r="R83" s="40">
        <f t="shared" si="4910"/>
        <v>0</v>
      </c>
      <c r="S83" s="40">
        <f t="shared" si="4910"/>
        <v>0</v>
      </c>
      <c r="T83" s="40">
        <f t="shared" si="4910"/>
        <v>0</v>
      </c>
      <c r="U83" s="40">
        <f t="shared" si="4910"/>
        <v>0</v>
      </c>
      <c r="V83" s="40">
        <f t="shared" si="4910"/>
        <v>0</v>
      </c>
      <c r="W83" s="40">
        <f t="shared" si="4910"/>
        <v>0</v>
      </c>
      <c r="X83" s="40">
        <f t="shared" si="4910"/>
        <v>0</v>
      </c>
      <c r="Y83" s="40">
        <f t="shared" si="4910"/>
        <v>0</v>
      </c>
      <c r="Z83" s="40">
        <f t="shared" si="4910"/>
        <v>0</v>
      </c>
      <c r="AA83" s="40">
        <f t="shared" si="4910"/>
        <v>0</v>
      </c>
      <c r="AB83" s="40">
        <f t="shared" si="4910"/>
        <v>0</v>
      </c>
      <c r="AC83" s="40">
        <f t="shared" si="4910"/>
        <v>0</v>
      </c>
      <c r="AD83" s="40">
        <f t="shared" si="4910"/>
        <v>0</v>
      </c>
      <c r="AE83" s="40">
        <f t="shared" si="4910"/>
        <v>0</v>
      </c>
      <c r="AF83" s="40">
        <f t="shared" si="4910"/>
        <v>0</v>
      </c>
      <c r="AG83" s="40">
        <f t="shared" si="4910"/>
        <v>0</v>
      </c>
      <c r="AH83" s="40">
        <f t="shared" si="4910"/>
        <v>0</v>
      </c>
      <c r="AI83" s="40">
        <f t="shared" si="4910"/>
        <v>0</v>
      </c>
      <c r="AJ83" s="40">
        <f t="shared" si="4910"/>
        <v>0</v>
      </c>
      <c r="AK83" s="40">
        <f t="shared" si="4910"/>
        <v>0</v>
      </c>
      <c r="AL83" s="40">
        <f t="shared" si="4910"/>
        <v>0</v>
      </c>
      <c r="AM83" s="40">
        <f t="shared" si="4910"/>
        <v>0</v>
      </c>
      <c r="AN83" s="40">
        <f t="shared" si="4910"/>
        <v>0</v>
      </c>
      <c r="AO83" s="40">
        <f t="shared" si="4910"/>
        <v>0</v>
      </c>
      <c r="AP83" s="40">
        <f t="shared" si="4910"/>
        <v>0</v>
      </c>
      <c r="AQ83" s="40">
        <f t="shared" si="4910"/>
        <v>0</v>
      </c>
      <c r="AR83" s="40">
        <f t="shared" si="4910"/>
        <v>0</v>
      </c>
      <c r="AS83" s="40">
        <f t="shared" si="4910"/>
        <v>0</v>
      </c>
      <c r="AT83" s="40">
        <f t="shared" si="4910"/>
        <v>0</v>
      </c>
      <c r="AU83" s="40">
        <f t="shared" si="4910"/>
        <v>0</v>
      </c>
      <c r="AV83" s="40">
        <f t="shared" si="4910"/>
        <v>0</v>
      </c>
      <c r="AW83" s="40">
        <f t="shared" si="4910"/>
        <v>0</v>
      </c>
      <c r="AX83" s="40">
        <f t="shared" si="4910"/>
        <v>0</v>
      </c>
      <c r="AY83" s="40">
        <f t="shared" si="4910"/>
        <v>0</v>
      </c>
      <c r="AZ83" s="40">
        <f t="shared" si="4910"/>
        <v>0</v>
      </c>
      <c r="BA83" s="40">
        <f t="shared" si="4910"/>
        <v>0</v>
      </c>
      <c r="BB83" s="40">
        <f t="shared" si="4910"/>
        <v>0</v>
      </c>
      <c r="BC83" s="40">
        <f t="shared" si="4910"/>
        <v>0</v>
      </c>
      <c r="BD83" s="40">
        <f t="shared" si="4910"/>
        <v>0</v>
      </c>
      <c r="BE83" s="40">
        <f t="shared" si="4910"/>
        <v>0</v>
      </c>
      <c r="BF83" s="40">
        <f t="shared" si="4910"/>
        <v>0</v>
      </c>
      <c r="BG83" s="40">
        <f t="shared" si="4910"/>
        <v>0</v>
      </c>
      <c r="BH83" s="40">
        <f t="shared" si="4910"/>
        <v>0</v>
      </c>
      <c r="BI83" s="40">
        <f t="shared" si="4910"/>
        <v>0</v>
      </c>
      <c r="BJ83" s="40">
        <f t="shared" si="4910"/>
        <v>0</v>
      </c>
      <c r="BK83" s="40">
        <f t="shared" si="4910"/>
        <v>0</v>
      </c>
      <c r="BL83" s="40">
        <f t="shared" si="4910"/>
        <v>0</v>
      </c>
      <c r="BM83" s="40">
        <f t="shared" si="4910"/>
        <v>0</v>
      </c>
      <c r="BN83" s="40">
        <f t="shared" si="4910"/>
        <v>0</v>
      </c>
      <c r="BO83" s="40">
        <f t="shared" si="4910"/>
        <v>0</v>
      </c>
      <c r="BP83" s="40">
        <f t="shared" si="4910"/>
        <v>0</v>
      </c>
      <c r="BQ83" s="40">
        <f t="shared" si="4910"/>
        <v>0</v>
      </c>
      <c r="BR83" s="40">
        <f t="shared" si="4910"/>
        <v>0</v>
      </c>
      <c r="BS83" s="40">
        <f t="shared" si="4910"/>
        <v>0</v>
      </c>
      <c r="BT83" s="40">
        <f t="shared" si="4910"/>
        <v>0</v>
      </c>
      <c r="BU83" s="40">
        <f t="shared" si="4910"/>
        <v>0</v>
      </c>
      <c r="BV83" s="40">
        <f t="shared" si="4910"/>
        <v>0</v>
      </c>
      <c r="BW83" s="40">
        <f t="shared" ref="BW83:EH83" si="4911">MAX(BW70,BW75)</f>
        <v>0</v>
      </c>
      <c r="BX83" s="40">
        <f t="shared" si="4911"/>
        <v>0</v>
      </c>
      <c r="BY83" s="40">
        <f t="shared" si="4911"/>
        <v>0</v>
      </c>
      <c r="BZ83" s="40">
        <f t="shared" si="4911"/>
        <v>0</v>
      </c>
      <c r="CA83" s="40">
        <f t="shared" si="4911"/>
        <v>0</v>
      </c>
      <c r="CB83" s="40">
        <f t="shared" si="4911"/>
        <v>0</v>
      </c>
      <c r="CC83" s="40">
        <f t="shared" si="4911"/>
        <v>0</v>
      </c>
      <c r="CD83" s="40">
        <f t="shared" si="4911"/>
        <v>0</v>
      </c>
      <c r="CE83" s="40">
        <f t="shared" si="4911"/>
        <v>0</v>
      </c>
      <c r="CF83" s="40">
        <f t="shared" si="4911"/>
        <v>0</v>
      </c>
      <c r="CG83" s="40">
        <f t="shared" si="4911"/>
        <v>0</v>
      </c>
      <c r="CH83" s="40">
        <f t="shared" si="4911"/>
        <v>0</v>
      </c>
      <c r="CI83" s="40">
        <f t="shared" si="4911"/>
        <v>0</v>
      </c>
      <c r="CJ83" s="40">
        <f t="shared" si="4911"/>
        <v>0</v>
      </c>
      <c r="CK83" s="40">
        <f t="shared" si="4911"/>
        <v>0</v>
      </c>
      <c r="CL83" s="40">
        <f t="shared" si="4911"/>
        <v>0</v>
      </c>
      <c r="CM83" s="40">
        <f t="shared" si="4911"/>
        <v>0</v>
      </c>
      <c r="CN83" s="40">
        <f t="shared" si="4911"/>
        <v>0</v>
      </c>
      <c r="CO83" s="40">
        <f t="shared" si="4911"/>
        <v>0</v>
      </c>
      <c r="CP83" s="40">
        <f t="shared" si="4911"/>
        <v>0</v>
      </c>
      <c r="CQ83" s="40">
        <f t="shared" si="4911"/>
        <v>0</v>
      </c>
      <c r="CR83" s="40">
        <f t="shared" si="4911"/>
        <v>0</v>
      </c>
      <c r="CS83" s="40">
        <f t="shared" si="4911"/>
        <v>0</v>
      </c>
      <c r="CT83" s="40">
        <f t="shared" si="4911"/>
        <v>0</v>
      </c>
      <c r="CU83" s="40">
        <f t="shared" si="4911"/>
        <v>0</v>
      </c>
      <c r="CV83" s="40">
        <f t="shared" si="4911"/>
        <v>0</v>
      </c>
      <c r="CW83" s="40">
        <f t="shared" si="4911"/>
        <v>0</v>
      </c>
      <c r="CX83" s="40">
        <f t="shared" si="4911"/>
        <v>0</v>
      </c>
      <c r="CY83" s="40">
        <f t="shared" si="4911"/>
        <v>0</v>
      </c>
      <c r="CZ83" s="40">
        <f t="shared" si="4911"/>
        <v>0</v>
      </c>
      <c r="DA83" s="40">
        <f t="shared" si="4911"/>
        <v>0</v>
      </c>
      <c r="DB83" s="40">
        <f t="shared" si="4911"/>
        <v>0</v>
      </c>
      <c r="DC83" s="40">
        <f t="shared" si="4911"/>
        <v>0</v>
      </c>
      <c r="DD83" s="40">
        <f t="shared" si="4911"/>
        <v>0</v>
      </c>
      <c r="DE83" s="40">
        <f t="shared" si="4911"/>
        <v>0</v>
      </c>
      <c r="DF83" s="40">
        <f t="shared" si="4911"/>
        <v>0</v>
      </c>
      <c r="DG83" s="40">
        <f t="shared" si="4911"/>
        <v>0</v>
      </c>
      <c r="DH83" s="40">
        <f t="shared" si="4911"/>
        <v>0</v>
      </c>
      <c r="DI83" s="40">
        <f t="shared" si="4911"/>
        <v>0</v>
      </c>
      <c r="DJ83" s="40">
        <f t="shared" si="4911"/>
        <v>0</v>
      </c>
      <c r="DK83" s="40">
        <f t="shared" si="4911"/>
        <v>0</v>
      </c>
      <c r="DL83" s="40">
        <f t="shared" si="4911"/>
        <v>0</v>
      </c>
      <c r="DM83" s="40">
        <f t="shared" si="4911"/>
        <v>0</v>
      </c>
      <c r="DN83" s="40">
        <f t="shared" si="4911"/>
        <v>0</v>
      </c>
      <c r="DO83" s="40">
        <f t="shared" si="4911"/>
        <v>0</v>
      </c>
      <c r="DP83" s="40">
        <f t="shared" si="4911"/>
        <v>0</v>
      </c>
      <c r="DQ83" s="40">
        <f t="shared" si="4911"/>
        <v>0</v>
      </c>
      <c r="DR83" s="40">
        <f t="shared" si="4911"/>
        <v>0</v>
      </c>
      <c r="DS83" s="40">
        <f t="shared" si="4911"/>
        <v>0</v>
      </c>
      <c r="DT83" s="40">
        <f t="shared" si="4911"/>
        <v>0</v>
      </c>
      <c r="DU83" s="40">
        <f t="shared" si="4911"/>
        <v>0</v>
      </c>
      <c r="DV83" s="40">
        <f t="shared" si="4911"/>
        <v>0</v>
      </c>
      <c r="DW83" s="40">
        <f t="shared" si="4911"/>
        <v>0</v>
      </c>
      <c r="DX83" s="40">
        <f t="shared" si="4911"/>
        <v>0</v>
      </c>
      <c r="DY83" s="40">
        <f t="shared" si="4911"/>
        <v>0</v>
      </c>
      <c r="DZ83" s="40">
        <f t="shared" si="4911"/>
        <v>0</v>
      </c>
      <c r="EA83" s="40">
        <f t="shared" si="4911"/>
        <v>0</v>
      </c>
      <c r="EB83" s="40">
        <f t="shared" si="4911"/>
        <v>0</v>
      </c>
      <c r="EC83" s="40">
        <f t="shared" si="4911"/>
        <v>0</v>
      </c>
      <c r="ED83" s="40">
        <f t="shared" si="4911"/>
        <v>0</v>
      </c>
      <c r="EE83" s="40">
        <f t="shared" si="4911"/>
        <v>0</v>
      </c>
      <c r="EF83" s="40">
        <f t="shared" si="4911"/>
        <v>0</v>
      </c>
      <c r="EG83" s="40">
        <f t="shared" si="4911"/>
        <v>0</v>
      </c>
      <c r="EH83" s="40">
        <f t="shared" si="4911"/>
        <v>0</v>
      </c>
      <c r="EI83" s="40">
        <f t="shared" ref="EI83:GT83" si="4912">MAX(EI70,EI75)</f>
        <v>0</v>
      </c>
      <c r="EJ83" s="40">
        <f t="shared" si="4912"/>
        <v>0</v>
      </c>
      <c r="EK83" s="40">
        <f t="shared" si="4912"/>
        <v>0</v>
      </c>
      <c r="EL83" s="40">
        <f t="shared" si="4912"/>
        <v>0</v>
      </c>
      <c r="EM83" s="40">
        <f t="shared" si="4912"/>
        <v>0</v>
      </c>
      <c r="EN83" s="40">
        <f t="shared" si="4912"/>
        <v>0</v>
      </c>
      <c r="EO83" s="40">
        <f t="shared" si="4912"/>
        <v>0</v>
      </c>
      <c r="EP83" s="40">
        <f t="shared" si="4912"/>
        <v>0</v>
      </c>
      <c r="EQ83" s="40">
        <f t="shared" si="4912"/>
        <v>0</v>
      </c>
      <c r="ER83" s="40">
        <f t="shared" si="4912"/>
        <v>0</v>
      </c>
      <c r="ES83" s="40">
        <f t="shared" si="4912"/>
        <v>0</v>
      </c>
      <c r="ET83" s="40">
        <f t="shared" si="4912"/>
        <v>0</v>
      </c>
      <c r="EU83" s="40">
        <f t="shared" si="4912"/>
        <v>0</v>
      </c>
      <c r="EV83" s="40">
        <f t="shared" si="4912"/>
        <v>0</v>
      </c>
      <c r="EW83" s="40">
        <f t="shared" si="4912"/>
        <v>0</v>
      </c>
      <c r="EX83" s="40">
        <f t="shared" si="4912"/>
        <v>0</v>
      </c>
      <c r="EY83" s="40">
        <f t="shared" si="4912"/>
        <v>0</v>
      </c>
      <c r="EZ83" s="40">
        <f t="shared" si="4912"/>
        <v>0</v>
      </c>
      <c r="FA83" s="40">
        <f t="shared" si="4912"/>
        <v>0</v>
      </c>
      <c r="FB83" s="40">
        <f t="shared" si="4912"/>
        <v>0</v>
      </c>
      <c r="FC83" s="40">
        <f t="shared" si="4912"/>
        <v>0</v>
      </c>
      <c r="FD83" s="40">
        <f t="shared" si="4912"/>
        <v>0</v>
      </c>
      <c r="FE83" s="40">
        <f t="shared" si="4912"/>
        <v>0</v>
      </c>
      <c r="FF83" s="40">
        <f t="shared" si="4912"/>
        <v>0</v>
      </c>
      <c r="FG83" s="40">
        <f t="shared" si="4912"/>
        <v>0</v>
      </c>
      <c r="FH83" s="40">
        <f t="shared" si="4912"/>
        <v>0</v>
      </c>
      <c r="FI83" s="40">
        <f t="shared" si="4912"/>
        <v>0</v>
      </c>
      <c r="FJ83" s="40">
        <f t="shared" si="4912"/>
        <v>0</v>
      </c>
      <c r="FK83" s="40">
        <f t="shared" si="4912"/>
        <v>0</v>
      </c>
      <c r="FL83" s="40">
        <f t="shared" si="4912"/>
        <v>0</v>
      </c>
      <c r="FM83" s="40">
        <f t="shared" si="4912"/>
        <v>0</v>
      </c>
      <c r="FN83" s="40">
        <f t="shared" si="4912"/>
        <v>0</v>
      </c>
      <c r="FO83" s="40">
        <f t="shared" si="4912"/>
        <v>0</v>
      </c>
      <c r="FP83" s="40">
        <f t="shared" si="4912"/>
        <v>0</v>
      </c>
      <c r="FQ83" s="40">
        <f t="shared" si="4912"/>
        <v>0</v>
      </c>
      <c r="FR83" s="40">
        <f t="shared" si="4912"/>
        <v>0</v>
      </c>
      <c r="FS83" s="40">
        <f t="shared" si="4912"/>
        <v>0</v>
      </c>
      <c r="FT83" s="40">
        <f t="shared" si="4912"/>
        <v>0</v>
      </c>
      <c r="FU83" s="40">
        <f t="shared" si="4912"/>
        <v>0</v>
      </c>
      <c r="FV83" s="40">
        <f t="shared" si="4912"/>
        <v>0</v>
      </c>
      <c r="FW83" s="40">
        <f t="shared" si="4912"/>
        <v>0</v>
      </c>
      <c r="FX83" s="40">
        <f t="shared" si="4912"/>
        <v>0</v>
      </c>
      <c r="FY83" s="40">
        <f t="shared" si="4912"/>
        <v>0</v>
      </c>
      <c r="FZ83" s="40">
        <f t="shared" si="4912"/>
        <v>0</v>
      </c>
      <c r="GA83" s="40">
        <f t="shared" si="4912"/>
        <v>0</v>
      </c>
      <c r="GB83" s="40">
        <f t="shared" si="4912"/>
        <v>0</v>
      </c>
      <c r="GC83" s="40">
        <f t="shared" si="4912"/>
        <v>0</v>
      </c>
      <c r="GD83" s="40">
        <f t="shared" si="4912"/>
        <v>0</v>
      </c>
      <c r="GE83" s="40">
        <f t="shared" si="4912"/>
        <v>0</v>
      </c>
      <c r="GF83" s="40">
        <f t="shared" ca="1" si="4912"/>
        <v>0</v>
      </c>
      <c r="GG83" s="40">
        <f t="shared" ca="1" si="4912"/>
        <v>0</v>
      </c>
      <c r="GH83" s="40">
        <f t="shared" ca="1" si="4912"/>
        <v>0</v>
      </c>
      <c r="GI83" s="40">
        <f t="shared" ca="1" si="4912"/>
        <v>0</v>
      </c>
      <c r="GJ83" s="40">
        <f t="shared" ca="1" si="4912"/>
        <v>0</v>
      </c>
      <c r="GK83" s="40">
        <f t="shared" ca="1" si="4912"/>
        <v>0</v>
      </c>
      <c r="GL83" s="40">
        <f t="shared" ca="1" si="4912"/>
        <v>0</v>
      </c>
      <c r="GM83" s="40">
        <f t="shared" ca="1" si="4912"/>
        <v>0</v>
      </c>
      <c r="GN83" s="40">
        <f t="shared" ca="1" si="4912"/>
        <v>0</v>
      </c>
      <c r="GO83" s="40">
        <f t="shared" ca="1" si="4912"/>
        <v>0</v>
      </c>
      <c r="GP83" s="40">
        <f t="shared" ca="1" si="4912"/>
        <v>0</v>
      </c>
      <c r="GQ83" s="40">
        <f t="shared" ca="1" si="4912"/>
        <v>0</v>
      </c>
      <c r="GR83" s="40">
        <f t="shared" ca="1" si="4912"/>
        <v>0</v>
      </c>
      <c r="GS83" s="40">
        <f t="shared" ca="1" si="4912"/>
        <v>0</v>
      </c>
      <c r="GT83" s="40">
        <f t="shared" ca="1" si="4912"/>
        <v>0</v>
      </c>
      <c r="GU83" s="40">
        <f t="shared" ref="GU83:IN83" ca="1" si="4913">MAX(GU70,GU75)</f>
        <v>0</v>
      </c>
      <c r="GV83" s="40">
        <f t="shared" ca="1" si="4913"/>
        <v>0</v>
      </c>
      <c r="GW83" s="40">
        <f t="shared" ca="1" si="4913"/>
        <v>0</v>
      </c>
      <c r="GX83" s="40">
        <f t="shared" ca="1" si="4913"/>
        <v>0</v>
      </c>
      <c r="GY83" s="40">
        <f t="shared" ca="1" si="4913"/>
        <v>0</v>
      </c>
      <c r="GZ83" s="40">
        <f t="shared" ca="1" si="4913"/>
        <v>0</v>
      </c>
      <c r="HA83" s="40">
        <f t="shared" ca="1" si="4913"/>
        <v>0</v>
      </c>
      <c r="HB83" s="40">
        <f t="shared" ca="1" si="4913"/>
        <v>0</v>
      </c>
      <c r="HC83" s="40">
        <f t="shared" ca="1" si="4913"/>
        <v>0</v>
      </c>
      <c r="HD83" s="40">
        <f t="shared" ca="1" si="4913"/>
        <v>0</v>
      </c>
      <c r="HE83" s="40">
        <f t="shared" ca="1" si="4913"/>
        <v>0</v>
      </c>
      <c r="HF83" s="40">
        <f t="shared" ca="1" si="4913"/>
        <v>0</v>
      </c>
      <c r="HG83" s="40">
        <f t="shared" ca="1" si="4913"/>
        <v>0</v>
      </c>
      <c r="HH83" s="40">
        <f t="shared" ca="1" si="4913"/>
        <v>0</v>
      </c>
      <c r="HI83" s="40">
        <f t="shared" ca="1" si="4913"/>
        <v>0</v>
      </c>
      <c r="HJ83" s="40">
        <f t="shared" ca="1" si="4913"/>
        <v>0</v>
      </c>
      <c r="HK83" s="40">
        <f t="shared" ca="1" si="4913"/>
        <v>0</v>
      </c>
      <c r="HL83" s="40">
        <f t="shared" ca="1" si="4913"/>
        <v>0</v>
      </c>
      <c r="HM83" s="40">
        <f t="shared" ca="1" si="4913"/>
        <v>0</v>
      </c>
      <c r="HN83" s="40">
        <f t="shared" ca="1" si="4913"/>
        <v>0</v>
      </c>
      <c r="HO83" s="40">
        <f t="shared" ca="1" si="4913"/>
        <v>0</v>
      </c>
      <c r="HP83" s="40">
        <f t="shared" ca="1" si="4913"/>
        <v>0</v>
      </c>
      <c r="HQ83" s="40">
        <f t="shared" ca="1" si="4913"/>
        <v>0</v>
      </c>
      <c r="HR83" s="40">
        <f t="shared" ca="1" si="4913"/>
        <v>0</v>
      </c>
      <c r="HS83" s="40">
        <f t="shared" ca="1" si="4913"/>
        <v>0</v>
      </c>
      <c r="HT83" s="40">
        <f t="shared" ca="1" si="4913"/>
        <v>0</v>
      </c>
      <c r="HU83" s="40">
        <f t="shared" ca="1" si="4913"/>
        <v>0</v>
      </c>
      <c r="HV83" s="40">
        <f t="shared" ca="1" si="4913"/>
        <v>0</v>
      </c>
      <c r="HW83" s="40">
        <f t="shared" ca="1" si="4913"/>
        <v>0</v>
      </c>
      <c r="HX83" s="40">
        <f t="shared" ca="1" si="4913"/>
        <v>0</v>
      </c>
      <c r="HY83" s="40">
        <f t="shared" ca="1" si="4913"/>
        <v>0</v>
      </c>
      <c r="HZ83" s="40">
        <f t="shared" ca="1" si="4913"/>
        <v>0</v>
      </c>
      <c r="IA83" s="40">
        <f t="shared" ca="1" si="4913"/>
        <v>0</v>
      </c>
      <c r="IB83" s="40">
        <f t="shared" ca="1" si="4913"/>
        <v>0</v>
      </c>
      <c r="IC83" s="40">
        <f t="shared" ca="1" si="4913"/>
        <v>0</v>
      </c>
      <c r="ID83" s="40">
        <f t="shared" ca="1" si="4913"/>
        <v>0</v>
      </c>
      <c r="IE83" s="40">
        <f t="shared" ca="1" si="4913"/>
        <v>0</v>
      </c>
      <c r="IF83" s="40">
        <f t="shared" ca="1" si="4913"/>
        <v>0</v>
      </c>
      <c r="IG83" s="40">
        <f t="shared" ca="1" si="4913"/>
        <v>0</v>
      </c>
      <c r="IH83" s="40">
        <f t="shared" ca="1" si="4913"/>
        <v>0</v>
      </c>
      <c r="II83" s="40">
        <f t="shared" ca="1" si="4913"/>
        <v>0</v>
      </c>
      <c r="IJ83" s="40">
        <f t="shared" ca="1" si="4913"/>
        <v>0</v>
      </c>
      <c r="IK83" s="40">
        <f t="shared" ca="1" si="4913"/>
        <v>0</v>
      </c>
      <c r="IL83" s="40">
        <f t="shared" ca="1" si="4913"/>
        <v>0</v>
      </c>
      <c r="IM83" s="40">
        <f t="shared" ca="1" si="4913"/>
        <v>0</v>
      </c>
      <c r="IN83" s="40">
        <f t="shared" ca="1" si="4913"/>
        <v>0</v>
      </c>
      <c r="IO83" s="40">
        <f t="shared" ref="IO83:KZ83" ca="1" si="4914">MAX(IO70,IO75)</f>
        <v>0</v>
      </c>
      <c r="IP83" s="40">
        <f t="shared" ca="1" si="4914"/>
        <v>0</v>
      </c>
      <c r="IQ83" s="40">
        <f t="shared" ca="1" si="4914"/>
        <v>0</v>
      </c>
      <c r="IR83" s="40">
        <f t="shared" ca="1" si="4914"/>
        <v>0</v>
      </c>
      <c r="IS83" s="40">
        <f t="shared" ca="1" si="4914"/>
        <v>0</v>
      </c>
      <c r="IT83" s="40">
        <f t="shared" ca="1" si="4914"/>
        <v>0</v>
      </c>
      <c r="IU83" s="40">
        <f t="shared" ca="1" si="4914"/>
        <v>0</v>
      </c>
      <c r="IV83" s="40">
        <f t="shared" ca="1" si="4914"/>
        <v>0</v>
      </c>
      <c r="IW83" s="40">
        <f t="shared" ca="1" si="4914"/>
        <v>0</v>
      </c>
      <c r="IX83" s="40">
        <f t="shared" ca="1" si="4914"/>
        <v>0</v>
      </c>
      <c r="IY83" s="40">
        <f t="shared" ca="1" si="4914"/>
        <v>0</v>
      </c>
      <c r="IZ83" s="40">
        <f t="shared" ca="1" si="4914"/>
        <v>0</v>
      </c>
      <c r="JA83" s="40">
        <f t="shared" ca="1" si="4914"/>
        <v>0</v>
      </c>
      <c r="JB83" s="40">
        <f t="shared" ca="1" si="4914"/>
        <v>0</v>
      </c>
      <c r="JC83" s="40">
        <f t="shared" ca="1" si="4914"/>
        <v>0</v>
      </c>
      <c r="JD83" s="40">
        <f t="shared" ca="1" si="4914"/>
        <v>0</v>
      </c>
      <c r="JE83" s="40">
        <f t="shared" ca="1" si="4914"/>
        <v>0</v>
      </c>
      <c r="JF83" s="40">
        <f t="shared" ca="1" si="4914"/>
        <v>0</v>
      </c>
      <c r="JG83" s="40">
        <f t="shared" ca="1" si="4914"/>
        <v>0</v>
      </c>
      <c r="JH83" s="40">
        <f t="shared" ca="1" si="4914"/>
        <v>0</v>
      </c>
      <c r="JI83" s="40">
        <f t="shared" ca="1" si="4914"/>
        <v>0</v>
      </c>
      <c r="JJ83" s="40">
        <f t="shared" ca="1" si="4914"/>
        <v>0</v>
      </c>
      <c r="JK83" s="40">
        <f t="shared" ca="1" si="4914"/>
        <v>0</v>
      </c>
      <c r="JL83" s="40">
        <f t="shared" ca="1" si="4914"/>
        <v>0</v>
      </c>
      <c r="JM83" s="40">
        <f t="shared" ca="1" si="4914"/>
        <v>0</v>
      </c>
      <c r="JN83" s="40">
        <f t="shared" ca="1" si="4914"/>
        <v>0</v>
      </c>
      <c r="JO83" s="40">
        <f t="shared" ca="1" si="4914"/>
        <v>0</v>
      </c>
      <c r="JP83" s="40">
        <f t="shared" ca="1" si="4914"/>
        <v>0</v>
      </c>
      <c r="JQ83" s="40">
        <f t="shared" ca="1" si="4914"/>
        <v>0</v>
      </c>
      <c r="JR83" s="40">
        <f t="shared" ca="1" si="4914"/>
        <v>0</v>
      </c>
      <c r="JS83" s="40">
        <f t="shared" ca="1" si="4914"/>
        <v>0</v>
      </c>
      <c r="JT83" s="40">
        <f t="shared" ca="1" si="4914"/>
        <v>0</v>
      </c>
      <c r="JU83" s="40">
        <f t="shared" ca="1" si="4914"/>
        <v>0</v>
      </c>
      <c r="JV83" s="40">
        <f t="shared" ca="1" si="4914"/>
        <v>0</v>
      </c>
      <c r="JW83" s="40">
        <f t="shared" ca="1" si="4914"/>
        <v>0</v>
      </c>
      <c r="JX83" s="40">
        <f t="shared" ca="1" si="4914"/>
        <v>0</v>
      </c>
      <c r="JY83" s="40">
        <f t="shared" ca="1" si="4914"/>
        <v>0</v>
      </c>
      <c r="JZ83" s="40">
        <f t="shared" ca="1" si="4914"/>
        <v>0</v>
      </c>
      <c r="KA83" s="40">
        <f t="shared" ca="1" si="4914"/>
        <v>0</v>
      </c>
      <c r="KB83" s="40">
        <f t="shared" ca="1" si="4914"/>
        <v>0</v>
      </c>
      <c r="KC83" s="40">
        <f t="shared" ca="1" si="4914"/>
        <v>0</v>
      </c>
      <c r="KD83" s="40">
        <f t="shared" ca="1" si="4914"/>
        <v>0</v>
      </c>
      <c r="KE83" s="40">
        <f t="shared" ca="1" si="4914"/>
        <v>0</v>
      </c>
      <c r="KF83" s="40">
        <f t="shared" ca="1" si="4914"/>
        <v>0</v>
      </c>
      <c r="KG83" s="40">
        <f t="shared" ca="1" si="4914"/>
        <v>0</v>
      </c>
      <c r="KH83" s="40">
        <f t="shared" ca="1" si="4914"/>
        <v>0</v>
      </c>
      <c r="KI83" s="40">
        <f t="shared" ca="1" si="4914"/>
        <v>0</v>
      </c>
      <c r="KJ83" s="40">
        <f t="shared" ca="1" si="4914"/>
        <v>0</v>
      </c>
      <c r="KK83" s="40">
        <f t="shared" ca="1" si="4914"/>
        <v>0</v>
      </c>
      <c r="KL83" s="40">
        <f t="shared" ca="1" si="4914"/>
        <v>0</v>
      </c>
      <c r="KM83" s="40">
        <f t="shared" ca="1" si="4914"/>
        <v>0</v>
      </c>
      <c r="KN83" s="40">
        <f t="shared" ca="1" si="4914"/>
        <v>0</v>
      </c>
      <c r="KO83" s="40">
        <f t="shared" ca="1" si="4914"/>
        <v>0</v>
      </c>
      <c r="KP83" s="40">
        <f t="shared" ca="1" si="4914"/>
        <v>0</v>
      </c>
      <c r="KQ83" s="40">
        <f t="shared" ca="1" si="4914"/>
        <v>0</v>
      </c>
      <c r="KR83" s="40">
        <f t="shared" ca="1" si="4914"/>
        <v>0</v>
      </c>
      <c r="KS83" s="40">
        <f t="shared" ca="1" si="4914"/>
        <v>0</v>
      </c>
      <c r="KT83" s="40">
        <f t="shared" ca="1" si="4914"/>
        <v>0</v>
      </c>
      <c r="KU83" s="40">
        <f t="shared" ca="1" si="4914"/>
        <v>0</v>
      </c>
      <c r="KV83" s="40">
        <f t="shared" ca="1" si="4914"/>
        <v>0</v>
      </c>
      <c r="KW83" s="40">
        <f t="shared" ca="1" si="4914"/>
        <v>0</v>
      </c>
      <c r="KX83" s="40">
        <f t="shared" ca="1" si="4914"/>
        <v>0</v>
      </c>
      <c r="KY83" s="40">
        <f t="shared" ca="1" si="4914"/>
        <v>0</v>
      </c>
      <c r="KZ83" s="40">
        <f t="shared" ca="1" si="4914"/>
        <v>0</v>
      </c>
      <c r="LA83" s="40">
        <f t="shared" ref="LA83:ND83" ca="1" si="4915">MAX(LA70,LA75)</f>
        <v>0</v>
      </c>
      <c r="LB83" s="40">
        <f t="shared" ca="1" si="4915"/>
        <v>0</v>
      </c>
      <c r="LC83" s="40">
        <f t="shared" ca="1" si="4915"/>
        <v>0</v>
      </c>
      <c r="LD83" s="40">
        <f t="shared" ca="1" si="4915"/>
        <v>0</v>
      </c>
      <c r="LE83" s="40">
        <f t="shared" ca="1" si="4915"/>
        <v>0</v>
      </c>
      <c r="LF83" s="40">
        <f t="shared" ca="1" si="4915"/>
        <v>0</v>
      </c>
      <c r="LG83" s="40">
        <f t="shared" ca="1" si="4915"/>
        <v>0</v>
      </c>
      <c r="LH83" s="40">
        <f t="shared" ca="1" si="4915"/>
        <v>0</v>
      </c>
      <c r="LI83" s="40">
        <f t="shared" ca="1" si="4915"/>
        <v>0</v>
      </c>
      <c r="LJ83" s="40">
        <f t="shared" ca="1" si="4915"/>
        <v>0</v>
      </c>
      <c r="LK83" s="40">
        <f t="shared" ca="1" si="4915"/>
        <v>0</v>
      </c>
      <c r="LL83" s="40">
        <f t="shared" ca="1" si="4915"/>
        <v>0</v>
      </c>
      <c r="LM83" s="40">
        <f t="shared" ca="1" si="4915"/>
        <v>0</v>
      </c>
      <c r="LN83" s="40">
        <f t="shared" ca="1" si="4915"/>
        <v>0</v>
      </c>
      <c r="LO83" s="40">
        <f t="shared" ca="1" si="4915"/>
        <v>0</v>
      </c>
      <c r="LP83" s="40">
        <f t="shared" ca="1" si="4915"/>
        <v>0</v>
      </c>
      <c r="LQ83" s="40">
        <f t="shared" ca="1" si="4915"/>
        <v>0</v>
      </c>
      <c r="LR83" s="40">
        <f t="shared" ca="1" si="4915"/>
        <v>0</v>
      </c>
      <c r="LS83" s="40">
        <f t="shared" ca="1" si="4915"/>
        <v>0</v>
      </c>
      <c r="LT83" s="40">
        <f t="shared" ca="1" si="4915"/>
        <v>0</v>
      </c>
      <c r="LU83" s="40">
        <f t="shared" ca="1" si="4915"/>
        <v>0</v>
      </c>
      <c r="LV83" s="40">
        <f t="shared" ca="1" si="4915"/>
        <v>0</v>
      </c>
      <c r="LW83" s="40">
        <f t="shared" ca="1" si="4915"/>
        <v>0</v>
      </c>
      <c r="LX83" s="40">
        <f t="shared" ca="1" si="4915"/>
        <v>0</v>
      </c>
      <c r="LY83" s="40">
        <f t="shared" ca="1" si="4915"/>
        <v>0</v>
      </c>
      <c r="LZ83" s="40">
        <f t="shared" ca="1" si="4915"/>
        <v>0</v>
      </c>
      <c r="MA83" s="40">
        <f t="shared" ca="1" si="4915"/>
        <v>0</v>
      </c>
      <c r="MB83" s="40">
        <f t="shared" ca="1" si="4915"/>
        <v>0</v>
      </c>
      <c r="MC83" s="40">
        <f t="shared" ca="1" si="4915"/>
        <v>0</v>
      </c>
      <c r="MD83" s="40">
        <f t="shared" ca="1" si="4915"/>
        <v>0</v>
      </c>
      <c r="ME83" s="40">
        <f t="shared" ca="1" si="4915"/>
        <v>0</v>
      </c>
      <c r="MF83" s="40">
        <f t="shared" ca="1" si="4915"/>
        <v>0</v>
      </c>
      <c r="MG83" s="40">
        <f t="shared" ca="1" si="4915"/>
        <v>0</v>
      </c>
      <c r="MH83" s="40">
        <f t="shared" ca="1" si="4915"/>
        <v>0</v>
      </c>
      <c r="MI83" s="40">
        <f t="shared" ca="1" si="4915"/>
        <v>0</v>
      </c>
      <c r="MJ83" s="40">
        <f t="shared" ca="1" si="4915"/>
        <v>0</v>
      </c>
      <c r="MK83" s="40">
        <f t="shared" ca="1" si="4915"/>
        <v>0</v>
      </c>
      <c r="ML83" s="40">
        <f t="shared" ca="1" si="4915"/>
        <v>0</v>
      </c>
      <c r="MM83" s="40">
        <f t="shared" ca="1" si="4915"/>
        <v>0</v>
      </c>
      <c r="MN83" s="40">
        <f t="shared" ca="1" si="4915"/>
        <v>0</v>
      </c>
      <c r="MO83" s="40">
        <f t="shared" ca="1" si="4915"/>
        <v>0</v>
      </c>
      <c r="MP83" s="40">
        <f t="shared" ca="1" si="4915"/>
        <v>0</v>
      </c>
      <c r="MQ83" s="40">
        <f t="shared" ca="1" si="4915"/>
        <v>0</v>
      </c>
      <c r="MR83" s="40">
        <f t="shared" ca="1" si="4915"/>
        <v>0</v>
      </c>
      <c r="MS83" s="40">
        <f t="shared" ca="1" si="4915"/>
        <v>0</v>
      </c>
      <c r="MT83" s="40">
        <f t="shared" ca="1" si="4915"/>
        <v>0</v>
      </c>
      <c r="MU83" s="40">
        <f t="shared" ca="1" si="4915"/>
        <v>0</v>
      </c>
      <c r="MV83" s="40">
        <f t="shared" ca="1" si="4915"/>
        <v>0</v>
      </c>
      <c r="MW83" s="40">
        <f t="shared" ca="1" si="4915"/>
        <v>0</v>
      </c>
      <c r="MX83" s="40">
        <f t="shared" ca="1" si="4915"/>
        <v>0</v>
      </c>
      <c r="MY83" s="40">
        <f t="shared" ca="1" si="4915"/>
        <v>0</v>
      </c>
      <c r="MZ83" s="40">
        <f t="shared" ca="1" si="4915"/>
        <v>0</v>
      </c>
      <c r="NA83" s="40">
        <f t="shared" ca="1" si="4915"/>
        <v>0</v>
      </c>
      <c r="NB83" s="40">
        <f t="shared" ca="1" si="4915"/>
        <v>0</v>
      </c>
      <c r="NC83" s="40">
        <f t="shared" ca="1" si="4915"/>
        <v>0</v>
      </c>
      <c r="ND83" s="40">
        <f t="shared" ca="1" si="4915"/>
        <v>0</v>
      </c>
      <c r="NE83" s="40"/>
      <c r="NF83" s="40"/>
      <c r="NG83" s="40"/>
      <c r="NH83" s="40"/>
      <c r="NI83" s="40"/>
      <c r="NJ83" s="40"/>
      <c r="NK83" s="40"/>
      <c r="NL83" s="40"/>
      <c r="NM83" s="40"/>
      <c r="NN83" s="40"/>
      <c r="NO83" s="40"/>
      <c r="NP83" s="40"/>
      <c r="NQ83" s="40"/>
      <c r="NR83" s="40"/>
    </row>
    <row r="84" spans="2:382" x14ac:dyDescent="0.15">
      <c r="B84" s="519"/>
      <c r="G84" s="118"/>
      <c r="I84" s="40"/>
      <c r="J84" s="40"/>
      <c r="K84" s="40"/>
      <c r="L84" s="40"/>
      <c r="M84" s="40"/>
      <c r="N84" s="40"/>
      <c r="O84" s="40"/>
      <c r="P84" s="40"/>
      <c r="Q84" s="40"/>
      <c r="R84" s="40"/>
      <c r="S84" s="40"/>
      <c r="T84" s="40"/>
      <c r="U84" s="40"/>
      <c r="V84" s="40"/>
      <c r="W84" s="40"/>
      <c r="X84" s="40"/>
      <c r="Y84" s="40"/>
      <c r="Z84" s="40"/>
      <c r="AA84" s="40"/>
      <c r="AB84" s="40"/>
      <c r="AC84" s="40"/>
      <c r="AD84" s="40"/>
      <c r="AE84" s="40"/>
      <c r="AF84" s="40"/>
      <c r="AG84" s="40"/>
      <c r="AH84" s="40"/>
      <c r="AI84" s="40"/>
      <c r="AJ84" s="40"/>
      <c r="AK84" s="40"/>
      <c r="AL84" s="40"/>
      <c r="AM84" s="40"/>
      <c r="AN84" s="40"/>
      <c r="AO84" s="40"/>
      <c r="AP84" s="40"/>
      <c r="AQ84" s="40"/>
      <c r="AR84" s="40"/>
      <c r="AS84" s="40"/>
      <c r="AT84" s="40"/>
      <c r="AU84" s="40"/>
      <c r="AV84" s="40"/>
      <c r="AW84" s="40"/>
      <c r="AX84" s="40"/>
      <c r="AY84" s="40"/>
      <c r="AZ84" s="40"/>
      <c r="BA84" s="40"/>
      <c r="BB84" s="40"/>
      <c r="BC84" s="40"/>
      <c r="BD84" s="40"/>
      <c r="BE84" s="40"/>
      <c r="BF84" s="40"/>
      <c r="BG84" s="40"/>
      <c r="BH84" s="40"/>
      <c r="BI84" s="40"/>
      <c r="BJ84" s="40"/>
      <c r="BK84" s="40"/>
      <c r="BL84" s="40"/>
      <c r="BM84" s="40"/>
      <c r="BN84" s="40"/>
      <c r="BO84" s="40"/>
      <c r="BP84" s="40"/>
      <c r="BQ84" s="40"/>
      <c r="BR84" s="40"/>
      <c r="BS84" s="40"/>
      <c r="BT84" s="40"/>
      <c r="BU84" s="40"/>
      <c r="BV84" s="40"/>
      <c r="BW84" s="40"/>
      <c r="BX84" s="40"/>
      <c r="BY84" s="40"/>
      <c r="BZ84" s="40"/>
      <c r="CA84" s="40"/>
      <c r="CB84" s="40"/>
      <c r="CC84" s="40"/>
      <c r="CD84" s="40"/>
      <c r="CE84" s="40"/>
      <c r="CF84" s="40"/>
      <c r="CG84" s="40"/>
      <c r="CH84" s="40"/>
      <c r="CI84" s="40"/>
      <c r="CJ84" s="40"/>
      <c r="CK84" s="40"/>
      <c r="CL84" s="40"/>
      <c r="CM84" s="40"/>
      <c r="CN84" s="40"/>
      <c r="CO84" s="40"/>
      <c r="CP84" s="40"/>
      <c r="CQ84" s="40"/>
      <c r="CR84" s="40"/>
      <c r="CS84" s="40"/>
      <c r="CT84" s="40"/>
      <c r="CU84" s="40"/>
      <c r="CV84" s="40"/>
      <c r="CW84" s="40"/>
      <c r="CX84" s="40"/>
      <c r="CY84" s="40"/>
      <c r="CZ84" s="40"/>
      <c r="DA84" s="40"/>
      <c r="DB84" s="40"/>
      <c r="DC84" s="40"/>
      <c r="DD84" s="40"/>
      <c r="DE84" s="40"/>
      <c r="DF84" s="40"/>
      <c r="DG84" s="40"/>
      <c r="DH84" s="40"/>
      <c r="DI84" s="40"/>
      <c r="DJ84" s="40"/>
      <c r="DK84" s="40"/>
      <c r="DL84" s="40"/>
      <c r="DM84" s="40"/>
      <c r="DN84" s="40"/>
      <c r="DO84" s="40"/>
      <c r="DP84" s="40"/>
      <c r="DQ84" s="40"/>
      <c r="DR84" s="40"/>
      <c r="DS84" s="40"/>
      <c r="DT84" s="40"/>
      <c r="DU84" s="40"/>
      <c r="DV84" s="40"/>
      <c r="DW84" s="40"/>
      <c r="DX84" s="40"/>
      <c r="DY84" s="40"/>
      <c r="DZ84" s="40"/>
      <c r="EA84" s="40"/>
      <c r="EB84" s="40"/>
      <c r="EC84" s="40"/>
      <c r="ED84" s="40"/>
      <c r="EE84" s="40"/>
      <c r="EF84" s="40"/>
      <c r="EG84" s="40"/>
      <c r="EH84" s="40"/>
      <c r="EI84" s="40"/>
      <c r="EJ84" s="40"/>
      <c r="EK84" s="40"/>
      <c r="EL84" s="40"/>
      <c r="EM84" s="40"/>
      <c r="EN84" s="40"/>
      <c r="EO84" s="40"/>
      <c r="EP84" s="40"/>
      <c r="EQ84" s="40"/>
      <c r="ER84" s="40"/>
      <c r="ES84" s="40"/>
      <c r="ET84" s="40"/>
      <c r="EU84" s="40"/>
      <c r="EV84" s="40"/>
      <c r="EW84" s="40"/>
      <c r="EX84" s="40"/>
      <c r="EY84" s="40"/>
      <c r="EZ84" s="40"/>
      <c r="FA84" s="40"/>
      <c r="FB84" s="40"/>
      <c r="FC84" s="40"/>
      <c r="FD84" s="40"/>
      <c r="FE84" s="40"/>
      <c r="FF84" s="40"/>
      <c r="FG84" s="40"/>
      <c r="FH84" s="40"/>
      <c r="FI84" s="40"/>
      <c r="FJ84" s="40"/>
      <c r="FK84" s="40"/>
      <c r="FL84" s="40"/>
      <c r="FM84" s="40"/>
      <c r="FN84" s="40"/>
      <c r="FO84" s="40"/>
      <c r="FP84" s="40"/>
      <c r="FQ84" s="40"/>
      <c r="FR84" s="40"/>
      <c r="FS84" s="40"/>
      <c r="FT84" s="40"/>
      <c r="FU84" s="40"/>
      <c r="FV84" s="40"/>
      <c r="FW84" s="40"/>
      <c r="FX84" s="40"/>
      <c r="FY84" s="40"/>
      <c r="FZ84" s="40"/>
      <c r="GA84" s="40"/>
      <c r="GB84" s="40"/>
      <c r="GC84" s="40"/>
      <c r="GD84" s="40"/>
      <c r="GE84" s="40"/>
      <c r="GF84" s="40"/>
      <c r="GG84" s="40"/>
      <c r="GH84" s="40"/>
      <c r="GI84" s="40"/>
      <c r="GJ84" s="40"/>
      <c r="GK84" s="40"/>
      <c r="GL84" s="40"/>
      <c r="GM84" s="40"/>
      <c r="GN84" s="40"/>
      <c r="GO84" s="40"/>
      <c r="GP84" s="40"/>
      <c r="GQ84" s="40"/>
      <c r="GR84" s="40"/>
      <c r="GS84" s="40"/>
      <c r="GT84" s="40"/>
      <c r="GU84" s="40"/>
      <c r="GV84" s="40"/>
      <c r="GW84" s="40"/>
      <c r="GX84" s="40"/>
      <c r="GY84" s="40"/>
      <c r="GZ84" s="40"/>
      <c r="HA84" s="40"/>
      <c r="HB84" s="40"/>
      <c r="HC84" s="40"/>
      <c r="HD84" s="40"/>
      <c r="HE84" s="40"/>
      <c r="HF84" s="40"/>
      <c r="HG84" s="40"/>
      <c r="HH84" s="40"/>
      <c r="HI84" s="40"/>
      <c r="HJ84" s="40"/>
      <c r="HK84" s="40"/>
      <c r="HL84" s="40"/>
      <c r="HM84" s="40"/>
      <c r="HN84" s="40"/>
      <c r="HO84" s="40"/>
      <c r="HP84" s="40"/>
      <c r="HQ84" s="40"/>
      <c r="HR84" s="40"/>
      <c r="HS84" s="40"/>
      <c r="HT84" s="40"/>
      <c r="HU84" s="40"/>
      <c r="HV84" s="40"/>
      <c r="HW84" s="40"/>
      <c r="HX84" s="40"/>
      <c r="HY84" s="40"/>
      <c r="HZ84" s="40"/>
      <c r="IA84" s="40"/>
      <c r="IB84" s="40"/>
      <c r="IC84" s="40"/>
      <c r="ID84" s="40"/>
      <c r="IE84" s="40"/>
      <c r="IF84" s="40"/>
      <c r="IG84" s="40"/>
      <c r="IH84" s="40"/>
      <c r="II84" s="40"/>
      <c r="IJ84" s="40"/>
      <c r="IK84" s="40"/>
      <c r="IL84" s="40"/>
      <c r="IM84" s="40"/>
      <c r="IN84" s="40"/>
      <c r="IO84" s="40"/>
      <c r="IP84" s="40"/>
      <c r="IQ84" s="40"/>
      <c r="IR84" s="40"/>
      <c r="IS84" s="40"/>
      <c r="IT84" s="40"/>
      <c r="IU84" s="40"/>
      <c r="IV84" s="40"/>
      <c r="IW84" s="40"/>
      <c r="IX84" s="40"/>
      <c r="IY84" s="40"/>
      <c r="IZ84" s="40"/>
      <c r="JA84" s="40"/>
      <c r="JB84" s="40"/>
      <c r="JC84" s="40"/>
      <c r="JD84" s="40"/>
      <c r="JE84" s="40"/>
      <c r="JF84" s="40"/>
      <c r="JG84" s="40"/>
      <c r="JH84" s="40"/>
      <c r="JI84" s="40"/>
      <c r="JJ84" s="40"/>
      <c r="JK84" s="40"/>
      <c r="JL84" s="40"/>
      <c r="JM84" s="40"/>
      <c r="JN84" s="40"/>
      <c r="JO84" s="40"/>
      <c r="JP84" s="40"/>
      <c r="JQ84" s="40"/>
      <c r="JR84" s="40"/>
      <c r="JS84" s="40"/>
      <c r="JT84" s="40"/>
      <c r="JU84" s="40"/>
      <c r="JV84" s="40"/>
      <c r="JW84" s="40"/>
      <c r="JX84" s="40"/>
      <c r="JY84" s="40"/>
      <c r="JZ84" s="40"/>
      <c r="KA84" s="40"/>
      <c r="KB84" s="40"/>
      <c r="KC84" s="40"/>
      <c r="KD84" s="40"/>
      <c r="KE84" s="40"/>
      <c r="KF84" s="40"/>
      <c r="KG84" s="40"/>
      <c r="KH84" s="40"/>
      <c r="KI84" s="40"/>
      <c r="KJ84" s="40"/>
      <c r="KK84" s="40"/>
      <c r="KL84" s="40"/>
      <c r="KM84" s="40"/>
      <c r="KN84" s="40"/>
      <c r="KO84" s="40"/>
      <c r="KP84" s="40"/>
      <c r="KQ84" s="40"/>
      <c r="KR84" s="40"/>
      <c r="KS84" s="40"/>
      <c r="KT84" s="40"/>
      <c r="KU84" s="40"/>
      <c r="KV84" s="40"/>
      <c r="KW84" s="40"/>
      <c r="KX84" s="40"/>
      <c r="KY84" s="40"/>
      <c r="KZ84" s="40"/>
      <c r="LA84" s="40"/>
      <c r="LB84" s="40"/>
      <c r="LC84" s="40"/>
      <c r="LD84" s="40"/>
      <c r="LE84" s="40"/>
      <c r="LF84" s="40"/>
      <c r="LG84" s="40"/>
      <c r="LH84" s="40"/>
      <c r="LI84" s="40"/>
      <c r="LJ84" s="40"/>
      <c r="LK84" s="40"/>
      <c r="LL84" s="40"/>
      <c r="LM84" s="40"/>
      <c r="LN84" s="40"/>
      <c r="LO84" s="40"/>
      <c r="LP84" s="40"/>
      <c r="LQ84" s="40"/>
      <c r="LR84" s="40"/>
      <c r="LS84" s="40"/>
      <c r="LT84" s="40"/>
      <c r="LU84" s="40"/>
      <c r="LV84" s="40"/>
      <c r="LW84" s="40"/>
      <c r="LX84" s="40"/>
      <c r="LY84" s="40"/>
      <c r="LZ84" s="40"/>
      <c r="MA84" s="40"/>
      <c r="MB84" s="40"/>
      <c r="MC84" s="40"/>
      <c r="MD84" s="40"/>
      <c r="ME84" s="40"/>
      <c r="MF84" s="40"/>
      <c r="MG84" s="40"/>
      <c r="MH84" s="40"/>
      <c r="MI84" s="40"/>
      <c r="MJ84" s="40"/>
      <c r="MK84" s="40"/>
      <c r="ML84" s="40"/>
      <c r="MM84" s="40"/>
      <c r="MN84" s="40"/>
      <c r="MO84" s="40"/>
      <c r="MP84" s="40"/>
      <c r="MQ84" s="40"/>
      <c r="MR84" s="40"/>
      <c r="MS84" s="40"/>
      <c r="MT84" s="40"/>
      <c r="MU84" s="40"/>
      <c r="MV84" s="40"/>
      <c r="MW84" s="40"/>
      <c r="MX84" s="40"/>
      <c r="MY84" s="40"/>
      <c r="MZ84" s="40"/>
      <c r="NA84" s="40"/>
      <c r="NB84" s="40"/>
      <c r="NC84" s="40"/>
      <c r="ND84" s="40"/>
      <c r="NE84" s="40"/>
      <c r="NF84" s="40"/>
      <c r="NG84" s="40"/>
      <c r="NH84" s="40"/>
      <c r="NI84" s="40"/>
      <c r="NJ84" s="40"/>
      <c r="NK84" s="40"/>
      <c r="NL84" s="40"/>
      <c r="NM84" s="40"/>
      <c r="NN84" s="40"/>
      <c r="NO84" s="40"/>
      <c r="NP84" s="40"/>
      <c r="NQ84" s="40"/>
      <c r="NR84" s="40"/>
    </row>
    <row r="85" spans="2:382" x14ac:dyDescent="0.15">
      <c r="B85" s="519"/>
      <c r="C85" s="4" t="s">
        <v>167</v>
      </c>
      <c r="G85" s="118"/>
      <c r="I85" s="40">
        <f>I$65-I$77-I$83</f>
        <v>0</v>
      </c>
      <c r="J85" s="40">
        <f t="shared" ref="J85:BU85" si="4916">J$65-J$77-J$83</f>
        <v>0</v>
      </c>
      <c r="K85" s="40">
        <f t="shared" si="4916"/>
        <v>0</v>
      </c>
      <c r="L85" s="40">
        <f t="shared" si="4916"/>
        <v>0</v>
      </c>
      <c r="M85" s="40">
        <f t="shared" si="4916"/>
        <v>0</v>
      </c>
      <c r="N85" s="40">
        <f t="shared" si="4916"/>
        <v>0</v>
      </c>
      <c r="O85" s="40">
        <f t="shared" si="4916"/>
        <v>0</v>
      </c>
      <c r="P85" s="40">
        <f t="shared" si="4916"/>
        <v>0</v>
      </c>
      <c r="Q85" s="40">
        <f t="shared" si="4916"/>
        <v>0</v>
      </c>
      <c r="R85" s="40">
        <f t="shared" si="4916"/>
        <v>0</v>
      </c>
      <c r="S85" s="40">
        <f t="shared" si="4916"/>
        <v>0</v>
      </c>
      <c r="T85" s="40">
        <f t="shared" si="4916"/>
        <v>0</v>
      </c>
      <c r="U85" s="40">
        <f t="shared" si="4916"/>
        <v>0</v>
      </c>
      <c r="V85" s="40">
        <f t="shared" si="4916"/>
        <v>0</v>
      </c>
      <c r="W85" s="40">
        <f t="shared" si="4916"/>
        <v>0</v>
      </c>
      <c r="X85" s="40">
        <f t="shared" si="4916"/>
        <v>0</v>
      </c>
      <c r="Y85" s="40">
        <f t="shared" si="4916"/>
        <v>0</v>
      </c>
      <c r="Z85" s="40">
        <f t="shared" si="4916"/>
        <v>0</v>
      </c>
      <c r="AA85" s="40">
        <f t="shared" si="4916"/>
        <v>0</v>
      </c>
      <c r="AB85" s="40">
        <f t="shared" si="4916"/>
        <v>0</v>
      </c>
      <c r="AC85" s="40">
        <f t="shared" si="4916"/>
        <v>0</v>
      </c>
      <c r="AD85" s="40">
        <f t="shared" si="4916"/>
        <v>0</v>
      </c>
      <c r="AE85" s="40">
        <f t="shared" si="4916"/>
        <v>0</v>
      </c>
      <c r="AF85" s="40">
        <f t="shared" si="4916"/>
        <v>0</v>
      </c>
      <c r="AG85" s="40">
        <f t="shared" si="4916"/>
        <v>0</v>
      </c>
      <c r="AH85" s="40">
        <f t="shared" si="4916"/>
        <v>0</v>
      </c>
      <c r="AI85" s="40">
        <f t="shared" si="4916"/>
        <v>0</v>
      </c>
      <c r="AJ85" s="40">
        <f t="shared" si="4916"/>
        <v>0</v>
      </c>
      <c r="AK85" s="40">
        <f t="shared" si="4916"/>
        <v>0</v>
      </c>
      <c r="AL85" s="40">
        <f t="shared" si="4916"/>
        <v>0</v>
      </c>
      <c r="AM85" s="40">
        <f t="shared" si="4916"/>
        <v>0</v>
      </c>
      <c r="AN85" s="40">
        <f t="shared" si="4916"/>
        <v>0</v>
      </c>
      <c r="AO85" s="40">
        <f t="shared" si="4916"/>
        <v>0</v>
      </c>
      <c r="AP85" s="40">
        <f t="shared" si="4916"/>
        <v>0</v>
      </c>
      <c r="AQ85" s="40">
        <f t="shared" si="4916"/>
        <v>0</v>
      </c>
      <c r="AR85" s="40">
        <f t="shared" si="4916"/>
        <v>0</v>
      </c>
      <c r="AS85" s="40">
        <f t="shared" si="4916"/>
        <v>0</v>
      </c>
      <c r="AT85" s="40">
        <f t="shared" si="4916"/>
        <v>0</v>
      </c>
      <c r="AU85" s="40">
        <f t="shared" si="4916"/>
        <v>0</v>
      </c>
      <c r="AV85" s="40">
        <f t="shared" si="4916"/>
        <v>0</v>
      </c>
      <c r="AW85" s="40">
        <f t="shared" si="4916"/>
        <v>0</v>
      </c>
      <c r="AX85" s="40">
        <f t="shared" si="4916"/>
        <v>0</v>
      </c>
      <c r="AY85" s="40">
        <f t="shared" si="4916"/>
        <v>0</v>
      </c>
      <c r="AZ85" s="40">
        <f t="shared" si="4916"/>
        <v>0</v>
      </c>
      <c r="BA85" s="40">
        <f t="shared" si="4916"/>
        <v>0</v>
      </c>
      <c r="BB85" s="40">
        <f t="shared" si="4916"/>
        <v>0</v>
      </c>
      <c r="BC85" s="40">
        <f t="shared" si="4916"/>
        <v>0</v>
      </c>
      <c r="BD85" s="40">
        <f t="shared" si="4916"/>
        <v>0</v>
      </c>
      <c r="BE85" s="40">
        <f t="shared" si="4916"/>
        <v>0</v>
      </c>
      <c r="BF85" s="40">
        <f t="shared" si="4916"/>
        <v>0</v>
      </c>
      <c r="BG85" s="40">
        <f t="shared" si="4916"/>
        <v>0</v>
      </c>
      <c r="BH85" s="40">
        <f t="shared" si="4916"/>
        <v>0</v>
      </c>
      <c r="BI85" s="40">
        <f t="shared" si="4916"/>
        <v>0</v>
      </c>
      <c r="BJ85" s="40">
        <f t="shared" si="4916"/>
        <v>0</v>
      </c>
      <c r="BK85" s="40">
        <f t="shared" si="4916"/>
        <v>0</v>
      </c>
      <c r="BL85" s="40">
        <f t="shared" si="4916"/>
        <v>0</v>
      </c>
      <c r="BM85" s="40">
        <f t="shared" si="4916"/>
        <v>0</v>
      </c>
      <c r="BN85" s="40">
        <f t="shared" si="4916"/>
        <v>0</v>
      </c>
      <c r="BO85" s="40">
        <f t="shared" si="4916"/>
        <v>0</v>
      </c>
      <c r="BP85" s="40">
        <f t="shared" si="4916"/>
        <v>0</v>
      </c>
      <c r="BQ85" s="40">
        <f t="shared" si="4916"/>
        <v>0</v>
      </c>
      <c r="BR85" s="40">
        <f t="shared" si="4916"/>
        <v>0</v>
      </c>
      <c r="BS85" s="40">
        <f t="shared" si="4916"/>
        <v>0</v>
      </c>
      <c r="BT85" s="40">
        <f t="shared" si="4916"/>
        <v>0</v>
      </c>
      <c r="BU85" s="40">
        <f t="shared" si="4916"/>
        <v>0</v>
      </c>
      <c r="BV85" s="40">
        <f t="shared" ref="BV85:EG85" si="4917">BV$65-BV$77-BV$83</f>
        <v>0</v>
      </c>
      <c r="BW85" s="40">
        <f t="shared" si="4917"/>
        <v>0</v>
      </c>
      <c r="BX85" s="40">
        <f t="shared" si="4917"/>
        <v>0</v>
      </c>
      <c r="BY85" s="40">
        <f t="shared" si="4917"/>
        <v>0</v>
      </c>
      <c r="BZ85" s="40">
        <f t="shared" si="4917"/>
        <v>0</v>
      </c>
      <c r="CA85" s="40">
        <f t="shared" si="4917"/>
        <v>0</v>
      </c>
      <c r="CB85" s="40">
        <f t="shared" si="4917"/>
        <v>0</v>
      </c>
      <c r="CC85" s="40">
        <f t="shared" si="4917"/>
        <v>0</v>
      </c>
      <c r="CD85" s="40">
        <f t="shared" si="4917"/>
        <v>0</v>
      </c>
      <c r="CE85" s="40">
        <f t="shared" si="4917"/>
        <v>0</v>
      </c>
      <c r="CF85" s="40">
        <f t="shared" si="4917"/>
        <v>0</v>
      </c>
      <c r="CG85" s="40">
        <f t="shared" si="4917"/>
        <v>0</v>
      </c>
      <c r="CH85" s="40">
        <f t="shared" si="4917"/>
        <v>0</v>
      </c>
      <c r="CI85" s="40">
        <f t="shared" si="4917"/>
        <v>0</v>
      </c>
      <c r="CJ85" s="40">
        <f t="shared" si="4917"/>
        <v>0</v>
      </c>
      <c r="CK85" s="40">
        <f t="shared" si="4917"/>
        <v>0</v>
      </c>
      <c r="CL85" s="40">
        <f t="shared" si="4917"/>
        <v>0</v>
      </c>
      <c r="CM85" s="40">
        <f t="shared" si="4917"/>
        <v>0</v>
      </c>
      <c r="CN85" s="40">
        <f t="shared" si="4917"/>
        <v>0</v>
      </c>
      <c r="CO85" s="40">
        <f t="shared" si="4917"/>
        <v>0</v>
      </c>
      <c r="CP85" s="40">
        <f t="shared" si="4917"/>
        <v>0</v>
      </c>
      <c r="CQ85" s="40">
        <f t="shared" si="4917"/>
        <v>0</v>
      </c>
      <c r="CR85" s="40">
        <f t="shared" si="4917"/>
        <v>0</v>
      </c>
      <c r="CS85" s="40">
        <f t="shared" si="4917"/>
        <v>0</v>
      </c>
      <c r="CT85" s="40">
        <f t="shared" si="4917"/>
        <v>0</v>
      </c>
      <c r="CU85" s="40">
        <f t="shared" si="4917"/>
        <v>0</v>
      </c>
      <c r="CV85" s="40">
        <f t="shared" si="4917"/>
        <v>0</v>
      </c>
      <c r="CW85" s="40">
        <f t="shared" si="4917"/>
        <v>0</v>
      </c>
      <c r="CX85" s="40">
        <f t="shared" si="4917"/>
        <v>0</v>
      </c>
      <c r="CY85" s="40">
        <f t="shared" si="4917"/>
        <v>0</v>
      </c>
      <c r="CZ85" s="40">
        <f t="shared" si="4917"/>
        <v>0</v>
      </c>
      <c r="DA85" s="40">
        <f t="shared" si="4917"/>
        <v>0</v>
      </c>
      <c r="DB85" s="40">
        <f t="shared" si="4917"/>
        <v>0</v>
      </c>
      <c r="DC85" s="40">
        <f t="shared" si="4917"/>
        <v>0</v>
      </c>
      <c r="DD85" s="40">
        <f t="shared" si="4917"/>
        <v>0</v>
      </c>
      <c r="DE85" s="40">
        <f t="shared" si="4917"/>
        <v>0</v>
      </c>
      <c r="DF85" s="40">
        <f t="shared" si="4917"/>
        <v>0</v>
      </c>
      <c r="DG85" s="40">
        <f t="shared" si="4917"/>
        <v>0</v>
      </c>
      <c r="DH85" s="40">
        <f t="shared" si="4917"/>
        <v>0</v>
      </c>
      <c r="DI85" s="40">
        <f t="shared" si="4917"/>
        <v>0</v>
      </c>
      <c r="DJ85" s="40">
        <f t="shared" si="4917"/>
        <v>0</v>
      </c>
      <c r="DK85" s="40">
        <f t="shared" si="4917"/>
        <v>0</v>
      </c>
      <c r="DL85" s="40">
        <f t="shared" si="4917"/>
        <v>0</v>
      </c>
      <c r="DM85" s="40">
        <f t="shared" si="4917"/>
        <v>0</v>
      </c>
      <c r="DN85" s="40">
        <f t="shared" si="4917"/>
        <v>0</v>
      </c>
      <c r="DO85" s="40">
        <f t="shared" si="4917"/>
        <v>0</v>
      </c>
      <c r="DP85" s="40">
        <f t="shared" si="4917"/>
        <v>0</v>
      </c>
      <c r="DQ85" s="40">
        <f t="shared" si="4917"/>
        <v>0</v>
      </c>
      <c r="DR85" s="40">
        <f t="shared" si="4917"/>
        <v>0</v>
      </c>
      <c r="DS85" s="40">
        <f t="shared" si="4917"/>
        <v>0</v>
      </c>
      <c r="DT85" s="40">
        <f t="shared" si="4917"/>
        <v>0</v>
      </c>
      <c r="DU85" s="40">
        <f t="shared" si="4917"/>
        <v>0</v>
      </c>
      <c r="DV85" s="40">
        <f t="shared" si="4917"/>
        <v>0</v>
      </c>
      <c r="DW85" s="40">
        <f t="shared" si="4917"/>
        <v>0</v>
      </c>
      <c r="DX85" s="40">
        <f t="shared" si="4917"/>
        <v>0</v>
      </c>
      <c r="DY85" s="40">
        <f t="shared" si="4917"/>
        <v>0</v>
      </c>
      <c r="DZ85" s="40">
        <f t="shared" si="4917"/>
        <v>0</v>
      </c>
      <c r="EA85" s="40">
        <f t="shared" si="4917"/>
        <v>0</v>
      </c>
      <c r="EB85" s="40">
        <f t="shared" si="4917"/>
        <v>0</v>
      </c>
      <c r="EC85" s="40">
        <f t="shared" si="4917"/>
        <v>0</v>
      </c>
      <c r="ED85" s="40">
        <f t="shared" si="4917"/>
        <v>0</v>
      </c>
      <c r="EE85" s="40">
        <f t="shared" si="4917"/>
        <v>0</v>
      </c>
      <c r="EF85" s="40">
        <f t="shared" si="4917"/>
        <v>0</v>
      </c>
      <c r="EG85" s="40">
        <f t="shared" si="4917"/>
        <v>0</v>
      </c>
      <c r="EH85" s="40">
        <f t="shared" ref="EH85:GS85" si="4918">EH$65-EH$77-EH$83</f>
        <v>0</v>
      </c>
      <c r="EI85" s="40">
        <f t="shared" si="4918"/>
        <v>0</v>
      </c>
      <c r="EJ85" s="40">
        <f t="shared" si="4918"/>
        <v>0</v>
      </c>
      <c r="EK85" s="40">
        <f t="shared" si="4918"/>
        <v>0</v>
      </c>
      <c r="EL85" s="40">
        <f t="shared" si="4918"/>
        <v>0</v>
      </c>
      <c r="EM85" s="40">
        <f t="shared" si="4918"/>
        <v>0</v>
      </c>
      <c r="EN85" s="40">
        <f t="shared" si="4918"/>
        <v>0</v>
      </c>
      <c r="EO85" s="40">
        <f t="shared" si="4918"/>
        <v>0</v>
      </c>
      <c r="EP85" s="40">
        <f t="shared" si="4918"/>
        <v>0</v>
      </c>
      <c r="EQ85" s="40">
        <f t="shared" si="4918"/>
        <v>0</v>
      </c>
      <c r="ER85" s="40">
        <f t="shared" si="4918"/>
        <v>0</v>
      </c>
      <c r="ES85" s="40">
        <f t="shared" si="4918"/>
        <v>0</v>
      </c>
      <c r="ET85" s="40">
        <f t="shared" si="4918"/>
        <v>0</v>
      </c>
      <c r="EU85" s="40">
        <f t="shared" si="4918"/>
        <v>0</v>
      </c>
      <c r="EV85" s="40">
        <f t="shared" si="4918"/>
        <v>0</v>
      </c>
      <c r="EW85" s="40">
        <f t="shared" si="4918"/>
        <v>0</v>
      </c>
      <c r="EX85" s="40">
        <f t="shared" si="4918"/>
        <v>0</v>
      </c>
      <c r="EY85" s="40">
        <f t="shared" si="4918"/>
        <v>0</v>
      </c>
      <c r="EZ85" s="40">
        <f t="shared" si="4918"/>
        <v>0</v>
      </c>
      <c r="FA85" s="40">
        <f t="shared" si="4918"/>
        <v>0</v>
      </c>
      <c r="FB85" s="40">
        <f t="shared" si="4918"/>
        <v>0</v>
      </c>
      <c r="FC85" s="40">
        <f t="shared" si="4918"/>
        <v>0</v>
      </c>
      <c r="FD85" s="40">
        <f t="shared" si="4918"/>
        <v>0</v>
      </c>
      <c r="FE85" s="40">
        <f t="shared" si="4918"/>
        <v>0</v>
      </c>
      <c r="FF85" s="40">
        <f t="shared" si="4918"/>
        <v>0</v>
      </c>
      <c r="FG85" s="40">
        <f t="shared" si="4918"/>
        <v>0</v>
      </c>
      <c r="FH85" s="40">
        <f t="shared" si="4918"/>
        <v>0</v>
      </c>
      <c r="FI85" s="40">
        <f t="shared" si="4918"/>
        <v>0</v>
      </c>
      <c r="FJ85" s="40">
        <f t="shared" si="4918"/>
        <v>0</v>
      </c>
      <c r="FK85" s="40">
        <f t="shared" si="4918"/>
        <v>0</v>
      </c>
      <c r="FL85" s="40">
        <f t="shared" si="4918"/>
        <v>0</v>
      </c>
      <c r="FM85" s="40">
        <f t="shared" si="4918"/>
        <v>0</v>
      </c>
      <c r="FN85" s="40">
        <f t="shared" si="4918"/>
        <v>0</v>
      </c>
      <c r="FO85" s="40">
        <f t="shared" si="4918"/>
        <v>0</v>
      </c>
      <c r="FP85" s="40">
        <f t="shared" si="4918"/>
        <v>0</v>
      </c>
      <c r="FQ85" s="40">
        <f t="shared" si="4918"/>
        <v>0</v>
      </c>
      <c r="FR85" s="40">
        <f t="shared" si="4918"/>
        <v>0</v>
      </c>
      <c r="FS85" s="40">
        <f t="shared" si="4918"/>
        <v>0</v>
      </c>
      <c r="FT85" s="40">
        <f t="shared" si="4918"/>
        <v>0</v>
      </c>
      <c r="FU85" s="40">
        <f t="shared" si="4918"/>
        <v>0</v>
      </c>
      <c r="FV85" s="40">
        <f t="shared" si="4918"/>
        <v>0</v>
      </c>
      <c r="FW85" s="40">
        <f t="shared" si="4918"/>
        <v>0</v>
      </c>
      <c r="FX85" s="40">
        <f t="shared" si="4918"/>
        <v>0</v>
      </c>
      <c r="FY85" s="40">
        <f t="shared" si="4918"/>
        <v>0</v>
      </c>
      <c r="FZ85" s="40">
        <f t="shared" si="4918"/>
        <v>0</v>
      </c>
      <c r="GA85" s="40">
        <f t="shared" si="4918"/>
        <v>0</v>
      </c>
      <c r="GB85" s="40">
        <f t="shared" si="4918"/>
        <v>0</v>
      </c>
      <c r="GC85" s="40">
        <f t="shared" si="4918"/>
        <v>0</v>
      </c>
      <c r="GD85" s="40">
        <f t="shared" si="4918"/>
        <v>0</v>
      </c>
      <c r="GE85" s="40">
        <f t="shared" si="4918"/>
        <v>0</v>
      </c>
      <c r="GF85" s="40">
        <f t="shared" ca="1" si="4918"/>
        <v>0</v>
      </c>
      <c r="GG85" s="40">
        <f t="shared" ca="1" si="4918"/>
        <v>0</v>
      </c>
      <c r="GH85" s="40">
        <f t="shared" ca="1" si="4918"/>
        <v>0</v>
      </c>
      <c r="GI85" s="40">
        <f t="shared" ca="1" si="4918"/>
        <v>0</v>
      </c>
      <c r="GJ85" s="40">
        <f t="shared" ca="1" si="4918"/>
        <v>0</v>
      </c>
      <c r="GK85" s="40">
        <f t="shared" ca="1" si="4918"/>
        <v>0</v>
      </c>
      <c r="GL85" s="40">
        <f t="shared" ca="1" si="4918"/>
        <v>0</v>
      </c>
      <c r="GM85" s="40">
        <f t="shared" ca="1" si="4918"/>
        <v>0</v>
      </c>
      <c r="GN85" s="40">
        <f t="shared" ca="1" si="4918"/>
        <v>0</v>
      </c>
      <c r="GO85" s="40">
        <f t="shared" ca="1" si="4918"/>
        <v>0</v>
      </c>
      <c r="GP85" s="40">
        <f t="shared" ca="1" si="4918"/>
        <v>0</v>
      </c>
      <c r="GQ85" s="40">
        <f t="shared" ca="1" si="4918"/>
        <v>0</v>
      </c>
      <c r="GR85" s="40">
        <f t="shared" ca="1" si="4918"/>
        <v>0</v>
      </c>
      <c r="GS85" s="40">
        <f t="shared" ca="1" si="4918"/>
        <v>0</v>
      </c>
      <c r="GT85" s="40">
        <f t="shared" ref="GT85:JE85" ca="1" si="4919">GT$65-GT$77-GT$83</f>
        <v>0</v>
      </c>
      <c r="GU85" s="40">
        <f t="shared" ca="1" si="4919"/>
        <v>0</v>
      </c>
      <c r="GV85" s="40">
        <f t="shared" ca="1" si="4919"/>
        <v>0</v>
      </c>
      <c r="GW85" s="40">
        <f t="shared" ca="1" si="4919"/>
        <v>0</v>
      </c>
      <c r="GX85" s="40">
        <f t="shared" ca="1" si="4919"/>
        <v>0</v>
      </c>
      <c r="GY85" s="40">
        <f t="shared" ca="1" si="4919"/>
        <v>0</v>
      </c>
      <c r="GZ85" s="40">
        <f t="shared" ca="1" si="4919"/>
        <v>0</v>
      </c>
      <c r="HA85" s="40">
        <f t="shared" ca="1" si="4919"/>
        <v>0</v>
      </c>
      <c r="HB85" s="40">
        <f t="shared" ca="1" si="4919"/>
        <v>0</v>
      </c>
      <c r="HC85" s="40">
        <f t="shared" ca="1" si="4919"/>
        <v>0</v>
      </c>
      <c r="HD85" s="40">
        <f t="shared" ca="1" si="4919"/>
        <v>0</v>
      </c>
      <c r="HE85" s="40">
        <f t="shared" ca="1" si="4919"/>
        <v>0</v>
      </c>
      <c r="HF85" s="40">
        <f t="shared" ca="1" si="4919"/>
        <v>0</v>
      </c>
      <c r="HG85" s="40">
        <f t="shared" ca="1" si="4919"/>
        <v>0</v>
      </c>
      <c r="HH85" s="40">
        <f t="shared" ca="1" si="4919"/>
        <v>0</v>
      </c>
      <c r="HI85" s="40">
        <f t="shared" ca="1" si="4919"/>
        <v>0</v>
      </c>
      <c r="HJ85" s="40">
        <f t="shared" ca="1" si="4919"/>
        <v>0</v>
      </c>
      <c r="HK85" s="40">
        <f t="shared" ca="1" si="4919"/>
        <v>0</v>
      </c>
      <c r="HL85" s="40">
        <f t="shared" ca="1" si="4919"/>
        <v>0</v>
      </c>
      <c r="HM85" s="40">
        <f t="shared" ca="1" si="4919"/>
        <v>0</v>
      </c>
      <c r="HN85" s="40">
        <f t="shared" ca="1" si="4919"/>
        <v>0</v>
      </c>
      <c r="HO85" s="40">
        <f t="shared" ca="1" si="4919"/>
        <v>0</v>
      </c>
      <c r="HP85" s="40">
        <f t="shared" ca="1" si="4919"/>
        <v>0</v>
      </c>
      <c r="HQ85" s="40">
        <f t="shared" ca="1" si="4919"/>
        <v>0</v>
      </c>
      <c r="HR85" s="40">
        <f t="shared" ca="1" si="4919"/>
        <v>0</v>
      </c>
      <c r="HS85" s="40">
        <f t="shared" ca="1" si="4919"/>
        <v>0</v>
      </c>
      <c r="HT85" s="40">
        <f t="shared" ca="1" si="4919"/>
        <v>0</v>
      </c>
      <c r="HU85" s="40">
        <f t="shared" ca="1" si="4919"/>
        <v>0</v>
      </c>
      <c r="HV85" s="40">
        <f t="shared" ca="1" si="4919"/>
        <v>0</v>
      </c>
      <c r="HW85" s="40">
        <f t="shared" ca="1" si="4919"/>
        <v>0</v>
      </c>
      <c r="HX85" s="40">
        <f t="shared" ca="1" si="4919"/>
        <v>0</v>
      </c>
      <c r="HY85" s="40">
        <f t="shared" ca="1" si="4919"/>
        <v>0</v>
      </c>
      <c r="HZ85" s="40">
        <f t="shared" ca="1" si="4919"/>
        <v>0</v>
      </c>
      <c r="IA85" s="40">
        <f t="shared" ca="1" si="4919"/>
        <v>0</v>
      </c>
      <c r="IB85" s="40">
        <f t="shared" ca="1" si="4919"/>
        <v>0</v>
      </c>
      <c r="IC85" s="40">
        <f t="shared" ca="1" si="4919"/>
        <v>0</v>
      </c>
      <c r="ID85" s="40">
        <f t="shared" ca="1" si="4919"/>
        <v>0</v>
      </c>
      <c r="IE85" s="40">
        <f t="shared" ca="1" si="4919"/>
        <v>0</v>
      </c>
      <c r="IF85" s="40">
        <f t="shared" ca="1" si="4919"/>
        <v>0</v>
      </c>
      <c r="IG85" s="40">
        <f t="shared" ca="1" si="4919"/>
        <v>0</v>
      </c>
      <c r="IH85" s="40">
        <f t="shared" ca="1" si="4919"/>
        <v>0</v>
      </c>
      <c r="II85" s="40">
        <f t="shared" ca="1" si="4919"/>
        <v>0</v>
      </c>
      <c r="IJ85" s="40">
        <f t="shared" ca="1" si="4919"/>
        <v>0</v>
      </c>
      <c r="IK85" s="40">
        <f t="shared" ca="1" si="4919"/>
        <v>0</v>
      </c>
      <c r="IL85" s="40">
        <f t="shared" ca="1" si="4919"/>
        <v>0</v>
      </c>
      <c r="IM85" s="40">
        <f t="shared" ca="1" si="4919"/>
        <v>0</v>
      </c>
      <c r="IN85" s="40">
        <f t="shared" ca="1" si="4919"/>
        <v>0</v>
      </c>
      <c r="IO85" s="40">
        <f t="shared" ca="1" si="4919"/>
        <v>0</v>
      </c>
      <c r="IP85" s="40">
        <f t="shared" ca="1" si="4919"/>
        <v>0</v>
      </c>
      <c r="IQ85" s="40">
        <f t="shared" ca="1" si="4919"/>
        <v>0</v>
      </c>
      <c r="IR85" s="40">
        <f t="shared" ca="1" si="4919"/>
        <v>0</v>
      </c>
      <c r="IS85" s="40">
        <f t="shared" ca="1" si="4919"/>
        <v>0</v>
      </c>
      <c r="IT85" s="40">
        <f t="shared" ca="1" si="4919"/>
        <v>0</v>
      </c>
      <c r="IU85" s="40">
        <f t="shared" ca="1" si="4919"/>
        <v>0</v>
      </c>
      <c r="IV85" s="40">
        <f t="shared" ca="1" si="4919"/>
        <v>0</v>
      </c>
      <c r="IW85" s="40">
        <f t="shared" ca="1" si="4919"/>
        <v>0</v>
      </c>
      <c r="IX85" s="40">
        <f t="shared" ca="1" si="4919"/>
        <v>0</v>
      </c>
      <c r="IY85" s="40">
        <f t="shared" ca="1" si="4919"/>
        <v>0</v>
      </c>
      <c r="IZ85" s="40">
        <f t="shared" ca="1" si="4919"/>
        <v>0</v>
      </c>
      <c r="JA85" s="40">
        <f t="shared" ca="1" si="4919"/>
        <v>0</v>
      </c>
      <c r="JB85" s="40">
        <f t="shared" ca="1" si="4919"/>
        <v>0</v>
      </c>
      <c r="JC85" s="40">
        <f t="shared" ca="1" si="4919"/>
        <v>0</v>
      </c>
      <c r="JD85" s="40">
        <f t="shared" ca="1" si="4919"/>
        <v>0</v>
      </c>
      <c r="JE85" s="40">
        <f t="shared" ca="1" si="4919"/>
        <v>0</v>
      </c>
      <c r="JF85" s="40">
        <f t="shared" ref="JF85:LQ85" ca="1" si="4920">JF$65-JF$77-JF$83</f>
        <v>0</v>
      </c>
      <c r="JG85" s="40">
        <f t="shared" ca="1" si="4920"/>
        <v>0</v>
      </c>
      <c r="JH85" s="40">
        <f t="shared" ca="1" si="4920"/>
        <v>0</v>
      </c>
      <c r="JI85" s="40">
        <f t="shared" ca="1" si="4920"/>
        <v>0</v>
      </c>
      <c r="JJ85" s="40">
        <f t="shared" ca="1" si="4920"/>
        <v>0</v>
      </c>
      <c r="JK85" s="40">
        <f t="shared" ca="1" si="4920"/>
        <v>0</v>
      </c>
      <c r="JL85" s="40">
        <f t="shared" ca="1" si="4920"/>
        <v>0</v>
      </c>
      <c r="JM85" s="40">
        <f t="shared" ca="1" si="4920"/>
        <v>0</v>
      </c>
      <c r="JN85" s="40">
        <f t="shared" ca="1" si="4920"/>
        <v>0</v>
      </c>
      <c r="JO85" s="40">
        <f t="shared" ca="1" si="4920"/>
        <v>0</v>
      </c>
      <c r="JP85" s="40">
        <f t="shared" ca="1" si="4920"/>
        <v>0</v>
      </c>
      <c r="JQ85" s="40">
        <f t="shared" ca="1" si="4920"/>
        <v>0</v>
      </c>
      <c r="JR85" s="40">
        <f t="shared" ca="1" si="4920"/>
        <v>0</v>
      </c>
      <c r="JS85" s="40">
        <f t="shared" ca="1" si="4920"/>
        <v>0</v>
      </c>
      <c r="JT85" s="40">
        <f t="shared" ca="1" si="4920"/>
        <v>0</v>
      </c>
      <c r="JU85" s="40">
        <f t="shared" ca="1" si="4920"/>
        <v>0</v>
      </c>
      <c r="JV85" s="40">
        <f t="shared" ca="1" si="4920"/>
        <v>0</v>
      </c>
      <c r="JW85" s="40">
        <f t="shared" ca="1" si="4920"/>
        <v>0</v>
      </c>
      <c r="JX85" s="40">
        <f t="shared" ca="1" si="4920"/>
        <v>0</v>
      </c>
      <c r="JY85" s="40">
        <f t="shared" ca="1" si="4920"/>
        <v>0</v>
      </c>
      <c r="JZ85" s="40">
        <f t="shared" ca="1" si="4920"/>
        <v>0</v>
      </c>
      <c r="KA85" s="40">
        <f t="shared" ca="1" si="4920"/>
        <v>0</v>
      </c>
      <c r="KB85" s="40">
        <f t="shared" ca="1" si="4920"/>
        <v>0</v>
      </c>
      <c r="KC85" s="40">
        <f t="shared" ca="1" si="4920"/>
        <v>0</v>
      </c>
      <c r="KD85" s="40">
        <f t="shared" ca="1" si="4920"/>
        <v>0</v>
      </c>
      <c r="KE85" s="40">
        <f t="shared" ca="1" si="4920"/>
        <v>0</v>
      </c>
      <c r="KF85" s="40">
        <f t="shared" ca="1" si="4920"/>
        <v>0</v>
      </c>
      <c r="KG85" s="40">
        <f t="shared" ca="1" si="4920"/>
        <v>0</v>
      </c>
      <c r="KH85" s="40">
        <f t="shared" ca="1" si="4920"/>
        <v>0</v>
      </c>
      <c r="KI85" s="40">
        <f t="shared" ca="1" si="4920"/>
        <v>0</v>
      </c>
      <c r="KJ85" s="40">
        <f t="shared" ca="1" si="4920"/>
        <v>0</v>
      </c>
      <c r="KK85" s="40">
        <f t="shared" ca="1" si="4920"/>
        <v>0</v>
      </c>
      <c r="KL85" s="40">
        <f t="shared" ca="1" si="4920"/>
        <v>0</v>
      </c>
      <c r="KM85" s="40">
        <f t="shared" ca="1" si="4920"/>
        <v>0</v>
      </c>
      <c r="KN85" s="40">
        <f t="shared" ca="1" si="4920"/>
        <v>0</v>
      </c>
      <c r="KO85" s="40">
        <f t="shared" ca="1" si="4920"/>
        <v>0</v>
      </c>
      <c r="KP85" s="40">
        <f t="shared" ca="1" si="4920"/>
        <v>0</v>
      </c>
      <c r="KQ85" s="40">
        <f t="shared" ca="1" si="4920"/>
        <v>0</v>
      </c>
      <c r="KR85" s="40">
        <f t="shared" ca="1" si="4920"/>
        <v>0</v>
      </c>
      <c r="KS85" s="40">
        <f t="shared" ca="1" si="4920"/>
        <v>0</v>
      </c>
      <c r="KT85" s="40">
        <f t="shared" ca="1" si="4920"/>
        <v>0</v>
      </c>
      <c r="KU85" s="40">
        <f t="shared" ca="1" si="4920"/>
        <v>0</v>
      </c>
      <c r="KV85" s="40">
        <f t="shared" ca="1" si="4920"/>
        <v>0</v>
      </c>
      <c r="KW85" s="40">
        <f t="shared" ca="1" si="4920"/>
        <v>0</v>
      </c>
      <c r="KX85" s="40">
        <f t="shared" ca="1" si="4920"/>
        <v>0</v>
      </c>
      <c r="KY85" s="40">
        <f t="shared" ca="1" si="4920"/>
        <v>0</v>
      </c>
      <c r="KZ85" s="40">
        <f t="shared" ca="1" si="4920"/>
        <v>0</v>
      </c>
      <c r="LA85" s="40">
        <f t="shared" ca="1" si="4920"/>
        <v>0</v>
      </c>
      <c r="LB85" s="40">
        <f t="shared" ca="1" si="4920"/>
        <v>0</v>
      </c>
      <c r="LC85" s="40">
        <f t="shared" ca="1" si="4920"/>
        <v>0</v>
      </c>
      <c r="LD85" s="40">
        <f t="shared" ca="1" si="4920"/>
        <v>0</v>
      </c>
      <c r="LE85" s="40">
        <f t="shared" ca="1" si="4920"/>
        <v>0</v>
      </c>
      <c r="LF85" s="40">
        <f t="shared" ca="1" si="4920"/>
        <v>0</v>
      </c>
      <c r="LG85" s="40">
        <f t="shared" ca="1" si="4920"/>
        <v>0</v>
      </c>
      <c r="LH85" s="40">
        <f t="shared" ca="1" si="4920"/>
        <v>0</v>
      </c>
      <c r="LI85" s="40">
        <f t="shared" ca="1" si="4920"/>
        <v>0</v>
      </c>
      <c r="LJ85" s="40">
        <f t="shared" ca="1" si="4920"/>
        <v>0</v>
      </c>
      <c r="LK85" s="40">
        <f t="shared" ca="1" si="4920"/>
        <v>0</v>
      </c>
      <c r="LL85" s="40">
        <f t="shared" ca="1" si="4920"/>
        <v>0</v>
      </c>
      <c r="LM85" s="40">
        <f t="shared" ca="1" si="4920"/>
        <v>0</v>
      </c>
      <c r="LN85" s="40">
        <f t="shared" ca="1" si="4920"/>
        <v>0</v>
      </c>
      <c r="LO85" s="40">
        <f t="shared" ca="1" si="4920"/>
        <v>0</v>
      </c>
      <c r="LP85" s="40">
        <f t="shared" ca="1" si="4920"/>
        <v>0</v>
      </c>
      <c r="LQ85" s="40">
        <f t="shared" ca="1" si="4920"/>
        <v>0</v>
      </c>
      <c r="LR85" s="40">
        <f t="shared" ref="LR85:ND85" ca="1" si="4921">LR$65-LR$77-LR$83</f>
        <v>0</v>
      </c>
      <c r="LS85" s="40">
        <f t="shared" ca="1" si="4921"/>
        <v>0</v>
      </c>
      <c r="LT85" s="40">
        <f t="shared" ca="1" si="4921"/>
        <v>0</v>
      </c>
      <c r="LU85" s="40">
        <f t="shared" ca="1" si="4921"/>
        <v>0</v>
      </c>
      <c r="LV85" s="40">
        <f t="shared" ca="1" si="4921"/>
        <v>0</v>
      </c>
      <c r="LW85" s="40">
        <f t="shared" ca="1" si="4921"/>
        <v>0</v>
      </c>
      <c r="LX85" s="40">
        <f t="shared" ca="1" si="4921"/>
        <v>0</v>
      </c>
      <c r="LY85" s="40">
        <f t="shared" ca="1" si="4921"/>
        <v>0</v>
      </c>
      <c r="LZ85" s="40">
        <f t="shared" ca="1" si="4921"/>
        <v>0</v>
      </c>
      <c r="MA85" s="40">
        <f t="shared" ca="1" si="4921"/>
        <v>0</v>
      </c>
      <c r="MB85" s="40">
        <f t="shared" ca="1" si="4921"/>
        <v>0</v>
      </c>
      <c r="MC85" s="40">
        <f t="shared" ca="1" si="4921"/>
        <v>0</v>
      </c>
      <c r="MD85" s="40">
        <f t="shared" ca="1" si="4921"/>
        <v>0</v>
      </c>
      <c r="ME85" s="40">
        <f t="shared" ca="1" si="4921"/>
        <v>0</v>
      </c>
      <c r="MF85" s="40">
        <f t="shared" ca="1" si="4921"/>
        <v>0</v>
      </c>
      <c r="MG85" s="40">
        <f t="shared" ca="1" si="4921"/>
        <v>0</v>
      </c>
      <c r="MH85" s="40">
        <f t="shared" ca="1" si="4921"/>
        <v>0</v>
      </c>
      <c r="MI85" s="40">
        <f t="shared" ca="1" si="4921"/>
        <v>0</v>
      </c>
      <c r="MJ85" s="40">
        <f t="shared" ca="1" si="4921"/>
        <v>0</v>
      </c>
      <c r="MK85" s="40">
        <f t="shared" ca="1" si="4921"/>
        <v>0</v>
      </c>
      <c r="ML85" s="40">
        <f t="shared" ca="1" si="4921"/>
        <v>0</v>
      </c>
      <c r="MM85" s="40">
        <f t="shared" ca="1" si="4921"/>
        <v>0</v>
      </c>
      <c r="MN85" s="40">
        <f t="shared" ca="1" si="4921"/>
        <v>0</v>
      </c>
      <c r="MO85" s="40">
        <f t="shared" ca="1" si="4921"/>
        <v>0</v>
      </c>
      <c r="MP85" s="40">
        <f t="shared" ca="1" si="4921"/>
        <v>0</v>
      </c>
      <c r="MQ85" s="40">
        <f t="shared" ca="1" si="4921"/>
        <v>0</v>
      </c>
      <c r="MR85" s="40">
        <f t="shared" ca="1" si="4921"/>
        <v>0</v>
      </c>
      <c r="MS85" s="40">
        <f t="shared" ca="1" si="4921"/>
        <v>0</v>
      </c>
      <c r="MT85" s="40">
        <f t="shared" ca="1" si="4921"/>
        <v>0</v>
      </c>
      <c r="MU85" s="40">
        <f t="shared" ca="1" si="4921"/>
        <v>0</v>
      </c>
      <c r="MV85" s="40">
        <f t="shared" ca="1" si="4921"/>
        <v>0</v>
      </c>
      <c r="MW85" s="40">
        <f t="shared" ca="1" si="4921"/>
        <v>0</v>
      </c>
      <c r="MX85" s="40">
        <f t="shared" ca="1" si="4921"/>
        <v>0</v>
      </c>
      <c r="MY85" s="40">
        <f t="shared" ca="1" si="4921"/>
        <v>0</v>
      </c>
      <c r="MZ85" s="40">
        <f t="shared" ca="1" si="4921"/>
        <v>0</v>
      </c>
      <c r="NA85" s="40">
        <f t="shared" ca="1" si="4921"/>
        <v>0</v>
      </c>
      <c r="NB85" s="40">
        <f t="shared" ca="1" si="4921"/>
        <v>0</v>
      </c>
      <c r="NC85" s="40">
        <f t="shared" ca="1" si="4921"/>
        <v>0</v>
      </c>
      <c r="ND85" s="40">
        <f t="shared" ca="1" si="4921"/>
        <v>0</v>
      </c>
      <c r="NE85" s="40"/>
      <c r="NF85" s="40"/>
      <c r="NG85" s="40"/>
      <c r="NH85" s="40"/>
      <c r="NI85" s="40"/>
      <c r="NJ85" s="40"/>
      <c r="NK85" s="40"/>
      <c r="NL85" s="40"/>
      <c r="NM85" s="40"/>
      <c r="NN85" s="40"/>
      <c r="NO85" s="40"/>
      <c r="NP85" s="40"/>
      <c r="NQ85" s="40"/>
      <c r="NR85" s="40"/>
    </row>
    <row r="86" spans="2:382" ht="11" customHeight="1" x14ac:dyDescent="0.15">
      <c r="B86" s="520" t="s">
        <v>176</v>
      </c>
      <c r="G86" s="118"/>
      <c r="I86" s="40"/>
      <c r="J86" s="40"/>
      <c r="K86" s="40"/>
      <c r="L86" s="40"/>
      <c r="M86" s="40"/>
      <c r="N86" s="40"/>
      <c r="O86" s="40"/>
      <c r="P86" s="40"/>
      <c r="Q86" s="40"/>
      <c r="R86" s="40"/>
      <c r="S86" s="40"/>
      <c r="T86" s="40"/>
      <c r="U86" s="40"/>
      <c r="V86" s="40"/>
      <c r="W86" s="40"/>
      <c r="X86" s="40"/>
      <c r="Y86" s="40"/>
      <c r="Z86" s="40"/>
      <c r="AA86" s="40"/>
      <c r="AB86" s="40"/>
      <c r="AC86" s="40"/>
      <c r="AD86" s="40"/>
      <c r="AE86" s="40"/>
      <c r="AF86" s="40"/>
      <c r="AG86" s="40"/>
      <c r="AH86" s="40"/>
      <c r="AI86" s="40"/>
      <c r="AJ86" s="40"/>
      <c r="AK86" s="40"/>
      <c r="AL86" s="40"/>
      <c r="AM86" s="40"/>
      <c r="AN86" s="40"/>
      <c r="AO86" s="40"/>
      <c r="AP86" s="40"/>
      <c r="AQ86" s="40"/>
      <c r="AR86" s="40"/>
      <c r="AS86" s="40"/>
      <c r="AT86" s="40"/>
      <c r="AU86" s="40"/>
      <c r="AV86" s="40"/>
      <c r="AW86" s="40"/>
      <c r="AX86" s="40"/>
      <c r="AY86" s="40"/>
      <c r="AZ86" s="40"/>
      <c r="BA86" s="40"/>
      <c r="BB86" s="40"/>
      <c r="BC86" s="40"/>
      <c r="BD86" s="40"/>
      <c r="BE86" s="40"/>
      <c r="BF86" s="40"/>
      <c r="BG86" s="40"/>
      <c r="BH86" s="40"/>
      <c r="BI86" s="40"/>
      <c r="BJ86" s="40"/>
      <c r="BK86" s="40"/>
      <c r="BL86" s="40"/>
      <c r="BM86" s="40"/>
      <c r="BN86" s="40"/>
      <c r="BO86" s="40"/>
      <c r="BP86" s="40"/>
      <c r="BQ86" s="40"/>
      <c r="BR86" s="40"/>
      <c r="BS86" s="40"/>
      <c r="BT86" s="40"/>
      <c r="BU86" s="40"/>
      <c r="BV86" s="40"/>
      <c r="BW86" s="40"/>
      <c r="BX86" s="40"/>
      <c r="BY86" s="40"/>
      <c r="BZ86" s="40"/>
      <c r="CA86" s="40"/>
      <c r="CB86" s="40"/>
      <c r="CC86" s="40"/>
      <c r="CD86" s="40"/>
      <c r="CE86" s="40"/>
      <c r="CF86" s="40"/>
      <c r="CG86" s="40"/>
      <c r="CH86" s="40"/>
      <c r="CI86" s="40"/>
      <c r="CJ86" s="40"/>
      <c r="CK86" s="40"/>
      <c r="CL86" s="40"/>
      <c r="CM86" s="40"/>
      <c r="CN86" s="40"/>
      <c r="CO86" s="40"/>
      <c r="CP86" s="40"/>
      <c r="CQ86" s="40"/>
      <c r="CR86" s="40"/>
      <c r="CS86" s="40"/>
      <c r="CT86" s="40"/>
      <c r="CU86" s="40"/>
      <c r="CV86" s="40"/>
      <c r="CW86" s="40"/>
      <c r="CX86" s="40"/>
      <c r="CY86" s="40"/>
      <c r="CZ86" s="40"/>
      <c r="DA86" s="40"/>
      <c r="DB86" s="40"/>
      <c r="DC86" s="40"/>
      <c r="DD86" s="40"/>
      <c r="DE86" s="40"/>
      <c r="DF86" s="40"/>
      <c r="DG86" s="40"/>
      <c r="DH86" s="40"/>
      <c r="DI86" s="40"/>
      <c r="DJ86" s="40"/>
      <c r="DK86" s="40"/>
      <c r="DL86" s="40"/>
      <c r="DM86" s="40"/>
      <c r="DN86" s="40"/>
      <c r="DO86" s="40"/>
      <c r="DP86" s="40"/>
      <c r="DQ86" s="40"/>
      <c r="DR86" s="40"/>
      <c r="DS86" s="40"/>
      <c r="DT86" s="40"/>
      <c r="DU86" s="40"/>
      <c r="DV86" s="40"/>
      <c r="DW86" s="40"/>
      <c r="DX86" s="40"/>
      <c r="DY86" s="40"/>
      <c r="DZ86" s="40"/>
      <c r="EA86" s="40"/>
      <c r="EB86" s="40"/>
      <c r="EC86" s="40"/>
      <c r="ED86" s="40"/>
      <c r="EE86" s="40"/>
      <c r="EF86" s="40"/>
      <c r="EG86" s="40"/>
      <c r="EH86" s="40"/>
      <c r="EI86" s="40"/>
      <c r="EJ86" s="40"/>
      <c r="EK86" s="40"/>
      <c r="EL86" s="40"/>
      <c r="EM86" s="40"/>
      <c r="EN86" s="40"/>
      <c r="EO86" s="40"/>
      <c r="EP86" s="40"/>
      <c r="EQ86" s="40"/>
      <c r="ER86" s="40"/>
      <c r="ES86" s="40"/>
      <c r="ET86" s="40"/>
      <c r="EU86" s="40"/>
      <c r="EV86" s="40"/>
      <c r="EW86" s="40"/>
      <c r="EX86" s="40"/>
      <c r="EY86" s="40"/>
      <c r="EZ86" s="40"/>
      <c r="FA86" s="40"/>
      <c r="FB86" s="40"/>
      <c r="FC86" s="40"/>
      <c r="FD86" s="40"/>
      <c r="FE86" s="40"/>
      <c r="FF86" s="40"/>
      <c r="FG86" s="40"/>
      <c r="FH86" s="40"/>
      <c r="FI86" s="40"/>
      <c r="FJ86" s="40"/>
      <c r="FK86" s="40"/>
      <c r="FL86" s="40"/>
      <c r="FM86" s="40"/>
      <c r="FN86" s="40"/>
      <c r="FO86" s="40"/>
      <c r="FP86" s="40"/>
      <c r="FQ86" s="40"/>
      <c r="FR86" s="40"/>
      <c r="FS86" s="40"/>
      <c r="FT86" s="40"/>
      <c r="FU86" s="40"/>
      <c r="FV86" s="40"/>
      <c r="FW86" s="40"/>
      <c r="FX86" s="40"/>
      <c r="FY86" s="40"/>
      <c r="FZ86" s="40"/>
      <c r="GA86" s="40"/>
      <c r="GB86" s="40"/>
      <c r="GC86" s="40"/>
      <c r="GD86" s="40"/>
      <c r="GE86" s="40"/>
      <c r="GF86" s="40"/>
      <c r="GG86" s="40"/>
      <c r="GH86" s="40"/>
      <c r="GI86" s="40"/>
      <c r="GJ86" s="40"/>
      <c r="GK86" s="40"/>
      <c r="GL86" s="40"/>
      <c r="GM86" s="40"/>
      <c r="GN86" s="40"/>
      <c r="GO86" s="40"/>
      <c r="GP86" s="40"/>
      <c r="GQ86" s="40"/>
      <c r="GR86" s="40"/>
      <c r="GS86" s="40"/>
      <c r="GT86" s="40"/>
      <c r="GU86" s="40"/>
      <c r="GV86" s="40"/>
      <c r="GW86" s="40"/>
      <c r="GX86" s="40"/>
      <c r="GY86" s="40"/>
      <c r="GZ86" s="40"/>
      <c r="HA86" s="40"/>
      <c r="HB86" s="40"/>
      <c r="HC86" s="40"/>
      <c r="HD86" s="40"/>
      <c r="HE86" s="40"/>
      <c r="HF86" s="40"/>
      <c r="HG86" s="40"/>
      <c r="HH86" s="40"/>
      <c r="HI86" s="40"/>
      <c r="HJ86" s="40"/>
      <c r="HK86" s="40"/>
      <c r="HL86" s="40"/>
      <c r="HM86" s="40"/>
      <c r="HN86" s="40"/>
      <c r="HO86" s="40"/>
      <c r="HP86" s="40"/>
      <c r="HQ86" s="40"/>
      <c r="HR86" s="40"/>
      <c r="HS86" s="40"/>
      <c r="HT86" s="40"/>
      <c r="HU86" s="40"/>
      <c r="HV86" s="40"/>
      <c r="HW86" s="40"/>
      <c r="HX86" s="40"/>
      <c r="HY86" s="40"/>
      <c r="HZ86" s="40"/>
      <c r="IA86" s="40"/>
      <c r="IB86" s="40"/>
      <c r="IC86" s="40"/>
      <c r="ID86" s="40"/>
      <c r="IE86" s="40"/>
      <c r="IF86" s="40"/>
      <c r="IG86" s="40"/>
      <c r="IH86" s="40"/>
      <c r="II86" s="40"/>
      <c r="IJ86" s="40"/>
      <c r="IK86" s="40"/>
      <c r="IL86" s="40"/>
      <c r="IM86" s="40"/>
      <c r="IN86" s="40"/>
      <c r="IO86" s="40"/>
      <c r="IP86" s="40"/>
      <c r="IQ86" s="40"/>
      <c r="IR86" s="40"/>
      <c r="IS86" s="40"/>
      <c r="IT86" s="40"/>
      <c r="IU86" s="40"/>
      <c r="IV86" s="40"/>
      <c r="IW86" s="40"/>
      <c r="IX86" s="40"/>
      <c r="IY86" s="40"/>
      <c r="IZ86" s="40"/>
      <c r="JA86" s="40"/>
      <c r="JB86" s="40"/>
      <c r="JC86" s="40"/>
      <c r="JD86" s="40"/>
      <c r="JE86" s="40"/>
      <c r="JF86" s="40"/>
      <c r="JG86" s="40"/>
      <c r="JH86" s="40"/>
      <c r="JI86" s="40"/>
      <c r="JJ86" s="40"/>
      <c r="JK86" s="40"/>
      <c r="JL86" s="40"/>
      <c r="JM86" s="40"/>
      <c r="JN86" s="40"/>
      <c r="JO86" s="40"/>
      <c r="JP86" s="40"/>
      <c r="JQ86" s="40"/>
      <c r="JR86" s="40"/>
      <c r="JS86" s="40"/>
      <c r="JT86" s="40"/>
      <c r="JU86" s="40"/>
      <c r="JV86" s="40"/>
      <c r="JW86" s="40"/>
      <c r="JX86" s="40"/>
      <c r="JY86" s="40"/>
      <c r="JZ86" s="40"/>
      <c r="KA86" s="40"/>
      <c r="KB86" s="40"/>
      <c r="KC86" s="40"/>
      <c r="KD86" s="40"/>
      <c r="KE86" s="40"/>
      <c r="KF86" s="40"/>
      <c r="KG86" s="40"/>
      <c r="KH86" s="40"/>
      <c r="KI86" s="40"/>
      <c r="KJ86" s="40"/>
      <c r="KK86" s="40"/>
      <c r="KL86" s="40"/>
      <c r="KM86" s="40"/>
      <c r="KN86" s="40"/>
      <c r="KO86" s="40"/>
      <c r="KP86" s="40"/>
      <c r="KQ86" s="40"/>
      <c r="KR86" s="40"/>
      <c r="KS86" s="40"/>
      <c r="KT86" s="40"/>
      <c r="KU86" s="40"/>
      <c r="KV86" s="40"/>
      <c r="KW86" s="40"/>
      <c r="KX86" s="40"/>
      <c r="KY86" s="40"/>
      <c r="KZ86" s="40"/>
      <c r="LA86" s="40"/>
      <c r="LB86" s="40"/>
      <c r="LC86" s="40"/>
      <c r="LD86" s="40"/>
      <c r="LE86" s="40"/>
      <c r="LF86" s="40"/>
      <c r="LG86" s="40"/>
      <c r="LH86" s="40"/>
      <c r="LI86" s="40"/>
      <c r="LJ86" s="40"/>
      <c r="LK86" s="40"/>
      <c r="LL86" s="40"/>
      <c r="LM86" s="40"/>
      <c r="LN86" s="40"/>
      <c r="LO86" s="40"/>
      <c r="LP86" s="40"/>
      <c r="LQ86" s="40"/>
      <c r="LR86" s="40"/>
      <c r="LS86" s="40"/>
      <c r="LT86" s="40"/>
      <c r="LU86" s="40"/>
      <c r="LV86" s="40"/>
      <c r="LW86" s="40"/>
      <c r="LX86" s="40"/>
      <c r="LY86" s="40"/>
      <c r="LZ86" s="40"/>
      <c r="MA86" s="40"/>
      <c r="MB86" s="40"/>
      <c r="MC86" s="40"/>
      <c r="MD86" s="40"/>
      <c r="ME86" s="40"/>
      <c r="MF86" s="40"/>
      <c r="MG86" s="40"/>
      <c r="MH86" s="40"/>
      <c r="MI86" s="40"/>
      <c r="MJ86" s="40"/>
      <c r="MK86" s="40"/>
      <c r="ML86" s="40"/>
      <c r="MM86" s="40"/>
      <c r="MN86" s="40"/>
      <c r="MO86" s="40"/>
      <c r="MP86" s="40"/>
      <c r="MQ86" s="40"/>
      <c r="MR86" s="40"/>
      <c r="MS86" s="40"/>
      <c r="MT86" s="40"/>
      <c r="MU86" s="40"/>
      <c r="MV86" s="40"/>
      <c r="MW86" s="40"/>
      <c r="MX86" s="40"/>
      <c r="MY86" s="40"/>
      <c r="MZ86" s="40"/>
      <c r="NA86" s="40"/>
      <c r="NB86" s="40"/>
      <c r="NC86" s="40"/>
      <c r="ND86" s="40"/>
      <c r="NE86" s="40"/>
      <c r="NF86" s="40"/>
      <c r="NG86" s="40"/>
      <c r="NH86" s="40"/>
      <c r="NI86" s="40"/>
      <c r="NJ86" s="40"/>
      <c r="NK86" s="40"/>
      <c r="NL86" s="40"/>
      <c r="NM86" s="40"/>
      <c r="NN86" s="40"/>
      <c r="NO86" s="40"/>
      <c r="NP86" s="40"/>
      <c r="NQ86" s="40"/>
      <c r="NR86" s="40"/>
    </row>
    <row r="87" spans="2:382" x14ac:dyDescent="0.15">
      <c r="B87" s="520"/>
      <c r="C87" t="s">
        <v>177</v>
      </c>
      <c r="D87" s="5">
        <f>K15</f>
        <v>0.30000000000000004</v>
      </c>
      <c r="G87" s="118"/>
      <c r="I87" s="40">
        <f>MAX(0,$D$87*I$23)</f>
        <v>0</v>
      </c>
      <c r="J87" s="40">
        <f>MAX(0,$D$87*J$23)</f>
        <v>0</v>
      </c>
      <c r="K87" s="40">
        <f t="shared" ref="K87:BV87" si="4922">MAX(0,$D$87*K$23)</f>
        <v>0</v>
      </c>
      <c r="L87" s="40">
        <f t="shared" si="4922"/>
        <v>0</v>
      </c>
      <c r="M87" s="40">
        <f t="shared" si="4922"/>
        <v>0</v>
      </c>
      <c r="N87" s="40">
        <f t="shared" si="4922"/>
        <v>0</v>
      </c>
      <c r="O87" s="40">
        <f t="shared" si="4922"/>
        <v>0</v>
      </c>
      <c r="P87" s="40">
        <f t="shared" si="4922"/>
        <v>0</v>
      </c>
      <c r="Q87" s="40">
        <f t="shared" si="4922"/>
        <v>0</v>
      </c>
      <c r="R87" s="40">
        <f t="shared" si="4922"/>
        <v>0</v>
      </c>
      <c r="S87" s="40">
        <f t="shared" si="4922"/>
        <v>0</v>
      </c>
      <c r="T87" s="40">
        <f t="shared" si="4922"/>
        <v>0</v>
      </c>
      <c r="U87" s="40">
        <f t="shared" si="4922"/>
        <v>0</v>
      </c>
      <c r="V87" s="40">
        <f t="shared" si="4922"/>
        <v>0</v>
      </c>
      <c r="W87" s="40">
        <f t="shared" si="4922"/>
        <v>0</v>
      </c>
      <c r="X87" s="40">
        <f t="shared" si="4922"/>
        <v>0</v>
      </c>
      <c r="Y87" s="40">
        <f t="shared" si="4922"/>
        <v>0</v>
      </c>
      <c r="Z87" s="40">
        <f t="shared" si="4922"/>
        <v>0</v>
      </c>
      <c r="AA87" s="40">
        <f t="shared" si="4922"/>
        <v>0</v>
      </c>
      <c r="AB87" s="40">
        <f t="shared" si="4922"/>
        <v>0</v>
      </c>
      <c r="AC87" s="40">
        <f t="shared" si="4922"/>
        <v>0</v>
      </c>
      <c r="AD87" s="40">
        <f t="shared" si="4922"/>
        <v>0</v>
      </c>
      <c r="AE87" s="40">
        <f t="shared" si="4922"/>
        <v>0</v>
      </c>
      <c r="AF87" s="40">
        <f t="shared" si="4922"/>
        <v>0</v>
      </c>
      <c r="AG87" s="40">
        <f t="shared" si="4922"/>
        <v>0</v>
      </c>
      <c r="AH87" s="40">
        <f t="shared" si="4922"/>
        <v>0</v>
      </c>
      <c r="AI87" s="40">
        <f t="shared" si="4922"/>
        <v>0</v>
      </c>
      <c r="AJ87" s="40">
        <f t="shared" si="4922"/>
        <v>0</v>
      </c>
      <c r="AK87" s="40">
        <f t="shared" si="4922"/>
        <v>0</v>
      </c>
      <c r="AL87" s="40">
        <f t="shared" si="4922"/>
        <v>0</v>
      </c>
      <c r="AM87" s="40">
        <f t="shared" si="4922"/>
        <v>0</v>
      </c>
      <c r="AN87" s="40">
        <f t="shared" si="4922"/>
        <v>0</v>
      </c>
      <c r="AO87" s="40">
        <f t="shared" si="4922"/>
        <v>0</v>
      </c>
      <c r="AP87" s="40">
        <f t="shared" si="4922"/>
        <v>0</v>
      </c>
      <c r="AQ87" s="40">
        <f t="shared" si="4922"/>
        <v>0</v>
      </c>
      <c r="AR87" s="40">
        <f t="shared" si="4922"/>
        <v>0</v>
      </c>
      <c r="AS87" s="40">
        <f t="shared" si="4922"/>
        <v>110.72524415783775</v>
      </c>
      <c r="AT87" s="40">
        <f t="shared" si="4922"/>
        <v>110.72524415783775</v>
      </c>
      <c r="AU87" s="40">
        <f t="shared" si="4922"/>
        <v>110.72524415783775</v>
      </c>
      <c r="AV87" s="40">
        <f t="shared" si="4922"/>
        <v>110.72524415783775</v>
      </c>
      <c r="AW87" s="40">
        <f t="shared" si="4922"/>
        <v>110.72524415783775</v>
      </c>
      <c r="AX87" s="40">
        <f t="shared" si="4922"/>
        <v>110.72524415783775</v>
      </c>
      <c r="AY87" s="40">
        <f t="shared" si="4922"/>
        <v>110.72524415783775</v>
      </c>
      <c r="AZ87" s="40">
        <f t="shared" si="4922"/>
        <v>110.72524415783775</v>
      </c>
      <c r="BA87" s="40">
        <f t="shared" si="4922"/>
        <v>110.72524415783775</v>
      </c>
      <c r="BB87" s="40">
        <f t="shared" si="4922"/>
        <v>110.72524415783775</v>
      </c>
      <c r="BC87" s="40">
        <f t="shared" si="4922"/>
        <v>110.72524415783775</v>
      </c>
      <c r="BD87" s="40">
        <f t="shared" si="4922"/>
        <v>110.72524415783775</v>
      </c>
      <c r="BE87" s="40">
        <f t="shared" si="4922"/>
        <v>393.76442143734897</v>
      </c>
      <c r="BF87" s="40">
        <f t="shared" si="4922"/>
        <v>393.76442143734897</v>
      </c>
      <c r="BG87" s="40">
        <f t="shared" si="4922"/>
        <v>393.76442143734897</v>
      </c>
      <c r="BH87" s="40">
        <f t="shared" si="4922"/>
        <v>393.76442143734897</v>
      </c>
      <c r="BI87" s="40">
        <f t="shared" si="4922"/>
        <v>393.76442143734897</v>
      </c>
      <c r="BJ87" s="40">
        <f t="shared" si="4922"/>
        <v>393.76442143734897</v>
      </c>
      <c r="BK87" s="40">
        <f t="shared" si="4922"/>
        <v>393.76442143734897</v>
      </c>
      <c r="BL87" s="40">
        <f t="shared" si="4922"/>
        <v>393.76442143734897</v>
      </c>
      <c r="BM87" s="40">
        <f t="shared" si="4922"/>
        <v>393.76442143734897</v>
      </c>
      <c r="BN87" s="40">
        <f t="shared" si="4922"/>
        <v>393.76442143734897</v>
      </c>
      <c r="BO87" s="40">
        <f t="shared" si="4922"/>
        <v>393.76442143734897</v>
      </c>
      <c r="BP87" s="40">
        <f t="shared" si="4922"/>
        <v>393.76442143734897</v>
      </c>
      <c r="BQ87" s="40">
        <f t="shared" si="4922"/>
        <v>685.68804493039875</v>
      </c>
      <c r="BR87" s="40">
        <f t="shared" si="4922"/>
        <v>685.68804493039875</v>
      </c>
      <c r="BS87" s="40">
        <f t="shared" si="4922"/>
        <v>685.68804493039875</v>
      </c>
      <c r="BT87" s="40">
        <f t="shared" si="4922"/>
        <v>685.68804493039875</v>
      </c>
      <c r="BU87" s="40">
        <f t="shared" si="4922"/>
        <v>685.68804493039875</v>
      </c>
      <c r="BV87" s="40">
        <f t="shared" si="4922"/>
        <v>685.68804493039875</v>
      </c>
      <c r="BW87" s="40">
        <f t="shared" ref="BW87:EH87" si="4923">MAX(0,$D$87*BW$23)</f>
        <v>685.68804493039875</v>
      </c>
      <c r="BX87" s="40">
        <f t="shared" si="4923"/>
        <v>685.68804493039875</v>
      </c>
      <c r="BY87" s="40">
        <f t="shared" si="4923"/>
        <v>685.68804493039875</v>
      </c>
      <c r="BZ87" s="40">
        <f t="shared" si="4923"/>
        <v>685.68804493039875</v>
      </c>
      <c r="CA87" s="40">
        <f t="shared" si="4923"/>
        <v>685.68804493039875</v>
      </c>
      <c r="CB87" s="40">
        <f t="shared" si="4923"/>
        <v>685.68804493039875</v>
      </c>
      <c r="CC87" s="40">
        <f t="shared" si="4923"/>
        <v>986.77104027638097</v>
      </c>
      <c r="CD87" s="40">
        <f t="shared" si="4923"/>
        <v>986.77104027638097</v>
      </c>
      <c r="CE87" s="40">
        <f t="shared" si="4923"/>
        <v>986.77104027638097</v>
      </c>
      <c r="CF87" s="40">
        <f t="shared" si="4923"/>
        <v>986.77104027638097</v>
      </c>
      <c r="CG87" s="40">
        <f t="shared" si="4923"/>
        <v>986.77104027638097</v>
      </c>
      <c r="CH87" s="40">
        <f t="shared" si="4923"/>
        <v>986.77104027638097</v>
      </c>
      <c r="CI87" s="40">
        <f t="shared" si="4923"/>
        <v>986.77104027638097</v>
      </c>
      <c r="CJ87" s="40">
        <f t="shared" si="4923"/>
        <v>986.77104027638097</v>
      </c>
      <c r="CK87" s="40">
        <f t="shared" si="4923"/>
        <v>986.77104027638097</v>
      </c>
      <c r="CL87" s="40">
        <f t="shared" si="4923"/>
        <v>986.77104027638097</v>
      </c>
      <c r="CM87" s="40">
        <f t="shared" si="4923"/>
        <v>986.77104027638097</v>
      </c>
      <c r="CN87" s="40">
        <f t="shared" si="4923"/>
        <v>986.77104027638097</v>
      </c>
      <c r="CO87" s="40">
        <f t="shared" si="4923"/>
        <v>1297.2967618998041</v>
      </c>
      <c r="CP87" s="40">
        <f t="shared" si="4923"/>
        <v>1297.2967618998041</v>
      </c>
      <c r="CQ87" s="40">
        <f t="shared" si="4923"/>
        <v>1297.2967618998041</v>
      </c>
      <c r="CR87" s="40">
        <f t="shared" si="4923"/>
        <v>1297.2967618998041</v>
      </c>
      <c r="CS87" s="40">
        <f t="shared" si="4923"/>
        <v>1297.2967618998041</v>
      </c>
      <c r="CT87" s="40">
        <f t="shared" si="4923"/>
        <v>1297.2967618998041</v>
      </c>
      <c r="CU87" s="40">
        <f t="shared" si="4923"/>
        <v>1297.2967618998041</v>
      </c>
      <c r="CV87" s="40">
        <f t="shared" si="4923"/>
        <v>1297.2967618998041</v>
      </c>
      <c r="CW87" s="40">
        <f t="shared" si="4923"/>
        <v>1297.2967618998041</v>
      </c>
      <c r="CX87" s="40">
        <f t="shared" si="4923"/>
        <v>1297.2967618998041</v>
      </c>
      <c r="CY87" s="40">
        <f t="shared" si="4923"/>
        <v>1297.2967618998041</v>
      </c>
      <c r="CZ87" s="40">
        <f t="shared" si="4923"/>
        <v>1297.2967618998041</v>
      </c>
      <c r="DA87" s="40">
        <f t="shared" si="4923"/>
        <v>1617.5572498234515</v>
      </c>
      <c r="DB87" s="40">
        <f t="shared" si="4923"/>
        <v>1617.5572498234515</v>
      </c>
      <c r="DC87" s="40">
        <f t="shared" si="4923"/>
        <v>1617.5572498234515</v>
      </c>
      <c r="DD87" s="40">
        <f t="shared" si="4923"/>
        <v>1617.5572498234515</v>
      </c>
      <c r="DE87" s="40">
        <f t="shared" si="4923"/>
        <v>1617.5572498234515</v>
      </c>
      <c r="DF87" s="40">
        <f t="shared" si="4923"/>
        <v>1617.5572498234515</v>
      </c>
      <c r="DG87" s="40">
        <f t="shared" si="4923"/>
        <v>1617.5572498234515</v>
      </c>
      <c r="DH87" s="40">
        <f t="shared" si="4923"/>
        <v>1617.5572498234515</v>
      </c>
      <c r="DI87" s="40">
        <f t="shared" si="4923"/>
        <v>1617.5572498234515</v>
      </c>
      <c r="DJ87" s="40">
        <f t="shared" si="4923"/>
        <v>1617.5572498234515</v>
      </c>
      <c r="DK87" s="40">
        <f t="shared" si="4923"/>
        <v>1617.5572498234515</v>
      </c>
      <c r="DL87" s="40">
        <f t="shared" si="4923"/>
        <v>1617.5572498234515</v>
      </c>
      <c r="DM87" s="40">
        <f t="shared" si="4923"/>
        <v>1947.8534942731176</v>
      </c>
      <c r="DN87" s="40">
        <f t="shared" si="4923"/>
        <v>1947.8534942731176</v>
      </c>
      <c r="DO87" s="40">
        <f t="shared" si="4923"/>
        <v>1947.8534942731176</v>
      </c>
      <c r="DP87" s="40">
        <f t="shared" si="4923"/>
        <v>1947.8534942731176</v>
      </c>
      <c r="DQ87" s="40">
        <f t="shared" si="4923"/>
        <v>1947.8534942731176</v>
      </c>
      <c r="DR87" s="40">
        <f t="shared" si="4923"/>
        <v>1947.8534942731176</v>
      </c>
      <c r="DS87" s="40">
        <f t="shared" si="4923"/>
        <v>1947.8534942731176</v>
      </c>
      <c r="DT87" s="40">
        <f t="shared" si="4923"/>
        <v>1947.8534942731176</v>
      </c>
      <c r="DU87" s="40">
        <f t="shared" si="4923"/>
        <v>1947.8534942731176</v>
      </c>
      <c r="DV87" s="40">
        <f t="shared" si="4923"/>
        <v>1947.8534942731176</v>
      </c>
      <c r="DW87" s="40">
        <f t="shared" si="4923"/>
        <v>1947.8534942731176</v>
      </c>
      <c r="DX87" s="40">
        <f t="shared" si="4923"/>
        <v>1947.8534942731183</v>
      </c>
      <c r="DY87" s="40">
        <f t="shared" si="4923"/>
        <v>2288.4957083097152</v>
      </c>
      <c r="DZ87" s="40">
        <f t="shared" si="4923"/>
        <v>2288.4957083097147</v>
      </c>
      <c r="EA87" s="40">
        <f t="shared" si="4923"/>
        <v>2288.4957083097152</v>
      </c>
      <c r="EB87" s="40">
        <f t="shared" si="4923"/>
        <v>2288.4957083097152</v>
      </c>
      <c r="EC87" s="40">
        <f t="shared" si="4923"/>
        <v>2288.4957083097152</v>
      </c>
      <c r="ED87" s="40">
        <f t="shared" si="4923"/>
        <v>2288.4957083097161</v>
      </c>
      <c r="EE87" s="40">
        <f t="shared" si="4923"/>
        <v>2288.4957083097152</v>
      </c>
      <c r="EF87" s="40">
        <f t="shared" si="4923"/>
        <v>2288.4957083097152</v>
      </c>
      <c r="EG87" s="40">
        <f t="shared" si="4923"/>
        <v>2288.4957083097152</v>
      </c>
      <c r="EH87" s="40">
        <f t="shared" si="4923"/>
        <v>2288.4957083097152</v>
      </c>
      <c r="EI87" s="40">
        <f t="shared" ref="EI87:GT87" si="4924">MAX(0,$D$87*EI$23)</f>
        <v>2288.4957083097152</v>
      </c>
      <c r="EJ87" s="40">
        <f t="shared" si="4924"/>
        <v>2288.4957083097152</v>
      </c>
      <c r="EK87" s="40">
        <f t="shared" si="4924"/>
        <v>2639.8036087314608</v>
      </c>
      <c r="EL87" s="40">
        <f t="shared" si="4924"/>
        <v>2639.8036087314604</v>
      </c>
      <c r="EM87" s="40">
        <f t="shared" si="4924"/>
        <v>2639.8036087314613</v>
      </c>
      <c r="EN87" s="40">
        <f t="shared" si="4924"/>
        <v>2639.8036087314608</v>
      </c>
      <c r="EO87" s="40">
        <f t="shared" si="4924"/>
        <v>2639.8036087314608</v>
      </c>
      <c r="EP87" s="40">
        <f t="shared" si="4924"/>
        <v>2639.8036087314608</v>
      </c>
      <c r="EQ87" s="40">
        <f t="shared" si="4924"/>
        <v>2639.8036087314613</v>
      </c>
      <c r="ER87" s="40">
        <f t="shared" si="4924"/>
        <v>2639.8036087314613</v>
      </c>
      <c r="ES87" s="40">
        <f t="shared" si="4924"/>
        <v>2639.8036087314608</v>
      </c>
      <c r="ET87" s="40">
        <f t="shared" si="4924"/>
        <v>2639.8036087314608</v>
      </c>
      <c r="EU87" s="40">
        <f t="shared" si="4924"/>
        <v>2639.8036087314608</v>
      </c>
      <c r="EV87" s="40">
        <f t="shared" si="4924"/>
        <v>2639.8036087314604</v>
      </c>
      <c r="EW87" s="40">
        <f t="shared" si="4924"/>
        <v>3002.1067054963637</v>
      </c>
      <c r="EX87" s="40">
        <f t="shared" si="4924"/>
        <v>3002.1067054963637</v>
      </c>
      <c r="EY87" s="40">
        <f t="shared" si="4924"/>
        <v>3002.1067054963632</v>
      </c>
      <c r="EZ87" s="40">
        <f t="shared" si="4924"/>
        <v>3002.1067054963632</v>
      </c>
      <c r="FA87" s="40">
        <f t="shared" si="4924"/>
        <v>3002.1067054963637</v>
      </c>
      <c r="FB87" s="40">
        <f t="shared" si="4924"/>
        <v>3002.1067054963637</v>
      </c>
      <c r="FC87" s="40">
        <f t="shared" si="4924"/>
        <v>3002.1067054963632</v>
      </c>
      <c r="FD87" s="40">
        <f t="shared" si="4924"/>
        <v>3002.1067054963637</v>
      </c>
      <c r="FE87" s="40">
        <f t="shared" si="4924"/>
        <v>3002.1067054963637</v>
      </c>
      <c r="FF87" s="40">
        <f t="shared" si="4924"/>
        <v>3002.1067054963646</v>
      </c>
      <c r="FG87" s="40">
        <f t="shared" si="4924"/>
        <v>3002.1067054963632</v>
      </c>
      <c r="FH87" s="40">
        <f t="shared" si="4924"/>
        <v>3002.1067054963637</v>
      </c>
      <c r="FI87" s="40">
        <f t="shared" si="4924"/>
        <v>3375.7445999226989</v>
      </c>
      <c r="FJ87" s="40">
        <f t="shared" si="4924"/>
        <v>3375.7445999226979</v>
      </c>
      <c r="FK87" s="40">
        <f t="shared" si="4924"/>
        <v>3375.7445999226979</v>
      </c>
      <c r="FL87" s="40">
        <f t="shared" si="4924"/>
        <v>3375.7445999226979</v>
      </c>
      <c r="FM87" s="40">
        <f t="shared" si="4924"/>
        <v>3375.7445999226989</v>
      </c>
      <c r="FN87" s="40">
        <f t="shared" si="4924"/>
        <v>3375.7445999226979</v>
      </c>
      <c r="FO87" s="40">
        <f t="shared" si="4924"/>
        <v>3375.7445999226975</v>
      </c>
      <c r="FP87" s="40">
        <f t="shared" si="4924"/>
        <v>3375.7445999226989</v>
      </c>
      <c r="FQ87" s="40">
        <f t="shared" si="4924"/>
        <v>3375.7445999226979</v>
      </c>
      <c r="FR87" s="40">
        <f t="shared" si="4924"/>
        <v>3375.7445999226975</v>
      </c>
      <c r="FS87" s="40">
        <f t="shared" si="4924"/>
        <v>3375.7445999226979</v>
      </c>
      <c r="FT87" s="40">
        <f t="shared" si="4924"/>
        <v>3375.7445999226979</v>
      </c>
      <c r="FU87" s="40">
        <f t="shared" si="4924"/>
        <v>3761.0672919328717</v>
      </c>
      <c r="FV87" s="40">
        <f t="shared" si="4924"/>
        <v>3761.0672919328717</v>
      </c>
      <c r="FW87" s="40">
        <f t="shared" si="4924"/>
        <v>3761.0672919328722</v>
      </c>
      <c r="FX87" s="40">
        <f t="shared" si="4924"/>
        <v>3761.0672919328717</v>
      </c>
      <c r="FY87" s="40">
        <f t="shared" si="4924"/>
        <v>3761.0672919328722</v>
      </c>
      <c r="FZ87" s="40">
        <f t="shared" si="4924"/>
        <v>3761.0672919328717</v>
      </c>
      <c r="GA87" s="40">
        <f t="shared" si="4924"/>
        <v>3761.0672919328708</v>
      </c>
      <c r="GB87" s="40">
        <f t="shared" si="4924"/>
        <v>3761.0672919328717</v>
      </c>
      <c r="GC87" s="40">
        <f t="shared" si="4924"/>
        <v>0</v>
      </c>
      <c r="GD87" s="40">
        <f t="shared" si="4924"/>
        <v>0</v>
      </c>
      <c r="GE87" s="40">
        <f t="shared" si="4924"/>
        <v>0</v>
      </c>
      <c r="GF87" s="40">
        <f t="shared" ca="1" si="4924"/>
        <v>2141625.8806336941</v>
      </c>
      <c r="GG87" s="40">
        <f t="shared" ca="1" si="4924"/>
        <v>0</v>
      </c>
      <c r="GH87" s="40">
        <f t="shared" ca="1" si="4924"/>
        <v>0</v>
      </c>
      <c r="GI87" s="40">
        <f t="shared" ca="1" si="4924"/>
        <v>0</v>
      </c>
      <c r="GJ87" s="40">
        <f t="shared" ca="1" si="4924"/>
        <v>0</v>
      </c>
      <c r="GK87" s="40">
        <f t="shared" ca="1" si="4924"/>
        <v>0</v>
      </c>
      <c r="GL87" s="40">
        <f t="shared" ca="1" si="4924"/>
        <v>0</v>
      </c>
      <c r="GM87" s="40">
        <f t="shared" ca="1" si="4924"/>
        <v>0</v>
      </c>
      <c r="GN87" s="40">
        <f t="shared" ca="1" si="4924"/>
        <v>0</v>
      </c>
      <c r="GO87" s="40">
        <f t="shared" ca="1" si="4924"/>
        <v>0</v>
      </c>
      <c r="GP87" s="40">
        <f t="shared" ca="1" si="4924"/>
        <v>0</v>
      </c>
      <c r="GQ87" s="40">
        <f t="shared" ca="1" si="4924"/>
        <v>0</v>
      </c>
      <c r="GR87" s="40">
        <f t="shared" ca="1" si="4924"/>
        <v>0</v>
      </c>
      <c r="GS87" s="40">
        <f t="shared" ca="1" si="4924"/>
        <v>0</v>
      </c>
      <c r="GT87" s="40">
        <f t="shared" ca="1" si="4924"/>
        <v>0</v>
      </c>
      <c r="GU87" s="40">
        <f t="shared" ref="GU87:JF87" ca="1" si="4925">MAX(0,$D$87*GU$23)</f>
        <v>0</v>
      </c>
      <c r="GV87" s="40">
        <f t="shared" ca="1" si="4925"/>
        <v>0</v>
      </c>
      <c r="GW87" s="40">
        <f t="shared" ca="1" si="4925"/>
        <v>0</v>
      </c>
      <c r="GX87" s="40">
        <f t="shared" ca="1" si="4925"/>
        <v>0</v>
      </c>
      <c r="GY87" s="40">
        <f t="shared" ca="1" si="4925"/>
        <v>0</v>
      </c>
      <c r="GZ87" s="40">
        <f t="shared" ca="1" si="4925"/>
        <v>0</v>
      </c>
      <c r="HA87" s="40">
        <f t="shared" ca="1" si="4925"/>
        <v>0</v>
      </c>
      <c r="HB87" s="40">
        <f t="shared" ca="1" si="4925"/>
        <v>0</v>
      </c>
      <c r="HC87" s="40">
        <f t="shared" ca="1" si="4925"/>
        <v>0</v>
      </c>
      <c r="HD87" s="40">
        <f ca="1">MAX(0,$D$87*HD$23)</f>
        <v>0</v>
      </c>
      <c r="HE87" s="40">
        <f t="shared" ca="1" si="4925"/>
        <v>0</v>
      </c>
      <c r="HF87" s="40">
        <f t="shared" ca="1" si="4925"/>
        <v>0</v>
      </c>
      <c r="HG87" s="40">
        <f t="shared" ca="1" si="4925"/>
        <v>0</v>
      </c>
      <c r="HH87" s="40">
        <f t="shared" ca="1" si="4925"/>
        <v>0</v>
      </c>
      <c r="HI87" s="40">
        <f t="shared" ca="1" si="4925"/>
        <v>0</v>
      </c>
      <c r="HJ87" s="40">
        <f t="shared" ca="1" si="4925"/>
        <v>0</v>
      </c>
      <c r="HK87" s="40">
        <f t="shared" ca="1" si="4925"/>
        <v>0</v>
      </c>
      <c r="HL87" s="40">
        <f t="shared" ca="1" si="4925"/>
        <v>0</v>
      </c>
      <c r="HM87" s="40">
        <f t="shared" ca="1" si="4925"/>
        <v>0</v>
      </c>
      <c r="HN87" s="40">
        <f t="shared" ca="1" si="4925"/>
        <v>0</v>
      </c>
      <c r="HO87" s="40">
        <f t="shared" ca="1" si="4925"/>
        <v>0</v>
      </c>
      <c r="HP87" s="40">
        <f t="shared" ca="1" si="4925"/>
        <v>0</v>
      </c>
      <c r="HQ87" s="40">
        <f t="shared" ca="1" si="4925"/>
        <v>0</v>
      </c>
      <c r="HR87" s="40">
        <f t="shared" ca="1" si="4925"/>
        <v>0</v>
      </c>
      <c r="HS87" s="40">
        <f t="shared" ca="1" si="4925"/>
        <v>0</v>
      </c>
      <c r="HT87" s="40">
        <f t="shared" ca="1" si="4925"/>
        <v>0</v>
      </c>
      <c r="HU87" s="40">
        <f t="shared" ca="1" si="4925"/>
        <v>0</v>
      </c>
      <c r="HV87" s="40">
        <f t="shared" ca="1" si="4925"/>
        <v>0</v>
      </c>
      <c r="HW87" s="40">
        <f t="shared" ca="1" si="4925"/>
        <v>0</v>
      </c>
      <c r="HX87" s="40">
        <f t="shared" ca="1" si="4925"/>
        <v>0</v>
      </c>
      <c r="HY87" s="40">
        <f t="shared" ca="1" si="4925"/>
        <v>0</v>
      </c>
      <c r="HZ87" s="40">
        <f t="shared" ca="1" si="4925"/>
        <v>0</v>
      </c>
      <c r="IA87" s="40">
        <f t="shared" ca="1" si="4925"/>
        <v>0</v>
      </c>
      <c r="IB87" s="40">
        <f t="shared" ca="1" si="4925"/>
        <v>0</v>
      </c>
      <c r="IC87" s="40">
        <f t="shared" ca="1" si="4925"/>
        <v>0</v>
      </c>
      <c r="ID87" s="40">
        <f t="shared" ca="1" si="4925"/>
        <v>0</v>
      </c>
      <c r="IE87" s="40">
        <f t="shared" ca="1" si="4925"/>
        <v>0</v>
      </c>
      <c r="IF87" s="40">
        <f t="shared" ca="1" si="4925"/>
        <v>0</v>
      </c>
      <c r="IG87" s="40">
        <f t="shared" ca="1" si="4925"/>
        <v>0</v>
      </c>
      <c r="IH87" s="40">
        <f t="shared" ca="1" si="4925"/>
        <v>0</v>
      </c>
      <c r="II87" s="40">
        <f t="shared" ca="1" si="4925"/>
        <v>0</v>
      </c>
      <c r="IJ87" s="40">
        <f t="shared" ca="1" si="4925"/>
        <v>0</v>
      </c>
      <c r="IK87" s="40">
        <f t="shared" ca="1" si="4925"/>
        <v>0</v>
      </c>
      <c r="IL87" s="40">
        <f t="shared" ca="1" si="4925"/>
        <v>0</v>
      </c>
      <c r="IM87" s="40">
        <f t="shared" ca="1" si="4925"/>
        <v>0</v>
      </c>
      <c r="IN87" s="40">
        <f t="shared" ca="1" si="4925"/>
        <v>0</v>
      </c>
      <c r="IO87" s="40">
        <f t="shared" ca="1" si="4925"/>
        <v>0</v>
      </c>
      <c r="IP87" s="40">
        <f t="shared" ca="1" si="4925"/>
        <v>0</v>
      </c>
      <c r="IQ87" s="40">
        <f t="shared" ca="1" si="4925"/>
        <v>0</v>
      </c>
      <c r="IR87" s="40">
        <f t="shared" ca="1" si="4925"/>
        <v>0</v>
      </c>
      <c r="IS87" s="40">
        <f t="shared" ca="1" si="4925"/>
        <v>0</v>
      </c>
      <c r="IT87" s="40">
        <f t="shared" ca="1" si="4925"/>
        <v>0</v>
      </c>
      <c r="IU87" s="40">
        <f t="shared" ca="1" si="4925"/>
        <v>0</v>
      </c>
      <c r="IV87" s="40">
        <f t="shared" ca="1" si="4925"/>
        <v>0</v>
      </c>
      <c r="IW87" s="40">
        <f t="shared" ca="1" si="4925"/>
        <v>0</v>
      </c>
      <c r="IX87" s="40">
        <f t="shared" ca="1" si="4925"/>
        <v>0</v>
      </c>
      <c r="IY87" s="40">
        <f t="shared" ca="1" si="4925"/>
        <v>0</v>
      </c>
      <c r="IZ87" s="40">
        <f t="shared" ca="1" si="4925"/>
        <v>0</v>
      </c>
      <c r="JA87" s="40">
        <f t="shared" ca="1" si="4925"/>
        <v>0</v>
      </c>
      <c r="JB87" s="40">
        <f t="shared" ca="1" si="4925"/>
        <v>0</v>
      </c>
      <c r="JC87" s="40">
        <f t="shared" ca="1" si="4925"/>
        <v>0</v>
      </c>
      <c r="JD87" s="40">
        <f t="shared" ca="1" si="4925"/>
        <v>0</v>
      </c>
      <c r="JE87" s="40">
        <f t="shared" ca="1" si="4925"/>
        <v>0</v>
      </c>
      <c r="JF87" s="40">
        <f t="shared" ca="1" si="4925"/>
        <v>0</v>
      </c>
      <c r="JG87" s="40">
        <f t="shared" ref="JG87:LR87" ca="1" si="4926">MAX(0,$D$87*JG$23)</f>
        <v>0</v>
      </c>
      <c r="JH87" s="40">
        <f t="shared" ca="1" si="4926"/>
        <v>0</v>
      </c>
      <c r="JI87" s="40">
        <f t="shared" ca="1" si="4926"/>
        <v>0</v>
      </c>
      <c r="JJ87" s="40">
        <f t="shared" ca="1" si="4926"/>
        <v>0</v>
      </c>
      <c r="JK87" s="40">
        <f t="shared" ca="1" si="4926"/>
        <v>0</v>
      </c>
      <c r="JL87" s="40">
        <f t="shared" ca="1" si="4926"/>
        <v>0</v>
      </c>
      <c r="JM87" s="40">
        <f t="shared" ca="1" si="4926"/>
        <v>0</v>
      </c>
      <c r="JN87" s="40">
        <f t="shared" ca="1" si="4926"/>
        <v>0</v>
      </c>
      <c r="JO87" s="40">
        <f t="shared" ca="1" si="4926"/>
        <v>0</v>
      </c>
      <c r="JP87" s="40">
        <f t="shared" ca="1" si="4926"/>
        <v>0</v>
      </c>
      <c r="JQ87" s="40">
        <f t="shared" ca="1" si="4926"/>
        <v>0</v>
      </c>
      <c r="JR87" s="40">
        <f t="shared" ca="1" si="4926"/>
        <v>0</v>
      </c>
      <c r="JS87" s="40">
        <f t="shared" ca="1" si="4926"/>
        <v>0</v>
      </c>
      <c r="JT87" s="40">
        <f t="shared" ca="1" si="4926"/>
        <v>0</v>
      </c>
      <c r="JU87" s="40">
        <f t="shared" ca="1" si="4926"/>
        <v>0</v>
      </c>
      <c r="JV87" s="40">
        <f t="shared" ca="1" si="4926"/>
        <v>0</v>
      </c>
      <c r="JW87" s="40">
        <f t="shared" ca="1" si="4926"/>
        <v>0</v>
      </c>
      <c r="JX87" s="40">
        <f t="shared" ca="1" si="4926"/>
        <v>0</v>
      </c>
      <c r="JY87" s="40">
        <f t="shared" ca="1" si="4926"/>
        <v>0</v>
      </c>
      <c r="JZ87" s="40">
        <f t="shared" ca="1" si="4926"/>
        <v>0</v>
      </c>
      <c r="KA87" s="40">
        <f t="shared" ca="1" si="4926"/>
        <v>0</v>
      </c>
      <c r="KB87" s="40">
        <f t="shared" ca="1" si="4926"/>
        <v>0</v>
      </c>
      <c r="KC87" s="40">
        <f t="shared" ca="1" si="4926"/>
        <v>0</v>
      </c>
      <c r="KD87" s="40">
        <f t="shared" ca="1" si="4926"/>
        <v>0</v>
      </c>
      <c r="KE87" s="40">
        <f t="shared" ca="1" si="4926"/>
        <v>0</v>
      </c>
      <c r="KF87" s="40">
        <f t="shared" ca="1" si="4926"/>
        <v>0</v>
      </c>
      <c r="KG87" s="40">
        <f t="shared" ca="1" si="4926"/>
        <v>0</v>
      </c>
      <c r="KH87" s="40">
        <f t="shared" ca="1" si="4926"/>
        <v>0</v>
      </c>
      <c r="KI87" s="40">
        <f t="shared" ca="1" si="4926"/>
        <v>0</v>
      </c>
      <c r="KJ87" s="40">
        <f t="shared" ca="1" si="4926"/>
        <v>0</v>
      </c>
      <c r="KK87" s="40">
        <f t="shared" ca="1" si="4926"/>
        <v>0</v>
      </c>
      <c r="KL87" s="40">
        <f t="shared" ca="1" si="4926"/>
        <v>0</v>
      </c>
      <c r="KM87" s="40">
        <f t="shared" ca="1" si="4926"/>
        <v>0</v>
      </c>
      <c r="KN87" s="40">
        <f t="shared" ca="1" si="4926"/>
        <v>0</v>
      </c>
      <c r="KO87" s="40">
        <f t="shared" ca="1" si="4926"/>
        <v>0</v>
      </c>
      <c r="KP87" s="40">
        <f t="shared" ca="1" si="4926"/>
        <v>0</v>
      </c>
      <c r="KQ87" s="40">
        <f t="shared" ca="1" si="4926"/>
        <v>0</v>
      </c>
      <c r="KR87" s="40">
        <f t="shared" ca="1" si="4926"/>
        <v>0</v>
      </c>
      <c r="KS87" s="40">
        <f t="shared" ca="1" si="4926"/>
        <v>0</v>
      </c>
      <c r="KT87" s="40">
        <f t="shared" ca="1" si="4926"/>
        <v>0</v>
      </c>
      <c r="KU87" s="40">
        <f t="shared" ca="1" si="4926"/>
        <v>0</v>
      </c>
      <c r="KV87" s="40">
        <f t="shared" ca="1" si="4926"/>
        <v>0</v>
      </c>
      <c r="KW87" s="40">
        <f t="shared" ca="1" si="4926"/>
        <v>0</v>
      </c>
      <c r="KX87" s="40">
        <f t="shared" ca="1" si="4926"/>
        <v>0</v>
      </c>
      <c r="KY87" s="40">
        <f t="shared" ca="1" si="4926"/>
        <v>0</v>
      </c>
      <c r="KZ87" s="40">
        <f t="shared" ca="1" si="4926"/>
        <v>0</v>
      </c>
      <c r="LA87" s="40">
        <f t="shared" ca="1" si="4926"/>
        <v>0</v>
      </c>
      <c r="LB87" s="40">
        <f t="shared" ca="1" si="4926"/>
        <v>0</v>
      </c>
      <c r="LC87" s="40">
        <f t="shared" ca="1" si="4926"/>
        <v>0</v>
      </c>
      <c r="LD87" s="40">
        <f t="shared" ca="1" si="4926"/>
        <v>0</v>
      </c>
      <c r="LE87" s="40">
        <f t="shared" ca="1" si="4926"/>
        <v>0</v>
      </c>
      <c r="LF87" s="40">
        <f t="shared" ca="1" si="4926"/>
        <v>0</v>
      </c>
      <c r="LG87" s="40">
        <f t="shared" ca="1" si="4926"/>
        <v>0</v>
      </c>
      <c r="LH87" s="40">
        <f t="shared" ca="1" si="4926"/>
        <v>0</v>
      </c>
      <c r="LI87" s="40">
        <f t="shared" ca="1" si="4926"/>
        <v>0</v>
      </c>
      <c r="LJ87" s="40">
        <f t="shared" ca="1" si="4926"/>
        <v>0</v>
      </c>
      <c r="LK87" s="40">
        <f t="shared" ca="1" si="4926"/>
        <v>0</v>
      </c>
      <c r="LL87" s="40">
        <f t="shared" ca="1" si="4926"/>
        <v>0</v>
      </c>
      <c r="LM87" s="40">
        <f t="shared" ca="1" si="4926"/>
        <v>0</v>
      </c>
      <c r="LN87" s="40">
        <f t="shared" ca="1" si="4926"/>
        <v>0</v>
      </c>
      <c r="LO87" s="40">
        <f t="shared" ca="1" si="4926"/>
        <v>0</v>
      </c>
      <c r="LP87" s="40">
        <f t="shared" ca="1" si="4926"/>
        <v>0</v>
      </c>
      <c r="LQ87" s="40">
        <f t="shared" ca="1" si="4926"/>
        <v>0</v>
      </c>
      <c r="LR87" s="40">
        <f t="shared" ca="1" si="4926"/>
        <v>0</v>
      </c>
      <c r="LS87" s="40">
        <f t="shared" ref="LS87:ND87" ca="1" si="4927">MAX(0,$D$87*LS$23)</f>
        <v>0</v>
      </c>
      <c r="LT87" s="40">
        <f t="shared" ca="1" si="4927"/>
        <v>0</v>
      </c>
      <c r="LU87" s="40">
        <f t="shared" ca="1" si="4927"/>
        <v>0</v>
      </c>
      <c r="LV87" s="40">
        <f t="shared" ca="1" si="4927"/>
        <v>0</v>
      </c>
      <c r="LW87" s="40">
        <f t="shared" ca="1" si="4927"/>
        <v>0</v>
      </c>
      <c r="LX87" s="40">
        <f t="shared" ca="1" si="4927"/>
        <v>0</v>
      </c>
      <c r="LY87" s="40">
        <f t="shared" ca="1" si="4927"/>
        <v>0</v>
      </c>
      <c r="LZ87" s="40">
        <f t="shared" ca="1" si="4927"/>
        <v>0</v>
      </c>
      <c r="MA87" s="40">
        <f t="shared" ca="1" si="4927"/>
        <v>0</v>
      </c>
      <c r="MB87" s="40">
        <f t="shared" ca="1" si="4927"/>
        <v>0</v>
      </c>
      <c r="MC87" s="40">
        <f t="shared" ca="1" si="4927"/>
        <v>0</v>
      </c>
      <c r="MD87" s="40">
        <f t="shared" ca="1" si="4927"/>
        <v>0</v>
      </c>
      <c r="ME87" s="40">
        <f t="shared" ca="1" si="4927"/>
        <v>0</v>
      </c>
      <c r="MF87" s="40">
        <f t="shared" ca="1" si="4927"/>
        <v>0</v>
      </c>
      <c r="MG87" s="40">
        <f t="shared" ca="1" si="4927"/>
        <v>0</v>
      </c>
      <c r="MH87" s="40">
        <f t="shared" ca="1" si="4927"/>
        <v>0</v>
      </c>
      <c r="MI87" s="40">
        <f t="shared" ca="1" si="4927"/>
        <v>0</v>
      </c>
      <c r="MJ87" s="40">
        <f t="shared" ca="1" si="4927"/>
        <v>0</v>
      </c>
      <c r="MK87" s="40">
        <f t="shared" ca="1" si="4927"/>
        <v>0</v>
      </c>
      <c r="ML87" s="40">
        <f t="shared" ca="1" si="4927"/>
        <v>0</v>
      </c>
      <c r="MM87" s="40">
        <f t="shared" ca="1" si="4927"/>
        <v>0</v>
      </c>
      <c r="MN87" s="40">
        <f t="shared" ca="1" si="4927"/>
        <v>0</v>
      </c>
      <c r="MO87" s="40">
        <f t="shared" ca="1" si="4927"/>
        <v>0</v>
      </c>
      <c r="MP87" s="40">
        <f t="shared" ca="1" si="4927"/>
        <v>0</v>
      </c>
      <c r="MQ87" s="40">
        <f t="shared" ca="1" si="4927"/>
        <v>0</v>
      </c>
      <c r="MR87" s="40">
        <f t="shared" ca="1" si="4927"/>
        <v>0</v>
      </c>
      <c r="MS87" s="40">
        <f t="shared" ca="1" si="4927"/>
        <v>0</v>
      </c>
      <c r="MT87" s="40">
        <f t="shared" ca="1" si="4927"/>
        <v>0</v>
      </c>
      <c r="MU87" s="40">
        <f t="shared" ca="1" si="4927"/>
        <v>0</v>
      </c>
      <c r="MV87" s="40">
        <f t="shared" ca="1" si="4927"/>
        <v>0</v>
      </c>
      <c r="MW87" s="40">
        <f t="shared" ca="1" si="4927"/>
        <v>0</v>
      </c>
      <c r="MX87" s="40">
        <f t="shared" ca="1" si="4927"/>
        <v>0</v>
      </c>
      <c r="MY87" s="40">
        <f t="shared" ca="1" si="4927"/>
        <v>0</v>
      </c>
      <c r="MZ87" s="40">
        <f t="shared" ca="1" si="4927"/>
        <v>0</v>
      </c>
      <c r="NA87" s="40">
        <f t="shared" ca="1" si="4927"/>
        <v>0</v>
      </c>
      <c r="NB87" s="40">
        <f t="shared" ca="1" si="4927"/>
        <v>0</v>
      </c>
      <c r="NC87" s="40">
        <f t="shared" ca="1" si="4927"/>
        <v>0</v>
      </c>
      <c r="ND87" s="40">
        <f t="shared" ca="1" si="4927"/>
        <v>0</v>
      </c>
      <c r="NE87" s="40"/>
      <c r="NF87" s="40"/>
      <c r="NG87" s="40"/>
      <c r="NH87" s="40"/>
      <c r="NI87" s="40"/>
      <c r="NJ87" s="40"/>
      <c r="NK87" s="40"/>
      <c r="NL87" s="40"/>
      <c r="NM87" s="40"/>
      <c r="NN87" s="40"/>
      <c r="NO87" s="40"/>
      <c r="NP87" s="40"/>
      <c r="NQ87" s="40"/>
      <c r="NR87" s="40"/>
    </row>
    <row r="88" spans="2:382" x14ac:dyDescent="0.15">
      <c r="B88" s="520"/>
      <c r="C88" t="s">
        <v>178</v>
      </c>
      <c r="G88" s="118"/>
      <c r="I88" s="40">
        <f>I$83</f>
        <v>0</v>
      </c>
      <c r="J88" s="40">
        <f>J$83</f>
        <v>0</v>
      </c>
      <c r="K88" s="40">
        <f t="shared" ref="K88:BV88" si="4928">K$83</f>
        <v>0</v>
      </c>
      <c r="L88" s="40">
        <f t="shared" si="4928"/>
        <v>0</v>
      </c>
      <c r="M88" s="40">
        <f t="shared" si="4928"/>
        <v>0</v>
      </c>
      <c r="N88" s="40">
        <f t="shared" si="4928"/>
        <v>0</v>
      </c>
      <c r="O88" s="40">
        <f t="shared" si="4928"/>
        <v>0</v>
      </c>
      <c r="P88" s="40">
        <f t="shared" si="4928"/>
        <v>0</v>
      </c>
      <c r="Q88" s="40">
        <f t="shared" si="4928"/>
        <v>0</v>
      </c>
      <c r="R88" s="40">
        <f t="shared" si="4928"/>
        <v>0</v>
      </c>
      <c r="S88" s="40">
        <f t="shared" si="4928"/>
        <v>0</v>
      </c>
      <c r="T88" s="40">
        <f t="shared" si="4928"/>
        <v>0</v>
      </c>
      <c r="U88" s="40">
        <f t="shared" si="4928"/>
        <v>0</v>
      </c>
      <c r="V88" s="40">
        <f t="shared" si="4928"/>
        <v>0</v>
      </c>
      <c r="W88" s="40">
        <f t="shared" si="4928"/>
        <v>0</v>
      </c>
      <c r="X88" s="40">
        <f t="shared" si="4928"/>
        <v>0</v>
      </c>
      <c r="Y88" s="40">
        <f t="shared" si="4928"/>
        <v>0</v>
      </c>
      <c r="Z88" s="40">
        <f t="shared" si="4928"/>
        <v>0</v>
      </c>
      <c r="AA88" s="40">
        <f t="shared" si="4928"/>
        <v>0</v>
      </c>
      <c r="AB88" s="40">
        <f t="shared" si="4928"/>
        <v>0</v>
      </c>
      <c r="AC88" s="40">
        <f t="shared" si="4928"/>
        <v>0</v>
      </c>
      <c r="AD88" s="40">
        <f t="shared" si="4928"/>
        <v>0</v>
      </c>
      <c r="AE88" s="40">
        <f t="shared" si="4928"/>
        <v>0</v>
      </c>
      <c r="AF88" s="40">
        <f t="shared" si="4928"/>
        <v>0</v>
      </c>
      <c r="AG88" s="40">
        <f t="shared" si="4928"/>
        <v>0</v>
      </c>
      <c r="AH88" s="40">
        <f t="shared" si="4928"/>
        <v>0</v>
      </c>
      <c r="AI88" s="40">
        <f t="shared" si="4928"/>
        <v>0</v>
      </c>
      <c r="AJ88" s="40">
        <f t="shared" si="4928"/>
        <v>0</v>
      </c>
      <c r="AK88" s="40">
        <f t="shared" si="4928"/>
        <v>0</v>
      </c>
      <c r="AL88" s="40">
        <f t="shared" si="4928"/>
        <v>0</v>
      </c>
      <c r="AM88" s="40">
        <f t="shared" si="4928"/>
        <v>0</v>
      </c>
      <c r="AN88" s="40">
        <f t="shared" si="4928"/>
        <v>0</v>
      </c>
      <c r="AO88" s="40">
        <f t="shared" si="4928"/>
        <v>0</v>
      </c>
      <c r="AP88" s="40">
        <f t="shared" si="4928"/>
        <v>0</v>
      </c>
      <c r="AQ88" s="40">
        <f t="shared" si="4928"/>
        <v>0</v>
      </c>
      <c r="AR88" s="40">
        <f t="shared" si="4928"/>
        <v>0</v>
      </c>
      <c r="AS88" s="40">
        <f t="shared" si="4928"/>
        <v>0</v>
      </c>
      <c r="AT88" s="40">
        <f t="shared" si="4928"/>
        <v>0</v>
      </c>
      <c r="AU88" s="40">
        <f t="shared" si="4928"/>
        <v>0</v>
      </c>
      <c r="AV88" s="40">
        <f t="shared" si="4928"/>
        <v>0</v>
      </c>
      <c r="AW88" s="40">
        <f t="shared" si="4928"/>
        <v>0</v>
      </c>
      <c r="AX88" s="40">
        <f t="shared" si="4928"/>
        <v>0</v>
      </c>
      <c r="AY88" s="40">
        <f t="shared" si="4928"/>
        <v>0</v>
      </c>
      <c r="AZ88" s="40">
        <f t="shared" si="4928"/>
        <v>0</v>
      </c>
      <c r="BA88" s="40">
        <f t="shared" si="4928"/>
        <v>0</v>
      </c>
      <c r="BB88" s="40">
        <f t="shared" si="4928"/>
        <v>0</v>
      </c>
      <c r="BC88" s="40">
        <f t="shared" si="4928"/>
        <v>0</v>
      </c>
      <c r="BD88" s="40">
        <f t="shared" si="4928"/>
        <v>0</v>
      </c>
      <c r="BE88" s="40">
        <f t="shared" si="4928"/>
        <v>0</v>
      </c>
      <c r="BF88" s="40">
        <f t="shared" si="4928"/>
        <v>0</v>
      </c>
      <c r="BG88" s="40">
        <f t="shared" si="4928"/>
        <v>0</v>
      </c>
      <c r="BH88" s="40">
        <f t="shared" si="4928"/>
        <v>0</v>
      </c>
      <c r="BI88" s="40">
        <f t="shared" si="4928"/>
        <v>0</v>
      </c>
      <c r="BJ88" s="40">
        <f t="shared" si="4928"/>
        <v>0</v>
      </c>
      <c r="BK88" s="40">
        <f t="shared" si="4928"/>
        <v>0</v>
      </c>
      <c r="BL88" s="40">
        <f t="shared" si="4928"/>
        <v>0</v>
      </c>
      <c r="BM88" s="40">
        <f t="shared" si="4928"/>
        <v>0</v>
      </c>
      <c r="BN88" s="40">
        <f t="shared" si="4928"/>
        <v>0</v>
      </c>
      <c r="BO88" s="40">
        <f t="shared" si="4928"/>
        <v>0</v>
      </c>
      <c r="BP88" s="40">
        <f t="shared" si="4928"/>
        <v>0</v>
      </c>
      <c r="BQ88" s="40">
        <f t="shared" si="4928"/>
        <v>0</v>
      </c>
      <c r="BR88" s="40">
        <f t="shared" si="4928"/>
        <v>0</v>
      </c>
      <c r="BS88" s="40">
        <f t="shared" si="4928"/>
        <v>0</v>
      </c>
      <c r="BT88" s="40">
        <f t="shared" si="4928"/>
        <v>0</v>
      </c>
      <c r="BU88" s="40">
        <f t="shared" si="4928"/>
        <v>0</v>
      </c>
      <c r="BV88" s="40">
        <f t="shared" si="4928"/>
        <v>0</v>
      </c>
      <c r="BW88" s="40">
        <f t="shared" ref="BW88:EH88" si="4929">BW$83</f>
        <v>0</v>
      </c>
      <c r="BX88" s="40">
        <f t="shared" si="4929"/>
        <v>0</v>
      </c>
      <c r="BY88" s="40">
        <f t="shared" si="4929"/>
        <v>0</v>
      </c>
      <c r="BZ88" s="40">
        <f t="shared" si="4929"/>
        <v>0</v>
      </c>
      <c r="CA88" s="40">
        <f t="shared" si="4929"/>
        <v>0</v>
      </c>
      <c r="CB88" s="40">
        <f t="shared" si="4929"/>
        <v>0</v>
      </c>
      <c r="CC88" s="40">
        <f t="shared" si="4929"/>
        <v>0</v>
      </c>
      <c r="CD88" s="40">
        <f t="shared" si="4929"/>
        <v>0</v>
      </c>
      <c r="CE88" s="40">
        <f t="shared" si="4929"/>
        <v>0</v>
      </c>
      <c r="CF88" s="40">
        <f t="shared" si="4929"/>
        <v>0</v>
      </c>
      <c r="CG88" s="40">
        <f t="shared" si="4929"/>
        <v>0</v>
      </c>
      <c r="CH88" s="40">
        <f t="shared" si="4929"/>
        <v>0</v>
      </c>
      <c r="CI88" s="40">
        <f t="shared" si="4929"/>
        <v>0</v>
      </c>
      <c r="CJ88" s="40">
        <f t="shared" si="4929"/>
        <v>0</v>
      </c>
      <c r="CK88" s="40">
        <f t="shared" si="4929"/>
        <v>0</v>
      </c>
      <c r="CL88" s="40">
        <f t="shared" si="4929"/>
        <v>0</v>
      </c>
      <c r="CM88" s="40">
        <f t="shared" si="4929"/>
        <v>0</v>
      </c>
      <c r="CN88" s="40">
        <f t="shared" si="4929"/>
        <v>0</v>
      </c>
      <c r="CO88" s="40">
        <f t="shared" si="4929"/>
        <v>0</v>
      </c>
      <c r="CP88" s="40">
        <f t="shared" si="4929"/>
        <v>0</v>
      </c>
      <c r="CQ88" s="40">
        <f t="shared" si="4929"/>
        <v>0</v>
      </c>
      <c r="CR88" s="40">
        <f t="shared" si="4929"/>
        <v>0</v>
      </c>
      <c r="CS88" s="40">
        <f t="shared" si="4929"/>
        <v>0</v>
      </c>
      <c r="CT88" s="40">
        <f t="shared" si="4929"/>
        <v>0</v>
      </c>
      <c r="CU88" s="40">
        <f t="shared" si="4929"/>
        <v>0</v>
      </c>
      <c r="CV88" s="40">
        <f t="shared" si="4929"/>
        <v>0</v>
      </c>
      <c r="CW88" s="40">
        <f t="shared" si="4929"/>
        <v>0</v>
      </c>
      <c r="CX88" s="40">
        <f t="shared" si="4929"/>
        <v>0</v>
      </c>
      <c r="CY88" s="40">
        <f t="shared" si="4929"/>
        <v>0</v>
      </c>
      <c r="CZ88" s="40">
        <f t="shared" si="4929"/>
        <v>0</v>
      </c>
      <c r="DA88" s="40">
        <f t="shared" si="4929"/>
        <v>0</v>
      </c>
      <c r="DB88" s="40">
        <f t="shared" si="4929"/>
        <v>0</v>
      </c>
      <c r="DC88" s="40">
        <f t="shared" si="4929"/>
        <v>0</v>
      </c>
      <c r="DD88" s="40">
        <f t="shared" si="4929"/>
        <v>0</v>
      </c>
      <c r="DE88" s="40">
        <f t="shared" si="4929"/>
        <v>0</v>
      </c>
      <c r="DF88" s="40">
        <f t="shared" si="4929"/>
        <v>0</v>
      </c>
      <c r="DG88" s="40">
        <f t="shared" si="4929"/>
        <v>0</v>
      </c>
      <c r="DH88" s="40">
        <f t="shared" si="4929"/>
        <v>0</v>
      </c>
      <c r="DI88" s="40">
        <f t="shared" si="4929"/>
        <v>0</v>
      </c>
      <c r="DJ88" s="40">
        <f t="shared" si="4929"/>
        <v>0</v>
      </c>
      <c r="DK88" s="40">
        <f t="shared" si="4929"/>
        <v>0</v>
      </c>
      <c r="DL88" s="40">
        <f t="shared" si="4929"/>
        <v>0</v>
      </c>
      <c r="DM88" s="40">
        <f t="shared" si="4929"/>
        <v>0</v>
      </c>
      <c r="DN88" s="40">
        <f t="shared" si="4929"/>
        <v>0</v>
      </c>
      <c r="DO88" s="40">
        <f t="shared" si="4929"/>
        <v>0</v>
      </c>
      <c r="DP88" s="40">
        <f t="shared" si="4929"/>
        <v>0</v>
      </c>
      <c r="DQ88" s="40">
        <f t="shared" si="4929"/>
        <v>0</v>
      </c>
      <c r="DR88" s="40">
        <f t="shared" si="4929"/>
        <v>0</v>
      </c>
      <c r="DS88" s="40">
        <f t="shared" si="4929"/>
        <v>0</v>
      </c>
      <c r="DT88" s="40">
        <f t="shared" si="4929"/>
        <v>0</v>
      </c>
      <c r="DU88" s="40">
        <f t="shared" si="4929"/>
        <v>0</v>
      </c>
      <c r="DV88" s="40">
        <f t="shared" si="4929"/>
        <v>0</v>
      </c>
      <c r="DW88" s="40">
        <f t="shared" si="4929"/>
        <v>0</v>
      </c>
      <c r="DX88" s="40">
        <f t="shared" si="4929"/>
        <v>0</v>
      </c>
      <c r="DY88" s="40">
        <f t="shared" si="4929"/>
        <v>0</v>
      </c>
      <c r="DZ88" s="40">
        <f t="shared" si="4929"/>
        <v>0</v>
      </c>
      <c r="EA88" s="40">
        <f t="shared" si="4929"/>
        <v>0</v>
      </c>
      <c r="EB88" s="40">
        <f t="shared" si="4929"/>
        <v>0</v>
      </c>
      <c r="EC88" s="40">
        <f t="shared" si="4929"/>
        <v>0</v>
      </c>
      <c r="ED88" s="40">
        <f t="shared" si="4929"/>
        <v>0</v>
      </c>
      <c r="EE88" s="40">
        <f t="shared" si="4929"/>
        <v>0</v>
      </c>
      <c r="EF88" s="40">
        <f t="shared" si="4929"/>
        <v>0</v>
      </c>
      <c r="EG88" s="40">
        <f t="shared" si="4929"/>
        <v>0</v>
      </c>
      <c r="EH88" s="40">
        <f t="shared" si="4929"/>
        <v>0</v>
      </c>
      <c r="EI88" s="40">
        <f t="shared" ref="EI88:GT88" si="4930">EI$83</f>
        <v>0</v>
      </c>
      <c r="EJ88" s="40">
        <f t="shared" si="4930"/>
        <v>0</v>
      </c>
      <c r="EK88" s="40">
        <f t="shared" si="4930"/>
        <v>0</v>
      </c>
      <c r="EL88" s="40">
        <f t="shared" si="4930"/>
        <v>0</v>
      </c>
      <c r="EM88" s="40">
        <f t="shared" si="4930"/>
        <v>0</v>
      </c>
      <c r="EN88" s="40">
        <f t="shared" si="4930"/>
        <v>0</v>
      </c>
      <c r="EO88" s="40">
        <f t="shared" si="4930"/>
        <v>0</v>
      </c>
      <c r="EP88" s="40">
        <f t="shared" si="4930"/>
        <v>0</v>
      </c>
      <c r="EQ88" s="40">
        <f t="shared" si="4930"/>
        <v>0</v>
      </c>
      <c r="ER88" s="40">
        <f t="shared" si="4930"/>
        <v>0</v>
      </c>
      <c r="ES88" s="40">
        <f t="shared" si="4930"/>
        <v>0</v>
      </c>
      <c r="ET88" s="40">
        <f t="shared" si="4930"/>
        <v>0</v>
      </c>
      <c r="EU88" s="40">
        <f t="shared" si="4930"/>
        <v>0</v>
      </c>
      <c r="EV88" s="40">
        <f t="shared" si="4930"/>
        <v>0</v>
      </c>
      <c r="EW88" s="40">
        <f t="shared" si="4930"/>
        <v>0</v>
      </c>
      <c r="EX88" s="40">
        <f t="shared" si="4930"/>
        <v>0</v>
      </c>
      <c r="EY88" s="40">
        <f t="shared" si="4930"/>
        <v>0</v>
      </c>
      <c r="EZ88" s="40">
        <f t="shared" si="4930"/>
        <v>0</v>
      </c>
      <c r="FA88" s="40">
        <f t="shared" si="4930"/>
        <v>0</v>
      </c>
      <c r="FB88" s="40">
        <f t="shared" si="4930"/>
        <v>0</v>
      </c>
      <c r="FC88" s="40">
        <f t="shared" si="4930"/>
        <v>0</v>
      </c>
      <c r="FD88" s="40">
        <f t="shared" si="4930"/>
        <v>0</v>
      </c>
      <c r="FE88" s="40">
        <f t="shared" si="4930"/>
        <v>0</v>
      </c>
      <c r="FF88" s="40">
        <f t="shared" si="4930"/>
        <v>0</v>
      </c>
      <c r="FG88" s="40">
        <f t="shared" si="4930"/>
        <v>0</v>
      </c>
      <c r="FH88" s="40">
        <f t="shared" si="4930"/>
        <v>0</v>
      </c>
      <c r="FI88" s="40">
        <f t="shared" si="4930"/>
        <v>0</v>
      </c>
      <c r="FJ88" s="40">
        <f t="shared" si="4930"/>
        <v>0</v>
      </c>
      <c r="FK88" s="40">
        <f t="shared" si="4930"/>
        <v>0</v>
      </c>
      <c r="FL88" s="40">
        <f t="shared" si="4930"/>
        <v>0</v>
      </c>
      <c r="FM88" s="40">
        <f t="shared" si="4930"/>
        <v>0</v>
      </c>
      <c r="FN88" s="40">
        <f t="shared" si="4930"/>
        <v>0</v>
      </c>
      <c r="FO88" s="40">
        <f t="shared" si="4930"/>
        <v>0</v>
      </c>
      <c r="FP88" s="40">
        <f t="shared" si="4930"/>
        <v>0</v>
      </c>
      <c r="FQ88" s="40">
        <f t="shared" si="4930"/>
        <v>0</v>
      </c>
      <c r="FR88" s="40">
        <f t="shared" si="4930"/>
        <v>0</v>
      </c>
      <c r="FS88" s="40">
        <f t="shared" si="4930"/>
        <v>0</v>
      </c>
      <c r="FT88" s="40">
        <f t="shared" si="4930"/>
        <v>0</v>
      </c>
      <c r="FU88" s="40">
        <f t="shared" si="4930"/>
        <v>0</v>
      </c>
      <c r="FV88" s="40">
        <f t="shared" si="4930"/>
        <v>0</v>
      </c>
      <c r="FW88" s="40">
        <f t="shared" si="4930"/>
        <v>0</v>
      </c>
      <c r="FX88" s="40">
        <f t="shared" si="4930"/>
        <v>0</v>
      </c>
      <c r="FY88" s="40">
        <f t="shared" si="4930"/>
        <v>0</v>
      </c>
      <c r="FZ88" s="40">
        <f t="shared" si="4930"/>
        <v>0</v>
      </c>
      <c r="GA88" s="40">
        <f t="shared" si="4930"/>
        <v>0</v>
      </c>
      <c r="GB88" s="40">
        <f t="shared" si="4930"/>
        <v>0</v>
      </c>
      <c r="GC88" s="40">
        <f t="shared" si="4930"/>
        <v>0</v>
      </c>
      <c r="GD88" s="40">
        <f t="shared" si="4930"/>
        <v>0</v>
      </c>
      <c r="GE88" s="40">
        <f t="shared" si="4930"/>
        <v>0</v>
      </c>
      <c r="GF88" s="40">
        <f t="shared" ca="1" si="4930"/>
        <v>0</v>
      </c>
      <c r="GG88" s="40">
        <f t="shared" ca="1" si="4930"/>
        <v>0</v>
      </c>
      <c r="GH88" s="40">
        <f t="shared" ca="1" si="4930"/>
        <v>0</v>
      </c>
      <c r="GI88" s="40">
        <f t="shared" ca="1" si="4930"/>
        <v>0</v>
      </c>
      <c r="GJ88" s="40">
        <f t="shared" ca="1" si="4930"/>
        <v>0</v>
      </c>
      <c r="GK88" s="40">
        <f t="shared" ca="1" si="4930"/>
        <v>0</v>
      </c>
      <c r="GL88" s="40">
        <f t="shared" ca="1" si="4930"/>
        <v>0</v>
      </c>
      <c r="GM88" s="40">
        <f t="shared" ca="1" si="4930"/>
        <v>0</v>
      </c>
      <c r="GN88" s="40">
        <f t="shared" ca="1" si="4930"/>
        <v>0</v>
      </c>
      <c r="GO88" s="40">
        <f t="shared" ca="1" si="4930"/>
        <v>0</v>
      </c>
      <c r="GP88" s="40">
        <f t="shared" ca="1" si="4930"/>
        <v>0</v>
      </c>
      <c r="GQ88" s="40">
        <f t="shared" ca="1" si="4930"/>
        <v>0</v>
      </c>
      <c r="GR88" s="40">
        <f t="shared" ca="1" si="4930"/>
        <v>0</v>
      </c>
      <c r="GS88" s="40">
        <f t="shared" ca="1" si="4930"/>
        <v>0</v>
      </c>
      <c r="GT88" s="40">
        <f t="shared" ca="1" si="4930"/>
        <v>0</v>
      </c>
      <c r="GU88" s="40">
        <f t="shared" ref="GU88:JF88" ca="1" si="4931">GU$83</f>
        <v>0</v>
      </c>
      <c r="GV88" s="40">
        <f t="shared" ca="1" si="4931"/>
        <v>0</v>
      </c>
      <c r="GW88" s="40">
        <f t="shared" ca="1" si="4931"/>
        <v>0</v>
      </c>
      <c r="GX88" s="40">
        <f t="shared" ca="1" si="4931"/>
        <v>0</v>
      </c>
      <c r="GY88" s="40">
        <f t="shared" ca="1" si="4931"/>
        <v>0</v>
      </c>
      <c r="GZ88" s="40">
        <f t="shared" ca="1" si="4931"/>
        <v>0</v>
      </c>
      <c r="HA88" s="40">
        <f t="shared" ca="1" si="4931"/>
        <v>0</v>
      </c>
      <c r="HB88" s="40">
        <f t="shared" ca="1" si="4931"/>
        <v>0</v>
      </c>
      <c r="HC88" s="40">
        <f t="shared" ca="1" si="4931"/>
        <v>0</v>
      </c>
      <c r="HD88" s="40">
        <f t="shared" ca="1" si="4931"/>
        <v>0</v>
      </c>
      <c r="HE88" s="40">
        <f t="shared" ca="1" si="4931"/>
        <v>0</v>
      </c>
      <c r="HF88" s="40">
        <f t="shared" ca="1" si="4931"/>
        <v>0</v>
      </c>
      <c r="HG88" s="40">
        <f t="shared" ca="1" si="4931"/>
        <v>0</v>
      </c>
      <c r="HH88" s="40">
        <f t="shared" ca="1" si="4931"/>
        <v>0</v>
      </c>
      <c r="HI88" s="40">
        <f t="shared" ca="1" si="4931"/>
        <v>0</v>
      </c>
      <c r="HJ88" s="40">
        <f t="shared" ca="1" si="4931"/>
        <v>0</v>
      </c>
      <c r="HK88" s="40">
        <f t="shared" ca="1" si="4931"/>
        <v>0</v>
      </c>
      <c r="HL88" s="40">
        <f t="shared" ca="1" si="4931"/>
        <v>0</v>
      </c>
      <c r="HM88" s="40">
        <f t="shared" ca="1" si="4931"/>
        <v>0</v>
      </c>
      <c r="HN88" s="40">
        <f t="shared" ca="1" si="4931"/>
        <v>0</v>
      </c>
      <c r="HO88" s="40">
        <f t="shared" ca="1" si="4931"/>
        <v>0</v>
      </c>
      <c r="HP88" s="40">
        <f t="shared" ca="1" si="4931"/>
        <v>0</v>
      </c>
      <c r="HQ88" s="40">
        <f t="shared" ca="1" si="4931"/>
        <v>0</v>
      </c>
      <c r="HR88" s="40">
        <f t="shared" ca="1" si="4931"/>
        <v>0</v>
      </c>
      <c r="HS88" s="40">
        <f t="shared" ca="1" si="4931"/>
        <v>0</v>
      </c>
      <c r="HT88" s="40">
        <f t="shared" ca="1" si="4931"/>
        <v>0</v>
      </c>
      <c r="HU88" s="40">
        <f t="shared" ca="1" si="4931"/>
        <v>0</v>
      </c>
      <c r="HV88" s="40">
        <f t="shared" ca="1" si="4931"/>
        <v>0</v>
      </c>
      <c r="HW88" s="40">
        <f t="shared" ca="1" si="4931"/>
        <v>0</v>
      </c>
      <c r="HX88" s="40">
        <f t="shared" ca="1" si="4931"/>
        <v>0</v>
      </c>
      <c r="HY88" s="40">
        <f t="shared" ca="1" si="4931"/>
        <v>0</v>
      </c>
      <c r="HZ88" s="40">
        <f t="shared" ca="1" si="4931"/>
        <v>0</v>
      </c>
      <c r="IA88" s="40">
        <f t="shared" ca="1" si="4931"/>
        <v>0</v>
      </c>
      <c r="IB88" s="40">
        <f t="shared" ca="1" si="4931"/>
        <v>0</v>
      </c>
      <c r="IC88" s="40">
        <f t="shared" ca="1" si="4931"/>
        <v>0</v>
      </c>
      <c r="ID88" s="40">
        <f t="shared" ca="1" si="4931"/>
        <v>0</v>
      </c>
      <c r="IE88" s="40">
        <f t="shared" ca="1" si="4931"/>
        <v>0</v>
      </c>
      <c r="IF88" s="40">
        <f t="shared" ca="1" si="4931"/>
        <v>0</v>
      </c>
      <c r="IG88" s="40">
        <f t="shared" ca="1" si="4931"/>
        <v>0</v>
      </c>
      <c r="IH88" s="40">
        <f t="shared" ca="1" si="4931"/>
        <v>0</v>
      </c>
      <c r="II88" s="40">
        <f t="shared" ca="1" si="4931"/>
        <v>0</v>
      </c>
      <c r="IJ88" s="40">
        <f t="shared" ca="1" si="4931"/>
        <v>0</v>
      </c>
      <c r="IK88" s="40">
        <f t="shared" ca="1" si="4931"/>
        <v>0</v>
      </c>
      <c r="IL88" s="40">
        <f t="shared" ca="1" si="4931"/>
        <v>0</v>
      </c>
      <c r="IM88" s="40">
        <f t="shared" ca="1" si="4931"/>
        <v>0</v>
      </c>
      <c r="IN88" s="40">
        <f t="shared" ca="1" si="4931"/>
        <v>0</v>
      </c>
      <c r="IO88" s="40">
        <f t="shared" ca="1" si="4931"/>
        <v>0</v>
      </c>
      <c r="IP88" s="40">
        <f t="shared" ca="1" si="4931"/>
        <v>0</v>
      </c>
      <c r="IQ88" s="40">
        <f t="shared" ca="1" si="4931"/>
        <v>0</v>
      </c>
      <c r="IR88" s="40">
        <f t="shared" ca="1" si="4931"/>
        <v>0</v>
      </c>
      <c r="IS88" s="40">
        <f t="shared" ca="1" si="4931"/>
        <v>0</v>
      </c>
      <c r="IT88" s="40">
        <f t="shared" ca="1" si="4931"/>
        <v>0</v>
      </c>
      <c r="IU88" s="40">
        <f t="shared" ca="1" si="4931"/>
        <v>0</v>
      </c>
      <c r="IV88" s="40">
        <f t="shared" ca="1" si="4931"/>
        <v>0</v>
      </c>
      <c r="IW88" s="40">
        <f t="shared" ca="1" si="4931"/>
        <v>0</v>
      </c>
      <c r="IX88" s="40">
        <f t="shared" ca="1" si="4931"/>
        <v>0</v>
      </c>
      <c r="IY88" s="40">
        <f t="shared" ca="1" si="4931"/>
        <v>0</v>
      </c>
      <c r="IZ88" s="40">
        <f t="shared" ca="1" si="4931"/>
        <v>0</v>
      </c>
      <c r="JA88" s="40">
        <f t="shared" ca="1" si="4931"/>
        <v>0</v>
      </c>
      <c r="JB88" s="40">
        <f t="shared" ca="1" si="4931"/>
        <v>0</v>
      </c>
      <c r="JC88" s="40">
        <f t="shared" ca="1" si="4931"/>
        <v>0</v>
      </c>
      <c r="JD88" s="40">
        <f t="shared" ca="1" si="4931"/>
        <v>0</v>
      </c>
      <c r="JE88" s="40">
        <f t="shared" ca="1" si="4931"/>
        <v>0</v>
      </c>
      <c r="JF88" s="40">
        <f t="shared" ca="1" si="4931"/>
        <v>0</v>
      </c>
      <c r="JG88" s="40">
        <f t="shared" ref="JG88:LR88" ca="1" si="4932">JG$83</f>
        <v>0</v>
      </c>
      <c r="JH88" s="40">
        <f t="shared" ca="1" si="4932"/>
        <v>0</v>
      </c>
      <c r="JI88" s="40">
        <f t="shared" ca="1" si="4932"/>
        <v>0</v>
      </c>
      <c r="JJ88" s="40">
        <f t="shared" ca="1" si="4932"/>
        <v>0</v>
      </c>
      <c r="JK88" s="40">
        <f t="shared" ca="1" si="4932"/>
        <v>0</v>
      </c>
      <c r="JL88" s="40">
        <f t="shared" ca="1" si="4932"/>
        <v>0</v>
      </c>
      <c r="JM88" s="40">
        <f t="shared" ca="1" si="4932"/>
        <v>0</v>
      </c>
      <c r="JN88" s="40">
        <f t="shared" ca="1" si="4932"/>
        <v>0</v>
      </c>
      <c r="JO88" s="40">
        <f t="shared" ca="1" si="4932"/>
        <v>0</v>
      </c>
      <c r="JP88" s="40">
        <f t="shared" ca="1" si="4932"/>
        <v>0</v>
      </c>
      <c r="JQ88" s="40">
        <f t="shared" ca="1" si="4932"/>
        <v>0</v>
      </c>
      <c r="JR88" s="40">
        <f t="shared" ca="1" si="4932"/>
        <v>0</v>
      </c>
      <c r="JS88" s="40">
        <f t="shared" ca="1" si="4932"/>
        <v>0</v>
      </c>
      <c r="JT88" s="40">
        <f t="shared" ca="1" si="4932"/>
        <v>0</v>
      </c>
      <c r="JU88" s="40">
        <f t="shared" ca="1" si="4932"/>
        <v>0</v>
      </c>
      <c r="JV88" s="40">
        <f t="shared" ca="1" si="4932"/>
        <v>0</v>
      </c>
      <c r="JW88" s="40">
        <f t="shared" ca="1" si="4932"/>
        <v>0</v>
      </c>
      <c r="JX88" s="40">
        <f t="shared" ca="1" si="4932"/>
        <v>0</v>
      </c>
      <c r="JY88" s="40">
        <f t="shared" ca="1" si="4932"/>
        <v>0</v>
      </c>
      <c r="JZ88" s="40">
        <f t="shared" ca="1" si="4932"/>
        <v>0</v>
      </c>
      <c r="KA88" s="40">
        <f t="shared" ca="1" si="4932"/>
        <v>0</v>
      </c>
      <c r="KB88" s="40">
        <f t="shared" ca="1" si="4932"/>
        <v>0</v>
      </c>
      <c r="KC88" s="40">
        <f t="shared" ca="1" si="4932"/>
        <v>0</v>
      </c>
      <c r="KD88" s="40">
        <f t="shared" ca="1" si="4932"/>
        <v>0</v>
      </c>
      <c r="KE88" s="40">
        <f t="shared" ca="1" si="4932"/>
        <v>0</v>
      </c>
      <c r="KF88" s="40">
        <f t="shared" ca="1" si="4932"/>
        <v>0</v>
      </c>
      <c r="KG88" s="40">
        <f t="shared" ca="1" si="4932"/>
        <v>0</v>
      </c>
      <c r="KH88" s="40">
        <f t="shared" ca="1" si="4932"/>
        <v>0</v>
      </c>
      <c r="KI88" s="40">
        <f t="shared" ca="1" si="4932"/>
        <v>0</v>
      </c>
      <c r="KJ88" s="40">
        <f t="shared" ca="1" si="4932"/>
        <v>0</v>
      </c>
      <c r="KK88" s="40">
        <f t="shared" ca="1" si="4932"/>
        <v>0</v>
      </c>
      <c r="KL88" s="40">
        <f t="shared" ca="1" si="4932"/>
        <v>0</v>
      </c>
      <c r="KM88" s="40">
        <f t="shared" ca="1" si="4932"/>
        <v>0</v>
      </c>
      <c r="KN88" s="40">
        <f t="shared" ca="1" si="4932"/>
        <v>0</v>
      </c>
      <c r="KO88" s="40">
        <f t="shared" ca="1" si="4932"/>
        <v>0</v>
      </c>
      <c r="KP88" s="40">
        <f t="shared" ca="1" si="4932"/>
        <v>0</v>
      </c>
      <c r="KQ88" s="40">
        <f t="shared" ca="1" si="4932"/>
        <v>0</v>
      </c>
      <c r="KR88" s="40">
        <f t="shared" ca="1" si="4932"/>
        <v>0</v>
      </c>
      <c r="KS88" s="40">
        <f t="shared" ca="1" si="4932"/>
        <v>0</v>
      </c>
      <c r="KT88" s="40">
        <f t="shared" ca="1" si="4932"/>
        <v>0</v>
      </c>
      <c r="KU88" s="40">
        <f t="shared" ca="1" si="4932"/>
        <v>0</v>
      </c>
      <c r="KV88" s="40">
        <f t="shared" ca="1" si="4932"/>
        <v>0</v>
      </c>
      <c r="KW88" s="40">
        <f t="shared" ca="1" si="4932"/>
        <v>0</v>
      </c>
      <c r="KX88" s="40">
        <f t="shared" ca="1" si="4932"/>
        <v>0</v>
      </c>
      <c r="KY88" s="40">
        <f t="shared" ca="1" si="4932"/>
        <v>0</v>
      </c>
      <c r="KZ88" s="40">
        <f t="shared" ca="1" si="4932"/>
        <v>0</v>
      </c>
      <c r="LA88" s="40">
        <f t="shared" ca="1" si="4932"/>
        <v>0</v>
      </c>
      <c r="LB88" s="40">
        <f t="shared" ca="1" si="4932"/>
        <v>0</v>
      </c>
      <c r="LC88" s="40">
        <f t="shared" ca="1" si="4932"/>
        <v>0</v>
      </c>
      <c r="LD88" s="40">
        <f t="shared" ca="1" si="4932"/>
        <v>0</v>
      </c>
      <c r="LE88" s="40">
        <f t="shared" ca="1" si="4932"/>
        <v>0</v>
      </c>
      <c r="LF88" s="40">
        <f t="shared" ca="1" si="4932"/>
        <v>0</v>
      </c>
      <c r="LG88" s="40">
        <f t="shared" ca="1" si="4932"/>
        <v>0</v>
      </c>
      <c r="LH88" s="40">
        <f t="shared" ca="1" si="4932"/>
        <v>0</v>
      </c>
      <c r="LI88" s="40">
        <f t="shared" ca="1" si="4932"/>
        <v>0</v>
      </c>
      <c r="LJ88" s="40">
        <f t="shared" ca="1" si="4932"/>
        <v>0</v>
      </c>
      <c r="LK88" s="40">
        <f t="shared" ca="1" si="4932"/>
        <v>0</v>
      </c>
      <c r="LL88" s="40">
        <f t="shared" ca="1" si="4932"/>
        <v>0</v>
      </c>
      <c r="LM88" s="40">
        <f t="shared" ca="1" si="4932"/>
        <v>0</v>
      </c>
      <c r="LN88" s="40">
        <f t="shared" ca="1" si="4932"/>
        <v>0</v>
      </c>
      <c r="LO88" s="40">
        <f t="shared" ca="1" si="4932"/>
        <v>0</v>
      </c>
      <c r="LP88" s="40">
        <f t="shared" ca="1" si="4932"/>
        <v>0</v>
      </c>
      <c r="LQ88" s="40">
        <f t="shared" ca="1" si="4932"/>
        <v>0</v>
      </c>
      <c r="LR88" s="40">
        <f t="shared" ca="1" si="4932"/>
        <v>0</v>
      </c>
      <c r="LS88" s="40">
        <f t="shared" ref="LS88:ND88" ca="1" si="4933">LS$83</f>
        <v>0</v>
      </c>
      <c r="LT88" s="40">
        <f t="shared" ca="1" si="4933"/>
        <v>0</v>
      </c>
      <c r="LU88" s="40">
        <f t="shared" ca="1" si="4933"/>
        <v>0</v>
      </c>
      <c r="LV88" s="40">
        <f t="shared" ca="1" si="4933"/>
        <v>0</v>
      </c>
      <c r="LW88" s="40">
        <f t="shared" ca="1" si="4933"/>
        <v>0</v>
      </c>
      <c r="LX88" s="40">
        <f t="shared" ca="1" si="4933"/>
        <v>0</v>
      </c>
      <c r="LY88" s="40">
        <f t="shared" ca="1" si="4933"/>
        <v>0</v>
      </c>
      <c r="LZ88" s="40">
        <f t="shared" ca="1" si="4933"/>
        <v>0</v>
      </c>
      <c r="MA88" s="40">
        <f t="shared" ca="1" si="4933"/>
        <v>0</v>
      </c>
      <c r="MB88" s="40">
        <f t="shared" ca="1" si="4933"/>
        <v>0</v>
      </c>
      <c r="MC88" s="40">
        <f t="shared" ca="1" si="4933"/>
        <v>0</v>
      </c>
      <c r="MD88" s="40">
        <f t="shared" ca="1" si="4933"/>
        <v>0</v>
      </c>
      <c r="ME88" s="40">
        <f t="shared" ca="1" si="4933"/>
        <v>0</v>
      </c>
      <c r="MF88" s="40">
        <f t="shared" ca="1" si="4933"/>
        <v>0</v>
      </c>
      <c r="MG88" s="40">
        <f t="shared" ca="1" si="4933"/>
        <v>0</v>
      </c>
      <c r="MH88" s="40">
        <f t="shared" ca="1" si="4933"/>
        <v>0</v>
      </c>
      <c r="MI88" s="40">
        <f t="shared" ca="1" si="4933"/>
        <v>0</v>
      </c>
      <c r="MJ88" s="40">
        <f t="shared" ca="1" si="4933"/>
        <v>0</v>
      </c>
      <c r="MK88" s="40">
        <f t="shared" ca="1" si="4933"/>
        <v>0</v>
      </c>
      <c r="ML88" s="40">
        <f t="shared" ca="1" si="4933"/>
        <v>0</v>
      </c>
      <c r="MM88" s="40">
        <f t="shared" ca="1" si="4933"/>
        <v>0</v>
      </c>
      <c r="MN88" s="40">
        <f t="shared" ca="1" si="4933"/>
        <v>0</v>
      </c>
      <c r="MO88" s="40">
        <f t="shared" ca="1" si="4933"/>
        <v>0</v>
      </c>
      <c r="MP88" s="40">
        <f t="shared" ca="1" si="4933"/>
        <v>0</v>
      </c>
      <c r="MQ88" s="40">
        <f t="shared" ca="1" si="4933"/>
        <v>0</v>
      </c>
      <c r="MR88" s="40">
        <f t="shared" ca="1" si="4933"/>
        <v>0</v>
      </c>
      <c r="MS88" s="40">
        <f t="shared" ca="1" si="4933"/>
        <v>0</v>
      </c>
      <c r="MT88" s="40">
        <f t="shared" ca="1" si="4933"/>
        <v>0</v>
      </c>
      <c r="MU88" s="40">
        <f t="shared" ca="1" si="4933"/>
        <v>0</v>
      </c>
      <c r="MV88" s="40">
        <f t="shared" ca="1" si="4933"/>
        <v>0</v>
      </c>
      <c r="MW88" s="40">
        <f t="shared" ca="1" si="4933"/>
        <v>0</v>
      </c>
      <c r="MX88" s="40">
        <f t="shared" ca="1" si="4933"/>
        <v>0</v>
      </c>
      <c r="MY88" s="40">
        <f t="shared" ca="1" si="4933"/>
        <v>0</v>
      </c>
      <c r="MZ88" s="40">
        <f t="shared" ca="1" si="4933"/>
        <v>0</v>
      </c>
      <c r="NA88" s="40">
        <f t="shared" ca="1" si="4933"/>
        <v>0</v>
      </c>
      <c r="NB88" s="40">
        <f t="shared" ca="1" si="4933"/>
        <v>0</v>
      </c>
      <c r="NC88" s="40">
        <f t="shared" ca="1" si="4933"/>
        <v>0</v>
      </c>
      <c r="ND88" s="40">
        <f t="shared" ca="1" si="4933"/>
        <v>0</v>
      </c>
      <c r="NE88" s="40"/>
      <c r="NF88" s="40"/>
      <c r="NG88" s="40"/>
      <c r="NH88" s="40"/>
      <c r="NI88" s="40"/>
      <c r="NJ88" s="40"/>
      <c r="NK88" s="40"/>
      <c r="NL88" s="40"/>
      <c r="NM88" s="40"/>
      <c r="NN88" s="40"/>
      <c r="NO88" s="40"/>
      <c r="NP88" s="40"/>
      <c r="NQ88" s="40"/>
      <c r="NR88" s="40"/>
    </row>
    <row r="89" spans="2:382" x14ac:dyDescent="0.15">
      <c r="B89" s="520"/>
      <c r="C89" t="s">
        <v>179</v>
      </c>
      <c r="G89" s="118"/>
      <c r="I89" s="40">
        <f t="shared" ref="I89:J89" si="4934">I87-I88+H89</f>
        <v>0</v>
      </c>
      <c r="J89" s="40">
        <f t="shared" si="4934"/>
        <v>0</v>
      </c>
      <c r="K89" s="40">
        <f t="shared" ref="K89" si="4935">K87-K88+J89</f>
        <v>0</v>
      </c>
      <c r="L89" s="40">
        <f t="shared" ref="L89" si="4936">L87-L88+K89</f>
        <v>0</v>
      </c>
      <c r="M89" s="40">
        <f t="shared" ref="M89" si="4937">M87-M88+L89</f>
        <v>0</v>
      </c>
      <c r="N89" s="40">
        <f t="shared" ref="N89" si="4938">N87-N88+M89</f>
        <v>0</v>
      </c>
      <c r="O89" s="40">
        <f t="shared" ref="O89" si="4939">O87-O88+N89</f>
        <v>0</v>
      </c>
      <c r="P89" s="40">
        <f t="shared" ref="P89" si="4940">P87-P88+O89</f>
        <v>0</v>
      </c>
      <c r="Q89" s="40">
        <f t="shared" ref="Q89" si="4941">Q87-Q88+P89</f>
        <v>0</v>
      </c>
      <c r="R89" s="40">
        <f t="shared" ref="R89" si="4942">R87-R88+Q89</f>
        <v>0</v>
      </c>
      <c r="S89" s="40">
        <f t="shared" ref="S89" si="4943">S87-S88+R89</f>
        <v>0</v>
      </c>
      <c r="T89" s="40">
        <f t="shared" ref="T89" si="4944">T87-T88+S89</f>
        <v>0</v>
      </c>
      <c r="U89" s="40">
        <f t="shared" ref="U89" si="4945">U87-U88+T89</f>
        <v>0</v>
      </c>
      <c r="V89" s="40">
        <f t="shared" ref="V89" si="4946">V87-V88+U89</f>
        <v>0</v>
      </c>
      <c r="W89" s="40">
        <f t="shared" ref="W89" si="4947">W87-W88+V89</f>
        <v>0</v>
      </c>
      <c r="X89" s="40">
        <f t="shared" ref="X89" si="4948">X87-X88+W89</f>
        <v>0</v>
      </c>
      <c r="Y89" s="40">
        <f t="shared" ref="Y89" si="4949">Y87-Y88+X89</f>
        <v>0</v>
      </c>
      <c r="Z89" s="40">
        <f t="shared" ref="Z89" si="4950">Z87-Z88+Y89</f>
        <v>0</v>
      </c>
      <c r="AA89" s="40">
        <f t="shared" ref="AA89" si="4951">AA87-AA88+Z89</f>
        <v>0</v>
      </c>
      <c r="AB89" s="40">
        <f t="shared" ref="AB89" si="4952">AB87-AB88+AA89</f>
        <v>0</v>
      </c>
      <c r="AC89" s="40">
        <f t="shared" ref="AC89" si="4953">AC87-AC88+AB89</f>
        <v>0</v>
      </c>
      <c r="AD89" s="40">
        <f t="shared" ref="AD89" si="4954">AD87-AD88+AC89</f>
        <v>0</v>
      </c>
      <c r="AE89" s="40">
        <f t="shared" ref="AE89" si="4955">AE87-AE88+AD89</f>
        <v>0</v>
      </c>
      <c r="AF89" s="40">
        <f t="shared" ref="AF89" si="4956">AF87-AF88+AE89</f>
        <v>0</v>
      </c>
      <c r="AG89" s="40">
        <f t="shared" ref="AG89" si="4957">AG87-AG88+AF89</f>
        <v>0</v>
      </c>
      <c r="AH89" s="40">
        <f t="shared" ref="AH89" si="4958">AH87-AH88+AG89</f>
        <v>0</v>
      </c>
      <c r="AI89" s="40">
        <f t="shared" ref="AI89" si="4959">AI87-AI88+AH89</f>
        <v>0</v>
      </c>
      <c r="AJ89" s="40">
        <f t="shared" ref="AJ89" si="4960">AJ87-AJ88+AI89</f>
        <v>0</v>
      </c>
      <c r="AK89" s="40">
        <f t="shared" ref="AK89" si="4961">AK87-AK88+AJ89</f>
        <v>0</v>
      </c>
      <c r="AL89" s="40">
        <f t="shared" ref="AL89" si="4962">AL87-AL88+AK89</f>
        <v>0</v>
      </c>
      <c r="AM89" s="40">
        <f t="shared" ref="AM89" si="4963">AM87-AM88+AL89</f>
        <v>0</v>
      </c>
      <c r="AN89" s="40">
        <f t="shared" ref="AN89" si="4964">AN87-AN88+AM89</f>
        <v>0</v>
      </c>
      <c r="AO89" s="40">
        <f t="shared" ref="AO89" si="4965">AO87-AO88+AN89</f>
        <v>0</v>
      </c>
      <c r="AP89" s="40">
        <f t="shared" ref="AP89" si="4966">AP87-AP88+AO89</f>
        <v>0</v>
      </c>
      <c r="AQ89" s="40">
        <f t="shared" ref="AQ89" si="4967">AQ87-AQ88+AP89</f>
        <v>0</v>
      </c>
      <c r="AR89" s="40">
        <f t="shared" ref="AR89" si="4968">AR87-AR88+AQ89</f>
        <v>0</v>
      </c>
      <c r="AS89" s="40">
        <f t="shared" ref="AS89" si="4969">AS87-AS88+AR89</f>
        <v>110.72524415783775</v>
      </c>
      <c r="AT89" s="40">
        <f t="shared" ref="AT89" si="4970">AT87-AT88+AS89</f>
        <v>221.4504883156755</v>
      </c>
      <c r="AU89" s="40">
        <f t="shared" ref="AU89" si="4971">AU87-AU88+AT89</f>
        <v>332.17573247351322</v>
      </c>
      <c r="AV89" s="40">
        <f t="shared" ref="AV89" si="4972">AV87-AV88+AU89</f>
        <v>442.900976631351</v>
      </c>
      <c r="AW89" s="40">
        <f t="shared" ref="AW89" si="4973">AW87-AW88+AV89</f>
        <v>553.62622078918878</v>
      </c>
      <c r="AX89" s="40">
        <f t="shared" ref="AX89" si="4974">AX87-AX88+AW89</f>
        <v>664.35146494702656</v>
      </c>
      <c r="AY89" s="40">
        <f t="shared" ref="AY89" si="4975">AY87-AY88+AX89</f>
        <v>775.07670910486434</v>
      </c>
      <c r="AZ89" s="40">
        <f t="shared" ref="AZ89" si="4976">AZ87-AZ88+AY89</f>
        <v>885.80195326270211</v>
      </c>
      <c r="BA89" s="40">
        <f t="shared" ref="BA89" si="4977">BA87-BA88+AZ89</f>
        <v>996.52719742053989</v>
      </c>
      <c r="BB89" s="40">
        <f t="shared" ref="BB89" si="4978">BB87-BB88+BA89</f>
        <v>1107.2524415783776</v>
      </c>
      <c r="BC89" s="40">
        <f t="shared" ref="BC89" si="4979">BC87-BC88+BB89</f>
        <v>1217.9776857362153</v>
      </c>
      <c r="BD89" s="40">
        <f t="shared" ref="BD89" si="4980">BD87-BD88+BC89</f>
        <v>1328.7029298940531</v>
      </c>
      <c r="BE89" s="40">
        <f t="shared" ref="BE89" si="4981">BE87-BE88+BD89</f>
        <v>1722.4673513314021</v>
      </c>
      <c r="BF89" s="40">
        <f t="shared" ref="BF89" si="4982">BF87-BF88+BE89</f>
        <v>2116.2317727687509</v>
      </c>
      <c r="BG89" s="40">
        <f t="shared" ref="BG89" si="4983">BG87-BG88+BF89</f>
        <v>2509.9961942061</v>
      </c>
      <c r="BH89" s="40">
        <f t="shared" ref="BH89" si="4984">BH87-BH88+BG89</f>
        <v>2903.760615643449</v>
      </c>
      <c r="BI89" s="40">
        <f t="shared" ref="BI89" si="4985">BI87-BI88+BH89</f>
        <v>3297.525037080798</v>
      </c>
      <c r="BJ89" s="40">
        <f t="shared" ref="BJ89" si="4986">BJ87-BJ88+BI89</f>
        <v>3691.2894585181471</v>
      </c>
      <c r="BK89" s="40">
        <f t="shared" ref="BK89" si="4987">BK87-BK88+BJ89</f>
        <v>4085.0538799554961</v>
      </c>
      <c r="BL89" s="40">
        <f t="shared" ref="BL89" si="4988">BL87-BL88+BK89</f>
        <v>4478.8183013928447</v>
      </c>
      <c r="BM89" s="40">
        <f t="shared" ref="BM89" si="4989">BM87-BM88+BL89</f>
        <v>4872.5827228301932</v>
      </c>
      <c r="BN89" s="40">
        <f t="shared" ref="BN89" si="4990">BN87-BN88+BM89</f>
        <v>5266.3471442675418</v>
      </c>
      <c r="BO89" s="40">
        <f t="shared" ref="BO89" si="4991">BO87-BO88+BN89</f>
        <v>5660.1115657048904</v>
      </c>
      <c r="BP89" s="40">
        <f t="shared" ref="BP89" si="4992">BP87-BP88+BO89</f>
        <v>6053.875987142239</v>
      </c>
      <c r="BQ89" s="40">
        <f t="shared" ref="BQ89" si="4993">BQ87-BQ88+BP89</f>
        <v>6739.5640320726379</v>
      </c>
      <c r="BR89" s="40">
        <f t="shared" ref="BR89" si="4994">BR87-BR88+BQ89</f>
        <v>7425.2520770030369</v>
      </c>
      <c r="BS89" s="40">
        <f t="shared" ref="BS89" si="4995">BS87-BS88+BR89</f>
        <v>8110.9401219334359</v>
      </c>
      <c r="BT89" s="40">
        <f t="shared" ref="BT89" si="4996">BT87-BT88+BS89</f>
        <v>8796.6281668638348</v>
      </c>
      <c r="BU89" s="40">
        <f t="shared" ref="BU89" si="4997">BU87-BU88+BT89</f>
        <v>9482.3162117942338</v>
      </c>
      <c r="BV89" s="40">
        <f t="shared" ref="BV89" si="4998">BV87-BV88+BU89</f>
        <v>10168.004256724633</v>
      </c>
      <c r="BW89" s="40">
        <f t="shared" ref="BW89" si="4999">BW87-BW88+BV89</f>
        <v>10853.692301655032</v>
      </c>
      <c r="BX89" s="40">
        <f t="shared" ref="BX89" si="5000">BX87-BX88+BW89</f>
        <v>11539.380346585431</v>
      </c>
      <c r="BY89" s="40">
        <f t="shared" ref="BY89" si="5001">BY87-BY88+BX89</f>
        <v>12225.06839151583</v>
      </c>
      <c r="BZ89" s="40">
        <f t="shared" ref="BZ89" si="5002">BZ87-BZ88+BY89</f>
        <v>12910.756436446229</v>
      </c>
      <c r="CA89" s="40">
        <f t="shared" ref="CA89" si="5003">CA87-CA88+BZ89</f>
        <v>13596.444481376628</v>
      </c>
      <c r="CB89" s="40">
        <f t="shared" ref="CB89" si="5004">CB87-CB88+CA89</f>
        <v>14282.132526307027</v>
      </c>
      <c r="CC89" s="40">
        <f t="shared" ref="CC89" si="5005">CC87-CC88+CB89</f>
        <v>15268.903566583407</v>
      </c>
      <c r="CD89" s="40">
        <f t="shared" ref="CD89" si="5006">CD87-CD88+CC89</f>
        <v>16255.674606859788</v>
      </c>
      <c r="CE89" s="40">
        <f t="shared" ref="CE89" si="5007">CE87-CE88+CD89</f>
        <v>17242.44564713617</v>
      </c>
      <c r="CF89" s="40">
        <f t="shared" ref="CF89" si="5008">CF87-CF88+CE89</f>
        <v>18229.216687412551</v>
      </c>
      <c r="CG89" s="40">
        <f t="shared" ref="CG89" si="5009">CG87-CG88+CF89</f>
        <v>19215.987727688931</v>
      </c>
      <c r="CH89" s="40">
        <f t="shared" ref="CH89" si="5010">CH87-CH88+CG89</f>
        <v>20202.758767965312</v>
      </c>
      <c r="CI89" s="40">
        <f t="shared" ref="CI89" si="5011">CI87-CI88+CH89</f>
        <v>21189.529808241692</v>
      </c>
      <c r="CJ89" s="40">
        <f t="shared" ref="CJ89" si="5012">CJ87-CJ88+CI89</f>
        <v>22176.300848518073</v>
      </c>
      <c r="CK89" s="40">
        <f t="shared" ref="CK89" si="5013">CK87-CK88+CJ89</f>
        <v>23163.071888794453</v>
      </c>
      <c r="CL89" s="40">
        <f t="shared" ref="CL89" si="5014">CL87-CL88+CK89</f>
        <v>24149.842929070834</v>
      </c>
      <c r="CM89" s="40">
        <f t="shared" ref="CM89" si="5015">CM87-CM88+CL89</f>
        <v>25136.613969347214</v>
      </c>
      <c r="CN89" s="40">
        <f t="shared" ref="CN89" si="5016">CN87-CN88+CM89</f>
        <v>26123.385009623595</v>
      </c>
      <c r="CO89" s="40">
        <f t="shared" ref="CO89" si="5017">CO87-CO88+CN89</f>
        <v>27420.681771523399</v>
      </c>
      <c r="CP89" s="40">
        <f t="shared" ref="CP89" si="5018">CP87-CP88+CO89</f>
        <v>28717.978533423204</v>
      </c>
      <c r="CQ89" s="40">
        <f t="shared" ref="CQ89" si="5019">CQ87-CQ88+CP89</f>
        <v>30015.275295323008</v>
      </c>
      <c r="CR89" s="40">
        <f t="shared" ref="CR89" si="5020">CR87-CR88+CQ89</f>
        <v>31312.572057222813</v>
      </c>
      <c r="CS89" s="40">
        <f t="shared" ref="CS89" si="5021">CS87-CS88+CR89</f>
        <v>32609.868819122617</v>
      </c>
      <c r="CT89" s="40">
        <f t="shared" ref="CT89" si="5022">CT87-CT88+CS89</f>
        <v>33907.165581022418</v>
      </c>
      <c r="CU89" s="40">
        <f t="shared" ref="CU89" si="5023">CU87-CU88+CT89</f>
        <v>35204.462342922219</v>
      </c>
      <c r="CV89" s="40">
        <f t="shared" ref="CV89" si="5024">CV87-CV88+CU89</f>
        <v>36501.75910482202</v>
      </c>
      <c r="CW89" s="40">
        <f t="shared" ref="CW89" si="5025">CW87-CW88+CV89</f>
        <v>37799.055866721821</v>
      </c>
      <c r="CX89" s="40">
        <f t="shared" ref="CX89" si="5026">CX87-CX88+CW89</f>
        <v>39096.352628621622</v>
      </c>
      <c r="CY89" s="40">
        <f t="shared" ref="CY89" si="5027">CY87-CY88+CX89</f>
        <v>40393.649390521423</v>
      </c>
      <c r="CZ89" s="40">
        <f t="shared" ref="CZ89" si="5028">CZ87-CZ88+CY89</f>
        <v>41690.946152421224</v>
      </c>
      <c r="DA89" s="40">
        <f t="shared" ref="DA89" si="5029">DA87-DA88+CZ89</f>
        <v>43308.503402244678</v>
      </c>
      <c r="DB89" s="40">
        <f t="shared" ref="DB89" si="5030">DB87-DB88+DA89</f>
        <v>44926.060652068132</v>
      </c>
      <c r="DC89" s="40">
        <f t="shared" ref="DC89" si="5031">DC87-DC88+DB89</f>
        <v>46543.617901891586</v>
      </c>
      <c r="DD89" s="40">
        <f t="shared" ref="DD89" si="5032">DD87-DD88+DC89</f>
        <v>48161.175151715041</v>
      </c>
      <c r="DE89" s="40">
        <f t="shared" ref="DE89" si="5033">DE87-DE88+DD89</f>
        <v>49778.732401538495</v>
      </c>
      <c r="DF89" s="40">
        <f t="shared" ref="DF89" si="5034">DF87-DF88+DE89</f>
        <v>51396.289651361949</v>
      </c>
      <c r="DG89" s="40">
        <f t="shared" ref="DG89" si="5035">DG87-DG88+DF89</f>
        <v>53013.846901185403</v>
      </c>
      <c r="DH89" s="40">
        <f t="shared" ref="DH89" si="5036">DH87-DH88+DG89</f>
        <v>54631.404151008857</v>
      </c>
      <c r="DI89" s="40">
        <f t="shared" ref="DI89" si="5037">DI87-DI88+DH89</f>
        <v>56248.961400832311</v>
      </c>
      <c r="DJ89" s="40">
        <f t="shared" ref="DJ89" si="5038">DJ87-DJ88+DI89</f>
        <v>57866.518650655766</v>
      </c>
      <c r="DK89" s="40">
        <f t="shared" ref="DK89" si="5039">DK87-DK88+DJ89</f>
        <v>59484.07590047922</v>
      </c>
      <c r="DL89" s="40">
        <f t="shared" ref="DL89" si="5040">DL87-DL88+DK89</f>
        <v>61101.633150302674</v>
      </c>
      <c r="DM89" s="40">
        <f t="shared" ref="DM89" si="5041">DM87-DM88+DL89</f>
        <v>63049.486644575794</v>
      </c>
      <c r="DN89" s="40">
        <f t="shared" ref="DN89" si="5042">DN87-DN88+DM89</f>
        <v>64997.340138848915</v>
      </c>
      <c r="DO89" s="40">
        <f t="shared" ref="DO89" si="5043">DO87-DO88+DN89</f>
        <v>66945.193633122035</v>
      </c>
      <c r="DP89" s="40">
        <f t="shared" ref="DP89" si="5044">DP87-DP88+DO89</f>
        <v>68893.047127395155</v>
      </c>
      <c r="DQ89" s="40">
        <f t="shared" ref="DQ89" si="5045">DQ87-DQ88+DP89</f>
        <v>70840.900621668276</v>
      </c>
      <c r="DR89" s="40">
        <f t="shared" ref="DR89" si="5046">DR87-DR88+DQ89</f>
        <v>72788.754115941396</v>
      </c>
      <c r="DS89" s="40">
        <f t="shared" ref="DS89" si="5047">DS87-DS88+DR89</f>
        <v>74736.607610214516</v>
      </c>
      <c r="DT89" s="40">
        <f t="shared" ref="DT89" si="5048">DT87-DT88+DS89</f>
        <v>76684.461104487636</v>
      </c>
      <c r="DU89" s="40">
        <f t="shared" ref="DU89" si="5049">DU87-DU88+DT89</f>
        <v>78632.314598760757</v>
      </c>
      <c r="DV89" s="40">
        <f t="shared" ref="DV89" si="5050">DV87-DV88+DU89</f>
        <v>80580.168093033877</v>
      </c>
      <c r="DW89" s="40">
        <f t="shared" ref="DW89" si="5051">DW87-DW88+DV89</f>
        <v>82528.021587306997</v>
      </c>
      <c r="DX89" s="40">
        <f t="shared" ref="DX89" si="5052">DX87-DX88+DW89</f>
        <v>84475.875081580118</v>
      </c>
      <c r="DY89" s="40">
        <f t="shared" ref="DY89" si="5053">DY87-DY88+DX89</f>
        <v>86764.370789889828</v>
      </c>
      <c r="DZ89" s="40">
        <f t="shared" ref="DZ89" si="5054">DZ87-DZ88+DY89</f>
        <v>89052.866498199539</v>
      </c>
      <c r="EA89" s="40">
        <f t="shared" ref="EA89" si="5055">EA87-EA88+DZ89</f>
        <v>91341.36220650925</v>
      </c>
      <c r="EB89" s="40">
        <f t="shared" ref="EB89" si="5056">EB87-EB88+EA89</f>
        <v>93629.85791481896</v>
      </c>
      <c r="EC89" s="40">
        <f t="shared" ref="EC89" si="5057">EC87-EC88+EB89</f>
        <v>95918.353623128671</v>
      </c>
      <c r="ED89" s="40">
        <f t="shared" ref="ED89" si="5058">ED87-ED88+EC89</f>
        <v>98206.849331438381</v>
      </c>
      <c r="EE89" s="40">
        <f t="shared" ref="EE89" si="5059">EE87-EE88+ED89</f>
        <v>100495.34503974809</v>
      </c>
      <c r="EF89" s="40">
        <f t="shared" ref="EF89" si="5060">EF87-EF88+EE89</f>
        <v>102783.8407480578</v>
      </c>
      <c r="EG89" s="40">
        <f t="shared" ref="EG89" si="5061">EG87-EG88+EF89</f>
        <v>105072.33645636751</v>
      </c>
      <c r="EH89" s="40">
        <f t="shared" ref="EH89" si="5062">EH87-EH88+EG89</f>
        <v>107360.83216467722</v>
      </c>
      <c r="EI89" s="40">
        <f t="shared" ref="EI89" si="5063">EI87-EI88+EH89</f>
        <v>109649.32787298693</v>
      </c>
      <c r="EJ89" s="40">
        <f t="shared" ref="EJ89" si="5064">EJ87-EJ88+EI89</f>
        <v>111937.82358129664</v>
      </c>
      <c r="EK89" s="40">
        <f t="shared" ref="EK89" si="5065">EK87-EK88+EJ89</f>
        <v>114577.6271900281</v>
      </c>
      <c r="EL89" s="40">
        <f t="shared" ref="EL89" si="5066">EL87-EL88+EK89</f>
        <v>117217.43079875955</v>
      </c>
      <c r="EM89" s="40">
        <f t="shared" ref="EM89" si="5067">EM87-EM88+EL89</f>
        <v>119857.23440749102</v>
      </c>
      <c r="EN89" s="40">
        <f t="shared" ref="EN89" si="5068">EN87-EN88+EM89</f>
        <v>122497.03801622248</v>
      </c>
      <c r="EO89" s="40">
        <f t="shared" ref="EO89" si="5069">EO87-EO88+EN89</f>
        <v>125136.84162495393</v>
      </c>
      <c r="EP89" s="40">
        <f t="shared" ref="EP89" si="5070">EP87-EP88+EO89</f>
        <v>127776.64523368538</v>
      </c>
      <c r="EQ89" s="40">
        <f t="shared" ref="EQ89" si="5071">EQ87-EQ88+EP89</f>
        <v>130416.44884241684</v>
      </c>
      <c r="ER89" s="40">
        <f t="shared" ref="ER89" si="5072">ER87-ER88+EQ89</f>
        <v>133056.25245114829</v>
      </c>
      <c r="ES89" s="40">
        <f t="shared" ref="ES89" si="5073">ES87-ES88+ER89</f>
        <v>135696.05605987975</v>
      </c>
      <c r="ET89" s="40">
        <f t="shared" ref="ET89" si="5074">ET87-ET88+ES89</f>
        <v>138335.8596686112</v>
      </c>
      <c r="EU89" s="40">
        <f t="shared" ref="EU89" si="5075">EU87-EU88+ET89</f>
        <v>140975.66327734265</v>
      </c>
      <c r="EV89" s="40">
        <f t="shared" ref="EV89" si="5076">EV87-EV88+EU89</f>
        <v>143615.46688607411</v>
      </c>
      <c r="EW89" s="40">
        <f t="shared" ref="EW89" si="5077">EW87-EW88+EV89</f>
        <v>146617.57359157046</v>
      </c>
      <c r="EX89" s="40">
        <f t="shared" ref="EX89" si="5078">EX87-EX88+EW89</f>
        <v>149619.68029706681</v>
      </c>
      <c r="EY89" s="40">
        <f t="shared" ref="EY89" si="5079">EY87-EY88+EX89</f>
        <v>152621.78700256316</v>
      </c>
      <c r="EZ89" s="40">
        <f t="shared" ref="EZ89" si="5080">EZ87-EZ88+EY89</f>
        <v>155623.89370805951</v>
      </c>
      <c r="FA89" s="40">
        <f t="shared" ref="FA89" si="5081">FA87-FA88+EZ89</f>
        <v>158626.00041355586</v>
      </c>
      <c r="FB89" s="40">
        <f t="shared" ref="FB89" si="5082">FB87-FB88+FA89</f>
        <v>161628.10711905221</v>
      </c>
      <c r="FC89" s="40">
        <f t="shared" ref="FC89" si="5083">FC87-FC88+FB89</f>
        <v>164630.21382454855</v>
      </c>
      <c r="FD89" s="40">
        <f t="shared" ref="FD89" si="5084">FD87-FD88+FC89</f>
        <v>167632.3205300449</v>
      </c>
      <c r="FE89" s="40">
        <f t="shared" ref="FE89" si="5085">FE87-FE88+FD89</f>
        <v>170634.42723554125</v>
      </c>
      <c r="FF89" s="40">
        <f t="shared" ref="FF89" si="5086">FF87-FF88+FE89</f>
        <v>173636.53394103763</v>
      </c>
      <c r="FG89" s="40">
        <f t="shared" ref="FG89" si="5087">FG87-FG88+FF89</f>
        <v>176638.64064653398</v>
      </c>
      <c r="FH89" s="40">
        <f t="shared" ref="FH89" si="5088">FH87-FH88+FG89</f>
        <v>179640.74735203033</v>
      </c>
      <c r="FI89" s="40">
        <f t="shared" ref="FI89" si="5089">FI87-FI88+FH89</f>
        <v>183016.49195195304</v>
      </c>
      <c r="FJ89" s="40">
        <f t="shared" ref="FJ89" si="5090">FJ87-FJ88+FI89</f>
        <v>186392.23655187574</v>
      </c>
      <c r="FK89" s="40">
        <f t="shared" ref="FK89" si="5091">FK87-FK88+FJ89</f>
        <v>189767.98115179845</v>
      </c>
      <c r="FL89" s="40">
        <f t="shared" ref="FL89" si="5092">FL87-FL88+FK89</f>
        <v>193143.72575172115</v>
      </c>
      <c r="FM89" s="40">
        <f t="shared" ref="FM89" si="5093">FM87-FM88+FL89</f>
        <v>196519.47035164386</v>
      </c>
      <c r="FN89" s="40">
        <f t="shared" ref="FN89" si="5094">FN87-FN88+FM89</f>
        <v>199895.21495156657</v>
      </c>
      <c r="FO89" s="40">
        <f t="shared" ref="FO89" si="5095">FO87-FO88+FN89</f>
        <v>203270.95955148927</v>
      </c>
      <c r="FP89" s="40">
        <f t="shared" ref="FP89" si="5096">FP87-FP88+FO89</f>
        <v>206646.70415141198</v>
      </c>
      <c r="FQ89" s="40">
        <f t="shared" ref="FQ89" si="5097">FQ87-FQ88+FP89</f>
        <v>210022.44875133468</v>
      </c>
      <c r="FR89" s="40">
        <f t="shared" ref="FR89" si="5098">FR87-FR88+FQ89</f>
        <v>213398.19335125739</v>
      </c>
      <c r="FS89" s="40">
        <f t="shared" ref="FS89" si="5099">FS87-FS88+FR89</f>
        <v>216773.93795118009</v>
      </c>
      <c r="FT89" s="40">
        <f t="shared" ref="FT89" si="5100">FT87-FT88+FS89</f>
        <v>220149.6825511028</v>
      </c>
      <c r="FU89" s="40">
        <f t="shared" ref="FU89" si="5101">FU87-FU88+FT89</f>
        <v>223910.74984303568</v>
      </c>
      <c r="FV89" s="40">
        <f t="shared" ref="FV89" si="5102">FV87-FV88+FU89</f>
        <v>227671.81713496856</v>
      </c>
      <c r="FW89" s="40">
        <f t="shared" ref="FW89" si="5103">FW87-FW88+FV89</f>
        <v>231432.88442690144</v>
      </c>
      <c r="FX89" s="40">
        <f t="shared" ref="FX89" si="5104">FX87-FX88+FW89</f>
        <v>235193.95171883432</v>
      </c>
      <c r="FY89" s="40">
        <f t="shared" ref="FY89" si="5105">FY87-FY88+FX89</f>
        <v>238955.0190107672</v>
      </c>
      <c r="FZ89" s="40">
        <f t="shared" ref="FZ89" si="5106">FZ87-FZ88+FY89</f>
        <v>242716.08630270007</v>
      </c>
      <c r="GA89" s="40">
        <f t="shared" ref="GA89" si="5107">GA87-GA88+FZ89</f>
        <v>246477.15359463295</v>
      </c>
      <c r="GB89" s="40">
        <f t="shared" ref="GB89" si="5108">GB87-GB88+GA89</f>
        <v>250238.22088656583</v>
      </c>
      <c r="GC89" s="40">
        <f t="shared" ref="GC89" si="5109">GC87-GC88+GB89</f>
        <v>250238.22088656583</v>
      </c>
      <c r="GD89" s="40">
        <f t="shared" ref="GD89" si="5110">GD87-GD88+GC89</f>
        <v>250238.22088656583</v>
      </c>
      <c r="GE89" s="40">
        <f t="shared" ref="GE89" si="5111">GE87-GE88+GD89</f>
        <v>250238.22088656583</v>
      </c>
      <c r="GF89" s="40">
        <f t="shared" ref="GF89" ca="1" si="5112">GF87-GF88+GE89</f>
        <v>2391864.1015202599</v>
      </c>
      <c r="GG89" s="40">
        <f t="shared" ref="GG89" ca="1" si="5113">GG87-GG88+GF89</f>
        <v>2391864.1015202599</v>
      </c>
      <c r="GH89" s="40">
        <f t="shared" ref="GH89" ca="1" si="5114">GH87-GH88+GG89</f>
        <v>2391864.1015202599</v>
      </c>
      <c r="GI89" s="40">
        <f t="shared" ref="GI89" ca="1" si="5115">GI87-GI88+GH89</f>
        <v>2391864.1015202599</v>
      </c>
      <c r="GJ89" s="40">
        <f t="shared" ref="GJ89" ca="1" si="5116">GJ87-GJ88+GI89</f>
        <v>2391864.1015202599</v>
      </c>
      <c r="GK89" s="40">
        <f t="shared" ref="GK89" ca="1" si="5117">GK87-GK88+GJ89</f>
        <v>2391864.1015202599</v>
      </c>
      <c r="GL89" s="40">
        <f t="shared" ref="GL89" ca="1" si="5118">GL87-GL88+GK89</f>
        <v>2391864.1015202599</v>
      </c>
      <c r="GM89" s="40">
        <f t="shared" ref="GM89" ca="1" si="5119">GM87-GM88+GL89</f>
        <v>2391864.1015202599</v>
      </c>
      <c r="GN89" s="40">
        <f t="shared" ref="GN89" ca="1" si="5120">GN87-GN88+GM89</f>
        <v>2391864.1015202599</v>
      </c>
      <c r="GO89" s="40">
        <f t="shared" ref="GO89" ca="1" si="5121">GO87-GO88+GN89</f>
        <v>2391864.1015202599</v>
      </c>
      <c r="GP89" s="40">
        <f t="shared" ref="GP89" ca="1" si="5122">GP87-GP88+GO89</f>
        <v>2391864.1015202599</v>
      </c>
      <c r="GQ89" s="40">
        <f t="shared" ref="GQ89" ca="1" si="5123">GQ87-GQ88+GP89</f>
        <v>2391864.1015202599</v>
      </c>
      <c r="GR89" s="40">
        <f t="shared" ref="GR89" ca="1" si="5124">GR87-GR88+GQ89</f>
        <v>2391864.1015202599</v>
      </c>
      <c r="GS89" s="40">
        <f t="shared" ref="GS89" ca="1" si="5125">GS87-GS88+GR89</f>
        <v>2391864.1015202599</v>
      </c>
      <c r="GT89" s="40">
        <f t="shared" ref="GT89" ca="1" si="5126">GT87-GT88+GS89</f>
        <v>2391864.1015202599</v>
      </c>
      <c r="GU89" s="40">
        <f t="shared" ref="GU89" ca="1" si="5127">GU87-GU88+GT89</f>
        <v>2391864.1015202599</v>
      </c>
      <c r="GV89" s="40">
        <f t="shared" ref="GV89" ca="1" si="5128">GV87-GV88+GU89</f>
        <v>2391864.1015202599</v>
      </c>
      <c r="GW89" s="40">
        <f t="shared" ref="GW89" ca="1" si="5129">GW87-GW88+GV89</f>
        <v>2391864.1015202599</v>
      </c>
      <c r="GX89" s="40">
        <f t="shared" ref="GX89" ca="1" si="5130">GX87-GX88+GW89</f>
        <v>2391864.1015202599</v>
      </c>
      <c r="GY89" s="40">
        <f t="shared" ref="GY89" ca="1" si="5131">GY87-GY88+GX89</f>
        <v>2391864.1015202599</v>
      </c>
      <c r="GZ89" s="40">
        <f t="shared" ref="GZ89" ca="1" si="5132">GZ87-GZ88+GY89</f>
        <v>2391864.1015202599</v>
      </c>
      <c r="HA89" s="40">
        <f t="shared" ref="HA89" ca="1" si="5133">HA87-HA88+GZ89</f>
        <v>2391864.1015202599</v>
      </c>
      <c r="HB89" s="40">
        <f t="shared" ref="HB89" ca="1" si="5134">HB87-HB88+HA89</f>
        <v>2391864.1015202599</v>
      </c>
      <c r="HC89" s="40">
        <f t="shared" ref="HC89" ca="1" si="5135">HC87-HC88+HB89</f>
        <v>2391864.1015202599</v>
      </c>
      <c r="HD89" s="40">
        <f t="shared" ref="HD89" ca="1" si="5136">HD87-HD88+HC89</f>
        <v>2391864.1015202599</v>
      </c>
      <c r="HE89" s="40">
        <f t="shared" ref="HE89" ca="1" si="5137">HE87-HE88+HD89</f>
        <v>2391864.1015202599</v>
      </c>
      <c r="HF89" s="40">
        <f t="shared" ref="HF89" ca="1" si="5138">HF87-HF88+HE89</f>
        <v>2391864.1015202599</v>
      </c>
      <c r="HG89" s="40">
        <f t="shared" ref="HG89" ca="1" si="5139">HG87-HG88+HF89</f>
        <v>2391864.1015202599</v>
      </c>
      <c r="HH89" s="40">
        <f t="shared" ref="HH89" ca="1" si="5140">HH87-HH88+HG89</f>
        <v>2391864.1015202599</v>
      </c>
      <c r="HI89" s="40">
        <f t="shared" ref="HI89" ca="1" si="5141">HI87-HI88+HH89</f>
        <v>2391864.1015202599</v>
      </c>
      <c r="HJ89" s="40">
        <f t="shared" ref="HJ89" ca="1" si="5142">HJ87-HJ88+HI89</f>
        <v>2391864.1015202599</v>
      </c>
      <c r="HK89" s="40">
        <f t="shared" ref="HK89" ca="1" si="5143">HK87-HK88+HJ89</f>
        <v>2391864.1015202599</v>
      </c>
      <c r="HL89" s="40">
        <f t="shared" ref="HL89" ca="1" si="5144">HL87-HL88+HK89</f>
        <v>2391864.1015202599</v>
      </c>
      <c r="HM89" s="40">
        <f t="shared" ref="HM89" ca="1" si="5145">HM87-HM88+HL89</f>
        <v>2391864.1015202599</v>
      </c>
      <c r="HN89" s="40">
        <f t="shared" ref="HN89" ca="1" si="5146">HN87-HN88+HM89</f>
        <v>2391864.1015202599</v>
      </c>
      <c r="HO89" s="40">
        <f t="shared" ref="HO89" ca="1" si="5147">HO87-HO88+HN89</f>
        <v>2391864.1015202599</v>
      </c>
      <c r="HP89" s="40">
        <f t="shared" ref="HP89" ca="1" si="5148">HP87-HP88+HO89</f>
        <v>2391864.1015202599</v>
      </c>
      <c r="HQ89" s="40">
        <f t="shared" ref="HQ89" ca="1" si="5149">HQ87-HQ88+HP89</f>
        <v>2391864.1015202599</v>
      </c>
      <c r="HR89" s="40">
        <f t="shared" ref="HR89" ca="1" si="5150">HR87-HR88+HQ89</f>
        <v>2391864.1015202599</v>
      </c>
      <c r="HS89" s="40">
        <f t="shared" ref="HS89" ca="1" si="5151">HS87-HS88+HR89</f>
        <v>2391864.1015202599</v>
      </c>
      <c r="HT89" s="40">
        <f t="shared" ref="HT89" ca="1" si="5152">HT87-HT88+HS89</f>
        <v>2391864.1015202599</v>
      </c>
      <c r="HU89" s="40">
        <f t="shared" ref="HU89" ca="1" si="5153">HU87-HU88+HT89</f>
        <v>2391864.1015202599</v>
      </c>
      <c r="HV89" s="40">
        <f t="shared" ref="HV89" ca="1" si="5154">HV87-HV88+HU89</f>
        <v>2391864.1015202599</v>
      </c>
      <c r="HW89" s="40">
        <f t="shared" ref="HW89" ca="1" si="5155">HW87-HW88+HV89</f>
        <v>2391864.1015202599</v>
      </c>
      <c r="HX89" s="40">
        <f t="shared" ref="HX89" ca="1" si="5156">HX87-HX88+HW89</f>
        <v>2391864.1015202599</v>
      </c>
      <c r="HY89" s="40">
        <f t="shared" ref="HY89" ca="1" si="5157">HY87-HY88+HX89</f>
        <v>2391864.1015202599</v>
      </c>
      <c r="HZ89" s="40">
        <f t="shared" ref="HZ89" ca="1" si="5158">HZ87-HZ88+HY89</f>
        <v>2391864.1015202599</v>
      </c>
      <c r="IA89" s="40">
        <f t="shared" ref="IA89" ca="1" si="5159">IA87-IA88+HZ89</f>
        <v>2391864.1015202599</v>
      </c>
      <c r="IB89" s="40">
        <f t="shared" ref="IB89" ca="1" si="5160">IB87-IB88+IA89</f>
        <v>2391864.1015202599</v>
      </c>
      <c r="IC89" s="40">
        <f t="shared" ref="IC89" ca="1" si="5161">IC87-IC88+IB89</f>
        <v>2391864.1015202599</v>
      </c>
      <c r="ID89" s="40">
        <f t="shared" ref="ID89" ca="1" si="5162">ID87-ID88+IC89</f>
        <v>2391864.1015202599</v>
      </c>
      <c r="IE89" s="40">
        <f t="shared" ref="IE89" ca="1" si="5163">IE87-IE88+ID89</f>
        <v>2391864.1015202599</v>
      </c>
      <c r="IF89" s="40">
        <f t="shared" ref="IF89" ca="1" si="5164">IF87-IF88+IE89</f>
        <v>2391864.1015202599</v>
      </c>
      <c r="IG89" s="40">
        <f t="shared" ref="IG89" ca="1" si="5165">IG87-IG88+IF89</f>
        <v>2391864.1015202599</v>
      </c>
      <c r="IH89" s="40">
        <f t="shared" ref="IH89" ca="1" si="5166">IH87-IH88+IG89</f>
        <v>2391864.1015202599</v>
      </c>
      <c r="II89" s="40">
        <f t="shared" ref="II89" ca="1" si="5167">II87-II88+IH89</f>
        <v>2391864.1015202599</v>
      </c>
      <c r="IJ89" s="40">
        <f t="shared" ref="IJ89" ca="1" si="5168">IJ87-IJ88+II89</f>
        <v>2391864.1015202599</v>
      </c>
      <c r="IK89" s="40">
        <f t="shared" ref="IK89" ca="1" si="5169">IK87-IK88+IJ89</f>
        <v>2391864.1015202599</v>
      </c>
      <c r="IL89" s="40">
        <f t="shared" ref="IL89" ca="1" si="5170">IL87-IL88+IK89</f>
        <v>2391864.1015202599</v>
      </c>
      <c r="IM89" s="40">
        <f t="shared" ref="IM89" ca="1" si="5171">IM87-IM88+IL89</f>
        <v>2391864.1015202599</v>
      </c>
      <c r="IN89" s="40">
        <f t="shared" ref="IN89" ca="1" si="5172">IN87-IN88+IM89</f>
        <v>2391864.1015202599</v>
      </c>
      <c r="IO89" s="40">
        <f t="shared" ref="IO89" ca="1" si="5173">IO87-IO88+IN89</f>
        <v>2391864.1015202599</v>
      </c>
      <c r="IP89" s="40">
        <f t="shared" ref="IP89" ca="1" si="5174">IP87-IP88+IO89</f>
        <v>2391864.1015202599</v>
      </c>
      <c r="IQ89" s="40">
        <f t="shared" ref="IQ89" ca="1" si="5175">IQ87-IQ88+IP89</f>
        <v>2391864.1015202599</v>
      </c>
      <c r="IR89" s="40">
        <f t="shared" ref="IR89" ca="1" si="5176">IR87-IR88+IQ89</f>
        <v>2391864.1015202599</v>
      </c>
      <c r="IS89" s="40">
        <f t="shared" ref="IS89" ca="1" si="5177">IS87-IS88+IR89</f>
        <v>2391864.1015202599</v>
      </c>
      <c r="IT89" s="40">
        <f t="shared" ref="IT89" ca="1" si="5178">IT87-IT88+IS89</f>
        <v>2391864.1015202599</v>
      </c>
      <c r="IU89" s="40">
        <f t="shared" ref="IU89" ca="1" si="5179">IU87-IU88+IT89</f>
        <v>2391864.1015202599</v>
      </c>
      <c r="IV89" s="40">
        <f t="shared" ref="IV89" ca="1" si="5180">IV87-IV88+IU89</f>
        <v>2391864.1015202599</v>
      </c>
      <c r="IW89" s="40">
        <f t="shared" ref="IW89" ca="1" si="5181">IW87-IW88+IV89</f>
        <v>2391864.1015202599</v>
      </c>
      <c r="IX89" s="40">
        <f t="shared" ref="IX89" ca="1" si="5182">IX87-IX88+IW89</f>
        <v>2391864.1015202599</v>
      </c>
      <c r="IY89" s="40">
        <f t="shared" ref="IY89" ca="1" si="5183">IY87-IY88+IX89</f>
        <v>2391864.1015202599</v>
      </c>
      <c r="IZ89" s="40">
        <f t="shared" ref="IZ89" ca="1" si="5184">IZ87-IZ88+IY89</f>
        <v>2391864.1015202599</v>
      </c>
      <c r="JA89" s="40">
        <f t="shared" ref="JA89" ca="1" si="5185">JA87-JA88+IZ89</f>
        <v>2391864.1015202599</v>
      </c>
      <c r="JB89" s="40">
        <f t="shared" ref="JB89" ca="1" si="5186">JB87-JB88+JA89</f>
        <v>2391864.1015202599</v>
      </c>
      <c r="JC89" s="40">
        <f t="shared" ref="JC89" ca="1" si="5187">JC87-JC88+JB89</f>
        <v>2391864.1015202599</v>
      </c>
      <c r="JD89" s="40">
        <f t="shared" ref="JD89" ca="1" si="5188">JD87-JD88+JC89</f>
        <v>2391864.1015202599</v>
      </c>
      <c r="JE89" s="40">
        <f t="shared" ref="JE89" ca="1" si="5189">JE87-JE88+JD89</f>
        <v>2391864.1015202599</v>
      </c>
      <c r="JF89" s="40">
        <f t="shared" ref="JF89" ca="1" si="5190">JF87-JF88+JE89</f>
        <v>2391864.1015202599</v>
      </c>
      <c r="JG89" s="40">
        <f t="shared" ref="JG89" ca="1" si="5191">JG87-JG88+JF89</f>
        <v>2391864.1015202599</v>
      </c>
      <c r="JH89" s="40">
        <f t="shared" ref="JH89" ca="1" si="5192">JH87-JH88+JG89</f>
        <v>2391864.1015202599</v>
      </c>
      <c r="JI89" s="40">
        <f t="shared" ref="JI89" ca="1" si="5193">JI87-JI88+JH89</f>
        <v>2391864.1015202599</v>
      </c>
      <c r="JJ89" s="40">
        <f t="shared" ref="JJ89" ca="1" si="5194">JJ87-JJ88+JI89</f>
        <v>2391864.1015202599</v>
      </c>
      <c r="JK89" s="40">
        <f t="shared" ref="JK89" ca="1" si="5195">JK87-JK88+JJ89</f>
        <v>2391864.1015202599</v>
      </c>
      <c r="JL89" s="40">
        <f t="shared" ref="JL89" ca="1" si="5196">JL87-JL88+JK89</f>
        <v>2391864.1015202599</v>
      </c>
      <c r="JM89" s="40">
        <f t="shared" ref="JM89" ca="1" si="5197">JM87-JM88+JL89</f>
        <v>2391864.1015202599</v>
      </c>
      <c r="JN89" s="40">
        <f t="shared" ref="JN89" ca="1" si="5198">JN87-JN88+JM89</f>
        <v>2391864.1015202599</v>
      </c>
      <c r="JO89" s="40">
        <f t="shared" ref="JO89" ca="1" si="5199">JO87-JO88+JN89</f>
        <v>2391864.1015202599</v>
      </c>
      <c r="JP89" s="40">
        <f t="shared" ref="JP89" ca="1" si="5200">JP87-JP88+JO89</f>
        <v>2391864.1015202599</v>
      </c>
      <c r="JQ89" s="40">
        <f t="shared" ref="JQ89" ca="1" si="5201">JQ87-JQ88+JP89</f>
        <v>2391864.1015202599</v>
      </c>
      <c r="JR89" s="40">
        <f t="shared" ref="JR89" ca="1" si="5202">JR87-JR88+JQ89</f>
        <v>2391864.1015202599</v>
      </c>
      <c r="JS89" s="40">
        <f t="shared" ref="JS89" ca="1" si="5203">JS87-JS88+JR89</f>
        <v>2391864.1015202599</v>
      </c>
      <c r="JT89" s="40">
        <f t="shared" ref="JT89" ca="1" si="5204">JT87-JT88+JS89</f>
        <v>2391864.1015202599</v>
      </c>
      <c r="JU89" s="40">
        <f t="shared" ref="JU89" ca="1" si="5205">JU87-JU88+JT89</f>
        <v>2391864.1015202599</v>
      </c>
      <c r="JV89" s="40">
        <f t="shared" ref="JV89" ca="1" si="5206">JV87-JV88+JU89</f>
        <v>2391864.1015202599</v>
      </c>
      <c r="JW89" s="40">
        <f t="shared" ref="JW89" ca="1" si="5207">JW87-JW88+JV89</f>
        <v>2391864.1015202599</v>
      </c>
      <c r="JX89" s="40">
        <f t="shared" ref="JX89" ca="1" si="5208">JX87-JX88+JW89</f>
        <v>2391864.1015202599</v>
      </c>
      <c r="JY89" s="40">
        <f t="shared" ref="JY89" ca="1" si="5209">JY87-JY88+JX89</f>
        <v>2391864.1015202599</v>
      </c>
      <c r="JZ89" s="40">
        <f t="shared" ref="JZ89" ca="1" si="5210">JZ87-JZ88+JY89</f>
        <v>2391864.1015202599</v>
      </c>
      <c r="KA89" s="40">
        <f t="shared" ref="KA89" ca="1" si="5211">KA87-KA88+JZ89</f>
        <v>2391864.1015202599</v>
      </c>
      <c r="KB89" s="40">
        <f t="shared" ref="KB89" ca="1" si="5212">KB87-KB88+KA89</f>
        <v>2391864.1015202599</v>
      </c>
      <c r="KC89" s="40">
        <f t="shared" ref="KC89" ca="1" si="5213">KC87-KC88+KB89</f>
        <v>2391864.1015202599</v>
      </c>
      <c r="KD89" s="40">
        <f t="shared" ref="KD89" ca="1" si="5214">KD87-KD88+KC89</f>
        <v>2391864.1015202599</v>
      </c>
      <c r="KE89" s="40">
        <f t="shared" ref="KE89" ca="1" si="5215">KE87-KE88+KD89</f>
        <v>2391864.1015202599</v>
      </c>
      <c r="KF89" s="40">
        <f t="shared" ref="KF89" ca="1" si="5216">KF87-KF88+KE89</f>
        <v>2391864.1015202599</v>
      </c>
      <c r="KG89" s="40">
        <f t="shared" ref="KG89" ca="1" si="5217">KG87-KG88+KF89</f>
        <v>2391864.1015202599</v>
      </c>
      <c r="KH89" s="40">
        <f t="shared" ref="KH89" ca="1" si="5218">KH87-KH88+KG89</f>
        <v>2391864.1015202599</v>
      </c>
      <c r="KI89" s="40">
        <f t="shared" ref="KI89" ca="1" si="5219">KI87-KI88+KH89</f>
        <v>2391864.1015202599</v>
      </c>
      <c r="KJ89" s="40">
        <f t="shared" ref="KJ89" ca="1" si="5220">KJ87-KJ88+KI89</f>
        <v>2391864.1015202599</v>
      </c>
      <c r="KK89" s="40">
        <f t="shared" ref="KK89" ca="1" si="5221">KK87-KK88+KJ89</f>
        <v>2391864.1015202599</v>
      </c>
      <c r="KL89" s="40">
        <f t="shared" ref="KL89" ca="1" si="5222">KL87-KL88+KK89</f>
        <v>2391864.1015202599</v>
      </c>
      <c r="KM89" s="40">
        <f t="shared" ref="KM89" ca="1" si="5223">KM87-KM88+KL89</f>
        <v>2391864.1015202599</v>
      </c>
      <c r="KN89" s="40">
        <f t="shared" ref="KN89" ca="1" si="5224">KN87-KN88+KM89</f>
        <v>2391864.1015202599</v>
      </c>
      <c r="KO89" s="40">
        <f t="shared" ref="KO89" ca="1" si="5225">KO87-KO88+KN89</f>
        <v>2391864.1015202599</v>
      </c>
      <c r="KP89" s="40">
        <f t="shared" ref="KP89" ca="1" si="5226">KP87-KP88+KO89</f>
        <v>2391864.1015202599</v>
      </c>
      <c r="KQ89" s="40">
        <f t="shared" ref="KQ89" ca="1" si="5227">KQ87-KQ88+KP89</f>
        <v>2391864.1015202599</v>
      </c>
      <c r="KR89" s="40">
        <f t="shared" ref="KR89" ca="1" si="5228">KR87-KR88+KQ89</f>
        <v>2391864.1015202599</v>
      </c>
      <c r="KS89" s="40">
        <f t="shared" ref="KS89" ca="1" si="5229">KS87-KS88+KR89</f>
        <v>2391864.1015202599</v>
      </c>
      <c r="KT89" s="40">
        <f t="shared" ref="KT89" ca="1" si="5230">KT87-KT88+KS89</f>
        <v>2391864.1015202599</v>
      </c>
      <c r="KU89" s="40">
        <f t="shared" ref="KU89" ca="1" si="5231">KU87-KU88+KT89</f>
        <v>2391864.1015202599</v>
      </c>
      <c r="KV89" s="40">
        <f t="shared" ref="KV89" ca="1" si="5232">KV87-KV88+KU89</f>
        <v>2391864.1015202599</v>
      </c>
      <c r="KW89" s="40">
        <f t="shared" ref="KW89" ca="1" si="5233">KW87-KW88+KV89</f>
        <v>2391864.1015202599</v>
      </c>
      <c r="KX89" s="40">
        <f t="shared" ref="KX89" ca="1" si="5234">KX87-KX88+KW89</f>
        <v>2391864.1015202599</v>
      </c>
      <c r="KY89" s="40">
        <f t="shared" ref="KY89" ca="1" si="5235">KY87-KY88+KX89</f>
        <v>2391864.1015202599</v>
      </c>
      <c r="KZ89" s="40">
        <f t="shared" ref="KZ89" ca="1" si="5236">KZ87-KZ88+KY89</f>
        <v>2391864.1015202599</v>
      </c>
      <c r="LA89" s="40">
        <f t="shared" ref="LA89" ca="1" si="5237">LA87-LA88+KZ89</f>
        <v>2391864.1015202599</v>
      </c>
      <c r="LB89" s="40">
        <f t="shared" ref="LB89" ca="1" si="5238">LB87-LB88+LA89</f>
        <v>2391864.1015202599</v>
      </c>
      <c r="LC89" s="40">
        <f t="shared" ref="LC89" ca="1" si="5239">LC87-LC88+LB89</f>
        <v>2391864.1015202599</v>
      </c>
      <c r="LD89" s="40">
        <f t="shared" ref="LD89" ca="1" si="5240">LD87-LD88+LC89</f>
        <v>2391864.1015202599</v>
      </c>
      <c r="LE89" s="40">
        <f t="shared" ref="LE89" ca="1" si="5241">LE87-LE88+LD89</f>
        <v>2391864.1015202599</v>
      </c>
      <c r="LF89" s="40">
        <f t="shared" ref="LF89" ca="1" si="5242">LF87-LF88+LE89</f>
        <v>2391864.1015202599</v>
      </c>
      <c r="LG89" s="40">
        <f t="shared" ref="LG89" ca="1" si="5243">LG87-LG88+LF89</f>
        <v>2391864.1015202599</v>
      </c>
      <c r="LH89" s="40">
        <f t="shared" ref="LH89" ca="1" si="5244">LH87-LH88+LG89</f>
        <v>2391864.1015202599</v>
      </c>
      <c r="LI89" s="40">
        <f t="shared" ref="LI89" ca="1" si="5245">LI87-LI88+LH89</f>
        <v>2391864.1015202599</v>
      </c>
      <c r="LJ89" s="40">
        <f t="shared" ref="LJ89" ca="1" si="5246">LJ87-LJ88+LI89</f>
        <v>2391864.1015202599</v>
      </c>
      <c r="LK89" s="40">
        <f t="shared" ref="LK89" ca="1" si="5247">LK87-LK88+LJ89</f>
        <v>2391864.1015202599</v>
      </c>
      <c r="LL89" s="40">
        <f t="shared" ref="LL89" ca="1" si="5248">LL87-LL88+LK89</f>
        <v>2391864.1015202599</v>
      </c>
      <c r="LM89" s="40">
        <f t="shared" ref="LM89" ca="1" si="5249">LM87-LM88+LL89</f>
        <v>2391864.1015202599</v>
      </c>
      <c r="LN89" s="40">
        <f t="shared" ref="LN89" ca="1" si="5250">LN87-LN88+LM89</f>
        <v>2391864.1015202599</v>
      </c>
      <c r="LO89" s="40">
        <f t="shared" ref="LO89" ca="1" si="5251">LO87-LO88+LN89</f>
        <v>2391864.1015202599</v>
      </c>
      <c r="LP89" s="40">
        <f t="shared" ref="LP89" ca="1" si="5252">LP87-LP88+LO89</f>
        <v>2391864.1015202599</v>
      </c>
      <c r="LQ89" s="40">
        <f t="shared" ref="LQ89" ca="1" si="5253">LQ87-LQ88+LP89</f>
        <v>2391864.1015202599</v>
      </c>
      <c r="LR89" s="40">
        <f t="shared" ref="LR89" ca="1" si="5254">LR87-LR88+LQ89</f>
        <v>2391864.1015202599</v>
      </c>
      <c r="LS89" s="40">
        <f t="shared" ref="LS89" ca="1" si="5255">LS87-LS88+LR89</f>
        <v>2391864.1015202599</v>
      </c>
      <c r="LT89" s="40">
        <f t="shared" ref="LT89" ca="1" si="5256">LT87-LT88+LS89</f>
        <v>2391864.1015202599</v>
      </c>
      <c r="LU89" s="40">
        <f t="shared" ref="LU89" ca="1" si="5257">LU87-LU88+LT89</f>
        <v>2391864.1015202599</v>
      </c>
      <c r="LV89" s="40">
        <f t="shared" ref="LV89" ca="1" si="5258">LV87-LV88+LU89</f>
        <v>2391864.1015202599</v>
      </c>
      <c r="LW89" s="40">
        <f t="shared" ref="LW89" ca="1" si="5259">LW87-LW88+LV89</f>
        <v>2391864.1015202599</v>
      </c>
      <c r="LX89" s="40">
        <f t="shared" ref="LX89" ca="1" si="5260">LX87-LX88+LW89</f>
        <v>2391864.1015202599</v>
      </c>
      <c r="LY89" s="40">
        <f t="shared" ref="LY89" ca="1" si="5261">LY87-LY88+LX89</f>
        <v>2391864.1015202599</v>
      </c>
      <c r="LZ89" s="40">
        <f t="shared" ref="LZ89" ca="1" si="5262">LZ87-LZ88+LY89</f>
        <v>2391864.1015202599</v>
      </c>
      <c r="MA89" s="40">
        <f t="shared" ref="MA89" ca="1" si="5263">MA87-MA88+LZ89</f>
        <v>2391864.1015202599</v>
      </c>
      <c r="MB89" s="40">
        <f t="shared" ref="MB89" ca="1" si="5264">MB87-MB88+MA89</f>
        <v>2391864.1015202599</v>
      </c>
      <c r="MC89" s="40">
        <f t="shared" ref="MC89" ca="1" si="5265">MC87-MC88+MB89</f>
        <v>2391864.1015202599</v>
      </c>
      <c r="MD89" s="40">
        <f t="shared" ref="MD89" ca="1" si="5266">MD87-MD88+MC89</f>
        <v>2391864.1015202599</v>
      </c>
      <c r="ME89" s="40">
        <f t="shared" ref="ME89" ca="1" si="5267">ME87-ME88+MD89</f>
        <v>2391864.1015202599</v>
      </c>
      <c r="MF89" s="40">
        <f t="shared" ref="MF89" ca="1" si="5268">MF87-MF88+ME89</f>
        <v>2391864.1015202599</v>
      </c>
      <c r="MG89" s="40">
        <f t="shared" ref="MG89" ca="1" si="5269">MG87-MG88+MF89</f>
        <v>2391864.1015202599</v>
      </c>
      <c r="MH89" s="40">
        <f t="shared" ref="MH89" ca="1" si="5270">MH87-MH88+MG89</f>
        <v>2391864.1015202599</v>
      </c>
      <c r="MI89" s="40">
        <f t="shared" ref="MI89" ca="1" si="5271">MI87-MI88+MH89</f>
        <v>2391864.1015202599</v>
      </c>
      <c r="MJ89" s="40">
        <f t="shared" ref="MJ89" ca="1" si="5272">MJ87-MJ88+MI89</f>
        <v>2391864.1015202599</v>
      </c>
      <c r="MK89" s="40">
        <f t="shared" ref="MK89" ca="1" si="5273">MK87-MK88+MJ89</f>
        <v>2391864.1015202599</v>
      </c>
      <c r="ML89" s="40">
        <f t="shared" ref="ML89" ca="1" si="5274">ML87-ML88+MK89</f>
        <v>2391864.1015202599</v>
      </c>
      <c r="MM89" s="40">
        <f t="shared" ref="MM89" ca="1" si="5275">MM87-MM88+ML89</f>
        <v>2391864.1015202599</v>
      </c>
      <c r="MN89" s="40">
        <f t="shared" ref="MN89" ca="1" si="5276">MN87-MN88+MM89</f>
        <v>2391864.1015202599</v>
      </c>
      <c r="MO89" s="40">
        <f t="shared" ref="MO89" ca="1" si="5277">MO87-MO88+MN89</f>
        <v>2391864.1015202599</v>
      </c>
      <c r="MP89" s="40">
        <f t="shared" ref="MP89" ca="1" si="5278">MP87-MP88+MO89</f>
        <v>2391864.1015202599</v>
      </c>
      <c r="MQ89" s="40">
        <f t="shared" ref="MQ89" ca="1" si="5279">MQ87-MQ88+MP89</f>
        <v>2391864.1015202599</v>
      </c>
      <c r="MR89" s="40">
        <f t="shared" ref="MR89" ca="1" si="5280">MR87-MR88+MQ89</f>
        <v>2391864.1015202599</v>
      </c>
      <c r="MS89" s="40">
        <f t="shared" ref="MS89" ca="1" si="5281">MS87-MS88+MR89</f>
        <v>2391864.1015202599</v>
      </c>
      <c r="MT89" s="40">
        <f t="shared" ref="MT89" ca="1" si="5282">MT87-MT88+MS89</f>
        <v>2391864.1015202599</v>
      </c>
      <c r="MU89" s="40">
        <f t="shared" ref="MU89" ca="1" si="5283">MU87-MU88+MT89</f>
        <v>2391864.1015202599</v>
      </c>
      <c r="MV89" s="40">
        <f t="shared" ref="MV89" ca="1" si="5284">MV87-MV88+MU89</f>
        <v>2391864.1015202599</v>
      </c>
      <c r="MW89" s="40">
        <f t="shared" ref="MW89" ca="1" si="5285">MW87-MW88+MV89</f>
        <v>2391864.1015202599</v>
      </c>
      <c r="MX89" s="40">
        <f t="shared" ref="MX89" ca="1" si="5286">MX87-MX88+MW89</f>
        <v>2391864.1015202599</v>
      </c>
      <c r="MY89" s="40">
        <f t="shared" ref="MY89" ca="1" si="5287">MY87-MY88+MX89</f>
        <v>2391864.1015202599</v>
      </c>
      <c r="MZ89" s="40">
        <f t="shared" ref="MZ89" ca="1" si="5288">MZ87-MZ88+MY89</f>
        <v>2391864.1015202599</v>
      </c>
      <c r="NA89" s="40">
        <f t="shared" ref="NA89" ca="1" si="5289">NA87-NA88+MZ89</f>
        <v>2391864.1015202599</v>
      </c>
      <c r="NB89" s="40">
        <f t="shared" ref="NB89" ca="1" si="5290">NB87-NB88+NA89</f>
        <v>2391864.1015202599</v>
      </c>
      <c r="NC89" s="40">
        <f t="shared" ref="NC89" ca="1" si="5291">NC87-NC88+NB89</f>
        <v>2391864.1015202599</v>
      </c>
      <c r="ND89" s="40">
        <f t="shared" ref="ND89" ca="1" si="5292">ND87-ND88+NC89</f>
        <v>2391864.1015202599</v>
      </c>
      <c r="NE89" s="40"/>
      <c r="NF89" s="40"/>
      <c r="NG89" s="40"/>
      <c r="NH89" s="40"/>
      <c r="NI89" s="40"/>
      <c r="NJ89" s="40"/>
      <c r="NK89" s="40"/>
      <c r="NL89" s="40"/>
      <c r="NM89" s="40"/>
      <c r="NN89" s="40"/>
      <c r="NO89" s="40"/>
      <c r="NP89" s="40"/>
      <c r="NQ89" s="40"/>
      <c r="NR89" s="40"/>
    </row>
    <row r="90" spans="2:382" x14ac:dyDescent="0.15">
      <c r="B90" s="520"/>
      <c r="C90" t="s">
        <v>180</v>
      </c>
      <c r="G90" s="118"/>
      <c r="I90" s="40">
        <f t="shared" ref="I90:J90" si="5293">I98</f>
        <v>0</v>
      </c>
      <c r="J90" s="40">
        <f t="shared" si="5293"/>
        <v>0</v>
      </c>
      <c r="K90" s="40">
        <f t="shared" ref="K90:BV90" si="5294">K98</f>
        <v>0</v>
      </c>
      <c r="L90" s="40">
        <f t="shared" si="5294"/>
        <v>0</v>
      </c>
      <c r="M90" s="40">
        <f t="shared" si="5294"/>
        <v>0</v>
      </c>
      <c r="N90" s="40">
        <f t="shared" si="5294"/>
        <v>0</v>
      </c>
      <c r="O90" s="40">
        <f t="shared" si="5294"/>
        <v>0</v>
      </c>
      <c r="P90" s="40">
        <f t="shared" si="5294"/>
        <v>0</v>
      </c>
      <c r="Q90" s="40">
        <f t="shared" si="5294"/>
        <v>0</v>
      </c>
      <c r="R90" s="40">
        <f t="shared" si="5294"/>
        <v>0</v>
      </c>
      <c r="S90" s="40">
        <f t="shared" si="5294"/>
        <v>0</v>
      </c>
      <c r="T90" s="40">
        <f t="shared" si="5294"/>
        <v>0</v>
      </c>
      <c r="U90" s="40">
        <f t="shared" si="5294"/>
        <v>0</v>
      </c>
      <c r="V90" s="40">
        <f t="shared" si="5294"/>
        <v>0</v>
      </c>
      <c r="W90" s="40">
        <f t="shared" si="5294"/>
        <v>0</v>
      </c>
      <c r="X90" s="40">
        <f t="shared" si="5294"/>
        <v>0</v>
      </c>
      <c r="Y90" s="40">
        <f t="shared" si="5294"/>
        <v>0</v>
      </c>
      <c r="Z90" s="40">
        <f t="shared" si="5294"/>
        <v>0</v>
      </c>
      <c r="AA90" s="40">
        <f t="shared" si="5294"/>
        <v>0</v>
      </c>
      <c r="AB90" s="40">
        <f t="shared" si="5294"/>
        <v>0</v>
      </c>
      <c r="AC90" s="40">
        <f t="shared" si="5294"/>
        <v>0</v>
      </c>
      <c r="AD90" s="40">
        <f t="shared" si="5294"/>
        <v>0</v>
      </c>
      <c r="AE90" s="40">
        <f t="shared" si="5294"/>
        <v>0</v>
      </c>
      <c r="AF90" s="40">
        <f t="shared" si="5294"/>
        <v>0</v>
      </c>
      <c r="AG90" s="40">
        <f t="shared" si="5294"/>
        <v>0</v>
      </c>
      <c r="AH90" s="40">
        <f t="shared" si="5294"/>
        <v>0</v>
      </c>
      <c r="AI90" s="40">
        <f t="shared" si="5294"/>
        <v>0</v>
      </c>
      <c r="AJ90" s="40">
        <f t="shared" si="5294"/>
        <v>0</v>
      </c>
      <c r="AK90" s="40">
        <f t="shared" si="5294"/>
        <v>0</v>
      </c>
      <c r="AL90" s="40">
        <f t="shared" si="5294"/>
        <v>0</v>
      </c>
      <c r="AM90" s="40">
        <f t="shared" si="5294"/>
        <v>0</v>
      </c>
      <c r="AN90" s="40">
        <f t="shared" si="5294"/>
        <v>0</v>
      </c>
      <c r="AO90" s="40">
        <f t="shared" si="5294"/>
        <v>0</v>
      </c>
      <c r="AP90" s="40">
        <f t="shared" si="5294"/>
        <v>0</v>
      </c>
      <c r="AQ90" s="40">
        <f t="shared" si="5294"/>
        <v>0</v>
      </c>
      <c r="AR90" s="40">
        <f t="shared" si="5294"/>
        <v>0</v>
      </c>
      <c r="AS90" s="40">
        <f t="shared" si="5294"/>
        <v>0</v>
      </c>
      <c r="AT90" s="40">
        <f t="shared" si="5294"/>
        <v>0</v>
      </c>
      <c r="AU90" s="40">
        <f t="shared" si="5294"/>
        <v>0</v>
      </c>
      <c r="AV90" s="40">
        <f t="shared" si="5294"/>
        <v>0</v>
      </c>
      <c r="AW90" s="40">
        <f t="shared" si="5294"/>
        <v>0</v>
      </c>
      <c r="AX90" s="40">
        <f t="shared" si="5294"/>
        <v>0</v>
      </c>
      <c r="AY90" s="40">
        <f t="shared" si="5294"/>
        <v>0</v>
      </c>
      <c r="AZ90" s="40">
        <f t="shared" si="5294"/>
        <v>0</v>
      </c>
      <c r="BA90" s="40">
        <f t="shared" si="5294"/>
        <v>0</v>
      </c>
      <c r="BB90" s="40">
        <f t="shared" si="5294"/>
        <v>0</v>
      </c>
      <c r="BC90" s="40">
        <f t="shared" si="5294"/>
        <v>0</v>
      </c>
      <c r="BD90" s="40">
        <f t="shared" si="5294"/>
        <v>0</v>
      </c>
      <c r="BE90" s="40">
        <f t="shared" si="5294"/>
        <v>0</v>
      </c>
      <c r="BF90" s="40">
        <f t="shared" si="5294"/>
        <v>0</v>
      </c>
      <c r="BG90" s="40">
        <f t="shared" si="5294"/>
        <v>0</v>
      </c>
      <c r="BH90" s="40">
        <f t="shared" si="5294"/>
        <v>0</v>
      </c>
      <c r="BI90" s="40">
        <f t="shared" si="5294"/>
        <v>0</v>
      </c>
      <c r="BJ90" s="40">
        <f t="shared" si="5294"/>
        <v>0</v>
      </c>
      <c r="BK90" s="40">
        <f t="shared" si="5294"/>
        <v>0</v>
      </c>
      <c r="BL90" s="40">
        <f t="shared" si="5294"/>
        <v>0</v>
      </c>
      <c r="BM90" s="40">
        <f t="shared" si="5294"/>
        <v>0</v>
      </c>
      <c r="BN90" s="40">
        <f t="shared" si="5294"/>
        <v>0</v>
      </c>
      <c r="BO90" s="40">
        <f t="shared" si="5294"/>
        <v>0</v>
      </c>
      <c r="BP90" s="40">
        <f t="shared" si="5294"/>
        <v>0</v>
      </c>
      <c r="BQ90" s="40">
        <f t="shared" si="5294"/>
        <v>0</v>
      </c>
      <c r="BR90" s="40">
        <f t="shared" si="5294"/>
        <v>0</v>
      </c>
      <c r="BS90" s="40">
        <f t="shared" si="5294"/>
        <v>0</v>
      </c>
      <c r="BT90" s="40">
        <f t="shared" si="5294"/>
        <v>0</v>
      </c>
      <c r="BU90" s="40">
        <f t="shared" si="5294"/>
        <v>0</v>
      </c>
      <c r="BV90" s="40">
        <f t="shared" si="5294"/>
        <v>0</v>
      </c>
      <c r="BW90" s="40">
        <f t="shared" ref="BW90:EH90" si="5295">BW98</f>
        <v>0</v>
      </c>
      <c r="BX90" s="40">
        <f t="shared" si="5295"/>
        <v>0</v>
      </c>
      <c r="BY90" s="40">
        <f t="shared" si="5295"/>
        <v>0</v>
      </c>
      <c r="BZ90" s="40">
        <f t="shared" si="5295"/>
        <v>0</v>
      </c>
      <c r="CA90" s="40">
        <f t="shared" si="5295"/>
        <v>0</v>
      </c>
      <c r="CB90" s="40">
        <f t="shared" si="5295"/>
        <v>0</v>
      </c>
      <c r="CC90" s="40">
        <f t="shared" si="5295"/>
        <v>0</v>
      </c>
      <c r="CD90" s="40">
        <f t="shared" si="5295"/>
        <v>0</v>
      </c>
      <c r="CE90" s="40">
        <f t="shared" si="5295"/>
        <v>0</v>
      </c>
      <c r="CF90" s="40">
        <f t="shared" si="5295"/>
        <v>0</v>
      </c>
      <c r="CG90" s="40">
        <f t="shared" si="5295"/>
        <v>0</v>
      </c>
      <c r="CH90" s="40">
        <f t="shared" si="5295"/>
        <v>0</v>
      </c>
      <c r="CI90" s="40">
        <f t="shared" si="5295"/>
        <v>0</v>
      </c>
      <c r="CJ90" s="40">
        <f t="shared" si="5295"/>
        <v>0</v>
      </c>
      <c r="CK90" s="40">
        <f t="shared" si="5295"/>
        <v>0</v>
      </c>
      <c r="CL90" s="40">
        <f t="shared" si="5295"/>
        <v>0</v>
      </c>
      <c r="CM90" s="40">
        <f t="shared" si="5295"/>
        <v>0</v>
      </c>
      <c r="CN90" s="40">
        <f t="shared" si="5295"/>
        <v>0</v>
      </c>
      <c r="CO90" s="40">
        <f t="shared" si="5295"/>
        <v>0</v>
      </c>
      <c r="CP90" s="40">
        <f t="shared" si="5295"/>
        <v>0</v>
      </c>
      <c r="CQ90" s="40">
        <f t="shared" si="5295"/>
        <v>0</v>
      </c>
      <c r="CR90" s="40">
        <f t="shared" si="5295"/>
        <v>0</v>
      </c>
      <c r="CS90" s="40">
        <f t="shared" si="5295"/>
        <v>0</v>
      </c>
      <c r="CT90" s="40">
        <f t="shared" si="5295"/>
        <v>0</v>
      </c>
      <c r="CU90" s="40">
        <f t="shared" si="5295"/>
        <v>0</v>
      </c>
      <c r="CV90" s="40">
        <f t="shared" si="5295"/>
        <v>0</v>
      </c>
      <c r="CW90" s="40">
        <f t="shared" si="5295"/>
        <v>0</v>
      </c>
      <c r="CX90" s="40">
        <f t="shared" si="5295"/>
        <v>0</v>
      </c>
      <c r="CY90" s="40">
        <f t="shared" si="5295"/>
        <v>0</v>
      </c>
      <c r="CZ90" s="40">
        <f t="shared" si="5295"/>
        <v>0</v>
      </c>
      <c r="DA90" s="40">
        <f t="shared" si="5295"/>
        <v>0</v>
      </c>
      <c r="DB90" s="40">
        <f t="shared" si="5295"/>
        <v>0</v>
      </c>
      <c r="DC90" s="40">
        <f t="shared" si="5295"/>
        <v>0</v>
      </c>
      <c r="DD90" s="40">
        <f t="shared" si="5295"/>
        <v>0</v>
      </c>
      <c r="DE90" s="40">
        <f t="shared" si="5295"/>
        <v>0</v>
      </c>
      <c r="DF90" s="40">
        <f t="shared" si="5295"/>
        <v>0</v>
      </c>
      <c r="DG90" s="40">
        <f t="shared" si="5295"/>
        <v>0</v>
      </c>
      <c r="DH90" s="40">
        <f t="shared" si="5295"/>
        <v>0</v>
      </c>
      <c r="DI90" s="40">
        <f t="shared" si="5295"/>
        <v>0</v>
      </c>
      <c r="DJ90" s="40">
        <f t="shared" si="5295"/>
        <v>0</v>
      </c>
      <c r="DK90" s="40">
        <f t="shared" si="5295"/>
        <v>0</v>
      </c>
      <c r="DL90" s="40">
        <f t="shared" si="5295"/>
        <v>0</v>
      </c>
      <c r="DM90" s="40">
        <f t="shared" si="5295"/>
        <v>0</v>
      </c>
      <c r="DN90" s="40">
        <f t="shared" si="5295"/>
        <v>0</v>
      </c>
      <c r="DO90" s="40">
        <f t="shared" si="5295"/>
        <v>0</v>
      </c>
      <c r="DP90" s="40">
        <f t="shared" si="5295"/>
        <v>0</v>
      </c>
      <c r="DQ90" s="40">
        <f t="shared" si="5295"/>
        <v>0</v>
      </c>
      <c r="DR90" s="40">
        <f t="shared" si="5295"/>
        <v>0</v>
      </c>
      <c r="DS90" s="40">
        <f t="shared" si="5295"/>
        <v>0</v>
      </c>
      <c r="DT90" s="40">
        <f t="shared" si="5295"/>
        <v>0</v>
      </c>
      <c r="DU90" s="40">
        <f t="shared" si="5295"/>
        <v>0</v>
      </c>
      <c r="DV90" s="40">
        <f t="shared" si="5295"/>
        <v>0</v>
      </c>
      <c r="DW90" s="40">
        <f t="shared" si="5295"/>
        <v>0</v>
      </c>
      <c r="DX90" s="40">
        <f t="shared" si="5295"/>
        <v>0</v>
      </c>
      <c r="DY90" s="40">
        <f t="shared" si="5295"/>
        <v>0</v>
      </c>
      <c r="DZ90" s="40">
        <f t="shared" si="5295"/>
        <v>0</v>
      </c>
      <c r="EA90" s="40">
        <f t="shared" si="5295"/>
        <v>0</v>
      </c>
      <c r="EB90" s="40">
        <f t="shared" si="5295"/>
        <v>0</v>
      </c>
      <c r="EC90" s="40">
        <f t="shared" si="5295"/>
        <v>0</v>
      </c>
      <c r="ED90" s="40">
        <f t="shared" si="5295"/>
        <v>0</v>
      </c>
      <c r="EE90" s="40">
        <f t="shared" si="5295"/>
        <v>0</v>
      </c>
      <c r="EF90" s="40">
        <f t="shared" si="5295"/>
        <v>0</v>
      </c>
      <c r="EG90" s="40">
        <f t="shared" si="5295"/>
        <v>0</v>
      </c>
      <c r="EH90" s="40">
        <f t="shared" si="5295"/>
        <v>0</v>
      </c>
      <c r="EI90" s="40">
        <f t="shared" ref="EI90:GT90" si="5296">EI98</f>
        <v>0</v>
      </c>
      <c r="EJ90" s="40">
        <f t="shared" si="5296"/>
        <v>0</v>
      </c>
      <c r="EK90" s="40">
        <f t="shared" si="5296"/>
        <v>0</v>
      </c>
      <c r="EL90" s="40">
        <f t="shared" si="5296"/>
        <v>0</v>
      </c>
      <c r="EM90" s="40">
        <f t="shared" si="5296"/>
        <v>0</v>
      </c>
      <c r="EN90" s="40">
        <f t="shared" si="5296"/>
        <v>0</v>
      </c>
      <c r="EO90" s="40">
        <f t="shared" si="5296"/>
        <v>0</v>
      </c>
      <c r="EP90" s="40">
        <f t="shared" si="5296"/>
        <v>0</v>
      </c>
      <c r="EQ90" s="40">
        <f t="shared" si="5296"/>
        <v>0</v>
      </c>
      <c r="ER90" s="40">
        <f t="shared" si="5296"/>
        <v>0</v>
      </c>
      <c r="ES90" s="40">
        <f t="shared" si="5296"/>
        <v>0</v>
      </c>
      <c r="ET90" s="40">
        <f t="shared" si="5296"/>
        <v>0</v>
      </c>
      <c r="EU90" s="40">
        <f t="shared" si="5296"/>
        <v>0</v>
      </c>
      <c r="EV90" s="40">
        <f t="shared" si="5296"/>
        <v>0</v>
      </c>
      <c r="EW90" s="40">
        <f t="shared" si="5296"/>
        <v>0</v>
      </c>
      <c r="EX90" s="40">
        <f t="shared" si="5296"/>
        <v>0</v>
      </c>
      <c r="EY90" s="40">
        <f t="shared" si="5296"/>
        <v>0</v>
      </c>
      <c r="EZ90" s="40">
        <f t="shared" si="5296"/>
        <v>0</v>
      </c>
      <c r="FA90" s="40">
        <f t="shared" si="5296"/>
        <v>0</v>
      </c>
      <c r="FB90" s="40">
        <f t="shared" si="5296"/>
        <v>0</v>
      </c>
      <c r="FC90" s="40">
        <f t="shared" si="5296"/>
        <v>0</v>
      </c>
      <c r="FD90" s="40">
        <f t="shared" si="5296"/>
        <v>0</v>
      </c>
      <c r="FE90" s="40">
        <f t="shared" si="5296"/>
        <v>0</v>
      </c>
      <c r="FF90" s="40">
        <f t="shared" si="5296"/>
        <v>0</v>
      </c>
      <c r="FG90" s="40">
        <f t="shared" si="5296"/>
        <v>0</v>
      </c>
      <c r="FH90" s="40">
        <f t="shared" si="5296"/>
        <v>0</v>
      </c>
      <c r="FI90" s="40">
        <f t="shared" si="5296"/>
        <v>0</v>
      </c>
      <c r="FJ90" s="40">
        <f t="shared" si="5296"/>
        <v>0</v>
      </c>
      <c r="FK90" s="40">
        <f t="shared" si="5296"/>
        <v>0</v>
      </c>
      <c r="FL90" s="40">
        <f t="shared" si="5296"/>
        <v>0</v>
      </c>
      <c r="FM90" s="40">
        <f t="shared" si="5296"/>
        <v>0</v>
      </c>
      <c r="FN90" s="40">
        <f t="shared" si="5296"/>
        <v>0</v>
      </c>
      <c r="FO90" s="40">
        <f t="shared" si="5296"/>
        <v>0</v>
      </c>
      <c r="FP90" s="40">
        <f t="shared" si="5296"/>
        <v>0</v>
      </c>
      <c r="FQ90" s="40">
        <f t="shared" si="5296"/>
        <v>0</v>
      </c>
      <c r="FR90" s="40">
        <f t="shared" si="5296"/>
        <v>0</v>
      </c>
      <c r="FS90" s="40">
        <f t="shared" si="5296"/>
        <v>0</v>
      </c>
      <c r="FT90" s="40">
        <f t="shared" si="5296"/>
        <v>0</v>
      </c>
      <c r="FU90" s="40">
        <f t="shared" si="5296"/>
        <v>0</v>
      </c>
      <c r="FV90" s="40">
        <f t="shared" si="5296"/>
        <v>0</v>
      </c>
      <c r="FW90" s="40">
        <f t="shared" si="5296"/>
        <v>0</v>
      </c>
      <c r="FX90" s="40">
        <f t="shared" si="5296"/>
        <v>0</v>
      </c>
      <c r="FY90" s="40">
        <f t="shared" si="5296"/>
        <v>0</v>
      </c>
      <c r="FZ90" s="40">
        <f t="shared" si="5296"/>
        <v>0</v>
      </c>
      <c r="GA90" s="40">
        <f t="shared" si="5296"/>
        <v>0</v>
      </c>
      <c r="GB90" s="40">
        <f t="shared" si="5296"/>
        <v>0</v>
      </c>
      <c r="GC90" s="40">
        <f t="shared" si="5296"/>
        <v>0</v>
      </c>
      <c r="GD90" s="40">
        <f t="shared" si="5296"/>
        <v>0</v>
      </c>
      <c r="GE90" s="40">
        <f t="shared" si="5296"/>
        <v>0</v>
      </c>
      <c r="GF90" s="40">
        <f t="shared" ca="1" si="5296"/>
        <v>0</v>
      </c>
      <c r="GG90" s="40">
        <f t="shared" ca="1" si="5296"/>
        <v>0</v>
      </c>
      <c r="GH90" s="40">
        <f t="shared" ca="1" si="5296"/>
        <v>0</v>
      </c>
      <c r="GI90" s="40">
        <f t="shared" ca="1" si="5296"/>
        <v>0</v>
      </c>
      <c r="GJ90" s="40">
        <f t="shared" ca="1" si="5296"/>
        <v>0</v>
      </c>
      <c r="GK90" s="40">
        <f t="shared" ca="1" si="5296"/>
        <v>0</v>
      </c>
      <c r="GL90" s="40">
        <f t="shared" ca="1" si="5296"/>
        <v>0</v>
      </c>
      <c r="GM90" s="40">
        <f t="shared" ca="1" si="5296"/>
        <v>0</v>
      </c>
      <c r="GN90" s="40">
        <f t="shared" ca="1" si="5296"/>
        <v>0</v>
      </c>
      <c r="GO90" s="40">
        <f t="shared" ca="1" si="5296"/>
        <v>0</v>
      </c>
      <c r="GP90" s="40">
        <f t="shared" ca="1" si="5296"/>
        <v>0</v>
      </c>
      <c r="GQ90" s="40">
        <f t="shared" ca="1" si="5296"/>
        <v>0</v>
      </c>
      <c r="GR90" s="40">
        <f t="shared" ca="1" si="5296"/>
        <v>0</v>
      </c>
      <c r="GS90" s="40">
        <f t="shared" ca="1" si="5296"/>
        <v>0</v>
      </c>
      <c r="GT90" s="40">
        <f t="shared" ca="1" si="5296"/>
        <v>0</v>
      </c>
      <c r="GU90" s="40">
        <f t="shared" ref="GU90:IN90" ca="1" si="5297">GU98</f>
        <v>0</v>
      </c>
      <c r="GV90" s="40">
        <f t="shared" ca="1" si="5297"/>
        <v>0</v>
      </c>
      <c r="GW90" s="40">
        <f t="shared" ca="1" si="5297"/>
        <v>0</v>
      </c>
      <c r="GX90" s="40">
        <f t="shared" ca="1" si="5297"/>
        <v>0</v>
      </c>
      <c r="GY90" s="40">
        <f t="shared" ca="1" si="5297"/>
        <v>0</v>
      </c>
      <c r="GZ90" s="40">
        <f t="shared" ca="1" si="5297"/>
        <v>0</v>
      </c>
      <c r="HA90" s="40">
        <f t="shared" ca="1" si="5297"/>
        <v>0</v>
      </c>
      <c r="HB90" s="40">
        <f t="shared" ca="1" si="5297"/>
        <v>0</v>
      </c>
      <c r="HC90" s="40">
        <f t="shared" ca="1" si="5297"/>
        <v>0</v>
      </c>
      <c r="HD90" s="40">
        <f t="shared" ca="1" si="5297"/>
        <v>0</v>
      </c>
      <c r="HE90" s="40">
        <f t="shared" ca="1" si="5297"/>
        <v>0</v>
      </c>
      <c r="HF90" s="40">
        <f t="shared" ca="1" si="5297"/>
        <v>0</v>
      </c>
      <c r="HG90" s="40">
        <f t="shared" ca="1" si="5297"/>
        <v>0</v>
      </c>
      <c r="HH90" s="40">
        <f t="shared" ca="1" si="5297"/>
        <v>0</v>
      </c>
      <c r="HI90" s="40">
        <f t="shared" ca="1" si="5297"/>
        <v>0</v>
      </c>
      <c r="HJ90" s="40">
        <f t="shared" ca="1" si="5297"/>
        <v>0</v>
      </c>
      <c r="HK90" s="40">
        <f t="shared" ca="1" si="5297"/>
        <v>0</v>
      </c>
      <c r="HL90" s="40">
        <f t="shared" ca="1" si="5297"/>
        <v>0</v>
      </c>
      <c r="HM90" s="40">
        <f t="shared" ca="1" si="5297"/>
        <v>0</v>
      </c>
      <c r="HN90" s="40">
        <f t="shared" ca="1" si="5297"/>
        <v>0</v>
      </c>
      <c r="HO90" s="40">
        <f t="shared" ca="1" si="5297"/>
        <v>0</v>
      </c>
      <c r="HP90" s="40">
        <f t="shared" ca="1" si="5297"/>
        <v>0</v>
      </c>
      <c r="HQ90" s="40">
        <f t="shared" ca="1" si="5297"/>
        <v>0</v>
      </c>
      <c r="HR90" s="40">
        <f t="shared" ca="1" si="5297"/>
        <v>0</v>
      </c>
      <c r="HS90" s="40">
        <f t="shared" ca="1" si="5297"/>
        <v>0</v>
      </c>
      <c r="HT90" s="40">
        <f t="shared" ca="1" si="5297"/>
        <v>0</v>
      </c>
      <c r="HU90" s="40">
        <f t="shared" ca="1" si="5297"/>
        <v>0</v>
      </c>
      <c r="HV90" s="40">
        <f t="shared" ca="1" si="5297"/>
        <v>0</v>
      </c>
      <c r="HW90" s="40">
        <f t="shared" ca="1" si="5297"/>
        <v>0</v>
      </c>
      <c r="HX90" s="40">
        <f t="shared" ca="1" si="5297"/>
        <v>0</v>
      </c>
      <c r="HY90" s="40">
        <f t="shared" ca="1" si="5297"/>
        <v>0</v>
      </c>
      <c r="HZ90" s="40">
        <f t="shared" ca="1" si="5297"/>
        <v>0</v>
      </c>
      <c r="IA90" s="40">
        <f t="shared" ca="1" si="5297"/>
        <v>0</v>
      </c>
      <c r="IB90" s="40">
        <f t="shared" ca="1" si="5297"/>
        <v>0</v>
      </c>
      <c r="IC90" s="40">
        <f t="shared" ca="1" si="5297"/>
        <v>0</v>
      </c>
      <c r="ID90" s="40">
        <f t="shared" ca="1" si="5297"/>
        <v>0</v>
      </c>
      <c r="IE90" s="40">
        <f t="shared" ca="1" si="5297"/>
        <v>0</v>
      </c>
      <c r="IF90" s="40">
        <f t="shared" ca="1" si="5297"/>
        <v>0</v>
      </c>
      <c r="IG90" s="40">
        <f t="shared" ca="1" si="5297"/>
        <v>0</v>
      </c>
      <c r="IH90" s="40">
        <f t="shared" ca="1" si="5297"/>
        <v>0</v>
      </c>
      <c r="II90" s="40">
        <f t="shared" ca="1" si="5297"/>
        <v>0</v>
      </c>
      <c r="IJ90" s="40">
        <f t="shared" ca="1" si="5297"/>
        <v>0</v>
      </c>
      <c r="IK90" s="40">
        <f t="shared" ca="1" si="5297"/>
        <v>0</v>
      </c>
      <c r="IL90" s="40">
        <f t="shared" ca="1" si="5297"/>
        <v>0</v>
      </c>
      <c r="IM90" s="40">
        <f t="shared" ca="1" si="5297"/>
        <v>0</v>
      </c>
      <c r="IN90" s="40">
        <f t="shared" ca="1" si="5297"/>
        <v>0</v>
      </c>
      <c r="IO90" s="40">
        <f t="shared" ref="IO90:KZ90" ca="1" si="5298">IO98</f>
        <v>0</v>
      </c>
      <c r="IP90" s="40">
        <f t="shared" ca="1" si="5298"/>
        <v>0</v>
      </c>
      <c r="IQ90" s="40">
        <f t="shared" ca="1" si="5298"/>
        <v>0</v>
      </c>
      <c r="IR90" s="40">
        <f t="shared" ca="1" si="5298"/>
        <v>0</v>
      </c>
      <c r="IS90" s="40">
        <f t="shared" ca="1" si="5298"/>
        <v>0</v>
      </c>
      <c r="IT90" s="40">
        <f t="shared" ca="1" si="5298"/>
        <v>0</v>
      </c>
      <c r="IU90" s="40">
        <f t="shared" ca="1" si="5298"/>
        <v>0</v>
      </c>
      <c r="IV90" s="40">
        <f t="shared" ca="1" si="5298"/>
        <v>0</v>
      </c>
      <c r="IW90" s="40">
        <f t="shared" ca="1" si="5298"/>
        <v>0</v>
      </c>
      <c r="IX90" s="40">
        <f t="shared" ca="1" si="5298"/>
        <v>0</v>
      </c>
      <c r="IY90" s="40">
        <f t="shared" ca="1" si="5298"/>
        <v>0</v>
      </c>
      <c r="IZ90" s="40">
        <f t="shared" ca="1" si="5298"/>
        <v>0</v>
      </c>
      <c r="JA90" s="40">
        <f t="shared" ca="1" si="5298"/>
        <v>0</v>
      </c>
      <c r="JB90" s="40">
        <f t="shared" ca="1" si="5298"/>
        <v>0</v>
      </c>
      <c r="JC90" s="40">
        <f t="shared" ca="1" si="5298"/>
        <v>0</v>
      </c>
      <c r="JD90" s="40">
        <f t="shared" ca="1" si="5298"/>
        <v>0</v>
      </c>
      <c r="JE90" s="40">
        <f t="shared" ca="1" si="5298"/>
        <v>0</v>
      </c>
      <c r="JF90" s="40">
        <f t="shared" ca="1" si="5298"/>
        <v>0</v>
      </c>
      <c r="JG90" s="40">
        <f t="shared" ca="1" si="5298"/>
        <v>0</v>
      </c>
      <c r="JH90" s="40">
        <f t="shared" ca="1" si="5298"/>
        <v>0</v>
      </c>
      <c r="JI90" s="40">
        <f t="shared" ca="1" si="5298"/>
        <v>0</v>
      </c>
      <c r="JJ90" s="40">
        <f t="shared" ca="1" si="5298"/>
        <v>0</v>
      </c>
      <c r="JK90" s="40">
        <f t="shared" ca="1" si="5298"/>
        <v>0</v>
      </c>
      <c r="JL90" s="40">
        <f t="shared" ca="1" si="5298"/>
        <v>0</v>
      </c>
      <c r="JM90" s="40">
        <f t="shared" ca="1" si="5298"/>
        <v>0</v>
      </c>
      <c r="JN90" s="40">
        <f t="shared" ca="1" si="5298"/>
        <v>0</v>
      </c>
      <c r="JO90" s="40">
        <f t="shared" ca="1" si="5298"/>
        <v>0</v>
      </c>
      <c r="JP90" s="40">
        <f t="shared" ca="1" si="5298"/>
        <v>0</v>
      </c>
      <c r="JQ90" s="40">
        <f t="shared" ca="1" si="5298"/>
        <v>0</v>
      </c>
      <c r="JR90" s="40">
        <f t="shared" ca="1" si="5298"/>
        <v>0</v>
      </c>
      <c r="JS90" s="40">
        <f t="shared" ca="1" si="5298"/>
        <v>0</v>
      </c>
      <c r="JT90" s="40">
        <f t="shared" ca="1" si="5298"/>
        <v>0</v>
      </c>
      <c r="JU90" s="40">
        <f t="shared" ca="1" si="5298"/>
        <v>0</v>
      </c>
      <c r="JV90" s="40">
        <f t="shared" ca="1" si="5298"/>
        <v>0</v>
      </c>
      <c r="JW90" s="40">
        <f t="shared" ca="1" si="5298"/>
        <v>0</v>
      </c>
      <c r="JX90" s="40">
        <f t="shared" ca="1" si="5298"/>
        <v>0</v>
      </c>
      <c r="JY90" s="40">
        <f t="shared" ca="1" si="5298"/>
        <v>0</v>
      </c>
      <c r="JZ90" s="40">
        <f t="shared" ca="1" si="5298"/>
        <v>0</v>
      </c>
      <c r="KA90" s="40">
        <f t="shared" ca="1" si="5298"/>
        <v>0</v>
      </c>
      <c r="KB90" s="40">
        <f t="shared" ca="1" si="5298"/>
        <v>0</v>
      </c>
      <c r="KC90" s="40">
        <f t="shared" ca="1" si="5298"/>
        <v>0</v>
      </c>
      <c r="KD90" s="40">
        <f t="shared" ca="1" si="5298"/>
        <v>0</v>
      </c>
      <c r="KE90" s="40">
        <f t="shared" ca="1" si="5298"/>
        <v>0</v>
      </c>
      <c r="KF90" s="40">
        <f t="shared" ca="1" si="5298"/>
        <v>0</v>
      </c>
      <c r="KG90" s="40">
        <f t="shared" ca="1" si="5298"/>
        <v>0</v>
      </c>
      <c r="KH90" s="40">
        <f t="shared" ca="1" si="5298"/>
        <v>0</v>
      </c>
      <c r="KI90" s="40">
        <f t="shared" ca="1" si="5298"/>
        <v>0</v>
      </c>
      <c r="KJ90" s="40">
        <f t="shared" ca="1" si="5298"/>
        <v>0</v>
      </c>
      <c r="KK90" s="40">
        <f t="shared" ca="1" si="5298"/>
        <v>0</v>
      </c>
      <c r="KL90" s="40">
        <f t="shared" ca="1" si="5298"/>
        <v>0</v>
      </c>
      <c r="KM90" s="40">
        <f t="shared" ca="1" si="5298"/>
        <v>0</v>
      </c>
      <c r="KN90" s="40">
        <f t="shared" ca="1" si="5298"/>
        <v>0</v>
      </c>
      <c r="KO90" s="40">
        <f t="shared" ca="1" si="5298"/>
        <v>0</v>
      </c>
      <c r="KP90" s="40">
        <f t="shared" ca="1" si="5298"/>
        <v>0</v>
      </c>
      <c r="KQ90" s="40">
        <f t="shared" ca="1" si="5298"/>
        <v>0</v>
      </c>
      <c r="KR90" s="40">
        <f t="shared" ca="1" si="5298"/>
        <v>0</v>
      </c>
      <c r="KS90" s="40">
        <f t="shared" ca="1" si="5298"/>
        <v>0</v>
      </c>
      <c r="KT90" s="40">
        <f t="shared" ca="1" si="5298"/>
        <v>0</v>
      </c>
      <c r="KU90" s="40">
        <f t="shared" ca="1" si="5298"/>
        <v>0</v>
      </c>
      <c r="KV90" s="40">
        <f t="shared" ca="1" si="5298"/>
        <v>0</v>
      </c>
      <c r="KW90" s="40">
        <f t="shared" ca="1" si="5298"/>
        <v>0</v>
      </c>
      <c r="KX90" s="40">
        <f t="shared" ca="1" si="5298"/>
        <v>0</v>
      </c>
      <c r="KY90" s="40">
        <f t="shared" ca="1" si="5298"/>
        <v>0</v>
      </c>
      <c r="KZ90" s="40">
        <f t="shared" ca="1" si="5298"/>
        <v>0</v>
      </c>
      <c r="LA90" s="40">
        <f t="shared" ref="LA90:ND90" ca="1" si="5299">LA98</f>
        <v>0</v>
      </c>
      <c r="LB90" s="40">
        <f t="shared" ca="1" si="5299"/>
        <v>0</v>
      </c>
      <c r="LC90" s="40">
        <f t="shared" ca="1" si="5299"/>
        <v>0</v>
      </c>
      <c r="LD90" s="40">
        <f t="shared" ca="1" si="5299"/>
        <v>0</v>
      </c>
      <c r="LE90" s="40">
        <f t="shared" ca="1" si="5299"/>
        <v>0</v>
      </c>
      <c r="LF90" s="40">
        <f t="shared" ca="1" si="5299"/>
        <v>0</v>
      </c>
      <c r="LG90" s="40">
        <f t="shared" ca="1" si="5299"/>
        <v>0</v>
      </c>
      <c r="LH90" s="40">
        <f t="shared" ca="1" si="5299"/>
        <v>0</v>
      </c>
      <c r="LI90" s="40">
        <f t="shared" ca="1" si="5299"/>
        <v>0</v>
      </c>
      <c r="LJ90" s="40">
        <f t="shared" ca="1" si="5299"/>
        <v>0</v>
      </c>
      <c r="LK90" s="40">
        <f t="shared" ca="1" si="5299"/>
        <v>0</v>
      </c>
      <c r="LL90" s="40">
        <f t="shared" ca="1" si="5299"/>
        <v>0</v>
      </c>
      <c r="LM90" s="40">
        <f t="shared" ca="1" si="5299"/>
        <v>0</v>
      </c>
      <c r="LN90" s="40">
        <f t="shared" ca="1" si="5299"/>
        <v>0</v>
      </c>
      <c r="LO90" s="40">
        <f t="shared" ca="1" si="5299"/>
        <v>0</v>
      </c>
      <c r="LP90" s="40">
        <f t="shared" ca="1" si="5299"/>
        <v>0</v>
      </c>
      <c r="LQ90" s="40">
        <f t="shared" ca="1" si="5299"/>
        <v>0</v>
      </c>
      <c r="LR90" s="40">
        <f t="shared" ca="1" si="5299"/>
        <v>0</v>
      </c>
      <c r="LS90" s="40">
        <f t="shared" ca="1" si="5299"/>
        <v>0</v>
      </c>
      <c r="LT90" s="40">
        <f t="shared" ca="1" si="5299"/>
        <v>0</v>
      </c>
      <c r="LU90" s="40">
        <f t="shared" ca="1" si="5299"/>
        <v>0</v>
      </c>
      <c r="LV90" s="40">
        <f t="shared" ca="1" si="5299"/>
        <v>0</v>
      </c>
      <c r="LW90" s="40">
        <f t="shared" ca="1" si="5299"/>
        <v>0</v>
      </c>
      <c r="LX90" s="40">
        <f t="shared" ca="1" si="5299"/>
        <v>0</v>
      </c>
      <c r="LY90" s="40">
        <f t="shared" ca="1" si="5299"/>
        <v>0</v>
      </c>
      <c r="LZ90" s="40">
        <f t="shared" ca="1" si="5299"/>
        <v>0</v>
      </c>
      <c r="MA90" s="40">
        <f t="shared" ca="1" si="5299"/>
        <v>0</v>
      </c>
      <c r="MB90" s="40">
        <f t="shared" ca="1" si="5299"/>
        <v>0</v>
      </c>
      <c r="MC90" s="40">
        <f t="shared" ca="1" si="5299"/>
        <v>0</v>
      </c>
      <c r="MD90" s="40">
        <f t="shared" ca="1" si="5299"/>
        <v>0</v>
      </c>
      <c r="ME90" s="40">
        <f t="shared" ca="1" si="5299"/>
        <v>0</v>
      </c>
      <c r="MF90" s="40">
        <f t="shared" ca="1" si="5299"/>
        <v>0</v>
      </c>
      <c r="MG90" s="40">
        <f t="shared" ca="1" si="5299"/>
        <v>0</v>
      </c>
      <c r="MH90" s="40">
        <f t="shared" ca="1" si="5299"/>
        <v>0</v>
      </c>
      <c r="MI90" s="40">
        <f t="shared" ca="1" si="5299"/>
        <v>0</v>
      </c>
      <c r="MJ90" s="40">
        <f t="shared" ca="1" si="5299"/>
        <v>0</v>
      </c>
      <c r="MK90" s="40">
        <f t="shared" ca="1" si="5299"/>
        <v>0</v>
      </c>
      <c r="ML90" s="40">
        <f t="shared" ca="1" si="5299"/>
        <v>0</v>
      </c>
      <c r="MM90" s="40">
        <f t="shared" ca="1" si="5299"/>
        <v>0</v>
      </c>
      <c r="MN90" s="40">
        <f t="shared" ca="1" si="5299"/>
        <v>0</v>
      </c>
      <c r="MO90" s="40">
        <f t="shared" ca="1" si="5299"/>
        <v>0</v>
      </c>
      <c r="MP90" s="40">
        <f t="shared" ca="1" si="5299"/>
        <v>0</v>
      </c>
      <c r="MQ90" s="40">
        <f t="shared" ca="1" si="5299"/>
        <v>0</v>
      </c>
      <c r="MR90" s="40">
        <f t="shared" ca="1" si="5299"/>
        <v>0</v>
      </c>
      <c r="MS90" s="40">
        <f t="shared" ca="1" si="5299"/>
        <v>0</v>
      </c>
      <c r="MT90" s="40">
        <f t="shared" ca="1" si="5299"/>
        <v>0</v>
      </c>
      <c r="MU90" s="40">
        <f t="shared" ca="1" si="5299"/>
        <v>0</v>
      </c>
      <c r="MV90" s="40">
        <f t="shared" ca="1" si="5299"/>
        <v>0</v>
      </c>
      <c r="MW90" s="40">
        <f t="shared" ca="1" si="5299"/>
        <v>0</v>
      </c>
      <c r="MX90" s="40">
        <f t="shared" ca="1" si="5299"/>
        <v>0</v>
      </c>
      <c r="MY90" s="40">
        <f t="shared" ca="1" si="5299"/>
        <v>0</v>
      </c>
      <c r="MZ90" s="40">
        <f t="shared" ca="1" si="5299"/>
        <v>0</v>
      </c>
      <c r="NA90" s="40">
        <f t="shared" ca="1" si="5299"/>
        <v>0</v>
      </c>
      <c r="NB90" s="40">
        <f t="shared" ca="1" si="5299"/>
        <v>0</v>
      </c>
      <c r="NC90" s="40">
        <f t="shared" ca="1" si="5299"/>
        <v>0</v>
      </c>
      <c r="ND90" s="40">
        <f t="shared" ca="1" si="5299"/>
        <v>0</v>
      </c>
      <c r="NE90" s="40"/>
      <c r="NF90" s="40"/>
      <c r="NG90" s="40"/>
      <c r="NH90" s="40"/>
      <c r="NI90" s="40"/>
      <c r="NJ90" s="40"/>
      <c r="NK90" s="40"/>
      <c r="NL90" s="40"/>
      <c r="NM90" s="40"/>
      <c r="NN90" s="40"/>
      <c r="NO90" s="40"/>
      <c r="NP90" s="40"/>
      <c r="NQ90" s="40"/>
      <c r="NR90" s="40"/>
    </row>
    <row r="91" spans="2:382" x14ac:dyDescent="0.15">
      <c r="B91" s="520"/>
      <c r="G91" s="118"/>
      <c r="I91" s="40"/>
      <c r="J91" s="40"/>
      <c r="K91" s="40"/>
      <c r="L91" s="40"/>
      <c r="M91" s="40"/>
      <c r="N91" s="40"/>
      <c r="O91" s="40"/>
      <c r="P91" s="40"/>
      <c r="Q91" s="40"/>
      <c r="R91" s="40"/>
      <c r="S91" s="40"/>
      <c r="T91" s="40"/>
      <c r="U91" s="40"/>
      <c r="V91" s="40"/>
      <c r="W91" s="40"/>
      <c r="X91" s="40"/>
      <c r="Y91" s="40"/>
      <c r="Z91" s="40"/>
      <c r="AA91" s="40"/>
      <c r="AB91" s="40"/>
      <c r="AC91" s="40"/>
      <c r="AD91" s="40"/>
      <c r="AE91" s="40"/>
      <c r="AF91" s="40"/>
      <c r="AG91" s="40"/>
      <c r="AH91" s="40"/>
      <c r="AI91" s="40"/>
      <c r="AJ91" s="40"/>
      <c r="AK91" s="40"/>
      <c r="AL91" s="40"/>
      <c r="AM91" s="40"/>
      <c r="AN91" s="40"/>
      <c r="AO91" s="40"/>
      <c r="AP91" s="40"/>
      <c r="AQ91" s="40"/>
      <c r="AR91" s="40"/>
      <c r="AS91" s="40"/>
      <c r="AT91" s="40"/>
      <c r="AU91" s="40"/>
      <c r="AV91" s="40"/>
      <c r="AW91" s="40"/>
      <c r="AX91" s="40"/>
      <c r="AY91" s="40"/>
      <c r="AZ91" s="40"/>
      <c r="BA91" s="40"/>
      <c r="BB91" s="40"/>
      <c r="BC91" s="40"/>
      <c r="BD91" s="40"/>
      <c r="BE91" s="40"/>
      <c r="BF91" s="40"/>
      <c r="BG91" s="40"/>
      <c r="BH91" s="40"/>
      <c r="BI91" s="40"/>
      <c r="BJ91" s="40"/>
      <c r="BK91" s="40"/>
      <c r="BL91" s="40"/>
      <c r="BM91" s="40"/>
      <c r="BN91" s="40"/>
      <c r="BO91" s="40"/>
      <c r="BP91" s="40"/>
      <c r="BQ91" s="40"/>
      <c r="BR91" s="40"/>
      <c r="BS91" s="40"/>
      <c r="BT91" s="40"/>
      <c r="BU91" s="40"/>
      <c r="BV91" s="40"/>
      <c r="BW91" s="40"/>
      <c r="BX91" s="40"/>
      <c r="BY91" s="40"/>
      <c r="BZ91" s="40"/>
      <c r="CA91" s="40"/>
      <c r="CB91" s="40"/>
      <c r="CC91" s="40"/>
      <c r="CD91" s="40"/>
      <c r="CE91" s="40"/>
      <c r="CF91" s="40"/>
      <c r="CG91" s="40"/>
      <c r="CH91" s="40"/>
      <c r="CI91" s="40"/>
      <c r="CJ91" s="40"/>
      <c r="CK91" s="40"/>
      <c r="CL91" s="40"/>
      <c r="CM91" s="40"/>
      <c r="CN91" s="40"/>
      <c r="CO91" s="40"/>
      <c r="CP91" s="40"/>
      <c r="CQ91" s="40"/>
      <c r="CR91" s="40"/>
      <c r="CS91" s="40"/>
      <c r="CT91" s="40"/>
      <c r="CU91" s="40"/>
      <c r="CV91" s="40"/>
      <c r="CW91" s="40"/>
      <c r="CX91" s="40"/>
      <c r="CY91" s="40"/>
      <c r="CZ91" s="40"/>
      <c r="DA91" s="40"/>
      <c r="DB91" s="40"/>
      <c r="DC91" s="40"/>
      <c r="DD91" s="40"/>
      <c r="DE91" s="40"/>
      <c r="DF91" s="40"/>
      <c r="DG91" s="40"/>
      <c r="DH91" s="40"/>
      <c r="DI91" s="40"/>
      <c r="DJ91" s="40"/>
      <c r="DK91" s="40"/>
      <c r="DL91" s="40"/>
      <c r="DM91" s="40"/>
      <c r="DN91" s="40"/>
      <c r="DO91" s="40"/>
      <c r="DP91" s="40"/>
      <c r="DQ91" s="40"/>
      <c r="DR91" s="40"/>
      <c r="DS91" s="40"/>
      <c r="DT91" s="40"/>
      <c r="DU91" s="40"/>
      <c r="DV91" s="40"/>
      <c r="DW91" s="40"/>
      <c r="DX91" s="40"/>
      <c r="DY91" s="40"/>
      <c r="DZ91" s="40"/>
      <c r="EA91" s="40"/>
      <c r="EB91" s="40"/>
      <c r="EC91" s="40"/>
      <c r="ED91" s="40"/>
      <c r="EE91" s="40"/>
      <c r="EF91" s="40"/>
      <c r="EG91" s="40"/>
      <c r="EH91" s="40"/>
      <c r="EI91" s="40"/>
      <c r="EJ91" s="40"/>
      <c r="EK91" s="40"/>
      <c r="EL91" s="40"/>
      <c r="EM91" s="40"/>
      <c r="EN91" s="40"/>
      <c r="EO91" s="40"/>
      <c r="EP91" s="40"/>
      <c r="EQ91" s="40"/>
      <c r="ER91" s="40"/>
      <c r="ES91" s="40"/>
      <c r="ET91" s="40"/>
      <c r="EU91" s="40"/>
      <c r="EV91" s="40"/>
      <c r="EW91" s="40"/>
      <c r="EX91" s="40"/>
      <c r="EY91" s="40"/>
      <c r="EZ91" s="40"/>
      <c r="FA91" s="40"/>
      <c r="FB91" s="40"/>
      <c r="FC91" s="40"/>
      <c r="FD91" s="40"/>
      <c r="FE91" s="40"/>
      <c r="FF91" s="40"/>
      <c r="FG91" s="40"/>
      <c r="FH91" s="40"/>
      <c r="FI91" s="40"/>
      <c r="FJ91" s="40"/>
      <c r="FK91" s="40"/>
      <c r="FL91" s="40"/>
      <c r="FM91" s="40"/>
      <c r="FN91" s="40"/>
      <c r="FO91" s="40"/>
      <c r="FP91" s="40"/>
      <c r="FQ91" s="40"/>
      <c r="FR91" s="40"/>
      <c r="FS91" s="40"/>
      <c r="FT91" s="40"/>
      <c r="FU91" s="40"/>
      <c r="FV91" s="40"/>
      <c r="FW91" s="40"/>
      <c r="FX91" s="40"/>
      <c r="FY91" s="40"/>
      <c r="FZ91" s="40"/>
      <c r="GA91" s="40"/>
      <c r="GB91" s="40"/>
      <c r="GC91" s="40"/>
      <c r="GD91" s="40"/>
      <c r="GE91" s="40"/>
      <c r="GF91" s="40"/>
      <c r="GG91" s="40"/>
      <c r="GH91" s="40"/>
      <c r="GI91" s="40"/>
      <c r="GJ91" s="40"/>
      <c r="GK91" s="40"/>
      <c r="GL91" s="40"/>
      <c r="GM91" s="40"/>
      <c r="GN91" s="40"/>
      <c r="GO91" s="40"/>
      <c r="GP91" s="40"/>
      <c r="GQ91" s="40"/>
      <c r="GR91" s="40"/>
      <c r="GS91" s="40"/>
      <c r="GT91" s="40"/>
      <c r="GU91" s="40"/>
      <c r="GV91" s="40"/>
      <c r="GW91" s="40"/>
      <c r="GX91" s="40"/>
      <c r="GY91" s="40"/>
      <c r="GZ91" s="40"/>
      <c r="HA91" s="40"/>
      <c r="HB91" s="40"/>
      <c r="HC91" s="40"/>
      <c r="HD91" s="40"/>
      <c r="HE91" s="40"/>
      <c r="HF91" s="40"/>
      <c r="HG91" s="40"/>
      <c r="HH91" s="40"/>
      <c r="HI91" s="40"/>
      <c r="HJ91" s="40"/>
      <c r="HK91" s="40"/>
      <c r="HL91" s="40"/>
      <c r="HM91" s="40"/>
      <c r="HN91" s="40"/>
      <c r="HO91" s="40"/>
      <c r="HP91" s="40"/>
      <c r="HQ91" s="40"/>
      <c r="HR91" s="40"/>
      <c r="HS91" s="40"/>
      <c r="HT91" s="40"/>
      <c r="HU91" s="40"/>
      <c r="HV91" s="40"/>
      <c r="HW91" s="40"/>
      <c r="HX91" s="40"/>
      <c r="HY91" s="40"/>
      <c r="HZ91" s="40"/>
      <c r="IA91" s="40"/>
      <c r="IB91" s="40"/>
      <c r="IC91" s="40"/>
      <c r="ID91" s="40"/>
      <c r="IE91" s="40"/>
      <c r="IF91" s="40"/>
      <c r="IG91" s="40"/>
      <c r="IH91" s="40"/>
      <c r="II91" s="40"/>
      <c r="IJ91" s="40"/>
      <c r="IK91" s="40"/>
      <c r="IL91" s="40"/>
      <c r="IM91" s="40"/>
      <c r="IN91" s="40"/>
      <c r="IO91" s="40"/>
      <c r="IP91" s="40"/>
      <c r="IQ91" s="40"/>
      <c r="IR91" s="40"/>
      <c r="IS91" s="40"/>
      <c r="IT91" s="40"/>
      <c r="IU91" s="40"/>
      <c r="IV91" s="40"/>
      <c r="IW91" s="40"/>
      <c r="IX91" s="40"/>
      <c r="IY91" s="40"/>
      <c r="IZ91" s="40"/>
      <c r="JA91" s="40"/>
      <c r="JB91" s="40"/>
      <c r="JC91" s="40"/>
      <c r="JD91" s="40"/>
      <c r="JE91" s="40"/>
      <c r="JF91" s="40"/>
      <c r="JG91" s="40"/>
      <c r="JH91" s="40"/>
      <c r="JI91" s="40"/>
      <c r="JJ91" s="40"/>
      <c r="JK91" s="40"/>
      <c r="JL91" s="40"/>
      <c r="JM91" s="40"/>
      <c r="JN91" s="40"/>
      <c r="JO91" s="40"/>
      <c r="JP91" s="40"/>
      <c r="JQ91" s="40"/>
      <c r="JR91" s="40"/>
      <c r="JS91" s="40"/>
      <c r="JT91" s="40"/>
      <c r="JU91" s="40"/>
      <c r="JV91" s="40"/>
      <c r="JW91" s="40"/>
      <c r="JX91" s="40"/>
      <c r="JY91" s="40"/>
      <c r="JZ91" s="40"/>
      <c r="KA91" s="40"/>
      <c r="KB91" s="40"/>
      <c r="KC91" s="40"/>
      <c r="KD91" s="40"/>
      <c r="KE91" s="40"/>
      <c r="KF91" s="40"/>
      <c r="KG91" s="40"/>
      <c r="KH91" s="40"/>
      <c r="KI91" s="40"/>
      <c r="KJ91" s="40"/>
      <c r="KK91" s="40"/>
      <c r="KL91" s="40"/>
      <c r="KM91" s="40"/>
      <c r="KN91" s="40"/>
      <c r="KO91" s="40"/>
      <c r="KP91" s="40"/>
      <c r="KQ91" s="40"/>
      <c r="KR91" s="40"/>
      <c r="KS91" s="40"/>
      <c r="KT91" s="40"/>
      <c r="KU91" s="40"/>
      <c r="KV91" s="40"/>
      <c r="KW91" s="40"/>
      <c r="KX91" s="40"/>
      <c r="KY91" s="40"/>
      <c r="KZ91" s="40"/>
      <c r="LA91" s="40"/>
      <c r="LB91" s="40"/>
      <c r="LC91" s="40"/>
      <c r="LD91" s="40"/>
      <c r="LE91" s="40"/>
      <c r="LF91" s="40"/>
      <c r="LG91" s="40"/>
      <c r="LH91" s="40"/>
      <c r="LI91" s="40"/>
      <c r="LJ91" s="40"/>
      <c r="LK91" s="40"/>
      <c r="LL91" s="40"/>
      <c r="LM91" s="40"/>
      <c r="LN91" s="40"/>
      <c r="LO91" s="40"/>
      <c r="LP91" s="40"/>
      <c r="LQ91" s="40"/>
      <c r="LR91" s="40"/>
      <c r="LS91" s="40"/>
      <c r="LT91" s="40"/>
      <c r="LU91" s="40"/>
      <c r="LV91" s="40"/>
      <c r="LW91" s="40"/>
      <c r="LX91" s="40"/>
      <c r="LY91" s="40"/>
      <c r="LZ91" s="40"/>
      <c r="MA91" s="40"/>
      <c r="MB91" s="40"/>
      <c r="MC91" s="40"/>
      <c r="MD91" s="40"/>
      <c r="ME91" s="40"/>
      <c r="MF91" s="40"/>
      <c r="MG91" s="40"/>
      <c r="MH91" s="40"/>
      <c r="MI91" s="40"/>
      <c r="MJ91" s="40"/>
      <c r="MK91" s="40"/>
      <c r="ML91" s="40"/>
      <c r="MM91" s="40"/>
      <c r="MN91" s="40"/>
      <c r="MO91" s="40"/>
      <c r="MP91" s="40"/>
      <c r="MQ91" s="40"/>
      <c r="MR91" s="40"/>
      <c r="MS91" s="40"/>
      <c r="MT91" s="40"/>
      <c r="MU91" s="40"/>
      <c r="MV91" s="40"/>
      <c r="MW91" s="40"/>
      <c r="MX91" s="40"/>
      <c r="MY91" s="40"/>
      <c r="MZ91" s="40"/>
      <c r="NA91" s="40"/>
      <c r="NB91" s="40"/>
      <c r="NC91" s="40"/>
      <c r="ND91" s="40"/>
      <c r="NE91" s="40"/>
      <c r="NF91" s="40"/>
      <c r="NG91" s="40"/>
      <c r="NH91" s="40"/>
      <c r="NI91" s="40"/>
      <c r="NJ91" s="40"/>
      <c r="NK91" s="40"/>
      <c r="NL91" s="40"/>
      <c r="NM91" s="40"/>
      <c r="NN91" s="40"/>
      <c r="NO91" s="40"/>
      <c r="NP91" s="40"/>
      <c r="NQ91" s="40"/>
      <c r="NR91" s="40"/>
    </row>
    <row r="92" spans="2:382" x14ac:dyDescent="0.15">
      <c r="B92" s="520"/>
      <c r="C92" t="s">
        <v>181</v>
      </c>
      <c r="E92" s="5">
        <f>K12</f>
        <v>0</v>
      </c>
      <c r="G92" s="118"/>
      <c r="I92" s="1">
        <f t="shared" ref="I92:BU92" si="5300">IFERROR(I$98/$E$98*$E$92,0)</f>
        <v>0</v>
      </c>
      <c r="J92" s="1">
        <f t="shared" si="5300"/>
        <v>0</v>
      </c>
      <c r="K92" s="1">
        <f t="shared" si="5300"/>
        <v>0</v>
      </c>
      <c r="L92" s="1">
        <f t="shared" si="5300"/>
        <v>0</v>
      </c>
      <c r="M92" s="1">
        <f t="shared" si="5300"/>
        <v>0</v>
      </c>
      <c r="N92" s="1">
        <f t="shared" si="5300"/>
        <v>0</v>
      </c>
      <c r="O92" s="1">
        <f t="shared" si="5300"/>
        <v>0</v>
      </c>
      <c r="P92" s="1">
        <f t="shared" si="5300"/>
        <v>0</v>
      </c>
      <c r="Q92" s="1">
        <f t="shared" si="5300"/>
        <v>0</v>
      </c>
      <c r="R92" s="1">
        <f t="shared" si="5300"/>
        <v>0</v>
      </c>
      <c r="S92" s="1">
        <f t="shared" si="5300"/>
        <v>0</v>
      </c>
      <c r="T92" s="1">
        <f t="shared" si="5300"/>
        <v>0</v>
      </c>
      <c r="U92" s="1">
        <f t="shared" si="5300"/>
        <v>0</v>
      </c>
      <c r="V92" s="1">
        <f t="shared" si="5300"/>
        <v>0</v>
      </c>
      <c r="W92" s="1">
        <f t="shared" si="5300"/>
        <v>0</v>
      </c>
      <c r="X92" s="1">
        <f t="shared" si="5300"/>
        <v>0</v>
      </c>
      <c r="Y92" s="1">
        <f t="shared" si="5300"/>
        <v>0</v>
      </c>
      <c r="Z92" s="1">
        <f t="shared" si="5300"/>
        <v>0</v>
      </c>
      <c r="AA92" s="1">
        <f t="shared" si="5300"/>
        <v>0</v>
      </c>
      <c r="AB92" s="1">
        <f t="shared" si="5300"/>
        <v>0</v>
      </c>
      <c r="AC92" s="1">
        <f t="shared" si="5300"/>
        <v>0</v>
      </c>
      <c r="AD92" s="1">
        <f t="shared" si="5300"/>
        <v>0</v>
      </c>
      <c r="AE92" s="1">
        <f t="shared" si="5300"/>
        <v>0</v>
      </c>
      <c r="AF92" s="1">
        <f t="shared" si="5300"/>
        <v>0</v>
      </c>
      <c r="AG92" s="1">
        <f t="shared" si="5300"/>
        <v>0</v>
      </c>
      <c r="AH92" s="1">
        <f t="shared" si="5300"/>
        <v>0</v>
      </c>
      <c r="AI92" s="1">
        <f t="shared" si="5300"/>
        <v>0</v>
      </c>
      <c r="AJ92" s="1">
        <f t="shared" si="5300"/>
        <v>0</v>
      </c>
      <c r="AK92" s="1">
        <f t="shared" si="5300"/>
        <v>0</v>
      </c>
      <c r="AL92" s="1">
        <f t="shared" si="5300"/>
        <v>0</v>
      </c>
      <c r="AM92" s="1">
        <f t="shared" si="5300"/>
        <v>0</v>
      </c>
      <c r="AN92" s="1">
        <f t="shared" si="5300"/>
        <v>0</v>
      </c>
      <c r="AO92" s="1">
        <f t="shared" si="5300"/>
        <v>0</v>
      </c>
      <c r="AP92" s="1">
        <f t="shared" si="5300"/>
        <v>0</v>
      </c>
      <c r="AQ92" s="1">
        <f t="shared" si="5300"/>
        <v>0</v>
      </c>
      <c r="AR92" s="1">
        <f t="shared" si="5300"/>
        <v>0</v>
      </c>
      <c r="AS92" s="1">
        <f t="shared" si="5300"/>
        <v>0</v>
      </c>
      <c r="AT92" s="1">
        <f t="shared" si="5300"/>
        <v>0</v>
      </c>
      <c r="AU92" s="1">
        <f t="shared" si="5300"/>
        <v>0</v>
      </c>
      <c r="AV92" s="1">
        <f t="shared" si="5300"/>
        <v>0</v>
      </c>
      <c r="AW92" s="1">
        <f t="shared" si="5300"/>
        <v>0</v>
      </c>
      <c r="AX92" s="1">
        <f t="shared" si="5300"/>
        <v>0</v>
      </c>
      <c r="AY92" s="1">
        <f t="shared" si="5300"/>
        <v>0</v>
      </c>
      <c r="AZ92" s="1">
        <f t="shared" si="5300"/>
        <v>0</v>
      </c>
      <c r="BA92" s="1">
        <f t="shared" si="5300"/>
        <v>0</v>
      </c>
      <c r="BB92" s="1">
        <f t="shared" si="5300"/>
        <v>0</v>
      </c>
      <c r="BC92" s="1">
        <f t="shared" si="5300"/>
        <v>0</v>
      </c>
      <c r="BD92" s="1">
        <f t="shared" si="5300"/>
        <v>0</v>
      </c>
      <c r="BE92" s="1">
        <f t="shared" si="5300"/>
        <v>0</v>
      </c>
      <c r="BF92" s="1">
        <f t="shared" si="5300"/>
        <v>0</v>
      </c>
      <c r="BG92" s="1">
        <f t="shared" si="5300"/>
        <v>0</v>
      </c>
      <c r="BH92" s="1">
        <f t="shared" si="5300"/>
        <v>0</v>
      </c>
      <c r="BI92" s="1">
        <f t="shared" si="5300"/>
        <v>0</v>
      </c>
      <c r="BJ92" s="1">
        <f t="shared" si="5300"/>
        <v>0</v>
      </c>
      <c r="BK92" s="1">
        <f t="shared" si="5300"/>
        <v>0</v>
      </c>
      <c r="BL92" s="1">
        <f t="shared" si="5300"/>
        <v>0</v>
      </c>
      <c r="BM92" s="1">
        <f t="shared" si="5300"/>
        <v>0</v>
      </c>
      <c r="BN92" s="1">
        <f t="shared" si="5300"/>
        <v>0</v>
      </c>
      <c r="BO92" s="1">
        <f t="shared" si="5300"/>
        <v>0</v>
      </c>
      <c r="BP92" s="1">
        <f t="shared" si="5300"/>
        <v>0</v>
      </c>
      <c r="BQ92" s="1">
        <f t="shared" si="5300"/>
        <v>0</v>
      </c>
      <c r="BR92" s="1">
        <f t="shared" si="5300"/>
        <v>0</v>
      </c>
      <c r="BS92" s="1">
        <f t="shared" si="5300"/>
        <v>0</v>
      </c>
      <c r="BT92" s="1">
        <f t="shared" si="5300"/>
        <v>0</v>
      </c>
      <c r="BU92" s="1">
        <f t="shared" si="5300"/>
        <v>0</v>
      </c>
      <c r="BV92" s="1">
        <f t="shared" ref="BV92:EG92" si="5301">IFERROR(BV$98/$E$98*$E$92,0)</f>
        <v>0</v>
      </c>
      <c r="BW92" s="1">
        <f t="shared" si="5301"/>
        <v>0</v>
      </c>
      <c r="BX92" s="1">
        <f t="shared" si="5301"/>
        <v>0</v>
      </c>
      <c r="BY92" s="1">
        <f t="shared" si="5301"/>
        <v>0</v>
      </c>
      <c r="BZ92" s="1">
        <f t="shared" si="5301"/>
        <v>0</v>
      </c>
      <c r="CA92" s="1">
        <f t="shared" si="5301"/>
        <v>0</v>
      </c>
      <c r="CB92" s="1">
        <f t="shared" si="5301"/>
        <v>0</v>
      </c>
      <c r="CC92" s="1">
        <f t="shared" si="5301"/>
        <v>0</v>
      </c>
      <c r="CD92" s="1">
        <f t="shared" si="5301"/>
        <v>0</v>
      </c>
      <c r="CE92" s="1">
        <f t="shared" si="5301"/>
        <v>0</v>
      </c>
      <c r="CF92" s="1">
        <f t="shared" si="5301"/>
        <v>0</v>
      </c>
      <c r="CG92" s="1">
        <f t="shared" si="5301"/>
        <v>0</v>
      </c>
      <c r="CH92" s="1">
        <f t="shared" si="5301"/>
        <v>0</v>
      </c>
      <c r="CI92" s="1">
        <f t="shared" si="5301"/>
        <v>0</v>
      </c>
      <c r="CJ92" s="1">
        <f t="shared" si="5301"/>
        <v>0</v>
      </c>
      <c r="CK92" s="1">
        <f t="shared" si="5301"/>
        <v>0</v>
      </c>
      <c r="CL92" s="1">
        <f t="shared" si="5301"/>
        <v>0</v>
      </c>
      <c r="CM92" s="1">
        <f t="shared" si="5301"/>
        <v>0</v>
      </c>
      <c r="CN92" s="1">
        <f t="shared" si="5301"/>
        <v>0</v>
      </c>
      <c r="CO92" s="1">
        <f t="shared" si="5301"/>
        <v>0</v>
      </c>
      <c r="CP92" s="1">
        <f t="shared" si="5301"/>
        <v>0</v>
      </c>
      <c r="CQ92" s="1">
        <f t="shared" si="5301"/>
        <v>0</v>
      </c>
      <c r="CR92" s="1">
        <f t="shared" si="5301"/>
        <v>0</v>
      </c>
      <c r="CS92" s="1">
        <f t="shared" si="5301"/>
        <v>0</v>
      </c>
      <c r="CT92" s="1">
        <f t="shared" si="5301"/>
        <v>0</v>
      </c>
      <c r="CU92" s="1">
        <f t="shared" si="5301"/>
        <v>0</v>
      </c>
      <c r="CV92" s="1">
        <f t="shared" si="5301"/>
        <v>0</v>
      </c>
      <c r="CW92" s="1">
        <f t="shared" si="5301"/>
        <v>0</v>
      </c>
      <c r="CX92" s="1">
        <f t="shared" si="5301"/>
        <v>0</v>
      </c>
      <c r="CY92" s="1">
        <f t="shared" si="5301"/>
        <v>0</v>
      </c>
      <c r="CZ92" s="1">
        <f t="shared" si="5301"/>
        <v>0</v>
      </c>
      <c r="DA92" s="1">
        <f t="shared" si="5301"/>
        <v>0</v>
      </c>
      <c r="DB92" s="1">
        <f t="shared" si="5301"/>
        <v>0</v>
      </c>
      <c r="DC92" s="1">
        <f t="shared" si="5301"/>
        <v>0</v>
      </c>
      <c r="DD92" s="1">
        <f t="shared" si="5301"/>
        <v>0</v>
      </c>
      <c r="DE92" s="1">
        <f t="shared" si="5301"/>
        <v>0</v>
      </c>
      <c r="DF92" s="1">
        <f t="shared" si="5301"/>
        <v>0</v>
      </c>
      <c r="DG92" s="1">
        <f t="shared" si="5301"/>
        <v>0</v>
      </c>
      <c r="DH92" s="1">
        <f t="shared" si="5301"/>
        <v>0</v>
      </c>
      <c r="DI92" s="1">
        <f t="shared" si="5301"/>
        <v>0</v>
      </c>
      <c r="DJ92" s="1">
        <f t="shared" si="5301"/>
        <v>0</v>
      </c>
      <c r="DK92" s="1">
        <f t="shared" si="5301"/>
        <v>0</v>
      </c>
      <c r="DL92" s="1">
        <f t="shared" si="5301"/>
        <v>0</v>
      </c>
      <c r="DM92" s="1">
        <f t="shared" si="5301"/>
        <v>0</v>
      </c>
      <c r="DN92" s="1">
        <f t="shared" si="5301"/>
        <v>0</v>
      </c>
      <c r="DO92" s="1">
        <f t="shared" si="5301"/>
        <v>0</v>
      </c>
      <c r="DP92" s="1">
        <f t="shared" si="5301"/>
        <v>0</v>
      </c>
      <c r="DQ92" s="1">
        <f t="shared" si="5301"/>
        <v>0</v>
      </c>
      <c r="DR92" s="1">
        <f t="shared" si="5301"/>
        <v>0</v>
      </c>
      <c r="DS92" s="1">
        <f t="shared" si="5301"/>
        <v>0</v>
      </c>
      <c r="DT92" s="1">
        <f t="shared" si="5301"/>
        <v>0</v>
      </c>
      <c r="DU92" s="1">
        <f t="shared" si="5301"/>
        <v>0</v>
      </c>
      <c r="DV92" s="1">
        <f t="shared" si="5301"/>
        <v>0</v>
      </c>
      <c r="DW92" s="1">
        <f t="shared" si="5301"/>
        <v>0</v>
      </c>
      <c r="DX92" s="1">
        <f t="shared" si="5301"/>
        <v>0</v>
      </c>
      <c r="DY92" s="1">
        <f t="shared" si="5301"/>
        <v>0</v>
      </c>
      <c r="DZ92" s="1">
        <f t="shared" si="5301"/>
        <v>0</v>
      </c>
      <c r="EA92" s="1">
        <f t="shared" si="5301"/>
        <v>0</v>
      </c>
      <c r="EB92" s="1">
        <f t="shared" si="5301"/>
        <v>0</v>
      </c>
      <c r="EC92" s="1">
        <f t="shared" si="5301"/>
        <v>0</v>
      </c>
      <c r="ED92" s="1">
        <f t="shared" si="5301"/>
        <v>0</v>
      </c>
      <c r="EE92" s="1">
        <f t="shared" si="5301"/>
        <v>0</v>
      </c>
      <c r="EF92" s="1">
        <f t="shared" si="5301"/>
        <v>0</v>
      </c>
      <c r="EG92" s="1">
        <f t="shared" si="5301"/>
        <v>0</v>
      </c>
      <c r="EH92" s="1">
        <f t="shared" ref="EH92:GS92" si="5302">IFERROR(EH$98/$E$98*$E$92,0)</f>
        <v>0</v>
      </c>
      <c r="EI92" s="1">
        <f t="shared" si="5302"/>
        <v>0</v>
      </c>
      <c r="EJ92" s="1">
        <f t="shared" si="5302"/>
        <v>0</v>
      </c>
      <c r="EK92" s="1">
        <f t="shared" si="5302"/>
        <v>0</v>
      </c>
      <c r="EL92" s="1">
        <f t="shared" si="5302"/>
        <v>0</v>
      </c>
      <c r="EM92" s="1">
        <f t="shared" si="5302"/>
        <v>0</v>
      </c>
      <c r="EN92" s="1">
        <f t="shared" si="5302"/>
        <v>0</v>
      </c>
      <c r="EO92" s="1">
        <f t="shared" si="5302"/>
        <v>0</v>
      </c>
      <c r="EP92" s="1">
        <f t="shared" si="5302"/>
        <v>0</v>
      </c>
      <c r="EQ92" s="1">
        <f t="shared" si="5302"/>
        <v>0</v>
      </c>
      <c r="ER92" s="1">
        <f t="shared" si="5302"/>
        <v>0</v>
      </c>
      <c r="ES92" s="1">
        <f t="shared" si="5302"/>
        <v>0</v>
      </c>
      <c r="ET92" s="1">
        <f t="shared" si="5302"/>
        <v>0</v>
      </c>
      <c r="EU92" s="1">
        <f t="shared" si="5302"/>
        <v>0</v>
      </c>
      <c r="EV92" s="1">
        <f t="shared" si="5302"/>
        <v>0</v>
      </c>
      <c r="EW92" s="1">
        <f t="shared" si="5302"/>
        <v>0</v>
      </c>
      <c r="EX92" s="1">
        <f t="shared" si="5302"/>
        <v>0</v>
      </c>
      <c r="EY92" s="1">
        <f t="shared" si="5302"/>
        <v>0</v>
      </c>
      <c r="EZ92" s="1">
        <f t="shared" si="5302"/>
        <v>0</v>
      </c>
      <c r="FA92" s="1">
        <f t="shared" si="5302"/>
        <v>0</v>
      </c>
      <c r="FB92" s="1">
        <f t="shared" si="5302"/>
        <v>0</v>
      </c>
      <c r="FC92" s="1">
        <f t="shared" si="5302"/>
        <v>0</v>
      </c>
      <c r="FD92" s="1">
        <f t="shared" si="5302"/>
        <v>0</v>
      </c>
      <c r="FE92" s="1">
        <f t="shared" si="5302"/>
        <v>0</v>
      </c>
      <c r="FF92" s="1">
        <f t="shared" si="5302"/>
        <v>0</v>
      </c>
      <c r="FG92" s="1">
        <f t="shared" si="5302"/>
        <v>0</v>
      </c>
      <c r="FH92" s="1">
        <f t="shared" si="5302"/>
        <v>0</v>
      </c>
      <c r="FI92" s="1">
        <f t="shared" si="5302"/>
        <v>0</v>
      </c>
      <c r="FJ92" s="1">
        <f t="shared" si="5302"/>
        <v>0</v>
      </c>
      <c r="FK92" s="1">
        <f t="shared" si="5302"/>
        <v>0</v>
      </c>
      <c r="FL92" s="1">
        <f t="shared" si="5302"/>
        <v>0</v>
      </c>
      <c r="FM92" s="1">
        <f t="shared" si="5302"/>
        <v>0</v>
      </c>
      <c r="FN92" s="1">
        <f t="shared" si="5302"/>
        <v>0</v>
      </c>
      <c r="FO92" s="1">
        <f t="shared" si="5302"/>
        <v>0</v>
      </c>
      <c r="FP92" s="1">
        <f t="shared" si="5302"/>
        <v>0</v>
      </c>
      <c r="FQ92" s="1">
        <f t="shared" si="5302"/>
        <v>0</v>
      </c>
      <c r="FR92" s="1">
        <f t="shared" si="5302"/>
        <v>0</v>
      </c>
      <c r="FS92" s="1">
        <f t="shared" si="5302"/>
        <v>0</v>
      </c>
      <c r="FT92" s="1">
        <f t="shared" si="5302"/>
        <v>0</v>
      </c>
      <c r="FU92" s="1">
        <f t="shared" si="5302"/>
        <v>0</v>
      </c>
      <c r="FV92" s="1">
        <f t="shared" si="5302"/>
        <v>0</v>
      </c>
      <c r="FW92" s="1">
        <f t="shared" si="5302"/>
        <v>0</v>
      </c>
      <c r="FX92" s="1">
        <f t="shared" si="5302"/>
        <v>0</v>
      </c>
      <c r="FY92" s="1">
        <f t="shared" si="5302"/>
        <v>0</v>
      </c>
      <c r="FZ92" s="1">
        <f t="shared" si="5302"/>
        <v>0</v>
      </c>
      <c r="GA92" s="1">
        <f t="shared" si="5302"/>
        <v>0</v>
      </c>
      <c r="GB92" s="1">
        <f t="shared" si="5302"/>
        <v>0</v>
      </c>
      <c r="GC92" s="1">
        <f t="shared" si="5302"/>
        <v>0</v>
      </c>
      <c r="GD92" s="1">
        <f t="shared" si="5302"/>
        <v>0</v>
      </c>
      <c r="GE92" s="1">
        <f t="shared" si="5302"/>
        <v>0</v>
      </c>
      <c r="GF92" s="1">
        <f t="shared" ca="1" si="5302"/>
        <v>0</v>
      </c>
      <c r="GG92" s="1">
        <f t="shared" ca="1" si="5302"/>
        <v>0</v>
      </c>
      <c r="GH92" s="1">
        <f t="shared" ca="1" si="5302"/>
        <v>0</v>
      </c>
      <c r="GI92" s="1">
        <f t="shared" ca="1" si="5302"/>
        <v>0</v>
      </c>
      <c r="GJ92" s="1">
        <f t="shared" ca="1" si="5302"/>
        <v>0</v>
      </c>
      <c r="GK92" s="1">
        <f t="shared" ca="1" si="5302"/>
        <v>0</v>
      </c>
      <c r="GL92" s="1">
        <f t="shared" ca="1" si="5302"/>
        <v>0</v>
      </c>
      <c r="GM92" s="1">
        <f t="shared" ca="1" si="5302"/>
        <v>0</v>
      </c>
      <c r="GN92" s="1">
        <f t="shared" ca="1" si="5302"/>
        <v>0</v>
      </c>
      <c r="GO92" s="1">
        <f t="shared" ca="1" si="5302"/>
        <v>0</v>
      </c>
      <c r="GP92" s="1">
        <f t="shared" ca="1" si="5302"/>
        <v>0</v>
      </c>
      <c r="GQ92" s="1">
        <f t="shared" ca="1" si="5302"/>
        <v>0</v>
      </c>
      <c r="GR92" s="1">
        <f t="shared" ca="1" si="5302"/>
        <v>0</v>
      </c>
      <c r="GS92" s="1">
        <f t="shared" ca="1" si="5302"/>
        <v>0</v>
      </c>
      <c r="GT92" s="1">
        <f t="shared" ref="GT92:JE92" ca="1" si="5303">IFERROR(GT$98/$E$98*$E$92,0)</f>
        <v>0</v>
      </c>
      <c r="GU92" s="1">
        <f t="shared" ca="1" si="5303"/>
        <v>0</v>
      </c>
      <c r="GV92" s="1">
        <f t="shared" ca="1" si="5303"/>
        <v>0</v>
      </c>
      <c r="GW92" s="1">
        <f t="shared" ca="1" si="5303"/>
        <v>0</v>
      </c>
      <c r="GX92" s="1">
        <f t="shared" ca="1" si="5303"/>
        <v>0</v>
      </c>
      <c r="GY92" s="1">
        <f t="shared" ca="1" si="5303"/>
        <v>0</v>
      </c>
      <c r="GZ92" s="1">
        <f t="shared" ca="1" si="5303"/>
        <v>0</v>
      </c>
      <c r="HA92" s="1">
        <f t="shared" ca="1" si="5303"/>
        <v>0</v>
      </c>
      <c r="HB92" s="1">
        <f t="shared" ca="1" si="5303"/>
        <v>0</v>
      </c>
      <c r="HC92" s="1">
        <f t="shared" ca="1" si="5303"/>
        <v>0</v>
      </c>
      <c r="HD92" s="1">
        <f t="shared" ca="1" si="5303"/>
        <v>0</v>
      </c>
      <c r="HE92" s="1">
        <f t="shared" ca="1" si="5303"/>
        <v>0</v>
      </c>
      <c r="HF92" s="1">
        <f t="shared" ca="1" si="5303"/>
        <v>0</v>
      </c>
      <c r="HG92" s="1">
        <f t="shared" ca="1" si="5303"/>
        <v>0</v>
      </c>
      <c r="HH92" s="1">
        <f t="shared" ca="1" si="5303"/>
        <v>0</v>
      </c>
      <c r="HI92" s="1">
        <f t="shared" ca="1" si="5303"/>
        <v>0</v>
      </c>
      <c r="HJ92" s="1">
        <f t="shared" ca="1" si="5303"/>
        <v>0</v>
      </c>
      <c r="HK92" s="1">
        <f t="shared" ca="1" si="5303"/>
        <v>0</v>
      </c>
      <c r="HL92" s="1">
        <f t="shared" ca="1" si="5303"/>
        <v>0</v>
      </c>
      <c r="HM92" s="1">
        <f t="shared" ca="1" si="5303"/>
        <v>0</v>
      </c>
      <c r="HN92" s="1">
        <f t="shared" ca="1" si="5303"/>
        <v>0</v>
      </c>
      <c r="HO92" s="1">
        <f t="shared" ca="1" si="5303"/>
        <v>0</v>
      </c>
      <c r="HP92" s="1">
        <f t="shared" ca="1" si="5303"/>
        <v>0</v>
      </c>
      <c r="HQ92" s="1">
        <f t="shared" ca="1" si="5303"/>
        <v>0</v>
      </c>
      <c r="HR92" s="1">
        <f t="shared" ca="1" si="5303"/>
        <v>0</v>
      </c>
      <c r="HS92" s="1">
        <f t="shared" ca="1" si="5303"/>
        <v>0</v>
      </c>
      <c r="HT92" s="1">
        <f t="shared" ca="1" si="5303"/>
        <v>0</v>
      </c>
      <c r="HU92" s="1">
        <f t="shared" ca="1" si="5303"/>
        <v>0</v>
      </c>
      <c r="HV92" s="1">
        <f t="shared" ca="1" si="5303"/>
        <v>0</v>
      </c>
      <c r="HW92" s="1">
        <f t="shared" ca="1" si="5303"/>
        <v>0</v>
      </c>
      <c r="HX92" s="1">
        <f t="shared" ca="1" si="5303"/>
        <v>0</v>
      </c>
      <c r="HY92" s="1">
        <f t="shared" ca="1" si="5303"/>
        <v>0</v>
      </c>
      <c r="HZ92" s="1">
        <f t="shared" ca="1" si="5303"/>
        <v>0</v>
      </c>
      <c r="IA92" s="1">
        <f t="shared" ca="1" si="5303"/>
        <v>0</v>
      </c>
      <c r="IB92" s="1">
        <f t="shared" ca="1" si="5303"/>
        <v>0</v>
      </c>
      <c r="IC92" s="1">
        <f t="shared" ca="1" si="5303"/>
        <v>0</v>
      </c>
      <c r="ID92" s="1">
        <f t="shared" ca="1" si="5303"/>
        <v>0</v>
      </c>
      <c r="IE92" s="1">
        <f t="shared" ca="1" si="5303"/>
        <v>0</v>
      </c>
      <c r="IF92" s="1">
        <f t="shared" ca="1" si="5303"/>
        <v>0</v>
      </c>
      <c r="IG92" s="1">
        <f t="shared" ca="1" si="5303"/>
        <v>0</v>
      </c>
      <c r="IH92" s="1">
        <f t="shared" ca="1" si="5303"/>
        <v>0</v>
      </c>
      <c r="II92" s="1">
        <f t="shared" ca="1" si="5303"/>
        <v>0</v>
      </c>
      <c r="IJ92" s="1">
        <f t="shared" ca="1" si="5303"/>
        <v>0</v>
      </c>
      <c r="IK92" s="1">
        <f t="shared" ca="1" si="5303"/>
        <v>0</v>
      </c>
      <c r="IL92" s="1">
        <f t="shared" ca="1" si="5303"/>
        <v>0</v>
      </c>
      <c r="IM92" s="1">
        <f t="shared" ca="1" si="5303"/>
        <v>0</v>
      </c>
      <c r="IN92" s="1">
        <f t="shared" ca="1" si="5303"/>
        <v>0</v>
      </c>
      <c r="IO92" s="1">
        <f t="shared" ca="1" si="5303"/>
        <v>0</v>
      </c>
      <c r="IP92" s="1">
        <f t="shared" ca="1" si="5303"/>
        <v>0</v>
      </c>
      <c r="IQ92" s="1">
        <f t="shared" ca="1" si="5303"/>
        <v>0</v>
      </c>
      <c r="IR92" s="1">
        <f t="shared" ca="1" si="5303"/>
        <v>0</v>
      </c>
      <c r="IS92" s="1">
        <f t="shared" ca="1" si="5303"/>
        <v>0</v>
      </c>
      <c r="IT92" s="1">
        <f t="shared" ca="1" si="5303"/>
        <v>0</v>
      </c>
      <c r="IU92" s="1">
        <f t="shared" ca="1" si="5303"/>
        <v>0</v>
      </c>
      <c r="IV92" s="1">
        <f t="shared" ca="1" si="5303"/>
        <v>0</v>
      </c>
      <c r="IW92" s="1">
        <f t="shared" ca="1" si="5303"/>
        <v>0</v>
      </c>
      <c r="IX92" s="1">
        <f t="shared" ca="1" si="5303"/>
        <v>0</v>
      </c>
      <c r="IY92" s="1">
        <f t="shared" ca="1" si="5303"/>
        <v>0</v>
      </c>
      <c r="IZ92" s="1">
        <f t="shared" ca="1" si="5303"/>
        <v>0</v>
      </c>
      <c r="JA92" s="1">
        <f t="shared" ca="1" si="5303"/>
        <v>0</v>
      </c>
      <c r="JB92" s="1">
        <f t="shared" ca="1" si="5303"/>
        <v>0</v>
      </c>
      <c r="JC92" s="1">
        <f t="shared" ca="1" si="5303"/>
        <v>0</v>
      </c>
      <c r="JD92" s="1">
        <f t="shared" ca="1" si="5303"/>
        <v>0</v>
      </c>
      <c r="JE92" s="1">
        <f t="shared" ca="1" si="5303"/>
        <v>0</v>
      </c>
      <c r="JF92" s="1">
        <f t="shared" ref="JF92:LQ92" ca="1" si="5304">IFERROR(JF$98/$E$98*$E$92,0)</f>
        <v>0</v>
      </c>
      <c r="JG92" s="1">
        <f t="shared" ca="1" si="5304"/>
        <v>0</v>
      </c>
      <c r="JH92" s="1">
        <f t="shared" ca="1" si="5304"/>
        <v>0</v>
      </c>
      <c r="JI92" s="1">
        <f t="shared" ca="1" si="5304"/>
        <v>0</v>
      </c>
      <c r="JJ92" s="1">
        <f t="shared" ca="1" si="5304"/>
        <v>0</v>
      </c>
      <c r="JK92" s="1">
        <f t="shared" ca="1" si="5304"/>
        <v>0</v>
      </c>
      <c r="JL92" s="1">
        <f t="shared" ca="1" si="5304"/>
        <v>0</v>
      </c>
      <c r="JM92" s="1">
        <f t="shared" ca="1" si="5304"/>
        <v>0</v>
      </c>
      <c r="JN92" s="1">
        <f t="shared" ca="1" si="5304"/>
        <v>0</v>
      </c>
      <c r="JO92" s="1">
        <f t="shared" ca="1" si="5304"/>
        <v>0</v>
      </c>
      <c r="JP92" s="1">
        <f t="shared" ca="1" si="5304"/>
        <v>0</v>
      </c>
      <c r="JQ92" s="1">
        <f t="shared" ca="1" si="5304"/>
        <v>0</v>
      </c>
      <c r="JR92" s="1">
        <f t="shared" ca="1" si="5304"/>
        <v>0</v>
      </c>
      <c r="JS92" s="1">
        <f t="shared" ca="1" si="5304"/>
        <v>0</v>
      </c>
      <c r="JT92" s="1">
        <f t="shared" ca="1" si="5304"/>
        <v>0</v>
      </c>
      <c r="JU92" s="1">
        <f t="shared" ca="1" si="5304"/>
        <v>0</v>
      </c>
      <c r="JV92" s="1">
        <f t="shared" ca="1" si="5304"/>
        <v>0</v>
      </c>
      <c r="JW92" s="1">
        <f t="shared" ca="1" si="5304"/>
        <v>0</v>
      </c>
      <c r="JX92" s="1">
        <f t="shared" ca="1" si="5304"/>
        <v>0</v>
      </c>
      <c r="JY92" s="1">
        <f t="shared" ca="1" si="5304"/>
        <v>0</v>
      </c>
      <c r="JZ92" s="1">
        <f t="shared" ca="1" si="5304"/>
        <v>0</v>
      </c>
      <c r="KA92" s="1">
        <f t="shared" ca="1" si="5304"/>
        <v>0</v>
      </c>
      <c r="KB92" s="1">
        <f t="shared" ca="1" si="5304"/>
        <v>0</v>
      </c>
      <c r="KC92" s="1">
        <f t="shared" ca="1" si="5304"/>
        <v>0</v>
      </c>
      <c r="KD92" s="1">
        <f t="shared" ca="1" si="5304"/>
        <v>0</v>
      </c>
      <c r="KE92" s="1">
        <f t="shared" ca="1" si="5304"/>
        <v>0</v>
      </c>
      <c r="KF92" s="1">
        <f t="shared" ca="1" si="5304"/>
        <v>0</v>
      </c>
      <c r="KG92" s="1">
        <f t="shared" ca="1" si="5304"/>
        <v>0</v>
      </c>
      <c r="KH92" s="1">
        <f t="shared" ca="1" si="5304"/>
        <v>0</v>
      </c>
      <c r="KI92" s="1">
        <f t="shared" ca="1" si="5304"/>
        <v>0</v>
      </c>
      <c r="KJ92" s="1">
        <f t="shared" ca="1" si="5304"/>
        <v>0</v>
      </c>
      <c r="KK92" s="1">
        <f t="shared" ca="1" si="5304"/>
        <v>0</v>
      </c>
      <c r="KL92" s="1">
        <f t="shared" ca="1" si="5304"/>
        <v>0</v>
      </c>
      <c r="KM92" s="1">
        <f t="shared" ca="1" si="5304"/>
        <v>0</v>
      </c>
      <c r="KN92" s="1">
        <f t="shared" ca="1" si="5304"/>
        <v>0</v>
      </c>
      <c r="KO92" s="1">
        <f t="shared" ca="1" si="5304"/>
        <v>0</v>
      </c>
      <c r="KP92" s="1">
        <f t="shared" ca="1" si="5304"/>
        <v>0</v>
      </c>
      <c r="KQ92" s="1">
        <f t="shared" ca="1" si="5304"/>
        <v>0</v>
      </c>
      <c r="KR92" s="1">
        <f t="shared" ca="1" si="5304"/>
        <v>0</v>
      </c>
      <c r="KS92" s="1">
        <f t="shared" ca="1" si="5304"/>
        <v>0</v>
      </c>
      <c r="KT92" s="1">
        <f t="shared" ca="1" si="5304"/>
        <v>0</v>
      </c>
      <c r="KU92" s="1">
        <f t="shared" ca="1" si="5304"/>
        <v>0</v>
      </c>
      <c r="KV92" s="1">
        <f t="shared" ca="1" si="5304"/>
        <v>0</v>
      </c>
      <c r="KW92" s="1">
        <f t="shared" ca="1" si="5304"/>
        <v>0</v>
      </c>
      <c r="KX92" s="1">
        <f t="shared" ca="1" si="5304"/>
        <v>0</v>
      </c>
      <c r="KY92" s="1">
        <f t="shared" ca="1" si="5304"/>
        <v>0</v>
      </c>
      <c r="KZ92" s="1">
        <f t="shared" ca="1" si="5304"/>
        <v>0</v>
      </c>
      <c r="LA92" s="1">
        <f t="shared" ca="1" si="5304"/>
        <v>0</v>
      </c>
      <c r="LB92" s="1">
        <f t="shared" ca="1" si="5304"/>
        <v>0</v>
      </c>
      <c r="LC92" s="1">
        <f t="shared" ca="1" si="5304"/>
        <v>0</v>
      </c>
      <c r="LD92" s="1">
        <f t="shared" ca="1" si="5304"/>
        <v>0</v>
      </c>
      <c r="LE92" s="1">
        <f t="shared" ca="1" si="5304"/>
        <v>0</v>
      </c>
      <c r="LF92" s="1">
        <f t="shared" ca="1" si="5304"/>
        <v>0</v>
      </c>
      <c r="LG92" s="1">
        <f t="shared" ca="1" si="5304"/>
        <v>0</v>
      </c>
      <c r="LH92" s="1">
        <f t="shared" ca="1" si="5304"/>
        <v>0</v>
      </c>
      <c r="LI92" s="1">
        <f t="shared" ca="1" si="5304"/>
        <v>0</v>
      </c>
      <c r="LJ92" s="1">
        <f t="shared" ca="1" si="5304"/>
        <v>0</v>
      </c>
      <c r="LK92" s="1">
        <f t="shared" ca="1" si="5304"/>
        <v>0</v>
      </c>
      <c r="LL92" s="1">
        <f t="shared" ca="1" si="5304"/>
        <v>0</v>
      </c>
      <c r="LM92" s="1">
        <f t="shared" ca="1" si="5304"/>
        <v>0</v>
      </c>
      <c r="LN92" s="1">
        <f t="shared" ca="1" si="5304"/>
        <v>0</v>
      </c>
      <c r="LO92" s="1">
        <f t="shared" ca="1" si="5304"/>
        <v>0</v>
      </c>
      <c r="LP92" s="1">
        <f t="shared" ca="1" si="5304"/>
        <v>0</v>
      </c>
      <c r="LQ92" s="1">
        <f t="shared" ca="1" si="5304"/>
        <v>0</v>
      </c>
      <c r="LR92" s="1">
        <f t="shared" ref="LR92:ND92" ca="1" si="5305">IFERROR(LR$98/$E$98*$E$92,0)</f>
        <v>0</v>
      </c>
      <c r="LS92" s="1">
        <f t="shared" ca="1" si="5305"/>
        <v>0</v>
      </c>
      <c r="LT92" s="1">
        <f t="shared" ca="1" si="5305"/>
        <v>0</v>
      </c>
      <c r="LU92" s="1">
        <f t="shared" ca="1" si="5305"/>
        <v>0</v>
      </c>
      <c r="LV92" s="1">
        <f t="shared" ca="1" si="5305"/>
        <v>0</v>
      </c>
      <c r="LW92" s="1">
        <f t="shared" ca="1" si="5305"/>
        <v>0</v>
      </c>
      <c r="LX92" s="1">
        <f t="shared" ca="1" si="5305"/>
        <v>0</v>
      </c>
      <c r="LY92" s="1">
        <f t="shared" ca="1" si="5305"/>
        <v>0</v>
      </c>
      <c r="LZ92" s="1">
        <f t="shared" ca="1" si="5305"/>
        <v>0</v>
      </c>
      <c r="MA92" s="1">
        <f t="shared" ca="1" si="5305"/>
        <v>0</v>
      </c>
      <c r="MB92" s="1">
        <f t="shared" ca="1" si="5305"/>
        <v>0</v>
      </c>
      <c r="MC92" s="1">
        <f t="shared" ca="1" si="5305"/>
        <v>0</v>
      </c>
      <c r="MD92" s="1">
        <f t="shared" ca="1" si="5305"/>
        <v>0</v>
      </c>
      <c r="ME92" s="1">
        <f t="shared" ca="1" si="5305"/>
        <v>0</v>
      </c>
      <c r="MF92" s="1">
        <f t="shared" ca="1" si="5305"/>
        <v>0</v>
      </c>
      <c r="MG92" s="1">
        <f t="shared" ca="1" si="5305"/>
        <v>0</v>
      </c>
      <c r="MH92" s="1">
        <f t="shared" ca="1" si="5305"/>
        <v>0</v>
      </c>
      <c r="MI92" s="1">
        <f t="shared" ca="1" si="5305"/>
        <v>0</v>
      </c>
      <c r="MJ92" s="1">
        <f t="shared" ca="1" si="5305"/>
        <v>0</v>
      </c>
      <c r="MK92" s="1">
        <f t="shared" ca="1" si="5305"/>
        <v>0</v>
      </c>
      <c r="ML92" s="1">
        <f t="shared" ca="1" si="5305"/>
        <v>0</v>
      </c>
      <c r="MM92" s="1">
        <f t="shared" ca="1" si="5305"/>
        <v>0</v>
      </c>
      <c r="MN92" s="1">
        <f t="shared" ca="1" si="5305"/>
        <v>0</v>
      </c>
      <c r="MO92" s="1">
        <f t="shared" ca="1" si="5305"/>
        <v>0</v>
      </c>
      <c r="MP92" s="1">
        <f t="shared" ca="1" si="5305"/>
        <v>0</v>
      </c>
      <c r="MQ92" s="1">
        <f t="shared" ca="1" si="5305"/>
        <v>0</v>
      </c>
      <c r="MR92" s="1">
        <f t="shared" ca="1" si="5305"/>
        <v>0</v>
      </c>
      <c r="MS92" s="1">
        <f t="shared" ca="1" si="5305"/>
        <v>0</v>
      </c>
      <c r="MT92" s="1">
        <f t="shared" ca="1" si="5305"/>
        <v>0</v>
      </c>
      <c r="MU92" s="1">
        <f t="shared" ca="1" si="5305"/>
        <v>0</v>
      </c>
      <c r="MV92" s="1">
        <f t="shared" ca="1" si="5305"/>
        <v>0</v>
      </c>
      <c r="MW92" s="1">
        <f t="shared" ca="1" si="5305"/>
        <v>0</v>
      </c>
      <c r="MX92" s="1">
        <f t="shared" ca="1" si="5305"/>
        <v>0</v>
      </c>
      <c r="MY92" s="1">
        <f t="shared" ca="1" si="5305"/>
        <v>0</v>
      </c>
      <c r="MZ92" s="1">
        <f t="shared" ca="1" si="5305"/>
        <v>0</v>
      </c>
      <c r="NA92" s="1">
        <f t="shared" ca="1" si="5305"/>
        <v>0</v>
      </c>
      <c r="NB92" s="1">
        <f t="shared" ca="1" si="5305"/>
        <v>0</v>
      </c>
      <c r="NC92" s="1">
        <f t="shared" ca="1" si="5305"/>
        <v>0</v>
      </c>
      <c r="ND92" s="1">
        <f t="shared" ca="1" si="5305"/>
        <v>0</v>
      </c>
      <c r="NE92" s="100"/>
      <c r="NF92" s="100"/>
      <c r="NG92" s="100"/>
      <c r="NH92" s="100"/>
      <c r="NI92" s="100"/>
      <c r="NJ92" s="100"/>
      <c r="NK92" s="100"/>
      <c r="NL92" s="100"/>
      <c r="NM92" s="100"/>
      <c r="NN92" s="100"/>
      <c r="NO92" s="100"/>
      <c r="NP92" s="100"/>
      <c r="NQ92" s="100"/>
      <c r="NR92" s="100"/>
    </row>
    <row r="93" spans="2:382" x14ac:dyDescent="0.15">
      <c r="B93" s="520"/>
      <c r="C93" s="120" t="str">
        <f>$C$3</f>
        <v>Aaron (Manager)</v>
      </c>
      <c r="D93" s="5">
        <f>D78</f>
        <v>0.30000000000000004</v>
      </c>
      <c r="G93" s="118"/>
      <c r="I93" s="40">
        <f t="shared" ref="I93:BU93" si="5306">$D93*I$92</f>
        <v>0</v>
      </c>
      <c r="J93" s="40">
        <f t="shared" si="5306"/>
        <v>0</v>
      </c>
      <c r="K93" s="40">
        <f t="shared" si="5306"/>
        <v>0</v>
      </c>
      <c r="L93" s="40">
        <f t="shared" si="5306"/>
        <v>0</v>
      </c>
      <c r="M93" s="40">
        <f t="shared" si="5306"/>
        <v>0</v>
      </c>
      <c r="N93" s="40">
        <f t="shared" si="5306"/>
        <v>0</v>
      </c>
      <c r="O93" s="40">
        <f t="shared" si="5306"/>
        <v>0</v>
      </c>
      <c r="P93" s="40">
        <f t="shared" si="5306"/>
        <v>0</v>
      </c>
      <c r="Q93" s="40">
        <f t="shared" si="5306"/>
        <v>0</v>
      </c>
      <c r="R93" s="40">
        <f t="shared" si="5306"/>
        <v>0</v>
      </c>
      <c r="S93" s="40">
        <f t="shared" si="5306"/>
        <v>0</v>
      </c>
      <c r="T93" s="40">
        <f t="shared" si="5306"/>
        <v>0</v>
      </c>
      <c r="U93" s="40">
        <f t="shared" si="5306"/>
        <v>0</v>
      </c>
      <c r="V93" s="40">
        <f t="shared" si="5306"/>
        <v>0</v>
      </c>
      <c r="W93" s="40">
        <f t="shared" si="5306"/>
        <v>0</v>
      </c>
      <c r="X93" s="40">
        <f t="shared" si="5306"/>
        <v>0</v>
      </c>
      <c r="Y93" s="40">
        <f t="shared" si="5306"/>
        <v>0</v>
      </c>
      <c r="Z93" s="40">
        <f t="shared" si="5306"/>
        <v>0</v>
      </c>
      <c r="AA93" s="40">
        <f t="shared" si="5306"/>
        <v>0</v>
      </c>
      <c r="AB93" s="40">
        <f t="shared" si="5306"/>
        <v>0</v>
      </c>
      <c r="AC93" s="40">
        <f t="shared" si="5306"/>
        <v>0</v>
      </c>
      <c r="AD93" s="40">
        <f t="shared" si="5306"/>
        <v>0</v>
      </c>
      <c r="AE93" s="40">
        <f t="shared" si="5306"/>
        <v>0</v>
      </c>
      <c r="AF93" s="40">
        <f t="shared" si="5306"/>
        <v>0</v>
      </c>
      <c r="AG93" s="40">
        <f t="shared" si="5306"/>
        <v>0</v>
      </c>
      <c r="AH93" s="40">
        <f t="shared" si="5306"/>
        <v>0</v>
      </c>
      <c r="AI93" s="40">
        <f t="shared" si="5306"/>
        <v>0</v>
      </c>
      <c r="AJ93" s="40">
        <f t="shared" si="5306"/>
        <v>0</v>
      </c>
      <c r="AK93" s="40">
        <f t="shared" si="5306"/>
        <v>0</v>
      </c>
      <c r="AL93" s="40">
        <f t="shared" si="5306"/>
        <v>0</v>
      </c>
      <c r="AM93" s="40">
        <f t="shared" si="5306"/>
        <v>0</v>
      </c>
      <c r="AN93" s="40">
        <f t="shared" si="5306"/>
        <v>0</v>
      </c>
      <c r="AO93" s="40">
        <f t="shared" si="5306"/>
        <v>0</v>
      </c>
      <c r="AP93" s="40">
        <f t="shared" si="5306"/>
        <v>0</v>
      </c>
      <c r="AQ93" s="40">
        <f t="shared" si="5306"/>
        <v>0</v>
      </c>
      <c r="AR93" s="40">
        <f t="shared" si="5306"/>
        <v>0</v>
      </c>
      <c r="AS93" s="40">
        <f t="shared" si="5306"/>
        <v>0</v>
      </c>
      <c r="AT93" s="40">
        <f t="shared" si="5306"/>
        <v>0</v>
      </c>
      <c r="AU93" s="40">
        <f t="shared" si="5306"/>
        <v>0</v>
      </c>
      <c r="AV93" s="40">
        <f t="shared" si="5306"/>
        <v>0</v>
      </c>
      <c r="AW93" s="40">
        <f t="shared" si="5306"/>
        <v>0</v>
      </c>
      <c r="AX93" s="40">
        <f t="shared" si="5306"/>
        <v>0</v>
      </c>
      <c r="AY93" s="40">
        <f t="shared" si="5306"/>
        <v>0</v>
      </c>
      <c r="AZ93" s="40">
        <f t="shared" si="5306"/>
        <v>0</v>
      </c>
      <c r="BA93" s="40">
        <f t="shared" si="5306"/>
        <v>0</v>
      </c>
      <c r="BB93" s="40">
        <f t="shared" si="5306"/>
        <v>0</v>
      </c>
      <c r="BC93" s="40">
        <f t="shared" si="5306"/>
        <v>0</v>
      </c>
      <c r="BD93" s="40">
        <f t="shared" si="5306"/>
        <v>0</v>
      </c>
      <c r="BE93" s="40">
        <f t="shared" si="5306"/>
        <v>0</v>
      </c>
      <c r="BF93" s="40">
        <f t="shared" si="5306"/>
        <v>0</v>
      </c>
      <c r="BG93" s="40">
        <f t="shared" si="5306"/>
        <v>0</v>
      </c>
      <c r="BH93" s="40">
        <f t="shared" si="5306"/>
        <v>0</v>
      </c>
      <c r="BI93" s="40">
        <f t="shared" si="5306"/>
        <v>0</v>
      </c>
      <c r="BJ93" s="40">
        <f t="shared" si="5306"/>
        <v>0</v>
      </c>
      <c r="BK93" s="40">
        <f t="shared" si="5306"/>
        <v>0</v>
      </c>
      <c r="BL93" s="40">
        <f t="shared" si="5306"/>
        <v>0</v>
      </c>
      <c r="BM93" s="40">
        <f t="shared" si="5306"/>
        <v>0</v>
      </c>
      <c r="BN93" s="40">
        <f t="shared" si="5306"/>
        <v>0</v>
      </c>
      <c r="BO93" s="40">
        <f t="shared" si="5306"/>
        <v>0</v>
      </c>
      <c r="BP93" s="40">
        <f t="shared" si="5306"/>
        <v>0</v>
      </c>
      <c r="BQ93" s="40">
        <f t="shared" si="5306"/>
        <v>0</v>
      </c>
      <c r="BR93" s="40">
        <f t="shared" si="5306"/>
        <v>0</v>
      </c>
      <c r="BS93" s="40">
        <f t="shared" si="5306"/>
        <v>0</v>
      </c>
      <c r="BT93" s="40">
        <f t="shared" si="5306"/>
        <v>0</v>
      </c>
      <c r="BU93" s="40">
        <f t="shared" si="5306"/>
        <v>0</v>
      </c>
      <c r="BV93" s="40">
        <f t="shared" ref="BV93:EG96" si="5307">$D93*BV$92</f>
        <v>0</v>
      </c>
      <c r="BW93" s="40">
        <f t="shared" si="5307"/>
        <v>0</v>
      </c>
      <c r="BX93" s="40">
        <f t="shared" si="5307"/>
        <v>0</v>
      </c>
      <c r="BY93" s="40">
        <f t="shared" si="5307"/>
        <v>0</v>
      </c>
      <c r="BZ93" s="40">
        <f t="shared" si="5307"/>
        <v>0</v>
      </c>
      <c r="CA93" s="40">
        <f t="shared" si="5307"/>
        <v>0</v>
      </c>
      <c r="CB93" s="40">
        <f t="shared" si="5307"/>
        <v>0</v>
      </c>
      <c r="CC93" s="40">
        <f t="shared" si="5307"/>
        <v>0</v>
      </c>
      <c r="CD93" s="40">
        <f t="shared" si="5307"/>
        <v>0</v>
      </c>
      <c r="CE93" s="40">
        <f t="shared" si="5307"/>
        <v>0</v>
      </c>
      <c r="CF93" s="40">
        <f t="shared" si="5307"/>
        <v>0</v>
      </c>
      <c r="CG93" s="40">
        <f t="shared" si="5307"/>
        <v>0</v>
      </c>
      <c r="CH93" s="40">
        <f t="shared" si="5307"/>
        <v>0</v>
      </c>
      <c r="CI93" s="40">
        <f t="shared" si="5307"/>
        <v>0</v>
      </c>
      <c r="CJ93" s="40">
        <f t="shared" si="5307"/>
        <v>0</v>
      </c>
      <c r="CK93" s="40">
        <f t="shared" si="5307"/>
        <v>0</v>
      </c>
      <c r="CL93" s="40">
        <f t="shared" si="5307"/>
        <v>0</v>
      </c>
      <c r="CM93" s="40">
        <f t="shared" si="5307"/>
        <v>0</v>
      </c>
      <c r="CN93" s="40">
        <f t="shared" si="5307"/>
        <v>0</v>
      </c>
      <c r="CO93" s="40">
        <f t="shared" si="5307"/>
        <v>0</v>
      </c>
      <c r="CP93" s="40">
        <f t="shared" si="5307"/>
        <v>0</v>
      </c>
      <c r="CQ93" s="40">
        <f t="shared" si="5307"/>
        <v>0</v>
      </c>
      <c r="CR93" s="40">
        <f t="shared" si="5307"/>
        <v>0</v>
      </c>
      <c r="CS93" s="40">
        <f t="shared" si="5307"/>
        <v>0</v>
      </c>
      <c r="CT93" s="40">
        <f t="shared" si="5307"/>
        <v>0</v>
      </c>
      <c r="CU93" s="40">
        <f t="shared" si="5307"/>
        <v>0</v>
      </c>
      <c r="CV93" s="40">
        <f t="shared" si="5307"/>
        <v>0</v>
      </c>
      <c r="CW93" s="40">
        <f t="shared" si="5307"/>
        <v>0</v>
      </c>
      <c r="CX93" s="40">
        <f t="shared" si="5307"/>
        <v>0</v>
      </c>
      <c r="CY93" s="40">
        <f t="shared" si="5307"/>
        <v>0</v>
      </c>
      <c r="CZ93" s="40">
        <f t="shared" si="5307"/>
        <v>0</v>
      </c>
      <c r="DA93" s="40">
        <f t="shared" si="5307"/>
        <v>0</v>
      </c>
      <c r="DB93" s="40">
        <f t="shared" si="5307"/>
        <v>0</v>
      </c>
      <c r="DC93" s="40">
        <f t="shared" si="5307"/>
        <v>0</v>
      </c>
      <c r="DD93" s="40">
        <f t="shared" si="5307"/>
        <v>0</v>
      </c>
      <c r="DE93" s="40">
        <f t="shared" si="5307"/>
        <v>0</v>
      </c>
      <c r="DF93" s="40">
        <f t="shared" si="5307"/>
        <v>0</v>
      </c>
      <c r="DG93" s="40">
        <f t="shared" si="5307"/>
        <v>0</v>
      </c>
      <c r="DH93" s="40">
        <f t="shared" si="5307"/>
        <v>0</v>
      </c>
      <c r="DI93" s="40">
        <f t="shared" si="5307"/>
        <v>0</v>
      </c>
      <c r="DJ93" s="40">
        <f t="shared" si="5307"/>
        <v>0</v>
      </c>
      <c r="DK93" s="40">
        <f t="shared" si="5307"/>
        <v>0</v>
      </c>
      <c r="DL93" s="40">
        <f t="shared" si="5307"/>
        <v>0</v>
      </c>
      <c r="DM93" s="40">
        <f t="shared" si="5307"/>
        <v>0</v>
      </c>
      <c r="DN93" s="40">
        <f t="shared" si="5307"/>
        <v>0</v>
      </c>
      <c r="DO93" s="40">
        <f t="shared" si="5307"/>
        <v>0</v>
      </c>
      <c r="DP93" s="40">
        <f t="shared" si="5307"/>
        <v>0</v>
      </c>
      <c r="DQ93" s="40">
        <f t="shared" si="5307"/>
        <v>0</v>
      </c>
      <c r="DR93" s="40">
        <f t="shared" si="5307"/>
        <v>0</v>
      </c>
      <c r="DS93" s="40">
        <f t="shared" si="5307"/>
        <v>0</v>
      </c>
      <c r="DT93" s="40">
        <f t="shared" si="5307"/>
        <v>0</v>
      </c>
      <c r="DU93" s="40">
        <f t="shared" si="5307"/>
        <v>0</v>
      </c>
      <c r="DV93" s="40">
        <f t="shared" si="5307"/>
        <v>0</v>
      </c>
      <c r="DW93" s="40">
        <f t="shared" si="5307"/>
        <v>0</v>
      </c>
      <c r="DX93" s="40">
        <f t="shared" si="5307"/>
        <v>0</v>
      </c>
      <c r="DY93" s="40">
        <f t="shared" si="5307"/>
        <v>0</v>
      </c>
      <c r="DZ93" s="40">
        <f t="shared" si="5307"/>
        <v>0</v>
      </c>
      <c r="EA93" s="40">
        <f t="shared" si="5307"/>
        <v>0</v>
      </c>
      <c r="EB93" s="40">
        <f t="shared" si="5307"/>
        <v>0</v>
      </c>
      <c r="EC93" s="40">
        <f t="shared" si="5307"/>
        <v>0</v>
      </c>
      <c r="ED93" s="40">
        <f t="shared" si="5307"/>
        <v>0</v>
      </c>
      <c r="EE93" s="40">
        <f t="shared" si="5307"/>
        <v>0</v>
      </c>
      <c r="EF93" s="40">
        <f t="shared" si="5307"/>
        <v>0</v>
      </c>
      <c r="EG93" s="40">
        <f t="shared" si="5307"/>
        <v>0</v>
      </c>
      <c r="EH93" s="40">
        <f t="shared" ref="EH93:GS96" si="5308">$D93*EH$92</f>
        <v>0</v>
      </c>
      <c r="EI93" s="40">
        <f t="shared" si="5308"/>
        <v>0</v>
      </c>
      <c r="EJ93" s="40">
        <f t="shared" si="5308"/>
        <v>0</v>
      </c>
      <c r="EK93" s="40">
        <f t="shared" si="5308"/>
        <v>0</v>
      </c>
      <c r="EL93" s="40">
        <f t="shared" si="5308"/>
        <v>0</v>
      </c>
      <c r="EM93" s="40">
        <f t="shared" si="5308"/>
        <v>0</v>
      </c>
      <c r="EN93" s="40">
        <f t="shared" si="5308"/>
        <v>0</v>
      </c>
      <c r="EO93" s="40">
        <f t="shared" si="5308"/>
        <v>0</v>
      </c>
      <c r="EP93" s="40">
        <f t="shared" si="5308"/>
        <v>0</v>
      </c>
      <c r="EQ93" s="40">
        <f t="shared" si="5308"/>
        <v>0</v>
      </c>
      <c r="ER93" s="40">
        <f t="shared" si="5308"/>
        <v>0</v>
      </c>
      <c r="ES93" s="40">
        <f t="shared" si="5308"/>
        <v>0</v>
      </c>
      <c r="ET93" s="40">
        <f t="shared" si="5308"/>
        <v>0</v>
      </c>
      <c r="EU93" s="40">
        <f t="shared" si="5308"/>
        <v>0</v>
      </c>
      <c r="EV93" s="40">
        <f t="shared" si="5308"/>
        <v>0</v>
      </c>
      <c r="EW93" s="40">
        <f t="shared" si="5308"/>
        <v>0</v>
      </c>
      <c r="EX93" s="40">
        <f t="shared" si="5308"/>
        <v>0</v>
      </c>
      <c r="EY93" s="40">
        <f t="shared" si="5308"/>
        <v>0</v>
      </c>
      <c r="EZ93" s="40">
        <f t="shared" si="5308"/>
        <v>0</v>
      </c>
      <c r="FA93" s="40">
        <f t="shared" si="5308"/>
        <v>0</v>
      </c>
      <c r="FB93" s="40">
        <f t="shared" si="5308"/>
        <v>0</v>
      </c>
      <c r="FC93" s="40">
        <f t="shared" si="5308"/>
        <v>0</v>
      </c>
      <c r="FD93" s="40">
        <f t="shared" si="5308"/>
        <v>0</v>
      </c>
      <c r="FE93" s="40">
        <f t="shared" si="5308"/>
        <v>0</v>
      </c>
      <c r="FF93" s="40">
        <f t="shared" si="5308"/>
        <v>0</v>
      </c>
      <c r="FG93" s="40">
        <f t="shared" si="5308"/>
        <v>0</v>
      </c>
      <c r="FH93" s="40">
        <f t="shared" si="5308"/>
        <v>0</v>
      </c>
      <c r="FI93" s="40">
        <f t="shared" si="5308"/>
        <v>0</v>
      </c>
      <c r="FJ93" s="40">
        <f t="shared" si="5308"/>
        <v>0</v>
      </c>
      <c r="FK93" s="40">
        <f t="shared" si="5308"/>
        <v>0</v>
      </c>
      <c r="FL93" s="40">
        <f t="shared" si="5308"/>
        <v>0</v>
      </c>
      <c r="FM93" s="40">
        <f t="shared" si="5308"/>
        <v>0</v>
      </c>
      <c r="FN93" s="40">
        <f t="shared" si="5308"/>
        <v>0</v>
      </c>
      <c r="FO93" s="40">
        <f t="shared" si="5308"/>
        <v>0</v>
      </c>
      <c r="FP93" s="40">
        <f t="shared" si="5308"/>
        <v>0</v>
      </c>
      <c r="FQ93" s="40">
        <f t="shared" si="5308"/>
        <v>0</v>
      </c>
      <c r="FR93" s="40">
        <f t="shared" si="5308"/>
        <v>0</v>
      </c>
      <c r="FS93" s="40">
        <f t="shared" si="5308"/>
        <v>0</v>
      </c>
      <c r="FT93" s="40">
        <f t="shared" si="5308"/>
        <v>0</v>
      </c>
      <c r="FU93" s="40">
        <f t="shared" si="5308"/>
        <v>0</v>
      </c>
      <c r="FV93" s="40">
        <f t="shared" si="5308"/>
        <v>0</v>
      </c>
      <c r="FW93" s="40">
        <f t="shared" si="5308"/>
        <v>0</v>
      </c>
      <c r="FX93" s="40">
        <f t="shared" si="5308"/>
        <v>0</v>
      </c>
      <c r="FY93" s="40">
        <f t="shared" si="5308"/>
        <v>0</v>
      </c>
      <c r="FZ93" s="40">
        <f t="shared" si="5308"/>
        <v>0</v>
      </c>
      <c r="GA93" s="40">
        <f t="shared" si="5308"/>
        <v>0</v>
      </c>
      <c r="GB93" s="40">
        <f t="shared" si="5308"/>
        <v>0</v>
      </c>
      <c r="GC93" s="40">
        <f t="shared" si="5308"/>
        <v>0</v>
      </c>
      <c r="GD93" s="40">
        <f t="shared" si="5308"/>
        <v>0</v>
      </c>
      <c r="GE93" s="40">
        <f t="shared" si="5308"/>
        <v>0</v>
      </c>
      <c r="GF93" s="40">
        <f t="shared" ca="1" si="5308"/>
        <v>0</v>
      </c>
      <c r="GG93" s="40">
        <f t="shared" ca="1" si="5308"/>
        <v>0</v>
      </c>
      <c r="GH93" s="40">
        <f t="shared" ca="1" si="5308"/>
        <v>0</v>
      </c>
      <c r="GI93" s="40">
        <f t="shared" ca="1" si="5308"/>
        <v>0</v>
      </c>
      <c r="GJ93" s="40">
        <f t="shared" ca="1" si="5308"/>
        <v>0</v>
      </c>
      <c r="GK93" s="40">
        <f t="shared" ca="1" si="5308"/>
        <v>0</v>
      </c>
      <c r="GL93" s="40">
        <f t="shared" ca="1" si="5308"/>
        <v>0</v>
      </c>
      <c r="GM93" s="40">
        <f t="shared" ca="1" si="5308"/>
        <v>0</v>
      </c>
      <c r="GN93" s="40">
        <f t="shared" ca="1" si="5308"/>
        <v>0</v>
      </c>
      <c r="GO93" s="40">
        <f t="shared" ca="1" si="5308"/>
        <v>0</v>
      </c>
      <c r="GP93" s="40">
        <f t="shared" ca="1" si="5308"/>
        <v>0</v>
      </c>
      <c r="GQ93" s="40">
        <f t="shared" ca="1" si="5308"/>
        <v>0</v>
      </c>
      <c r="GR93" s="40">
        <f t="shared" ca="1" si="5308"/>
        <v>0</v>
      </c>
      <c r="GS93" s="40">
        <f t="shared" ca="1" si="5308"/>
        <v>0</v>
      </c>
      <c r="GT93" s="40">
        <f t="shared" ref="GT93:IO96" ca="1" si="5309">$D93*GT$92</f>
        <v>0</v>
      </c>
      <c r="GU93" s="40">
        <f t="shared" ca="1" si="5309"/>
        <v>0</v>
      </c>
      <c r="GV93" s="40">
        <f t="shared" ca="1" si="5309"/>
        <v>0</v>
      </c>
      <c r="GW93" s="40">
        <f t="shared" ca="1" si="5309"/>
        <v>0</v>
      </c>
      <c r="GX93" s="40">
        <f t="shared" ca="1" si="5309"/>
        <v>0</v>
      </c>
      <c r="GY93" s="40">
        <f t="shared" ca="1" si="5309"/>
        <v>0</v>
      </c>
      <c r="GZ93" s="40">
        <f t="shared" ca="1" si="5309"/>
        <v>0</v>
      </c>
      <c r="HA93" s="40">
        <f t="shared" ca="1" si="5309"/>
        <v>0</v>
      </c>
      <c r="HB93" s="40">
        <f t="shared" ca="1" si="5309"/>
        <v>0</v>
      </c>
      <c r="HC93" s="40">
        <f t="shared" ca="1" si="5309"/>
        <v>0</v>
      </c>
      <c r="HD93" s="40">
        <f t="shared" ca="1" si="5309"/>
        <v>0</v>
      </c>
      <c r="HE93" s="40">
        <f t="shared" ca="1" si="5309"/>
        <v>0</v>
      </c>
      <c r="HF93" s="40">
        <f t="shared" ca="1" si="5309"/>
        <v>0</v>
      </c>
      <c r="HG93" s="40">
        <f t="shared" ca="1" si="5309"/>
        <v>0</v>
      </c>
      <c r="HH93" s="40">
        <f t="shared" ca="1" si="5309"/>
        <v>0</v>
      </c>
      <c r="HI93" s="40">
        <f t="shared" ca="1" si="5309"/>
        <v>0</v>
      </c>
      <c r="HJ93" s="40">
        <f t="shared" ca="1" si="5309"/>
        <v>0</v>
      </c>
      <c r="HK93" s="40">
        <f t="shared" ca="1" si="5309"/>
        <v>0</v>
      </c>
      <c r="HL93" s="40">
        <f t="shared" ca="1" si="5309"/>
        <v>0</v>
      </c>
      <c r="HM93" s="40">
        <f t="shared" ca="1" si="5309"/>
        <v>0</v>
      </c>
      <c r="HN93" s="40">
        <f t="shared" ca="1" si="5309"/>
        <v>0</v>
      </c>
      <c r="HO93" s="40">
        <f t="shared" ca="1" si="5309"/>
        <v>0</v>
      </c>
      <c r="HP93" s="40">
        <f t="shared" ca="1" si="5309"/>
        <v>0</v>
      </c>
      <c r="HQ93" s="40">
        <f t="shared" ca="1" si="5309"/>
        <v>0</v>
      </c>
      <c r="HR93" s="40">
        <f t="shared" ca="1" si="5309"/>
        <v>0</v>
      </c>
      <c r="HS93" s="40">
        <f t="shared" ca="1" si="5309"/>
        <v>0</v>
      </c>
      <c r="HT93" s="40">
        <f t="shared" ca="1" si="5309"/>
        <v>0</v>
      </c>
      <c r="HU93" s="40">
        <f t="shared" ca="1" si="5309"/>
        <v>0</v>
      </c>
      <c r="HV93" s="40">
        <f t="shared" ca="1" si="5309"/>
        <v>0</v>
      </c>
      <c r="HW93" s="40">
        <f t="shared" ca="1" si="5309"/>
        <v>0</v>
      </c>
      <c r="HX93" s="40">
        <f t="shared" ca="1" si="5309"/>
        <v>0</v>
      </c>
      <c r="HY93" s="40">
        <f t="shared" ca="1" si="5309"/>
        <v>0</v>
      </c>
      <c r="HZ93" s="40">
        <f t="shared" ca="1" si="5309"/>
        <v>0</v>
      </c>
      <c r="IA93" s="40">
        <f t="shared" ca="1" si="5309"/>
        <v>0</v>
      </c>
      <c r="IB93" s="40">
        <f t="shared" ca="1" si="5309"/>
        <v>0</v>
      </c>
      <c r="IC93" s="40">
        <f t="shared" ca="1" si="5309"/>
        <v>0</v>
      </c>
      <c r="ID93" s="40">
        <f t="shared" ca="1" si="5309"/>
        <v>0</v>
      </c>
      <c r="IE93" s="40">
        <f t="shared" ca="1" si="5309"/>
        <v>0</v>
      </c>
      <c r="IF93" s="40">
        <f t="shared" ca="1" si="5309"/>
        <v>0</v>
      </c>
      <c r="IG93" s="40">
        <f t="shared" ca="1" si="5309"/>
        <v>0</v>
      </c>
      <c r="IH93" s="40">
        <f t="shared" ca="1" si="5309"/>
        <v>0</v>
      </c>
      <c r="II93" s="40">
        <f t="shared" ca="1" si="5309"/>
        <v>0</v>
      </c>
      <c r="IJ93" s="40">
        <f t="shared" ca="1" si="5309"/>
        <v>0</v>
      </c>
      <c r="IK93" s="40">
        <f t="shared" ca="1" si="5309"/>
        <v>0</v>
      </c>
      <c r="IL93" s="40">
        <f t="shared" ca="1" si="5309"/>
        <v>0</v>
      </c>
      <c r="IM93" s="40">
        <f t="shared" ca="1" si="5309"/>
        <v>0</v>
      </c>
      <c r="IN93" s="40">
        <f t="shared" ca="1" si="5309"/>
        <v>0</v>
      </c>
      <c r="IO93" s="40">
        <f t="shared" ca="1" si="5309"/>
        <v>0</v>
      </c>
      <c r="IP93" s="40">
        <f t="shared" ref="IP93:LA96" ca="1" si="5310">$D93*IP$92</f>
        <v>0</v>
      </c>
      <c r="IQ93" s="40">
        <f t="shared" ca="1" si="5310"/>
        <v>0</v>
      </c>
      <c r="IR93" s="40">
        <f t="shared" ca="1" si="5310"/>
        <v>0</v>
      </c>
      <c r="IS93" s="40">
        <f t="shared" ca="1" si="5310"/>
        <v>0</v>
      </c>
      <c r="IT93" s="40">
        <f t="shared" ca="1" si="5310"/>
        <v>0</v>
      </c>
      <c r="IU93" s="40">
        <f t="shared" ca="1" si="5310"/>
        <v>0</v>
      </c>
      <c r="IV93" s="40">
        <f t="shared" ca="1" si="5310"/>
        <v>0</v>
      </c>
      <c r="IW93" s="40">
        <f t="shared" ca="1" si="5310"/>
        <v>0</v>
      </c>
      <c r="IX93" s="40">
        <f t="shared" ca="1" si="5310"/>
        <v>0</v>
      </c>
      <c r="IY93" s="40">
        <f t="shared" ca="1" si="5310"/>
        <v>0</v>
      </c>
      <c r="IZ93" s="40">
        <f t="shared" ca="1" si="5310"/>
        <v>0</v>
      </c>
      <c r="JA93" s="40">
        <f t="shared" ca="1" si="5310"/>
        <v>0</v>
      </c>
      <c r="JB93" s="40">
        <f t="shared" ca="1" si="5310"/>
        <v>0</v>
      </c>
      <c r="JC93" s="40">
        <f t="shared" ca="1" si="5310"/>
        <v>0</v>
      </c>
      <c r="JD93" s="40">
        <f t="shared" ca="1" si="5310"/>
        <v>0</v>
      </c>
      <c r="JE93" s="40">
        <f t="shared" ca="1" si="5310"/>
        <v>0</v>
      </c>
      <c r="JF93" s="40">
        <f t="shared" ca="1" si="5310"/>
        <v>0</v>
      </c>
      <c r="JG93" s="40">
        <f t="shared" ca="1" si="5310"/>
        <v>0</v>
      </c>
      <c r="JH93" s="40">
        <f t="shared" ca="1" si="5310"/>
        <v>0</v>
      </c>
      <c r="JI93" s="40">
        <f t="shared" ca="1" si="5310"/>
        <v>0</v>
      </c>
      <c r="JJ93" s="40">
        <f t="shared" ca="1" si="5310"/>
        <v>0</v>
      </c>
      <c r="JK93" s="40">
        <f t="shared" ca="1" si="5310"/>
        <v>0</v>
      </c>
      <c r="JL93" s="40">
        <f t="shared" ca="1" si="5310"/>
        <v>0</v>
      </c>
      <c r="JM93" s="40">
        <f t="shared" ca="1" si="5310"/>
        <v>0</v>
      </c>
      <c r="JN93" s="40">
        <f t="shared" ca="1" si="5310"/>
        <v>0</v>
      </c>
      <c r="JO93" s="40">
        <f t="shared" ca="1" si="5310"/>
        <v>0</v>
      </c>
      <c r="JP93" s="40">
        <f t="shared" ca="1" si="5310"/>
        <v>0</v>
      </c>
      <c r="JQ93" s="40">
        <f t="shared" ca="1" si="5310"/>
        <v>0</v>
      </c>
      <c r="JR93" s="40">
        <f t="shared" ca="1" si="5310"/>
        <v>0</v>
      </c>
      <c r="JS93" s="40">
        <f t="shared" ca="1" si="5310"/>
        <v>0</v>
      </c>
      <c r="JT93" s="40">
        <f t="shared" ca="1" si="5310"/>
        <v>0</v>
      </c>
      <c r="JU93" s="40">
        <f t="shared" ca="1" si="5310"/>
        <v>0</v>
      </c>
      <c r="JV93" s="40">
        <f t="shared" ca="1" si="5310"/>
        <v>0</v>
      </c>
      <c r="JW93" s="40">
        <f t="shared" ca="1" si="5310"/>
        <v>0</v>
      </c>
      <c r="JX93" s="40">
        <f t="shared" ca="1" si="5310"/>
        <v>0</v>
      </c>
      <c r="JY93" s="40">
        <f t="shared" ca="1" si="5310"/>
        <v>0</v>
      </c>
      <c r="JZ93" s="40">
        <f t="shared" ca="1" si="5310"/>
        <v>0</v>
      </c>
      <c r="KA93" s="40">
        <f t="shared" ca="1" si="5310"/>
        <v>0</v>
      </c>
      <c r="KB93" s="40">
        <f t="shared" ca="1" si="5310"/>
        <v>0</v>
      </c>
      <c r="KC93" s="40">
        <f t="shared" ca="1" si="5310"/>
        <v>0</v>
      </c>
      <c r="KD93" s="40">
        <f t="shared" ca="1" si="5310"/>
        <v>0</v>
      </c>
      <c r="KE93" s="40">
        <f t="shared" ca="1" si="5310"/>
        <v>0</v>
      </c>
      <c r="KF93" s="40">
        <f t="shared" ca="1" si="5310"/>
        <v>0</v>
      </c>
      <c r="KG93" s="40">
        <f t="shared" ca="1" si="5310"/>
        <v>0</v>
      </c>
      <c r="KH93" s="40">
        <f t="shared" ca="1" si="5310"/>
        <v>0</v>
      </c>
      <c r="KI93" s="40">
        <f t="shared" ca="1" si="5310"/>
        <v>0</v>
      </c>
      <c r="KJ93" s="40">
        <f t="shared" ca="1" si="5310"/>
        <v>0</v>
      </c>
      <c r="KK93" s="40">
        <f t="shared" ca="1" si="5310"/>
        <v>0</v>
      </c>
      <c r="KL93" s="40">
        <f t="shared" ca="1" si="5310"/>
        <v>0</v>
      </c>
      <c r="KM93" s="40">
        <f t="shared" ca="1" si="5310"/>
        <v>0</v>
      </c>
      <c r="KN93" s="40">
        <f t="shared" ca="1" si="5310"/>
        <v>0</v>
      </c>
      <c r="KO93" s="40">
        <f t="shared" ca="1" si="5310"/>
        <v>0</v>
      </c>
      <c r="KP93" s="40">
        <f t="shared" ca="1" si="5310"/>
        <v>0</v>
      </c>
      <c r="KQ93" s="40">
        <f t="shared" ca="1" si="5310"/>
        <v>0</v>
      </c>
      <c r="KR93" s="40">
        <f t="shared" ca="1" si="5310"/>
        <v>0</v>
      </c>
      <c r="KS93" s="40">
        <f t="shared" ca="1" si="5310"/>
        <v>0</v>
      </c>
      <c r="KT93" s="40">
        <f t="shared" ca="1" si="5310"/>
        <v>0</v>
      </c>
      <c r="KU93" s="40">
        <f t="shared" ca="1" si="5310"/>
        <v>0</v>
      </c>
      <c r="KV93" s="40">
        <f t="shared" ca="1" si="5310"/>
        <v>0</v>
      </c>
      <c r="KW93" s="40">
        <f t="shared" ca="1" si="5310"/>
        <v>0</v>
      </c>
      <c r="KX93" s="40">
        <f t="shared" ca="1" si="5310"/>
        <v>0</v>
      </c>
      <c r="KY93" s="40">
        <f t="shared" ca="1" si="5310"/>
        <v>0</v>
      </c>
      <c r="KZ93" s="40">
        <f t="shared" ca="1" si="5310"/>
        <v>0</v>
      </c>
      <c r="LA93" s="40">
        <f t="shared" ca="1" si="5310"/>
        <v>0</v>
      </c>
      <c r="LB93" s="40">
        <f t="shared" ref="LB93:ND96" ca="1" si="5311">$D93*LB$92</f>
        <v>0</v>
      </c>
      <c r="LC93" s="40">
        <f t="shared" ca="1" si="5311"/>
        <v>0</v>
      </c>
      <c r="LD93" s="40">
        <f t="shared" ca="1" si="5311"/>
        <v>0</v>
      </c>
      <c r="LE93" s="40">
        <f t="shared" ca="1" si="5311"/>
        <v>0</v>
      </c>
      <c r="LF93" s="40">
        <f t="shared" ca="1" si="5311"/>
        <v>0</v>
      </c>
      <c r="LG93" s="40">
        <f t="shared" ca="1" si="5311"/>
        <v>0</v>
      </c>
      <c r="LH93" s="40">
        <f t="shared" ca="1" si="5311"/>
        <v>0</v>
      </c>
      <c r="LI93" s="40">
        <f t="shared" ca="1" si="5311"/>
        <v>0</v>
      </c>
      <c r="LJ93" s="40">
        <f t="shared" ca="1" si="5311"/>
        <v>0</v>
      </c>
      <c r="LK93" s="40">
        <f t="shared" ca="1" si="5311"/>
        <v>0</v>
      </c>
      <c r="LL93" s="40">
        <f t="shared" ca="1" si="5311"/>
        <v>0</v>
      </c>
      <c r="LM93" s="40">
        <f t="shared" ca="1" si="5311"/>
        <v>0</v>
      </c>
      <c r="LN93" s="40">
        <f t="shared" ca="1" si="5311"/>
        <v>0</v>
      </c>
      <c r="LO93" s="40">
        <f t="shared" ca="1" si="5311"/>
        <v>0</v>
      </c>
      <c r="LP93" s="40">
        <f t="shared" ca="1" si="5311"/>
        <v>0</v>
      </c>
      <c r="LQ93" s="40">
        <f t="shared" ca="1" si="5311"/>
        <v>0</v>
      </c>
      <c r="LR93" s="40">
        <f t="shared" ca="1" si="5311"/>
        <v>0</v>
      </c>
      <c r="LS93" s="40">
        <f t="shared" ca="1" si="5311"/>
        <v>0</v>
      </c>
      <c r="LT93" s="40">
        <f t="shared" ca="1" si="5311"/>
        <v>0</v>
      </c>
      <c r="LU93" s="40">
        <f t="shared" ca="1" si="5311"/>
        <v>0</v>
      </c>
      <c r="LV93" s="40">
        <f t="shared" ca="1" si="5311"/>
        <v>0</v>
      </c>
      <c r="LW93" s="40">
        <f t="shared" ca="1" si="5311"/>
        <v>0</v>
      </c>
      <c r="LX93" s="40">
        <f t="shared" ca="1" si="5311"/>
        <v>0</v>
      </c>
      <c r="LY93" s="40">
        <f t="shared" ca="1" si="5311"/>
        <v>0</v>
      </c>
      <c r="LZ93" s="40">
        <f t="shared" ca="1" si="5311"/>
        <v>0</v>
      </c>
      <c r="MA93" s="40">
        <f t="shared" ca="1" si="5311"/>
        <v>0</v>
      </c>
      <c r="MB93" s="40">
        <f t="shared" ca="1" si="5311"/>
        <v>0</v>
      </c>
      <c r="MC93" s="40">
        <f t="shared" ca="1" si="5311"/>
        <v>0</v>
      </c>
      <c r="MD93" s="40">
        <f t="shared" ca="1" si="5311"/>
        <v>0</v>
      </c>
      <c r="ME93" s="40">
        <f t="shared" ca="1" si="5311"/>
        <v>0</v>
      </c>
      <c r="MF93" s="40">
        <f t="shared" ca="1" si="5311"/>
        <v>0</v>
      </c>
      <c r="MG93" s="40">
        <f t="shared" ca="1" si="5311"/>
        <v>0</v>
      </c>
      <c r="MH93" s="40">
        <f t="shared" ca="1" si="5311"/>
        <v>0</v>
      </c>
      <c r="MI93" s="40">
        <f t="shared" ca="1" si="5311"/>
        <v>0</v>
      </c>
      <c r="MJ93" s="40">
        <f t="shared" ca="1" si="5311"/>
        <v>0</v>
      </c>
      <c r="MK93" s="40">
        <f t="shared" ca="1" si="5311"/>
        <v>0</v>
      </c>
      <c r="ML93" s="40">
        <f t="shared" ca="1" si="5311"/>
        <v>0</v>
      </c>
      <c r="MM93" s="40">
        <f t="shared" ca="1" si="5311"/>
        <v>0</v>
      </c>
      <c r="MN93" s="40">
        <f t="shared" ca="1" si="5311"/>
        <v>0</v>
      </c>
      <c r="MO93" s="40">
        <f t="shared" ca="1" si="5311"/>
        <v>0</v>
      </c>
      <c r="MP93" s="40">
        <f t="shared" ca="1" si="5311"/>
        <v>0</v>
      </c>
      <c r="MQ93" s="40">
        <f t="shared" ca="1" si="5311"/>
        <v>0</v>
      </c>
      <c r="MR93" s="40">
        <f t="shared" ca="1" si="5311"/>
        <v>0</v>
      </c>
      <c r="MS93" s="40">
        <f t="shared" ca="1" si="5311"/>
        <v>0</v>
      </c>
      <c r="MT93" s="40">
        <f t="shared" ca="1" si="5311"/>
        <v>0</v>
      </c>
      <c r="MU93" s="40">
        <f t="shared" ca="1" si="5311"/>
        <v>0</v>
      </c>
      <c r="MV93" s="40">
        <f t="shared" ca="1" si="5311"/>
        <v>0</v>
      </c>
      <c r="MW93" s="40">
        <f t="shared" ca="1" si="5311"/>
        <v>0</v>
      </c>
      <c r="MX93" s="40">
        <f t="shared" ca="1" si="5311"/>
        <v>0</v>
      </c>
      <c r="MY93" s="40">
        <f t="shared" ca="1" si="5311"/>
        <v>0</v>
      </c>
      <c r="MZ93" s="40">
        <f t="shared" ca="1" si="5311"/>
        <v>0</v>
      </c>
      <c r="NA93" s="40">
        <f t="shared" ca="1" si="5311"/>
        <v>0</v>
      </c>
      <c r="NB93" s="40">
        <f t="shared" ca="1" si="5311"/>
        <v>0</v>
      </c>
      <c r="NC93" s="40">
        <f t="shared" ca="1" si="5311"/>
        <v>0</v>
      </c>
      <c r="ND93" s="40">
        <f t="shared" ca="1" si="5311"/>
        <v>0</v>
      </c>
      <c r="NE93" s="40"/>
      <c r="NF93" s="40"/>
      <c r="NG93" s="40"/>
      <c r="NH93" s="40"/>
      <c r="NI93" s="40"/>
      <c r="NJ93" s="40"/>
      <c r="NK93" s="40"/>
      <c r="NL93" s="40"/>
      <c r="NM93" s="40"/>
      <c r="NN93" s="40"/>
      <c r="NO93" s="40"/>
      <c r="NP93" s="40"/>
      <c r="NQ93" s="40"/>
      <c r="NR93" s="40"/>
    </row>
    <row r="94" spans="2:382" x14ac:dyDescent="0.15">
      <c r="B94" s="520"/>
      <c r="C94" s="120" t="str">
        <f>$C$4</f>
        <v>Brian</v>
      </c>
      <c r="D94" s="5">
        <f>D79</f>
        <v>0.3</v>
      </c>
      <c r="G94" s="118"/>
      <c r="I94" s="40">
        <f t="shared" ref="I94:BU94" si="5312">$D94*I$92</f>
        <v>0</v>
      </c>
      <c r="J94" s="40">
        <f t="shared" si="5312"/>
        <v>0</v>
      </c>
      <c r="K94" s="40">
        <f t="shared" si="5312"/>
        <v>0</v>
      </c>
      <c r="L94" s="40">
        <f t="shared" si="5312"/>
        <v>0</v>
      </c>
      <c r="M94" s="40">
        <f t="shared" si="5312"/>
        <v>0</v>
      </c>
      <c r="N94" s="40">
        <f t="shared" si="5312"/>
        <v>0</v>
      </c>
      <c r="O94" s="40">
        <f t="shared" si="5312"/>
        <v>0</v>
      </c>
      <c r="P94" s="40">
        <f t="shared" si="5312"/>
        <v>0</v>
      </c>
      <c r="Q94" s="40">
        <f t="shared" si="5312"/>
        <v>0</v>
      </c>
      <c r="R94" s="40">
        <f t="shared" si="5312"/>
        <v>0</v>
      </c>
      <c r="S94" s="40">
        <f t="shared" si="5312"/>
        <v>0</v>
      </c>
      <c r="T94" s="40">
        <f t="shared" si="5312"/>
        <v>0</v>
      </c>
      <c r="U94" s="40">
        <f t="shared" si="5312"/>
        <v>0</v>
      </c>
      <c r="V94" s="40">
        <f t="shared" si="5312"/>
        <v>0</v>
      </c>
      <c r="W94" s="40">
        <f t="shared" si="5312"/>
        <v>0</v>
      </c>
      <c r="X94" s="40">
        <f t="shared" si="5312"/>
        <v>0</v>
      </c>
      <c r="Y94" s="40">
        <f t="shared" si="5312"/>
        <v>0</v>
      </c>
      <c r="Z94" s="40">
        <f t="shared" si="5312"/>
        <v>0</v>
      </c>
      <c r="AA94" s="40">
        <f t="shared" si="5312"/>
        <v>0</v>
      </c>
      <c r="AB94" s="40">
        <f t="shared" si="5312"/>
        <v>0</v>
      </c>
      <c r="AC94" s="40">
        <f t="shared" si="5312"/>
        <v>0</v>
      </c>
      <c r="AD94" s="40">
        <f t="shared" si="5312"/>
        <v>0</v>
      </c>
      <c r="AE94" s="40">
        <f t="shared" si="5312"/>
        <v>0</v>
      </c>
      <c r="AF94" s="40">
        <f t="shared" si="5312"/>
        <v>0</v>
      </c>
      <c r="AG94" s="40">
        <f t="shared" si="5312"/>
        <v>0</v>
      </c>
      <c r="AH94" s="40">
        <f t="shared" si="5312"/>
        <v>0</v>
      </c>
      <c r="AI94" s="40">
        <f t="shared" si="5312"/>
        <v>0</v>
      </c>
      <c r="AJ94" s="40">
        <f t="shared" si="5312"/>
        <v>0</v>
      </c>
      <c r="AK94" s="40">
        <f t="shared" si="5312"/>
        <v>0</v>
      </c>
      <c r="AL94" s="40">
        <f t="shared" si="5312"/>
        <v>0</v>
      </c>
      <c r="AM94" s="40">
        <f t="shared" si="5312"/>
        <v>0</v>
      </c>
      <c r="AN94" s="40">
        <f t="shared" si="5312"/>
        <v>0</v>
      </c>
      <c r="AO94" s="40">
        <f t="shared" si="5312"/>
        <v>0</v>
      </c>
      <c r="AP94" s="40">
        <f t="shared" si="5312"/>
        <v>0</v>
      </c>
      <c r="AQ94" s="40">
        <f t="shared" si="5312"/>
        <v>0</v>
      </c>
      <c r="AR94" s="40">
        <f t="shared" si="5312"/>
        <v>0</v>
      </c>
      <c r="AS94" s="40">
        <f t="shared" si="5312"/>
        <v>0</v>
      </c>
      <c r="AT94" s="40">
        <f t="shared" si="5312"/>
        <v>0</v>
      </c>
      <c r="AU94" s="40">
        <f t="shared" si="5312"/>
        <v>0</v>
      </c>
      <c r="AV94" s="40">
        <f t="shared" si="5312"/>
        <v>0</v>
      </c>
      <c r="AW94" s="40">
        <f t="shared" si="5312"/>
        <v>0</v>
      </c>
      <c r="AX94" s="40">
        <f t="shared" si="5312"/>
        <v>0</v>
      </c>
      <c r="AY94" s="40">
        <f t="shared" si="5312"/>
        <v>0</v>
      </c>
      <c r="AZ94" s="40">
        <f t="shared" si="5312"/>
        <v>0</v>
      </c>
      <c r="BA94" s="40">
        <f t="shared" si="5312"/>
        <v>0</v>
      </c>
      <c r="BB94" s="40">
        <f t="shared" si="5312"/>
        <v>0</v>
      </c>
      <c r="BC94" s="40">
        <f t="shared" si="5312"/>
        <v>0</v>
      </c>
      <c r="BD94" s="40">
        <f t="shared" si="5312"/>
        <v>0</v>
      </c>
      <c r="BE94" s="40">
        <f t="shared" si="5312"/>
        <v>0</v>
      </c>
      <c r="BF94" s="40">
        <f t="shared" si="5312"/>
        <v>0</v>
      </c>
      <c r="BG94" s="40">
        <f t="shared" si="5312"/>
        <v>0</v>
      </c>
      <c r="BH94" s="40">
        <f t="shared" si="5312"/>
        <v>0</v>
      </c>
      <c r="BI94" s="40">
        <f t="shared" si="5312"/>
        <v>0</v>
      </c>
      <c r="BJ94" s="40">
        <f t="shared" si="5312"/>
        <v>0</v>
      </c>
      <c r="BK94" s="40">
        <f t="shared" si="5312"/>
        <v>0</v>
      </c>
      <c r="BL94" s="40">
        <f t="shared" si="5312"/>
        <v>0</v>
      </c>
      <c r="BM94" s="40">
        <f t="shared" si="5312"/>
        <v>0</v>
      </c>
      <c r="BN94" s="40">
        <f t="shared" si="5312"/>
        <v>0</v>
      </c>
      <c r="BO94" s="40">
        <f t="shared" si="5312"/>
        <v>0</v>
      </c>
      <c r="BP94" s="40">
        <f t="shared" si="5312"/>
        <v>0</v>
      </c>
      <c r="BQ94" s="40">
        <f t="shared" si="5312"/>
        <v>0</v>
      </c>
      <c r="BR94" s="40">
        <f t="shared" si="5312"/>
        <v>0</v>
      </c>
      <c r="BS94" s="40">
        <f t="shared" si="5312"/>
        <v>0</v>
      </c>
      <c r="BT94" s="40">
        <f t="shared" si="5312"/>
        <v>0</v>
      </c>
      <c r="BU94" s="40">
        <f t="shared" si="5312"/>
        <v>0</v>
      </c>
      <c r="BV94" s="40">
        <f t="shared" si="5307"/>
        <v>0</v>
      </c>
      <c r="BW94" s="40">
        <f t="shared" si="5307"/>
        <v>0</v>
      </c>
      <c r="BX94" s="40">
        <f t="shared" si="5307"/>
        <v>0</v>
      </c>
      <c r="BY94" s="40">
        <f t="shared" si="5307"/>
        <v>0</v>
      </c>
      <c r="BZ94" s="40">
        <f t="shared" si="5307"/>
        <v>0</v>
      </c>
      <c r="CA94" s="40">
        <f t="shared" si="5307"/>
        <v>0</v>
      </c>
      <c r="CB94" s="40">
        <f t="shared" si="5307"/>
        <v>0</v>
      </c>
      <c r="CC94" s="40">
        <f t="shared" si="5307"/>
        <v>0</v>
      </c>
      <c r="CD94" s="40">
        <f t="shared" si="5307"/>
        <v>0</v>
      </c>
      <c r="CE94" s="40">
        <f t="shared" si="5307"/>
        <v>0</v>
      </c>
      <c r="CF94" s="40">
        <f t="shared" si="5307"/>
        <v>0</v>
      </c>
      <c r="CG94" s="40">
        <f t="shared" si="5307"/>
        <v>0</v>
      </c>
      <c r="CH94" s="40">
        <f t="shared" si="5307"/>
        <v>0</v>
      </c>
      <c r="CI94" s="40">
        <f t="shared" si="5307"/>
        <v>0</v>
      </c>
      <c r="CJ94" s="40">
        <f t="shared" si="5307"/>
        <v>0</v>
      </c>
      <c r="CK94" s="40">
        <f t="shared" si="5307"/>
        <v>0</v>
      </c>
      <c r="CL94" s="40">
        <f t="shared" si="5307"/>
        <v>0</v>
      </c>
      <c r="CM94" s="40">
        <f t="shared" si="5307"/>
        <v>0</v>
      </c>
      <c r="CN94" s="40">
        <f t="shared" si="5307"/>
        <v>0</v>
      </c>
      <c r="CO94" s="40">
        <f t="shared" si="5307"/>
        <v>0</v>
      </c>
      <c r="CP94" s="40">
        <f t="shared" si="5307"/>
        <v>0</v>
      </c>
      <c r="CQ94" s="40">
        <f t="shared" si="5307"/>
        <v>0</v>
      </c>
      <c r="CR94" s="40">
        <f t="shared" si="5307"/>
        <v>0</v>
      </c>
      <c r="CS94" s="40">
        <f t="shared" si="5307"/>
        <v>0</v>
      </c>
      <c r="CT94" s="40">
        <f t="shared" si="5307"/>
        <v>0</v>
      </c>
      <c r="CU94" s="40">
        <f t="shared" si="5307"/>
        <v>0</v>
      </c>
      <c r="CV94" s="40">
        <f t="shared" si="5307"/>
        <v>0</v>
      </c>
      <c r="CW94" s="40">
        <f t="shared" si="5307"/>
        <v>0</v>
      </c>
      <c r="CX94" s="40">
        <f t="shared" si="5307"/>
        <v>0</v>
      </c>
      <c r="CY94" s="40">
        <f t="shared" si="5307"/>
        <v>0</v>
      </c>
      <c r="CZ94" s="40">
        <f t="shared" si="5307"/>
        <v>0</v>
      </c>
      <c r="DA94" s="40">
        <f t="shared" si="5307"/>
        <v>0</v>
      </c>
      <c r="DB94" s="40">
        <f t="shared" si="5307"/>
        <v>0</v>
      </c>
      <c r="DC94" s="40">
        <f t="shared" si="5307"/>
        <v>0</v>
      </c>
      <c r="DD94" s="40">
        <f t="shared" si="5307"/>
        <v>0</v>
      </c>
      <c r="DE94" s="40">
        <f t="shared" si="5307"/>
        <v>0</v>
      </c>
      <c r="DF94" s="40">
        <f t="shared" si="5307"/>
        <v>0</v>
      </c>
      <c r="DG94" s="40">
        <f t="shared" si="5307"/>
        <v>0</v>
      </c>
      <c r="DH94" s="40">
        <f t="shared" si="5307"/>
        <v>0</v>
      </c>
      <c r="DI94" s="40">
        <f t="shared" si="5307"/>
        <v>0</v>
      </c>
      <c r="DJ94" s="40">
        <f t="shared" si="5307"/>
        <v>0</v>
      </c>
      <c r="DK94" s="40">
        <f t="shared" si="5307"/>
        <v>0</v>
      </c>
      <c r="DL94" s="40">
        <f t="shared" si="5307"/>
        <v>0</v>
      </c>
      <c r="DM94" s="40">
        <f t="shared" si="5307"/>
        <v>0</v>
      </c>
      <c r="DN94" s="40">
        <f t="shared" si="5307"/>
        <v>0</v>
      </c>
      <c r="DO94" s="40">
        <f t="shared" si="5307"/>
        <v>0</v>
      </c>
      <c r="DP94" s="40">
        <f t="shared" si="5307"/>
        <v>0</v>
      </c>
      <c r="DQ94" s="40">
        <f t="shared" si="5307"/>
        <v>0</v>
      </c>
      <c r="DR94" s="40">
        <f t="shared" si="5307"/>
        <v>0</v>
      </c>
      <c r="DS94" s="40">
        <f t="shared" si="5307"/>
        <v>0</v>
      </c>
      <c r="DT94" s="40">
        <f t="shared" si="5307"/>
        <v>0</v>
      </c>
      <c r="DU94" s="40">
        <f t="shared" si="5307"/>
        <v>0</v>
      </c>
      <c r="DV94" s="40">
        <f t="shared" si="5307"/>
        <v>0</v>
      </c>
      <c r="DW94" s="40">
        <f t="shared" si="5307"/>
        <v>0</v>
      </c>
      <c r="DX94" s="40">
        <f t="shared" si="5307"/>
        <v>0</v>
      </c>
      <c r="DY94" s="40">
        <f t="shared" si="5307"/>
        <v>0</v>
      </c>
      <c r="DZ94" s="40">
        <f t="shared" si="5307"/>
        <v>0</v>
      </c>
      <c r="EA94" s="40">
        <f t="shared" si="5307"/>
        <v>0</v>
      </c>
      <c r="EB94" s="40">
        <f t="shared" si="5307"/>
        <v>0</v>
      </c>
      <c r="EC94" s="40">
        <f t="shared" si="5307"/>
        <v>0</v>
      </c>
      <c r="ED94" s="40">
        <f t="shared" si="5307"/>
        <v>0</v>
      </c>
      <c r="EE94" s="40">
        <f t="shared" si="5307"/>
        <v>0</v>
      </c>
      <c r="EF94" s="40">
        <f t="shared" si="5307"/>
        <v>0</v>
      </c>
      <c r="EG94" s="40">
        <f t="shared" si="5307"/>
        <v>0</v>
      </c>
      <c r="EH94" s="40">
        <f t="shared" si="5308"/>
        <v>0</v>
      </c>
      <c r="EI94" s="40">
        <f t="shared" si="5308"/>
        <v>0</v>
      </c>
      <c r="EJ94" s="40">
        <f t="shared" si="5308"/>
        <v>0</v>
      </c>
      <c r="EK94" s="40">
        <f t="shared" si="5308"/>
        <v>0</v>
      </c>
      <c r="EL94" s="40">
        <f t="shared" si="5308"/>
        <v>0</v>
      </c>
      <c r="EM94" s="40">
        <f t="shared" si="5308"/>
        <v>0</v>
      </c>
      <c r="EN94" s="40">
        <f t="shared" si="5308"/>
        <v>0</v>
      </c>
      <c r="EO94" s="40">
        <f t="shared" si="5308"/>
        <v>0</v>
      </c>
      <c r="EP94" s="40">
        <f t="shared" si="5308"/>
        <v>0</v>
      </c>
      <c r="EQ94" s="40">
        <f t="shared" si="5308"/>
        <v>0</v>
      </c>
      <c r="ER94" s="40">
        <f t="shared" si="5308"/>
        <v>0</v>
      </c>
      <c r="ES94" s="40">
        <f t="shared" si="5308"/>
        <v>0</v>
      </c>
      <c r="ET94" s="40">
        <f t="shared" si="5308"/>
        <v>0</v>
      </c>
      <c r="EU94" s="40">
        <f t="shared" si="5308"/>
        <v>0</v>
      </c>
      <c r="EV94" s="40">
        <f t="shared" si="5308"/>
        <v>0</v>
      </c>
      <c r="EW94" s="40">
        <f t="shared" si="5308"/>
        <v>0</v>
      </c>
      <c r="EX94" s="40">
        <f t="shared" si="5308"/>
        <v>0</v>
      </c>
      <c r="EY94" s="40">
        <f t="shared" si="5308"/>
        <v>0</v>
      </c>
      <c r="EZ94" s="40">
        <f t="shared" si="5308"/>
        <v>0</v>
      </c>
      <c r="FA94" s="40">
        <f t="shared" si="5308"/>
        <v>0</v>
      </c>
      <c r="FB94" s="40">
        <f t="shared" si="5308"/>
        <v>0</v>
      </c>
      <c r="FC94" s="40">
        <f t="shared" si="5308"/>
        <v>0</v>
      </c>
      <c r="FD94" s="40">
        <f t="shared" si="5308"/>
        <v>0</v>
      </c>
      <c r="FE94" s="40">
        <f t="shared" si="5308"/>
        <v>0</v>
      </c>
      <c r="FF94" s="40">
        <f t="shared" si="5308"/>
        <v>0</v>
      </c>
      <c r="FG94" s="40">
        <f t="shared" si="5308"/>
        <v>0</v>
      </c>
      <c r="FH94" s="40">
        <f t="shared" si="5308"/>
        <v>0</v>
      </c>
      <c r="FI94" s="40">
        <f t="shared" si="5308"/>
        <v>0</v>
      </c>
      <c r="FJ94" s="40">
        <f t="shared" si="5308"/>
        <v>0</v>
      </c>
      <c r="FK94" s="40">
        <f t="shared" si="5308"/>
        <v>0</v>
      </c>
      <c r="FL94" s="40">
        <f t="shared" si="5308"/>
        <v>0</v>
      </c>
      <c r="FM94" s="40">
        <f t="shared" si="5308"/>
        <v>0</v>
      </c>
      <c r="FN94" s="40">
        <f t="shared" si="5308"/>
        <v>0</v>
      </c>
      <c r="FO94" s="40">
        <f t="shared" si="5308"/>
        <v>0</v>
      </c>
      <c r="FP94" s="40">
        <f t="shared" si="5308"/>
        <v>0</v>
      </c>
      <c r="FQ94" s="40">
        <f t="shared" si="5308"/>
        <v>0</v>
      </c>
      <c r="FR94" s="40">
        <f t="shared" si="5308"/>
        <v>0</v>
      </c>
      <c r="FS94" s="40">
        <f t="shared" si="5308"/>
        <v>0</v>
      </c>
      <c r="FT94" s="40">
        <f t="shared" si="5308"/>
        <v>0</v>
      </c>
      <c r="FU94" s="40">
        <f t="shared" si="5308"/>
        <v>0</v>
      </c>
      <c r="FV94" s="40">
        <f t="shared" si="5308"/>
        <v>0</v>
      </c>
      <c r="FW94" s="40">
        <f t="shared" si="5308"/>
        <v>0</v>
      </c>
      <c r="FX94" s="40">
        <f t="shared" si="5308"/>
        <v>0</v>
      </c>
      <c r="FY94" s="40">
        <f t="shared" si="5308"/>
        <v>0</v>
      </c>
      <c r="FZ94" s="40">
        <f t="shared" si="5308"/>
        <v>0</v>
      </c>
      <c r="GA94" s="40">
        <f t="shared" si="5308"/>
        <v>0</v>
      </c>
      <c r="GB94" s="40">
        <f t="shared" si="5308"/>
        <v>0</v>
      </c>
      <c r="GC94" s="40">
        <f t="shared" si="5308"/>
        <v>0</v>
      </c>
      <c r="GD94" s="40">
        <f t="shared" si="5308"/>
        <v>0</v>
      </c>
      <c r="GE94" s="40">
        <f t="shared" si="5308"/>
        <v>0</v>
      </c>
      <c r="GF94" s="40">
        <f t="shared" ca="1" si="5308"/>
        <v>0</v>
      </c>
      <c r="GG94" s="40">
        <f t="shared" ca="1" si="5308"/>
        <v>0</v>
      </c>
      <c r="GH94" s="40">
        <f t="shared" ca="1" si="5308"/>
        <v>0</v>
      </c>
      <c r="GI94" s="40">
        <f t="shared" ca="1" si="5308"/>
        <v>0</v>
      </c>
      <c r="GJ94" s="40">
        <f t="shared" ca="1" si="5308"/>
        <v>0</v>
      </c>
      <c r="GK94" s="40">
        <f t="shared" ca="1" si="5308"/>
        <v>0</v>
      </c>
      <c r="GL94" s="40">
        <f t="shared" ca="1" si="5308"/>
        <v>0</v>
      </c>
      <c r="GM94" s="40">
        <f t="shared" ca="1" si="5308"/>
        <v>0</v>
      </c>
      <c r="GN94" s="40">
        <f t="shared" ca="1" si="5308"/>
        <v>0</v>
      </c>
      <c r="GO94" s="40">
        <f t="shared" ca="1" si="5308"/>
        <v>0</v>
      </c>
      <c r="GP94" s="40">
        <f t="shared" ca="1" si="5308"/>
        <v>0</v>
      </c>
      <c r="GQ94" s="40">
        <f t="shared" ca="1" si="5308"/>
        <v>0</v>
      </c>
      <c r="GR94" s="40">
        <f t="shared" ca="1" si="5308"/>
        <v>0</v>
      </c>
      <c r="GS94" s="40">
        <f t="shared" ca="1" si="5308"/>
        <v>0</v>
      </c>
      <c r="GT94" s="40">
        <f t="shared" ca="1" si="5309"/>
        <v>0</v>
      </c>
      <c r="GU94" s="40">
        <f t="shared" ca="1" si="5309"/>
        <v>0</v>
      </c>
      <c r="GV94" s="40">
        <f t="shared" ca="1" si="5309"/>
        <v>0</v>
      </c>
      <c r="GW94" s="40">
        <f t="shared" ca="1" si="5309"/>
        <v>0</v>
      </c>
      <c r="GX94" s="40">
        <f t="shared" ca="1" si="5309"/>
        <v>0</v>
      </c>
      <c r="GY94" s="40">
        <f t="shared" ca="1" si="5309"/>
        <v>0</v>
      </c>
      <c r="GZ94" s="40">
        <f t="shared" ca="1" si="5309"/>
        <v>0</v>
      </c>
      <c r="HA94" s="40">
        <f t="shared" ca="1" si="5309"/>
        <v>0</v>
      </c>
      <c r="HB94" s="40">
        <f t="shared" ca="1" si="5309"/>
        <v>0</v>
      </c>
      <c r="HC94" s="40">
        <f t="shared" ca="1" si="5309"/>
        <v>0</v>
      </c>
      <c r="HD94" s="40">
        <f t="shared" ca="1" si="5309"/>
        <v>0</v>
      </c>
      <c r="HE94" s="40">
        <f t="shared" ca="1" si="5309"/>
        <v>0</v>
      </c>
      <c r="HF94" s="40">
        <f t="shared" ca="1" si="5309"/>
        <v>0</v>
      </c>
      <c r="HG94" s="40">
        <f t="shared" ca="1" si="5309"/>
        <v>0</v>
      </c>
      <c r="HH94" s="40">
        <f t="shared" ca="1" si="5309"/>
        <v>0</v>
      </c>
      <c r="HI94" s="40">
        <f t="shared" ca="1" si="5309"/>
        <v>0</v>
      </c>
      <c r="HJ94" s="40">
        <f t="shared" ca="1" si="5309"/>
        <v>0</v>
      </c>
      <c r="HK94" s="40">
        <f t="shared" ca="1" si="5309"/>
        <v>0</v>
      </c>
      <c r="HL94" s="40">
        <f t="shared" ca="1" si="5309"/>
        <v>0</v>
      </c>
      <c r="HM94" s="40">
        <f t="shared" ca="1" si="5309"/>
        <v>0</v>
      </c>
      <c r="HN94" s="40">
        <f t="shared" ca="1" si="5309"/>
        <v>0</v>
      </c>
      <c r="HO94" s="40">
        <f t="shared" ca="1" si="5309"/>
        <v>0</v>
      </c>
      <c r="HP94" s="40">
        <f t="shared" ca="1" si="5309"/>
        <v>0</v>
      </c>
      <c r="HQ94" s="40">
        <f t="shared" ca="1" si="5309"/>
        <v>0</v>
      </c>
      <c r="HR94" s="40">
        <f t="shared" ca="1" si="5309"/>
        <v>0</v>
      </c>
      <c r="HS94" s="40">
        <f t="shared" ca="1" si="5309"/>
        <v>0</v>
      </c>
      <c r="HT94" s="40">
        <f t="shared" ca="1" si="5309"/>
        <v>0</v>
      </c>
      <c r="HU94" s="40">
        <f t="shared" ca="1" si="5309"/>
        <v>0</v>
      </c>
      <c r="HV94" s="40">
        <f t="shared" ca="1" si="5309"/>
        <v>0</v>
      </c>
      <c r="HW94" s="40">
        <f t="shared" ca="1" si="5309"/>
        <v>0</v>
      </c>
      <c r="HX94" s="40">
        <f t="shared" ca="1" si="5309"/>
        <v>0</v>
      </c>
      <c r="HY94" s="40">
        <f t="shared" ca="1" si="5309"/>
        <v>0</v>
      </c>
      <c r="HZ94" s="40">
        <f t="shared" ca="1" si="5309"/>
        <v>0</v>
      </c>
      <c r="IA94" s="40">
        <f t="shared" ca="1" si="5309"/>
        <v>0</v>
      </c>
      <c r="IB94" s="40">
        <f t="shared" ca="1" si="5309"/>
        <v>0</v>
      </c>
      <c r="IC94" s="40">
        <f t="shared" ca="1" si="5309"/>
        <v>0</v>
      </c>
      <c r="ID94" s="40">
        <f t="shared" ca="1" si="5309"/>
        <v>0</v>
      </c>
      <c r="IE94" s="40">
        <f t="shared" ca="1" si="5309"/>
        <v>0</v>
      </c>
      <c r="IF94" s="40">
        <f t="shared" ca="1" si="5309"/>
        <v>0</v>
      </c>
      <c r="IG94" s="40">
        <f t="shared" ca="1" si="5309"/>
        <v>0</v>
      </c>
      <c r="IH94" s="40">
        <f t="shared" ca="1" si="5309"/>
        <v>0</v>
      </c>
      <c r="II94" s="40">
        <f t="shared" ca="1" si="5309"/>
        <v>0</v>
      </c>
      <c r="IJ94" s="40">
        <f t="shared" ca="1" si="5309"/>
        <v>0</v>
      </c>
      <c r="IK94" s="40">
        <f t="shared" ca="1" si="5309"/>
        <v>0</v>
      </c>
      <c r="IL94" s="40">
        <f t="shared" ca="1" si="5309"/>
        <v>0</v>
      </c>
      <c r="IM94" s="40">
        <f t="shared" ca="1" si="5309"/>
        <v>0</v>
      </c>
      <c r="IN94" s="40">
        <f t="shared" ca="1" si="5309"/>
        <v>0</v>
      </c>
      <c r="IO94" s="40">
        <f t="shared" ref="IO94:KZ96" ca="1" si="5313">$D94*IO$92</f>
        <v>0</v>
      </c>
      <c r="IP94" s="40">
        <f t="shared" ca="1" si="5313"/>
        <v>0</v>
      </c>
      <c r="IQ94" s="40">
        <f t="shared" ca="1" si="5313"/>
        <v>0</v>
      </c>
      <c r="IR94" s="40">
        <f t="shared" ca="1" si="5313"/>
        <v>0</v>
      </c>
      <c r="IS94" s="40">
        <f t="shared" ca="1" si="5313"/>
        <v>0</v>
      </c>
      <c r="IT94" s="40">
        <f t="shared" ca="1" si="5313"/>
        <v>0</v>
      </c>
      <c r="IU94" s="40">
        <f t="shared" ca="1" si="5313"/>
        <v>0</v>
      </c>
      <c r="IV94" s="40">
        <f t="shared" ca="1" si="5313"/>
        <v>0</v>
      </c>
      <c r="IW94" s="40">
        <f t="shared" ca="1" si="5313"/>
        <v>0</v>
      </c>
      <c r="IX94" s="40">
        <f t="shared" ca="1" si="5313"/>
        <v>0</v>
      </c>
      <c r="IY94" s="40">
        <f t="shared" ca="1" si="5313"/>
        <v>0</v>
      </c>
      <c r="IZ94" s="40">
        <f t="shared" ca="1" si="5313"/>
        <v>0</v>
      </c>
      <c r="JA94" s="40">
        <f t="shared" ca="1" si="5313"/>
        <v>0</v>
      </c>
      <c r="JB94" s="40">
        <f t="shared" ca="1" si="5313"/>
        <v>0</v>
      </c>
      <c r="JC94" s="40">
        <f t="shared" ca="1" si="5313"/>
        <v>0</v>
      </c>
      <c r="JD94" s="40">
        <f t="shared" ca="1" si="5313"/>
        <v>0</v>
      </c>
      <c r="JE94" s="40">
        <f t="shared" ca="1" si="5313"/>
        <v>0</v>
      </c>
      <c r="JF94" s="40">
        <f t="shared" ca="1" si="5313"/>
        <v>0</v>
      </c>
      <c r="JG94" s="40">
        <f t="shared" ca="1" si="5313"/>
        <v>0</v>
      </c>
      <c r="JH94" s="40">
        <f t="shared" ca="1" si="5313"/>
        <v>0</v>
      </c>
      <c r="JI94" s="40">
        <f t="shared" ca="1" si="5313"/>
        <v>0</v>
      </c>
      <c r="JJ94" s="40">
        <f t="shared" ca="1" si="5313"/>
        <v>0</v>
      </c>
      <c r="JK94" s="40">
        <f t="shared" ca="1" si="5313"/>
        <v>0</v>
      </c>
      <c r="JL94" s="40">
        <f t="shared" ca="1" si="5313"/>
        <v>0</v>
      </c>
      <c r="JM94" s="40">
        <f t="shared" ca="1" si="5313"/>
        <v>0</v>
      </c>
      <c r="JN94" s="40">
        <f t="shared" ca="1" si="5313"/>
        <v>0</v>
      </c>
      <c r="JO94" s="40">
        <f t="shared" ca="1" si="5313"/>
        <v>0</v>
      </c>
      <c r="JP94" s="40">
        <f t="shared" ca="1" si="5313"/>
        <v>0</v>
      </c>
      <c r="JQ94" s="40">
        <f t="shared" ca="1" si="5313"/>
        <v>0</v>
      </c>
      <c r="JR94" s="40">
        <f t="shared" ca="1" si="5313"/>
        <v>0</v>
      </c>
      <c r="JS94" s="40">
        <f t="shared" ca="1" si="5313"/>
        <v>0</v>
      </c>
      <c r="JT94" s="40">
        <f t="shared" ca="1" si="5313"/>
        <v>0</v>
      </c>
      <c r="JU94" s="40">
        <f t="shared" ca="1" si="5313"/>
        <v>0</v>
      </c>
      <c r="JV94" s="40">
        <f t="shared" ca="1" si="5313"/>
        <v>0</v>
      </c>
      <c r="JW94" s="40">
        <f t="shared" ca="1" si="5313"/>
        <v>0</v>
      </c>
      <c r="JX94" s="40">
        <f t="shared" ca="1" si="5313"/>
        <v>0</v>
      </c>
      <c r="JY94" s="40">
        <f t="shared" ca="1" si="5313"/>
        <v>0</v>
      </c>
      <c r="JZ94" s="40">
        <f t="shared" ca="1" si="5313"/>
        <v>0</v>
      </c>
      <c r="KA94" s="40">
        <f t="shared" ca="1" si="5313"/>
        <v>0</v>
      </c>
      <c r="KB94" s="40">
        <f t="shared" ca="1" si="5313"/>
        <v>0</v>
      </c>
      <c r="KC94" s="40">
        <f t="shared" ca="1" si="5313"/>
        <v>0</v>
      </c>
      <c r="KD94" s="40">
        <f t="shared" ca="1" si="5313"/>
        <v>0</v>
      </c>
      <c r="KE94" s="40">
        <f t="shared" ca="1" si="5313"/>
        <v>0</v>
      </c>
      <c r="KF94" s="40">
        <f t="shared" ca="1" si="5313"/>
        <v>0</v>
      </c>
      <c r="KG94" s="40">
        <f t="shared" ca="1" si="5313"/>
        <v>0</v>
      </c>
      <c r="KH94" s="40">
        <f t="shared" ca="1" si="5313"/>
        <v>0</v>
      </c>
      <c r="KI94" s="40">
        <f t="shared" ca="1" si="5313"/>
        <v>0</v>
      </c>
      <c r="KJ94" s="40">
        <f t="shared" ca="1" si="5313"/>
        <v>0</v>
      </c>
      <c r="KK94" s="40">
        <f t="shared" ca="1" si="5313"/>
        <v>0</v>
      </c>
      <c r="KL94" s="40">
        <f t="shared" ca="1" si="5313"/>
        <v>0</v>
      </c>
      <c r="KM94" s="40">
        <f t="shared" ca="1" si="5313"/>
        <v>0</v>
      </c>
      <c r="KN94" s="40">
        <f t="shared" ca="1" si="5313"/>
        <v>0</v>
      </c>
      <c r="KO94" s="40">
        <f t="shared" ca="1" si="5313"/>
        <v>0</v>
      </c>
      <c r="KP94" s="40">
        <f t="shared" ca="1" si="5313"/>
        <v>0</v>
      </c>
      <c r="KQ94" s="40">
        <f t="shared" ca="1" si="5313"/>
        <v>0</v>
      </c>
      <c r="KR94" s="40">
        <f t="shared" ca="1" si="5313"/>
        <v>0</v>
      </c>
      <c r="KS94" s="40">
        <f t="shared" ca="1" si="5313"/>
        <v>0</v>
      </c>
      <c r="KT94" s="40">
        <f t="shared" ca="1" si="5313"/>
        <v>0</v>
      </c>
      <c r="KU94" s="40">
        <f t="shared" ca="1" si="5313"/>
        <v>0</v>
      </c>
      <c r="KV94" s="40">
        <f t="shared" ca="1" si="5313"/>
        <v>0</v>
      </c>
      <c r="KW94" s="40">
        <f t="shared" ca="1" si="5313"/>
        <v>0</v>
      </c>
      <c r="KX94" s="40">
        <f t="shared" ca="1" si="5313"/>
        <v>0</v>
      </c>
      <c r="KY94" s="40">
        <f t="shared" ca="1" si="5313"/>
        <v>0</v>
      </c>
      <c r="KZ94" s="40">
        <f t="shared" ca="1" si="5313"/>
        <v>0</v>
      </c>
      <c r="LA94" s="40">
        <f t="shared" ca="1" si="5310"/>
        <v>0</v>
      </c>
      <c r="LB94" s="40">
        <f t="shared" ca="1" si="5311"/>
        <v>0</v>
      </c>
      <c r="LC94" s="40">
        <f t="shared" ca="1" si="5311"/>
        <v>0</v>
      </c>
      <c r="LD94" s="40">
        <f t="shared" ca="1" si="5311"/>
        <v>0</v>
      </c>
      <c r="LE94" s="40">
        <f t="shared" ca="1" si="5311"/>
        <v>0</v>
      </c>
      <c r="LF94" s="40">
        <f t="shared" ca="1" si="5311"/>
        <v>0</v>
      </c>
      <c r="LG94" s="40">
        <f t="shared" ca="1" si="5311"/>
        <v>0</v>
      </c>
      <c r="LH94" s="40">
        <f t="shared" ca="1" si="5311"/>
        <v>0</v>
      </c>
      <c r="LI94" s="40">
        <f t="shared" ca="1" si="5311"/>
        <v>0</v>
      </c>
      <c r="LJ94" s="40">
        <f t="shared" ca="1" si="5311"/>
        <v>0</v>
      </c>
      <c r="LK94" s="40">
        <f t="shared" ca="1" si="5311"/>
        <v>0</v>
      </c>
      <c r="LL94" s="40">
        <f t="shared" ca="1" si="5311"/>
        <v>0</v>
      </c>
      <c r="LM94" s="40">
        <f t="shared" ca="1" si="5311"/>
        <v>0</v>
      </c>
      <c r="LN94" s="40">
        <f t="shared" ca="1" si="5311"/>
        <v>0</v>
      </c>
      <c r="LO94" s="40">
        <f t="shared" ca="1" si="5311"/>
        <v>0</v>
      </c>
      <c r="LP94" s="40">
        <f t="shared" ca="1" si="5311"/>
        <v>0</v>
      </c>
      <c r="LQ94" s="40">
        <f t="shared" ca="1" si="5311"/>
        <v>0</v>
      </c>
      <c r="LR94" s="40">
        <f t="shared" ca="1" si="5311"/>
        <v>0</v>
      </c>
      <c r="LS94" s="40">
        <f t="shared" ca="1" si="5311"/>
        <v>0</v>
      </c>
      <c r="LT94" s="40">
        <f t="shared" ca="1" si="5311"/>
        <v>0</v>
      </c>
      <c r="LU94" s="40">
        <f t="shared" ca="1" si="5311"/>
        <v>0</v>
      </c>
      <c r="LV94" s="40">
        <f t="shared" ca="1" si="5311"/>
        <v>0</v>
      </c>
      <c r="LW94" s="40">
        <f t="shared" ca="1" si="5311"/>
        <v>0</v>
      </c>
      <c r="LX94" s="40">
        <f t="shared" ca="1" si="5311"/>
        <v>0</v>
      </c>
      <c r="LY94" s="40">
        <f t="shared" ca="1" si="5311"/>
        <v>0</v>
      </c>
      <c r="LZ94" s="40">
        <f t="shared" ca="1" si="5311"/>
        <v>0</v>
      </c>
      <c r="MA94" s="40">
        <f t="shared" ca="1" si="5311"/>
        <v>0</v>
      </c>
      <c r="MB94" s="40">
        <f t="shared" ca="1" si="5311"/>
        <v>0</v>
      </c>
      <c r="MC94" s="40">
        <f t="shared" ca="1" si="5311"/>
        <v>0</v>
      </c>
      <c r="MD94" s="40">
        <f t="shared" ca="1" si="5311"/>
        <v>0</v>
      </c>
      <c r="ME94" s="40">
        <f t="shared" ca="1" si="5311"/>
        <v>0</v>
      </c>
      <c r="MF94" s="40">
        <f t="shared" ca="1" si="5311"/>
        <v>0</v>
      </c>
      <c r="MG94" s="40">
        <f t="shared" ca="1" si="5311"/>
        <v>0</v>
      </c>
      <c r="MH94" s="40">
        <f t="shared" ca="1" si="5311"/>
        <v>0</v>
      </c>
      <c r="MI94" s="40">
        <f t="shared" ca="1" si="5311"/>
        <v>0</v>
      </c>
      <c r="MJ94" s="40">
        <f t="shared" ca="1" si="5311"/>
        <v>0</v>
      </c>
      <c r="MK94" s="40">
        <f t="shared" ca="1" si="5311"/>
        <v>0</v>
      </c>
      <c r="ML94" s="40">
        <f t="shared" ca="1" si="5311"/>
        <v>0</v>
      </c>
      <c r="MM94" s="40">
        <f t="shared" ca="1" si="5311"/>
        <v>0</v>
      </c>
      <c r="MN94" s="40">
        <f t="shared" ca="1" si="5311"/>
        <v>0</v>
      </c>
      <c r="MO94" s="40">
        <f t="shared" ca="1" si="5311"/>
        <v>0</v>
      </c>
      <c r="MP94" s="40">
        <f t="shared" ca="1" si="5311"/>
        <v>0</v>
      </c>
      <c r="MQ94" s="40">
        <f t="shared" ca="1" si="5311"/>
        <v>0</v>
      </c>
      <c r="MR94" s="40">
        <f t="shared" ca="1" si="5311"/>
        <v>0</v>
      </c>
      <c r="MS94" s="40">
        <f t="shared" ca="1" si="5311"/>
        <v>0</v>
      </c>
      <c r="MT94" s="40">
        <f t="shared" ca="1" si="5311"/>
        <v>0</v>
      </c>
      <c r="MU94" s="40">
        <f t="shared" ca="1" si="5311"/>
        <v>0</v>
      </c>
      <c r="MV94" s="40">
        <f t="shared" ca="1" si="5311"/>
        <v>0</v>
      </c>
      <c r="MW94" s="40">
        <f t="shared" ca="1" si="5311"/>
        <v>0</v>
      </c>
      <c r="MX94" s="40">
        <f t="shared" ca="1" si="5311"/>
        <v>0</v>
      </c>
      <c r="MY94" s="40">
        <f t="shared" ca="1" si="5311"/>
        <v>0</v>
      </c>
      <c r="MZ94" s="40">
        <f t="shared" ca="1" si="5311"/>
        <v>0</v>
      </c>
      <c r="NA94" s="40">
        <f t="shared" ca="1" si="5311"/>
        <v>0</v>
      </c>
      <c r="NB94" s="40">
        <f t="shared" ca="1" si="5311"/>
        <v>0</v>
      </c>
      <c r="NC94" s="40">
        <f t="shared" ca="1" si="5311"/>
        <v>0</v>
      </c>
      <c r="ND94" s="40">
        <f t="shared" ca="1" si="5311"/>
        <v>0</v>
      </c>
      <c r="NE94" s="40"/>
      <c r="NF94" s="40"/>
      <c r="NG94" s="40"/>
      <c r="NH94" s="40"/>
      <c r="NI94" s="40"/>
      <c r="NJ94" s="40"/>
      <c r="NK94" s="40"/>
      <c r="NL94" s="40"/>
      <c r="NM94" s="40"/>
      <c r="NN94" s="40"/>
      <c r="NO94" s="40"/>
      <c r="NP94" s="40"/>
      <c r="NQ94" s="40"/>
      <c r="NR94" s="40"/>
    </row>
    <row r="95" spans="2:382" x14ac:dyDescent="0.15">
      <c r="B95" s="520"/>
      <c r="C95" s="120" t="str">
        <f>$C$5</f>
        <v>Chris</v>
      </c>
      <c r="D95" s="5">
        <f>D80</f>
        <v>0.4</v>
      </c>
      <c r="G95" s="118"/>
      <c r="I95" s="40">
        <f t="shared" ref="I95:BU96" si="5314">$D95*I$92</f>
        <v>0</v>
      </c>
      <c r="J95" s="40">
        <f t="shared" si="5314"/>
        <v>0</v>
      </c>
      <c r="K95" s="40">
        <f t="shared" si="5314"/>
        <v>0</v>
      </c>
      <c r="L95" s="40">
        <f t="shared" si="5314"/>
        <v>0</v>
      </c>
      <c r="M95" s="40">
        <f t="shared" si="5314"/>
        <v>0</v>
      </c>
      <c r="N95" s="40">
        <f t="shared" si="5314"/>
        <v>0</v>
      </c>
      <c r="O95" s="40">
        <f t="shared" si="5314"/>
        <v>0</v>
      </c>
      <c r="P95" s="40">
        <f t="shared" si="5314"/>
        <v>0</v>
      </c>
      <c r="Q95" s="40">
        <f t="shared" si="5314"/>
        <v>0</v>
      </c>
      <c r="R95" s="40">
        <f t="shared" si="5314"/>
        <v>0</v>
      </c>
      <c r="S95" s="40">
        <f t="shared" si="5314"/>
        <v>0</v>
      </c>
      <c r="T95" s="40">
        <f t="shared" si="5314"/>
        <v>0</v>
      </c>
      <c r="U95" s="40">
        <f t="shared" si="5314"/>
        <v>0</v>
      </c>
      <c r="V95" s="40">
        <f t="shared" si="5314"/>
        <v>0</v>
      </c>
      <c r="W95" s="40">
        <f t="shared" si="5314"/>
        <v>0</v>
      </c>
      <c r="X95" s="40">
        <f t="shared" si="5314"/>
        <v>0</v>
      </c>
      <c r="Y95" s="40">
        <f t="shared" si="5314"/>
        <v>0</v>
      </c>
      <c r="Z95" s="40">
        <f t="shared" si="5314"/>
        <v>0</v>
      </c>
      <c r="AA95" s="40">
        <f t="shared" si="5314"/>
        <v>0</v>
      </c>
      <c r="AB95" s="40">
        <f t="shared" si="5314"/>
        <v>0</v>
      </c>
      <c r="AC95" s="40">
        <f t="shared" si="5314"/>
        <v>0</v>
      </c>
      <c r="AD95" s="40">
        <f t="shared" si="5314"/>
        <v>0</v>
      </c>
      <c r="AE95" s="40">
        <f t="shared" si="5314"/>
        <v>0</v>
      </c>
      <c r="AF95" s="40">
        <f t="shared" si="5314"/>
        <v>0</v>
      </c>
      <c r="AG95" s="40">
        <f t="shared" si="5314"/>
        <v>0</v>
      </c>
      <c r="AH95" s="40">
        <f t="shared" si="5314"/>
        <v>0</v>
      </c>
      <c r="AI95" s="40">
        <f t="shared" si="5314"/>
        <v>0</v>
      </c>
      <c r="AJ95" s="40">
        <f t="shared" si="5314"/>
        <v>0</v>
      </c>
      <c r="AK95" s="40">
        <f t="shared" si="5314"/>
        <v>0</v>
      </c>
      <c r="AL95" s="40">
        <f t="shared" si="5314"/>
        <v>0</v>
      </c>
      <c r="AM95" s="40">
        <f t="shared" si="5314"/>
        <v>0</v>
      </c>
      <c r="AN95" s="40">
        <f t="shared" si="5314"/>
        <v>0</v>
      </c>
      <c r="AO95" s="40">
        <f t="shared" si="5314"/>
        <v>0</v>
      </c>
      <c r="AP95" s="40">
        <f t="shared" si="5314"/>
        <v>0</v>
      </c>
      <c r="AQ95" s="40">
        <f t="shared" si="5314"/>
        <v>0</v>
      </c>
      <c r="AR95" s="40">
        <f t="shared" si="5314"/>
        <v>0</v>
      </c>
      <c r="AS95" s="40">
        <f t="shared" si="5314"/>
        <v>0</v>
      </c>
      <c r="AT95" s="40">
        <f t="shared" si="5314"/>
        <v>0</v>
      </c>
      <c r="AU95" s="40">
        <f t="shared" si="5314"/>
        <v>0</v>
      </c>
      <c r="AV95" s="40">
        <f t="shared" si="5314"/>
        <v>0</v>
      </c>
      <c r="AW95" s="40">
        <f t="shared" si="5314"/>
        <v>0</v>
      </c>
      <c r="AX95" s="40">
        <f t="shared" si="5314"/>
        <v>0</v>
      </c>
      <c r="AY95" s="40">
        <f t="shared" si="5314"/>
        <v>0</v>
      </c>
      <c r="AZ95" s="40">
        <f t="shared" si="5314"/>
        <v>0</v>
      </c>
      <c r="BA95" s="40">
        <f t="shared" si="5314"/>
        <v>0</v>
      </c>
      <c r="BB95" s="40">
        <f t="shared" si="5314"/>
        <v>0</v>
      </c>
      <c r="BC95" s="40">
        <f t="shared" si="5314"/>
        <v>0</v>
      </c>
      <c r="BD95" s="40">
        <f t="shared" si="5314"/>
        <v>0</v>
      </c>
      <c r="BE95" s="40">
        <f t="shared" si="5314"/>
        <v>0</v>
      </c>
      <c r="BF95" s="40">
        <f t="shared" si="5314"/>
        <v>0</v>
      </c>
      <c r="BG95" s="40">
        <f t="shared" si="5314"/>
        <v>0</v>
      </c>
      <c r="BH95" s="40">
        <f t="shared" si="5314"/>
        <v>0</v>
      </c>
      <c r="BI95" s="40">
        <f t="shared" si="5314"/>
        <v>0</v>
      </c>
      <c r="BJ95" s="40">
        <f t="shared" si="5314"/>
        <v>0</v>
      </c>
      <c r="BK95" s="40">
        <f t="shared" si="5314"/>
        <v>0</v>
      </c>
      <c r="BL95" s="40">
        <f t="shared" si="5314"/>
        <v>0</v>
      </c>
      <c r="BM95" s="40">
        <f t="shared" si="5314"/>
        <v>0</v>
      </c>
      <c r="BN95" s="40">
        <f t="shared" si="5314"/>
        <v>0</v>
      </c>
      <c r="BO95" s="40">
        <f t="shared" si="5314"/>
        <v>0</v>
      </c>
      <c r="BP95" s="40">
        <f t="shared" si="5314"/>
        <v>0</v>
      </c>
      <c r="BQ95" s="40">
        <f t="shared" si="5314"/>
        <v>0</v>
      </c>
      <c r="BR95" s="40">
        <f t="shared" si="5314"/>
        <v>0</v>
      </c>
      <c r="BS95" s="40">
        <f t="shared" si="5314"/>
        <v>0</v>
      </c>
      <c r="BT95" s="40">
        <f t="shared" si="5314"/>
        <v>0</v>
      </c>
      <c r="BU95" s="40">
        <f t="shared" si="5314"/>
        <v>0</v>
      </c>
      <c r="BV95" s="40">
        <f t="shared" si="5307"/>
        <v>0</v>
      </c>
      <c r="BW95" s="40">
        <f t="shared" si="5307"/>
        <v>0</v>
      </c>
      <c r="BX95" s="40">
        <f t="shared" si="5307"/>
        <v>0</v>
      </c>
      <c r="BY95" s="40">
        <f t="shared" si="5307"/>
        <v>0</v>
      </c>
      <c r="BZ95" s="40">
        <f t="shared" si="5307"/>
        <v>0</v>
      </c>
      <c r="CA95" s="40">
        <f t="shared" si="5307"/>
        <v>0</v>
      </c>
      <c r="CB95" s="40">
        <f t="shared" si="5307"/>
        <v>0</v>
      </c>
      <c r="CC95" s="40">
        <f t="shared" si="5307"/>
        <v>0</v>
      </c>
      <c r="CD95" s="40">
        <f t="shared" si="5307"/>
        <v>0</v>
      </c>
      <c r="CE95" s="40">
        <f t="shared" si="5307"/>
        <v>0</v>
      </c>
      <c r="CF95" s="40">
        <f t="shared" si="5307"/>
        <v>0</v>
      </c>
      <c r="CG95" s="40">
        <f t="shared" si="5307"/>
        <v>0</v>
      </c>
      <c r="CH95" s="40">
        <f t="shared" si="5307"/>
        <v>0</v>
      </c>
      <c r="CI95" s="40">
        <f t="shared" si="5307"/>
        <v>0</v>
      </c>
      <c r="CJ95" s="40">
        <f t="shared" si="5307"/>
        <v>0</v>
      </c>
      <c r="CK95" s="40">
        <f t="shared" si="5307"/>
        <v>0</v>
      </c>
      <c r="CL95" s="40">
        <f t="shared" si="5307"/>
        <v>0</v>
      </c>
      <c r="CM95" s="40">
        <f t="shared" si="5307"/>
        <v>0</v>
      </c>
      <c r="CN95" s="40">
        <f t="shared" si="5307"/>
        <v>0</v>
      </c>
      <c r="CO95" s="40">
        <f t="shared" si="5307"/>
        <v>0</v>
      </c>
      <c r="CP95" s="40">
        <f t="shared" si="5307"/>
        <v>0</v>
      </c>
      <c r="CQ95" s="40">
        <f t="shared" si="5307"/>
        <v>0</v>
      </c>
      <c r="CR95" s="40">
        <f t="shared" si="5307"/>
        <v>0</v>
      </c>
      <c r="CS95" s="40">
        <f t="shared" si="5307"/>
        <v>0</v>
      </c>
      <c r="CT95" s="40">
        <f t="shared" si="5307"/>
        <v>0</v>
      </c>
      <c r="CU95" s="40">
        <f t="shared" si="5307"/>
        <v>0</v>
      </c>
      <c r="CV95" s="40">
        <f t="shared" si="5307"/>
        <v>0</v>
      </c>
      <c r="CW95" s="40">
        <f t="shared" si="5307"/>
        <v>0</v>
      </c>
      <c r="CX95" s="40">
        <f t="shared" si="5307"/>
        <v>0</v>
      </c>
      <c r="CY95" s="40">
        <f t="shared" si="5307"/>
        <v>0</v>
      </c>
      <c r="CZ95" s="40">
        <f t="shared" si="5307"/>
        <v>0</v>
      </c>
      <c r="DA95" s="40">
        <f t="shared" si="5307"/>
        <v>0</v>
      </c>
      <c r="DB95" s="40">
        <f t="shared" si="5307"/>
        <v>0</v>
      </c>
      <c r="DC95" s="40">
        <f t="shared" si="5307"/>
        <v>0</v>
      </c>
      <c r="DD95" s="40">
        <f t="shared" si="5307"/>
        <v>0</v>
      </c>
      <c r="DE95" s="40">
        <f t="shared" si="5307"/>
        <v>0</v>
      </c>
      <c r="DF95" s="40">
        <f t="shared" si="5307"/>
        <v>0</v>
      </c>
      <c r="DG95" s="40">
        <f t="shared" si="5307"/>
        <v>0</v>
      </c>
      <c r="DH95" s="40">
        <f t="shared" si="5307"/>
        <v>0</v>
      </c>
      <c r="DI95" s="40">
        <f t="shared" si="5307"/>
        <v>0</v>
      </c>
      <c r="DJ95" s="40">
        <f t="shared" si="5307"/>
        <v>0</v>
      </c>
      <c r="DK95" s="40">
        <f t="shared" si="5307"/>
        <v>0</v>
      </c>
      <c r="DL95" s="40">
        <f t="shared" si="5307"/>
        <v>0</v>
      </c>
      <c r="DM95" s="40">
        <f t="shared" si="5307"/>
        <v>0</v>
      </c>
      <c r="DN95" s="40">
        <f t="shared" si="5307"/>
        <v>0</v>
      </c>
      <c r="DO95" s="40">
        <f t="shared" si="5307"/>
        <v>0</v>
      </c>
      <c r="DP95" s="40">
        <f t="shared" si="5307"/>
        <v>0</v>
      </c>
      <c r="DQ95" s="40">
        <f t="shared" si="5307"/>
        <v>0</v>
      </c>
      <c r="DR95" s="40">
        <f t="shared" si="5307"/>
        <v>0</v>
      </c>
      <c r="DS95" s="40">
        <f t="shared" si="5307"/>
        <v>0</v>
      </c>
      <c r="DT95" s="40">
        <f t="shared" si="5307"/>
        <v>0</v>
      </c>
      <c r="DU95" s="40">
        <f t="shared" si="5307"/>
        <v>0</v>
      </c>
      <c r="DV95" s="40">
        <f t="shared" si="5307"/>
        <v>0</v>
      </c>
      <c r="DW95" s="40">
        <f t="shared" si="5307"/>
        <v>0</v>
      </c>
      <c r="DX95" s="40">
        <f t="shared" si="5307"/>
        <v>0</v>
      </c>
      <c r="DY95" s="40">
        <f t="shared" si="5307"/>
        <v>0</v>
      </c>
      <c r="DZ95" s="40">
        <f t="shared" si="5307"/>
        <v>0</v>
      </c>
      <c r="EA95" s="40">
        <f t="shared" si="5307"/>
        <v>0</v>
      </c>
      <c r="EB95" s="40">
        <f t="shared" si="5307"/>
        <v>0</v>
      </c>
      <c r="EC95" s="40">
        <f t="shared" si="5307"/>
        <v>0</v>
      </c>
      <c r="ED95" s="40">
        <f t="shared" si="5307"/>
        <v>0</v>
      </c>
      <c r="EE95" s="40">
        <f t="shared" si="5307"/>
        <v>0</v>
      </c>
      <c r="EF95" s="40">
        <f t="shared" si="5307"/>
        <v>0</v>
      </c>
      <c r="EG95" s="40">
        <f t="shared" si="5307"/>
        <v>0</v>
      </c>
      <c r="EH95" s="40">
        <f t="shared" si="5308"/>
        <v>0</v>
      </c>
      <c r="EI95" s="40">
        <f t="shared" si="5308"/>
        <v>0</v>
      </c>
      <c r="EJ95" s="40">
        <f t="shared" si="5308"/>
        <v>0</v>
      </c>
      <c r="EK95" s="40">
        <f t="shared" si="5308"/>
        <v>0</v>
      </c>
      <c r="EL95" s="40">
        <f t="shared" si="5308"/>
        <v>0</v>
      </c>
      <c r="EM95" s="40">
        <f t="shared" si="5308"/>
        <v>0</v>
      </c>
      <c r="EN95" s="40">
        <f t="shared" si="5308"/>
        <v>0</v>
      </c>
      <c r="EO95" s="40">
        <f t="shared" si="5308"/>
        <v>0</v>
      </c>
      <c r="EP95" s="40">
        <f t="shared" si="5308"/>
        <v>0</v>
      </c>
      <c r="EQ95" s="40">
        <f t="shared" si="5308"/>
        <v>0</v>
      </c>
      <c r="ER95" s="40">
        <f t="shared" si="5308"/>
        <v>0</v>
      </c>
      <c r="ES95" s="40">
        <f t="shared" si="5308"/>
        <v>0</v>
      </c>
      <c r="ET95" s="40">
        <f t="shared" si="5308"/>
        <v>0</v>
      </c>
      <c r="EU95" s="40">
        <f t="shared" si="5308"/>
        <v>0</v>
      </c>
      <c r="EV95" s="40">
        <f t="shared" si="5308"/>
        <v>0</v>
      </c>
      <c r="EW95" s="40">
        <f t="shared" si="5308"/>
        <v>0</v>
      </c>
      <c r="EX95" s="40">
        <f t="shared" si="5308"/>
        <v>0</v>
      </c>
      <c r="EY95" s="40">
        <f t="shared" si="5308"/>
        <v>0</v>
      </c>
      <c r="EZ95" s="40">
        <f t="shared" si="5308"/>
        <v>0</v>
      </c>
      <c r="FA95" s="40">
        <f t="shared" si="5308"/>
        <v>0</v>
      </c>
      <c r="FB95" s="40">
        <f t="shared" si="5308"/>
        <v>0</v>
      </c>
      <c r="FC95" s="40">
        <f t="shared" si="5308"/>
        <v>0</v>
      </c>
      <c r="FD95" s="40">
        <f t="shared" si="5308"/>
        <v>0</v>
      </c>
      <c r="FE95" s="40">
        <f t="shared" si="5308"/>
        <v>0</v>
      </c>
      <c r="FF95" s="40">
        <f t="shared" si="5308"/>
        <v>0</v>
      </c>
      <c r="FG95" s="40">
        <f t="shared" si="5308"/>
        <v>0</v>
      </c>
      <c r="FH95" s="40">
        <f t="shared" si="5308"/>
        <v>0</v>
      </c>
      <c r="FI95" s="40">
        <f t="shared" si="5308"/>
        <v>0</v>
      </c>
      <c r="FJ95" s="40">
        <f t="shared" si="5308"/>
        <v>0</v>
      </c>
      <c r="FK95" s="40">
        <f t="shared" si="5308"/>
        <v>0</v>
      </c>
      <c r="FL95" s="40">
        <f t="shared" si="5308"/>
        <v>0</v>
      </c>
      <c r="FM95" s="40">
        <f t="shared" si="5308"/>
        <v>0</v>
      </c>
      <c r="FN95" s="40">
        <f t="shared" si="5308"/>
        <v>0</v>
      </c>
      <c r="FO95" s="40">
        <f t="shared" si="5308"/>
        <v>0</v>
      </c>
      <c r="FP95" s="40">
        <f t="shared" si="5308"/>
        <v>0</v>
      </c>
      <c r="FQ95" s="40">
        <f t="shared" si="5308"/>
        <v>0</v>
      </c>
      <c r="FR95" s="40">
        <f t="shared" si="5308"/>
        <v>0</v>
      </c>
      <c r="FS95" s="40">
        <f t="shared" si="5308"/>
        <v>0</v>
      </c>
      <c r="FT95" s="40">
        <f t="shared" si="5308"/>
        <v>0</v>
      </c>
      <c r="FU95" s="40">
        <f t="shared" si="5308"/>
        <v>0</v>
      </c>
      <c r="FV95" s="40">
        <f t="shared" si="5308"/>
        <v>0</v>
      </c>
      <c r="FW95" s="40">
        <f t="shared" si="5308"/>
        <v>0</v>
      </c>
      <c r="FX95" s="40">
        <f t="shared" si="5308"/>
        <v>0</v>
      </c>
      <c r="FY95" s="40">
        <f t="shared" si="5308"/>
        <v>0</v>
      </c>
      <c r="FZ95" s="40">
        <f t="shared" si="5308"/>
        <v>0</v>
      </c>
      <c r="GA95" s="40">
        <f t="shared" si="5308"/>
        <v>0</v>
      </c>
      <c r="GB95" s="40">
        <f t="shared" si="5308"/>
        <v>0</v>
      </c>
      <c r="GC95" s="40">
        <f t="shared" si="5308"/>
        <v>0</v>
      </c>
      <c r="GD95" s="40">
        <f t="shared" si="5308"/>
        <v>0</v>
      </c>
      <c r="GE95" s="40">
        <f t="shared" si="5308"/>
        <v>0</v>
      </c>
      <c r="GF95" s="40">
        <f t="shared" ca="1" si="5308"/>
        <v>0</v>
      </c>
      <c r="GG95" s="40">
        <f t="shared" ca="1" si="5308"/>
        <v>0</v>
      </c>
      <c r="GH95" s="40">
        <f t="shared" ca="1" si="5308"/>
        <v>0</v>
      </c>
      <c r="GI95" s="40">
        <f t="shared" ca="1" si="5308"/>
        <v>0</v>
      </c>
      <c r="GJ95" s="40">
        <f t="shared" ca="1" si="5308"/>
        <v>0</v>
      </c>
      <c r="GK95" s="40">
        <f t="shared" ca="1" si="5308"/>
        <v>0</v>
      </c>
      <c r="GL95" s="40">
        <f t="shared" ca="1" si="5308"/>
        <v>0</v>
      </c>
      <c r="GM95" s="40">
        <f t="shared" ca="1" si="5308"/>
        <v>0</v>
      </c>
      <c r="GN95" s="40">
        <f t="shared" ca="1" si="5308"/>
        <v>0</v>
      </c>
      <c r="GO95" s="40">
        <f t="shared" ca="1" si="5308"/>
        <v>0</v>
      </c>
      <c r="GP95" s="40">
        <f t="shared" ca="1" si="5308"/>
        <v>0</v>
      </c>
      <c r="GQ95" s="40">
        <f t="shared" ca="1" si="5308"/>
        <v>0</v>
      </c>
      <c r="GR95" s="40">
        <f t="shared" ca="1" si="5308"/>
        <v>0</v>
      </c>
      <c r="GS95" s="40">
        <f t="shared" ca="1" si="5308"/>
        <v>0</v>
      </c>
      <c r="GT95" s="40">
        <f t="shared" ca="1" si="5309"/>
        <v>0</v>
      </c>
      <c r="GU95" s="40">
        <f t="shared" ca="1" si="5309"/>
        <v>0</v>
      </c>
      <c r="GV95" s="40">
        <f t="shared" ca="1" si="5309"/>
        <v>0</v>
      </c>
      <c r="GW95" s="40">
        <f t="shared" ca="1" si="5309"/>
        <v>0</v>
      </c>
      <c r="GX95" s="40">
        <f t="shared" ca="1" si="5309"/>
        <v>0</v>
      </c>
      <c r="GY95" s="40">
        <f t="shared" ca="1" si="5309"/>
        <v>0</v>
      </c>
      <c r="GZ95" s="40">
        <f t="shared" ca="1" si="5309"/>
        <v>0</v>
      </c>
      <c r="HA95" s="40">
        <f t="shared" ca="1" si="5309"/>
        <v>0</v>
      </c>
      <c r="HB95" s="40">
        <f t="shared" ca="1" si="5309"/>
        <v>0</v>
      </c>
      <c r="HC95" s="40">
        <f t="shared" ca="1" si="5309"/>
        <v>0</v>
      </c>
      <c r="HD95" s="40">
        <f t="shared" ca="1" si="5309"/>
        <v>0</v>
      </c>
      <c r="HE95" s="40">
        <f t="shared" ca="1" si="5309"/>
        <v>0</v>
      </c>
      <c r="HF95" s="40">
        <f t="shared" ca="1" si="5309"/>
        <v>0</v>
      </c>
      <c r="HG95" s="40">
        <f t="shared" ca="1" si="5309"/>
        <v>0</v>
      </c>
      <c r="HH95" s="40">
        <f t="shared" ca="1" si="5309"/>
        <v>0</v>
      </c>
      <c r="HI95" s="40">
        <f t="shared" ca="1" si="5309"/>
        <v>0</v>
      </c>
      <c r="HJ95" s="40">
        <f t="shared" ca="1" si="5309"/>
        <v>0</v>
      </c>
      <c r="HK95" s="40">
        <f t="shared" ca="1" si="5309"/>
        <v>0</v>
      </c>
      <c r="HL95" s="40">
        <f t="shared" ca="1" si="5309"/>
        <v>0</v>
      </c>
      <c r="HM95" s="40">
        <f t="shared" ca="1" si="5309"/>
        <v>0</v>
      </c>
      <c r="HN95" s="40">
        <f t="shared" ca="1" si="5309"/>
        <v>0</v>
      </c>
      <c r="HO95" s="40">
        <f t="shared" ca="1" si="5309"/>
        <v>0</v>
      </c>
      <c r="HP95" s="40">
        <f t="shared" ca="1" si="5309"/>
        <v>0</v>
      </c>
      <c r="HQ95" s="40">
        <f t="shared" ca="1" si="5309"/>
        <v>0</v>
      </c>
      <c r="HR95" s="40">
        <f t="shared" ca="1" si="5309"/>
        <v>0</v>
      </c>
      <c r="HS95" s="40">
        <f t="shared" ca="1" si="5309"/>
        <v>0</v>
      </c>
      <c r="HT95" s="40">
        <f t="shared" ca="1" si="5309"/>
        <v>0</v>
      </c>
      <c r="HU95" s="40">
        <f t="shared" ca="1" si="5309"/>
        <v>0</v>
      </c>
      <c r="HV95" s="40">
        <f t="shared" ca="1" si="5309"/>
        <v>0</v>
      </c>
      <c r="HW95" s="40">
        <f t="shared" ca="1" si="5309"/>
        <v>0</v>
      </c>
      <c r="HX95" s="40">
        <f t="shared" ca="1" si="5309"/>
        <v>0</v>
      </c>
      <c r="HY95" s="40">
        <f t="shared" ca="1" si="5309"/>
        <v>0</v>
      </c>
      <c r="HZ95" s="40">
        <f t="shared" ca="1" si="5309"/>
        <v>0</v>
      </c>
      <c r="IA95" s="40">
        <f t="shared" ca="1" si="5309"/>
        <v>0</v>
      </c>
      <c r="IB95" s="40">
        <f t="shared" ca="1" si="5309"/>
        <v>0</v>
      </c>
      <c r="IC95" s="40">
        <f t="shared" ca="1" si="5309"/>
        <v>0</v>
      </c>
      <c r="ID95" s="40">
        <f t="shared" ca="1" si="5309"/>
        <v>0</v>
      </c>
      <c r="IE95" s="40">
        <f t="shared" ca="1" si="5309"/>
        <v>0</v>
      </c>
      <c r="IF95" s="40">
        <f t="shared" ca="1" si="5309"/>
        <v>0</v>
      </c>
      <c r="IG95" s="40">
        <f t="shared" ca="1" si="5309"/>
        <v>0</v>
      </c>
      <c r="IH95" s="40">
        <f t="shared" ca="1" si="5309"/>
        <v>0</v>
      </c>
      <c r="II95" s="40">
        <f t="shared" ca="1" si="5309"/>
        <v>0</v>
      </c>
      <c r="IJ95" s="40">
        <f t="shared" ca="1" si="5309"/>
        <v>0</v>
      </c>
      <c r="IK95" s="40">
        <f t="shared" ca="1" si="5309"/>
        <v>0</v>
      </c>
      <c r="IL95" s="40">
        <f t="shared" ca="1" si="5309"/>
        <v>0</v>
      </c>
      <c r="IM95" s="40">
        <f t="shared" ca="1" si="5309"/>
        <v>0</v>
      </c>
      <c r="IN95" s="40">
        <f t="shared" ca="1" si="5309"/>
        <v>0</v>
      </c>
      <c r="IO95" s="40">
        <f t="shared" ca="1" si="5313"/>
        <v>0</v>
      </c>
      <c r="IP95" s="40">
        <f t="shared" ca="1" si="5313"/>
        <v>0</v>
      </c>
      <c r="IQ95" s="40">
        <f t="shared" ca="1" si="5313"/>
        <v>0</v>
      </c>
      <c r="IR95" s="40">
        <f t="shared" ca="1" si="5313"/>
        <v>0</v>
      </c>
      <c r="IS95" s="40">
        <f t="shared" ca="1" si="5313"/>
        <v>0</v>
      </c>
      <c r="IT95" s="40">
        <f t="shared" ca="1" si="5313"/>
        <v>0</v>
      </c>
      <c r="IU95" s="40">
        <f t="shared" ca="1" si="5313"/>
        <v>0</v>
      </c>
      <c r="IV95" s="40">
        <f t="shared" ca="1" si="5313"/>
        <v>0</v>
      </c>
      <c r="IW95" s="40">
        <f t="shared" ca="1" si="5313"/>
        <v>0</v>
      </c>
      <c r="IX95" s="40">
        <f t="shared" ca="1" si="5313"/>
        <v>0</v>
      </c>
      <c r="IY95" s="40">
        <f t="shared" ca="1" si="5313"/>
        <v>0</v>
      </c>
      <c r="IZ95" s="40">
        <f t="shared" ca="1" si="5313"/>
        <v>0</v>
      </c>
      <c r="JA95" s="40">
        <f t="shared" ca="1" si="5313"/>
        <v>0</v>
      </c>
      <c r="JB95" s="40">
        <f t="shared" ca="1" si="5313"/>
        <v>0</v>
      </c>
      <c r="JC95" s="40">
        <f t="shared" ca="1" si="5313"/>
        <v>0</v>
      </c>
      <c r="JD95" s="40">
        <f t="shared" ca="1" si="5313"/>
        <v>0</v>
      </c>
      <c r="JE95" s="40">
        <f t="shared" ca="1" si="5313"/>
        <v>0</v>
      </c>
      <c r="JF95" s="40">
        <f t="shared" ca="1" si="5313"/>
        <v>0</v>
      </c>
      <c r="JG95" s="40">
        <f t="shared" ca="1" si="5313"/>
        <v>0</v>
      </c>
      <c r="JH95" s="40">
        <f t="shared" ca="1" si="5313"/>
        <v>0</v>
      </c>
      <c r="JI95" s="40">
        <f t="shared" ca="1" si="5313"/>
        <v>0</v>
      </c>
      <c r="JJ95" s="40">
        <f t="shared" ca="1" si="5313"/>
        <v>0</v>
      </c>
      <c r="JK95" s="40">
        <f t="shared" ca="1" si="5313"/>
        <v>0</v>
      </c>
      <c r="JL95" s="40">
        <f t="shared" ca="1" si="5313"/>
        <v>0</v>
      </c>
      <c r="JM95" s="40">
        <f t="shared" ca="1" si="5313"/>
        <v>0</v>
      </c>
      <c r="JN95" s="40">
        <f t="shared" ca="1" si="5313"/>
        <v>0</v>
      </c>
      <c r="JO95" s="40">
        <f t="shared" ca="1" si="5313"/>
        <v>0</v>
      </c>
      <c r="JP95" s="40">
        <f t="shared" ca="1" si="5313"/>
        <v>0</v>
      </c>
      <c r="JQ95" s="40">
        <f t="shared" ca="1" si="5313"/>
        <v>0</v>
      </c>
      <c r="JR95" s="40">
        <f t="shared" ca="1" si="5313"/>
        <v>0</v>
      </c>
      <c r="JS95" s="40">
        <f t="shared" ca="1" si="5313"/>
        <v>0</v>
      </c>
      <c r="JT95" s="40">
        <f t="shared" ca="1" si="5313"/>
        <v>0</v>
      </c>
      <c r="JU95" s="40">
        <f t="shared" ca="1" si="5313"/>
        <v>0</v>
      </c>
      <c r="JV95" s="40">
        <f t="shared" ca="1" si="5313"/>
        <v>0</v>
      </c>
      <c r="JW95" s="40">
        <f t="shared" ca="1" si="5313"/>
        <v>0</v>
      </c>
      <c r="JX95" s="40">
        <f t="shared" ca="1" si="5313"/>
        <v>0</v>
      </c>
      <c r="JY95" s="40">
        <f t="shared" ca="1" si="5313"/>
        <v>0</v>
      </c>
      <c r="JZ95" s="40">
        <f t="shared" ca="1" si="5313"/>
        <v>0</v>
      </c>
      <c r="KA95" s="40">
        <f t="shared" ca="1" si="5313"/>
        <v>0</v>
      </c>
      <c r="KB95" s="40">
        <f t="shared" ca="1" si="5313"/>
        <v>0</v>
      </c>
      <c r="KC95" s="40">
        <f t="shared" ca="1" si="5313"/>
        <v>0</v>
      </c>
      <c r="KD95" s="40">
        <f t="shared" ca="1" si="5313"/>
        <v>0</v>
      </c>
      <c r="KE95" s="40">
        <f t="shared" ca="1" si="5313"/>
        <v>0</v>
      </c>
      <c r="KF95" s="40">
        <f t="shared" ca="1" si="5313"/>
        <v>0</v>
      </c>
      <c r="KG95" s="40">
        <f t="shared" ca="1" si="5313"/>
        <v>0</v>
      </c>
      <c r="KH95" s="40">
        <f t="shared" ca="1" si="5313"/>
        <v>0</v>
      </c>
      <c r="KI95" s="40">
        <f t="shared" ca="1" si="5313"/>
        <v>0</v>
      </c>
      <c r="KJ95" s="40">
        <f t="shared" ca="1" si="5313"/>
        <v>0</v>
      </c>
      <c r="KK95" s="40">
        <f t="shared" ca="1" si="5313"/>
        <v>0</v>
      </c>
      <c r="KL95" s="40">
        <f t="shared" ca="1" si="5313"/>
        <v>0</v>
      </c>
      <c r="KM95" s="40">
        <f t="shared" ca="1" si="5313"/>
        <v>0</v>
      </c>
      <c r="KN95" s="40">
        <f t="shared" ca="1" si="5313"/>
        <v>0</v>
      </c>
      <c r="KO95" s="40">
        <f t="shared" ca="1" si="5313"/>
        <v>0</v>
      </c>
      <c r="KP95" s="40">
        <f t="shared" ca="1" si="5313"/>
        <v>0</v>
      </c>
      <c r="KQ95" s="40">
        <f t="shared" ca="1" si="5313"/>
        <v>0</v>
      </c>
      <c r="KR95" s="40">
        <f t="shared" ca="1" si="5313"/>
        <v>0</v>
      </c>
      <c r="KS95" s="40">
        <f t="shared" ca="1" si="5313"/>
        <v>0</v>
      </c>
      <c r="KT95" s="40">
        <f t="shared" ca="1" si="5313"/>
        <v>0</v>
      </c>
      <c r="KU95" s="40">
        <f t="shared" ca="1" si="5313"/>
        <v>0</v>
      </c>
      <c r="KV95" s="40">
        <f t="shared" ca="1" si="5313"/>
        <v>0</v>
      </c>
      <c r="KW95" s="40">
        <f t="shared" ca="1" si="5313"/>
        <v>0</v>
      </c>
      <c r="KX95" s="40">
        <f t="shared" ca="1" si="5313"/>
        <v>0</v>
      </c>
      <c r="KY95" s="40">
        <f t="shared" ca="1" si="5313"/>
        <v>0</v>
      </c>
      <c r="KZ95" s="40">
        <f t="shared" ca="1" si="5313"/>
        <v>0</v>
      </c>
      <c r="LA95" s="40">
        <f t="shared" ca="1" si="5310"/>
        <v>0</v>
      </c>
      <c r="LB95" s="40">
        <f t="shared" ca="1" si="5311"/>
        <v>0</v>
      </c>
      <c r="LC95" s="40">
        <f t="shared" ca="1" si="5311"/>
        <v>0</v>
      </c>
      <c r="LD95" s="40">
        <f t="shared" ca="1" si="5311"/>
        <v>0</v>
      </c>
      <c r="LE95" s="40">
        <f t="shared" ca="1" si="5311"/>
        <v>0</v>
      </c>
      <c r="LF95" s="40">
        <f t="shared" ca="1" si="5311"/>
        <v>0</v>
      </c>
      <c r="LG95" s="40">
        <f t="shared" ca="1" si="5311"/>
        <v>0</v>
      </c>
      <c r="LH95" s="40">
        <f t="shared" ca="1" si="5311"/>
        <v>0</v>
      </c>
      <c r="LI95" s="40">
        <f t="shared" ca="1" si="5311"/>
        <v>0</v>
      </c>
      <c r="LJ95" s="40">
        <f t="shared" ca="1" si="5311"/>
        <v>0</v>
      </c>
      <c r="LK95" s="40">
        <f t="shared" ca="1" si="5311"/>
        <v>0</v>
      </c>
      <c r="LL95" s="40">
        <f t="shared" ca="1" si="5311"/>
        <v>0</v>
      </c>
      <c r="LM95" s="40">
        <f t="shared" ca="1" si="5311"/>
        <v>0</v>
      </c>
      <c r="LN95" s="40">
        <f t="shared" ca="1" si="5311"/>
        <v>0</v>
      </c>
      <c r="LO95" s="40">
        <f t="shared" ca="1" si="5311"/>
        <v>0</v>
      </c>
      <c r="LP95" s="40">
        <f t="shared" ca="1" si="5311"/>
        <v>0</v>
      </c>
      <c r="LQ95" s="40">
        <f t="shared" ca="1" si="5311"/>
        <v>0</v>
      </c>
      <c r="LR95" s="40">
        <f t="shared" ca="1" si="5311"/>
        <v>0</v>
      </c>
      <c r="LS95" s="40">
        <f t="shared" ca="1" si="5311"/>
        <v>0</v>
      </c>
      <c r="LT95" s="40">
        <f t="shared" ca="1" si="5311"/>
        <v>0</v>
      </c>
      <c r="LU95" s="40">
        <f t="shared" ca="1" si="5311"/>
        <v>0</v>
      </c>
      <c r="LV95" s="40">
        <f t="shared" ca="1" si="5311"/>
        <v>0</v>
      </c>
      <c r="LW95" s="40">
        <f t="shared" ca="1" si="5311"/>
        <v>0</v>
      </c>
      <c r="LX95" s="40">
        <f t="shared" ca="1" si="5311"/>
        <v>0</v>
      </c>
      <c r="LY95" s="40">
        <f t="shared" ca="1" si="5311"/>
        <v>0</v>
      </c>
      <c r="LZ95" s="40">
        <f t="shared" ca="1" si="5311"/>
        <v>0</v>
      </c>
      <c r="MA95" s="40">
        <f t="shared" ca="1" si="5311"/>
        <v>0</v>
      </c>
      <c r="MB95" s="40">
        <f t="shared" ca="1" si="5311"/>
        <v>0</v>
      </c>
      <c r="MC95" s="40">
        <f t="shared" ca="1" si="5311"/>
        <v>0</v>
      </c>
      <c r="MD95" s="40">
        <f t="shared" ca="1" si="5311"/>
        <v>0</v>
      </c>
      <c r="ME95" s="40">
        <f t="shared" ca="1" si="5311"/>
        <v>0</v>
      </c>
      <c r="MF95" s="40">
        <f t="shared" ca="1" si="5311"/>
        <v>0</v>
      </c>
      <c r="MG95" s="40">
        <f t="shared" ca="1" si="5311"/>
        <v>0</v>
      </c>
      <c r="MH95" s="40">
        <f t="shared" ca="1" si="5311"/>
        <v>0</v>
      </c>
      <c r="MI95" s="40">
        <f t="shared" ca="1" si="5311"/>
        <v>0</v>
      </c>
      <c r="MJ95" s="40">
        <f t="shared" ca="1" si="5311"/>
        <v>0</v>
      </c>
      <c r="MK95" s="40">
        <f t="shared" ca="1" si="5311"/>
        <v>0</v>
      </c>
      <c r="ML95" s="40">
        <f t="shared" ca="1" si="5311"/>
        <v>0</v>
      </c>
      <c r="MM95" s="40">
        <f t="shared" ca="1" si="5311"/>
        <v>0</v>
      </c>
      <c r="MN95" s="40">
        <f t="shared" ca="1" si="5311"/>
        <v>0</v>
      </c>
      <c r="MO95" s="40">
        <f t="shared" ca="1" si="5311"/>
        <v>0</v>
      </c>
      <c r="MP95" s="40">
        <f t="shared" ca="1" si="5311"/>
        <v>0</v>
      </c>
      <c r="MQ95" s="40">
        <f t="shared" ca="1" si="5311"/>
        <v>0</v>
      </c>
      <c r="MR95" s="40">
        <f t="shared" ca="1" si="5311"/>
        <v>0</v>
      </c>
      <c r="MS95" s="40">
        <f t="shared" ca="1" si="5311"/>
        <v>0</v>
      </c>
      <c r="MT95" s="40">
        <f t="shared" ca="1" si="5311"/>
        <v>0</v>
      </c>
      <c r="MU95" s="40">
        <f t="shared" ca="1" si="5311"/>
        <v>0</v>
      </c>
      <c r="MV95" s="40">
        <f t="shared" ca="1" si="5311"/>
        <v>0</v>
      </c>
      <c r="MW95" s="40">
        <f t="shared" ca="1" si="5311"/>
        <v>0</v>
      </c>
      <c r="MX95" s="40">
        <f t="shared" ca="1" si="5311"/>
        <v>0</v>
      </c>
      <c r="MY95" s="40">
        <f t="shared" ca="1" si="5311"/>
        <v>0</v>
      </c>
      <c r="MZ95" s="40">
        <f t="shared" ca="1" si="5311"/>
        <v>0</v>
      </c>
      <c r="NA95" s="40">
        <f t="shared" ca="1" si="5311"/>
        <v>0</v>
      </c>
      <c r="NB95" s="40">
        <f t="shared" ca="1" si="5311"/>
        <v>0</v>
      </c>
      <c r="NC95" s="40">
        <f t="shared" ca="1" si="5311"/>
        <v>0</v>
      </c>
      <c r="ND95" s="40">
        <f t="shared" ca="1" si="5311"/>
        <v>0</v>
      </c>
      <c r="NE95" s="40"/>
      <c r="NF95" s="40"/>
      <c r="NG95" s="40"/>
      <c r="NH95" s="40"/>
      <c r="NI95" s="40"/>
      <c r="NJ95" s="40"/>
      <c r="NK95" s="40"/>
      <c r="NL95" s="40"/>
      <c r="NM95" s="40"/>
      <c r="NN95" s="40"/>
      <c r="NO95" s="40"/>
      <c r="NP95" s="40"/>
      <c r="NQ95" s="40"/>
      <c r="NR95" s="40"/>
    </row>
    <row r="96" spans="2:382" x14ac:dyDescent="0.15">
      <c r="B96" s="520"/>
      <c r="C96" s="120" t="str">
        <f>$C$6</f>
        <v>-</v>
      </c>
      <c r="D96" s="5">
        <f>D81</f>
        <v>0</v>
      </c>
      <c r="G96" s="118"/>
      <c r="I96" s="40">
        <f>$D96*I$92</f>
        <v>0</v>
      </c>
      <c r="J96" s="40">
        <f>$D96*J$92</f>
        <v>0</v>
      </c>
      <c r="K96" s="40">
        <f t="shared" si="5314"/>
        <v>0</v>
      </c>
      <c r="L96" s="40">
        <f t="shared" si="5314"/>
        <v>0</v>
      </c>
      <c r="M96" s="40">
        <f t="shared" si="5314"/>
        <v>0</v>
      </c>
      <c r="N96" s="40">
        <f t="shared" si="5314"/>
        <v>0</v>
      </c>
      <c r="O96" s="40">
        <f t="shared" si="5314"/>
        <v>0</v>
      </c>
      <c r="P96" s="40">
        <f t="shared" si="5314"/>
        <v>0</v>
      </c>
      <c r="Q96" s="40">
        <f t="shared" si="5314"/>
        <v>0</v>
      </c>
      <c r="R96" s="40">
        <f t="shared" si="5314"/>
        <v>0</v>
      </c>
      <c r="S96" s="40">
        <f t="shared" si="5314"/>
        <v>0</v>
      </c>
      <c r="T96" s="40">
        <f t="shared" si="5314"/>
        <v>0</v>
      </c>
      <c r="U96" s="40">
        <f t="shared" si="5314"/>
        <v>0</v>
      </c>
      <c r="V96" s="40">
        <f t="shared" si="5314"/>
        <v>0</v>
      </c>
      <c r="W96" s="40">
        <f t="shared" si="5314"/>
        <v>0</v>
      </c>
      <c r="X96" s="40">
        <f t="shared" si="5314"/>
        <v>0</v>
      </c>
      <c r="Y96" s="40">
        <f t="shared" si="5314"/>
        <v>0</v>
      </c>
      <c r="Z96" s="40">
        <f t="shared" si="5314"/>
        <v>0</v>
      </c>
      <c r="AA96" s="40">
        <f t="shared" si="5314"/>
        <v>0</v>
      </c>
      <c r="AB96" s="40">
        <f t="shared" si="5314"/>
        <v>0</v>
      </c>
      <c r="AC96" s="40">
        <f t="shared" si="5314"/>
        <v>0</v>
      </c>
      <c r="AD96" s="40">
        <f t="shared" si="5314"/>
        <v>0</v>
      </c>
      <c r="AE96" s="40">
        <f t="shared" si="5314"/>
        <v>0</v>
      </c>
      <c r="AF96" s="40">
        <f t="shared" si="5314"/>
        <v>0</v>
      </c>
      <c r="AG96" s="40">
        <f t="shared" si="5314"/>
        <v>0</v>
      </c>
      <c r="AH96" s="40">
        <f t="shared" si="5314"/>
        <v>0</v>
      </c>
      <c r="AI96" s="40">
        <f t="shared" si="5314"/>
        <v>0</v>
      </c>
      <c r="AJ96" s="40">
        <f t="shared" si="5314"/>
        <v>0</v>
      </c>
      <c r="AK96" s="40">
        <f t="shared" si="5314"/>
        <v>0</v>
      </c>
      <c r="AL96" s="40">
        <f t="shared" si="5314"/>
        <v>0</v>
      </c>
      <c r="AM96" s="40">
        <f t="shared" si="5314"/>
        <v>0</v>
      </c>
      <c r="AN96" s="40">
        <f t="shared" si="5314"/>
        <v>0</v>
      </c>
      <c r="AO96" s="40">
        <f t="shared" si="5314"/>
        <v>0</v>
      </c>
      <c r="AP96" s="40">
        <f t="shared" si="5314"/>
        <v>0</v>
      </c>
      <c r="AQ96" s="40">
        <f t="shared" si="5314"/>
        <v>0</v>
      </c>
      <c r="AR96" s="40">
        <f t="shared" si="5314"/>
        <v>0</v>
      </c>
      <c r="AS96" s="40">
        <f t="shared" si="5314"/>
        <v>0</v>
      </c>
      <c r="AT96" s="40">
        <f t="shared" si="5314"/>
        <v>0</v>
      </c>
      <c r="AU96" s="40">
        <f t="shared" si="5314"/>
        <v>0</v>
      </c>
      <c r="AV96" s="40">
        <f t="shared" si="5314"/>
        <v>0</v>
      </c>
      <c r="AW96" s="40">
        <f t="shared" si="5314"/>
        <v>0</v>
      </c>
      <c r="AX96" s="40">
        <f t="shared" si="5314"/>
        <v>0</v>
      </c>
      <c r="AY96" s="40">
        <f t="shared" si="5314"/>
        <v>0</v>
      </c>
      <c r="AZ96" s="40">
        <f t="shared" si="5314"/>
        <v>0</v>
      </c>
      <c r="BA96" s="40">
        <f t="shared" si="5314"/>
        <v>0</v>
      </c>
      <c r="BB96" s="40">
        <f t="shared" si="5314"/>
        <v>0</v>
      </c>
      <c r="BC96" s="40">
        <f t="shared" si="5314"/>
        <v>0</v>
      </c>
      <c r="BD96" s="40">
        <f t="shared" si="5314"/>
        <v>0</v>
      </c>
      <c r="BE96" s="40">
        <f t="shared" si="5314"/>
        <v>0</v>
      </c>
      <c r="BF96" s="40">
        <f t="shared" si="5314"/>
        <v>0</v>
      </c>
      <c r="BG96" s="40">
        <f t="shared" si="5314"/>
        <v>0</v>
      </c>
      <c r="BH96" s="40">
        <f t="shared" si="5314"/>
        <v>0</v>
      </c>
      <c r="BI96" s="40">
        <f t="shared" si="5314"/>
        <v>0</v>
      </c>
      <c r="BJ96" s="40">
        <f t="shared" si="5314"/>
        <v>0</v>
      </c>
      <c r="BK96" s="40">
        <f t="shared" si="5314"/>
        <v>0</v>
      </c>
      <c r="BL96" s="40">
        <f t="shared" si="5314"/>
        <v>0</v>
      </c>
      <c r="BM96" s="40">
        <f t="shared" si="5314"/>
        <v>0</v>
      </c>
      <c r="BN96" s="40">
        <f t="shared" si="5314"/>
        <v>0</v>
      </c>
      <c r="BO96" s="40">
        <f t="shared" si="5314"/>
        <v>0</v>
      </c>
      <c r="BP96" s="40">
        <f t="shared" si="5314"/>
        <v>0</v>
      </c>
      <c r="BQ96" s="40">
        <f t="shared" si="5314"/>
        <v>0</v>
      </c>
      <c r="BR96" s="40">
        <f t="shared" si="5314"/>
        <v>0</v>
      </c>
      <c r="BS96" s="40">
        <f t="shared" si="5314"/>
        <v>0</v>
      </c>
      <c r="BT96" s="40">
        <f t="shared" si="5314"/>
        <v>0</v>
      </c>
      <c r="BU96" s="40">
        <f t="shared" si="5314"/>
        <v>0</v>
      </c>
      <c r="BV96" s="40">
        <f t="shared" si="5307"/>
        <v>0</v>
      </c>
      <c r="BW96" s="40">
        <f t="shared" si="5307"/>
        <v>0</v>
      </c>
      <c r="BX96" s="40">
        <f t="shared" si="5307"/>
        <v>0</v>
      </c>
      <c r="BY96" s="40">
        <f t="shared" si="5307"/>
        <v>0</v>
      </c>
      <c r="BZ96" s="40">
        <f t="shared" si="5307"/>
        <v>0</v>
      </c>
      <c r="CA96" s="40">
        <f t="shared" si="5307"/>
        <v>0</v>
      </c>
      <c r="CB96" s="40">
        <f t="shared" si="5307"/>
        <v>0</v>
      </c>
      <c r="CC96" s="40">
        <f t="shared" si="5307"/>
        <v>0</v>
      </c>
      <c r="CD96" s="40">
        <f t="shared" si="5307"/>
        <v>0</v>
      </c>
      <c r="CE96" s="40">
        <f t="shared" si="5307"/>
        <v>0</v>
      </c>
      <c r="CF96" s="40">
        <f t="shared" si="5307"/>
        <v>0</v>
      </c>
      <c r="CG96" s="40">
        <f t="shared" si="5307"/>
        <v>0</v>
      </c>
      <c r="CH96" s="40">
        <f t="shared" si="5307"/>
        <v>0</v>
      </c>
      <c r="CI96" s="40">
        <f t="shared" si="5307"/>
        <v>0</v>
      </c>
      <c r="CJ96" s="40">
        <f t="shared" si="5307"/>
        <v>0</v>
      </c>
      <c r="CK96" s="40">
        <f t="shared" si="5307"/>
        <v>0</v>
      </c>
      <c r="CL96" s="40">
        <f t="shared" si="5307"/>
        <v>0</v>
      </c>
      <c r="CM96" s="40">
        <f t="shared" si="5307"/>
        <v>0</v>
      </c>
      <c r="CN96" s="40">
        <f t="shared" si="5307"/>
        <v>0</v>
      </c>
      <c r="CO96" s="40">
        <f t="shared" si="5307"/>
        <v>0</v>
      </c>
      <c r="CP96" s="40">
        <f t="shared" si="5307"/>
        <v>0</v>
      </c>
      <c r="CQ96" s="40">
        <f t="shared" si="5307"/>
        <v>0</v>
      </c>
      <c r="CR96" s="40">
        <f t="shared" si="5307"/>
        <v>0</v>
      </c>
      <c r="CS96" s="40">
        <f t="shared" si="5307"/>
        <v>0</v>
      </c>
      <c r="CT96" s="40">
        <f t="shared" si="5307"/>
        <v>0</v>
      </c>
      <c r="CU96" s="40">
        <f t="shared" si="5307"/>
        <v>0</v>
      </c>
      <c r="CV96" s="40">
        <f t="shared" si="5307"/>
        <v>0</v>
      </c>
      <c r="CW96" s="40">
        <f t="shared" si="5307"/>
        <v>0</v>
      </c>
      <c r="CX96" s="40">
        <f t="shared" si="5307"/>
        <v>0</v>
      </c>
      <c r="CY96" s="40">
        <f t="shared" si="5307"/>
        <v>0</v>
      </c>
      <c r="CZ96" s="40">
        <f t="shared" si="5307"/>
        <v>0</v>
      </c>
      <c r="DA96" s="40">
        <f t="shared" si="5307"/>
        <v>0</v>
      </c>
      <c r="DB96" s="40">
        <f t="shared" si="5307"/>
        <v>0</v>
      </c>
      <c r="DC96" s="40">
        <f t="shared" si="5307"/>
        <v>0</v>
      </c>
      <c r="DD96" s="40">
        <f t="shared" si="5307"/>
        <v>0</v>
      </c>
      <c r="DE96" s="40">
        <f t="shared" si="5307"/>
        <v>0</v>
      </c>
      <c r="DF96" s="40">
        <f t="shared" si="5307"/>
        <v>0</v>
      </c>
      <c r="DG96" s="40">
        <f t="shared" si="5307"/>
        <v>0</v>
      </c>
      <c r="DH96" s="40">
        <f t="shared" si="5307"/>
        <v>0</v>
      </c>
      <c r="DI96" s="40">
        <f t="shared" si="5307"/>
        <v>0</v>
      </c>
      <c r="DJ96" s="40">
        <f t="shared" si="5307"/>
        <v>0</v>
      </c>
      <c r="DK96" s="40">
        <f t="shared" si="5307"/>
        <v>0</v>
      </c>
      <c r="DL96" s="40">
        <f t="shared" si="5307"/>
        <v>0</v>
      </c>
      <c r="DM96" s="40">
        <f t="shared" si="5307"/>
        <v>0</v>
      </c>
      <c r="DN96" s="40">
        <f t="shared" si="5307"/>
        <v>0</v>
      </c>
      <c r="DO96" s="40">
        <f t="shared" si="5307"/>
        <v>0</v>
      </c>
      <c r="DP96" s="40">
        <f t="shared" si="5307"/>
        <v>0</v>
      </c>
      <c r="DQ96" s="40">
        <f t="shared" si="5307"/>
        <v>0</v>
      </c>
      <c r="DR96" s="40">
        <f t="shared" si="5307"/>
        <v>0</v>
      </c>
      <c r="DS96" s="40">
        <f t="shared" si="5307"/>
        <v>0</v>
      </c>
      <c r="DT96" s="40">
        <f t="shared" si="5307"/>
        <v>0</v>
      </c>
      <c r="DU96" s="40">
        <f t="shared" si="5307"/>
        <v>0</v>
      </c>
      <c r="DV96" s="40">
        <f t="shared" si="5307"/>
        <v>0</v>
      </c>
      <c r="DW96" s="40">
        <f t="shared" si="5307"/>
        <v>0</v>
      </c>
      <c r="DX96" s="40">
        <f t="shared" si="5307"/>
        <v>0</v>
      </c>
      <c r="DY96" s="40">
        <f t="shared" si="5307"/>
        <v>0</v>
      </c>
      <c r="DZ96" s="40">
        <f t="shared" si="5307"/>
        <v>0</v>
      </c>
      <c r="EA96" s="40">
        <f t="shared" si="5307"/>
        <v>0</v>
      </c>
      <c r="EB96" s="40">
        <f t="shared" si="5307"/>
        <v>0</v>
      </c>
      <c r="EC96" s="40">
        <f t="shared" si="5307"/>
        <v>0</v>
      </c>
      <c r="ED96" s="40">
        <f t="shared" si="5307"/>
        <v>0</v>
      </c>
      <c r="EE96" s="40">
        <f t="shared" si="5307"/>
        <v>0</v>
      </c>
      <c r="EF96" s="40">
        <f t="shared" si="5307"/>
        <v>0</v>
      </c>
      <c r="EG96" s="40">
        <f t="shared" ref="EG96" si="5315">$D96*EG$92</f>
        <v>0</v>
      </c>
      <c r="EH96" s="40">
        <f t="shared" si="5308"/>
        <v>0</v>
      </c>
      <c r="EI96" s="40">
        <f t="shared" si="5308"/>
        <v>0</v>
      </c>
      <c r="EJ96" s="40">
        <f t="shared" si="5308"/>
        <v>0</v>
      </c>
      <c r="EK96" s="40">
        <f t="shared" si="5308"/>
        <v>0</v>
      </c>
      <c r="EL96" s="40">
        <f t="shared" si="5308"/>
        <v>0</v>
      </c>
      <c r="EM96" s="40">
        <f t="shared" si="5308"/>
        <v>0</v>
      </c>
      <c r="EN96" s="40">
        <f t="shared" si="5308"/>
        <v>0</v>
      </c>
      <c r="EO96" s="40">
        <f t="shared" si="5308"/>
        <v>0</v>
      </c>
      <c r="EP96" s="40">
        <f t="shared" si="5308"/>
        <v>0</v>
      </c>
      <c r="EQ96" s="40">
        <f t="shared" si="5308"/>
        <v>0</v>
      </c>
      <c r="ER96" s="40">
        <f t="shared" si="5308"/>
        <v>0</v>
      </c>
      <c r="ES96" s="40">
        <f t="shared" si="5308"/>
        <v>0</v>
      </c>
      <c r="ET96" s="40">
        <f t="shared" si="5308"/>
        <v>0</v>
      </c>
      <c r="EU96" s="40">
        <f t="shared" si="5308"/>
        <v>0</v>
      </c>
      <c r="EV96" s="40">
        <f t="shared" si="5308"/>
        <v>0</v>
      </c>
      <c r="EW96" s="40">
        <f t="shared" si="5308"/>
        <v>0</v>
      </c>
      <c r="EX96" s="40">
        <f t="shared" si="5308"/>
        <v>0</v>
      </c>
      <c r="EY96" s="40">
        <f t="shared" si="5308"/>
        <v>0</v>
      </c>
      <c r="EZ96" s="40">
        <f t="shared" si="5308"/>
        <v>0</v>
      </c>
      <c r="FA96" s="40">
        <f t="shared" si="5308"/>
        <v>0</v>
      </c>
      <c r="FB96" s="40">
        <f t="shared" si="5308"/>
        <v>0</v>
      </c>
      <c r="FC96" s="40">
        <f t="shared" si="5308"/>
        <v>0</v>
      </c>
      <c r="FD96" s="40">
        <f t="shared" si="5308"/>
        <v>0</v>
      </c>
      <c r="FE96" s="40">
        <f t="shared" si="5308"/>
        <v>0</v>
      </c>
      <c r="FF96" s="40">
        <f t="shared" si="5308"/>
        <v>0</v>
      </c>
      <c r="FG96" s="40">
        <f t="shared" si="5308"/>
        <v>0</v>
      </c>
      <c r="FH96" s="40">
        <f t="shared" si="5308"/>
        <v>0</v>
      </c>
      <c r="FI96" s="40">
        <f t="shared" si="5308"/>
        <v>0</v>
      </c>
      <c r="FJ96" s="40">
        <f t="shared" si="5308"/>
        <v>0</v>
      </c>
      <c r="FK96" s="40">
        <f t="shared" si="5308"/>
        <v>0</v>
      </c>
      <c r="FL96" s="40">
        <f t="shared" si="5308"/>
        <v>0</v>
      </c>
      <c r="FM96" s="40">
        <f t="shared" si="5308"/>
        <v>0</v>
      </c>
      <c r="FN96" s="40">
        <f t="shared" si="5308"/>
        <v>0</v>
      </c>
      <c r="FO96" s="40">
        <f t="shared" si="5308"/>
        <v>0</v>
      </c>
      <c r="FP96" s="40">
        <f t="shared" si="5308"/>
        <v>0</v>
      </c>
      <c r="FQ96" s="40">
        <f t="shared" si="5308"/>
        <v>0</v>
      </c>
      <c r="FR96" s="40">
        <f t="shared" si="5308"/>
        <v>0</v>
      </c>
      <c r="FS96" s="40">
        <f t="shared" si="5308"/>
        <v>0</v>
      </c>
      <c r="FT96" s="40">
        <f t="shared" si="5308"/>
        <v>0</v>
      </c>
      <c r="FU96" s="40">
        <f t="shared" si="5308"/>
        <v>0</v>
      </c>
      <c r="FV96" s="40">
        <f t="shared" si="5308"/>
        <v>0</v>
      </c>
      <c r="FW96" s="40">
        <f t="shared" si="5308"/>
        <v>0</v>
      </c>
      <c r="FX96" s="40">
        <f t="shared" si="5308"/>
        <v>0</v>
      </c>
      <c r="FY96" s="40">
        <f t="shared" si="5308"/>
        <v>0</v>
      </c>
      <c r="FZ96" s="40">
        <f t="shared" si="5308"/>
        <v>0</v>
      </c>
      <c r="GA96" s="40">
        <f t="shared" si="5308"/>
        <v>0</v>
      </c>
      <c r="GB96" s="40">
        <f t="shared" si="5308"/>
        <v>0</v>
      </c>
      <c r="GC96" s="40">
        <f t="shared" si="5308"/>
        <v>0</v>
      </c>
      <c r="GD96" s="40">
        <f t="shared" si="5308"/>
        <v>0</v>
      </c>
      <c r="GE96" s="40">
        <f t="shared" si="5308"/>
        <v>0</v>
      </c>
      <c r="GF96" s="40">
        <f t="shared" ca="1" si="5308"/>
        <v>0</v>
      </c>
      <c r="GG96" s="40">
        <f t="shared" ca="1" si="5308"/>
        <v>0</v>
      </c>
      <c r="GH96" s="40">
        <f t="shared" ca="1" si="5308"/>
        <v>0</v>
      </c>
      <c r="GI96" s="40">
        <f t="shared" ca="1" si="5308"/>
        <v>0</v>
      </c>
      <c r="GJ96" s="40">
        <f t="shared" ca="1" si="5308"/>
        <v>0</v>
      </c>
      <c r="GK96" s="40">
        <f t="shared" ca="1" si="5308"/>
        <v>0</v>
      </c>
      <c r="GL96" s="40">
        <f t="shared" ca="1" si="5308"/>
        <v>0</v>
      </c>
      <c r="GM96" s="40">
        <f t="shared" ca="1" si="5308"/>
        <v>0</v>
      </c>
      <c r="GN96" s="40">
        <f t="shared" ca="1" si="5308"/>
        <v>0</v>
      </c>
      <c r="GO96" s="40">
        <f t="shared" ca="1" si="5308"/>
        <v>0</v>
      </c>
      <c r="GP96" s="40">
        <f t="shared" ca="1" si="5308"/>
        <v>0</v>
      </c>
      <c r="GQ96" s="40">
        <f t="shared" ca="1" si="5308"/>
        <v>0</v>
      </c>
      <c r="GR96" s="40">
        <f t="shared" ca="1" si="5308"/>
        <v>0</v>
      </c>
      <c r="GS96" s="40">
        <f t="shared" ref="GS96" ca="1" si="5316">$D96*GS$92</f>
        <v>0</v>
      </c>
      <c r="GT96" s="40">
        <f t="shared" ca="1" si="5309"/>
        <v>0</v>
      </c>
      <c r="GU96" s="40">
        <f t="shared" ca="1" si="5309"/>
        <v>0</v>
      </c>
      <c r="GV96" s="40">
        <f t="shared" ca="1" si="5309"/>
        <v>0</v>
      </c>
      <c r="GW96" s="40">
        <f t="shared" ca="1" si="5309"/>
        <v>0</v>
      </c>
      <c r="GX96" s="40">
        <f t="shared" ca="1" si="5309"/>
        <v>0</v>
      </c>
      <c r="GY96" s="40">
        <f t="shared" ca="1" si="5309"/>
        <v>0</v>
      </c>
      <c r="GZ96" s="40">
        <f t="shared" ca="1" si="5309"/>
        <v>0</v>
      </c>
      <c r="HA96" s="40">
        <f t="shared" ca="1" si="5309"/>
        <v>0</v>
      </c>
      <c r="HB96" s="40">
        <f t="shared" ca="1" si="5309"/>
        <v>0</v>
      </c>
      <c r="HC96" s="40">
        <f t="shared" ca="1" si="5309"/>
        <v>0</v>
      </c>
      <c r="HD96" s="40">
        <f t="shared" ca="1" si="5309"/>
        <v>0</v>
      </c>
      <c r="HE96" s="40">
        <f t="shared" ca="1" si="5309"/>
        <v>0</v>
      </c>
      <c r="HF96" s="40">
        <f t="shared" ca="1" si="5309"/>
        <v>0</v>
      </c>
      <c r="HG96" s="40">
        <f t="shared" ca="1" si="5309"/>
        <v>0</v>
      </c>
      <c r="HH96" s="40">
        <f t="shared" ca="1" si="5309"/>
        <v>0</v>
      </c>
      <c r="HI96" s="40">
        <f t="shared" ca="1" si="5309"/>
        <v>0</v>
      </c>
      <c r="HJ96" s="40">
        <f t="shared" ca="1" si="5309"/>
        <v>0</v>
      </c>
      <c r="HK96" s="40">
        <f t="shared" ca="1" si="5309"/>
        <v>0</v>
      </c>
      <c r="HL96" s="40">
        <f t="shared" ca="1" si="5309"/>
        <v>0</v>
      </c>
      <c r="HM96" s="40">
        <f t="shared" ca="1" si="5309"/>
        <v>0</v>
      </c>
      <c r="HN96" s="40">
        <f t="shared" ca="1" si="5309"/>
        <v>0</v>
      </c>
      <c r="HO96" s="40">
        <f t="shared" ca="1" si="5309"/>
        <v>0</v>
      </c>
      <c r="HP96" s="40">
        <f t="shared" ca="1" si="5309"/>
        <v>0</v>
      </c>
      <c r="HQ96" s="40">
        <f t="shared" ca="1" si="5309"/>
        <v>0</v>
      </c>
      <c r="HR96" s="40">
        <f t="shared" ca="1" si="5309"/>
        <v>0</v>
      </c>
      <c r="HS96" s="40">
        <f t="shared" ca="1" si="5309"/>
        <v>0</v>
      </c>
      <c r="HT96" s="40">
        <f t="shared" ca="1" si="5309"/>
        <v>0</v>
      </c>
      <c r="HU96" s="40">
        <f t="shared" ca="1" si="5309"/>
        <v>0</v>
      </c>
      <c r="HV96" s="40">
        <f t="shared" ca="1" si="5309"/>
        <v>0</v>
      </c>
      <c r="HW96" s="40">
        <f t="shared" ca="1" si="5309"/>
        <v>0</v>
      </c>
      <c r="HX96" s="40">
        <f t="shared" ca="1" si="5309"/>
        <v>0</v>
      </c>
      <c r="HY96" s="40">
        <f t="shared" ca="1" si="5309"/>
        <v>0</v>
      </c>
      <c r="HZ96" s="40">
        <f t="shared" ca="1" si="5309"/>
        <v>0</v>
      </c>
      <c r="IA96" s="40">
        <f t="shared" ca="1" si="5309"/>
        <v>0</v>
      </c>
      <c r="IB96" s="40">
        <f t="shared" ca="1" si="5309"/>
        <v>0</v>
      </c>
      <c r="IC96" s="40">
        <f t="shared" ca="1" si="5309"/>
        <v>0</v>
      </c>
      <c r="ID96" s="40">
        <f t="shared" ca="1" si="5309"/>
        <v>0</v>
      </c>
      <c r="IE96" s="40">
        <f t="shared" ca="1" si="5309"/>
        <v>0</v>
      </c>
      <c r="IF96" s="40">
        <f t="shared" ca="1" si="5309"/>
        <v>0</v>
      </c>
      <c r="IG96" s="40">
        <f t="shared" ca="1" si="5309"/>
        <v>0</v>
      </c>
      <c r="IH96" s="40">
        <f t="shared" ca="1" si="5309"/>
        <v>0</v>
      </c>
      <c r="II96" s="40">
        <f t="shared" ca="1" si="5309"/>
        <v>0</v>
      </c>
      <c r="IJ96" s="40">
        <f t="shared" ca="1" si="5309"/>
        <v>0</v>
      </c>
      <c r="IK96" s="40">
        <f t="shared" ca="1" si="5309"/>
        <v>0</v>
      </c>
      <c r="IL96" s="40">
        <f t="shared" ca="1" si="5309"/>
        <v>0</v>
      </c>
      <c r="IM96" s="40">
        <f t="shared" ca="1" si="5309"/>
        <v>0</v>
      </c>
      <c r="IN96" s="40">
        <f t="shared" ca="1" si="5309"/>
        <v>0</v>
      </c>
      <c r="IO96" s="40">
        <f t="shared" ca="1" si="5313"/>
        <v>0</v>
      </c>
      <c r="IP96" s="40">
        <f t="shared" ca="1" si="5313"/>
        <v>0</v>
      </c>
      <c r="IQ96" s="40">
        <f t="shared" ca="1" si="5313"/>
        <v>0</v>
      </c>
      <c r="IR96" s="40">
        <f t="shared" ca="1" si="5313"/>
        <v>0</v>
      </c>
      <c r="IS96" s="40">
        <f t="shared" ca="1" si="5313"/>
        <v>0</v>
      </c>
      <c r="IT96" s="40">
        <f t="shared" ca="1" si="5313"/>
        <v>0</v>
      </c>
      <c r="IU96" s="40">
        <f t="shared" ca="1" si="5313"/>
        <v>0</v>
      </c>
      <c r="IV96" s="40">
        <f t="shared" ca="1" si="5313"/>
        <v>0</v>
      </c>
      <c r="IW96" s="40">
        <f t="shared" ca="1" si="5313"/>
        <v>0</v>
      </c>
      <c r="IX96" s="40">
        <f t="shared" ca="1" si="5313"/>
        <v>0</v>
      </c>
      <c r="IY96" s="40">
        <f t="shared" ca="1" si="5313"/>
        <v>0</v>
      </c>
      <c r="IZ96" s="40">
        <f t="shared" ca="1" si="5313"/>
        <v>0</v>
      </c>
      <c r="JA96" s="40">
        <f t="shared" ca="1" si="5313"/>
        <v>0</v>
      </c>
      <c r="JB96" s="40">
        <f t="shared" ca="1" si="5313"/>
        <v>0</v>
      </c>
      <c r="JC96" s="40">
        <f t="shared" ca="1" si="5313"/>
        <v>0</v>
      </c>
      <c r="JD96" s="40">
        <f t="shared" ca="1" si="5313"/>
        <v>0</v>
      </c>
      <c r="JE96" s="40">
        <f t="shared" ca="1" si="5313"/>
        <v>0</v>
      </c>
      <c r="JF96" s="40">
        <f t="shared" ca="1" si="5313"/>
        <v>0</v>
      </c>
      <c r="JG96" s="40">
        <f t="shared" ca="1" si="5313"/>
        <v>0</v>
      </c>
      <c r="JH96" s="40">
        <f t="shared" ca="1" si="5313"/>
        <v>0</v>
      </c>
      <c r="JI96" s="40">
        <f t="shared" ca="1" si="5313"/>
        <v>0</v>
      </c>
      <c r="JJ96" s="40">
        <f t="shared" ca="1" si="5313"/>
        <v>0</v>
      </c>
      <c r="JK96" s="40">
        <f t="shared" ca="1" si="5313"/>
        <v>0</v>
      </c>
      <c r="JL96" s="40">
        <f t="shared" ca="1" si="5313"/>
        <v>0</v>
      </c>
      <c r="JM96" s="40">
        <f t="shared" ca="1" si="5313"/>
        <v>0</v>
      </c>
      <c r="JN96" s="40">
        <f t="shared" ca="1" si="5313"/>
        <v>0</v>
      </c>
      <c r="JO96" s="40">
        <f t="shared" ca="1" si="5313"/>
        <v>0</v>
      </c>
      <c r="JP96" s="40">
        <f t="shared" ca="1" si="5313"/>
        <v>0</v>
      </c>
      <c r="JQ96" s="40">
        <f t="shared" ca="1" si="5313"/>
        <v>0</v>
      </c>
      <c r="JR96" s="40">
        <f t="shared" ca="1" si="5313"/>
        <v>0</v>
      </c>
      <c r="JS96" s="40">
        <f t="shared" ca="1" si="5313"/>
        <v>0</v>
      </c>
      <c r="JT96" s="40">
        <f t="shared" ca="1" si="5313"/>
        <v>0</v>
      </c>
      <c r="JU96" s="40">
        <f t="shared" ca="1" si="5313"/>
        <v>0</v>
      </c>
      <c r="JV96" s="40">
        <f t="shared" ca="1" si="5313"/>
        <v>0</v>
      </c>
      <c r="JW96" s="40">
        <f t="shared" ca="1" si="5313"/>
        <v>0</v>
      </c>
      <c r="JX96" s="40">
        <f t="shared" ca="1" si="5313"/>
        <v>0</v>
      </c>
      <c r="JY96" s="40">
        <f t="shared" ca="1" si="5313"/>
        <v>0</v>
      </c>
      <c r="JZ96" s="40">
        <f t="shared" ca="1" si="5313"/>
        <v>0</v>
      </c>
      <c r="KA96" s="40">
        <f t="shared" ca="1" si="5313"/>
        <v>0</v>
      </c>
      <c r="KB96" s="40">
        <f t="shared" ca="1" si="5313"/>
        <v>0</v>
      </c>
      <c r="KC96" s="40">
        <f t="shared" ca="1" si="5313"/>
        <v>0</v>
      </c>
      <c r="KD96" s="40">
        <f t="shared" ca="1" si="5313"/>
        <v>0</v>
      </c>
      <c r="KE96" s="40">
        <f t="shared" ca="1" si="5313"/>
        <v>0</v>
      </c>
      <c r="KF96" s="40">
        <f t="shared" ca="1" si="5313"/>
        <v>0</v>
      </c>
      <c r="KG96" s="40">
        <f t="shared" ca="1" si="5313"/>
        <v>0</v>
      </c>
      <c r="KH96" s="40">
        <f t="shared" ca="1" si="5313"/>
        <v>0</v>
      </c>
      <c r="KI96" s="40">
        <f t="shared" ca="1" si="5313"/>
        <v>0</v>
      </c>
      <c r="KJ96" s="40">
        <f t="shared" ca="1" si="5313"/>
        <v>0</v>
      </c>
      <c r="KK96" s="40">
        <f t="shared" ca="1" si="5313"/>
        <v>0</v>
      </c>
      <c r="KL96" s="40">
        <f t="shared" ca="1" si="5313"/>
        <v>0</v>
      </c>
      <c r="KM96" s="40">
        <f t="shared" ca="1" si="5313"/>
        <v>0</v>
      </c>
      <c r="KN96" s="40">
        <f t="shared" ca="1" si="5313"/>
        <v>0</v>
      </c>
      <c r="KO96" s="40">
        <f t="shared" ca="1" si="5313"/>
        <v>0</v>
      </c>
      <c r="KP96" s="40">
        <f t="shared" ca="1" si="5313"/>
        <v>0</v>
      </c>
      <c r="KQ96" s="40">
        <f t="shared" ca="1" si="5313"/>
        <v>0</v>
      </c>
      <c r="KR96" s="40">
        <f t="shared" ca="1" si="5313"/>
        <v>0</v>
      </c>
      <c r="KS96" s="40">
        <f t="shared" ca="1" si="5313"/>
        <v>0</v>
      </c>
      <c r="KT96" s="40">
        <f t="shared" ca="1" si="5313"/>
        <v>0</v>
      </c>
      <c r="KU96" s="40">
        <f t="shared" ca="1" si="5313"/>
        <v>0</v>
      </c>
      <c r="KV96" s="40">
        <f t="shared" ca="1" si="5313"/>
        <v>0</v>
      </c>
      <c r="KW96" s="40">
        <f t="shared" ca="1" si="5313"/>
        <v>0</v>
      </c>
      <c r="KX96" s="40">
        <f t="shared" ca="1" si="5313"/>
        <v>0</v>
      </c>
      <c r="KY96" s="40">
        <f t="shared" ca="1" si="5313"/>
        <v>0</v>
      </c>
      <c r="KZ96" s="40">
        <f t="shared" ca="1" si="5313"/>
        <v>0</v>
      </c>
      <c r="LA96" s="40">
        <f t="shared" ca="1" si="5310"/>
        <v>0</v>
      </c>
      <c r="LB96" s="40">
        <f t="shared" ca="1" si="5311"/>
        <v>0</v>
      </c>
      <c r="LC96" s="40">
        <f t="shared" ca="1" si="5311"/>
        <v>0</v>
      </c>
      <c r="LD96" s="40">
        <f t="shared" ca="1" si="5311"/>
        <v>0</v>
      </c>
      <c r="LE96" s="40">
        <f t="shared" ca="1" si="5311"/>
        <v>0</v>
      </c>
      <c r="LF96" s="40">
        <f t="shared" ca="1" si="5311"/>
        <v>0</v>
      </c>
      <c r="LG96" s="40">
        <f t="shared" ca="1" si="5311"/>
        <v>0</v>
      </c>
      <c r="LH96" s="40">
        <f t="shared" ca="1" si="5311"/>
        <v>0</v>
      </c>
      <c r="LI96" s="40">
        <f t="shared" ca="1" si="5311"/>
        <v>0</v>
      </c>
      <c r="LJ96" s="40">
        <f t="shared" ca="1" si="5311"/>
        <v>0</v>
      </c>
      <c r="LK96" s="40">
        <f t="shared" ca="1" si="5311"/>
        <v>0</v>
      </c>
      <c r="LL96" s="40">
        <f t="shared" ca="1" si="5311"/>
        <v>0</v>
      </c>
      <c r="LM96" s="40">
        <f t="shared" ca="1" si="5311"/>
        <v>0</v>
      </c>
      <c r="LN96" s="40">
        <f t="shared" ca="1" si="5311"/>
        <v>0</v>
      </c>
      <c r="LO96" s="40">
        <f t="shared" ca="1" si="5311"/>
        <v>0</v>
      </c>
      <c r="LP96" s="40">
        <f t="shared" ca="1" si="5311"/>
        <v>0</v>
      </c>
      <c r="LQ96" s="40">
        <f t="shared" ca="1" si="5311"/>
        <v>0</v>
      </c>
      <c r="LR96" s="40">
        <f t="shared" ca="1" si="5311"/>
        <v>0</v>
      </c>
      <c r="LS96" s="40">
        <f t="shared" ca="1" si="5311"/>
        <v>0</v>
      </c>
      <c r="LT96" s="40">
        <f t="shared" ca="1" si="5311"/>
        <v>0</v>
      </c>
      <c r="LU96" s="40">
        <f t="shared" ca="1" si="5311"/>
        <v>0</v>
      </c>
      <c r="LV96" s="40">
        <f t="shared" ca="1" si="5311"/>
        <v>0</v>
      </c>
      <c r="LW96" s="40">
        <f t="shared" ca="1" si="5311"/>
        <v>0</v>
      </c>
      <c r="LX96" s="40">
        <f t="shared" ca="1" si="5311"/>
        <v>0</v>
      </c>
      <c r="LY96" s="40">
        <f t="shared" ca="1" si="5311"/>
        <v>0</v>
      </c>
      <c r="LZ96" s="40">
        <f t="shared" ca="1" si="5311"/>
        <v>0</v>
      </c>
      <c r="MA96" s="40">
        <f t="shared" ca="1" si="5311"/>
        <v>0</v>
      </c>
      <c r="MB96" s="40">
        <f t="shared" ca="1" si="5311"/>
        <v>0</v>
      </c>
      <c r="MC96" s="40">
        <f t="shared" ca="1" si="5311"/>
        <v>0</v>
      </c>
      <c r="MD96" s="40">
        <f t="shared" ca="1" si="5311"/>
        <v>0</v>
      </c>
      <c r="ME96" s="40">
        <f t="shared" ca="1" si="5311"/>
        <v>0</v>
      </c>
      <c r="MF96" s="40">
        <f t="shared" ca="1" si="5311"/>
        <v>0</v>
      </c>
      <c r="MG96" s="40">
        <f t="shared" ca="1" si="5311"/>
        <v>0</v>
      </c>
      <c r="MH96" s="40">
        <f t="shared" ca="1" si="5311"/>
        <v>0</v>
      </c>
      <c r="MI96" s="40">
        <f t="shared" ca="1" si="5311"/>
        <v>0</v>
      </c>
      <c r="MJ96" s="40">
        <f t="shared" ca="1" si="5311"/>
        <v>0</v>
      </c>
      <c r="MK96" s="40">
        <f t="shared" ca="1" si="5311"/>
        <v>0</v>
      </c>
      <c r="ML96" s="40">
        <f t="shared" ca="1" si="5311"/>
        <v>0</v>
      </c>
      <c r="MM96" s="40">
        <f t="shared" ca="1" si="5311"/>
        <v>0</v>
      </c>
      <c r="MN96" s="40">
        <f t="shared" ca="1" si="5311"/>
        <v>0</v>
      </c>
      <c r="MO96" s="40">
        <f t="shared" ca="1" si="5311"/>
        <v>0</v>
      </c>
      <c r="MP96" s="40">
        <f t="shared" ca="1" si="5311"/>
        <v>0</v>
      </c>
      <c r="MQ96" s="40">
        <f t="shared" ca="1" si="5311"/>
        <v>0</v>
      </c>
      <c r="MR96" s="40">
        <f t="shared" ca="1" si="5311"/>
        <v>0</v>
      </c>
      <c r="MS96" s="40">
        <f t="shared" ca="1" si="5311"/>
        <v>0</v>
      </c>
      <c r="MT96" s="40">
        <f t="shared" ca="1" si="5311"/>
        <v>0</v>
      </c>
      <c r="MU96" s="40">
        <f t="shared" ca="1" si="5311"/>
        <v>0</v>
      </c>
      <c r="MV96" s="40">
        <f t="shared" ca="1" si="5311"/>
        <v>0</v>
      </c>
      <c r="MW96" s="40">
        <f t="shared" ca="1" si="5311"/>
        <v>0</v>
      </c>
      <c r="MX96" s="40">
        <f t="shared" ca="1" si="5311"/>
        <v>0</v>
      </c>
      <c r="MY96" s="40">
        <f t="shared" ca="1" si="5311"/>
        <v>0</v>
      </c>
      <c r="MZ96" s="40">
        <f t="shared" ca="1" si="5311"/>
        <v>0</v>
      </c>
      <c r="NA96" s="40">
        <f t="shared" ca="1" si="5311"/>
        <v>0</v>
      </c>
      <c r="NB96" s="40">
        <f t="shared" ca="1" si="5311"/>
        <v>0</v>
      </c>
      <c r="NC96" s="40">
        <f t="shared" ca="1" si="5311"/>
        <v>0</v>
      </c>
      <c r="ND96" s="40">
        <f t="shared" ca="1" si="5311"/>
        <v>0</v>
      </c>
      <c r="NE96" s="40"/>
      <c r="NF96" s="40"/>
      <c r="NG96" s="40"/>
      <c r="NH96" s="40"/>
      <c r="NI96" s="40"/>
      <c r="NJ96" s="40"/>
      <c r="NK96" s="40"/>
      <c r="NL96" s="40"/>
      <c r="NM96" s="40"/>
      <c r="NN96" s="40"/>
      <c r="NO96" s="40"/>
      <c r="NP96" s="40"/>
      <c r="NQ96" s="40"/>
      <c r="NR96" s="40"/>
    </row>
    <row r="97" spans="2:382" x14ac:dyDescent="0.15">
      <c r="B97" s="520"/>
      <c r="C97" s="120" t="str">
        <f>$C$7</f>
        <v>-</v>
      </c>
      <c r="D97" s="5">
        <f>D82</f>
        <v>0</v>
      </c>
      <c r="G97" s="118"/>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c r="BJ97" s="40"/>
      <c r="BK97" s="40"/>
      <c r="BL97" s="40"/>
      <c r="BM97" s="40"/>
      <c r="BN97" s="40"/>
      <c r="BO97" s="40"/>
      <c r="BP97" s="40"/>
      <c r="BQ97" s="40"/>
      <c r="BR97" s="40"/>
      <c r="BS97" s="40"/>
      <c r="BT97" s="40"/>
      <c r="BU97" s="40"/>
      <c r="BV97" s="40"/>
      <c r="BW97" s="40"/>
      <c r="BX97" s="40"/>
      <c r="BY97" s="40"/>
      <c r="BZ97" s="40"/>
      <c r="CA97" s="40"/>
      <c r="CB97" s="40"/>
      <c r="CC97" s="40"/>
      <c r="CD97" s="40"/>
      <c r="CE97" s="40"/>
      <c r="CF97" s="40"/>
      <c r="CG97" s="40"/>
      <c r="CH97" s="40"/>
      <c r="CI97" s="40"/>
      <c r="CJ97" s="40"/>
      <c r="CK97" s="40"/>
      <c r="CL97" s="40"/>
      <c r="CM97" s="40"/>
      <c r="CN97" s="40"/>
      <c r="CO97" s="40"/>
      <c r="CP97" s="40"/>
      <c r="CQ97" s="40"/>
      <c r="CR97" s="40"/>
      <c r="CS97" s="40"/>
      <c r="CT97" s="40"/>
      <c r="CU97" s="40"/>
      <c r="CV97" s="40"/>
      <c r="CW97" s="40"/>
      <c r="CX97" s="40"/>
      <c r="CY97" s="40"/>
      <c r="CZ97" s="40"/>
      <c r="DA97" s="40"/>
      <c r="DB97" s="40"/>
      <c r="DC97" s="40"/>
      <c r="DD97" s="40"/>
      <c r="DE97" s="40"/>
      <c r="DF97" s="40"/>
      <c r="DG97" s="40"/>
      <c r="DH97" s="40"/>
      <c r="DI97" s="40"/>
      <c r="DJ97" s="40"/>
      <c r="DK97" s="40"/>
      <c r="DL97" s="40"/>
      <c r="DM97" s="40"/>
      <c r="DN97" s="40"/>
      <c r="DO97" s="40"/>
      <c r="DP97" s="40"/>
      <c r="DQ97" s="40"/>
      <c r="DR97" s="40"/>
      <c r="DS97" s="40"/>
      <c r="DT97" s="40"/>
      <c r="DU97" s="40"/>
      <c r="DV97" s="40"/>
      <c r="DW97" s="40"/>
      <c r="DX97" s="40"/>
      <c r="DY97" s="40"/>
      <c r="DZ97" s="40"/>
      <c r="EA97" s="40"/>
      <c r="EB97" s="40"/>
      <c r="EC97" s="40"/>
      <c r="ED97" s="40"/>
      <c r="EE97" s="40"/>
      <c r="EF97" s="40"/>
      <c r="EG97" s="40"/>
      <c r="EH97" s="40"/>
      <c r="EI97" s="40"/>
      <c r="EJ97" s="40"/>
      <c r="EK97" s="40"/>
      <c r="EL97" s="40"/>
      <c r="EM97" s="40"/>
      <c r="EN97" s="40"/>
      <c r="EO97" s="40"/>
      <c r="EP97" s="40"/>
      <c r="EQ97" s="40"/>
      <c r="ER97" s="40"/>
      <c r="ES97" s="40"/>
      <c r="ET97" s="40"/>
      <c r="EU97" s="40"/>
      <c r="EV97" s="40"/>
      <c r="EW97" s="40"/>
      <c r="EX97" s="40"/>
      <c r="EY97" s="40"/>
      <c r="EZ97" s="40"/>
      <c r="FA97" s="40"/>
      <c r="FB97" s="40"/>
      <c r="FC97" s="40"/>
      <c r="FD97" s="40"/>
      <c r="FE97" s="40"/>
      <c r="FF97" s="40"/>
      <c r="FG97" s="40"/>
      <c r="FH97" s="40"/>
      <c r="FI97" s="40"/>
      <c r="FJ97" s="40"/>
      <c r="FK97" s="40"/>
      <c r="FL97" s="40"/>
      <c r="FM97" s="40"/>
      <c r="FN97" s="40"/>
      <c r="FO97" s="40"/>
      <c r="FP97" s="40"/>
      <c r="FQ97" s="40"/>
      <c r="FR97" s="40"/>
      <c r="FS97" s="40"/>
      <c r="FT97" s="40"/>
      <c r="FU97" s="40"/>
      <c r="FV97" s="40"/>
      <c r="FW97" s="40"/>
      <c r="FX97" s="40"/>
      <c r="FY97" s="40"/>
      <c r="FZ97" s="40"/>
      <c r="GA97" s="40"/>
      <c r="GB97" s="40"/>
      <c r="GC97" s="40"/>
      <c r="GD97" s="40"/>
      <c r="GE97" s="40"/>
      <c r="GF97" s="40"/>
      <c r="GG97" s="40"/>
      <c r="GH97" s="40"/>
      <c r="GI97" s="40"/>
      <c r="GJ97" s="40"/>
      <c r="GK97" s="40"/>
      <c r="GL97" s="40"/>
      <c r="GM97" s="40"/>
      <c r="GN97" s="40"/>
      <c r="GO97" s="40"/>
      <c r="GP97" s="40"/>
      <c r="GQ97" s="40"/>
      <c r="GR97" s="40"/>
      <c r="GS97" s="40"/>
      <c r="GT97" s="40"/>
      <c r="GU97" s="40"/>
      <c r="GV97" s="40"/>
      <c r="GW97" s="40"/>
      <c r="GX97" s="40"/>
      <c r="GY97" s="40"/>
      <c r="GZ97" s="40"/>
      <c r="HA97" s="40"/>
      <c r="HB97" s="40"/>
      <c r="HC97" s="40"/>
      <c r="HD97" s="40"/>
      <c r="HE97" s="40"/>
      <c r="HF97" s="40"/>
      <c r="HG97" s="40"/>
      <c r="HH97" s="40"/>
      <c r="HI97" s="40"/>
      <c r="HJ97" s="40"/>
      <c r="HK97" s="40"/>
      <c r="HL97" s="40"/>
      <c r="HM97" s="40"/>
      <c r="HN97" s="40"/>
      <c r="HO97" s="40"/>
      <c r="HP97" s="40"/>
      <c r="HQ97" s="40"/>
      <c r="HR97" s="40"/>
      <c r="HS97" s="40"/>
      <c r="HT97" s="40"/>
      <c r="HU97" s="40"/>
      <c r="HV97" s="40"/>
      <c r="HW97" s="40"/>
      <c r="HX97" s="40"/>
      <c r="HY97" s="40"/>
      <c r="HZ97" s="40"/>
      <c r="IA97" s="40"/>
      <c r="IB97" s="40"/>
      <c r="IC97" s="40"/>
      <c r="ID97" s="40"/>
      <c r="IE97" s="40"/>
      <c r="IF97" s="40"/>
      <c r="IG97" s="40"/>
      <c r="IH97" s="40"/>
      <c r="II97" s="40"/>
      <c r="IJ97" s="40"/>
      <c r="IK97" s="40"/>
      <c r="IL97" s="40"/>
      <c r="IM97" s="40"/>
      <c r="IN97" s="40"/>
      <c r="IO97" s="40"/>
      <c r="IP97" s="40"/>
      <c r="IQ97" s="40"/>
      <c r="IR97" s="40"/>
      <c r="IS97" s="40"/>
      <c r="IT97" s="40"/>
      <c r="IU97" s="40"/>
      <c r="IV97" s="40"/>
      <c r="IW97" s="40"/>
      <c r="IX97" s="40"/>
      <c r="IY97" s="40"/>
      <c r="IZ97" s="40"/>
      <c r="JA97" s="40"/>
      <c r="JB97" s="40"/>
      <c r="JC97" s="40"/>
      <c r="JD97" s="40"/>
      <c r="JE97" s="40"/>
      <c r="JF97" s="40"/>
      <c r="JG97" s="40"/>
      <c r="JH97" s="40"/>
      <c r="JI97" s="40"/>
      <c r="JJ97" s="40"/>
      <c r="JK97" s="40"/>
      <c r="JL97" s="40"/>
      <c r="JM97" s="40"/>
      <c r="JN97" s="40"/>
      <c r="JO97" s="40"/>
      <c r="JP97" s="40"/>
      <c r="JQ97" s="40"/>
      <c r="JR97" s="40"/>
      <c r="JS97" s="40"/>
      <c r="JT97" s="40"/>
      <c r="JU97" s="40"/>
      <c r="JV97" s="40"/>
      <c r="JW97" s="40"/>
      <c r="JX97" s="40"/>
      <c r="JY97" s="40"/>
      <c r="JZ97" s="40"/>
      <c r="KA97" s="40"/>
      <c r="KB97" s="40"/>
      <c r="KC97" s="40"/>
      <c r="KD97" s="40"/>
      <c r="KE97" s="40"/>
      <c r="KF97" s="40"/>
      <c r="KG97" s="40"/>
      <c r="KH97" s="40"/>
      <c r="KI97" s="40"/>
      <c r="KJ97" s="40"/>
      <c r="KK97" s="40"/>
      <c r="KL97" s="40"/>
      <c r="KM97" s="40"/>
      <c r="KN97" s="40"/>
      <c r="KO97" s="40"/>
      <c r="KP97" s="40"/>
      <c r="KQ97" s="40"/>
      <c r="KR97" s="40"/>
      <c r="KS97" s="40"/>
      <c r="KT97" s="40"/>
      <c r="KU97" s="40"/>
      <c r="KV97" s="40"/>
      <c r="KW97" s="40"/>
      <c r="KX97" s="40"/>
      <c r="KY97" s="40"/>
      <c r="KZ97" s="40"/>
      <c r="LA97" s="40"/>
      <c r="LB97" s="40"/>
      <c r="LC97" s="40"/>
      <c r="LD97" s="40"/>
      <c r="LE97" s="40"/>
      <c r="LF97" s="40"/>
      <c r="LG97" s="40"/>
      <c r="LH97" s="40"/>
      <c r="LI97" s="40"/>
      <c r="LJ97" s="40"/>
      <c r="LK97" s="40"/>
      <c r="LL97" s="40"/>
      <c r="LM97" s="40"/>
      <c r="LN97" s="40"/>
      <c r="LO97" s="40"/>
      <c r="LP97" s="40"/>
      <c r="LQ97" s="40"/>
      <c r="LR97" s="40"/>
      <c r="LS97" s="40"/>
      <c r="LT97" s="40"/>
      <c r="LU97" s="40"/>
      <c r="LV97" s="40"/>
      <c r="LW97" s="40"/>
      <c r="LX97" s="40"/>
      <c r="LY97" s="40"/>
      <c r="LZ97" s="40"/>
      <c r="MA97" s="40"/>
      <c r="MB97" s="40"/>
      <c r="MC97" s="40"/>
      <c r="MD97" s="40"/>
      <c r="ME97" s="40"/>
      <c r="MF97" s="40"/>
      <c r="MG97" s="40"/>
      <c r="MH97" s="40"/>
      <c r="MI97" s="40"/>
      <c r="MJ97" s="40"/>
      <c r="MK97" s="40"/>
      <c r="ML97" s="40"/>
      <c r="MM97" s="40"/>
      <c r="MN97" s="40"/>
      <c r="MO97" s="40"/>
      <c r="MP97" s="40"/>
      <c r="MQ97" s="40"/>
      <c r="MR97" s="40"/>
      <c r="MS97" s="40"/>
      <c r="MT97" s="40"/>
      <c r="MU97" s="40"/>
      <c r="MV97" s="40"/>
      <c r="MW97" s="40"/>
      <c r="MX97" s="40"/>
      <c r="MY97" s="40"/>
      <c r="MZ97" s="40"/>
      <c r="NA97" s="40"/>
      <c r="NB97" s="40"/>
      <c r="NC97" s="40"/>
      <c r="ND97" s="40"/>
      <c r="NE97" s="40"/>
      <c r="NF97" s="40"/>
      <c r="NG97" s="40"/>
      <c r="NH97" s="40"/>
      <c r="NI97" s="40"/>
      <c r="NJ97" s="40"/>
      <c r="NK97" s="40"/>
      <c r="NL97" s="40"/>
      <c r="NM97" s="40"/>
      <c r="NN97" s="40"/>
      <c r="NO97" s="40"/>
      <c r="NP97" s="40"/>
      <c r="NQ97" s="40"/>
      <c r="NR97" s="40"/>
    </row>
    <row r="98" spans="2:382" x14ac:dyDescent="0.15">
      <c r="B98" s="520"/>
      <c r="C98" t="s">
        <v>182</v>
      </c>
      <c r="E98" s="5">
        <f>K11</f>
        <v>1</v>
      </c>
      <c r="G98" s="118"/>
      <c r="I98" s="40">
        <f t="shared" ref="I98:J98" si="5317">MIN(I$85,I$85*$E$98,I89)</f>
        <v>0</v>
      </c>
      <c r="J98" s="40">
        <f t="shared" si="5317"/>
        <v>0</v>
      </c>
      <c r="K98" s="40">
        <f t="shared" ref="K98:BV98" si="5318">MIN(K$85,K$85*$E$98,K89)</f>
        <v>0</v>
      </c>
      <c r="L98" s="40">
        <f t="shared" si="5318"/>
        <v>0</v>
      </c>
      <c r="M98" s="40">
        <f t="shared" si="5318"/>
        <v>0</v>
      </c>
      <c r="N98" s="40">
        <f t="shared" si="5318"/>
        <v>0</v>
      </c>
      <c r="O98" s="40">
        <f t="shared" si="5318"/>
        <v>0</v>
      </c>
      <c r="P98" s="40">
        <f t="shared" si="5318"/>
        <v>0</v>
      </c>
      <c r="Q98" s="40">
        <f t="shared" si="5318"/>
        <v>0</v>
      </c>
      <c r="R98" s="40">
        <f t="shared" si="5318"/>
        <v>0</v>
      </c>
      <c r="S98" s="40">
        <f t="shared" si="5318"/>
        <v>0</v>
      </c>
      <c r="T98" s="40">
        <f t="shared" si="5318"/>
        <v>0</v>
      </c>
      <c r="U98" s="40">
        <f t="shared" si="5318"/>
        <v>0</v>
      </c>
      <c r="V98" s="40">
        <f t="shared" si="5318"/>
        <v>0</v>
      </c>
      <c r="W98" s="40">
        <f t="shared" si="5318"/>
        <v>0</v>
      </c>
      <c r="X98" s="40">
        <f t="shared" si="5318"/>
        <v>0</v>
      </c>
      <c r="Y98" s="40">
        <f t="shared" si="5318"/>
        <v>0</v>
      </c>
      <c r="Z98" s="40">
        <f t="shared" si="5318"/>
        <v>0</v>
      </c>
      <c r="AA98" s="40">
        <f t="shared" si="5318"/>
        <v>0</v>
      </c>
      <c r="AB98" s="40">
        <f t="shared" si="5318"/>
        <v>0</v>
      </c>
      <c r="AC98" s="40">
        <f t="shared" si="5318"/>
        <v>0</v>
      </c>
      <c r="AD98" s="40">
        <f t="shared" si="5318"/>
        <v>0</v>
      </c>
      <c r="AE98" s="40">
        <f t="shared" si="5318"/>
        <v>0</v>
      </c>
      <c r="AF98" s="40">
        <f t="shared" si="5318"/>
        <v>0</v>
      </c>
      <c r="AG98" s="40">
        <f t="shared" si="5318"/>
        <v>0</v>
      </c>
      <c r="AH98" s="40">
        <f t="shared" si="5318"/>
        <v>0</v>
      </c>
      <c r="AI98" s="40">
        <f t="shared" si="5318"/>
        <v>0</v>
      </c>
      <c r="AJ98" s="40">
        <f t="shared" si="5318"/>
        <v>0</v>
      </c>
      <c r="AK98" s="40">
        <f t="shared" si="5318"/>
        <v>0</v>
      </c>
      <c r="AL98" s="40">
        <f t="shared" si="5318"/>
        <v>0</v>
      </c>
      <c r="AM98" s="40">
        <f t="shared" si="5318"/>
        <v>0</v>
      </c>
      <c r="AN98" s="40">
        <f t="shared" si="5318"/>
        <v>0</v>
      </c>
      <c r="AO98" s="40">
        <f t="shared" si="5318"/>
        <v>0</v>
      </c>
      <c r="AP98" s="40">
        <f t="shared" si="5318"/>
        <v>0</v>
      </c>
      <c r="AQ98" s="40">
        <f t="shared" si="5318"/>
        <v>0</v>
      </c>
      <c r="AR98" s="40">
        <f t="shared" si="5318"/>
        <v>0</v>
      </c>
      <c r="AS98" s="40">
        <f t="shared" si="5318"/>
        <v>0</v>
      </c>
      <c r="AT98" s="40">
        <f t="shared" si="5318"/>
        <v>0</v>
      </c>
      <c r="AU98" s="40">
        <f t="shared" si="5318"/>
        <v>0</v>
      </c>
      <c r="AV98" s="40">
        <f t="shared" si="5318"/>
        <v>0</v>
      </c>
      <c r="AW98" s="40">
        <f t="shared" si="5318"/>
        <v>0</v>
      </c>
      <c r="AX98" s="40">
        <f t="shared" si="5318"/>
        <v>0</v>
      </c>
      <c r="AY98" s="40">
        <f t="shared" si="5318"/>
        <v>0</v>
      </c>
      <c r="AZ98" s="40">
        <f t="shared" si="5318"/>
        <v>0</v>
      </c>
      <c r="BA98" s="40">
        <f t="shared" si="5318"/>
        <v>0</v>
      </c>
      <c r="BB98" s="40">
        <f t="shared" si="5318"/>
        <v>0</v>
      </c>
      <c r="BC98" s="40">
        <f t="shared" si="5318"/>
        <v>0</v>
      </c>
      <c r="BD98" s="40">
        <f t="shared" si="5318"/>
        <v>0</v>
      </c>
      <c r="BE98" s="40">
        <f t="shared" si="5318"/>
        <v>0</v>
      </c>
      <c r="BF98" s="40">
        <f t="shared" si="5318"/>
        <v>0</v>
      </c>
      <c r="BG98" s="40">
        <f t="shared" si="5318"/>
        <v>0</v>
      </c>
      <c r="BH98" s="40">
        <f t="shared" si="5318"/>
        <v>0</v>
      </c>
      <c r="BI98" s="40">
        <f t="shared" si="5318"/>
        <v>0</v>
      </c>
      <c r="BJ98" s="40">
        <f t="shared" si="5318"/>
        <v>0</v>
      </c>
      <c r="BK98" s="40">
        <f t="shared" si="5318"/>
        <v>0</v>
      </c>
      <c r="BL98" s="40">
        <f t="shared" si="5318"/>
        <v>0</v>
      </c>
      <c r="BM98" s="40">
        <f t="shared" si="5318"/>
        <v>0</v>
      </c>
      <c r="BN98" s="40">
        <f t="shared" si="5318"/>
        <v>0</v>
      </c>
      <c r="BO98" s="40">
        <f t="shared" si="5318"/>
        <v>0</v>
      </c>
      <c r="BP98" s="40">
        <f t="shared" si="5318"/>
        <v>0</v>
      </c>
      <c r="BQ98" s="40">
        <f t="shared" si="5318"/>
        <v>0</v>
      </c>
      <c r="BR98" s="40">
        <f t="shared" si="5318"/>
        <v>0</v>
      </c>
      <c r="BS98" s="40">
        <f t="shared" si="5318"/>
        <v>0</v>
      </c>
      <c r="BT98" s="40">
        <f t="shared" si="5318"/>
        <v>0</v>
      </c>
      <c r="BU98" s="40">
        <f t="shared" si="5318"/>
        <v>0</v>
      </c>
      <c r="BV98" s="40">
        <f t="shared" si="5318"/>
        <v>0</v>
      </c>
      <c r="BW98" s="40">
        <f t="shared" ref="BW98:EH98" si="5319">MIN(BW$85,BW$85*$E$98,BW89)</f>
        <v>0</v>
      </c>
      <c r="BX98" s="40">
        <f t="shared" si="5319"/>
        <v>0</v>
      </c>
      <c r="BY98" s="40">
        <f t="shared" si="5319"/>
        <v>0</v>
      </c>
      <c r="BZ98" s="40">
        <f t="shared" si="5319"/>
        <v>0</v>
      </c>
      <c r="CA98" s="40">
        <f t="shared" si="5319"/>
        <v>0</v>
      </c>
      <c r="CB98" s="40">
        <f t="shared" si="5319"/>
        <v>0</v>
      </c>
      <c r="CC98" s="40">
        <f t="shared" si="5319"/>
        <v>0</v>
      </c>
      <c r="CD98" s="40">
        <f t="shared" si="5319"/>
        <v>0</v>
      </c>
      <c r="CE98" s="40">
        <f t="shared" si="5319"/>
        <v>0</v>
      </c>
      <c r="CF98" s="40">
        <f t="shared" si="5319"/>
        <v>0</v>
      </c>
      <c r="CG98" s="40">
        <f t="shared" si="5319"/>
        <v>0</v>
      </c>
      <c r="CH98" s="40">
        <f t="shared" si="5319"/>
        <v>0</v>
      </c>
      <c r="CI98" s="40">
        <f t="shared" si="5319"/>
        <v>0</v>
      </c>
      <c r="CJ98" s="40">
        <f t="shared" si="5319"/>
        <v>0</v>
      </c>
      <c r="CK98" s="40">
        <f t="shared" si="5319"/>
        <v>0</v>
      </c>
      <c r="CL98" s="40">
        <f t="shared" si="5319"/>
        <v>0</v>
      </c>
      <c r="CM98" s="40">
        <f t="shared" si="5319"/>
        <v>0</v>
      </c>
      <c r="CN98" s="40">
        <f t="shared" si="5319"/>
        <v>0</v>
      </c>
      <c r="CO98" s="40">
        <f t="shared" si="5319"/>
        <v>0</v>
      </c>
      <c r="CP98" s="40">
        <f t="shared" si="5319"/>
        <v>0</v>
      </c>
      <c r="CQ98" s="40">
        <f t="shared" si="5319"/>
        <v>0</v>
      </c>
      <c r="CR98" s="40">
        <f t="shared" si="5319"/>
        <v>0</v>
      </c>
      <c r="CS98" s="40">
        <f t="shared" si="5319"/>
        <v>0</v>
      </c>
      <c r="CT98" s="40">
        <f t="shared" si="5319"/>
        <v>0</v>
      </c>
      <c r="CU98" s="40">
        <f t="shared" si="5319"/>
        <v>0</v>
      </c>
      <c r="CV98" s="40">
        <f t="shared" si="5319"/>
        <v>0</v>
      </c>
      <c r="CW98" s="40">
        <f t="shared" si="5319"/>
        <v>0</v>
      </c>
      <c r="CX98" s="40">
        <f t="shared" si="5319"/>
        <v>0</v>
      </c>
      <c r="CY98" s="40">
        <f t="shared" si="5319"/>
        <v>0</v>
      </c>
      <c r="CZ98" s="40">
        <f t="shared" si="5319"/>
        <v>0</v>
      </c>
      <c r="DA98" s="40">
        <f t="shared" si="5319"/>
        <v>0</v>
      </c>
      <c r="DB98" s="40">
        <f t="shared" si="5319"/>
        <v>0</v>
      </c>
      <c r="DC98" s="40">
        <f t="shared" si="5319"/>
        <v>0</v>
      </c>
      <c r="DD98" s="40">
        <f t="shared" si="5319"/>
        <v>0</v>
      </c>
      <c r="DE98" s="40">
        <f t="shared" si="5319"/>
        <v>0</v>
      </c>
      <c r="DF98" s="40">
        <f t="shared" si="5319"/>
        <v>0</v>
      </c>
      <c r="DG98" s="40">
        <f t="shared" si="5319"/>
        <v>0</v>
      </c>
      <c r="DH98" s="40">
        <f t="shared" si="5319"/>
        <v>0</v>
      </c>
      <c r="DI98" s="40">
        <f t="shared" si="5319"/>
        <v>0</v>
      </c>
      <c r="DJ98" s="40">
        <f t="shared" si="5319"/>
        <v>0</v>
      </c>
      <c r="DK98" s="40">
        <f t="shared" si="5319"/>
        <v>0</v>
      </c>
      <c r="DL98" s="40">
        <f t="shared" si="5319"/>
        <v>0</v>
      </c>
      <c r="DM98" s="40">
        <f t="shared" si="5319"/>
        <v>0</v>
      </c>
      <c r="DN98" s="40">
        <f t="shared" si="5319"/>
        <v>0</v>
      </c>
      <c r="DO98" s="40">
        <f t="shared" si="5319"/>
        <v>0</v>
      </c>
      <c r="DP98" s="40">
        <f t="shared" si="5319"/>
        <v>0</v>
      </c>
      <c r="DQ98" s="40">
        <f t="shared" si="5319"/>
        <v>0</v>
      </c>
      <c r="DR98" s="40">
        <f t="shared" si="5319"/>
        <v>0</v>
      </c>
      <c r="DS98" s="40">
        <f t="shared" si="5319"/>
        <v>0</v>
      </c>
      <c r="DT98" s="40">
        <f t="shared" si="5319"/>
        <v>0</v>
      </c>
      <c r="DU98" s="40">
        <f t="shared" si="5319"/>
        <v>0</v>
      </c>
      <c r="DV98" s="40">
        <f t="shared" si="5319"/>
        <v>0</v>
      </c>
      <c r="DW98" s="40">
        <f t="shared" si="5319"/>
        <v>0</v>
      </c>
      <c r="DX98" s="40">
        <f t="shared" si="5319"/>
        <v>0</v>
      </c>
      <c r="DY98" s="40">
        <f t="shared" si="5319"/>
        <v>0</v>
      </c>
      <c r="DZ98" s="40">
        <f t="shared" si="5319"/>
        <v>0</v>
      </c>
      <c r="EA98" s="40">
        <f t="shared" si="5319"/>
        <v>0</v>
      </c>
      <c r="EB98" s="40">
        <f t="shared" si="5319"/>
        <v>0</v>
      </c>
      <c r="EC98" s="40">
        <f t="shared" si="5319"/>
        <v>0</v>
      </c>
      <c r="ED98" s="40">
        <f t="shared" si="5319"/>
        <v>0</v>
      </c>
      <c r="EE98" s="40">
        <f t="shared" si="5319"/>
        <v>0</v>
      </c>
      <c r="EF98" s="40">
        <f t="shared" si="5319"/>
        <v>0</v>
      </c>
      <c r="EG98" s="40">
        <f t="shared" si="5319"/>
        <v>0</v>
      </c>
      <c r="EH98" s="40">
        <f t="shared" si="5319"/>
        <v>0</v>
      </c>
      <c r="EI98" s="40">
        <f t="shared" ref="EI98:GT98" si="5320">MIN(EI$85,EI$85*$E$98,EI89)</f>
        <v>0</v>
      </c>
      <c r="EJ98" s="40">
        <f t="shared" si="5320"/>
        <v>0</v>
      </c>
      <c r="EK98" s="40">
        <f t="shared" si="5320"/>
        <v>0</v>
      </c>
      <c r="EL98" s="40">
        <f t="shared" si="5320"/>
        <v>0</v>
      </c>
      <c r="EM98" s="40">
        <f t="shared" si="5320"/>
        <v>0</v>
      </c>
      <c r="EN98" s="40">
        <f t="shared" si="5320"/>
        <v>0</v>
      </c>
      <c r="EO98" s="40">
        <f t="shared" si="5320"/>
        <v>0</v>
      </c>
      <c r="EP98" s="40">
        <f t="shared" si="5320"/>
        <v>0</v>
      </c>
      <c r="EQ98" s="40">
        <f t="shared" si="5320"/>
        <v>0</v>
      </c>
      <c r="ER98" s="40">
        <f t="shared" si="5320"/>
        <v>0</v>
      </c>
      <c r="ES98" s="40">
        <f t="shared" si="5320"/>
        <v>0</v>
      </c>
      <c r="ET98" s="40">
        <f t="shared" si="5320"/>
        <v>0</v>
      </c>
      <c r="EU98" s="40">
        <f t="shared" si="5320"/>
        <v>0</v>
      </c>
      <c r="EV98" s="40">
        <f t="shared" si="5320"/>
        <v>0</v>
      </c>
      <c r="EW98" s="40">
        <f t="shared" si="5320"/>
        <v>0</v>
      </c>
      <c r="EX98" s="40">
        <f t="shared" si="5320"/>
        <v>0</v>
      </c>
      <c r="EY98" s="40">
        <f t="shared" si="5320"/>
        <v>0</v>
      </c>
      <c r="EZ98" s="40">
        <f t="shared" si="5320"/>
        <v>0</v>
      </c>
      <c r="FA98" s="40">
        <f t="shared" si="5320"/>
        <v>0</v>
      </c>
      <c r="FB98" s="40">
        <f t="shared" si="5320"/>
        <v>0</v>
      </c>
      <c r="FC98" s="40">
        <f t="shared" si="5320"/>
        <v>0</v>
      </c>
      <c r="FD98" s="40">
        <f t="shared" si="5320"/>
        <v>0</v>
      </c>
      <c r="FE98" s="40">
        <f t="shared" si="5320"/>
        <v>0</v>
      </c>
      <c r="FF98" s="40">
        <f t="shared" si="5320"/>
        <v>0</v>
      </c>
      <c r="FG98" s="40">
        <f t="shared" si="5320"/>
        <v>0</v>
      </c>
      <c r="FH98" s="40">
        <f t="shared" si="5320"/>
        <v>0</v>
      </c>
      <c r="FI98" s="40">
        <f t="shared" si="5320"/>
        <v>0</v>
      </c>
      <c r="FJ98" s="40">
        <f t="shared" si="5320"/>
        <v>0</v>
      </c>
      <c r="FK98" s="40">
        <f t="shared" si="5320"/>
        <v>0</v>
      </c>
      <c r="FL98" s="40">
        <f t="shared" si="5320"/>
        <v>0</v>
      </c>
      <c r="FM98" s="40">
        <f t="shared" si="5320"/>
        <v>0</v>
      </c>
      <c r="FN98" s="40">
        <f t="shared" si="5320"/>
        <v>0</v>
      </c>
      <c r="FO98" s="40">
        <f t="shared" si="5320"/>
        <v>0</v>
      </c>
      <c r="FP98" s="40">
        <f t="shared" si="5320"/>
        <v>0</v>
      </c>
      <c r="FQ98" s="40">
        <f t="shared" si="5320"/>
        <v>0</v>
      </c>
      <c r="FR98" s="40">
        <f t="shared" si="5320"/>
        <v>0</v>
      </c>
      <c r="FS98" s="40">
        <f t="shared" si="5320"/>
        <v>0</v>
      </c>
      <c r="FT98" s="40">
        <f t="shared" si="5320"/>
        <v>0</v>
      </c>
      <c r="FU98" s="40">
        <f t="shared" si="5320"/>
        <v>0</v>
      </c>
      <c r="FV98" s="40">
        <f t="shared" si="5320"/>
        <v>0</v>
      </c>
      <c r="FW98" s="40">
        <f t="shared" si="5320"/>
        <v>0</v>
      </c>
      <c r="FX98" s="40">
        <f t="shared" si="5320"/>
        <v>0</v>
      </c>
      <c r="FY98" s="40">
        <f t="shared" si="5320"/>
        <v>0</v>
      </c>
      <c r="FZ98" s="40">
        <f t="shared" si="5320"/>
        <v>0</v>
      </c>
      <c r="GA98" s="40">
        <f t="shared" si="5320"/>
        <v>0</v>
      </c>
      <c r="GB98" s="40">
        <f t="shared" si="5320"/>
        <v>0</v>
      </c>
      <c r="GC98" s="40">
        <f t="shared" si="5320"/>
        <v>0</v>
      </c>
      <c r="GD98" s="40">
        <f t="shared" si="5320"/>
        <v>0</v>
      </c>
      <c r="GE98" s="40">
        <f t="shared" si="5320"/>
        <v>0</v>
      </c>
      <c r="GF98" s="40">
        <f t="shared" ca="1" si="5320"/>
        <v>0</v>
      </c>
      <c r="GG98" s="40">
        <f t="shared" ca="1" si="5320"/>
        <v>0</v>
      </c>
      <c r="GH98" s="40">
        <f t="shared" ca="1" si="5320"/>
        <v>0</v>
      </c>
      <c r="GI98" s="40">
        <f t="shared" ca="1" si="5320"/>
        <v>0</v>
      </c>
      <c r="GJ98" s="40">
        <f t="shared" ca="1" si="5320"/>
        <v>0</v>
      </c>
      <c r="GK98" s="40">
        <f t="shared" ca="1" si="5320"/>
        <v>0</v>
      </c>
      <c r="GL98" s="40">
        <f t="shared" ca="1" si="5320"/>
        <v>0</v>
      </c>
      <c r="GM98" s="40">
        <f t="shared" ca="1" si="5320"/>
        <v>0</v>
      </c>
      <c r="GN98" s="40">
        <f t="shared" ca="1" si="5320"/>
        <v>0</v>
      </c>
      <c r="GO98" s="40">
        <f t="shared" ca="1" si="5320"/>
        <v>0</v>
      </c>
      <c r="GP98" s="40">
        <f t="shared" ca="1" si="5320"/>
        <v>0</v>
      </c>
      <c r="GQ98" s="40">
        <f t="shared" ca="1" si="5320"/>
        <v>0</v>
      </c>
      <c r="GR98" s="40">
        <f t="shared" ca="1" si="5320"/>
        <v>0</v>
      </c>
      <c r="GS98" s="40">
        <f t="shared" ca="1" si="5320"/>
        <v>0</v>
      </c>
      <c r="GT98" s="40">
        <f t="shared" ca="1" si="5320"/>
        <v>0</v>
      </c>
      <c r="GU98" s="40">
        <f t="shared" ref="GU98:IN98" ca="1" si="5321">MIN(GU$85,GU$85*$E$98,GU89)</f>
        <v>0</v>
      </c>
      <c r="GV98" s="40">
        <f t="shared" ca="1" si="5321"/>
        <v>0</v>
      </c>
      <c r="GW98" s="40">
        <f t="shared" ca="1" si="5321"/>
        <v>0</v>
      </c>
      <c r="GX98" s="40">
        <f t="shared" ca="1" si="5321"/>
        <v>0</v>
      </c>
      <c r="GY98" s="40">
        <f t="shared" ca="1" si="5321"/>
        <v>0</v>
      </c>
      <c r="GZ98" s="40">
        <f t="shared" ca="1" si="5321"/>
        <v>0</v>
      </c>
      <c r="HA98" s="40">
        <f t="shared" ca="1" si="5321"/>
        <v>0</v>
      </c>
      <c r="HB98" s="40">
        <f t="shared" ca="1" si="5321"/>
        <v>0</v>
      </c>
      <c r="HC98" s="40">
        <f t="shared" ca="1" si="5321"/>
        <v>0</v>
      </c>
      <c r="HD98" s="40">
        <f t="shared" ca="1" si="5321"/>
        <v>0</v>
      </c>
      <c r="HE98" s="40">
        <f t="shared" ca="1" si="5321"/>
        <v>0</v>
      </c>
      <c r="HF98" s="40">
        <f t="shared" ca="1" si="5321"/>
        <v>0</v>
      </c>
      <c r="HG98" s="40">
        <f t="shared" ca="1" si="5321"/>
        <v>0</v>
      </c>
      <c r="HH98" s="40">
        <f t="shared" ca="1" si="5321"/>
        <v>0</v>
      </c>
      <c r="HI98" s="40">
        <f t="shared" ca="1" si="5321"/>
        <v>0</v>
      </c>
      <c r="HJ98" s="40">
        <f t="shared" ca="1" si="5321"/>
        <v>0</v>
      </c>
      <c r="HK98" s="40">
        <f t="shared" ca="1" si="5321"/>
        <v>0</v>
      </c>
      <c r="HL98" s="40">
        <f t="shared" ca="1" si="5321"/>
        <v>0</v>
      </c>
      <c r="HM98" s="40">
        <f t="shared" ca="1" si="5321"/>
        <v>0</v>
      </c>
      <c r="HN98" s="40">
        <f t="shared" ca="1" si="5321"/>
        <v>0</v>
      </c>
      <c r="HO98" s="40">
        <f t="shared" ca="1" si="5321"/>
        <v>0</v>
      </c>
      <c r="HP98" s="40">
        <f t="shared" ca="1" si="5321"/>
        <v>0</v>
      </c>
      <c r="HQ98" s="40">
        <f t="shared" ca="1" si="5321"/>
        <v>0</v>
      </c>
      <c r="HR98" s="40">
        <f t="shared" ca="1" si="5321"/>
        <v>0</v>
      </c>
      <c r="HS98" s="40">
        <f t="shared" ca="1" si="5321"/>
        <v>0</v>
      </c>
      <c r="HT98" s="40">
        <f t="shared" ca="1" si="5321"/>
        <v>0</v>
      </c>
      <c r="HU98" s="40">
        <f t="shared" ca="1" si="5321"/>
        <v>0</v>
      </c>
      <c r="HV98" s="40">
        <f t="shared" ca="1" si="5321"/>
        <v>0</v>
      </c>
      <c r="HW98" s="40">
        <f t="shared" ca="1" si="5321"/>
        <v>0</v>
      </c>
      <c r="HX98" s="40">
        <f t="shared" ca="1" si="5321"/>
        <v>0</v>
      </c>
      <c r="HY98" s="40">
        <f t="shared" ca="1" si="5321"/>
        <v>0</v>
      </c>
      <c r="HZ98" s="40">
        <f t="shared" ca="1" si="5321"/>
        <v>0</v>
      </c>
      <c r="IA98" s="40">
        <f t="shared" ca="1" si="5321"/>
        <v>0</v>
      </c>
      <c r="IB98" s="40">
        <f t="shared" ca="1" si="5321"/>
        <v>0</v>
      </c>
      <c r="IC98" s="40">
        <f t="shared" ca="1" si="5321"/>
        <v>0</v>
      </c>
      <c r="ID98" s="40">
        <f t="shared" ca="1" si="5321"/>
        <v>0</v>
      </c>
      <c r="IE98" s="40">
        <f t="shared" ca="1" si="5321"/>
        <v>0</v>
      </c>
      <c r="IF98" s="40">
        <f t="shared" ca="1" si="5321"/>
        <v>0</v>
      </c>
      <c r="IG98" s="40">
        <f t="shared" ca="1" si="5321"/>
        <v>0</v>
      </c>
      <c r="IH98" s="40">
        <f t="shared" ca="1" si="5321"/>
        <v>0</v>
      </c>
      <c r="II98" s="40">
        <f t="shared" ca="1" si="5321"/>
        <v>0</v>
      </c>
      <c r="IJ98" s="40">
        <f t="shared" ca="1" si="5321"/>
        <v>0</v>
      </c>
      <c r="IK98" s="40">
        <f t="shared" ca="1" si="5321"/>
        <v>0</v>
      </c>
      <c r="IL98" s="40">
        <f t="shared" ca="1" si="5321"/>
        <v>0</v>
      </c>
      <c r="IM98" s="40">
        <f t="shared" ca="1" si="5321"/>
        <v>0</v>
      </c>
      <c r="IN98" s="40">
        <f t="shared" ca="1" si="5321"/>
        <v>0</v>
      </c>
      <c r="IO98" s="40">
        <f t="shared" ref="IO98:KZ98" ca="1" si="5322">MIN(IO$85,IO$85*$E$98,IO89)</f>
        <v>0</v>
      </c>
      <c r="IP98" s="40">
        <f t="shared" ca="1" si="5322"/>
        <v>0</v>
      </c>
      <c r="IQ98" s="40">
        <f t="shared" ca="1" si="5322"/>
        <v>0</v>
      </c>
      <c r="IR98" s="40">
        <f t="shared" ca="1" si="5322"/>
        <v>0</v>
      </c>
      <c r="IS98" s="40">
        <f t="shared" ca="1" si="5322"/>
        <v>0</v>
      </c>
      <c r="IT98" s="40">
        <f t="shared" ca="1" si="5322"/>
        <v>0</v>
      </c>
      <c r="IU98" s="40">
        <f t="shared" ca="1" si="5322"/>
        <v>0</v>
      </c>
      <c r="IV98" s="40">
        <f t="shared" ca="1" si="5322"/>
        <v>0</v>
      </c>
      <c r="IW98" s="40">
        <f t="shared" ca="1" si="5322"/>
        <v>0</v>
      </c>
      <c r="IX98" s="40">
        <f t="shared" ca="1" si="5322"/>
        <v>0</v>
      </c>
      <c r="IY98" s="40">
        <f t="shared" ca="1" si="5322"/>
        <v>0</v>
      </c>
      <c r="IZ98" s="40">
        <f t="shared" ca="1" si="5322"/>
        <v>0</v>
      </c>
      <c r="JA98" s="40">
        <f t="shared" ca="1" si="5322"/>
        <v>0</v>
      </c>
      <c r="JB98" s="40">
        <f t="shared" ca="1" si="5322"/>
        <v>0</v>
      </c>
      <c r="JC98" s="40">
        <f t="shared" ca="1" si="5322"/>
        <v>0</v>
      </c>
      <c r="JD98" s="40">
        <f t="shared" ca="1" si="5322"/>
        <v>0</v>
      </c>
      <c r="JE98" s="40">
        <f t="shared" ca="1" si="5322"/>
        <v>0</v>
      </c>
      <c r="JF98" s="40">
        <f t="shared" ca="1" si="5322"/>
        <v>0</v>
      </c>
      <c r="JG98" s="40">
        <f t="shared" ca="1" si="5322"/>
        <v>0</v>
      </c>
      <c r="JH98" s="40">
        <f t="shared" ca="1" si="5322"/>
        <v>0</v>
      </c>
      <c r="JI98" s="40">
        <f t="shared" ca="1" si="5322"/>
        <v>0</v>
      </c>
      <c r="JJ98" s="40">
        <f t="shared" ca="1" si="5322"/>
        <v>0</v>
      </c>
      <c r="JK98" s="40">
        <f t="shared" ca="1" si="5322"/>
        <v>0</v>
      </c>
      <c r="JL98" s="40">
        <f t="shared" ca="1" si="5322"/>
        <v>0</v>
      </c>
      <c r="JM98" s="40">
        <f t="shared" ca="1" si="5322"/>
        <v>0</v>
      </c>
      <c r="JN98" s="40">
        <f t="shared" ca="1" si="5322"/>
        <v>0</v>
      </c>
      <c r="JO98" s="40">
        <f t="shared" ca="1" si="5322"/>
        <v>0</v>
      </c>
      <c r="JP98" s="40">
        <f t="shared" ca="1" si="5322"/>
        <v>0</v>
      </c>
      <c r="JQ98" s="40">
        <f t="shared" ca="1" si="5322"/>
        <v>0</v>
      </c>
      <c r="JR98" s="40">
        <f t="shared" ca="1" si="5322"/>
        <v>0</v>
      </c>
      <c r="JS98" s="40">
        <f t="shared" ca="1" si="5322"/>
        <v>0</v>
      </c>
      <c r="JT98" s="40">
        <f t="shared" ca="1" si="5322"/>
        <v>0</v>
      </c>
      <c r="JU98" s="40">
        <f t="shared" ca="1" si="5322"/>
        <v>0</v>
      </c>
      <c r="JV98" s="40">
        <f t="shared" ca="1" si="5322"/>
        <v>0</v>
      </c>
      <c r="JW98" s="40">
        <f t="shared" ca="1" si="5322"/>
        <v>0</v>
      </c>
      <c r="JX98" s="40">
        <f t="shared" ca="1" si="5322"/>
        <v>0</v>
      </c>
      <c r="JY98" s="40">
        <f t="shared" ca="1" si="5322"/>
        <v>0</v>
      </c>
      <c r="JZ98" s="40">
        <f t="shared" ca="1" si="5322"/>
        <v>0</v>
      </c>
      <c r="KA98" s="40">
        <f t="shared" ca="1" si="5322"/>
        <v>0</v>
      </c>
      <c r="KB98" s="40">
        <f t="shared" ca="1" si="5322"/>
        <v>0</v>
      </c>
      <c r="KC98" s="40">
        <f t="shared" ca="1" si="5322"/>
        <v>0</v>
      </c>
      <c r="KD98" s="40">
        <f t="shared" ca="1" si="5322"/>
        <v>0</v>
      </c>
      <c r="KE98" s="40">
        <f t="shared" ca="1" si="5322"/>
        <v>0</v>
      </c>
      <c r="KF98" s="40">
        <f t="shared" ca="1" si="5322"/>
        <v>0</v>
      </c>
      <c r="KG98" s="40">
        <f t="shared" ca="1" si="5322"/>
        <v>0</v>
      </c>
      <c r="KH98" s="40">
        <f t="shared" ca="1" si="5322"/>
        <v>0</v>
      </c>
      <c r="KI98" s="40">
        <f t="shared" ca="1" si="5322"/>
        <v>0</v>
      </c>
      <c r="KJ98" s="40">
        <f t="shared" ca="1" si="5322"/>
        <v>0</v>
      </c>
      <c r="KK98" s="40">
        <f t="shared" ca="1" si="5322"/>
        <v>0</v>
      </c>
      <c r="KL98" s="40">
        <f t="shared" ca="1" si="5322"/>
        <v>0</v>
      </c>
      <c r="KM98" s="40">
        <f t="shared" ca="1" si="5322"/>
        <v>0</v>
      </c>
      <c r="KN98" s="40">
        <f t="shared" ca="1" si="5322"/>
        <v>0</v>
      </c>
      <c r="KO98" s="40">
        <f t="shared" ca="1" si="5322"/>
        <v>0</v>
      </c>
      <c r="KP98" s="40">
        <f t="shared" ca="1" si="5322"/>
        <v>0</v>
      </c>
      <c r="KQ98" s="40">
        <f t="shared" ca="1" si="5322"/>
        <v>0</v>
      </c>
      <c r="KR98" s="40">
        <f t="shared" ca="1" si="5322"/>
        <v>0</v>
      </c>
      <c r="KS98" s="40">
        <f t="shared" ca="1" si="5322"/>
        <v>0</v>
      </c>
      <c r="KT98" s="40">
        <f t="shared" ca="1" si="5322"/>
        <v>0</v>
      </c>
      <c r="KU98" s="40">
        <f t="shared" ca="1" si="5322"/>
        <v>0</v>
      </c>
      <c r="KV98" s="40">
        <f t="shared" ca="1" si="5322"/>
        <v>0</v>
      </c>
      <c r="KW98" s="40">
        <f t="shared" ca="1" si="5322"/>
        <v>0</v>
      </c>
      <c r="KX98" s="40">
        <f t="shared" ca="1" si="5322"/>
        <v>0</v>
      </c>
      <c r="KY98" s="40">
        <f t="shared" ca="1" si="5322"/>
        <v>0</v>
      </c>
      <c r="KZ98" s="40">
        <f t="shared" ca="1" si="5322"/>
        <v>0</v>
      </c>
      <c r="LA98" s="40">
        <f t="shared" ref="LA98:ND98" ca="1" si="5323">MIN(LA$85,LA$85*$E$98,LA89)</f>
        <v>0</v>
      </c>
      <c r="LB98" s="40">
        <f t="shared" ca="1" si="5323"/>
        <v>0</v>
      </c>
      <c r="LC98" s="40">
        <f t="shared" ca="1" si="5323"/>
        <v>0</v>
      </c>
      <c r="LD98" s="40">
        <f t="shared" ca="1" si="5323"/>
        <v>0</v>
      </c>
      <c r="LE98" s="40">
        <f t="shared" ca="1" si="5323"/>
        <v>0</v>
      </c>
      <c r="LF98" s="40">
        <f t="shared" ca="1" si="5323"/>
        <v>0</v>
      </c>
      <c r="LG98" s="40">
        <f t="shared" ca="1" si="5323"/>
        <v>0</v>
      </c>
      <c r="LH98" s="40">
        <f t="shared" ca="1" si="5323"/>
        <v>0</v>
      </c>
      <c r="LI98" s="40">
        <f t="shared" ca="1" si="5323"/>
        <v>0</v>
      </c>
      <c r="LJ98" s="40">
        <f t="shared" ca="1" si="5323"/>
        <v>0</v>
      </c>
      <c r="LK98" s="40">
        <f t="shared" ca="1" si="5323"/>
        <v>0</v>
      </c>
      <c r="LL98" s="40">
        <f t="shared" ca="1" si="5323"/>
        <v>0</v>
      </c>
      <c r="LM98" s="40">
        <f t="shared" ca="1" si="5323"/>
        <v>0</v>
      </c>
      <c r="LN98" s="40">
        <f t="shared" ca="1" si="5323"/>
        <v>0</v>
      </c>
      <c r="LO98" s="40">
        <f t="shared" ca="1" si="5323"/>
        <v>0</v>
      </c>
      <c r="LP98" s="40">
        <f t="shared" ca="1" si="5323"/>
        <v>0</v>
      </c>
      <c r="LQ98" s="40">
        <f t="shared" ca="1" si="5323"/>
        <v>0</v>
      </c>
      <c r="LR98" s="40">
        <f t="shared" ca="1" si="5323"/>
        <v>0</v>
      </c>
      <c r="LS98" s="40">
        <f t="shared" ca="1" si="5323"/>
        <v>0</v>
      </c>
      <c r="LT98" s="40">
        <f t="shared" ca="1" si="5323"/>
        <v>0</v>
      </c>
      <c r="LU98" s="40">
        <f t="shared" ca="1" si="5323"/>
        <v>0</v>
      </c>
      <c r="LV98" s="40">
        <f t="shared" ca="1" si="5323"/>
        <v>0</v>
      </c>
      <c r="LW98" s="40">
        <f t="shared" ca="1" si="5323"/>
        <v>0</v>
      </c>
      <c r="LX98" s="40">
        <f t="shared" ca="1" si="5323"/>
        <v>0</v>
      </c>
      <c r="LY98" s="40">
        <f t="shared" ca="1" si="5323"/>
        <v>0</v>
      </c>
      <c r="LZ98" s="40">
        <f t="shared" ca="1" si="5323"/>
        <v>0</v>
      </c>
      <c r="MA98" s="40">
        <f t="shared" ca="1" si="5323"/>
        <v>0</v>
      </c>
      <c r="MB98" s="40">
        <f t="shared" ca="1" si="5323"/>
        <v>0</v>
      </c>
      <c r="MC98" s="40">
        <f t="shared" ca="1" si="5323"/>
        <v>0</v>
      </c>
      <c r="MD98" s="40">
        <f t="shared" ca="1" si="5323"/>
        <v>0</v>
      </c>
      <c r="ME98" s="40">
        <f t="shared" ca="1" si="5323"/>
        <v>0</v>
      </c>
      <c r="MF98" s="40">
        <f t="shared" ca="1" si="5323"/>
        <v>0</v>
      </c>
      <c r="MG98" s="40">
        <f t="shared" ca="1" si="5323"/>
        <v>0</v>
      </c>
      <c r="MH98" s="40">
        <f t="shared" ca="1" si="5323"/>
        <v>0</v>
      </c>
      <c r="MI98" s="40">
        <f t="shared" ca="1" si="5323"/>
        <v>0</v>
      </c>
      <c r="MJ98" s="40">
        <f t="shared" ca="1" si="5323"/>
        <v>0</v>
      </c>
      <c r="MK98" s="40">
        <f t="shared" ca="1" si="5323"/>
        <v>0</v>
      </c>
      <c r="ML98" s="40">
        <f t="shared" ca="1" si="5323"/>
        <v>0</v>
      </c>
      <c r="MM98" s="40">
        <f t="shared" ca="1" si="5323"/>
        <v>0</v>
      </c>
      <c r="MN98" s="40">
        <f t="shared" ca="1" si="5323"/>
        <v>0</v>
      </c>
      <c r="MO98" s="40">
        <f t="shared" ca="1" si="5323"/>
        <v>0</v>
      </c>
      <c r="MP98" s="40">
        <f t="shared" ca="1" si="5323"/>
        <v>0</v>
      </c>
      <c r="MQ98" s="40">
        <f t="shared" ca="1" si="5323"/>
        <v>0</v>
      </c>
      <c r="MR98" s="40">
        <f t="shared" ca="1" si="5323"/>
        <v>0</v>
      </c>
      <c r="MS98" s="40">
        <f t="shared" ca="1" si="5323"/>
        <v>0</v>
      </c>
      <c r="MT98" s="40">
        <f t="shared" ca="1" si="5323"/>
        <v>0</v>
      </c>
      <c r="MU98" s="40">
        <f t="shared" ca="1" si="5323"/>
        <v>0</v>
      </c>
      <c r="MV98" s="40">
        <f t="shared" ca="1" si="5323"/>
        <v>0</v>
      </c>
      <c r="MW98" s="40">
        <f t="shared" ca="1" si="5323"/>
        <v>0</v>
      </c>
      <c r="MX98" s="40">
        <f t="shared" ca="1" si="5323"/>
        <v>0</v>
      </c>
      <c r="MY98" s="40">
        <f t="shared" ca="1" si="5323"/>
        <v>0</v>
      </c>
      <c r="MZ98" s="40">
        <f t="shared" ca="1" si="5323"/>
        <v>0</v>
      </c>
      <c r="NA98" s="40">
        <f t="shared" ca="1" si="5323"/>
        <v>0</v>
      </c>
      <c r="NB98" s="40">
        <f t="shared" ca="1" si="5323"/>
        <v>0</v>
      </c>
      <c r="NC98" s="40">
        <f t="shared" ca="1" si="5323"/>
        <v>0</v>
      </c>
      <c r="ND98" s="40">
        <f t="shared" ca="1" si="5323"/>
        <v>0</v>
      </c>
      <c r="NE98" s="40"/>
      <c r="NF98" s="40"/>
      <c r="NG98" s="40"/>
      <c r="NH98" s="40"/>
      <c r="NI98" s="40"/>
      <c r="NJ98" s="40"/>
      <c r="NK98" s="40"/>
      <c r="NL98" s="40"/>
      <c r="NM98" s="40"/>
      <c r="NN98" s="40"/>
      <c r="NO98" s="40"/>
      <c r="NP98" s="40"/>
      <c r="NQ98" s="40"/>
      <c r="NR98" s="40"/>
    </row>
    <row r="99" spans="2:382" x14ac:dyDescent="0.15">
      <c r="B99" s="520"/>
      <c r="G99" s="118"/>
      <c r="I99" s="40"/>
      <c r="J99" s="40"/>
      <c r="K99" s="40"/>
      <c r="L99" s="40"/>
      <c r="M99" s="40"/>
      <c r="N99" s="40"/>
      <c r="O99" s="40"/>
      <c r="P99" s="40"/>
      <c r="Q99" s="40"/>
      <c r="R99" s="40"/>
      <c r="S99" s="40"/>
      <c r="T99" s="40"/>
      <c r="U99" s="40"/>
      <c r="V99" s="40"/>
      <c r="W99" s="40"/>
      <c r="X99" s="40"/>
      <c r="Y99" s="40"/>
      <c r="Z99" s="40"/>
      <c r="AA99" s="40"/>
      <c r="AB99" s="40"/>
      <c r="AC99" s="40"/>
      <c r="AD99" s="40"/>
      <c r="AE99" s="40"/>
      <c r="AF99" s="40"/>
      <c r="AG99" s="40"/>
      <c r="AH99" s="40"/>
      <c r="AI99" s="40"/>
      <c r="AJ99" s="40"/>
      <c r="AK99" s="40"/>
      <c r="AL99" s="40"/>
      <c r="AM99" s="40"/>
      <c r="AN99" s="40"/>
      <c r="AO99" s="40"/>
      <c r="AP99" s="40"/>
      <c r="AQ99" s="40"/>
      <c r="AR99" s="40"/>
      <c r="AS99" s="40"/>
      <c r="AT99" s="40"/>
      <c r="AU99" s="40"/>
      <c r="AV99" s="40"/>
      <c r="AW99" s="40"/>
      <c r="AX99" s="40"/>
      <c r="AY99" s="40"/>
      <c r="AZ99" s="40"/>
      <c r="BA99" s="40"/>
      <c r="BB99" s="40"/>
      <c r="BC99" s="40"/>
      <c r="BD99" s="40"/>
      <c r="BE99" s="40"/>
      <c r="BF99" s="40"/>
      <c r="BG99" s="40"/>
      <c r="BH99" s="40"/>
      <c r="BI99" s="40"/>
      <c r="BJ99" s="40"/>
      <c r="BK99" s="40"/>
      <c r="BL99" s="40"/>
      <c r="BM99" s="40"/>
      <c r="BN99" s="40"/>
      <c r="BO99" s="40"/>
      <c r="BP99" s="40"/>
      <c r="BQ99" s="40"/>
      <c r="BR99" s="40"/>
      <c r="BS99" s="40"/>
      <c r="BT99" s="40"/>
      <c r="BU99" s="40"/>
      <c r="BV99" s="40"/>
      <c r="BW99" s="40"/>
      <c r="BX99" s="40"/>
      <c r="BY99" s="40"/>
      <c r="BZ99" s="40"/>
      <c r="CA99" s="40"/>
      <c r="CB99" s="40"/>
      <c r="CC99" s="40"/>
      <c r="CD99" s="40"/>
      <c r="CE99" s="40"/>
      <c r="CF99" s="40"/>
      <c r="CG99" s="40"/>
      <c r="CH99" s="40"/>
      <c r="CI99" s="40"/>
      <c r="CJ99" s="40"/>
      <c r="CK99" s="40"/>
      <c r="CL99" s="40"/>
      <c r="CM99" s="40"/>
      <c r="CN99" s="40"/>
      <c r="CO99" s="40"/>
      <c r="CP99" s="40"/>
      <c r="CQ99" s="40"/>
      <c r="CR99" s="40"/>
      <c r="CS99" s="40"/>
      <c r="CT99" s="40"/>
      <c r="CU99" s="40"/>
      <c r="CV99" s="40"/>
      <c r="CW99" s="40"/>
      <c r="CX99" s="40"/>
      <c r="CY99" s="40"/>
      <c r="CZ99" s="40"/>
      <c r="DA99" s="40"/>
      <c r="DB99" s="40"/>
      <c r="DC99" s="40"/>
      <c r="DD99" s="40"/>
      <c r="DE99" s="40"/>
      <c r="DF99" s="40"/>
      <c r="DG99" s="40"/>
      <c r="DH99" s="40"/>
      <c r="DI99" s="40"/>
      <c r="DJ99" s="40"/>
      <c r="DK99" s="40"/>
      <c r="DL99" s="40"/>
      <c r="DM99" s="40"/>
      <c r="DN99" s="40"/>
      <c r="DO99" s="40"/>
      <c r="DP99" s="40"/>
      <c r="DQ99" s="40"/>
      <c r="DR99" s="40"/>
      <c r="DS99" s="40"/>
      <c r="DT99" s="40"/>
      <c r="DU99" s="40"/>
      <c r="DV99" s="40"/>
      <c r="DW99" s="40"/>
      <c r="DX99" s="40"/>
      <c r="DY99" s="40"/>
      <c r="DZ99" s="40"/>
      <c r="EA99" s="40"/>
      <c r="EB99" s="40"/>
      <c r="EC99" s="40"/>
      <c r="ED99" s="40"/>
      <c r="EE99" s="40"/>
      <c r="EF99" s="40"/>
      <c r="EG99" s="40"/>
      <c r="EH99" s="40"/>
      <c r="EI99" s="40"/>
      <c r="EJ99" s="40"/>
      <c r="EK99" s="40"/>
      <c r="EL99" s="40"/>
      <c r="EM99" s="40"/>
      <c r="EN99" s="40"/>
      <c r="EO99" s="40"/>
      <c r="EP99" s="40"/>
      <c r="EQ99" s="40"/>
      <c r="ER99" s="40"/>
      <c r="ES99" s="40"/>
      <c r="ET99" s="40"/>
      <c r="EU99" s="40"/>
      <c r="EV99" s="40"/>
      <c r="EW99" s="40"/>
      <c r="EX99" s="40"/>
      <c r="EY99" s="40"/>
      <c r="EZ99" s="40"/>
      <c r="FA99" s="40"/>
      <c r="FB99" s="40"/>
      <c r="FC99" s="40"/>
      <c r="FD99" s="40"/>
      <c r="FE99" s="40"/>
      <c r="FF99" s="40"/>
      <c r="FG99" s="40"/>
      <c r="FH99" s="40"/>
      <c r="FI99" s="40"/>
      <c r="FJ99" s="40"/>
      <c r="FK99" s="40"/>
      <c r="FL99" s="40"/>
      <c r="FM99" s="40"/>
      <c r="FN99" s="40"/>
      <c r="FO99" s="40"/>
      <c r="FP99" s="40"/>
      <c r="FQ99" s="40"/>
      <c r="FR99" s="40"/>
      <c r="FS99" s="40"/>
      <c r="FT99" s="40"/>
      <c r="FU99" s="40"/>
      <c r="FV99" s="40"/>
      <c r="FW99" s="40"/>
      <c r="FX99" s="40"/>
      <c r="FY99" s="40"/>
      <c r="FZ99" s="40"/>
      <c r="GA99" s="40"/>
      <c r="GB99" s="40"/>
      <c r="GC99" s="40"/>
      <c r="GD99" s="40"/>
      <c r="GE99" s="40"/>
      <c r="GF99" s="40"/>
      <c r="GG99" s="40"/>
      <c r="GH99" s="40"/>
      <c r="GI99" s="40"/>
      <c r="GJ99" s="40"/>
      <c r="GK99" s="40"/>
      <c r="GL99" s="40"/>
      <c r="GM99" s="40"/>
      <c r="GN99" s="40"/>
      <c r="GO99" s="40"/>
      <c r="GP99" s="40"/>
      <c r="GQ99" s="40"/>
      <c r="GR99" s="40"/>
      <c r="GS99" s="40"/>
      <c r="GT99" s="40"/>
      <c r="GU99" s="40"/>
      <c r="GV99" s="40"/>
      <c r="GW99" s="40"/>
      <c r="GX99" s="40"/>
      <c r="GY99" s="40"/>
      <c r="GZ99" s="40"/>
      <c r="HA99" s="40"/>
      <c r="HB99" s="40"/>
      <c r="HC99" s="40"/>
      <c r="HD99" s="40"/>
      <c r="HE99" s="40"/>
      <c r="HF99" s="40"/>
      <c r="HG99" s="40"/>
      <c r="HH99" s="40"/>
      <c r="HI99" s="40"/>
      <c r="HJ99" s="40"/>
      <c r="HK99" s="40"/>
      <c r="HL99" s="40"/>
      <c r="HM99" s="40"/>
      <c r="HN99" s="40"/>
      <c r="HO99" s="40"/>
      <c r="HP99" s="40"/>
      <c r="HQ99" s="40"/>
      <c r="HR99" s="40"/>
      <c r="HS99" s="40"/>
      <c r="HT99" s="40"/>
      <c r="HU99" s="40"/>
      <c r="HV99" s="40"/>
      <c r="HW99" s="40"/>
      <c r="HX99" s="40"/>
      <c r="HY99" s="40"/>
      <c r="HZ99" s="40"/>
      <c r="IA99" s="40"/>
      <c r="IB99" s="40"/>
      <c r="IC99" s="40"/>
      <c r="ID99" s="40"/>
      <c r="IE99" s="40"/>
      <c r="IF99" s="40"/>
      <c r="IG99" s="40"/>
      <c r="IH99" s="40"/>
      <c r="II99" s="40"/>
      <c r="IJ99" s="40"/>
      <c r="IK99" s="40"/>
      <c r="IL99" s="40"/>
      <c r="IM99" s="40"/>
      <c r="IN99" s="40"/>
      <c r="IO99" s="40"/>
      <c r="IP99" s="40"/>
      <c r="IQ99" s="40"/>
      <c r="IR99" s="40"/>
      <c r="IS99" s="40"/>
      <c r="IT99" s="40"/>
      <c r="IU99" s="40"/>
      <c r="IV99" s="40"/>
      <c r="IW99" s="40"/>
      <c r="IX99" s="40"/>
      <c r="IY99" s="40"/>
      <c r="IZ99" s="40"/>
      <c r="JA99" s="40"/>
      <c r="JB99" s="40"/>
      <c r="JC99" s="40"/>
      <c r="JD99" s="40"/>
      <c r="JE99" s="40"/>
      <c r="JF99" s="40"/>
      <c r="JG99" s="40"/>
      <c r="JH99" s="40"/>
      <c r="JI99" s="40"/>
      <c r="JJ99" s="40"/>
      <c r="JK99" s="40"/>
      <c r="JL99" s="40"/>
      <c r="JM99" s="40"/>
      <c r="JN99" s="40"/>
      <c r="JO99" s="40"/>
      <c r="JP99" s="40"/>
      <c r="JQ99" s="40"/>
      <c r="JR99" s="40"/>
      <c r="JS99" s="40"/>
      <c r="JT99" s="40"/>
      <c r="JU99" s="40"/>
      <c r="JV99" s="40"/>
      <c r="JW99" s="40"/>
      <c r="JX99" s="40"/>
      <c r="JY99" s="40"/>
      <c r="JZ99" s="40"/>
      <c r="KA99" s="40"/>
      <c r="KB99" s="40"/>
      <c r="KC99" s="40"/>
      <c r="KD99" s="40"/>
      <c r="KE99" s="40"/>
      <c r="KF99" s="40"/>
      <c r="KG99" s="40"/>
      <c r="KH99" s="40"/>
      <c r="KI99" s="40"/>
      <c r="KJ99" s="40"/>
      <c r="KK99" s="40"/>
      <c r="KL99" s="40"/>
      <c r="KM99" s="40"/>
      <c r="KN99" s="40"/>
      <c r="KO99" s="40"/>
      <c r="KP99" s="40"/>
      <c r="KQ99" s="40"/>
      <c r="KR99" s="40"/>
      <c r="KS99" s="40"/>
      <c r="KT99" s="40"/>
      <c r="KU99" s="40"/>
      <c r="KV99" s="40"/>
      <c r="KW99" s="40"/>
      <c r="KX99" s="40"/>
      <c r="KY99" s="40"/>
      <c r="KZ99" s="40"/>
      <c r="LA99" s="40"/>
      <c r="LB99" s="40"/>
      <c r="LC99" s="40"/>
      <c r="LD99" s="40"/>
      <c r="LE99" s="40"/>
      <c r="LF99" s="40"/>
      <c r="LG99" s="40"/>
      <c r="LH99" s="40"/>
      <c r="LI99" s="40"/>
      <c r="LJ99" s="40"/>
      <c r="LK99" s="40"/>
      <c r="LL99" s="40"/>
      <c r="LM99" s="40"/>
      <c r="LN99" s="40"/>
      <c r="LO99" s="40"/>
      <c r="LP99" s="40"/>
      <c r="LQ99" s="40"/>
      <c r="LR99" s="40"/>
      <c r="LS99" s="40"/>
      <c r="LT99" s="40"/>
      <c r="LU99" s="40"/>
      <c r="LV99" s="40"/>
      <c r="LW99" s="40"/>
      <c r="LX99" s="40"/>
      <c r="LY99" s="40"/>
      <c r="LZ99" s="40"/>
      <c r="MA99" s="40"/>
      <c r="MB99" s="40"/>
      <c r="MC99" s="40"/>
      <c r="MD99" s="40"/>
      <c r="ME99" s="40"/>
      <c r="MF99" s="40"/>
      <c r="MG99" s="40"/>
      <c r="MH99" s="40"/>
      <c r="MI99" s="40"/>
      <c r="MJ99" s="40"/>
      <c r="MK99" s="40"/>
      <c r="ML99" s="40"/>
      <c r="MM99" s="40"/>
      <c r="MN99" s="40"/>
      <c r="MO99" s="40"/>
      <c r="MP99" s="40"/>
      <c r="MQ99" s="40"/>
      <c r="MR99" s="40"/>
      <c r="MS99" s="40"/>
      <c r="MT99" s="40"/>
      <c r="MU99" s="40"/>
      <c r="MV99" s="40"/>
      <c r="MW99" s="40"/>
      <c r="MX99" s="40"/>
      <c r="MY99" s="40"/>
      <c r="MZ99" s="40"/>
      <c r="NA99" s="40"/>
      <c r="NB99" s="40"/>
      <c r="NC99" s="40"/>
      <c r="ND99" s="40"/>
      <c r="NE99" s="40"/>
      <c r="NF99" s="40"/>
      <c r="NG99" s="40"/>
      <c r="NH99" s="40"/>
      <c r="NI99" s="40"/>
      <c r="NJ99" s="40"/>
      <c r="NK99" s="40"/>
      <c r="NL99" s="40"/>
      <c r="NM99" s="40"/>
      <c r="NN99" s="40"/>
      <c r="NO99" s="40"/>
      <c r="NP99" s="40"/>
      <c r="NQ99" s="40"/>
      <c r="NR99" s="40"/>
    </row>
    <row r="100" spans="2:382" x14ac:dyDescent="0.15">
      <c r="B100" s="520"/>
      <c r="C100" s="4" t="s">
        <v>167</v>
      </c>
      <c r="G100" s="118"/>
      <c r="I100" s="40">
        <f t="shared" ref="I100:J100" si="5324">I85-I92-I98</f>
        <v>0</v>
      </c>
      <c r="J100" s="40">
        <f t="shared" si="5324"/>
        <v>0</v>
      </c>
      <c r="K100" s="40">
        <f t="shared" ref="K100:BV100" si="5325">K85-K92-K98</f>
        <v>0</v>
      </c>
      <c r="L100" s="40">
        <f t="shared" si="5325"/>
        <v>0</v>
      </c>
      <c r="M100" s="40">
        <f t="shared" si="5325"/>
        <v>0</v>
      </c>
      <c r="N100" s="40">
        <f t="shared" si="5325"/>
        <v>0</v>
      </c>
      <c r="O100" s="40">
        <f t="shared" si="5325"/>
        <v>0</v>
      </c>
      <c r="P100" s="40">
        <f t="shared" si="5325"/>
        <v>0</v>
      </c>
      <c r="Q100" s="40">
        <f t="shared" si="5325"/>
        <v>0</v>
      </c>
      <c r="R100" s="40">
        <f t="shared" si="5325"/>
        <v>0</v>
      </c>
      <c r="S100" s="40">
        <f t="shared" si="5325"/>
        <v>0</v>
      </c>
      <c r="T100" s="40">
        <f t="shared" si="5325"/>
        <v>0</v>
      </c>
      <c r="U100" s="40">
        <f t="shared" si="5325"/>
        <v>0</v>
      </c>
      <c r="V100" s="40">
        <f t="shared" si="5325"/>
        <v>0</v>
      </c>
      <c r="W100" s="40">
        <f t="shared" si="5325"/>
        <v>0</v>
      </c>
      <c r="X100" s="40">
        <f t="shared" si="5325"/>
        <v>0</v>
      </c>
      <c r="Y100" s="40">
        <f t="shared" si="5325"/>
        <v>0</v>
      </c>
      <c r="Z100" s="40">
        <f t="shared" si="5325"/>
        <v>0</v>
      </c>
      <c r="AA100" s="40">
        <f t="shared" si="5325"/>
        <v>0</v>
      </c>
      <c r="AB100" s="40">
        <f t="shared" si="5325"/>
        <v>0</v>
      </c>
      <c r="AC100" s="40">
        <f t="shared" si="5325"/>
        <v>0</v>
      </c>
      <c r="AD100" s="40">
        <f t="shared" si="5325"/>
        <v>0</v>
      </c>
      <c r="AE100" s="40">
        <f t="shared" si="5325"/>
        <v>0</v>
      </c>
      <c r="AF100" s="40">
        <f t="shared" si="5325"/>
        <v>0</v>
      </c>
      <c r="AG100" s="40">
        <f t="shared" si="5325"/>
        <v>0</v>
      </c>
      <c r="AH100" s="40">
        <f t="shared" si="5325"/>
        <v>0</v>
      </c>
      <c r="AI100" s="40">
        <f t="shared" si="5325"/>
        <v>0</v>
      </c>
      <c r="AJ100" s="40">
        <f t="shared" si="5325"/>
        <v>0</v>
      </c>
      <c r="AK100" s="40">
        <f t="shared" si="5325"/>
        <v>0</v>
      </c>
      <c r="AL100" s="40">
        <f t="shared" si="5325"/>
        <v>0</v>
      </c>
      <c r="AM100" s="40">
        <f t="shared" si="5325"/>
        <v>0</v>
      </c>
      <c r="AN100" s="40">
        <f t="shared" si="5325"/>
        <v>0</v>
      </c>
      <c r="AO100" s="40">
        <f t="shared" si="5325"/>
        <v>0</v>
      </c>
      <c r="AP100" s="40">
        <f t="shared" si="5325"/>
        <v>0</v>
      </c>
      <c r="AQ100" s="40">
        <f t="shared" si="5325"/>
        <v>0</v>
      </c>
      <c r="AR100" s="40">
        <f t="shared" si="5325"/>
        <v>0</v>
      </c>
      <c r="AS100" s="40">
        <f t="shared" si="5325"/>
        <v>0</v>
      </c>
      <c r="AT100" s="40">
        <f t="shared" si="5325"/>
        <v>0</v>
      </c>
      <c r="AU100" s="40">
        <f t="shared" si="5325"/>
        <v>0</v>
      </c>
      <c r="AV100" s="40">
        <f t="shared" si="5325"/>
        <v>0</v>
      </c>
      <c r="AW100" s="40">
        <f t="shared" si="5325"/>
        <v>0</v>
      </c>
      <c r="AX100" s="40">
        <f t="shared" si="5325"/>
        <v>0</v>
      </c>
      <c r="AY100" s="40">
        <f t="shared" si="5325"/>
        <v>0</v>
      </c>
      <c r="AZ100" s="40">
        <f t="shared" si="5325"/>
        <v>0</v>
      </c>
      <c r="BA100" s="40">
        <f t="shared" si="5325"/>
        <v>0</v>
      </c>
      <c r="BB100" s="40">
        <f t="shared" si="5325"/>
        <v>0</v>
      </c>
      <c r="BC100" s="40">
        <f t="shared" si="5325"/>
        <v>0</v>
      </c>
      <c r="BD100" s="40">
        <f t="shared" si="5325"/>
        <v>0</v>
      </c>
      <c r="BE100" s="40">
        <f t="shared" si="5325"/>
        <v>0</v>
      </c>
      <c r="BF100" s="40">
        <f t="shared" si="5325"/>
        <v>0</v>
      </c>
      <c r="BG100" s="40">
        <f t="shared" si="5325"/>
        <v>0</v>
      </c>
      <c r="BH100" s="40">
        <f t="shared" si="5325"/>
        <v>0</v>
      </c>
      <c r="BI100" s="40">
        <f t="shared" si="5325"/>
        <v>0</v>
      </c>
      <c r="BJ100" s="40">
        <f t="shared" si="5325"/>
        <v>0</v>
      </c>
      <c r="BK100" s="40">
        <f t="shared" si="5325"/>
        <v>0</v>
      </c>
      <c r="BL100" s="40">
        <f t="shared" si="5325"/>
        <v>0</v>
      </c>
      <c r="BM100" s="40">
        <f t="shared" si="5325"/>
        <v>0</v>
      </c>
      <c r="BN100" s="40">
        <f t="shared" si="5325"/>
        <v>0</v>
      </c>
      <c r="BO100" s="40">
        <f t="shared" si="5325"/>
        <v>0</v>
      </c>
      <c r="BP100" s="40">
        <f t="shared" si="5325"/>
        <v>0</v>
      </c>
      <c r="BQ100" s="40">
        <f t="shared" si="5325"/>
        <v>0</v>
      </c>
      <c r="BR100" s="40">
        <f t="shared" si="5325"/>
        <v>0</v>
      </c>
      <c r="BS100" s="40">
        <f t="shared" si="5325"/>
        <v>0</v>
      </c>
      <c r="BT100" s="40">
        <f t="shared" si="5325"/>
        <v>0</v>
      </c>
      <c r="BU100" s="40">
        <f t="shared" si="5325"/>
        <v>0</v>
      </c>
      <c r="BV100" s="40">
        <f t="shared" si="5325"/>
        <v>0</v>
      </c>
      <c r="BW100" s="40">
        <f t="shared" ref="BW100:EH100" si="5326">BW85-BW92-BW98</f>
        <v>0</v>
      </c>
      <c r="BX100" s="40">
        <f t="shared" si="5326"/>
        <v>0</v>
      </c>
      <c r="BY100" s="40">
        <f t="shared" si="5326"/>
        <v>0</v>
      </c>
      <c r="BZ100" s="40">
        <f t="shared" si="5326"/>
        <v>0</v>
      </c>
      <c r="CA100" s="40">
        <f t="shared" si="5326"/>
        <v>0</v>
      </c>
      <c r="CB100" s="40">
        <f t="shared" si="5326"/>
        <v>0</v>
      </c>
      <c r="CC100" s="40">
        <f t="shared" si="5326"/>
        <v>0</v>
      </c>
      <c r="CD100" s="40">
        <f t="shared" si="5326"/>
        <v>0</v>
      </c>
      <c r="CE100" s="40">
        <f t="shared" si="5326"/>
        <v>0</v>
      </c>
      <c r="CF100" s="40">
        <f t="shared" si="5326"/>
        <v>0</v>
      </c>
      <c r="CG100" s="40">
        <f t="shared" si="5326"/>
        <v>0</v>
      </c>
      <c r="CH100" s="40">
        <f t="shared" si="5326"/>
        <v>0</v>
      </c>
      <c r="CI100" s="40">
        <f t="shared" si="5326"/>
        <v>0</v>
      </c>
      <c r="CJ100" s="40">
        <f t="shared" si="5326"/>
        <v>0</v>
      </c>
      <c r="CK100" s="40">
        <f t="shared" si="5326"/>
        <v>0</v>
      </c>
      <c r="CL100" s="40">
        <f t="shared" si="5326"/>
        <v>0</v>
      </c>
      <c r="CM100" s="40">
        <f t="shared" si="5326"/>
        <v>0</v>
      </c>
      <c r="CN100" s="40">
        <f t="shared" si="5326"/>
        <v>0</v>
      </c>
      <c r="CO100" s="40">
        <f t="shared" si="5326"/>
        <v>0</v>
      </c>
      <c r="CP100" s="40">
        <f t="shared" si="5326"/>
        <v>0</v>
      </c>
      <c r="CQ100" s="40">
        <f t="shared" si="5326"/>
        <v>0</v>
      </c>
      <c r="CR100" s="40">
        <f t="shared" si="5326"/>
        <v>0</v>
      </c>
      <c r="CS100" s="40">
        <f t="shared" si="5326"/>
        <v>0</v>
      </c>
      <c r="CT100" s="40">
        <f t="shared" si="5326"/>
        <v>0</v>
      </c>
      <c r="CU100" s="40">
        <f t="shared" si="5326"/>
        <v>0</v>
      </c>
      <c r="CV100" s="40">
        <f t="shared" si="5326"/>
        <v>0</v>
      </c>
      <c r="CW100" s="40">
        <f t="shared" si="5326"/>
        <v>0</v>
      </c>
      <c r="CX100" s="40">
        <f t="shared" si="5326"/>
        <v>0</v>
      </c>
      <c r="CY100" s="40">
        <f t="shared" si="5326"/>
        <v>0</v>
      </c>
      <c r="CZ100" s="40">
        <f t="shared" si="5326"/>
        <v>0</v>
      </c>
      <c r="DA100" s="40">
        <f t="shared" si="5326"/>
        <v>0</v>
      </c>
      <c r="DB100" s="40">
        <f t="shared" si="5326"/>
        <v>0</v>
      </c>
      <c r="DC100" s="40">
        <f t="shared" si="5326"/>
        <v>0</v>
      </c>
      <c r="DD100" s="40">
        <f t="shared" si="5326"/>
        <v>0</v>
      </c>
      <c r="DE100" s="40">
        <f t="shared" si="5326"/>
        <v>0</v>
      </c>
      <c r="DF100" s="40">
        <f t="shared" si="5326"/>
        <v>0</v>
      </c>
      <c r="DG100" s="40">
        <f t="shared" si="5326"/>
        <v>0</v>
      </c>
      <c r="DH100" s="40">
        <f t="shared" si="5326"/>
        <v>0</v>
      </c>
      <c r="DI100" s="40">
        <f t="shared" si="5326"/>
        <v>0</v>
      </c>
      <c r="DJ100" s="40">
        <f t="shared" si="5326"/>
        <v>0</v>
      </c>
      <c r="DK100" s="40">
        <f t="shared" si="5326"/>
        <v>0</v>
      </c>
      <c r="DL100" s="40">
        <f t="shared" si="5326"/>
        <v>0</v>
      </c>
      <c r="DM100" s="40">
        <f t="shared" si="5326"/>
        <v>0</v>
      </c>
      <c r="DN100" s="40">
        <f t="shared" si="5326"/>
        <v>0</v>
      </c>
      <c r="DO100" s="40">
        <f t="shared" si="5326"/>
        <v>0</v>
      </c>
      <c r="DP100" s="40">
        <f t="shared" si="5326"/>
        <v>0</v>
      </c>
      <c r="DQ100" s="40">
        <f t="shared" si="5326"/>
        <v>0</v>
      </c>
      <c r="DR100" s="40">
        <f t="shared" si="5326"/>
        <v>0</v>
      </c>
      <c r="DS100" s="40">
        <f t="shared" si="5326"/>
        <v>0</v>
      </c>
      <c r="DT100" s="40">
        <f t="shared" si="5326"/>
        <v>0</v>
      </c>
      <c r="DU100" s="40">
        <f t="shared" si="5326"/>
        <v>0</v>
      </c>
      <c r="DV100" s="40">
        <f t="shared" si="5326"/>
        <v>0</v>
      </c>
      <c r="DW100" s="40">
        <f t="shared" si="5326"/>
        <v>0</v>
      </c>
      <c r="DX100" s="40">
        <f t="shared" si="5326"/>
        <v>0</v>
      </c>
      <c r="DY100" s="40">
        <f t="shared" si="5326"/>
        <v>0</v>
      </c>
      <c r="DZ100" s="40">
        <f t="shared" si="5326"/>
        <v>0</v>
      </c>
      <c r="EA100" s="40">
        <f t="shared" si="5326"/>
        <v>0</v>
      </c>
      <c r="EB100" s="40">
        <f t="shared" si="5326"/>
        <v>0</v>
      </c>
      <c r="EC100" s="40">
        <f t="shared" si="5326"/>
        <v>0</v>
      </c>
      <c r="ED100" s="40">
        <f t="shared" si="5326"/>
        <v>0</v>
      </c>
      <c r="EE100" s="40">
        <f t="shared" si="5326"/>
        <v>0</v>
      </c>
      <c r="EF100" s="40">
        <f t="shared" si="5326"/>
        <v>0</v>
      </c>
      <c r="EG100" s="40">
        <f t="shared" si="5326"/>
        <v>0</v>
      </c>
      <c r="EH100" s="40">
        <f t="shared" si="5326"/>
        <v>0</v>
      </c>
      <c r="EI100" s="40">
        <f t="shared" ref="EI100:GT100" si="5327">EI85-EI92-EI98</f>
        <v>0</v>
      </c>
      <c r="EJ100" s="40">
        <f t="shared" si="5327"/>
        <v>0</v>
      </c>
      <c r="EK100" s="40">
        <f t="shared" si="5327"/>
        <v>0</v>
      </c>
      <c r="EL100" s="40">
        <f t="shared" si="5327"/>
        <v>0</v>
      </c>
      <c r="EM100" s="40">
        <f t="shared" si="5327"/>
        <v>0</v>
      </c>
      <c r="EN100" s="40">
        <f t="shared" si="5327"/>
        <v>0</v>
      </c>
      <c r="EO100" s="40">
        <f t="shared" si="5327"/>
        <v>0</v>
      </c>
      <c r="EP100" s="40">
        <f t="shared" si="5327"/>
        <v>0</v>
      </c>
      <c r="EQ100" s="40">
        <f t="shared" si="5327"/>
        <v>0</v>
      </c>
      <c r="ER100" s="40">
        <f t="shared" si="5327"/>
        <v>0</v>
      </c>
      <c r="ES100" s="40">
        <f t="shared" si="5327"/>
        <v>0</v>
      </c>
      <c r="ET100" s="40">
        <f t="shared" si="5327"/>
        <v>0</v>
      </c>
      <c r="EU100" s="40">
        <f t="shared" si="5327"/>
        <v>0</v>
      </c>
      <c r="EV100" s="40">
        <f t="shared" si="5327"/>
        <v>0</v>
      </c>
      <c r="EW100" s="40">
        <f t="shared" si="5327"/>
        <v>0</v>
      </c>
      <c r="EX100" s="40">
        <f t="shared" si="5327"/>
        <v>0</v>
      </c>
      <c r="EY100" s="40">
        <f t="shared" si="5327"/>
        <v>0</v>
      </c>
      <c r="EZ100" s="40">
        <f t="shared" si="5327"/>
        <v>0</v>
      </c>
      <c r="FA100" s="40">
        <f t="shared" si="5327"/>
        <v>0</v>
      </c>
      <c r="FB100" s="40">
        <f t="shared" si="5327"/>
        <v>0</v>
      </c>
      <c r="FC100" s="40">
        <f t="shared" si="5327"/>
        <v>0</v>
      </c>
      <c r="FD100" s="40">
        <f t="shared" si="5327"/>
        <v>0</v>
      </c>
      <c r="FE100" s="40">
        <f t="shared" si="5327"/>
        <v>0</v>
      </c>
      <c r="FF100" s="40">
        <f t="shared" si="5327"/>
        <v>0</v>
      </c>
      <c r="FG100" s="40">
        <f t="shared" si="5327"/>
        <v>0</v>
      </c>
      <c r="FH100" s="40">
        <f t="shared" si="5327"/>
        <v>0</v>
      </c>
      <c r="FI100" s="40">
        <f t="shared" si="5327"/>
        <v>0</v>
      </c>
      <c r="FJ100" s="40">
        <f t="shared" si="5327"/>
        <v>0</v>
      </c>
      <c r="FK100" s="40">
        <f t="shared" si="5327"/>
        <v>0</v>
      </c>
      <c r="FL100" s="40">
        <f t="shared" si="5327"/>
        <v>0</v>
      </c>
      <c r="FM100" s="40">
        <f t="shared" si="5327"/>
        <v>0</v>
      </c>
      <c r="FN100" s="40">
        <f t="shared" si="5327"/>
        <v>0</v>
      </c>
      <c r="FO100" s="40">
        <f t="shared" si="5327"/>
        <v>0</v>
      </c>
      <c r="FP100" s="40">
        <f t="shared" si="5327"/>
        <v>0</v>
      </c>
      <c r="FQ100" s="40">
        <f t="shared" si="5327"/>
        <v>0</v>
      </c>
      <c r="FR100" s="40">
        <f t="shared" si="5327"/>
        <v>0</v>
      </c>
      <c r="FS100" s="40">
        <f t="shared" si="5327"/>
        <v>0</v>
      </c>
      <c r="FT100" s="40">
        <f t="shared" si="5327"/>
        <v>0</v>
      </c>
      <c r="FU100" s="40">
        <f t="shared" si="5327"/>
        <v>0</v>
      </c>
      <c r="FV100" s="40">
        <f t="shared" si="5327"/>
        <v>0</v>
      </c>
      <c r="FW100" s="40">
        <f t="shared" si="5327"/>
        <v>0</v>
      </c>
      <c r="FX100" s="40">
        <f t="shared" si="5327"/>
        <v>0</v>
      </c>
      <c r="FY100" s="40">
        <f t="shared" si="5327"/>
        <v>0</v>
      </c>
      <c r="FZ100" s="40">
        <f t="shared" si="5327"/>
        <v>0</v>
      </c>
      <c r="GA100" s="40">
        <f t="shared" si="5327"/>
        <v>0</v>
      </c>
      <c r="GB100" s="40">
        <f t="shared" si="5327"/>
        <v>0</v>
      </c>
      <c r="GC100" s="40">
        <f t="shared" si="5327"/>
        <v>0</v>
      </c>
      <c r="GD100" s="40">
        <f t="shared" si="5327"/>
        <v>0</v>
      </c>
      <c r="GE100" s="40">
        <f t="shared" si="5327"/>
        <v>0</v>
      </c>
      <c r="GF100" s="40">
        <f t="shared" ca="1" si="5327"/>
        <v>0</v>
      </c>
      <c r="GG100" s="40">
        <f t="shared" ca="1" si="5327"/>
        <v>0</v>
      </c>
      <c r="GH100" s="40">
        <f t="shared" ca="1" si="5327"/>
        <v>0</v>
      </c>
      <c r="GI100" s="40">
        <f t="shared" ca="1" si="5327"/>
        <v>0</v>
      </c>
      <c r="GJ100" s="40">
        <f t="shared" ca="1" si="5327"/>
        <v>0</v>
      </c>
      <c r="GK100" s="40">
        <f t="shared" ca="1" si="5327"/>
        <v>0</v>
      </c>
      <c r="GL100" s="40">
        <f t="shared" ca="1" si="5327"/>
        <v>0</v>
      </c>
      <c r="GM100" s="40">
        <f t="shared" ca="1" si="5327"/>
        <v>0</v>
      </c>
      <c r="GN100" s="40">
        <f t="shared" ca="1" si="5327"/>
        <v>0</v>
      </c>
      <c r="GO100" s="40">
        <f t="shared" ca="1" si="5327"/>
        <v>0</v>
      </c>
      <c r="GP100" s="40">
        <f t="shared" ca="1" si="5327"/>
        <v>0</v>
      </c>
      <c r="GQ100" s="40">
        <f t="shared" ca="1" si="5327"/>
        <v>0</v>
      </c>
      <c r="GR100" s="40">
        <f t="shared" ca="1" si="5327"/>
        <v>0</v>
      </c>
      <c r="GS100" s="40">
        <f t="shared" ca="1" si="5327"/>
        <v>0</v>
      </c>
      <c r="GT100" s="40">
        <f t="shared" ca="1" si="5327"/>
        <v>0</v>
      </c>
      <c r="GU100" s="40">
        <f t="shared" ref="GU100:IN100" ca="1" si="5328">GU85-GU92-GU98</f>
        <v>0</v>
      </c>
      <c r="GV100" s="40">
        <f t="shared" ca="1" si="5328"/>
        <v>0</v>
      </c>
      <c r="GW100" s="40">
        <f t="shared" ca="1" si="5328"/>
        <v>0</v>
      </c>
      <c r="GX100" s="40">
        <f t="shared" ca="1" si="5328"/>
        <v>0</v>
      </c>
      <c r="GY100" s="40">
        <f t="shared" ca="1" si="5328"/>
        <v>0</v>
      </c>
      <c r="GZ100" s="40">
        <f t="shared" ca="1" si="5328"/>
        <v>0</v>
      </c>
      <c r="HA100" s="40">
        <f t="shared" ca="1" si="5328"/>
        <v>0</v>
      </c>
      <c r="HB100" s="40">
        <f t="shared" ca="1" si="5328"/>
        <v>0</v>
      </c>
      <c r="HC100" s="40">
        <f t="shared" ca="1" si="5328"/>
        <v>0</v>
      </c>
      <c r="HD100" s="40">
        <f t="shared" ca="1" si="5328"/>
        <v>0</v>
      </c>
      <c r="HE100" s="40">
        <f t="shared" ca="1" si="5328"/>
        <v>0</v>
      </c>
      <c r="HF100" s="40">
        <f t="shared" ca="1" si="5328"/>
        <v>0</v>
      </c>
      <c r="HG100" s="40">
        <f t="shared" ca="1" si="5328"/>
        <v>0</v>
      </c>
      <c r="HH100" s="40">
        <f t="shared" ca="1" si="5328"/>
        <v>0</v>
      </c>
      <c r="HI100" s="40">
        <f t="shared" ca="1" si="5328"/>
        <v>0</v>
      </c>
      <c r="HJ100" s="40">
        <f t="shared" ca="1" si="5328"/>
        <v>0</v>
      </c>
      <c r="HK100" s="40">
        <f t="shared" ca="1" si="5328"/>
        <v>0</v>
      </c>
      <c r="HL100" s="40">
        <f t="shared" ca="1" si="5328"/>
        <v>0</v>
      </c>
      <c r="HM100" s="40">
        <f t="shared" ca="1" si="5328"/>
        <v>0</v>
      </c>
      <c r="HN100" s="40">
        <f t="shared" ca="1" si="5328"/>
        <v>0</v>
      </c>
      <c r="HO100" s="40">
        <f t="shared" ca="1" si="5328"/>
        <v>0</v>
      </c>
      <c r="HP100" s="40">
        <f t="shared" ca="1" si="5328"/>
        <v>0</v>
      </c>
      <c r="HQ100" s="40">
        <f t="shared" ca="1" si="5328"/>
        <v>0</v>
      </c>
      <c r="HR100" s="40">
        <f t="shared" ca="1" si="5328"/>
        <v>0</v>
      </c>
      <c r="HS100" s="40">
        <f t="shared" ca="1" si="5328"/>
        <v>0</v>
      </c>
      <c r="HT100" s="40">
        <f t="shared" ca="1" si="5328"/>
        <v>0</v>
      </c>
      <c r="HU100" s="40">
        <f t="shared" ca="1" si="5328"/>
        <v>0</v>
      </c>
      <c r="HV100" s="40">
        <f t="shared" ca="1" si="5328"/>
        <v>0</v>
      </c>
      <c r="HW100" s="40">
        <f t="shared" ca="1" si="5328"/>
        <v>0</v>
      </c>
      <c r="HX100" s="40">
        <f t="shared" ca="1" si="5328"/>
        <v>0</v>
      </c>
      <c r="HY100" s="40">
        <f t="shared" ca="1" si="5328"/>
        <v>0</v>
      </c>
      <c r="HZ100" s="40">
        <f t="shared" ca="1" si="5328"/>
        <v>0</v>
      </c>
      <c r="IA100" s="40">
        <f t="shared" ca="1" si="5328"/>
        <v>0</v>
      </c>
      <c r="IB100" s="40">
        <f t="shared" ca="1" si="5328"/>
        <v>0</v>
      </c>
      <c r="IC100" s="40">
        <f t="shared" ca="1" si="5328"/>
        <v>0</v>
      </c>
      <c r="ID100" s="40">
        <f t="shared" ca="1" si="5328"/>
        <v>0</v>
      </c>
      <c r="IE100" s="40">
        <f t="shared" ca="1" si="5328"/>
        <v>0</v>
      </c>
      <c r="IF100" s="40">
        <f t="shared" ca="1" si="5328"/>
        <v>0</v>
      </c>
      <c r="IG100" s="40">
        <f t="shared" ca="1" si="5328"/>
        <v>0</v>
      </c>
      <c r="IH100" s="40">
        <f t="shared" ca="1" si="5328"/>
        <v>0</v>
      </c>
      <c r="II100" s="40">
        <f t="shared" ca="1" si="5328"/>
        <v>0</v>
      </c>
      <c r="IJ100" s="40">
        <f t="shared" ca="1" si="5328"/>
        <v>0</v>
      </c>
      <c r="IK100" s="40">
        <f t="shared" ca="1" si="5328"/>
        <v>0</v>
      </c>
      <c r="IL100" s="40">
        <f t="shared" ca="1" si="5328"/>
        <v>0</v>
      </c>
      <c r="IM100" s="40">
        <f t="shared" ca="1" si="5328"/>
        <v>0</v>
      </c>
      <c r="IN100" s="40">
        <f t="shared" ca="1" si="5328"/>
        <v>0</v>
      </c>
      <c r="IO100" s="40">
        <f t="shared" ref="IO100:KZ100" ca="1" si="5329">IO85-IO92-IO98</f>
        <v>0</v>
      </c>
      <c r="IP100" s="40">
        <f t="shared" ca="1" si="5329"/>
        <v>0</v>
      </c>
      <c r="IQ100" s="40">
        <f t="shared" ca="1" si="5329"/>
        <v>0</v>
      </c>
      <c r="IR100" s="40">
        <f t="shared" ca="1" si="5329"/>
        <v>0</v>
      </c>
      <c r="IS100" s="40">
        <f t="shared" ca="1" si="5329"/>
        <v>0</v>
      </c>
      <c r="IT100" s="40">
        <f t="shared" ca="1" si="5329"/>
        <v>0</v>
      </c>
      <c r="IU100" s="40">
        <f t="shared" ca="1" si="5329"/>
        <v>0</v>
      </c>
      <c r="IV100" s="40">
        <f t="shared" ca="1" si="5329"/>
        <v>0</v>
      </c>
      <c r="IW100" s="40">
        <f t="shared" ca="1" si="5329"/>
        <v>0</v>
      </c>
      <c r="IX100" s="40">
        <f t="shared" ca="1" si="5329"/>
        <v>0</v>
      </c>
      <c r="IY100" s="40">
        <f t="shared" ca="1" si="5329"/>
        <v>0</v>
      </c>
      <c r="IZ100" s="40">
        <f t="shared" ca="1" si="5329"/>
        <v>0</v>
      </c>
      <c r="JA100" s="40">
        <f t="shared" ca="1" si="5329"/>
        <v>0</v>
      </c>
      <c r="JB100" s="40">
        <f t="shared" ca="1" si="5329"/>
        <v>0</v>
      </c>
      <c r="JC100" s="40">
        <f t="shared" ca="1" si="5329"/>
        <v>0</v>
      </c>
      <c r="JD100" s="40">
        <f t="shared" ca="1" si="5329"/>
        <v>0</v>
      </c>
      <c r="JE100" s="40">
        <f t="shared" ca="1" si="5329"/>
        <v>0</v>
      </c>
      <c r="JF100" s="40">
        <f t="shared" ca="1" si="5329"/>
        <v>0</v>
      </c>
      <c r="JG100" s="40">
        <f t="shared" ca="1" si="5329"/>
        <v>0</v>
      </c>
      <c r="JH100" s="40">
        <f t="shared" ca="1" si="5329"/>
        <v>0</v>
      </c>
      <c r="JI100" s="40">
        <f t="shared" ca="1" si="5329"/>
        <v>0</v>
      </c>
      <c r="JJ100" s="40">
        <f t="shared" ca="1" si="5329"/>
        <v>0</v>
      </c>
      <c r="JK100" s="40">
        <f t="shared" ca="1" si="5329"/>
        <v>0</v>
      </c>
      <c r="JL100" s="40">
        <f t="shared" ca="1" si="5329"/>
        <v>0</v>
      </c>
      <c r="JM100" s="40">
        <f t="shared" ca="1" si="5329"/>
        <v>0</v>
      </c>
      <c r="JN100" s="40">
        <f t="shared" ca="1" si="5329"/>
        <v>0</v>
      </c>
      <c r="JO100" s="40">
        <f t="shared" ca="1" si="5329"/>
        <v>0</v>
      </c>
      <c r="JP100" s="40">
        <f t="shared" ca="1" si="5329"/>
        <v>0</v>
      </c>
      <c r="JQ100" s="40">
        <f t="shared" ca="1" si="5329"/>
        <v>0</v>
      </c>
      <c r="JR100" s="40">
        <f t="shared" ca="1" si="5329"/>
        <v>0</v>
      </c>
      <c r="JS100" s="40">
        <f t="shared" ca="1" si="5329"/>
        <v>0</v>
      </c>
      <c r="JT100" s="40">
        <f t="shared" ca="1" si="5329"/>
        <v>0</v>
      </c>
      <c r="JU100" s="40">
        <f t="shared" ca="1" si="5329"/>
        <v>0</v>
      </c>
      <c r="JV100" s="40">
        <f t="shared" ca="1" si="5329"/>
        <v>0</v>
      </c>
      <c r="JW100" s="40">
        <f t="shared" ca="1" si="5329"/>
        <v>0</v>
      </c>
      <c r="JX100" s="40">
        <f t="shared" ca="1" si="5329"/>
        <v>0</v>
      </c>
      <c r="JY100" s="40">
        <f t="shared" ca="1" si="5329"/>
        <v>0</v>
      </c>
      <c r="JZ100" s="40">
        <f t="shared" ca="1" si="5329"/>
        <v>0</v>
      </c>
      <c r="KA100" s="40">
        <f t="shared" ca="1" si="5329"/>
        <v>0</v>
      </c>
      <c r="KB100" s="40">
        <f t="shared" ca="1" si="5329"/>
        <v>0</v>
      </c>
      <c r="KC100" s="40">
        <f t="shared" ca="1" si="5329"/>
        <v>0</v>
      </c>
      <c r="KD100" s="40">
        <f t="shared" ca="1" si="5329"/>
        <v>0</v>
      </c>
      <c r="KE100" s="40">
        <f t="shared" ca="1" si="5329"/>
        <v>0</v>
      </c>
      <c r="KF100" s="40">
        <f t="shared" ca="1" si="5329"/>
        <v>0</v>
      </c>
      <c r="KG100" s="40">
        <f t="shared" ca="1" si="5329"/>
        <v>0</v>
      </c>
      <c r="KH100" s="40">
        <f t="shared" ca="1" si="5329"/>
        <v>0</v>
      </c>
      <c r="KI100" s="40">
        <f t="shared" ca="1" si="5329"/>
        <v>0</v>
      </c>
      <c r="KJ100" s="40">
        <f t="shared" ca="1" si="5329"/>
        <v>0</v>
      </c>
      <c r="KK100" s="40">
        <f t="shared" ca="1" si="5329"/>
        <v>0</v>
      </c>
      <c r="KL100" s="40">
        <f t="shared" ca="1" si="5329"/>
        <v>0</v>
      </c>
      <c r="KM100" s="40">
        <f t="shared" ca="1" si="5329"/>
        <v>0</v>
      </c>
      <c r="KN100" s="40">
        <f t="shared" ca="1" si="5329"/>
        <v>0</v>
      </c>
      <c r="KO100" s="40">
        <f t="shared" ca="1" si="5329"/>
        <v>0</v>
      </c>
      <c r="KP100" s="40">
        <f t="shared" ca="1" si="5329"/>
        <v>0</v>
      </c>
      <c r="KQ100" s="40">
        <f t="shared" ca="1" si="5329"/>
        <v>0</v>
      </c>
      <c r="KR100" s="40">
        <f t="shared" ca="1" si="5329"/>
        <v>0</v>
      </c>
      <c r="KS100" s="40">
        <f t="shared" ca="1" si="5329"/>
        <v>0</v>
      </c>
      <c r="KT100" s="40">
        <f t="shared" ca="1" si="5329"/>
        <v>0</v>
      </c>
      <c r="KU100" s="40">
        <f t="shared" ca="1" si="5329"/>
        <v>0</v>
      </c>
      <c r="KV100" s="40">
        <f t="shared" ca="1" si="5329"/>
        <v>0</v>
      </c>
      <c r="KW100" s="40">
        <f t="shared" ca="1" si="5329"/>
        <v>0</v>
      </c>
      <c r="KX100" s="40">
        <f t="shared" ca="1" si="5329"/>
        <v>0</v>
      </c>
      <c r="KY100" s="40">
        <f t="shared" ca="1" si="5329"/>
        <v>0</v>
      </c>
      <c r="KZ100" s="40">
        <f t="shared" ca="1" si="5329"/>
        <v>0</v>
      </c>
      <c r="LA100" s="40">
        <f t="shared" ref="LA100:ND100" ca="1" si="5330">LA85-LA92-LA98</f>
        <v>0</v>
      </c>
      <c r="LB100" s="40">
        <f t="shared" ca="1" si="5330"/>
        <v>0</v>
      </c>
      <c r="LC100" s="40">
        <f t="shared" ca="1" si="5330"/>
        <v>0</v>
      </c>
      <c r="LD100" s="40">
        <f t="shared" ca="1" si="5330"/>
        <v>0</v>
      </c>
      <c r="LE100" s="40">
        <f t="shared" ca="1" si="5330"/>
        <v>0</v>
      </c>
      <c r="LF100" s="40">
        <f t="shared" ca="1" si="5330"/>
        <v>0</v>
      </c>
      <c r="LG100" s="40">
        <f t="shared" ca="1" si="5330"/>
        <v>0</v>
      </c>
      <c r="LH100" s="40">
        <f t="shared" ca="1" si="5330"/>
        <v>0</v>
      </c>
      <c r="LI100" s="40">
        <f t="shared" ca="1" si="5330"/>
        <v>0</v>
      </c>
      <c r="LJ100" s="40">
        <f t="shared" ca="1" si="5330"/>
        <v>0</v>
      </c>
      <c r="LK100" s="40">
        <f t="shared" ca="1" si="5330"/>
        <v>0</v>
      </c>
      <c r="LL100" s="40">
        <f t="shared" ca="1" si="5330"/>
        <v>0</v>
      </c>
      <c r="LM100" s="40">
        <f t="shared" ca="1" si="5330"/>
        <v>0</v>
      </c>
      <c r="LN100" s="40">
        <f t="shared" ca="1" si="5330"/>
        <v>0</v>
      </c>
      <c r="LO100" s="40">
        <f t="shared" ca="1" si="5330"/>
        <v>0</v>
      </c>
      <c r="LP100" s="40">
        <f t="shared" ca="1" si="5330"/>
        <v>0</v>
      </c>
      <c r="LQ100" s="40">
        <f t="shared" ca="1" si="5330"/>
        <v>0</v>
      </c>
      <c r="LR100" s="40">
        <f t="shared" ca="1" si="5330"/>
        <v>0</v>
      </c>
      <c r="LS100" s="40">
        <f t="shared" ca="1" si="5330"/>
        <v>0</v>
      </c>
      <c r="LT100" s="40">
        <f t="shared" ca="1" si="5330"/>
        <v>0</v>
      </c>
      <c r="LU100" s="40">
        <f t="shared" ca="1" si="5330"/>
        <v>0</v>
      </c>
      <c r="LV100" s="40">
        <f t="shared" ca="1" si="5330"/>
        <v>0</v>
      </c>
      <c r="LW100" s="40">
        <f t="shared" ca="1" si="5330"/>
        <v>0</v>
      </c>
      <c r="LX100" s="40">
        <f t="shared" ca="1" si="5330"/>
        <v>0</v>
      </c>
      <c r="LY100" s="40">
        <f t="shared" ca="1" si="5330"/>
        <v>0</v>
      </c>
      <c r="LZ100" s="40">
        <f t="shared" ca="1" si="5330"/>
        <v>0</v>
      </c>
      <c r="MA100" s="40">
        <f t="shared" ca="1" si="5330"/>
        <v>0</v>
      </c>
      <c r="MB100" s="40">
        <f t="shared" ca="1" si="5330"/>
        <v>0</v>
      </c>
      <c r="MC100" s="40">
        <f t="shared" ca="1" si="5330"/>
        <v>0</v>
      </c>
      <c r="MD100" s="40">
        <f t="shared" ca="1" si="5330"/>
        <v>0</v>
      </c>
      <c r="ME100" s="40">
        <f t="shared" ca="1" si="5330"/>
        <v>0</v>
      </c>
      <c r="MF100" s="40">
        <f t="shared" ca="1" si="5330"/>
        <v>0</v>
      </c>
      <c r="MG100" s="40">
        <f t="shared" ca="1" si="5330"/>
        <v>0</v>
      </c>
      <c r="MH100" s="40">
        <f t="shared" ca="1" si="5330"/>
        <v>0</v>
      </c>
      <c r="MI100" s="40">
        <f t="shared" ca="1" si="5330"/>
        <v>0</v>
      </c>
      <c r="MJ100" s="40">
        <f t="shared" ca="1" si="5330"/>
        <v>0</v>
      </c>
      <c r="MK100" s="40">
        <f t="shared" ca="1" si="5330"/>
        <v>0</v>
      </c>
      <c r="ML100" s="40">
        <f t="shared" ca="1" si="5330"/>
        <v>0</v>
      </c>
      <c r="MM100" s="40">
        <f t="shared" ca="1" si="5330"/>
        <v>0</v>
      </c>
      <c r="MN100" s="40">
        <f t="shared" ca="1" si="5330"/>
        <v>0</v>
      </c>
      <c r="MO100" s="40">
        <f t="shared" ca="1" si="5330"/>
        <v>0</v>
      </c>
      <c r="MP100" s="40">
        <f t="shared" ca="1" si="5330"/>
        <v>0</v>
      </c>
      <c r="MQ100" s="40">
        <f t="shared" ca="1" si="5330"/>
        <v>0</v>
      </c>
      <c r="MR100" s="40">
        <f t="shared" ca="1" si="5330"/>
        <v>0</v>
      </c>
      <c r="MS100" s="40">
        <f t="shared" ca="1" si="5330"/>
        <v>0</v>
      </c>
      <c r="MT100" s="40">
        <f t="shared" ca="1" si="5330"/>
        <v>0</v>
      </c>
      <c r="MU100" s="40">
        <f t="shared" ca="1" si="5330"/>
        <v>0</v>
      </c>
      <c r="MV100" s="40">
        <f t="shared" ca="1" si="5330"/>
        <v>0</v>
      </c>
      <c r="MW100" s="40">
        <f t="shared" ca="1" si="5330"/>
        <v>0</v>
      </c>
      <c r="MX100" s="40">
        <f t="shared" ca="1" si="5330"/>
        <v>0</v>
      </c>
      <c r="MY100" s="40">
        <f t="shared" ca="1" si="5330"/>
        <v>0</v>
      </c>
      <c r="MZ100" s="40">
        <f t="shared" ca="1" si="5330"/>
        <v>0</v>
      </c>
      <c r="NA100" s="40">
        <f t="shared" ca="1" si="5330"/>
        <v>0</v>
      </c>
      <c r="NB100" s="40">
        <f t="shared" ca="1" si="5330"/>
        <v>0</v>
      </c>
      <c r="NC100" s="40">
        <f t="shared" ca="1" si="5330"/>
        <v>0</v>
      </c>
      <c r="ND100" s="40">
        <f t="shared" ca="1" si="5330"/>
        <v>0</v>
      </c>
      <c r="NE100" s="40"/>
      <c r="NF100" s="40"/>
      <c r="NG100" s="40"/>
      <c r="NH100" s="40"/>
      <c r="NI100" s="40"/>
      <c r="NJ100" s="40"/>
      <c r="NK100" s="40"/>
      <c r="NL100" s="40"/>
      <c r="NM100" s="40"/>
      <c r="NN100" s="40"/>
      <c r="NO100" s="40"/>
      <c r="NP100" s="40"/>
      <c r="NQ100" s="40"/>
      <c r="NR100" s="40"/>
    </row>
    <row r="101" spans="2:382" ht="16" customHeight="1" x14ac:dyDescent="0.15">
      <c r="B101" s="521" t="s">
        <v>183</v>
      </c>
      <c r="G101" s="118"/>
      <c r="I101" s="40"/>
      <c r="J101" s="40"/>
      <c r="K101" s="40"/>
      <c r="L101" s="40"/>
      <c r="M101" s="40"/>
      <c r="N101" s="40"/>
      <c r="O101" s="40"/>
      <c r="P101" s="40"/>
      <c r="Q101" s="40"/>
      <c r="R101" s="40"/>
      <c r="S101" s="40"/>
      <c r="T101" s="40"/>
      <c r="U101" s="40"/>
      <c r="V101" s="40"/>
      <c r="W101" s="40"/>
      <c r="X101" s="40"/>
      <c r="Y101" s="40"/>
      <c r="Z101" s="40"/>
      <c r="AA101" s="40"/>
      <c r="AB101" s="40"/>
      <c r="AC101" s="40"/>
      <c r="AD101" s="40"/>
      <c r="AE101" s="40"/>
      <c r="AF101" s="40"/>
      <c r="AG101" s="40"/>
      <c r="AH101" s="40"/>
      <c r="AI101" s="40"/>
      <c r="AJ101" s="40"/>
      <c r="AK101" s="40"/>
      <c r="AL101" s="40"/>
      <c r="AM101" s="40"/>
      <c r="AN101" s="40"/>
      <c r="AO101" s="40"/>
      <c r="AP101" s="40"/>
      <c r="AQ101" s="40"/>
      <c r="AR101" s="40"/>
      <c r="AS101" s="40"/>
      <c r="AT101" s="40"/>
      <c r="AU101" s="40"/>
      <c r="AV101" s="40"/>
      <c r="AW101" s="40"/>
      <c r="AX101" s="40"/>
      <c r="AY101" s="40"/>
      <c r="AZ101" s="40"/>
      <c r="BA101" s="40"/>
      <c r="BB101" s="40"/>
      <c r="BC101" s="40"/>
      <c r="BD101" s="40"/>
      <c r="BE101" s="40"/>
      <c r="BF101" s="40"/>
      <c r="BG101" s="40"/>
      <c r="BH101" s="40"/>
      <c r="BI101" s="40"/>
      <c r="BJ101" s="40"/>
      <c r="BK101" s="40"/>
      <c r="BL101" s="40"/>
      <c r="BM101" s="40"/>
      <c r="BN101" s="40"/>
      <c r="BO101" s="40"/>
      <c r="BP101" s="40"/>
      <c r="BQ101" s="40"/>
      <c r="BR101" s="40"/>
      <c r="BS101" s="40"/>
      <c r="BT101" s="40"/>
      <c r="BU101" s="40"/>
      <c r="BV101" s="40"/>
      <c r="BW101" s="40"/>
      <c r="BX101" s="40"/>
      <c r="BY101" s="40"/>
      <c r="BZ101" s="40"/>
      <c r="CA101" s="40"/>
      <c r="CB101" s="40"/>
      <c r="CC101" s="40"/>
      <c r="CD101" s="40"/>
      <c r="CE101" s="40"/>
      <c r="CF101" s="40"/>
      <c r="CG101" s="40"/>
      <c r="CH101" s="40"/>
      <c r="CI101" s="40"/>
      <c r="CJ101" s="40"/>
      <c r="CK101" s="40"/>
      <c r="CL101" s="40"/>
      <c r="CM101" s="40"/>
      <c r="CN101" s="40"/>
      <c r="CO101" s="40"/>
      <c r="CP101" s="40"/>
      <c r="CQ101" s="40"/>
      <c r="CR101" s="40"/>
      <c r="CS101" s="40"/>
      <c r="CT101" s="40"/>
      <c r="CU101" s="40"/>
      <c r="CV101" s="40"/>
      <c r="CW101" s="40"/>
      <c r="CX101" s="40"/>
      <c r="CY101" s="40"/>
      <c r="CZ101" s="40"/>
      <c r="DA101" s="40"/>
      <c r="DB101" s="40"/>
      <c r="DC101" s="40"/>
      <c r="DD101" s="40"/>
      <c r="DE101" s="40"/>
      <c r="DF101" s="40"/>
      <c r="DG101" s="40"/>
      <c r="DH101" s="40"/>
      <c r="DI101" s="40"/>
      <c r="DJ101" s="40"/>
      <c r="DK101" s="40"/>
      <c r="DL101" s="40"/>
      <c r="DM101" s="40"/>
      <c r="DN101" s="40"/>
      <c r="DO101" s="40"/>
      <c r="DP101" s="40"/>
      <c r="DQ101" s="40"/>
      <c r="DR101" s="40"/>
      <c r="DS101" s="40"/>
      <c r="DT101" s="40"/>
      <c r="DU101" s="40"/>
      <c r="DV101" s="40"/>
      <c r="DW101" s="40"/>
      <c r="DX101" s="40"/>
      <c r="DY101" s="40"/>
      <c r="DZ101" s="40"/>
      <c r="EA101" s="40"/>
      <c r="EB101" s="40"/>
      <c r="EC101" s="40"/>
      <c r="ED101" s="40"/>
      <c r="EE101" s="40"/>
      <c r="EF101" s="40"/>
      <c r="EG101" s="40"/>
      <c r="EH101" s="40"/>
      <c r="EI101" s="40"/>
      <c r="EJ101" s="40"/>
      <c r="EK101" s="40"/>
      <c r="EL101" s="40"/>
      <c r="EM101" s="40"/>
      <c r="EN101" s="40"/>
      <c r="EO101" s="40"/>
      <c r="EP101" s="40"/>
      <c r="EQ101" s="40"/>
      <c r="ER101" s="40"/>
      <c r="ES101" s="40"/>
      <c r="ET101" s="40"/>
      <c r="EU101" s="40"/>
      <c r="EV101" s="40"/>
      <c r="EW101" s="40"/>
      <c r="EX101" s="40"/>
      <c r="EY101" s="40"/>
      <c r="EZ101" s="40"/>
      <c r="FA101" s="40"/>
      <c r="FB101" s="40"/>
      <c r="FC101" s="40"/>
      <c r="FD101" s="40"/>
      <c r="FE101" s="40"/>
      <c r="FF101" s="40"/>
      <c r="FG101" s="40"/>
      <c r="FH101" s="40"/>
      <c r="FI101" s="40"/>
      <c r="FJ101" s="40"/>
      <c r="FK101" s="40"/>
      <c r="FL101" s="40"/>
      <c r="FM101" s="40"/>
      <c r="FN101" s="40"/>
      <c r="FO101" s="40"/>
      <c r="FP101" s="40"/>
      <c r="FQ101" s="40"/>
      <c r="FR101" s="40"/>
      <c r="FS101" s="40"/>
      <c r="FT101" s="40"/>
      <c r="FU101" s="40"/>
      <c r="FV101" s="40"/>
      <c r="FW101" s="40"/>
      <c r="FX101" s="40"/>
      <c r="FY101" s="40"/>
      <c r="FZ101" s="40"/>
      <c r="GA101" s="40"/>
      <c r="GB101" s="40"/>
      <c r="GC101" s="40"/>
      <c r="GD101" s="40"/>
      <c r="GE101" s="40"/>
      <c r="GF101" s="40"/>
      <c r="GG101" s="40"/>
      <c r="GH101" s="40"/>
      <c r="GI101" s="40"/>
      <c r="GJ101" s="40"/>
      <c r="GK101" s="40"/>
      <c r="GL101" s="40"/>
      <c r="GM101" s="40"/>
      <c r="GN101" s="40"/>
      <c r="GO101" s="40"/>
      <c r="GP101" s="40"/>
      <c r="GQ101" s="40"/>
      <c r="GR101" s="40"/>
      <c r="GS101" s="40"/>
      <c r="GT101" s="40"/>
      <c r="GU101" s="40"/>
      <c r="GV101" s="40"/>
      <c r="GW101" s="40"/>
      <c r="GX101" s="40"/>
      <c r="GY101" s="40"/>
      <c r="GZ101" s="40"/>
      <c r="HA101" s="40"/>
      <c r="HB101" s="40"/>
      <c r="HC101" s="40"/>
      <c r="HD101" s="40"/>
      <c r="HE101" s="40"/>
      <c r="HF101" s="40"/>
      <c r="HG101" s="40"/>
      <c r="HH101" s="40"/>
      <c r="HI101" s="40"/>
      <c r="HJ101" s="40"/>
      <c r="HK101" s="40"/>
      <c r="HL101" s="40"/>
      <c r="HM101" s="40"/>
      <c r="HN101" s="40"/>
      <c r="HO101" s="40"/>
      <c r="HP101" s="40"/>
      <c r="HQ101" s="40"/>
      <c r="HR101" s="40"/>
      <c r="HS101" s="40"/>
      <c r="HT101" s="40"/>
      <c r="HU101" s="40"/>
      <c r="HV101" s="40"/>
      <c r="HW101" s="40"/>
      <c r="HX101" s="40"/>
      <c r="HY101" s="40"/>
      <c r="HZ101" s="40"/>
      <c r="IA101" s="40"/>
      <c r="IB101" s="40"/>
      <c r="IC101" s="40"/>
      <c r="ID101" s="40"/>
      <c r="IE101" s="40"/>
      <c r="IF101" s="40"/>
      <c r="IG101" s="40"/>
      <c r="IH101" s="40"/>
      <c r="II101" s="40"/>
      <c r="IJ101" s="40"/>
      <c r="IK101" s="40"/>
      <c r="IL101" s="40"/>
      <c r="IM101" s="40"/>
      <c r="IN101" s="40"/>
      <c r="IO101" s="40"/>
      <c r="IP101" s="40"/>
      <c r="IQ101" s="40"/>
      <c r="IR101" s="40"/>
      <c r="IS101" s="40"/>
      <c r="IT101" s="40"/>
      <c r="IU101" s="40"/>
      <c r="IV101" s="40"/>
      <c r="IW101" s="40"/>
      <c r="IX101" s="40"/>
      <c r="IY101" s="40"/>
      <c r="IZ101" s="40"/>
      <c r="JA101" s="40"/>
      <c r="JB101" s="40"/>
      <c r="JC101" s="40"/>
      <c r="JD101" s="40"/>
      <c r="JE101" s="40"/>
      <c r="JF101" s="40"/>
      <c r="JG101" s="40"/>
      <c r="JH101" s="40"/>
      <c r="JI101" s="40"/>
      <c r="JJ101" s="40"/>
      <c r="JK101" s="40"/>
      <c r="JL101" s="40"/>
      <c r="JM101" s="40"/>
      <c r="JN101" s="40"/>
      <c r="JO101" s="40"/>
      <c r="JP101" s="40"/>
      <c r="JQ101" s="40"/>
      <c r="JR101" s="40"/>
      <c r="JS101" s="40"/>
      <c r="JT101" s="40"/>
      <c r="JU101" s="40"/>
      <c r="JV101" s="40"/>
      <c r="JW101" s="40"/>
      <c r="JX101" s="40"/>
      <c r="JY101" s="40"/>
      <c r="JZ101" s="40"/>
      <c r="KA101" s="40"/>
      <c r="KB101" s="40"/>
      <c r="KC101" s="40"/>
      <c r="KD101" s="40"/>
      <c r="KE101" s="40"/>
      <c r="KF101" s="40"/>
      <c r="KG101" s="40"/>
      <c r="KH101" s="40"/>
      <c r="KI101" s="40"/>
      <c r="KJ101" s="40"/>
      <c r="KK101" s="40"/>
      <c r="KL101" s="40"/>
      <c r="KM101" s="40"/>
      <c r="KN101" s="40"/>
      <c r="KO101" s="40"/>
      <c r="KP101" s="40"/>
      <c r="KQ101" s="40"/>
      <c r="KR101" s="40"/>
      <c r="KS101" s="40"/>
      <c r="KT101" s="40"/>
      <c r="KU101" s="40"/>
      <c r="KV101" s="40"/>
      <c r="KW101" s="40"/>
      <c r="KX101" s="40"/>
      <c r="KY101" s="40"/>
      <c r="KZ101" s="40"/>
      <c r="LA101" s="40"/>
      <c r="LB101" s="40"/>
      <c r="LC101" s="40"/>
      <c r="LD101" s="40"/>
      <c r="LE101" s="40"/>
      <c r="LF101" s="40"/>
      <c r="LG101" s="40"/>
      <c r="LH101" s="40"/>
      <c r="LI101" s="40"/>
      <c r="LJ101" s="40"/>
      <c r="LK101" s="40"/>
      <c r="LL101" s="40"/>
      <c r="LM101" s="40"/>
      <c r="LN101" s="40"/>
      <c r="LO101" s="40"/>
      <c r="LP101" s="40"/>
      <c r="LQ101" s="40"/>
      <c r="LR101" s="40"/>
      <c r="LS101" s="40"/>
      <c r="LT101" s="40"/>
      <c r="LU101" s="40"/>
      <c r="LV101" s="40"/>
      <c r="LW101" s="40"/>
      <c r="LX101" s="40"/>
      <c r="LY101" s="40"/>
      <c r="LZ101" s="40"/>
      <c r="MA101" s="40"/>
      <c r="MB101" s="40"/>
      <c r="MC101" s="40"/>
      <c r="MD101" s="40"/>
      <c r="ME101" s="40"/>
      <c r="MF101" s="40"/>
      <c r="MG101" s="40"/>
      <c r="MH101" s="40"/>
      <c r="MI101" s="40"/>
      <c r="MJ101" s="40"/>
      <c r="MK101" s="40"/>
      <c r="ML101" s="40"/>
      <c r="MM101" s="40"/>
      <c r="MN101" s="40"/>
      <c r="MO101" s="40"/>
      <c r="MP101" s="40"/>
      <c r="MQ101" s="40"/>
      <c r="MR101" s="40"/>
      <c r="MS101" s="40"/>
      <c r="MT101" s="40"/>
      <c r="MU101" s="40"/>
      <c r="MV101" s="40"/>
      <c r="MW101" s="40"/>
      <c r="MX101" s="40"/>
      <c r="MY101" s="40"/>
      <c r="MZ101" s="40"/>
      <c r="NA101" s="40"/>
      <c r="NB101" s="40"/>
      <c r="NC101" s="40"/>
      <c r="ND101" s="40"/>
      <c r="NE101" s="40"/>
      <c r="NF101" s="40"/>
      <c r="NG101" s="40"/>
      <c r="NH101" s="40"/>
      <c r="NI101" s="40"/>
      <c r="NJ101" s="40"/>
      <c r="NK101" s="40"/>
      <c r="NL101" s="40"/>
      <c r="NM101" s="40"/>
      <c r="NN101" s="40"/>
      <c r="NO101" s="40"/>
      <c r="NP101" s="40"/>
      <c r="NQ101" s="40"/>
      <c r="NR101" s="40"/>
    </row>
    <row r="102" spans="2:382" x14ac:dyDescent="0.15">
      <c r="B102" s="521"/>
      <c r="C102" t="s">
        <v>184</v>
      </c>
      <c r="E102" s="5">
        <f>K14</f>
        <v>0.7</v>
      </c>
      <c r="G102" s="118"/>
      <c r="I102" s="40">
        <f>$E$102*I100</f>
        <v>0</v>
      </c>
      <c r="J102" s="40">
        <f t="shared" ref="J102" si="5331">$E$102*J100</f>
        <v>0</v>
      </c>
      <c r="K102" s="40">
        <f t="shared" ref="K102:BV102" si="5332">$E$102*K100</f>
        <v>0</v>
      </c>
      <c r="L102" s="40">
        <f t="shared" si="5332"/>
        <v>0</v>
      </c>
      <c r="M102" s="40">
        <f t="shared" si="5332"/>
        <v>0</v>
      </c>
      <c r="N102" s="40">
        <f t="shared" si="5332"/>
        <v>0</v>
      </c>
      <c r="O102" s="40">
        <f t="shared" si="5332"/>
        <v>0</v>
      </c>
      <c r="P102" s="40">
        <f t="shared" si="5332"/>
        <v>0</v>
      </c>
      <c r="Q102" s="40">
        <f t="shared" si="5332"/>
        <v>0</v>
      </c>
      <c r="R102" s="40">
        <f t="shared" si="5332"/>
        <v>0</v>
      </c>
      <c r="S102" s="40">
        <f t="shared" si="5332"/>
        <v>0</v>
      </c>
      <c r="T102" s="40">
        <f t="shared" si="5332"/>
        <v>0</v>
      </c>
      <c r="U102" s="40">
        <f t="shared" si="5332"/>
        <v>0</v>
      </c>
      <c r="V102" s="40">
        <f t="shared" si="5332"/>
        <v>0</v>
      </c>
      <c r="W102" s="40">
        <f t="shared" si="5332"/>
        <v>0</v>
      </c>
      <c r="X102" s="40">
        <f t="shared" si="5332"/>
        <v>0</v>
      </c>
      <c r="Y102" s="40">
        <f t="shared" si="5332"/>
        <v>0</v>
      </c>
      <c r="Z102" s="40">
        <f t="shared" si="5332"/>
        <v>0</v>
      </c>
      <c r="AA102" s="40">
        <f t="shared" si="5332"/>
        <v>0</v>
      </c>
      <c r="AB102" s="40">
        <f t="shared" si="5332"/>
        <v>0</v>
      </c>
      <c r="AC102" s="40">
        <f t="shared" si="5332"/>
        <v>0</v>
      </c>
      <c r="AD102" s="40">
        <f t="shared" si="5332"/>
        <v>0</v>
      </c>
      <c r="AE102" s="40">
        <f t="shared" si="5332"/>
        <v>0</v>
      </c>
      <c r="AF102" s="40">
        <f t="shared" si="5332"/>
        <v>0</v>
      </c>
      <c r="AG102" s="40">
        <f t="shared" si="5332"/>
        <v>0</v>
      </c>
      <c r="AH102" s="40">
        <f t="shared" si="5332"/>
        <v>0</v>
      </c>
      <c r="AI102" s="40">
        <f t="shared" si="5332"/>
        <v>0</v>
      </c>
      <c r="AJ102" s="40">
        <f t="shared" si="5332"/>
        <v>0</v>
      </c>
      <c r="AK102" s="40">
        <f t="shared" si="5332"/>
        <v>0</v>
      </c>
      <c r="AL102" s="40">
        <f t="shared" si="5332"/>
        <v>0</v>
      </c>
      <c r="AM102" s="40">
        <f t="shared" si="5332"/>
        <v>0</v>
      </c>
      <c r="AN102" s="40">
        <f t="shared" si="5332"/>
        <v>0</v>
      </c>
      <c r="AO102" s="40">
        <f t="shared" si="5332"/>
        <v>0</v>
      </c>
      <c r="AP102" s="40">
        <f t="shared" si="5332"/>
        <v>0</v>
      </c>
      <c r="AQ102" s="40">
        <f t="shared" si="5332"/>
        <v>0</v>
      </c>
      <c r="AR102" s="40">
        <f t="shared" si="5332"/>
        <v>0</v>
      </c>
      <c r="AS102" s="40">
        <f t="shared" si="5332"/>
        <v>0</v>
      </c>
      <c r="AT102" s="40">
        <f t="shared" si="5332"/>
        <v>0</v>
      </c>
      <c r="AU102" s="40">
        <f t="shared" si="5332"/>
        <v>0</v>
      </c>
      <c r="AV102" s="40">
        <f t="shared" si="5332"/>
        <v>0</v>
      </c>
      <c r="AW102" s="40">
        <f t="shared" si="5332"/>
        <v>0</v>
      </c>
      <c r="AX102" s="40">
        <f t="shared" si="5332"/>
        <v>0</v>
      </c>
      <c r="AY102" s="40">
        <f t="shared" si="5332"/>
        <v>0</v>
      </c>
      <c r="AZ102" s="40">
        <f t="shared" si="5332"/>
        <v>0</v>
      </c>
      <c r="BA102" s="40">
        <f t="shared" si="5332"/>
        <v>0</v>
      </c>
      <c r="BB102" s="40">
        <f t="shared" si="5332"/>
        <v>0</v>
      </c>
      <c r="BC102" s="40">
        <f t="shared" si="5332"/>
        <v>0</v>
      </c>
      <c r="BD102" s="40">
        <f t="shared" si="5332"/>
        <v>0</v>
      </c>
      <c r="BE102" s="40">
        <f t="shared" si="5332"/>
        <v>0</v>
      </c>
      <c r="BF102" s="40">
        <f t="shared" si="5332"/>
        <v>0</v>
      </c>
      <c r="BG102" s="40">
        <f t="shared" si="5332"/>
        <v>0</v>
      </c>
      <c r="BH102" s="40">
        <f t="shared" si="5332"/>
        <v>0</v>
      </c>
      <c r="BI102" s="40">
        <f t="shared" si="5332"/>
        <v>0</v>
      </c>
      <c r="BJ102" s="40">
        <f t="shared" si="5332"/>
        <v>0</v>
      </c>
      <c r="BK102" s="40">
        <f t="shared" si="5332"/>
        <v>0</v>
      </c>
      <c r="BL102" s="40">
        <f t="shared" si="5332"/>
        <v>0</v>
      </c>
      <c r="BM102" s="40">
        <f t="shared" si="5332"/>
        <v>0</v>
      </c>
      <c r="BN102" s="40">
        <f t="shared" si="5332"/>
        <v>0</v>
      </c>
      <c r="BO102" s="40">
        <f t="shared" si="5332"/>
        <v>0</v>
      </c>
      <c r="BP102" s="40">
        <f t="shared" si="5332"/>
        <v>0</v>
      </c>
      <c r="BQ102" s="40">
        <f t="shared" si="5332"/>
        <v>0</v>
      </c>
      <c r="BR102" s="40">
        <f t="shared" si="5332"/>
        <v>0</v>
      </c>
      <c r="BS102" s="40">
        <f t="shared" si="5332"/>
        <v>0</v>
      </c>
      <c r="BT102" s="40">
        <f t="shared" si="5332"/>
        <v>0</v>
      </c>
      <c r="BU102" s="40">
        <f t="shared" si="5332"/>
        <v>0</v>
      </c>
      <c r="BV102" s="40">
        <f t="shared" si="5332"/>
        <v>0</v>
      </c>
      <c r="BW102" s="40">
        <f t="shared" ref="BW102:EH102" si="5333">$E$102*BW100</f>
        <v>0</v>
      </c>
      <c r="BX102" s="40">
        <f t="shared" si="5333"/>
        <v>0</v>
      </c>
      <c r="BY102" s="40">
        <f t="shared" si="5333"/>
        <v>0</v>
      </c>
      <c r="BZ102" s="40">
        <f t="shared" si="5333"/>
        <v>0</v>
      </c>
      <c r="CA102" s="40">
        <f t="shared" si="5333"/>
        <v>0</v>
      </c>
      <c r="CB102" s="40">
        <f t="shared" si="5333"/>
        <v>0</v>
      </c>
      <c r="CC102" s="40">
        <f t="shared" si="5333"/>
        <v>0</v>
      </c>
      <c r="CD102" s="40">
        <f t="shared" si="5333"/>
        <v>0</v>
      </c>
      <c r="CE102" s="40">
        <f t="shared" si="5333"/>
        <v>0</v>
      </c>
      <c r="CF102" s="40">
        <f t="shared" si="5333"/>
        <v>0</v>
      </c>
      <c r="CG102" s="40">
        <f t="shared" si="5333"/>
        <v>0</v>
      </c>
      <c r="CH102" s="40">
        <f t="shared" si="5333"/>
        <v>0</v>
      </c>
      <c r="CI102" s="40">
        <f t="shared" si="5333"/>
        <v>0</v>
      </c>
      <c r="CJ102" s="40">
        <f t="shared" si="5333"/>
        <v>0</v>
      </c>
      <c r="CK102" s="40">
        <f t="shared" si="5333"/>
        <v>0</v>
      </c>
      <c r="CL102" s="40">
        <f t="shared" si="5333"/>
        <v>0</v>
      </c>
      <c r="CM102" s="40">
        <f t="shared" si="5333"/>
        <v>0</v>
      </c>
      <c r="CN102" s="40">
        <f t="shared" si="5333"/>
        <v>0</v>
      </c>
      <c r="CO102" s="40">
        <f t="shared" si="5333"/>
        <v>0</v>
      </c>
      <c r="CP102" s="40">
        <f t="shared" si="5333"/>
        <v>0</v>
      </c>
      <c r="CQ102" s="40">
        <f t="shared" si="5333"/>
        <v>0</v>
      </c>
      <c r="CR102" s="40">
        <f t="shared" si="5333"/>
        <v>0</v>
      </c>
      <c r="CS102" s="40">
        <f t="shared" si="5333"/>
        <v>0</v>
      </c>
      <c r="CT102" s="40">
        <f t="shared" si="5333"/>
        <v>0</v>
      </c>
      <c r="CU102" s="40">
        <f t="shared" si="5333"/>
        <v>0</v>
      </c>
      <c r="CV102" s="40">
        <f t="shared" si="5333"/>
        <v>0</v>
      </c>
      <c r="CW102" s="40">
        <f t="shared" si="5333"/>
        <v>0</v>
      </c>
      <c r="CX102" s="40">
        <f t="shared" si="5333"/>
        <v>0</v>
      </c>
      <c r="CY102" s="40">
        <f t="shared" si="5333"/>
        <v>0</v>
      </c>
      <c r="CZ102" s="40">
        <f t="shared" si="5333"/>
        <v>0</v>
      </c>
      <c r="DA102" s="40">
        <f t="shared" si="5333"/>
        <v>0</v>
      </c>
      <c r="DB102" s="40">
        <f t="shared" si="5333"/>
        <v>0</v>
      </c>
      <c r="DC102" s="40">
        <f t="shared" si="5333"/>
        <v>0</v>
      </c>
      <c r="DD102" s="40">
        <f t="shared" si="5333"/>
        <v>0</v>
      </c>
      <c r="DE102" s="40">
        <f t="shared" si="5333"/>
        <v>0</v>
      </c>
      <c r="DF102" s="40">
        <f t="shared" si="5333"/>
        <v>0</v>
      </c>
      <c r="DG102" s="40">
        <f t="shared" si="5333"/>
        <v>0</v>
      </c>
      <c r="DH102" s="40">
        <f t="shared" si="5333"/>
        <v>0</v>
      </c>
      <c r="DI102" s="40">
        <f t="shared" si="5333"/>
        <v>0</v>
      </c>
      <c r="DJ102" s="40">
        <f t="shared" si="5333"/>
        <v>0</v>
      </c>
      <c r="DK102" s="40">
        <f t="shared" si="5333"/>
        <v>0</v>
      </c>
      <c r="DL102" s="40">
        <f t="shared" si="5333"/>
        <v>0</v>
      </c>
      <c r="DM102" s="40">
        <f t="shared" si="5333"/>
        <v>0</v>
      </c>
      <c r="DN102" s="40">
        <f t="shared" si="5333"/>
        <v>0</v>
      </c>
      <c r="DO102" s="40">
        <f t="shared" si="5333"/>
        <v>0</v>
      </c>
      <c r="DP102" s="40">
        <f t="shared" si="5333"/>
        <v>0</v>
      </c>
      <c r="DQ102" s="40">
        <f t="shared" si="5333"/>
        <v>0</v>
      </c>
      <c r="DR102" s="40">
        <f t="shared" si="5333"/>
        <v>0</v>
      </c>
      <c r="DS102" s="40">
        <f t="shared" si="5333"/>
        <v>0</v>
      </c>
      <c r="DT102" s="40">
        <f t="shared" si="5333"/>
        <v>0</v>
      </c>
      <c r="DU102" s="40">
        <f t="shared" si="5333"/>
        <v>0</v>
      </c>
      <c r="DV102" s="40">
        <f t="shared" si="5333"/>
        <v>0</v>
      </c>
      <c r="DW102" s="40">
        <f t="shared" si="5333"/>
        <v>0</v>
      </c>
      <c r="DX102" s="40">
        <f t="shared" si="5333"/>
        <v>0</v>
      </c>
      <c r="DY102" s="40">
        <f t="shared" si="5333"/>
        <v>0</v>
      </c>
      <c r="DZ102" s="40">
        <f t="shared" si="5333"/>
        <v>0</v>
      </c>
      <c r="EA102" s="40">
        <f t="shared" si="5333"/>
        <v>0</v>
      </c>
      <c r="EB102" s="40">
        <f t="shared" si="5333"/>
        <v>0</v>
      </c>
      <c r="EC102" s="40">
        <f t="shared" si="5333"/>
        <v>0</v>
      </c>
      <c r="ED102" s="40">
        <f t="shared" si="5333"/>
        <v>0</v>
      </c>
      <c r="EE102" s="40">
        <f t="shared" si="5333"/>
        <v>0</v>
      </c>
      <c r="EF102" s="40">
        <f t="shared" si="5333"/>
        <v>0</v>
      </c>
      <c r="EG102" s="40">
        <f t="shared" si="5333"/>
        <v>0</v>
      </c>
      <c r="EH102" s="40">
        <f t="shared" si="5333"/>
        <v>0</v>
      </c>
      <c r="EI102" s="40">
        <f t="shared" ref="EI102:GT102" si="5334">$E$102*EI100</f>
        <v>0</v>
      </c>
      <c r="EJ102" s="40">
        <f t="shared" si="5334"/>
        <v>0</v>
      </c>
      <c r="EK102" s="40">
        <f t="shared" si="5334"/>
        <v>0</v>
      </c>
      <c r="EL102" s="40">
        <f t="shared" si="5334"/>
        <v>0</v>
      </c>
      <c r="EM102" s="40">
        <f t="shared" si="5334"/>
        <v>0</v>
      </c>
      <c r="EN102" s="40">
        <f t="shared" si="5334"/>
        <v>0</v>
      </c>
      <c r="EO102" s="40">
        <f t="shared" si="5334"/>
        <v>0</v>
      </c>
      <c r="EP102" s="40">
        <f t="shared" si="5334"/>
        <v>0</v>
      </c>
      <c r="EQ102" s="40">
        <f t="shared" si="5334"/>
        <v>0</v>
      </c>
      <c r="ER102" s="40">
        <f t="shared" si="5334"/>
        <v>0</v>
      </c>
      <c r="ES102" s="40">
        <f t="shared" si="5334"/>
        <v>0</v>
      </c>
      <c r="ET102" s="40">
        <f t="shared" si="5334"/>
        <v>0</v>
      </c>
      <c r="EU102" s="40">
        <f t="shared" si="5334"/>
        <v>0</v>
      </c>
      <c r="EV102" s="40">
        <f t="shared" si="5334"/>
        <v>0</v>
      </c>
      <c r="EW102" s="40">
        <f t="shared" si="5334"/>
        <v>0</v>
      </c>
      <c r="EX102" s="40">
        <f t="shared" si="5334"/>
        <v>0</v>
      </c>
      <c r="EY102" s="40">
        <f t="shared" si="5334"/>
        <v>0</v>
      </c>
      <c r="EZ102" s="40">
        <f t="shared" si="5334"/>
        <v>0</v>
      </c>
      <c r="FA102" s="40">
        <f t="shared" si="5334"/>
        <v>0</v>
      </c>
      <c r="FB102" s="40">
        <f t="shared" si="5334"/>
        <v>0</v>
      </c>
      <c r="FC102" s="40">
        <f t="shared" si="5334"/>
        <v>0</v>
      </c>
      <c r="FD102" s="40">
        <f t="shared" si="5334"/>
        <v>0</v>
      </c>
      <c r="FE102" s="40">
        <f t="shared" si="5334"/>
        <v>0</v>
      </c>
      <c r="FF102" s="40">
        <f t="shared" si="5334"/>
        <v>0</v>
      </c>
      <c r="FG102" s="40">
        <f t="shared" si="5334"/>
        <v>0</v>
      </c>
      <c r="FH102" s="40">
        <f t="shared" si="5334"/>
        <v>0</v>
      </c>
      <c r="FI102" s="40">
        <f t="shared" si="5334"/>
        <v>0</v>
      </c>
      <c r="FJ102" s="40">
        <f t="shared" si="5334"/>
        <v>0</v>
      </c>
      <c r="FK102" s="40">
        <f t="shared" si="5334"/>
        <v>0</v>
      </c>
      <c r="FL102" s="40">
        <f t="shared" si="5334"/>
        <v>0</v>
      </c>
      <c r="FM102" s="40">
        <f t="shared" si="5334"/>
        <v>0</v>
      </c>
      <c r="FN102" s="40">
        <f t="shared" si="5334"/>
        <v>0</v>
      </c>
      <c r="FO102" s="40">
        <f t="shared" si="5334"/>
        <v>0</v>
      </c>
      <c r="FP102" s="40">
        <f t="shared" si="5334"/>
        <v>0</v>
      </c>
      <c r="FQ102" s="40">
        <f t="shared" si="5334"/>
        <v>0</v>
      </c>
      <c r="FR102" s="40">
        <f t="shared" si="5334"/>
        <v>0</v>
      </c>
      <c r="FS102" s="40">
        <f t="shared" si="5334"/>
        <v>0</v>
      </c>
      <c r="FT102" s="40">
        <f t="shared" si="5334"/>
        <v>0</v>
      </c>
      <c r="FU102" s="40">
        <f t="shared" si="5334"/>
        <v>0</v>
      </c>
      <c r="FV102" s="40">
        <f t="shared" si="5334"/>
        <v>0</v>
      </c>
      <c r="FW102" s="40">
        <f t="shared" si="5334"/>
        <v>0</v>
      </c>
      <c r="FX102" s="40">
        <f t="shared" si="5334"/>
        <v>0</v>
      </c>
      <c r="FY102" s="40">
        <f t="shared" si="5334"/>
        <v>0</v>
      </c>
      <c r="FZ102" s="40">
        <f t="shared" si="5334"/>
        <v>0</v>
      </c>
      <c r="GA102" s="40">
        <f t="shared" si="5334"/>
        <v>0</v>
      </c>
      <c r="GB102" s="40">
        <f t="shared" si="5334"/>
        <v>0</v>
      </c>
      <c r="GC102" s="40">
        <f t="shared" si="5334"/>
        <v>0</v>
      </c>
      <c r="GD102" s="40">
        <f t="shared" si="5334"/>
        <v>0</v>
      </c>
      <c r="GE102" s="40">
        <f t="shared" si="5334"/>
        <v>0</v>
      </c>
      <c r="GF102" s="40">
        <f t="shared" ca="1" si="5334"/>
        <v>0</v>
      </c>
      <c r="GG102" s="40">
        <f t="shared" ca="1" si="5334"/>
        <v>0</v>
      </c>
      <c r="GH102" s="40">
        <f t="shared" ca="1" si="5334"/>
        <v>0</v>
      </c>
      <c r="GI102" s="40">
        <f t="shared" ca="1" si="5334"/>
        <v>0</v>
      </c>
      <c r="GJ102" s="40">
        <f t="shared" ca="1" si="5334"/>
        <v>0</v>
      </c>
      <c r="GK102" s="40">
        <f t="shared" ca="1" si="5334"/>
        <v>0</v>
      </c>
      <c r="GL102" s="40">
        <f t="shared" ca="1" si="5334"/>
        <v>0</v>
      </c>
      <c r="GM102" s="40">
        <f t="shared" ca="1" si="5334"/>
        <v>0</v>
      </c>
      <c r="GN102" s="40">
        <f t="shared" ca="1" si="5334"/>
        <v>0</v>
      </c>
      <c r="GO102" s="40">
        <f t="shared" ca="1" si="5334"/>
        <v>0</v>
      </c>
      <c r="GP102" s="40">
        <f t="shared" ca="1" si="5334"/>
        <v>0</v>
      </c>
      <c r="GQ102" s="40">
        <f t="shared" ca="1" si="5334"/>
        <v>0</v>
      </c>
      <c r="GR102" s="40">
        <f t="shared" ca="1" si="5334"/>
        <v>0</v>
      </c>
      <c r="GS102" s="40">
        <f t="shared" ca="1" si="5334"/>
        <v>0</v>
      </c>
      <c r="GT102" s="40">
        <f t="shared" ca="1" si="5334"/>
        <v>0</v>
      </c>
      <c r="GU102" s="40">
        <f t="shared" ref="GU102:IN102" ca="1" si="5335">$E$102*GU100</f>
        <v>0</v>
      </c>
      <c r="GV102" s="40">
        <f t="shared" ca="1" si="5335"/>
        <v>0</v>
      </c>
      <c r="GW102" s="40">
        <f t="shared" ca="1" si="5335"/>
        <v>0</v>
      </c>
      <c r="GX102" s="40">
        <f t="shared" ca="1" si="5335"/>
        <v>0</v>
      </c>
      <c r="GY102" s="40">
        <f t="shared" ca="1" si="5335"/>
        <v>0</v>
      </c>
      <c r="GZ102" s="40">
        <f t="shared" ca="1" si="5335"/>
        <v>0</v>
      </c>
      <c r="HA102" s="40">
        <f t="shared" ca="1" si="5335"/>
        <v>0</v>
      </c>
      <c r="HB102" s="40">
        <f t="shared" ca="1" si="5335"/>
        <v>0</v>
      </c>
      <c r="HC102" s="40">
        <f t="shared" ca="1" si="5335"/>
        <v>0</v>
      </c>
      <c r="HD102" s="40">
        <f t="shared" ca="1" si="5335"/>
        <v>0</v>
      </c>
      <c r="HE102" s="40">
        <f t="shared" ca="1" si="5335"/>
        <v>0</v>
      </c>
      <c r="HF102" s="40">
        <f t="shared" ca="1" si="5335"/>
        <v>0</v>
      </c>
      <c r="HG102" s="40">
        <f t="shared" ca="1" si="5335"/>
        <v>0</v>
      </c>
      <c r="HH102" s="40">
        <f t="shared" ca="1" si="5335"/>
        <v>0</v>
      </c>
      <c r="HI102" s="40">
        <f t="shared" ca="1" si="5335"/>
        <v>0</v>
      </c>
      <c r="HJ102" s="40">
        <f t="shared" ca="1" si="5335"/>
        <v>0</v>
      </c>
      <c r="HK102" s="40">
        <f t="shared" ca="1" si="5335"/>
        <v>0</v>
      </c>
      <c r="HL102" s="40">
        <f t="shared" ca="1" si="5335"/>
        <v>0</v>
      </c>
      <c r="HM102" s="40">
        <f t="shared" ca="1" si="5335"/>
        <v>0</v>
      </c>
      <c r="HN102" s="40">
        <f t="shared" ca="1" si="5335"/>
        <v>0</v>
      </c>
      <c r="HO102" s="40">
        <f t="shared" ca="1" si="5335"/>
        <v>0</v>
      </c>
      <c r="HP102" s="40">
        <f t="shared" ca="1" si="5335"/>
        <v>0</v>
      </c>
      <c r="HQ102" s="40">
        <f t="shared" ca="1" si="5335"/>
        <v>0</v>
      </c>
      <c r="HR102" s="40">
        <f t="shared" ca="1" si="5335"/>
        <v>0</v>
      </c>
      <c r="HS102" s="40">
        <f t="shared" ca="1" si="5335"/>
        <v>0</v>
      </c>
      <c r="HT102" s="40">
        <f t="shared" ca="1" si="5335"/>
        <v>0</v>
      </c>
      <c r="HU102" s="40">
        <f t="shared" ca="1" si="5335"/>
        <v>0</v>
      </c>
      <c r="HV102" s="40">
        <f t="shared" ca="1" si="5335"/>
        <v>0</v>
      </c>
      <c r="HW102" s="40">
        <f t="shared" ca="1" si="5335"/>
        <v>0</v>
      </c>
      <c r="HX102" s="40">
        <f t="shared" ca="1" si="5335"/>
        <v>0</v>
      </c>
      <c r="HY102" s="40">
        <f t="shared" ca="1" si="5335"/>
        <v>0</v>
      </c>
      <c r="HZ102" s="40">
        <f t="shared" ca="1" si="5335"/>
        <v>0</v>
      </c>
      <c r="IA102" s="40">
        <f t="shared" ca="1" si="5335"/>
        <v>0</v>
      </c>
      <c r="IB102" s="40">
        <f t="shared" ca="1" si="5335"/>
        <v>0</v>
      </c>
      <c r="IC102" s="40">
        <f t="shared" ca="1" si="5335"/>
        <v>0</v>
      </c>
      <c r="ID102" s="40">
        <f t="shared" ca="1" si="5335"/>
        <v>0</v>
      </c>
      <c r="IE102" s="40">
        <f t="shared" ca="1" si="5335"/>
        <v>0</v>
      </c>
      <c r="IF102" s="40">
        <f t="shared" ca="1" si="5335"/>
        <v>0</v>
      </c>
      <c r="IG102" s="40">
        <f t="shared" ca="1" si="5335"/>
        <v>0</v>
      </c>
      <c r="IH102" s="40">
        <f t="shared" ca="1" si="5335"/>
        <v>0</v>
      </c>
      <c r="II102" s="40">
        <f t="shared" ca="1" si="5335"/>
        <v>0</v>
      </c>
      <c r="IJ102" s="40">
        <f t="shared" ca="1" si="5335"/>
        <v>0</v>
      </c>
      <c r="IK102" s="40">
        <f t="shared" ca="1" si="5335"/>
        <v>0</v>
      </c>
      <c r="IL102" s="40">
        <f t="shared" ca="1" si="5335"/>
        <v>0</v>
      </c>
      <c r="IM102" s="40">
        <f t="shared" ca="1" si="5335"/>
        <v>0</v>
      </c>
      <c r="IN102" s="40">
        <f t="shared" ca="1" si="5335"/>
        <v>0</v>
      </c>
      <c r="IO102" s="40">
        <f t="shared" ref="IO102:KZ102" ca="1" si="5336">$E$102*IO100</f>
        <v>0</v>
      </c>
      <c r="IP102" s="40">
        <f t="shared" ca="1" si="5336"/>
        <v>0</v>
      </c>
      <c r="IQ102" s="40">
        <f t="shared" ca="1" si="5336"/>
        <v>0</v>
      </c>
      <c r="IR102" s="40">
        <f t="shared" ca="1" si="5336"/>
        <v>0</v>
      </c>
      <c r="IS102" s="40">
        <f t="shared" ca="1" si="5336"/>
        <v>0</v>
      </c>
      <c r="IT102" s="40">
        <f t="shared" ca="1" si="5336"/>
        <v>0</v>
      </c>
      <c r="IU102" s="40">
        <f t="shared" ca="1" si="5336"/>
        <v>0</v>
      </c>
      <c r="IV102" s="40">
        <f t="shared" ca="1" si="5336"/>
        <v>0</v>
      </c>
      <c r="IW102" s="40">
        <f t="shared" ca="1" si="5336"/>
        <v>0</v>
      </c>
      <c r="IX102" s="40">
        <f t="shared" ca="1" si="5336"/>
        <v>0</v>
      </c>
      <c r="IY102" s="40">
        <f t="shared" ca="1" si="5336"/>
        <v>0</v>
      </c>
      <c r="IZ102" s="40">
        <f t="shared" ca="1" si="5336"/>
        <v>0</v>
      </c>
      <c r="JA102" s="40">
        <f t="shared" ca="1" si="5336"/>
        <v>0</v>
      </c>
      <c r="JB102" s="40">
        <f t="shared" ca="1" si="5336"/>
        <v>0</v>
      </c>
      <c r="JC102" s="40">
        <f t="shared" ca="1" si="5336"/>
        <v>0</v>
      </c>
      <c r="JD102" s="40">
        <f t="shared" ca="1" si="5336"/>
        <v>0</v>
      </c>
      <c r="JE102" s="40">
        <f t="shared" ca="1" si="5336"/>
        <v>0</v>
      </c>
      <c r="JF102" s="40">
        <f t="shared" ca="1" si="5336"/>
        <v>0</v>
      </c>
      <c r="JG102" s="40">
        <f t="shared" ca="1" si="5336"/>
        <v>0</v>
      </c>
      <c r="JH102" s="40">
        <f t="shared" ca="1" si="5336"/>
        <v>0</v>
      </c>
      <c r="JI102" s="40">
        <f t="shared" ca="1" si="5336"/>
        <v>0</v>
      </c>
      <c r="JJ102" s="40">
        <f t="shared" ca="1" si="5336"/>
        <v>0</v>
      </c>
      <c r="JK102" s="40">
        <f t="shared" ca="1" si="5336"/>
        <v>0</v>
      </c>
      <c r="JL102" s="40">
        <f t="shared" ca="1" si="5336"/>
        <v>0</v>
      </c>
      <c r="JM102" s="40">
        <f t="shared" ca="1" si="5336"/>
        <v>0</v>
      </c>
      <c r="JN102" s="40">
        <f t="shared" ca="1" si="5336"/>
        <v>0</v>
      </c>
      <c r="JO102" s="40">
        <f t="shared" ca="1" si="5336"/>
        <v>0</v>
      </c>
      <c r="JP102" s="40">
        <f t="shared" ca="1" si="5336"/>
        <v>0</v>
      </c>
      <c r="JQ102" s="40">
        <f t="shared" ca="1" si="5336"/>
        <v>0</v>
      </c>
      <c r="JR102" s="40">
        <f t="shared" ca="1" si="5336"/>
        <v>0</v>
      </c>
      <c r="JS102" s="40">
        <f t="shared" ca="1" si="5336"/>
        <v>0</v>
      </c>
      <c r="JT102" s="40">
        <f t="shared" ca="1" si="5336"/>
        <v>0</v>
      </c>
      <c r="JU102" s="40">
        <f t="shared" ca="1" si="5336"/>
        <v>0</v>
      </c>
      <c r="JV102" s="40">
        <f t="shared" ca="1" si="5336"/>
        <v>0</v>
      </c>
      <c r="JW102" s="40">
        <f t="shared" ca="1" si="5336"/>
        <v>0</v>
      </c>
      <c r="JX102" s="40">
        <f t="shared" ca="1" si="5336"/>
        <v>0</v>
      </c>
      <c r="JY102" s="40">
        <f t="shared" ca="1" si="5336"/>
        <v>0</v>
      </c>
      <c r="JZ102" s="40">
        <f t="shared" ca="1" si="5336"/>
        <v>0</v>
      </c>
      <c r="KA102" s="40">
        <f t="shared" ca="1" si="5336"/>
        <v>0</v>
      </c>
      <c r="KB102" s="40">
        <f t="shared" ca="1" si="5336"/>
        <v>0</v>
      </c>
      <c r="KC102" s="40">
        <f t="shared" ca="1" si="5336"/>
        <v>0</v>
      </c>
      <c r="KD102" s="40">
        <f t="shared" ca="1" si="5336"/>
        <v>0</v>
      </c>
      <c r="KE102" s="40">
        <f t="shared" ca="1" si="5336"/>
        <v>0</v>
      </c>
      <c r="KF102" s="40">
        <f t="shared" ca="1" si="5336"/>
        <v>0</v>
      </c>
      <c r="KG102" s="40">
        <f t="shared" ca="1" si="5336"/>
        <v>0</v>
      </c>
      <c r="KH102" s="40">
        <f t="shared" ca="1" si="5336"/>
        <v>0</v>
      </c>
      <c r="KI102" s="40">
        <f t="shared" ca="1" si="5336"/>
        <v>0</v>
      </c>
      <c r="KJ102" s="40">
        <f t="shared" ca="1" si="5336"/>
        <v>0</v>
      </c>
      <c r="KK102" s="40">
        <f t="shared" ca="1" si="5336"/>
        <v>0</v>
      </c>
      <c r="KL102" s="40">
        <f t="shared" ca="1" si="5336"/>
        <v>0</v>
      </c>
      <c r="KM102" s="40">
        <f t="shared" ca="1" si="5336"/>
        <v>0</v>
      </c>
      <c r="KN102" s="40">
        <f t="shared" ca="1" si="5336"/>
        <v>0</v>
      </c>
      <c r="KO102" s="40">
        <f t="shared" ca="1" si="5336"/>
        <v>0</v>
      </c>
      <c r="KP102" s="40">
        <f t="shared" ca="1" si="5336"/>
        <v>0</v>
      </c>
      <c r="KQ102" s="40">
        <f t="shared" ca="1" si="5336"/>
        <v>0</v>
      </c>
      <c r="KR102" s="40">
        <f t="shared" ca="1" si="5336"/>
        <v>0</v>
      </c>
      <c r="KS102" s="40">
        <f t="shared" ca="1" si="5336"/>
        <v>0</v>
      </c>
      <c r="KT102" s="40">
        <f t="shared" ca="1" si="5336"/>
        <v>0</v>
      </c>
      <c r="KU102" s="40">
        <f t="shared" ca="1" si="5336"/>
        <v>0</v>
      </c>
      <c r="KV102" s="40">
        <f t="shared" ca="1" si="5336"/>
        <v>0</v>
      </c>
      <c r="KW102" s="40">
        <f t="shared" ca="1" si="5336"/>
        <v>0</v>
      </c>
      <c r="KX102" s="40">
        <f t="shared" ca="1" si="5336"/>
        <v>0</v>
      </c>
      <c r="KY102" s="40">
        <f t="shared" ca="1" si="5336"/>
        <v>0</v>
      </c>
      <c r="KZ102" s="40">
        <f t="shared" ca="1" si="5336"/>
        <v>0</v>
      </c>
      <c r="LA102" s="40">
        <f t="shared" ref="LA102:ND102" ca="1" si="5337">$E$102*LA100</f>
        <v>0</v>
      </c>
      <c r="LB102" s="40">
        <f t="shared" ca="1" si="5337"/>
        <v>0</v>
      </c>
      <c r="LC102" s="40">
        <f t="shared" ca="1" si="5337"/>
        <v>0</v>
      </c>
      <c r="LD102" s="40">
        <f t="shared" ca="1" si="5337"/>
        <v>0</v>
      </c>
      <c r="LE102" s="40">
        <f t="shared" ca="1" si="5337"/>
        <v>0</v>
      </c>
      <c r="LF102" s="40">
        <f t="shared" ca="1" si="5337"/>
        <v>0</v>
      </c>
      <c r="LG102" s="40">
        <f t="shared" ca="1" si="5337"/>
        <v>0</v>
      </c>
      <c r="LH102" s="40">
        <f t="shared" ca="1" si="5337"/>
        <v>0</v>
      </c>
      <c r="LI102" s="40">
        <f t="shared" ca="1" si="5337"/>
        <v>0</v>
      </c>
      <c r="LJ102" s="40">
        <f t="shared" ca="1" si="5337"/>
        <v>0</v>
      </c>
      <c r="LK102" s="40">
        <f t="shared" ca="1" si="5337"/>
        <v>0</v>
      </c>
      <c r="LL102" s="40">
        <f t="shared" ca="1" si="5337"/>
        <v>0</v>
      </c>
      <c r="LM102" s="40">
        <f t="shared" ca="1" si="5337"/>
        <v>0</v>
      </c>
      <c r="LN102" s="40">
        <f t="shared" ca="1" si="5337"/>
        <v>0</v>
      </c>
      <c r="LO102" s="40">
        <f t="shared" ca="1" si="5337"/>
        <v>0</v>
      </c>
      <c r="LP102" s="40">
        <f t="shared" ca="1" si="5337"/>
        <v>0</v>
      </c>
      <c r="LQ102" s="40">
        <f t="shared" ca="1" si="5337"/>
        <v>0</v>
      </c>
      <c r="LR102" s="40">
        <f t="shared" ca="1" si="5337"/>
        <v>0</v>
      </c>
      <c r="LS102" s="40">
        <f t="shared" ca="1" si="5337"/>
        <v>0</v>
      </c>
      <c r="LT102" s="40">
        <f t="shared" ca="1" si="5337"/>
        <v>0</v>
      </c>
      <c r="LU102" s="40">
        <f t="shared" ca="1" si="5337"/>
        <v>0</v>
      </c>
      <c r="LV102" s="40">
        <f t="shared" ca="1" si="5337"/>
        <v>0</v>
      </c>
      <c r="LW102" s="40">
        <f t="shared" ca="1" si="5337"/>
        <v>0</v>
      </c>
      <c r="LX102" s="40">
        <f t="shared" ca="1" si="5337"/>
        <v>0</v>
      </c>
      <c r="LY102" s="40">
        <f t="shared" ca="1" si="5337"/>
        <v>0</v>
      </c>
      <c r="LZ102" s="40">
        <f t="shared" ca="1" si="5337"/>
        <v>0</v>
      </c>
      <c r="MA102" s="40">
        <f t="shared" ca="1" si="5337"/>
        <v>0</v>
      </c>
      <c r="MB102" s="40">
        <f t="shared" ca="1" si="5337"/>
        <v>0</v>
      </c>
      <c r="MC102" s="40">
        <f t="shared" ca="1" si="5337"/>
        <v>0</v>
      </c>
      <c r="MD102" s="40">
        <f t="shared" ca="1" si="5337"/>
        <v>0</v>
      </c>
      <c r="ME102" s="40">
        <f t="shared" ca="1" si="5337"/>
        <v>0</v>
      </c>
      <c r="MF102" s="40">
        <f t="shared" ca="1" si="5337"/>
        <v>0</v>
      </c>
      <c r="MG102" s="40">
        <f t="shared" ca="1" si="5337"/>
        <v>0</v>
      </c>
      <c r="MH102" s="40">
        <f t="shared" ca="1" si="5337"/>
        <v>0</v>
      </c>
      <c r="MI102" s="40">
        <f t="shared" ca="1" si="5337"/>
        <v>0</v>
      </c>
      <c r="MJ102" s="40">
        <f t="shared" ca="1" si="5337"/>
        <v>0</v>
      </c>
      <c r="MK102" s="40">
        <f t="shared" ca="1" si="5337"/>
        <v>0</v>
      </c>
      <c r="ML102" s="40">
        <f t="shared" ca="1" si="5337"/>
        <v>0</v>
      </c>
      <c r="MM102" s="40">
        <f t="shared" ca="1" si="5337"/>
        <v>0</v>
      </c>
      <c r="MN102" s="40">
        <f t="shared" ca="1" si="5337"/>
        <v>0</v>
      </c>
      <c r="MO102" s="40">
        <f t="shared" ca="1" si="5337"/>
        <v>0</v>
      </c>
      <c r="MP102" s="40">
        <f t="shared" ca="1" si="5337"/>
        <v>0</v>
      </c>
      <c r="MQ102" s="40">
        <f t="shared" ca="1" si="5337"/>
        <v>0</v>
      </c>
      <c r="MR102" s="40">
        <f t="shared" ca="1" si="5337"/>
        <v>0</v>
      </c>
      <c r="MS102" s="40">
        <f t="shared" ca="1" si="5337"/>
        <v>0</v>
      </c>
      <c r="MT102" s="40">
        <f t="shared" ca="1" si="5337"/>
        <v>0</v>
      </c>
      <c r="MU102" s="40">
        <f t="shared" ca="1" si="5337"/>
        <v>0</v>
      </c>
      <c r="MV102" s="40">
        <f t="shared" ca="1" si="5337"/>
        <v>0</v>
      </c>
      <c r="MW102" s="40">
        <f t="shared" ca="1" si="5337"/>
        <v>0</v>
      </c>
      <c r="MX102" s="40">
        <f t="shared" ca="1" si="5337"/>
        <v>0</v>
      </c>
      <c r="MY102" s="40">
        <f t="shared" ca="1" si="5337"/>
        <v>0</v>
      </c>
      <c r="MZ102" s="40">
        <f t="shared" ca="1" si="5337"/>
        <v>0</v>
      </c>
      <c r="NA102" s="40">
        <f t="shared" ca="1" si="5337"/>
        <v>0</v>
      </c>
      <c r="NB102" s="40">
        <f t="shared" ca="1" si="5337"/>
        <v>0</v>
      </c>
      <c r="NC102" s="40">
        <f t="shared" ca="1" si="5337"/>
        <v>0</v>
      </c>
      <c r="ND102" s="40">
        <f t="shared" ca="1" si="5337"/>
        <v>0</v>
      </c>
      <c r="NE102" s="40"/>
      <c r="NF102" s="40"/>
      <c r="NG102" s="40"/>
      <c r="NH102" s="40"/>
      <c r="NI102" s="40"/>
      <c r="NJ102" s="40"/>
      <c r="NK102" s="40"/>
      <c r="NL102" s="40"/>
      <c r="NM102" s="40"/>
      <c r="NN102" s="40"/>
      <c r="NO102" s="40"/>
      <c r="NP102" s="40"/>
      <c r="NQ102" s="40"/>
      <c r="NR102" s="40"/>
    </row>
    <row r="103" spans="2:382" x14ac:dyDescent="0.15">
      <c r="B103" s="521"/>
      <c r="C103" s="120" t="str">
        <f>C3</f>
        <v>Aaron (Manager)</v>
      </c>
      <c r="D103" s="5">
        <f>D93</f>
        <v>0.30000000000000004</v>
      </c>
      <c r="G103" s="118"/>
      <c r="I103" s="40">
        <f>$D103*I$102</f>
        <v>0</v>
      </c>
      <c r="J103" s="40">
        <f t="shared" ref="J103:BU103" si="5338">$D103*J$102</f>
        <v>0</v>
      </c>
      <c r="K103" s="40">
        <f t="shared" si="5338"/>
        <v>0</v>
      </c>
      <c r="L103" s="40">
        <f t="shared" si="5338"/>
        <v>0</v>
      </c>
      <c r="M103" s="40">
        <f t="shared" si="5338"/>
        <v>0</v>
      </c>
      <c r="N103" s="40">
        <f t="shared" si="5338"/>
        <v>0</v>
      </c>
      <c r="O103" s="40">
        <f t="shared" si="5338"/>
        <v>0</v>
      </c>
      <c r="P103" s="40">
        <f t="shared" si="5338"/>
        <v>0</v>
      </c>
      <c r="Q103" s="40">
        <f t="shared" si="5338"/>
        <v>0</v>
      </c>
      <c r="R103" s="40">
        <f t="shared" si="5338"/>
        <v>0</v>
      </c>
      <c r="S103" s="40">
        <f t="shared" si="5338"/>
        <v>0</v>
      </c>
      <c r="T103" s="40">
        <f t="shared" si="5338"/>
        <v>0</v>
      </c>
      <c r="U103" s="40">
        <f t="shared" si="5338"/>
        <v>0</v>
      </c>
      <c r="V103" s="40">
        <f t="shared" si="5338"/>
        <v>0</v>
      </c>
      <c r="W103" s="40">
        <f t="shared" si="5338"/>
        <v>0</v>
      </c>
      <c r="X103" s="40">
        <f t="shared" si="5338"/>
        <v>0</v>
      </c>
      <c r="Y103" s="40">
        <f t="shared" si="5338"/>
        <v>0</v>
      </c>
      <c r="Z103" s="40">
        <f t="shared" si="5338"/>
        <v>0</v>
      </c>
      <c r="AA103" s="40">
        <f t="shared" si="5338"/>
        <v>0</v>
      </c>
      <c r="AB103" s="40">
        <f t="shared" si="5338"/>
        <v>0</v>
      </c>
      <c r="AC103" s="40">
        <f t="shared" si="5338"/>
        <v>0</v>
      </c>
      <c r="AD103" s="40">
        <f t="shared" si="5338"/>
        <v>0</v>
      </c>
      <c r="AE103" s="40">
        <f t="shared" si="5338"/>
        <v>0</v>
      </c>
      <c r="AF103" s="40">
        <f t="shared" si="5338"/>
        <v>0</v>
      </c>
      <c r="AG103" s="40">
        <f t="shared" si="5338"/>
        <v>0</v>
      </c>
      <c r="AH103" s="40">
        <f t="shared" si="5338"/>
        <v>0</v>
      </c>
      <c r="AI103" s="40">
        <f t="shared" si="5338"/>
        <v>0</v>
      </c>
      <c r="AJ103" s="40">
        <f t="shared" si="5338"/>
        <v>0</v>
      </c>
      <c r="AK103" s="40">
        <f t="shared" si="5338"/>
        <v>0</v>
      </c>
      <c r="AL103" s="40">
        <f t="shared" si="5338"/>
        <v>0</v>
      </c>
      <c r="AM103" s="40">
        <f t="shared" si="5338"/>
        <v>0</v>
      </c>
      <c r="AN103" s="40">
        <f t="shared" si="5338"/>
        <v>0</v>
      </c>
      <c r="AO103" s="40">
        <f t="shared" si="5338"/>
        <v>0</v>
      </c>
      <c r="AP103" s="40">
        <f t="shared" si="5338"/>
        <v>0</v>
      </c>
      <c r="AQ103" s="40">
        <f t="shared" si="5338"/>
        <v>0</v>
      </c>
      <c r="AR103" s="40">
        <f t="shared" si="5338"/>
        <v>0</v>
      </c>
      <c r="AS103" s="40">
        <f t="shared" si="5338"/>
        <v>0</v>
      </c>
      <c r="AT103" s="40">
        <f t="shared" si="5338"/>
        <v>0</v>
      </c>
      <c r="AU103" s="40">
        <f t="shared" si="5338"/>
        <v>0</v>
      </c>
      <c r="AV103" s="40">
        <f t="shared" si="5338"/>
        <v>0</v>
      </c>
      <c r="AW103" s="40">
        <f t="shared" si="5338"/>
        <v>0</v>
      </c>
      <c r="AX103" s="40">
        <f t="shared" si="5338"/>
        <v>0</v>
      </c>
      <c r="AY103" s="40">
        <f t="shared" si="5338"/>
        <v>0</v>
      </c>
      <c r="AZ103" s="40">
        <f t="shared" si="5338"/>
        <v>0</v>
      </c>
      <c r="BA103" s="40">
        <f t="shared" si="5338"/>
        <v>0</v>
      </c>
      <c r="BB103" s="40">
        <f t="shared" si="5338"/>
        <v>0</v>
      </c>
      <c r="BC103" s="40">
        <f t="shared" si="5338"/>
        <v>0</v>
      </c>
      <c r="BD103" s="40">
        <f t="shared" si="5338"/>
        <v>0</v>
      </c>
      <c r="BE103" s="40">
        <f t="shared" si="5338"/>
        <v>0</v>
      </c>
      <c r="BF103" s="40">
        <f t="shared" si="5338"/>
        <v>0</v>
      </c>
      <c r="BG103" s="40">
        <f t="shared" si="5338"/>
        <v>0</v>
      </c>
      <c r="BH103" s="40">
        <f t="shared" si="5338"/>
        <v>0</v>
      </c>
      <c r="BI103" s="40">
        <f t="shared" si="5338"/>
        <v>0</v>
      </c>
      <c r="BJ103" s="40">
        <f t="shared" si="5338"/>
        <v>0</v>
      </c>
      <c r="BK103" s="40">
        <f t="shared" si="5338"/>
        <v>0</v>
      </c>
      <c r="BL103" s="40">
        <f t="shared" si="5338"/>
        <v>0</v>
      </c>
      <c r="BM103" s="40">
        <f t="shared" si="5338"/>
        <v>0</v>
      </c>
      <c r="BN103" s="40">
        <f t="shared" si="5338"/>
        <v>0</v>
      </c>
      <c r="BO103" s="40">
        <f t="shared" si="5338"/>
        <v>0</v>
      </c>
      <c r="BP103" s="40">
        <f t="shared" si="5338"/>
        <v>0</v>
      </c>
      <c r="BQ103" s="40">
        <f t="shared" si="5338"/>
        <v>0</v>
      </c>
      <c r="BR103" s="40">
        <f t="shared" si="5338"/>
        <v>0</v>
      </c>
      <c r="BS103" s="40">
        <f t="shared" si="5338"/>
        <v>0</v>
      </c>
      <c r="BT103" s="40">
        <f t="shared" si="5338"/>
        <v>0</v>
      </c>
      <c r="BU103" s="40">
        <f t="shared" si="5338"/>
        <v>0</v>
      </c>
      <c r="BV103" s="40">
        <f t="shared" ref="BV103:EG106" si="5339">$D103*BV$102</f>
        <v>0</v>
      </c>
      <c r="BW103" s="40">
        <f t="shared" si="5339"/>
        <v>0</v>
      </c>
      <c r="BX103" s="40">
        <f t="shared" si="5339"/>
        <v>0</v>
      </c>
      <c r="BY103" s="40">
        <f t="shared" si="5339"/>
        <v>0</v>
      </c>
      <c r="BZ103" s="40">
        <f t="shared" si="5339"/>
        <v>0</v>
      </c>
      <c r="CA103" s="40">
        <f t="shared" si="5339"/>
        <v>0</v>
      </c>
      <c r="CB103" s="40">
        <f t="shared" si="5339"/>
        <v>0</v>
      </c>
      <c r="CC103" s="40">
        <f t="shared" si="5339"/>
        <v>0</v>
      </c>
      <c r="CD103" s="40">
        <f t="shared" si="5339"/>
        <v>0</v>
      </c>
      <c r="CE103" s="40">
        <f t="shared" si="5339"/>
        <v>0</v>
      </c>
      <c r="CF103" s="40">
        <f t="shared" si="5339"/>
        <v>0</v>
      </c>
      <c r="CG103" s="40">
        <f t="shared" si="5339"/>
        <v>0</v>
      </c>
      <c r="CH103" s="40">
        <f t="shared" si="5339"/>
        <v>0</v>
      </c>
      <c r="CI103" s="40">
        <f t="shared" si="5339"/>
        <v>0</v>
      </c>
      <c r="CJ103" s="40">
        <f t="shared" si="5339"/>
        <v>0</v>
      </c>
      <c r="CK103" s="40">
        <f t="shared" si="5339"/>
        <v>0</v>
      </c>
      <c r="CL103" s="40">
        <f t="shared" si="5339"/>
        <v>0</v>
      </c>
      <c r="CM103" s="40">
        <f t="shared" si="5339"/>
        <v>0</v>
      </c>
      <c r="CN103" s="40">
        <f t="shared" si="5339"/>
        <v>0</v>
      </c>
      <c r="CO103" s="40">
        <f t="shared" si="5339"/>
        <v>0</v>
      </c>
      <c r="CP103" s="40">
        <f t="shared" si="5339"/>
        <v>0</v>
      </c>
      <c r="CQ103" s="40">
        <f t="shared" si="5339"/>
        <v>0</v>
      </c>
      <c r="CR103" s="40">
        <f t="shared" si="5339"/>
        <v>0</v>
      </c>
      <c r="CS103" s="40">
        <f t="shared" si="5339"/>
        <v>0</v>
      </c>
      <c r="CT103" s="40">
        <f t="shared" si="5339"/>
        <v>0</v>
      </c>
      <c r="CU103" s="40">
        <f t="shared" si="5339"/>
        <v>0</v>
      </c>
      <c r="CV103" s="40">
        <f t="shared" si="5339"/>
        <v>0</v>
      </c>
      <c r="CW103" s="40">
        <f t="shared" si="5339"/>
        <v>0</v>
      </c>
      <c r="CX103" s="40">
        <f t="shared" si="5339"/>
        <v>0</v>
      </c>
      <c r="CY103" s="40">
        <f t="shared" si="5339"/>
        <v>0</v>
      </c>
      <c r="CZ103" s="40">
        <f t="shared" si="5339"/>
        <v>0</v>
      </c>
      <c r="DA103" s="40">
        <f t="shared" si="5339"/>
        <v>0</v>
      </c>
      <c r="DB103" s="40">
        <f t="shared" si="5339"/>
        <v>0</v>
      </c>
      <c r="DC103" s="40">
        <f t="shared" si="5339"/>
        <v>0</v>
      </c>
      <c r="DD103" s="40">
        <f t="shared" si="5339"/>
        <v>0</v>
      </c>
      <c r="DE103" s="40">
        <f t="shared" si="5339"/>
        <v>0</v>
      </c>
      <c r="DF103" s="40">
        <f t="shared" si="5339"/>
        <v>0</v>
      </c>
      <c r="DG103" s="40">
        <f t="shared" si="5339"/>
        <v>0</v>
      </c>
      <c r="DH103" s="40">
        <f t="shared" si="5339"/>
        <v>0</v>
      </c>
      <c r="DI103" s="40">
        <f t="shared" si="5339"/>
        <v>0</v>
      </c>
      <c r="DJ103" s="40">
        <f t="shared" si="5339"/>
        <v>0</v>
      </c>
      <c r="DK103" s="40">
        <f t="shared" si="5339"/>
        <v>0</v>
      </c>
      <c r="DL103" s="40">
        <f t="shared" si="5339"/>
        <v>0</v>
      </c>
      <c r="DM103" s="40">
        <f t="shared" si="5339"/>
        <v>0</v>
      </c>
      <c r="DN103" s="40">
        <f t="shared" si="5339"/>
        <v>0</v>
      </c>
      <c r="DO103" s="40">
        <f t="shared" si="5339"/>
        <v>0</v>
      </c>
      <c r="DP103" s="40">
        <f t="shared" si="5339"/>
        <v>0</v>
      </c>
      <c r="DQ103" s="40">
        <f t="shared" si="5339"/>
        <v>0</v>
      </c>
      <c r="DR103" s="40">
        <f t="shared" si="5339"/>
        <v>0</v>
      </c>
      <c r="DS103" s="40">
        <f t="shared" si="5339"/>
        <v>0</v>
      </c>
      <c r="DT103" s="40">
        <f t="shared" si="5339"/>
        <v>0</v>
      </c>
      <c r="DU103" s="40">
        <f t="shared" si="5339"/>
        <v>0</v>
      </c>
      <c r="DV103" s="40">
        <f t="shared" si="5339"/>
        <v>0</v>
      </c>
      <c r="DW103" s="40">
        <f t="shared" si="5339"/>
        <v>0</v>
      </c>
      <c r="DX103" s="40">
        <f t="shared" si="5339"/>
        <v>0</v>
      </c>
      <c r="DY103" s="40">
        <f t="shared" si="5339"/>
        <v>0</v>
      </c>
      <c r="DZ103" s="40">
        <f t="shared" si="5339"/>
        <v>0</v>
      </c>
      <c r="EA103" s="40">
        <f t="shared" si="5339"/>
        <v>0</v>
      </c>
      <c r="EB103" s="40">
        <f t="shared" si="5339"/>
        <v>0</v>
      </c>
      <c r="EC103" s="40">
        <f t="shared" si="5339"/>
        <v>0</v>
      </c>
      <c r="ED103" s="40">
        <f t="shared" si="5339"/>
        <v>0</v>
      </c>
      <c r="EE103" s="40">
        <f t="shared" si="5339"/>
        <v>0</v>
      </c>
      <c r="EF103" s="40">
        <f t="shared" si="5339"/>
        <v>0</v>
      </c>
      <c r="EG103" s="40">
        <f t="shared" si="5339"/>
        <v>0</v>
      </c>
      <c r="EH103" s="40">
        <f t="shared" ref="EH103:GS106" si="5340">$D103*EH$102</f>
        <v>0</v>
      </c>
      <c r="EI103" s="40">
        <f t="shared" si="5340"/>
        <v>0</v>
      </c>
      <c r="EJ103" s="40">
        <f t="shared" si="5340"/>
        <v>0</v>
      </c>
      <c r="EK103" s="40">
        <f t="shared" si="5340"/>
        <v>0</v>
      </c>
      <c r="EL103" s="40">
        <f t="shared" si="5340"/>
        <v>0</v>
      </c>
      <c r="EM103" s="40">
        <f t="shared" si="5340"/>
        <v>0</v>
      </c>
      <c r="EN103" s="40">
        <f t="shared" si="5340"/>
        <v>0</v>
      </c>
      <c r="EO103" s="40">
        <f t="shared" si="5340"/>
        <v>0</v>
      </c>
      <c r="EP103" s="40">
        <f t="shared" si="5340"/>
        <v>0</v>
      </c>
      <c r="EQ103" s="40">
        <f t="shared" si="5340"/>
        <v>0</v>
      </c>
      <c r="ER103" s="40">
        <f t="shared" si="5340"/>
        <v>0</v>
      </c>
      <c r="ES103" s="40">
        <f t="shared" si="5340"/>
        <v>0</v>
      </c>
      <c r="ET103" s="40">
        <f t="shared" si="5340"/>
        <v>0</v>
      </c>
      <c r="EU103" s="40">
        <f t="shared" si="5340"/>
        <v>0</v>
      </c>
      <c r="EV103" s="40">
        <f t="shared" si="5340"/>
        <v>0</v>
      </c>
      <c r="EW103" s="40">
        <f t="shared" si="5340"/>
        <v>0</v>
      </c>
      <c r="EX103" s="40">
        <f t="shared" si="5340"/>
        <v>0</v>
      </c>
      <c r="EY103" s="40">
        <f t="shared" si="5340"/>
        <v>0</v>
      </c>
      <c r="EZ103" s="40">
        <f t="shared" si="5340"/>
        <v>0</v>
      </c>
      <c r="FA103" s="40">
        <f t="shared" si="5340"/>
        <v>0</v>
      </c>
      <c r="FB103" s="40">
        <f t="shared" si="5340"/>
        <v>0</v>
      </c>
      <c r="FC103" s="40">
        <f t="shared" si="5340"/>
        <v>0</v>
      </c>
      <c r="FD103" s="40">
        <f t="shared" si="5340"/>
        <v>0</v>
      </c>
      <c r="FE103" s="40">
        <f t="shared" si="5340"/>
        <v>0</v>
      </c>
      <c r="FF103" s="40">
        <f t="shared" si="5340"/>
        <v>0</v>
      </c>
      <c r="FG103" s="40">
        <f t="shared" si="5340"/>
        <v>0</v>
      </c>
      <c r="FH103" s="40">
        <f t="shared" si="5340"/>
        <v>0</v>
      </c>
      <c r="FI103" s="40">
        <f t="shared" si="5340"/>
        <v>0</v>
      </c>
      <c r="FJ103" s="40">
        <f t="shared" si="5340"/>
        <v>0</v>
      </c>
      <c r="FK103" s="40">
        <f t="shared" si="5340"/>
        <v>0</v>
      </c>
      <c r="FL103" s="40">
        <f t="shared" si="5340"/>
        <v>0</v>
      </c>
      <c r="FM103" s="40">
        <f t="shared" si="5340"/>
        <v>0</v>
      </c>
      <c r="FN103" s="40">
        <f t="shared" si="5340"/>
        <v>0</v>
      </c>
      <c r="FO103" s="40">
        <f t="shared" si="5340"/>
        <v>0</v>
      </c>
      <c r="FP103" s="40">
        <f t="shared" si="5340"/>
        <v>0</v>
      </c>
      <c r="FQ103" s="40">
        <f t="shared" si="5340"/>
        <v>0</v>
      </c>
      <c r="FR103" s="40">
        <f t="shared" si="5340"/>
        <v>0</v>
      </c>
      <c r="FS103" s="40">
        <f t="shared" si="5340"/>
        <v>0</v>
      </c>
      <c r="FT103" s="40">
        <f t="shared" si="5340"/>
        <v>0</v>
      </c>
      <c r="FU103" s="40">
        <f t="shared" si="5340"/>
        <v>0</v>
      </c>
      <c r="FV103" s="40">
        <f t="shared" si="5340"/>
        <v>0</v>
      </c>
      <c r="FW103" s="40">
        <f t="shared" si="5340"/>
        <v>0</v>
      </c>
      <c r="FX103" s="40">
        <f t="shared" si="5340"/>
        <v>0</v>
      </c>
      <c r="FY103" s="40">
        <f t="shared" si="5340"/>
        <v>0</v>
      </c>
      <c r="FZ103" s="40">
        <f t="shared" si="5340"/>
        <v>0</v>
      </c>
      <c r="GA103" s="40">
        <f t="shared" si="5340"/>
        <v>0</v>
      </c>
      <c r="GB103" s="40">
        <f t="shared" si="5340"/>
        <v>0</v>
      </c>
      <c r="GC103" s="40">
        <f t="shared" si="5340"/>
        <v>0</v>
      </c>
      <c r="GD103" s="40">
        <f t="shared" si="5340"/>
        <v>0</v>
      </c>
      <c r="GE103" s="40">
        <f t="shared" si="5340"/>
        <v>0</v>
      </c>
      <c r="GF103" s="40">
        <f t="shared" ca="1" si="5340"/>
        <v>0</v>
      </c>
      <c r="GG103" s="40">
        <f t="shared" ca="1" si="5340"/>
        <v>0</v>
      </c>
      <c r="GH103" s="40">
        <f t="shared" ca="1" si="5340"/>
        <v>0</v>
      </c>
      <c r="GI103" s="40">
        <f t="shared" ca="1" si="5340"/>
        <v>0</v>
      </c>
      <c r="GJ103" s="40">
        <f t="shared" ca="1" si="5340"/>
        <v>0</v>
      </c>
      <c r="GK103" s="40">
        <f t="shared" ca="1" si="5340"/>
        <v>0</v>
      </c>
      <c r="GL103" s="40">
        <f t="shared" ca="1" si="5340"/>
        <v>0</v>
      </c>
      <c r="GM103" s="40">
        <f t="shared" ca="1" si="5340"/>
        <v>0</v>
      </c>
      <c r="GN103" s="40">
        <f t="shared" ca="1" si="5340"/>
        <v>0</v>
      </c>
      <c r="GO103" s="40">
        <f t="shared" ca="1" si="5340"/>
        <v>0</v>
      </c>
      <c r="GP103" s="40">
        <f t="shared" ca="1" si="5340"/>
        <v>0</v>
      </c>
      <c r="GQ103" s="40">
        <f t="shared" ca="1" si="5340"/>
        <v>0</v>
      </c>
      <c r="GR103" s="40">
        <f t="shared" ca="1" si="5340"/>
        <v>0</v>
      </c>
      <c r="GS103" s="40">
        <f t="shared" ca="1" si="5340"/>
        <v>0</v>
      </c>
      <c r="GT103" s="40">
        <f t="shared" ref="GT103:IO105" ca="1" si="5341">$D103*GT$102</f>
        <v>0</v>
      </c>
      <c r="GU103" s="40">
        <f t="shared" ca="1" si="5341"/>
        <v>0</v>
      </c>
      <c r="GV103" s="40">
        <f t="shared" ca="1" si="5341"/>
        <v>0</v>
      </c>
      <c r="GW103" s="40">
        <f t="shared" ca="1" si="5341"/>
        <v>0</v>
      </c>
      <c r="GX103" s="40">
        <f t="shared" ca="1" si="5341"/>
        <v>0</v>
      </c>
      <c r="GY103" s="40">
        <f t="shared" ca="1" si="5341"/>
        <v>0</v>
      </c>
      <c r="GZ103" s="40">
        <f t="shared" ca="1" si="5341"/>
        <v>0</v>
      </c>
      <c r="HA103" s="40">
        <f t="shared" ca="1" si="5341"/>
        <v>0</v>
      </c>
      <c r="HB103" s="40">
        <f t="shared" ca="1" si="5341"/>
        <v>0</v>
      </c>
      <c r="HC103" s="40">
        <f t="shared" ca="1" si="5341"/>
        <v>0</v>
      </c>
      <c r="HD103" s="40">
        <f t="shared" ca="1" si="5341"/>
        <v>0</v>
      </c>
      <c r="HE103" s="40">
        <f t="shared" ca="1" si="5341"/>
        <v>0</v>
      </c>
      <c r="HF103" s="40">
        <f t="shared" ca="1" si="5341"/>
        <v>0</v>
      </c>
      <c r="HG103" s="40">
        <f t="shared" ca="1" si="5341"/>
        <v>0</v>
      </c>
      <c r="HH103" s="40">
        <f t="shared" ca="1" si="5341"/>
        <v>0</v>
      </c>
      <c r="HI103" s="40">
        <f t="shared" ca="1" si="5341"/>
        <v>0</v>
      </c>
      <c r="HJ103" s="40">
        <f t="shared" ca="1" si="5341"/>
        <v>0</v>
      </c>
      <c r="HK103" s="40">
        <f t="shared" ca="1" si="5341"/>
        <v>0</v>
      </c>
      <c r="HL103" s="40">
        <f t="shared" ca="1" si="5341"/>
        <v>0</v>
      </c>
      <c r="HM103" s="40">
        <f t="shared" ca="1" si="5341"/>
        <v>0</v>
      </c>
      <c r="HN103" s="40">
        <f t="shared" ca="1" si="5341"/>
        <v>0</v>
      </c>
      <c r="HO103" s="40">
        <f t="shared" ca="1" si="5341"/>
        <v>0</v>
      </c>
      <c r="HP103" s="40">
        <f t="shared" ca="1" si="5341"/>
        <v>0</v>
      </c>
      <c r="HQ103" s="40">
        <f t="shared" ca="1" si="5341"/>
        <v>0</v>
      </c>
      <c r="HR103" s="40">
        <f t="shared" ca="1" si="5341"/>
        <v>0</v>
      </c>
      <c r="HS103" s="40">
        <f t="shared" ca="1" si="5341"/>
        <v>0</v>
      </c>
      <c r="HT103" s="40">
        <f t="shared" ca="1" si="5341"/>
        <v>0</v>
      </c>
      <c r="HU103" s="40">
        <f t="shared" ca="1" si="5341"/>
        <v>0</v>
      </c>
      <c r="HV103" s="40">
        <f t="shared" ca="1" si="5341"/>
        <v>0</v>
      </c>
      <c r="HW103" s="40">
        <f t="shared" ca="1" si="5341"/>
        <v>0</v>
      </c>
      <c r="HX103" s="40">
        <f t="shared" ca="1" si="5341"/>
        <v>0</v>
      </c>
      <c r="HY103" s="40">
        <f t="shared" ca="1" si="5341"/>
        <v>0</v>
      </c>
      <c r="HZ103" s="40">
        <f t="shared" ca="1" si="5341"/>
        <v>0</v>
      </c>
      <c r="IA103" s="40">
        <f t="shared" ca="1" si="5341"/>
        <v>0</v>
      </c>
      <c r="IB103" s="40">
        <f t="shared" ca="1" si="5341"/>
        <v>0</v>
      </c>
      <c r="IC103" s="40">
        <f t="shared" ca="1" si="5341"/>
        <v>0</v>
      </c>
      <c r="ID103" s="40">
        <f t="shared" ca="1" si="5341"/>
        <v>0</v>
      </c>
      <c r="IE103" s="40">
        <f t="shared" ca="1" si="5341"/>
        <v>0</v>
      </c>
      <c r="IF103" s="40">
        <f t="shared" ca="1" si="5341"/>
        <v>0</v>
      </c>
      <c r="IG103" s="40">
        <f t="shared" ca="1" si="5341"/>
        <v>0</v>
      </c>
      <c r="IH103" s="40">
        <f t="shared" ca="1" si="5341"/>
        <v>0</v>
      </c>
      <c r="II103" s="40">
        <f t="shared" ca="1" si="5341"/>
        <v>0</v>
      </c>
      <c r="IJ103" s="40">
        <f t="shared" ca="1" si="5341"/>
        <v>0</v>
      </c>
      <c r="IK103" s="40">
        <f t="shared" ca="1" si="5341"/>
        <v>0</v>
      </c>
      <c r="IL103" s="40">
        <f t="shared" ca="1" si="5341"/>
        <v>0</v>
      </c>
      <c r="IM103" s="40">
        <f t="shared" ca="1" si="5341"/>
        <v>0</v>
      </c>
      <c r="IN103" s="40">
        <f t="shared" ca="1" si="5341"/>
        <v>0</v>
      </c>
      <c r="IO103" s="40">
        <f t="shared" ca="1" si="5341"/>
        <v>0</v>
      </c>
      <c r="IP103" s="40">
        <f t="shared" ref="IP103:LA106" ca="1" si="5342">$D103*IP$102</f>
        <v>0</v>
      </c>
      <c r="IQ103" s="40">
        <f t="shared" ca="1" si="5342"/>
        <v>0</v>
      </c>
      <c r="IR103" s="40">
        <f t="shared" ca="1" si="5342"/>
        <v>0</v>
      </c>
      <c r="IS103" s="40">
        <f t="shared" ca="1" si="5342"/>
        <v>0</v>
      </c>
      <c r="IT103" s="40">
        <f t="shared" ca="1" si="5342"/>
        <v>0</v>
      </c>
      <c r="IU103" s="40">
        <f t="shared" ca="1" si="5342"/>
        <v>0</v>
      </c>
      <c r="IV103" s="40">
        <f t="shared" ca="1" si="5342"/>
        <v>0</v>
      </c>
      <c r="IW103" s="40">
        <f t="shared" ca="1" si="5342"/>
        <v>0</v>
      </c>
      <c r="IX103" s="40">
        <f t="shared" ca="1" si="5342"/>
        <v>0</v>
      </c>
      <c r="IY103" s="40">
        <f t="shared" ca="1" si="5342"/>
        <v>0</v>
      </c>
      <c r="IZ103" s="40">
        <f t="shared" ca="1" si="5342"/>
        <v>0</v>
      </c>
      <c r="JA103" s="40">
        <f t="shared" ca="1" si="5342"/>
        <v>0</v>
      </c>
      <c r="JB103" s="40">
        <f t="shared" ca="1" si="5342"/>
        <v>0</v>
      </c>
      <c r="JC103" s="40">
        <f t="shared" ca="1" si="5342"/>
        <v>0</v>
      </c>
      <c r="JD103" s="40">
        <f t="shared" ca="1" si="5342"/>
        <v>0</v>
      </c>
      <c r="JE103" s="40">
        <f t="shared" ca="1" si="5342"/>
        <v>0</v>
      </c>
      <c r="JF103" s="40">
        <f t="shared" ca="1" si="5342"/>
        <v>0</v>
      </c>
      <c r="JG103" s="40">
        <f t="shared" ca="1" si="5342"/>
        <v>0</v>
      </c>
      <c r="JH103" s="40">
        <f t="shared" ca="1" si="5342"/>
        <v>0</v>
      </c>
      <c r="JI103" s="40">
        <f t="shared" ca="1" si="5342"/>
        <v>0</v>
      </c>
      <c r="JJ103" s="40">
        <f t="shared" ca="1" si="5342"/>
        <v>0</v>
      </c>
      <c r="JK103" s="40">
        <f t="shared" ca="1" si="5342"/>
        <v>0</v>
      </c>
      <c r="JL103" s="40">
        <f t="shared" ca="1" si="5342"/>
        <v>0</v>
      </c>
      <c r="JM103" s="40">
        <f t="shared" ca="1" si="5342"/>
        <v>0</v>
      </c>
      <c r="JN103" s="40">
        <f t="shared" ca="1" si="5342"/>
        <v>0</v>
      </c>
      <c r="JO103" s="40">
        <f t="shared" ca="1" si="5342"/>
        <v>0</v>
      </c>
      <c r="JP103" s="40">
        <f t="shared" ca="1" si="5342"/>
        <v>0</v>
      </c>
      <c r="JQ103" s="40">
        <f t="shared" ca="1" si="5342"/>
        <v>0</v>
      </c>
      <c r="JR103" s="40">
        <f t="shared" ca="1" si="5342"/>
        <v>0</v>
      </c>
      <c r="JS103" s="40">
        <f t="shared" ca="1" si="5342"/>
        <v>0</v>
      </c>
      <c r="JT103" s="40">
        <f t="shared" ca="1" si="5342"/>
        <v>0</v>
      </c>
      <c r="JU103" s="40">
        <f t="shared" ca="1" si="5342"/>
        <v>0</v>
      </c>
      <c r="JV103" s="40">
        <f t="shared" ca="1" si="5342"/>
        <v>0</v>
      </c>
      <c r="JW103" s="40">
        <f t="shared" ca="1" si="5342"/>
        <v>0</v>
      </c>
      <c r="JX103" s="40">
        <f t="shared" ca="1" si="5342"/>
        <v>0</v>
      </c>
      <c r="JY103" s="40">
        <f t="shared" ca="1" si="5342"/>
        <v>0</v>
      </c>
      <c r="JZ103" s="40">
        <f t="shared" ca="1" si="5342"/>
        <v>0</v>
      </c>
      <c r="KA103" s="40">
        <f t="shared" ca="1" si="5342"/>
        <v>0</v>
      </c>
      <c r="KB103" s="40">
        <f t="shared" ca="1" si="5342"/>
        <v>0</v>
      </c>
      <c r="KC103" s="40">
        <f t="shared" ca="1" si="5342"/>
        <v>0</v>
      </c>
      <c r="KD103" s="40">
        <f t="shared" ca="1" si="5342"/>
        <v>0</v>
      </c>
      <c r="KE103" s="40">
        <f t="shared" ca="1" si="5342"/>
        <v>0</v>
      </c>
      <c r="KF103" s="40">
        <f t="shared" ca="1" si="5342"/>
        <v>0</v>
      </c>
      <c r="KG103" s="40">
        <f t="shared" ca="1" si="5342"/>
        <v>0</v>
      </c>
      <c r="KH103" s="40">
        <f t="shared" ca="1" si="5342"/>
        <v>0</v>
      </c>
      <c r="KI103" s="40">
        <f t="shared" ca="1" si="5342"/>
        <v>0</v>
      </c>
      <c r="KJ103" s="40">
        <f t="shared" ca="1" si="5342"/>
        <v>0</v>
      </c>
      <c r="KK103" s="40">
        <f t="shared" ca="1" si="5342"/>
        <v>0</v>
      </c>
      <c r="KL103" s="40">
        <f t="shared" ca="1" si="5342"/>
        <v>0</v>
      </c>
      <c r="KM103" s="40">
        <f t="shared" ca="1" si="5342"/>
        <v>0</v>
      </c>
      <c r="KN103" s="40">
        <f t="shared" ca="1" si="5342"/>
        <v>0</v>
      </c>
      <c r="KO103" s="40">
        <f t="shared" ca="1" si="5342"/>
        <v>0</v>
      </c>
      <c r="KP103" s="40">
        <f t="shared" ca="1" si="5342"/>
        <v>0</v>
      </c>
      <c r="KQ103" s="40">
        <f t="shared" ca="1" si="5342"/>
        <v>0</v>
      </c>
      <c r="KR103" s="40">
        <f t="shared" ca="1" si="5342"/>
        <v>0</v>
      </c>
      <c r="KS103" s="40">
        <f t="shared" ca="1" si="5342"/>
        <v>0</v>
      </c>
      <c r="KT103" s="40">
        <f t="shared" ca="1" si="5342"/>
        <v>0</v>
      </c>
      <c r="KU103" s="40">
        <f t="shared" ca="1" si="5342"/>
        <v>0</v>
      </c>
      <c r="KV103" s="40">
        <f t="shared" ca="1" si="5342"/>
        <v>0</v>
      </c>
      <c r="KW103" s="40">
        <f t="shared" ca="1" si="5342"/>
        <v>0</v>
      </c>
      <c r="KX103" s="40">
        <f t="shared" ca="1" si="5342"/>
        <v>0</v>
      </c>
      <c r="KY103" s="40">
        <f t="shared" ca="1" si="5342"/>
        <v>0</v>
      </c>
      <c r="KZ103" s="40">
        <f t="shared" ca="1" si="5342"/>
        <v>0</v>
      </c>
      <c r="LA103" s="40">
        <f t="shared" ca="1" si="5342"/>
        <v>0</v>
      </c>
      <c r="LB103" s="40">
        <f t="shared" ref="LB103:ND106" ca="1" si="5343">$D103*LB$102</f>
        <v>0</v>
      </c>
      <c r="LC103" s="40">
        <f t="shared" ca="1" si="5343"/>
        <v>0</v>
      </c>
      <c r="LD103" s="40">
        <f t="shared" ca="1" si="5343"/>
        <v>0</v>
      </c>
      <c r="LE103" s="40">
        <f t="shared" ca="1" si="5343"/>
        <v>0</v>
      </c>
      <c r="LF103" s="40">
        <f t="shared" ca="1" si="5343"/>
        <v>0</v>
      </c>
      <c r="LG103" s="40">
        <f t="shared" ca="1" si="5343"/>
        <v>0</v>
      </c>
      <c r="LH103" s="40">
        <f t="shared" ca="1" si="5343"/>
        <v>0</v>
      </c>
      <c r="LI103" s="40">
        <f t="shared" ca="1" si="5343"/>
        <v>0</v>
      </c>
      <c r="LJ103" s="40">
        <f t="shared" ca="1" si="5343"/>
        <v>0</v>
      </c>
      <c r="LK103" s="40">
        <f t="shared" ca="1" si="5343"/>
        <v>0</v>
      </c>
      <c r="LL103" s="40">
        <f t="shared" ca="1" si="5343"/>
        <v>0</v>
      </c>
      <c r="LM103" s="40">
        <f t="shared" ca="1" si="5343"/>
        <v>0</v>
      </c>
      <c r="LN103" s="40">
        <f t="shared" ca="1" si="5343"/>
        <v>0</v>
      </c>
      <c r="LO103" s="40">
        <f t="shared" ca="1" si="5343"/>
        <v>0</v>
      </c>
      <c r="LP103" s="40">
        <f t="shared" ca="1" si="5343"/>
        <v>0</v>
      </c>
      <c r="LQ103" s="40">
        <f t="shared" ca="1" si="5343"/>
        <v>0</v>
      </c>
      <c r="LR103" s="40">
        <f t="shared" ca="1" si="5343"/>
        <v>0</v>
      </c>
      <c r="LS103" s="40">
        <f t="shared" ca="1" si="5343"/>
        <v>0</v>
      </c>
      <c r="LT103" s="40">
        <f t="shared" ca="1" si="5343"/>
        <v>0</v>
      </c>
      <c r="LU103" s="40">
        <f t="shared" ca="1" si="5343"/>
        <v>0</v>
      </c>
      <c r="LV103" s="40">
        <f t="shared" ca="1" si="5343"/>
        <v>0</v>
      </c>
      <c r="LW103" s="40">
        <f t="shared" ca="1" si="5343"/>
        <v>0</v>
      </c>
      <c r="LX103" s="40">
        <f t="shared" ca="1" si="5343"/>
        <v>0</v>
      </c>
      <c r="LY103" s="40">
        <f t="shared" ca="1" si="5343"/>
        <v>0</v>
      </c>
      <c r="LZ103" s="40">
        <f t="shared" ca="1" si="5343"/>
        <v>0</v>
      </c>
      <c r="MA103" s="40">
        <f t="shared" ca="1" si="5343"/>
        <v>0</v>
      </c>
      <c r="MB103" s="40">
        <f t="shared" ca="1" si="5343"/>
        <v>0</v>
      </c>
      <c r="MC103" s="40">
        <f t="shared" ca="1" si="5343"/>
        <v>0</v>
      </c>
      <c r="MD103" s="40">
        <f t="shared" ca="1" si="5343"/>
        <v>0</v>
      </c>
      <c r="ME103" s="40">
        <f t="shared" ca="1" si="5343"/>
        <v>0</v>
      </c>
      <c r="MF103" s="40">
        <f t="shared" ca="1" si="5343"/>
        <v>0</v>
      </c>
      <c r="MG103" s="40">
        <f t="shared" ca="1" si="5343"/>
        <v>0</v>
      </c>
      <c r="MH103" s="40">
        <f t="shared" ca="1" si="5343"/>
        <v>0</v>
      </c>
      <c r="MI103" s="40">
        <f t="shared" ca="1" si="5343"/>
        <v>0</v>
      </c>
      <c r="MJ103" s="40">
        <f t="shared" ca="1" si="5343"/>
        <v>0</v>
      </c>
      <c r="MK103" s="40">
        <f t="shared" ca="1" si="5343"/>
        <v>0</v>
      </c>
      <c r="ML103" s="40">
        <f t="shared" ca="1" si="5343"/>
        <v>0</v>
      </c>
      <c r="MM103" s="40">
        <f t="shared" ca="1" si="5343"/>
        <v>0</v>
      </c>
      <c r="MN103" s="40">
        <f t="shared" ca="1" si="5343"/>
        <v>0</v>
      </c>
      <c r="MO103" s="40">
        <f t="shared" ca="1" si="5343"/>
        <v>0</v>
      </c>
      <c r="MP103" s="40">
        <f t="shared" ca="1" si="5343"/>
        <v>0</v>
      </c>
      <c r="MQ103" s="40">
        <f t="shared" ca="1" si="5343"/>
        <v>0</v>
      </c>
      <c r="MR103" s="40">
        <f t="shared" ca="1" si="5343"/>
        <v>0</v>
      </c>
      <c r="MS103" s="40">
        <f t="shared" ca="1" si="5343"/>
        <v>0</v>
      </c>
      <c r="MT103" s="40">
        <f t="shared" ca="1" si="5343"/>
        <v>0</v>
      </c>
      <c r="MU103" s="40">
        <f t="shared" ca="1" si="5343"/>
        <v>0</v>
      </c>
      <c r="MV103" s="40">
        <f t="shared" ca="1" si="5343"/>
        <v>0</v>
      </c>
      <c r="MW103" s="40">
        <f t="shared" ca="1" si="5343"/>
        <v>0</v>
      </c>
      <c r="MX103" s="40">
        <f t="shared" ca="1" si="5343"/>
        <v>0</v>
      </c>
      <c r="MY103" s="40">
        <f t="shared" ca="1" si="5343"/>
        <v>0</v>
      </c>
      <c r="MZ103" s="40">
        <f t="shared" ca="1" si="5343"/>
        <v>0</v>
      </c>
      <c r="NA103" s="40">
        <f t="shared" ca="1" si="5343"/>
        <v>0</v>
      </c>
      <c r="NB103" s="40">
        <f t="shared" ca="1" si="5343"/>
        <v>0</v>
      </c>
      <c r="NC103" s="40">
        <f t="shared" ca="1" si="5343"/>
        <v>0</v>
      </c>
      <c r="ND103" s="40">
        <f t="shared" ca="1" si="5343"/>
        <v>0</v>
      </c>
      <c r="NE103" s="40"/>
      <c r="NF103" s="40"/>
      <c r="NG103" s="40"/>
      <c r="NH103" s="40"/>
      <c r="NI103" s="40"/>
      <c r="NJ103" s="40"/>
      <c r="NK103" s="40"/>
      <c r="NL103" s="40"/>
      <c r="NM103" s="40"/>
      <c r="NN103" s="40"/>
      <c r="NO103" s="40"/>
      <c r="NP103" s="40"/>
      <c r="NQ103" s="40"/>
      <c r="NR103" s="40"/>
    </row>
    <row r="104" spans="2:382" x14ac:dyDescent="0.15">
      <c r="B104" s="521"/>
      <c r="C104" s="120" t="str">
        <f>C4</f>
        <v>Brian</v>
      </c>
      <c r="D104" s="5">
        <f>D94</f>
        <v>0.3</v>
      </c>
      <c r="G104" s="118"/>
      <c r="I104" s="40">
        <f>$D104*I$102</f>
        <v>0</v>
      </c>
      <c r="J104" s="40">
        <f t="shared" ref="J104:BU104" si="5344">$D104*J$102</f>
        <v>0</v>
      </c>
      <c r="K104" s="40">
        <f t="shared" si="5344"/>
        <v>0</v>
      </c>
      <c r="L104" s="40">
        <f t="shared" si="5344"/>
        <v>0</v>
      </c>
      <c r="M104" s="40">
        <f t="shared" si="5344"/>
        <v>0</v>
      </c>
      <c r="N104" s="40">
        <f t="shared" si="5344"/>
        <v>0</v>
      </c>
      <c r="O104" s="40">
        <f t="shared" si="5344"/>
        <v>0</v>
      </c>
      <c r="P104" s="40">
        <f t="shared" si="5344"/>
        <v>0</v>
      </c>
      <c r="Q104" s="40">
        <f t="shared" si="5344"/>
        <v>0</v>
      </c>
      <c r="R104" s="40">
        <f t="shared" si="5344"/>
        <v>0</v>
      </c>
      <c r="S104" s="40">
        <f t="shared" si="5344"/>
        <v>0</v>
      </c>
      <c r="T104" s="40">
        <f t="shared" si="5344"/>
        <v>0</v>
      </c>
      <c r="U104" s="40">
        <f t="shared" si="5344"/>
        <v>0</v>
      </c>
      <c r="V104" s="40">
        <f t="shared" si="5344"/>
        <v>0</v>
      </c>
      <c r="W104" s="40">
        <f t="shared" si="5344"/>
        <v>0</v>
      </c>
      <c r="X104" s="40">
        <f t="shared" si="5344"/>
        <v>0</v>
      </c>
      <c r="Y104" s="40">
        <f t="shared" si="5344"/>
        <v>0</v>
      </c>
      <c r="Z104" s="40">
        <f t="shared" si="5344"/>
        <v>0</v>
      </c>
      <c r="AA104" s="40">
        <f t="shared" si="5344"/>
        <v>0</v>
      </c>
      <c r="AB104" s="40">
        <f t="shared" si="5344"/>
        <v>0</v>
      </c>
      <c r="AC104" s="40">
        <f t="shared" si="5344"/>
        <v>0</v>
      </c>
      <c r="AD104" s="40">
        <f t="shared" si="5344"/>
        <v>0</v>
      </c>
      <c r="AE104" s="40">
        <f t="shared" si="5344"/>
        <v>0</v>
      </c>
      <c r="AF104" s="40">
        <f t="shared" si="5344"/>
        <v>0</v>
      </c>
      <c r="AG104" s="40">
        <f t="shared" si="5344"/>
        <v>0</v>
      </c>
      <c r="AH104" s="40">
        <f t="shared" si="5344"/>
        <v>0</v>
      </c>
      <c r="AI104" s="40">
        <f t="shared" si="5344"/>
        <v>0</v>
      </c>
      <c r="AJ104" s="40">
        <f t="shared" si="5344"/>
        <v>0</v>
      </c>
      <c r="AK104" s="40">
        <f t="shared" si="5344"/>
        <v>0</v>
      </c>
      <c r="AL104" s="40">
        <f t="shared" si="5344"/>
        <v>0</v>
      </c>
      <c r="AM104" s="40">
        <f t="shared" si="5344"/>
        <v>0</v>
      </c>
      <c r="AN104" s="40">
        <f t="shared" si="5344"/>
        <v>0</v>
      </c>
      <c r="AO104" s="40">
        <f t="shared" si="5344"/>
        <v>0</v>
      </c>
      <c r="AP104" s="40">
        <f t="shared" si="5344"/>
        <v>0</v>
      </c>
      <c r="AQ104" s="40">
        <f t="shared" si="5344"/>
        <v>0</v>
      </c>
      <c r="AR104" s="40">
        <f t="shared" si="5344"/>
        <v>0</v>
      </c>
      <c r="AS104" s="40">
        <f t="shared" si="5344"/>
        <v>0</v>
      </c>
      <c r="AT104" s="40">
        <f t="shared" si="5344"/>
        <v>0</v>
      </c>
      <c r="AU104" s="40">
        <f t="shared" si="5344"/>
        <v>0</v>
      </c>
      <c r="AV104" s="40">
        <f t="shared" si="5344"/>
        <v>0</v>
      </c>
      <c r="AW104" s="40">
        <f t="shared" si="5344"/>
        <v>0</v>
      </c>
      <c r="AX104" s="40">
        <f t="shared" si="5344"/>
        <v>0</v>
      </c>
      <c r="AY104" s="40">
        <f t="shared" si="5344"/>
        <v>0</v>
      </c>
      <c r="AZ104" s="40">
        <f t="shared" si="5344"/>
        <v>0</v>
      </c>
      <c r="BA104" s="40">
        <f t="shared" si="5344"/>
        <v>0</v>
      </c>
      <c r="BB104" s="40">
        <f t="shared" si="5344"/>
        <v>0</v>
      </c>
      <c r="BC104" s="40">
        <f t="shared" si="5344"/>
        <v>0</v>
      </c>
      <c r="BD104" s="40">
        <f t="shared" si="5344"/>
        <v>0</v>
      </c>
      <c r="BE104" s="40">
        <f t="shared" si="5344"/>
        <v>0</v>
      </c>
      <c r="BF104" s="40">
        <f t="shared" si="5344"/>
        <v>0</v>
      </c>
      <c r="BG104" s="40">
        <f t="shared" si="5344"/>
        <v>0</v>
      </c>
      <c r="BH104" s="40">
        <f t="shared" si="5344"/>
        <v>0</v>
      </c>
      <c r="BI104" s="40">
        <f t="shared" si="5344"/>
        <v>0</v>
      </c>
      <c r="BJ104" s="40">
        <f t="shared" si="5344"/>
        <v>0</v>
      </c>
      <c r="BK104" s="40">
        <f t="shared" si="5344"/>
        <v>0</v>
      </c>
      <c r="BL104" s="40">
        <f t="shared" si="5344"/>
        <v>0</v>
      </c>
      <c r="BM104" s="40">
        <f t="shared" si="5344"/>
        <v>0</v>
      </c>
      <c r="BN104" s="40">
        <f t="shared" si="5344"/>
        <v>0</v>
      </c>
      <c r="BO104" s="40">
        <f t="shared" si="5344"/>
        <v>0</v>
      </c>
      <c r="BP104" s="40">
        <f t="shared" si="5344"/>
        <v>0</v>
      </c>
      <c r="BQ104" s="40">
        <f t="shared" si="5344"/>
        <v>0</v>
      </c>
      <c r="BR104" s="40">
        <f t="shared" si="5344"/>
        <v>0</v>
      </c>
      <c r="BS104" s="40">
        <f t="shared" si="5344"/>
        <v>0</v>
      </c>
      <c r="BT104" s="40">
        <f t="shared" si="5344"/>
        <v>0</v>
      </c>
      <c r="BU104" s="40">
        <f t="shared" si="5344"/>
        <v>0</v>
      </c>
      <c r="BV104" s="40">
        <f t="shared" si="5339"/>
        <v>0</v>
      </c>
      <c r="BW104" s="40">
        <f t="shared" si="5339"/>
        <v>0</v>
      </c>
      <c r="BX104" s="40">
        <f t="shared" si="5339"/>
        <v>0</v>
      </c>
      <c r="BY104" s="40">
        <f t="shared" si="5339"/>
        <v>0</v>
      </c>
      <c r="BZ104" s="40">
        <f t="shared" si="5339"/>
        <v>0</v>
      </c>
      <c r="CA104" s="40">
        <f t="shared" si="5339"/>
        <v>0</v>
      </c>
      <c r="CB104" s="40">
        <f t="shared" si="5339"/>
        <v>0</v>
      </c>
      <c r="CC104" s="40">
        <f t="shared" si="5339"/>
        <v>0</v>
      </c>
      <c r="CD104" s="40">
        <f t="shared" si="5339"/>
        <v>0</v>
      </c>
      <c r="CE104" s="40">
        <f t="shared" si="5339"/>
        <v>0</v>
      </c>
      <c r="CF104" s="40">
        <f t="shared" si="5339"/>
        <v>0</v>
      </c>
      <c r="CG104" s="40">
        <f t="shared" si="5339"/>
        <v>0</v>
      </c>
      <c r="CH104" s="40">
        <f t="shared" si="5339"/>
        <v>0</v>
      </c>
      <c r="CI104" s="40">
        <f t="shared" si="5339"/>
        <v>0</v>
      </c>
      <c r="CJ104" s="40">
        <f t="shared" si="5339"/>
        <v>0</v>
      </c>
      <c r="CK104" s="40">
        <f t="shared" si="5339"/>
        <v>0</v>
      </c>
      <c r="CL104" s="40">
        <f t="shared" si="5339"/>
        <v>0</v>
      </c>
      <c r="CM104" s="40">
        <f t="shared" si="5339"/>
        <v>0</v>
      </c>
      <c r="CN104" s="40">
        <f t="shared" si="5339"/>
        <v>0</v>
      </c>
      <c r="CO104" s="40">
        <f t="shared" si="5339"/>
        <v>0</v>
      </c>
      <c r="CP104" s="40">
        <f t="shared" si="5339"/>
        <v>0</v>
      </c>
      <c r="CQ104" s="40">
        <f t="shared" si="5339"/>
        <v>0</v>
      </c>
      <c r="CR104" s="40">
        <f t="shared" si="5339"/>
        <v>0</v>
      </c>
      <c r="CS104" s="40">
        <f t="shared" si="5339"/>
        <v>0</v>
      </c>
      <c r="CT104" s="40">
        <f t="shared" si="5339"/>
        <v>0</v>
      </c>
      <c r="CU104" s="40">
        <f t="shared" si="5339"/>
        <v>0</v>
      </c>
      <c r="CV104" s="40">
        <f t="shared" si="5339"/>
        <v>0</v>
      </c>
      <c r="CW104" s="40">
        <f t="shared" si="5339"/>
        <v>0</v>
      </c>
      <c r="CX104" s="40">
        <f t="shared" si="5339"/>
        <v>0</v>
      </c>
      <c r="CY104" s="40">
        <f t="shared" si="5339"/>
        <v>0</v>
      </c>
      <c r="CZ104" s="40">
        <f t="shared" si="5339"/>
        <v>0</v>
      </c>
      <c r="DA104" s="40">
        <f t="shared" si="5339"/>
        <v>0</v>
      </c>
      <c r="DB104" s="40">
        <f t="shared" si="5339"/>
        <v>0</v>
      </c>
      <c r="DC104" s="40">
        <f t="shared" si="5339"/>
        <v>0</v>
      </c>
      <c r="DD104" s="40">
        <f t="shared" si="5339"/>
        <v>0</v>
      </c>
      <c r="DE104" s="40">
        <f t="shared" si="5339"/>
        <v>0</v>
      </c>
      <c r="DF104" s="40">
        <f t="shared" si="5339"/>
        <v>0</v>
      </c>
      <c r="DG104" s="40">
        <f t="shared" si="5339"/>
        <v>0</v>
      </c>
      <c r="DH104" s="40">
        <f t="shared" si="5339"/>
        <v>0</v>
      </c>
      <c r="DI104" s="40">
        <f t="shared" si="5339"/>
        <v>0</v>
      </c>
      <c r="DJ104" s="40">
        <f t="shared" si="5339"/>
        <v>0</v>
      </c>
      <c r="DK104" s="40">
        <f t="shared" si="5339"/>
        <v>0</v>
      </c>
      <c r="DL104" s="40">
        <f t="shared" si="5339"/>
        <v>0</v>
      </c>
      <c r="DM104" s="40">
        <f t="shared" si="5339"/>
        <v>0</v>
      </c>
      <c r="DN104" s="40">
        <f t="shared" si="5339"/>
        <v>0</v>
      </c>
      <c r="DO104" s="40">
        <f t="shared" si="5339"/>
        <v>0</v>
      </c>
      <c r="DP104" s="40">
        <f t="shared" si="5339"/>
        <v>0</v>
      </c>
      <c r="DQ104" s="40">
        <f t="shared" si="5339"/>
        <v>0</v>
      </c>
      <c r="DR104" s="40">
        <f t="shared" si="5339"/>
        <v>0</v>
      </c>
      <c r="DS104" s="40">
        <f t="shared" si="5339"/>
        <v>0</v>
      </c>
      <c r="DT104" s="40">
        <f t="shared" si="5339"/>
        <v>0</v>
      </c>
      <c r="DU104" s="40">
        <f t="shared" si="5339"/>
        <v>0</v>
      </c>
      <c r="DV104" s="40">
        <f t="shared" si="5339"/>
        <v>0</v>
      </c>
      <c r="DW104" s="40">
        <f t="shared" si="5339"/>
        <v>0</v>
      </c>
      <c r="DX104" s="40">
        <f t="shared" si="5339"/>
        <v>0</v>
      </c>
      <c r="DY104" s="40">
        <f t="shared" si="5339"/>
        <v>0</v>
      </c>
      <c r="DZ104" s="40">
        <f t="shared" si="5339"/>
        <v>0</v>
      </c>
      <c r="EA104" s="40">
        <f t="shared" si="5339"/>
        <v>0</v>
      </c>
      <c r="EB104" s="40">
        <f t="shared" si="5339"/>
        <v>0</v>
      </c>
      <c r="EC104" s="40">
        <f t="shared" si="5339"/>
        <v>0</v>
      </c>
      <c r="ED104" s="40">
        <f t="shared" si="5339"/>
        <v>0</v>
      </c>
      <c r="EE104" s="40">
        <f t="shared" si="5339"/>
        <v>0</v>
      </c>
      <c r="EF104" s="40">
        <f t="shared" si="5339"/>
        <v>0</v>
      </c>
      <c r="EG104" s="40">
        <f t="shared" si="5339"/>
        <v>0</v>
      </c>
      <c r="EH104" s="40">
        <f t="shared" si="5340"/>
        <v>0</v>
      </c>
      <c r="EI104" s="40">
        <f t="shared" si="5340"/>
        <v>0</v>
      </c>
      <c r="EJ104" s="40">
        <f t="shared" si="5340"/>
        <v>0</v>
      </c>
      <c r="EK104" s="40">
        <f t="shared" si="5340"/>
        <v>0</v>
      </c>
      <c r="EL104" s="40">
        <f t="shared" si="5340"/>
        <v>0</v>
      </c>
      <c r="EM104" s="40">
        <f t="shared" si="5340"/>
        <v>0</v>
      </c>
      <c r="EN104" s="40">
        <f t="shared" si="5340"/>
        <v>0</v>
      </c>
      <c r="EO104" s="40">
        <f t="shared" si="5340"/>
        <v>0</v>
      </c>
      <c r="EP104" s="40">
        <f t="shared" si="5340"/>
        <v>0</v>
      </c>
      <c r="EQ104" s="40">
        <f t="shared" si="5340"/>
        <v>0</v>
      </c>
      <c r="ER104" s="40">
        <f t="shared" si="5340"/>
        <v>0</v>
      </c>
      <c r="ES104" s="40">
        <f t="shared" si="5340"/>
        <v>0</v>
      </c>
      <c r="ET104" s="40">
        <f t="shared" si="5340"/>
        <v>0</v>
      </c>
      <c r="EU104" s="40">
        <f t="shared" si="5340"/>
        <v>0</v>
      </c>
      <c r="EV104" s="40">
        <f t="shared" si="5340"/>
        <v>0</v>
      </c>
      <c r="EW104" s="40">
        <f t="shared" si="5340"/>
        <v>0</v>
      </c>
      <c r="EX104" s="40">
        <f t="shared" si="5340"/>
        <v>0</v>
      </c>
      <c r="EY104" s="40">
        <f t="shared" si="5340"/>
        <v>0</v>
      </c>
      <c r="EZ104" s="40">
        <f t="shared" si="5340"/>
        <v>0</v>
      </c>
      <c r="FA104" s="40">
        <f t="shared" si="5340"/>
        <v>0</v>
      </c>
      <c r="FB104" s="40">
        <f t="shared" si="5340"/>
        <v>0</v>
      </c>
      <c r="FC104" s="40">
        <f t="shared" si="5340"/>
        <v>0</v>
      </c>
      <c r="FD104" s="40">
        <f t="shared" si="5340"/>
        <v>0</v>
      </c>
      <c r="FE104" s="40">
        <f t="shared" si="5340"/>
        <v>0</v>
      </c>
      <c r="FF104" s="40">
        <f t="shared" si="5340"/>
        <v>0</v>
      </c>
      <c r="FG104" s="40">
        <f t="shared" si="5340"/>
        <v>0</v>
      </c>
      <c r="FH104" s="40">
        <f t="shared" si="5340"/>
        <v>0</v>
      </c>
      <c r="FI104" s="40">
        <f t="shared" si="5340"/>
        <v>0</v>
      </c>
      <c r="FJ104" s="40">
        <f t="shared" si="5340"/>
        <v>0</v>
      </c>
      <c r="FK104" s="40">
        <f t="shared" si="5340"/>
        <v>0</v>
      </c>
      <c r="FL104" s="40">
        <f t="shared" si="5340"/>
        <v>0</v>
      </c>
      <c r="FM104" s="40">
        <f t="shared" si="5340"/>
        <v>0</v>
      </c>
      <c r="FN104" s="40">
        <f t="shared" si="5340"/>
        <v>0</v>
      </c>
      <c r="FO104" s="40">
        <f t="shared" si="5340"/>
        <v>0</v>
      </c>
      <c r="FP104" s="40">
        <f t="shared" si="5340"/>
        <v>0</v>
      </c>
      <c r="FQ104" s="40">
        <f t="shared" si="5340"/>
        <v>0</v>
      </c>
      <c r="FR104" s="40">
        <f t="shared" si="5340"/>
        <v>0</v>
      </c>
      <c r="FS104" s="40">
        <f t="shared" si="5340"/>
        <v>0</v>
      </c>
      <c r="FT104" s="40">
        <f t="shared" si="5340"/>
        <v>0</v>
      </c>
      <c r="FU104" s="40">
        <f t="shared" si="5340"/>
        <v>0</v>
      </c>
      <c r="FV104" s="40">
        <f t="shared" si="5340"/>
        <v>0</v>
      </c>
      <c r="FW104" s="40">
        <f t="shared" si="5340"/>
        <v>0</v>
      </c>
      <c r="FX104" s="40">
        <f t="shared" si="5340"/>
        <v>0</v>
      </c>
      <c r="FY104" s="40">
        <f t="shared" si="5340"/>
        <v>0</v>
      </c>
      <c r="FZ104" s="40">
        <f t="shared" si="5340"/>
        <v>0</v>
      </c>
      <c r="GA104" s="40">
        <f t="shared" si="5340"/>
        <v>0</v>
      </c>
      <c r="GB104" s="40">
        <f t="shared" si="5340"/>
        <v>0</v>
      </c>
      <c r="GC104" s="40">
        <f t="shared" si="5340"/>
        <v>0</v>
      </c>
      <c r="GD104" s="40">
        <f t="shared" si="5340"/>
        <v>0</v>
      </c>
      <c r="GE104" s="40">
        <f t="shared" si="5340"/>
        <v>0</v>
      </c>
      <c r="GF104" s="40">
        <f t="shared" ca="1" si="5340"/>
        <v>0</v>
      </c>
      <c r="GG104" s="40">
        <f t="shared" ca="1" si="5340"/>
        <v>0</v>
      </c>
      <c r="GH104" s="40">
        <f t="shared" ca="1" si="5340"/>
        <v>0</v>
      </c>
      <c r="GI104" s="40">
        <f t="shared" ca="1" si="5340"/>
        <v>0</v>
      </c>
      <c r="GJ104" s="40">
        <f t="shared" ca="1" si="5340"/>
        <v>0</v>
      </c>
      <c r="GK104" s="40">
        <f t="shared" ca="1" si="5340"/>
        <v>0</v>
      </c>
      <c r="GL104" s="40">
        <f t="shared" ca="1" si="5340"/>
        <v>0</v>
      </c>
      <c r="GM104" s="40">
        <f t="shared" ca="1" si="5340"/>
        <v>0</v>
      </c>
      <c r="GN104" s="40">
        <f t="shared" ca="1" si="5340"/>
        <v>0</v>
      </c>
      <c r="GO104" s="40">
        <f t="shared" ca="1" si="5340"/>
        <v>0</v>
      </c>
      <c r="GP104" s="40">
        <f t="shared" ca="1" si="5340"/>
        <v>0</v>
      </c>
      <c r="GQ104" s="40">
        <f t="shared" ca="1" si="5340"/>
        <v>0</v>
      </c>
      <c r="GR104" s="40">
        <f t="shared" ca="1" si="5340"/>
        <v>0</v>
      </c>
      <c r="GS104" s="40">
        <f t="shared" ca="1" si="5340"/>
        <v>0</v>
      </c>
      <c r="GT104" s="40">
        <f t="shared" ca="1" si="5341"/>
        <v>0</v>
      </c>
      <c r="GU104" s="40">
        <f t="shared" ca="1" si="5341"/>
        <v>0</v>
      </c>
      <c r="GV104" s="40">
        <f t="shared" ca="1" si="5341"/>
        <v>0</v>
      </c>
      <c r="GW104" s="40">
        <f t="shared" ca="1" si="5341"/>
        <v>0</v>
      </c>
      <c r="GX104" s="40">
        <f t="shared" ca="1" si="5341"/>
        <v>0</v>
      </c>
      <c r="GY104" s="40">
        <f t="shared" ca="1" si="5341"/>
        <v>0</v>
      </c>
      <c r="GZ104" s="40">
        <f t="shared" ca="1" si="5341"/>
        <v>0</v>
      </c>
      <c r="HA104" s="40">
        <f t="shared" ca="1" si="5341"/>
        <v>0</v>
      </c>
      <c r="HB104" s="40">
        <f t="shared" ca="1" si="5341"/>
        <v>0</v>
      </c>
      <c r="HC104" s="40">
        <f t="shared" ca="1" si="5341"/>
        <v>0</v>
      </c>
      <c r="HD104" s="40">
        <f t="shared" ca="1" si="5341"/>
        <v>0</v>
      </c>
      <c r="HE104" s="40">
        <f t="shared" ca="1" si="5341"/>
        <v>0</v>
      </c>
      <c r="HF104" s="40">
        <f t="shared" ca="1" si="5341"/>
        <v>0</v>
      </c>
      <c r="HG104" s="40">
        <f t="shared" ca="1" si="5341"/>
        <v>0</v>
      </c>
      <c r="HH104" s="40">
        <f t="shared" ca="1" si="5341"/>
        <v>0</v>
      </c>
      <c r="HI104" s="40">
        <f t="shared" ca="1" si="5341"/>
        <v>0</v>
      </c>
      <c r="HJ104" s="40">
        <f t="shared" ca="1" si="5341"/>
        <v>0</v>
      </c>
      <c r="HK104" s="40">
        <f t="shared" ca="1" si="5341"/>
        <v>0</v>
      </c>
      <c r="HL104" s="40">
        <f t="shared" ca="1" si="5341"/>
        <v>0</v>
      </c>
      <c r="HM104" s="40">
        <f t="shared" ca="1" si="5341"/>
        <v>0</v>
      </c>
      <c r="HN104" s="40">
        <f t="shared" ca="1" si="5341"/>
        <v>0</v>
      </c>
      <c r="HO104" s="40">
        <f t="shared" ca="1" si="5341"/>
        <v>0</v>
      </c>
      <c r="HP104" s="40">
        <f t="shared" ca="1" si="5341"/>
        <v>0</v>
      </c>
      <c r="HQ104" s="40">
        <f t="shared" ca="1" si="5341"/>
        <v>0</v>
      </c>
      <c r="HR104" s="40">
        <f t="shared" ca="1" si="5341"/>
        <v>0</v>
      </c>
      <c r="HS104" s="40">
        <f t="shared" ca="1" si="5341"/>
        <v>0</v>
      </c>
      <c r="HT104" s="40">
        <f t="shared" ca="1" si="5341"/>
        <v>0</v>
      </c>
      <c r="HU104" s="40">
        <f t="shared" ca="1" si="5341"/>
        <v>0</v>
      </c>
      <c r="HV104" s="40">
        <f t="shared" ca="1" si="5341"/>
        <v>0</v>
      </c>
      <c r="HW104" s="40">
        <f t="shared" ca="1" si="5341"/>
        <v>0</v>
      </c>
      <c r="HX104" s="40">
        <f t="shared" ca="1" si="5341"/>
        <v>0</v>
      </c>
      <c r="HY104" s="40">
        <f t="shared" ca="1" si="5341"/>
        <v>0</v>
      </c>
      <c r="HZ104" s="40">
        <f t="shared" ca="1" si="5341"/>
        <v>0</v>
      </c>
      <c r="IA104" s="40">
        <f t="shared" ca="1" si="5341"/>
        <v>0</v>
      </c>
      <c r="IB104" s="40">
        <f t="shared" ca="1" si="5341"/>
        <v>0</v>
      </c>
      <c r="IC104" s="40">
        <f t="shared" ca="1" si="5341"/>
        <v>0</v>
      </c>
      <c r="ID104" s="40">
        <f t="shared" ca="1" si="5341"/>
        <v>0</v>
      </c>
      <c r="IE104" s="40">
        <f t="shared" ca="1" si="5341"/>
        <v>0</v>
      </c>
      <c r="IF104" s="40">
        <f t="shared" ca="1" si="5341"/>
        <v>0</v>
      </c>
      <c r="IG104" s="40">
        <f t="shared" ca="1" si="5341"/>
        <v>0</v>
      </c>
      <c r="IH104" s="40">
        <f t="shared" ca="1" si="5341"/>
        <v>0</v>
      </c>
      <c r="II104" s="40">
        <f t="shared" ca="1" si="5341"/>
        <v>0</v>
      </c>
      <c r="IJ104" s="40">
        <f t="shared" ca="1" si="5341"/>
        <v>0</v>
      </c>
      <c r="IK104" s="40">
        <f t="shared" ca="1" si="5341"/>
        <v>0</v>
      </c>
      <c r="IL104" s="40">
        <f t="shared" ca="1" si="5341"/>
        <v>0</v>
      </c>
      <c r="IM104" s="40">
        <f t="shared" ca="1" si="5341"/>
        <v>0</v>
      </c>
      <c r="IN104" s="40">
        <f t="shared" ca="1" si="5341"/>
        <v>0</v>
      </c>
      <c r="IO104" s="40">
        <f t="shared" ref="IO104:KZ106" ca="1" si="5345">$D104*IO$102</f>
        <v>0</v>
      </c>
      <c r="IP104" s="40">
        <f t="shared" ca="1" si="5345"/>
        <v>0</v>
      </c>
      <c r="IQ104" s="40">
        <f t="shared" ca="1" si="5345"/>
        <v>0</v>
      </c>
      <c r="IR104" s="40">
        <f t="shared" ca="1" si="5345"/>
        <v>0</v>
      </c>
      <c r="IS104" s="40">
        <f t="shared" ca="1" si="5345"/>
        <v>0</v>
      </c>
      <c r="IT104" s="40">
        <f t="shared" ca="1" si="5345"/>
        <v>0</v>
      </c>
      <c r="IU104" s="40">
        <f t="shared" ca="1" si="5345"/>
        <v>0</v>
      </c>
      <c r="IV104" s="40">
        <f t="shared" ca="1" si="5345"/>
        <v>0</v>
      </c>
      <c r="IW104" s="40">
        <f t="shared" ca="1" si="5345"/>
        <v>0</v>
      </c>
      <c r="IX104" s="40">
        <f t="shared" ca="1" si="5345"/>
        <v>0</v>
      </c>
      <c r="IY104" s="40">
        <f t="shared" ca="1" si="5345"/>
        <v>0</v>
      </c>
      <c r="IZ104" s="40">
        <f t="shared" ca="1" si="5345"/>
        <v>0</v>
      </c>
      <c r="JA104" s="40">
        <f t="shared" ca="1" si="5345"/>
        <v>0</v>
      </c>
      <c r="JB104" s="40">
        <f t="shared" ca="1" si="5345"/>
        <v>0</v>
      </c>
      <c r="JC104" s="40">
        <f t="shared" ca="1" si="5345"/>
        <v>0</v>
      </c>
      <c r="JD104" s="40">
        <f t="shared" ca="1" si="5345"/>
        <v>0</v>
      </c>
      <c r="JE104" s="40">
        <f t="shared" ca="1" si="5345"/>
        <v>0</v>
      </c>
      <c r="JF104" s="40">
        <f t="shared" ca="1" si="5345"/>
        <v>0</v>
      </c>
      <c r="JG104" s="40">
        <f t="shared" ca="1" si="5345"/>
        <v>0</v>
      </c>
      <c r="JH104" s="40">
        <f t="shared" ca="1" si="5345"/>
        <v>0</v>
      </c>
      <c r="JI104" s="40">
        <f t="shared" ca="1" si="5345"/>
        <v>0</v>
      </c>
      <c r="JJ104" s="40">
        <f t="shared" ca="1" si="5345"/>
        <v>0</v>
      </c>
      <c r="JK104" s="40">
        <f t="shared" ca="1" si="5345"/>
        <v>0</v>
      </c>
      <c r="JL104" s="40">
        <f t="shared" ca="1" si="5345"/>
        <v>0</v>
      </c>
      <c r="JM104" s="40">
        <f t="shared" ca="1" si="5345"/>
        <v>0</v>
      </c>
      <c r="JN104" s="40">
        <f t="shared" ca="1" si="5345"/>
        <v>0</v>
      </c>
      <c r="JO104" s="40">
        <f t="shared" ca="1" si="5345"/>
        <v>0</v>
      </c>
      <c r="JP104" s="40">
        <f t="shared" ca="1" si="5345"/>
        <v>0</v>
      </c>
      <c r="JQ104" s="40">
        <f t="shared" ca="1" si="5345"/>
        <v>0</v>
      </c>
      <c r="JR104" s="40">
        <f t="shared" ca="1" si="5345"/>
        <v>0</v>
      </c>
      <c r="JS104" s="40">
        <f t="shared" ca="1" si="5345"/>
        <v>0</v>
      </c>
      <c r="JT104" s="40">
        <f t="shared" ca="1" si="5345"/>
        <v>0</v>
      </c>
      <c r="JU104" s="40">
        <f t="shared" ca="1" si="5345"/>
        <v>0</v>
      </c>
      <c r="JV104" s="40">
        <f t="shared" ca="1" si="5345"/>
        <v>0</v>
      </c>
      <c r="JW104" s="40">
        <f t="shared" ca="1" si="5345"/>
        <v>0</v>
      </c>
      <c r="JX104" s="40">
        <f t="shared" ca="1" si="5345"/>
        <v>0</v>
      </c>
      <c r="JY104" s="40">
        <f t="shared" ca="1" si="5345"/>
        <v>0</v>
      </c>
      <c r="JZ104" s="40">
        <f t="shared" ca="1" si="5345"/>
        <v>0</v>
      </c>
      <c r="KA104" s="40">
        <f t="shared" ca="1" si="5345"/>
        <v>0</v>
      </c>
      <c r="KB104" s="40">
        <f t="shared" ca="1" si="5345"/>
        <v>0</v>
      </c>
      <c r="KC104" s="40">
        <f t="shared" ca="1" si="5345"/>
        <v>0</v>
      </c>
      <c r="KD104" s="40">
        <f t="shared" ca="1" si="5345"/>
        <v>0</v>
      </c>
      <c r="KE104" s="40">
        <f t="shared" ca="1" si="5345"/>
        <v>0</v>
      </c>
      <c r="KF104" s="40">
        <f t="shared" ca="1" si="5345"/>
        <v>0</v>
      </c>
      <c r="KG104" s="40">
        <f t="shared" ca="1" si="5345"/>
        <v>0</v>
      </c>
      <c r="KH104" s="40">
        <f t="shared" ca="1" si="5345"/>
        <v>0</v>
      </c>
      <c r="KI104" s="40">
        <f t="shared" ca="1" si="5345"/>
        <v>0</v>
      </c>
      <c r="KJ104" s="40">
        <f t="shared" ca="1" si="5345"/>
        <v>0</v>
      </c>
      <c r="KK104" s="40">
        <f t="shared" ca="1" si="5345"/>
        <v>0</v>
      </c>
      <c r="KL104" s="40">
        <f t="shared" ca="1" si="5345"/>
        <v>0</v>
      </c>
      <c r="KM104" s="40">
        <f t="shared" ca="1" si="5345"/>
        <v>0</v>
      </c>
      <c r="KN104" s="40">
        <f t="shared" ca="1" si="5345"/>
        <v>0</v>
      </c>
      <c r="KO104" s="40">
        <f t="shared" ca="1" si="5345"/>
        <v>0</v>
      </c>
      <c r="KP104" s="40">
        <f t="shared" ca="1" si="5345"/>
        <v>0</v>
      </c>
      <c r="KQ104" s="40">
        <f t="shared" ca="1" si="5345"/>
        <v>0</v>
      </c>
      <c r="KR104" s="40">
        <f t="shared" ca="1" si="5345"/>
        <v>0</v>
      </c>
      <c r="KS104" s="40">
        <f t="shared" ca="1" si="5345"/>
        <v>0</v>
      </c>
      <c r="KT104" s="40">
        <f t="shared" ca="1" si="5345"/>
        <v>0</v>
      </c>
      <c r="KU104" s="40">
        <f t="shared" ca="1" si="5345"/>
        <v>0</v>
      </c>
      <c r="KV104" s="40">
        <f t="shared" ca="1" si="5345"/>
        <v>0</v>
      </c>
      <c r="KW104" s="40">
        <f t="shared" ca="1" si="5345"/>
        <v>0</v>
      </c>
      <c r="KX104" s="40">
        <f t="shared" ca="1" si="5345"/>
        <v>0</v>
      </c>
      <c r="KY104" s="40">
        <f t="shared" ca="1" si="5345"/>
        <v>0</v>
      </c>
      <c r="KZ104" s="40">
        <f t="shared" ca="1" si="5345"/>
        <v>0</v>
      </c>
      <c r="LA104" s="40">
        <f t="shared" ca="1" si="5342"/>
        <v>0</v>
      </c>
      <c r="LB104" s="40">
        <f t="shared" ca="1" si="5343"/>
        <v>0</v>
      </c>
      <c r="LC104" s="40">
        <f t="shared" ca="1" si="5343"/>
        <v>0</v>
      </c>
      <c r="LD104" s="40">
        <f t="shared" ca="1" si="5343"/>
        <v>0</v>
      </c>
      <c r="LE104" s="40">
        <f t="shared" ca="1" si="5343"/>
        <v>0</v>
      </c>
      <c r="LF104" s="40">
        <f t="shared" ca="1" si="5343"/>
        <v>0</v>
      </c>
      <c r="LG104" s="40">
        <f t="shared" ca="1" si="5343"/>
        <v>0</v>
      </c>
      <c r="LH104" s="40">
        <f t="shared" ca="1" si="5343"/>
        <v>0</v>
      </c>
      <c r="LI104" s="40">
        <f t="shared" ca="1" si="5343"/>
        <v>0</v>
      </c>
      <c r="LJ104" s="40">
        <f t="shared" ca="1" si="5343"/>
        <v>0</v>
      </c>
      <c r="LK104" s="40">
        <f t="shared" ca="1" si="5343"/>
        <v>0</v>
      </c>
      <c r="LL104" s="40">
        <f t="shared" ca="1" si="5343"/>
        <v>0</v>
      </c>
      <c r="LM104" s="40">
        <f t="shared" ca="1" si="5343"/>
        <v>0</v>
      </c>
      <c r="LN104" s="40">
        <f t="shared" ca="1" si="5343"/>
        <v>0</v>
      </c>
      <c r="LO104" s="40">
        <f t="shared" ca="1" si="5343"/>
        <v>0</v>
      </c>
      <c r="LP104" s="40">
        <f t="shared" ca="1" si="5343"/>
        <v>0</v>
      </c>
      <c r="LQ104" s="40">
        <f t="shared" ca="1" si="5343"/>
        <v>0</v>
      </c>
      <c r="LR104" s="40">
        <f t="shared" ca="1" si="5343"/>
        <v>0</v>
      </c>
      <c r="LS104" s="40">
        <f t="shared" ca="1" si="5343"/>
        <v>0</v>
      </c>
      <c r="LT104" s="40">
        <f t="shared" ca="1" si="5343"/>
        <v>0</v>
      </c>
      <c r="LU104" s="40">
        <f t="shared" ca="1" si="5343"/>
        <v>0</v>
      </c>
      <c r="LV104" s="40">
        <f t="shared" ca="1" si="5343"/>
        <v>0</v>
      </c>
      <c r="LW104" s="40">
        <f t="shared" ca="1" si="5343"/>
        <v>0</v>
      </c>
      <c r="LX104" s="40">
        <f t="shared" ca="1" si="5343"/>
        <v>0</v>
      </c>
      <c r="LY104" s="40">
        <f t="shared" ca="1" si="5343"/>
        <v>0</v>
      </c>
      <c r="LZ104" s="40">
        <f t="shared" ca="1" si="5343"/>
        <v>0</v>
      </c>
      <c r="MA104" s="40">
        <f t="shared" ca="1" si="5343"/>
        <v>0</v>
      </c>
      <c r="MB104" s="40">
        <f t="shared" ca="1" si="5343"/>
        <v>0</v>
      </c>
      <c r="MC104" s="40">
        <f t="shared" ca="1" si="5343"/>
        <v>0</v>
      </c>
      <c r="MD104" s="40">
        <f t="shared" ca="1" si="5343"/>
        <v>0</v>
      </c>
      <c r="ME104" s="40">
        <f t="shared" ca="1" si="5343"/>
        <v>0</v>
      </c>
      <c r="MF104" s="40">
        <f t="shared" ca="1" si="5343"/>
        <v>0</v>
      </c>
      <c r="MG104" s="40">
        <f t="shared" ca="1" si="5343"/>
        <v>0</v>
      </c>
      <c r="MH104" s="40">
        <f t="shared" ca="1" si="5343"/>
        <v>0</v>
      </c>
      <c r="MI104" s="40">
        <f t="shared" ca="1" si="5343"/>
        <v>0</v>
      </c>
      <c r="MJ104" s="40">
        <f t="shared" ca="1" si="5343"/>
        <v>0</v>
      </c>
      <c r="MK104" s="40">
        <f t="shared" ca="1" si="5343"/>
        <v>0</v>
      </c>
      <c r="ML104" s="40">
        <f t="shared" ca="1" si="5343"/>
        <v>0</v>
      </c>
      <c r="MM104" s="40">
        <f t="shared" ca="1" si="5343"/>
        <v>0</v>
      </c>
      <c r="MN104" s="40">
        <f t="shared" ca="1" si="5343"/>
        <v>0</v>
      </c>
      <c r="MO104" s="40">
        <f t="shared" ca="1" si="5343"/>
        <v>0</v>
      </c>
      <c r="MP104" s="40">
        <f t="shared" ca="1" si="5343"/>
        <v>0</v>
      </c>
      <c r="MQ104" s="40">
        <f t="shared" ca="1" si="5343"/>
        <v>0</v>
      </c>
      <c r="MR104" s="40">
        <f t="shared" ca="1" si="5343"/>
        <v>0</v>
      </c>
      <c r="MS104" s="40">
        <f t="shared" ca="1" si="5343"/>
        <v>0</v>
      </c>
      <c r="MT104" s="40">
        <f t="shared" ca="1" si="5343"/>
        <v>0</v>
      </c>
      <c r="MU104" s="40">
        <f t="shared" ca="1" si="5343"/>
        <v>0</v>
      </c>
      <c r="MV104" s="40">
        <f t="shared" ca="1" si="5343"/>
        <v>0</v>
      </c>
      <c r="MW104" s="40">
        <f t="shared" ca="1" si="5343"/>
        <v>0</v>
      </c>
      <c r="MX104" s="40">
        <f t="shared" ca="1" si="5343"/>
        <v>0</v>
      </c>
      <c r="MY104" s="40">
        <f t="shared" ca="1" si="5343"/>
        <v>0</v>
      </c>
      <c r="MZ104" s="40">
        <f t="shared" ca="1" si="5343"/>
        <v>0</v>
      </c>
      <c r="NA104" s="40">
        <f t="shared" ca="1" si="5343"/>
        <v>0</v>
      </c>
      <c r="NB104" s="40">
        <f t="shared" ca="1" si="5343"/>
        <v>0</v>
      </c>
      <c r="NC104" s="40">
        <f t="shared" ca="1" si="5343"/>
        <v>0</v>
      </c>
      <c r="ND104" s="40">
        <f t="shared" ca="1" si="5343"/>
        <v>0</v>
      </c>
      <c r="NE104" s="40"/>
      <c r="NF104" s="40"/>
      <c r="NG104" s="40"/>
      <c r="NH104" s="40"/>
      <c r="NI104" s="40"/>
      <c r="NJ104" s="40"/>
      <c r="NK104" s="40"/>
      <c r="NL104" s="40"/>
      <c r="NM104" s="40"/>
      <c r="NN104" s="40"/>
      <c r="NO104" s="40"/>
      <c r="NP104" s="40"/>
      <c r="NQ104" s="40"/>
      <c r="NR104" s="40"/>
    </row>
    <row r="105" spans="2:382" x14ac:dyDescent="0.15">
      <c r="B105" s="521"/>
      <c r="C105" s="120" t="str">
        <f>C5</f>
        <v>Chris</v>
      </c>
      <c r="D105" s="5">
        <f>D95</f>
        <v>0.4</v>
      </c>
      <c r="G105" s="118"/>
      <c r="I105" s="40">
        <f>$D105*I$102</f>
        <v>0</v>
      </c>
      <c r="J105" s="40">
        <f t="shared" ref="J105:BU106" si="5346">$D105*J$102</f>
        <v>0</v>
      </c>
      <c r="K105" s="40">
        <f t="shared" si="5346"/>
        <v>0</v>
      </c>
      <c r="L105" s="40">
        <f t="shared" si="5346"/>
        <v>0</v>
      </c>
      <c r="M105" s="40">
        <f t="shared" si="5346"/>
        <v>0</v>
      </c>
      <c r="N105" s="40">
        <f t="shared" si="5346"/>
        <v>0</v>
      </c>
      <c r="O105" s="40">
        <f t="shared" si="5346"/>
        <v>0</v>
      </c>
      <c r="P105" s="40">
        <f t="shared" si="5346"/>
        <v>0</v>
      </c>
      <c r="Q105" s="40">
        <f t="shared" si="5346"/>
        <v>0</v>
      </c>
      <c r="R105" s="40">
        <f t="shared" si="5346"/>
        <v>0</v>
      </c>
      <c r="S105" s="40">
        <f t="shared" si="5346"/>
        <v>0</v>
      </c>
      <c r="T105" s="40">
        <f t="shared" si="5346"/>
        <v>0</v>
      </c>
      <c r="U105" s="40">
        <f t="shared" si="5346"/>
        <v>0</v>
      </c>
      <c r="V105" s="40">
        <f t="shared" si="5346"/>
        <v>0</v>
      </c>
      <c r="W105" s="40">
        <f t="shared" si="5346"/>
        <v>0</v>
      </c>
      <c r="X105" s="40">
        <f t="shared" si="5346"/>
        <v>0</v>
      </c>
      <c r="Y105" s="40">
        <f t="shared" si="5346"/>
        <v>0</v>
      </c>
      <c r="Z105" s="40">
        <f t="shared" si="5346"/>
        <v>0</v>
      </c>
      <c r="AA105" s="40">
        <f t="shared" si="5346"/>
        <v>0</v>
      </c>
      <c r="AB105" s="40">
        <f t="shared" si="5346"/>
        <v>0</v>
      </c>
      <c r="AC105" s="40">
        <f t="shared" si="5346"/>
        <v>0</v>
      </c>
      <c r="AD105" s="40">
        <f t="shared" si="5346"/>
        <v>0</v>
      </c>
      <c r="AE105" s="40">
        <f t="shared" si="5346"/>
        <v>0</v>
      </c>
      <c r="AF105" s="40">
        <f t="shared" si="5346"/>
        <v>0</v>
      </c>
      <c r="AG105" s="40">
        <f t="shared" si="5346"/>
        <v>0</v>
      </c>
      <c r="AH105" s="40">
        <f t="shared" si="5346"/>
        <v>0</v>
      </c>
      <c r="AI105" s="40">
        <f t="shared" si="5346"/>
        <v>0</v>
      </c>
      <c r="AJ105" s="40">
        <f t="shared" si="5346"/>
        <v>0</v>
      </c>
      <c r="AK105" s="40">
        <f t="shared" si="5346"/>
        <v>0</v>
      </c>
      <c r="AL105" s="40">
        <f t="shared" si="5346"/>
        <v>0</v>
      </c>
      <c r="AM105" s="40">
        <f t="shared" si="5346"/>
        <v>0</v>
      </c>
      <c r="AN105" s="40">
        <f t="shared" si="5346"/>
        <v>0</v>
      </c>
      <c r="AO105" s="40">
        <f t="shared" si="5346"/>
        <v>0</v>
      </c>
      <c r="AP105" s="40">
        <f t="shared" si="5346"/>
        <v>0</v>
      </c>
      <c r="AQ105" s="40">
        <f t="shared" si="5346"/>
        <v>0</v>
      </c>
      <c r="AR105" s="40">
        <f t="shared" si="5346"/>
        <v>0</v>
      </c>
      <c r="AS105" s="40">
        <f t="shared" si="5346"/>
        <v>0</v>
      </c>
      <c r="AT105" s="40">
        <f t="shared" si="5346"/>
        <v>0</v>
      </c>
      <c r="AU105" s="40">
        <f t="shared" si="5346"/>
        <v>0</v>
      </c>
      <c r="AV105" s="40">
        <f t="shared" si="5346"/>
        <v>0</v>
      </c>
      <c r="AW105" s="40">
        <f t="shared" si="5346"/>
        <v>0</v>
      </c>
      <c r="AX105" s="40">
        <f t="shared" si="5346"/>
        <v>0</v>
      </c>
      <c r="AY105" s="40">
        <f t="shared" si="5346"/>
        <v>0</v>
      </c>
      <c r="AZ105" s="40">
        <f t="shared" si="5346"/>
        <v>0</v>
      </c>
      <c r="BA105" s="40">
        <f t="shared" si="5346"/>
        <v>0</v>
      </c>
      <c r="BB105" s="40">
        <f t="shared" si="5346"/>
        <v>0</v>
      </c>
      <c r="BC105" s="40">
        <f t="shared" si="5346"/>
        <v>0</v>
      </c>
      <c r="BD105" s="40">
        <f t="shared" si="5346"/>
        <v>0</v>
      </c>
      <c r="BE105" s="40">
        <f t="shared" si="5346"/>
        <v>0</v>
      </c>
      <c r="BF105" s="40">
        <f t="shared" si="5346"/>
        <v>0</v>
      </c>
      <c r="BG105" s="40">
        <f t="shared" si="5346"/>
        <v>0</v>
      </c>
      <c r="BH105" s="40">
        <f t="shared" si="5346"/>
        <v>0</v>
      </c>
      <c r="BI105" s="40">
        <f t="shared" si="5346"/>
        <v>0</v>
      </c>
      <c r="BJ105" s="40">
        <f t="shared" si="5346"/>
        <v>0</v>
      </c>
      <c r="BK105" s="40">
        <f t="shared" si="5346"/>
        <v>0</v>
      </c>
      <c r="BL105" s="40">
        <f t="shared" si="5346"/>
        <v>0</v>
      </c>
      <c r="BM105" s="40">
        <f t="shared" si="5346"/>
        <v>0</v>
      </c>
      <c r="BN105" s="40">
        <f t="shared" si="5346"/>
        <v>0</v>
      </c>
      <c r="BO105" s="40">
        <f t="shared" si="5346"/>
        <v>0</v>
      </c>
      <c r="BP105" s="40">
        <f t="shared" si="5346"/>
        <v>0</v>
      </c>
      <c r="BQ105" s="40">
        <f t="shared" si="5346"/>
        <v>0</v>
      </c>
      <c r="BR105" s="40">
        <f t="shared" si="5346"/>
        <v>0</v>
      </c>
      <c r="BS105" s="40">
        <f t="shared" si="5346"/>
        <v>0</v>
      </c>
      <c r="BT105" s="40">
        <f t="shared" si="5346"/>
        <v>0</v>
      </c>
      <c r="BU105" s="40">
        <f t="shared" si="5346"/>
        <v>0</v>
      </c>
      <c r="BV105" s="40">
        <f t="shared" si="5339"/>
        <v>0</v>
      </c>
      <c r="BW105" s="40">
        <f t="shared" si="5339"/>
        <v>0</v>
      </c>
      <c r="BX105" s="40">
        <f t="shared" si="5339"/>
        <v>0</v>
      </c>
      <c r="BY105" s="40">
        <f t="shared" si="5339"/>
        <v>0</v>
      </c>
      <c r="BZ105" s="40">
        <f t="shared" si="5339"/>
        <v>0</v>
      </c>
      <c r="CA105" s="40">
        <f t="shared" si="5339"/>
        <v>0</v>
      </c>
      <c r="CB105" s="40">
        <f t="shared" si="5339"/>
        <v>0</v>
      </c>
      <c r="CC105" s="40">
        <f t="shared" si="5339"/>
        <v>0</v>
      </c>
      <c r="CD105" s="40">
        <f t="shared" si="5339"/>
        <v>0</v>
      </c>
      <c r="CE105" s="40">
        <f t="shared" si="5339"/>
        <v>0</v>
      </c>
      <c r="CF105" s="40">
        <f t="shared" si="5339"/>
        <v>0</v>
      </c>
      <c r="CG105" s="40">
        <f t="shared" si="5339"/>
        <v>0</v>
      </c>
      <c r="CH105" s="40">
        <f t="shared" si="5339"/>
        <v>0</v>
      </c>
      <c r="CI105" s="40">
        <f t="shared" si="5339"/>
        <v>0</v>
      </c>
      <c r="CJ105" s="40">
        <f t="shared" si="5339"/>
        <v>0</v>
      </c>
      <c r="CK105" s="40">
        <f t="shared" si="5339"/>
        <v>0</v>
      </c>
      <c r="CL105" s="40">
        <f t="shared" si="5339"/>
        <v>0</v>
      </c>
      <c r="CM105" s="40">
        <f t="shared" si="5339"/>
        <v>0</v>
      </c>
      <c r="CN105" s="40">
        <f t="shared" si="5339"/>
        <v>0</v>
      </c>
      <c r="CO105" s="40">
        <f t="shared" si="5339"/>
        <v>0</v>
      </c>
      <c r="CP105" s="40">
        <f t="shared" si="5339"/>
        <v>0</v>
      </c>
      <c r="CQ105" s="40">
        <f t="shared" si="5339"/>
        <v>0</v>
      </c>
      <c r="CR105" s="40">
        <f t="shared" si="5339"/>
        <v>0</v>
      </c>
      <c r="CS105" s="40">
        <f t="shared" si="5339"/>
        <v>0</v>
      </c>
      <c r="CT105" s="40">
        <f t="shared" si="5339"/>
        <v>0</v>
      </c>
      <c r="CU105" s="40">
        <f t="shared" si="5339"/>
        <v>0</v>
      </c>
      <c r="CV105" s="40">
        <f t="shared" si="5339"/>
        <v>0</v>
      </c>
      <c r="CW105" s="40">
        <f t="shared" si="5339"/>
        <v>0</v>
      </c>
      <c r="CX105" s="40">
        <f t="shared" si="5339"/>
        <v>0</v>
      </c>
      <c r="CY105" s="40">
        <f t="shared" si="5339"/>
        <v>0</v>
      </c>
      <c r="CZ105" s="40">
        <f t="shared" si="5339"/>
        <v>0</v>
      </c>
      <c r="DA105" s="40">
        <f t="shared" si="5339"/>
        <v>0</v>
      </c>
      <c r="DB105" s="40">
        <f t="shared" si="5339"/>
        <v>0</v>
      </c>
      <c r="DC105" s="40">
        <f t="shared" si="5339"/>
        <v>0</v>
      </c>
      <c r="DD105" s="40">
        <f t="shared" si="5339"/>
        <v>0</v>
      </c>
      <c r="DE105" s="40">
        <f t="shared" si="5339"/>
        <v>0</v>
      </c>
      <c r="DF105" s="40">
        <f t="shared" si="5339"/>
        <v>0</v>
      </c>
      <c r="DG105" s="40">
        <f t="shared" si="5339"/>
        <v>0</v>
      </c>
      <c r="DH105" s="40">
        <f t="shared" si="5339"/>
        <v>0</v>
      </c>
      <c r="DI105" s="40">
        <f t="shared" si="5339"/>
        <v>0</v>
      </c>
      <c r="DJ105" s="40">
        <f t="shared" si="5339"/>
        <v>0</v>
      </c>
      <c r="DK105" s="40">
        <f t="shared" si="5339"/>
        <v>0</v>
      </c>
      <c r="DL105" s="40">
        <f t="shared" si="5339"/>
        <v>0</v>
      </c>
      <c r="DM105" s="40">
        <f t="shared" si="5339"/>
        <v>0</v>
      </c>
      <c r="DN105" s="40">
        <f t="shared" si="5339"/>
        <v>0</v>
      </c>
      <c r="DO105" s="40">
        <f t="shared" si="5339"/>
        <v>0</v>
      </c>
      <c r="DP105" s="40">
        <f t="shared" si="5339"/>
        <v>0</v>
      </c>
      <c r="DQ105" s="40">
        <f t="shared" si="5339"/>
        <v>0</v>
      </c>
      <c r="DR105" s="40">
        <f t="shared" si="5339"/>
        <v>0</v>
      </c>
      <c r="DS105" s="40">
        <f t="shared" si="5339"/>
        <v>0</v>
      </c>
      <c r="DT105" s="40">
        <f t="shared" si="5339"/>
        <v>0</v>
      </c>
      <c r="DU105" s="40">
        <f t="shared" si="5339"/>
        <v>0</v>
      </c>
      <c r="DV105" s="40">
        <f t="shared" si="5339"/>
        <v>0</v>
      </c>
      <c r="DW105" s="40">
        <f t="shared" si="5339"/>
        <v>0</v>
      </c>
      <c r="DX105" s="40">
        <f t="shared" si="5339"/>
        <v>0</v>
      </c>
      <c r="DY105" s="40">
        <f t="shared" si="5339"/>
        <v>0</v>
      </c>
      <c r="DZ105" s="40">
        <f t="shared" si="5339"/>
        <v>0</v>
      </c>
      <c r="EA105" s="40">
        <f t="shared" si="5339"/>
        <v>0</v>
      </c>
      <c r="EB105" s="40">
        <f t="shared" si="5339"/>
        <v>0</v>
      </c>
      <c r="EC105" s="40">
        <f t="shared" si="5339"/>
        <v>0</v>
      </c>
      <c r="ED105" s="40">
        <f t="shared" si="5339"/>
        <v>0</v>
      </c>
      <c r="EE105" s="40">
        <f t="shared" si="5339"/>
        <v>0</v>
      </c>
      <c r="EF105" s="40">
        <f t="shared" si="5339"/>
        <v>0</v>
      </c>
      <c r="EG105" s="40">
        <f t="shared" si="5339"/>
        <v>0</v>
      </c>
      <c r="EH105" s="40">
        <f t="shared" si="5340"/>
        <v>0</v>
      </c>
      <c r="EI105" s="40">
        <f t="shared" si="5340"/>
        <v>0</v>
      </c>
      <c r="EJ105" s="40">
        <f t="shared" si="5340"/>
        <v>0</v>
      </c>
      <c r="EK105" s="40">
        <f t="shared" si="5340"/>
        <v>0</v>
      </c>
      <c r="EL105" s="40">
        <f t="shared" si="5340"/>
        <v>0</v>
      </c>
      <c r="EM105" s="40">
        <f t="shared" si="5340"/>
        <v>0</v>
      </c>
      <c r="EN105" s="40">
        <f t="shared" si="5340"/>
        <v>0</v>
      </c>
      <c r="EO105" s="40">
        <f t="shared" si="5340"/>
        <v>0</v>
      </c>
      <c r="EP105" s="40">
        <f t="shared" si="5340"/>
        <v>0</v>
      </c>
      <c r="EQ105" s="40">
        <f t="shared" si="5340"/>
        <v>0</v>
      </c>
      <c r="ER105" s="40">
        <f t="shared" si="5340"/>
        <v>0</v>
      </c>
      <c r="ES105" s="40">
        <f t="shared" si="5340"/>
        <v>0</v>
      </c>
      <c r="ET105" s="40">
        <f t="shared" si="5340"/>
        <v>0</v>
      </c>
      <c r="EU105" s="40">
        <f t="shared" si="5340"/>
        <v>0</v>
      </c>
      <c r="EV105" s="40">
        <f t="shared" si="5340"/>
        <v>0</v>
      </c>
      <c r="EW105" s="40">
        <f t="shared" si="5340"/>
        <v>0</v>
      </c>
      <c r="EX105" s="40">
        <f t="shared" si="5340"/>
        <v>0</v>
      </c>
      <c r="EY105" s="40">
        <f t="shared" si="5340"/>
        <v>0</v>
      </c>
      <c r="EZ105" s="40">
        <f t="shared" si="5340"/>
        <v>0</v>
      </c>
      <c r="FA105" s="40">
        <f t="shared" si="5340"/>
        <v>0</v>
      </c>
      <c r="FB105" s="40">
        <f t="shared" si="5340"/>
        <v>0</v>
      </c>
      <c r="FC105" s="40">
        <f t="shared" si="5340"/>
        <v>0</v>
      </c>
      <c r="FD105" s="40">
        <f t="shared" si="5340"/>
        <v>0</v>
      </c>
      <c r="FE105" s="40">
        <f t="shared" si="5340"/>
        <v>0</v>
      </c>
      <c r="FF105" s="40">
        <f t="shared" si="5340"/>
        <v>0</v>
      </c>
      <c r="FG105" s="40">
        <f t="shared" si="5340"/>
        <v>0</v>
      </c>
      <c r="FH105" s="40">
        <f t="shared" si="5340"/>
        <v>0</v>
      </c>
      <c r="FI105" s="40">
        <f t="shared" si="5340"/>
        <v>0</v>
      </c>
      <c r="FJ105" s="40">
        <f t="shared" si="5340"/>
        <v>0</v>
      </c>
      <c r="FK105" s="40">
        <f t="shared" si="5340"/>
        <v>0</v>
      </c>
      <c r="FL105" s="40">
        <f t="shared" si="5340"/>
        <v>0</v>
      </c>
      <c r="FM105" s="40">
        <f t="shared" si="5340"/>
        <v>0</v>
      </c>
      <c r="FN105" s="40">
        <f t="shared" si="5340"/>
        <v>0</v>
      </c>
      <c r="FO105" s="40">
        <f t="shared" si="5340"/>
        <v>0</v>
      </c>
      <c r="FP105" s="40">
        <f t="shared" si="5340"/>
        <v>0</v>
      </c>
      <c r="FQ105" s="40">
        <f t="shared" si="5340"/>
        <v>0</v>
      </c>
      <c r="FR105" s="40">
        <f t="shared" si="5340"/>
        <v>0</v>
      </c>
      <c r="FS105" s="40">
        <f t="shared" si="5340"/>
        <v>0</v>
      </c>
      <c r="FT105" s="40">
        <f t="shared" si="5340"/>
        <v>0</v>
      </c>
      <c r="FU105" s="40">
        <f t="shared" si="5340"/>
        <v>0</v>
      </c>
      <c r="FV105" s="40">
        <f t="shared" si="5340"/>
        <v>0</v>
      </c>
      <c r="FW105" s="40">
        <f t="shared" si="5340"/>
        <v>0</v>
      </c>
      <c r="FX105" s="40">
        <f t="shared" si="5340"/>
        <v>0</v>
      </c>
      <c r="FY105" s="40">
        <f t="shared" si="5340"/>
        <v>0</v>
      </c>
      <c r="FZ105" s="40">
        <f t="shared" si="5340"/>
        <v>0</v>
      </c>
      <c r="GA105" s="40">
        <f t="shared" si="5340"/>
        <v>0</v>
      </c>
      <c r="GB105" s="40">
        <f t="shared" si="5340"/>
        <v>0</v>
      </c>
      <c r="GC105" s="40">
        <f t="shared" si="5340"/>
        <v>0</v>
      </c>
      <c r="GD105" s="40">
        <f t="shared" si="5340"/>
        <v>0</v>
      </c>
      <c r="GE105" s="40">
        <f t="shared" si="5340"/>
        <v>0</v>
      </c>
      <c r="GF105" s="40">
        <f t="shared" ca="1" si="5340"/>
        <v>0</v>
      </c>
      <c r="GG105" s="40">
        <f t="shared" ca="1" si="5340"/>
        <v>0</v>
      </c>
      <c r="GH105" s="40">
        <f t="shared" ca="1" si="5340"/>
        <v>0</v>
      </c>
      <c r="GI105" s="40">
        <f t="shared" ca="1" si="5340"/>
        <v>0</v>
      </c>
      <c r="GJ105" s="40">
        <f t="shared" ca="1" si="5340"/>
        <v>0</v>
      </c>
      <c r="GK105" s="40">
        <f t="shared" ca="1" si="5340"/>
        <v>0</v>
      </c>
      <c r="GL105" s="40">
        <f t="shared" ca="1" si="5340"/>
        <v>0</v>
      </c>
      <c r="GM105" s="40">
        <f t="shared" ca="1" si="5340"/>
        <v>0</v>
      </c>
      <c r="GN105" s="40">
        <f t="shared" ca="1" si="5340"/>
        <v>0</v>
      </c>
      <c r="GO105" s="40">
        <f t="shared" ca="1" si="5340"/>
        <v>0</v>
      </c>
      <c r="GP105" s="40">
        <f t="shared" ca="1" si="5340"/>
        <v>0</v>
      </c>
      <c r="GQ105" s="40">
        <f t="shared" ca="1" si="5340"/>
        <v>0</v>
      </c>
      <c r="GR105" s="40">
        <f t="shared" ca="1" si="5340"/>
        <v>0</v>
      </c>
      <c r="GS105" s="40">
        <f t="shared" ca="1" si="5340"/>
        <v>0</v>
      </c>
      <c r="GT105" s="40">
        <f t="shared" ca="1" si="5341"/>
        <v>0</v>
      </c>
      <c r="GU105" s="40">
        <f t="shared" ca="1" si="5341"/>
        <v>0</v>
      </c>
      <c r="GV105" s="40">
        <f t="shared" ca="1" si="5341"/>
        <v>0</v>
      </c>
      <c r="GW105" s="40">
        <f t="shared" ca="1" si="5341"/>
        <v>0</v>
      </c>
      <c r="GX105" s="40">
        <f t="shared" ca="1" si="5341"/>
        <v>0</v>
      </c>
      <c r="GY105" s="40">
        <f t="shared" ca="1" si="5341"/>
        <v>0</v>
      </c>
      <c r="GZ105" s="40">
        <f t="shared" ca="1" si="5341"/>
        <v>0</v>
      </c>
      <c r="HA105" s="40">
        <f t="shared" ca="1" si="5341"/>
        <v>0</v>
      </c>
      <c r="HB105" s="40">
        <f t="shared" ca="1" si="5341"/>
        <v>0</v>
      </c>
      <c r="HC105" s="40">
        <f t="shared" ca="1" si="5341"/>
        <v>0</v>
      </c>
      <c r="HD105" s="40">
        <f t="shared" ca="1" si="5341"/>
        <v>0</v>
      </c>
      <c r="HE105" s="40">
        <f t="shared" ca="1" si="5341"/>
        <v>0</v>
      </c>
      <c r="HF105" s="40">
        <f t="shared" ca="1" si="5341"/>
        <v>0</v>
      </c>
      <c r="HG105" s="40">
        <f t="shared" ca="1" si="5341"/>
        <v>0</v>
      </c>
      <c r="HH105" s="40">
        <f t="shared" ca="1" si="5341"/>
        <v>0</v>
      </c>
      <c r="HI105" s="40">
        <f t="shared" ca="1" si="5341"/>
        <v>0</v>
      </c>
      <c r="HJ105" s="40">
        <f t="shared" ca="1" si="5341"/>
        <v>0</v>
      </c>
      <c r="HK105" s="40">
        <f t="shared" ca="1" si="5341"/>
        <v>0</v>
      </c>
      <c r="HL105" s="40">
        <f t="shared" ca="1" si="5341"/>
        <v>0</v>
      </c>
      <c r="HM105" s="40">
        <f t="shared" ca="1" si="5341"/>
        <v>0</v>
      </c>
      <c r="HN105" s="40">
        <f t="shared" ca="1" si="5341"/>
        <v>0</v>
      </c>
      <c r="HO105" s="40">
        <f t="shared" ca="1" si="5341"/>
        <v>0</v>
      </c>
      <c r="HP105" s="40">
        <f t="shared" ca="1" si="5341"/>
        <v>0</v>
      </c>
      <c r="HQ105" s="40">
        <f t="shared" ca="1" si="5341"/>
        <v>0</v>
      </c>
      <c r="HR105" s="40">
        <f t="shared" ca="1" si="5341"/>
        <v>0</v>
      </c>
      <c r="HS105" s="40">
        <f t="shared" ca="1" si="5341"/>
        <v>0</v>
      </c>
      <c r="HT105" s="40">
        <f t="shared" ca="1" si="5341"/>
        <v>0</v>
      </c>
      <c r="HU105" s="40">
        <f t="shared" ca="1" si="5341"/>
        <v>0</v>
      </c>
      <c r="HV105" s="40">
        <f t="shared" ca="1" si="5341"/>
        <v>0</v>
      </c>
      <c r="HW105" s="40">
        <f t="shared" ca="1" si="5341"/>
        <v>0</v>
      </c>
      <c r="HX105" s="40">
        <f t="shared" ca="1" si="5341"/>
        <v>0</v>
      </c>
      <c r="HY105" s="40">
        <f t="shared" ca="1" si="5341"/>
        <v>0</v>
      </c>
      <c r="HZ105" s="40">
        <f t="shared" ca="1" si="5341"/>
        <v>0</v>
      </c>
      <c r="IA105" s="40">
        <f t="shared" ca="1" si="5341"/>
        <v>0</v>
      </c>
      <c r="IB105" s="40">
        <f t="shared" ca="1" si="5341"/>
        <v>0</v>
      </c>
      <c r="IC105" s="40">
        <f t="shared" ca="1" si="5341"/>
        <v>0</v>
      </c>
      <c r="ID105" s="40">
        <f t="shared" ca="1" si="5341"/>
        <v>0</v>
      </c>
      <c r="IE105" s="40">
        <f t="shared" ca="1" si="5341"/>
        <v>0</v>
      </c>
      <c r="IF105" s="40">
        <f t="shared" ca="1" si="5341"/>
        <v>0</v>
      </c>
      <c r="IG105" s="40">
        <f t="shared" ca="1" si="5341"/>
        <v>0</v>
      </c>
      <c r="IH105" s="40">
        <f t="shared" ca="1" si="5341"/>
        <v>0</v>
      </c>
      <c r="II105" s="40">
        <f t="shared" ca="1" si="5341"/>
        <v>0</v>
      </c>
      <c r="IJ105" s="40">
        <f t="shared" ca="1" si="5341"/>
        <v>0</v>
      </c>
      <c r="IK105" s="40">
        <f t="shared" ca="1" si="5341"/>
        <v>0</v>
      </c>
      <c r="IL105" s="40">
        <f t="shared" ca="1" si="5341"/>
        <v>0</v>
      </c>
      <c r="IM105" s="40">
        <f t="shared" ca="1" si="5341"/>
        <v>0</v>
      </c>
      <c r="IN105" s="40">
        <f t="shared" ca="1" si="5341"/>
        <v>0</v>
      </c>
      <c r="IO105" s="40">
        <f t="shared" ca="1" si="5345"/>
        <v>0</v>
      </c>
      <c r="IP105" s="40">
        <f t="shared" ca="1" si="5345"/>
        <v>0</v>
      </c>
      <c r="IQ105" s="40">
        <f t="shared" ca="1" si="5345"/>
        <v>0</v>
      </c>
      <c r="IR105" s="40">
        <f t="shared" ca="1" si="5345"/>
        <v>0</v>
      </c>
      <c r="IS105" s="40">
        <f t="shared" ca="1" si="5345"/>
        <v>0</v>
      </c>
      <c r="IT105" s="40">
        <f t="shared" ca="1" si="5345"/>
        <v>0</v>
      </c>
      <c r="IU105" s="40">
        <f t="shared" ca="1" si="5345"/>
        <v>0</v>
      </c>
      <c r="IV105" s="40">
        <f t="shared" ca="1" si="5345"/>
        <v>0</v>
      </c>
      <c r="IW105" s="40">
        <f t="shared" ca="1" si="5345"/>
        <v>0</v>
      </c>
      <c r="IX105" s="40">
        <f t="shared" ca="1" si="5345"/>
        <v>0</v>
      </c>
      <c r="IY105" s="40">
        <f t="shared" ca="1" si="5345"/>
        <v>0</v>
      </c>
      <c r="IZ105" s="40">
        <f t="shared" ca="1" si="5345"/>
        <v>0</v>
      </c>
      <c r="JA105" s="40">
        <f t="shared" ca="1" si="5345"/>
        <v>0</v>
      </c>
      <c r="JB105" s="40">
        <f t="shared" ca="1" si="5345"/>
        <v>0</v>
      </c>
      <c r="JC105" s="40">
        <f t="shared" ca="1" si="5345"/>
        <v>0</v>
      </c>
      <c r="JD105" s="40">
        <f t="shared" ca="1" si="5345"/>
        <v>0</v>
      </c>
      <c r="JE105" s="40">
        <f t="shared" ca="1" si="5345"/>
        <v>0</v>
      </c>
      <c r="JF105" s="40">
        <f t="shared" ca="1" si="5345"/>
        <v>0</v>
      </c>
      <c r="JG105" s="40">
        <f t="shared" ca="1" si="5345"/>
        <v>0</v>
      </c>
      <c r="JH105" s="40">
        <f t="shared" ca="1" si="5345"/>
        <v>0</v>
      </c>
      <c r="JI105" s="40">
        <f t="shared" ca="1" si="5345"/>
        <v>0</v>
      </c>
      <c r="JJ105" s="40">
        <f t="shared" ca="1" si="5345"/>
        <v>0</v>
      </c>
      <c r="JK105" s="40">
        <f t="shared" ca="1" si="5345"/>
        <v>0</v>
      </c>
      <c r="JL105" s="40">
        <f t="shared" ca="1" si="5345"/>
        <v>0</v>
      </c>
      <c r="JM105" s="40">
        <f t="shared" ca="1" si="5345"/>
        <v>0</v>
      </c>
      <c r="JN105" s="40">
        <f t="shared" ca="1" si="5345"/>
        <v>0</v>
      </c>
      <c r="JO105" s="40">
        <f t="shared" ca="1" si="5345"/>
        <v>0</v>
      </c>
      <c r="JP105" s="40">
        <f t="shared" ca="1" si="5345"/>
        <v>0</v>
      </c>
      <c r="JQ105" s="40">
        <f t="shared" ca="1" si="5345"/>
        <v>0</v>
      </c>
      <c r="JR105" s="40">
        <f t="shared" ca="1" si="5345"/>
        <v>0</v>
      </c>
      <c r="JS105" s="40">
        <f t="shared" ca="1" si="5345"/>
        <v>0</v>
      </c>
      <c r="JT105" s="40">
        <f t="shared" ca="1" si="5345"/>
        <v>0</v>
      </c>
      <c r="JU105" s="40">
        <f t="shared" ca="1" si="5345"/>
        <v>0</v>
      </c>
      <c r="JV105" s="40">
        <f t="shared" ca="1" si="5345"/>
        <v>0</v>
      </c>
      <c r="JW105" s="40">
        <f t="shared" ca="1" si="5345"/>
        <v>0</v>
      </c>
      <c r="JX105" s="40">
        <f t="shared" ca="1" si="5345"/>
        <v>0</v>
      </c>
      <c r="JY105" s="40">
        <f t="shared" ca="1" si="5345"/>
        <v>0</v>
      </c>
      <c r="JZ105" s="40">
        <f t="shared" ca="1" si="5345"/>
        <v>0</v>
      </c>
      <c r="KA105" s="40">
        <f t="shared" ca="1" si="5345"/>
        <v>0</v>
      </c>
      <c r="KB105" s="40">
        <f t="shared" ca="1" si="5345"/>
        <v>0</v>
      </c>
      <c r="KC105" s="40">
        <f t="shared" ca="1" si="5345"/>
        <v>0</v>
      </c>
      <c r="KD105" s="40">
        <f t="shared" ca="1" si="5345"/>
        <v>0</v>
      </c>
      <c r="KE105" s="40">
        <f t="shared" ca="1" si="5345"/>
        <v>0</v>
      </c>
      <c r="KF105" s="40">
        <f t="shared" ca="1" si="5345"/>
        <v>0</v>
      </c>
      <c r="KG105" s="40">
        <f t="shared" ca="1" si="5345"/>
        <v>0</v>
      </c>
      <c r="KH105" s="40">
        <f t="shared" ca="1" si="5345"/>
        <v>0</v>
      </c>
      <c r="KI105" s="40">
        <f t="shared" ca="1" si="5345"/>
        <v>0</v>
      </c>
      <c r="KJ105" s="40">
        <f t="shared" ca="1" si="5345"/>
        <v>0</v>
      </c>
      <c r="KK105" s="40">
        <f t="shared" ca="1" si="5345"/>
        <v>0</v>
      </c>
      <c r="KL105" s="40">
        <f t="shared" ca="1" si="5345"/>
        <v>0</v>
      </c>
      <c r="KM105" s="40">
        <f t="shared" ca="1" si="5345"/>
        <v>0</v>
      </c>
      <c r="KN105" s="40">
        <f t="shared" ca="1" si="5345"/>
        <v>0</v>
      </c>
      <c r="KO105" s="40">
        <f t="shared" ca="1" si="5345"/>
        <v>0</v>
      </c>
      <c r="KP105" s="40">
        <f t="shared" ca="1" si="5345"/>
        <v>0</v>
      </c>
      <c r="KQ105" s="40">
        <f t="shared" ca="1" si="5345"/>
        <v>0</v>
      </c>
      <c r="KR105" s="40">
        <f t="shared" ca="1" si="5345"/>
        <v>0</v>
      </c>
      <c r="KS105" s="40">
        <f t="shared" ca="1" si="5345"/>
        <v>0</v>
      </c>
      <c r="KT105" s="40">
        <f t="shared" ca="1" si="5345"/>
        <v>0</v>
      </c>
      <c r="KU105" s="40">
        <f t="shared" ca="1" si="5345"/>
        <v>0</v>
      </c>
      <c r="KV105" s="40">
        <f t="shared" ca="1" si="5345"/>
        <v>0</v>
      </c>
      <c r="KW105" s="40">
        <f t="shared" ca="1" si="5345"/>
        <v>0</v>
      </c>
      <c r="KX105" s="40">
        <f t="shared" ca="1" si="5345"/>
        <v>0</v>
      </c>
      <c r="KY105" s="40">
        <f t="shared" ca="1" si="5345"/>
        <v>0</v>
      </c>
      <c r="KZ105" s="40">
        <f t="shared" ca="1" si="5345"/>
        <v>0</v>
      </c>
      <c r="LA105" s="40">
        <f t="shared" ca="1" si="5342"/>
        <v>0</v>
      </c>
      <c r="LB105" s="40">
        <f t="shared" ca="1" si="5343"/>
        <v>0</v>
      </c>
      <c r="LC105" s="40">
        <f t="shared" ca="1" si="5343"/>
        <v>0</v>
      </c>
      <c r="LD105" s="40">
        <f t="shared" ca="1" si="5343"/>
        <v>0</v>
      </c>
      <c r="LE105" s="40">
        <f t="shared" ca="1" si="5343"/>
        <v>0</v>
      </c>
      <c r="LF105" s="40">
        <f t="shared" ca="1" si="5343"/>
        <v>0</v>
      </c>
      <c r="LG105" s="40">
        <f t="shared" ca="1" si="5343"/>
        <v>0</v>
      </c>
      <c r="LH105" s="40">
        <f t="shared" ca="1" si="5343"/>
        <v>0</v>
      </c>
      <c r="LI105" s="40">
        <f t="shared" ca="1" si="5343"/>
        <v>0</v>
      </c>
      <c r="LJ105" s="40">
        <f t="shared" ca="1" si="5343"/>
        <v>0</v>
      </c>
      <c r="LK105" s="40">
        <f t="shared" ca="1" si="5343"/>
        <v>0</v>
      </c>
      <c r="LL105" s="40">
        <f t="shared" ca="1" si="5343"/>
        <v>0</v>
      </c>
      <c r="LM105" s="40">
        <f t="shared" ca="1" si="5343"/>
        <v>0</v>
      </c>
      <c r="LN105" s="40">
        <f t="shared" ca="1" si="5343"/>
        <v>0</v>
      </c>
      <c r="LO105" s="40">
        <f t="shared" ca="1" si="5343"/>
        <v>0</v>
      </c>
      <c r="LP105" s="40">
        <f t="shared" ca="1" si="5343"/>
        <v>0</v>
      </c>
      <c r="LQ105" s="40">
        <f t="shared" ca="1" si="5343"/>
        <v>0</v>
      </c>
      <c r="LR105" s="40">
        <f t="shared" ca="1" si="5343"/>
        <v>0</v>
      </c>
      <c r="LS105" s="40">
        <f t="shared" ca="1" si="5343"/>
        <v>0</v>
      </c>
      <c r="LT105" s="40">
        <f t="shared" ca="1" si="5343"/>
        <v>0</v>
      </c>
      <c r="LU105" s="40">
        <f t="shared" ca="1" si="5343"/>
        <v>0</v>
      </c>
      <c r="LV105" s="40">
        <f t="shared" ca="1" si="5343"/>
        <v>0</v>
      </c>
      <c r="LW105" s="40">
        <f t="shared" ca="1" si="5343"/>
        <v>0</v>
      </c>
      <c r="LX105" s="40">
        <f t="shared" ca="1" si="5343"/>
        <v>0</v>
      </c>
      <c r="LY105" s="40">
        <f t="shared" ca="1" si="5343"/>
        <v>0</v>
      </c>
      <c r="LZ105" s="40">
        <f t="shared" ca="1" si="5343"/>
        <v>0</v>
      </c>
      <c r="MA105" s="40">
        <f t="shared" ca="1" si="5343"/>
        <v>0</v>
      </c>
      <c r="MB105" s="40">
        <f t="shared" ca="1" si="5343"/>
        <v>0</v>
      </c>
      <c r="MC105" s="40">
        <f t="shared" ca="1" si="5343"/>
        <v>0</v>
      </c>
      <c r="MD105" s="40">
        <f t="shared" ca="1" si="5343"/>
        <v>0</v>
      </c>
      <c r="ME105" s="40">
        <f t="shared" ca="1" si="5343"/>
        <v>0</v>
      </c>
      <c r="MF105" s="40">
        <f t="shared" ca="1" si="5343"/>
        <v>0</v>
      </c>
      <c r="MG105" s="40">
        <f t="shared" ca="1" si="5343"/>
        <v>0</v>
      </c>
      <c r="MH105" s="40">
        <f t="shared" ca="1" si="5343"/>
        <v>0</v>
      </c>
      <c r="MI105" s="40">
        <f t="shared" ca="1" si="5343"/>
        <v>0</v>
      </c>
      <c r="MJ105" s="40">
        <f t="shared" ca="1" si="5343"/>
        <v>0</v>
      </c>
      <c r="MK105" s="40">
        <f t="shared" ca="1" si="5343"/>
        <v>0</v>
      </c>
      <c r="ML105" s="40">
        <f t="shared" ca="1" si="5343"/>
        <v>0</v>
      </c>
      <c r="MM105" s="40">
        <f t="shared" ca="1" si="5343"/>
        <v>0</v>
      </c>
      <c r="MN105" s="40">
        <f t="shared" ca="1" si="5343"/>
        <v>0</v>
      </c>
      <c r="MO105" s="40">
        <f t="shared" ca="1" si="5343"/>
        <v>0</v>
      </c>
      <c r="MP105" s="40">
        <f t="shared" ca="1" si="5343"/>
        <v>0</v>
      </c>
      <c r="MQ105" s="40">
        <f t="shared" ca="1" si="5343"/>
        <v>0</v>
      </c>
      <c r="MR105" s="40">
        <f t="shared" ca="1" si="5343"/>
        <v>0</v>
      </c>
      <c r="MS105" s="40">
        <f t="shared" ca="1" si="5343"/>
        <v>0</v>
      </c>
      <c r="MT105" s="40">
        <f t="shared" ca="1" si="5343"/>
        <v>0</v>
      </c>
      <c r="MU105" s="40">
        <f t="shared" ca="1" si="5343"/>
        <v>0</v>
      </c>
      <c r="MV105" s="40">
        <f t="shared" ca="1" si="5343"/>
        <v>0</v>
      </c>
      <c r="MW105" s="40">
        <f t="shared" ca="1" si="5343"/>
        <v>0</v>
      </c>
      <c r="MX105" s="40">
        <f t="shared" ca="1" si="5343"/>
        <v>0</v>
      </c>
      <c r="MY105" s="40">
        <f t="shared" ca="1" si="5343"/>
        <v>0</v>
      </c>
      <c r="MZ105" s="40">
        <f t="shared" ca="1" si="5343"/>
        <v>0</v>
      </c>
      <c r="NA105" s="40">
        <f t="shared" ca="1" si="5343"/>
        <v>0</v>
      </c>
      <c r="NB105" s="40">
        <f t="shared" ca="1" si="5343"/>
        <v>0</v>
      </c>
      <c r="NC105" s="40">
        <f t="shared" ca="1" si="5343"/>
        <v>0</v>
      </c>
      <c r="ND105" s="40">
        <f t="shared" ca="1" si="5343"/>
        <v>0</v>
      </c>
      <c r="NE105" s="40"/>
      <c r="NF105" s="40"/>
      <c r="NG105" s="40"/>
      <c r="NH105" s="40"/>
      <c r="NI105" s="40"/>
      <c r="NJ105" s="40"/>
      <c r="NK105" s="40"/>
      <c r="NL105" s="40"/>
      <c r="NM105" s="40"/>
      <c r="NN105" s="40"/>
      <c r="NO105" s="40"/>
      <c r="NP105" s="40"/>
      <c r="NQ105" s="40"/>
      <c r="NR105" s="40"/>
    </row>
    <row r="106" spans="2:382" x14ac:dyDescent="0.15">
      <c r="B106" s="521"/>
      <c r="C106" s="120" t="str">
        <f>C6</f>
        <v>-</v>
      </c>
      <c r="D106" s="5">
        <f>D96</f>
        <v>0</v>
      </c>
      <c r="G106" s="118"/>
      <c r="I106" s="40">
        <f>$D106*I$102</f>
        <v>0</v>
      </c>
      <c r="J106" s="40">
        <f t="shared" si="5346"/>
        <v>0</v>
      </c>
      <c r="K106" s="40">
        <f t="shared" ref="K106:BV106" si="5347">$D106*K$102</f>
        <v>0</v>
      </c>
      <c r="L106" s="40">
        <f t="shared" si="5347"/>
        <v>0</v>
      </c>
      <c r="M106" s="40">
        <f t="shared" si="5347"/>
        <v>0</v>
      </c>
      <c r="N106" s="40">
        <f t="shared" si="5347"/>
        <v>0</v>
      </c>
      <c r="O106" s="40">
        <f t="shared" si="5347"/>
        <v>0</v>
      </c>
      <c r="P106" s="40">
        <f t="shared" si="5347"/>
        <v>0</v>
      </c>
      <c r="Q106" s="40">
        <f t="shared" si="5347"/>
        <v>0</v>
      </c>
      <c r="R106" s="40">
        <f t="shared" si="5347"/>
        <v>0</v>
      </c>
      <c r="S106" s="40">
        <f t="shared" si="5347"/>
        <v>0</v>
      </c>
      <c r="T106" s="40">
        <f t="shared" si="5347"/>
        <v>0</v>
      </c>
      <c r="U106" s="40">
        <f t="shared" si="5347"/>
        <v>0</v>
      </c>
      <c r="V106" s="40">
        <f t="shared" si="5347"/>
        <v>0</v>
      </c>
      <c r="W106" s="40">
        <f t="shared" si="5347"/>
        <v>0</v>
      </c>
      <c r="X106" s="40">
        <f t="shared" si="5347"/>
        <v>0</v>
      </c>
      <c r="Y106" s="40">
        <f t="shared" si="5347"/>
        <v>0</v>
      </c>
      <c r="Z106" s="40">
        <f t="shared" si="5347"/>
        <v>0</v>
      </c>
      <c r="AA106" s="40">
        <f t="shared" si="5347"/>
        <v>0</v>
      </c>
      <c r="AB106" s="40">
        <f t="shared" si="5347"/>
        <v>0</v>
      </c>
      <c r="AC106" s="40">
        <f t="shared" si="5347"/>
        <v>0</v>
      </c>
      <c r="AD106" s="40">
        <f t="shared" si="5347"/>
        <v>0</v>
      </c>
      <c r="AE106" s="40">
        <f t="shared" si="5347"/>
        <v>0</v>
      </c>
      <c r="AF106" s="40">
        <f t="shared" si="5347"/>
        <v>0</v>
      </c>
      <c r="AG106" s="40">
        <f t="shared" si="5347"/>
        <v>0</v>
      </c>
      <c r="AH106" s="40">
        <f t="shared" si="5347"/>
        <v>0</v>
      </c>
      <c r="AI106" s="40">
        <f t="shared" si="5347"/>
        <v>0</v>
      </c>
      <c r="AJ106" s="40">
        <f t="shared" si="5347"/>
        <v>0</v>
      </c>
      <c r="AK106" s="40">
        <f t="shared" si="5347"/>
        <v>0</v>
      </c>
      <c r="AL106" s="40">
        <f t="shared" si="5347"/>
        <v>0</v>
      </c>
      <c r="AM106" s="40">
        <f t="shared" si="5347"/>
        <v>0</v>
      </c>
      <c r="AN106" s="40">
        <f t="shared" si="5347"/>
        <v>0</v>
      </c>
      <c r="AO106" s="40">
        <f t="shared" si="5347"/>
        <v>0</v>
      </c>
      <c r="AP106" s="40">
        <f t="shared" si="5347"/>
        <v>0</v>
      </c>
      <c r="AQ106" s="40">
        <f t="shared" si="5347"/>
        <v>0</v>
      </c>
      <c r="AR106" s="40">
        <f t="shared" si="5347"/>
        <v>0</v>
      </c>
      <c r="AS106" s="40">
        <f t="shared" si="5347"/>
        <v>0</v>
      </c>
      <c r="AT106" s="40">
        <f t="shared" si="5347"/>
        <v>0</v>
      </c>
      <c r="AU106" s="40">
        <f t="shared" si="5347"/>
        <v>0</v>
      </c>
      <c r="AV106" s="40">
        <f t="shared" si="5347"/>
        <v>0</v>
      </c>
      <c r="AW106" s="40">
        <f t="shared" si="5347"/>
        <v>0</v>
      </c>
      <c r="AX106" s="40">
        <f t="shared" si="5347"/>
        <v>0</v>
      </c>
      <c r="AY106" s="40">
        <f t="shared" si="5347"/>
        <v>0</v>
      </c>
      <c r="AZ106" s="40">
        <f t="shared" si="5347"/>
        <v>0</v>
      </c>
      <c r="BA106" s="40">
        <f t="shared" si="5347"/>
        <v>0</v>
      </c>
      <c r="BB106" s="40">
        <f t="shared" si="5347"/>
        <v>0</v>
      </c>
      <c r="BC106" s="40">
        <f t="shared" si="5347"/>
        <v>0</v>
      </c>
      <c r="BD106" s="40">
        <f t="shared" si="5347"/>
        <v>0</v>
      </c>
      <c r="BE106" s="40">
        <f t="shared" si="5347"/>
        <v>0</v>
      </c>
      <c r="BF106" s="40">
        <f t="shared" si="5347"/>
        <v>0</v>
      </c>
      <c r="BG106" s="40">
        <f t="shared" si="5347"/>
        <v>0</v>
      </c>
      <c r="BH106" s="40">
        <f t="shared" si="5347"/>
        <v>0</v>
      </c>
      <c r="BI106" s="40">
        <f t="shared" si="5347"/>
        <v>0</v>
      </c>
      <c r="BJ106" s="40">
        <f t="shared" si="5347"/>
        <v>0</v>
      </c>
      <c r="BK106" s="40">
        <f t="shared" si="5347"/>
        <v>0</v>
      </c>
      <c r="BL106" s="40">
        <f t="shared" si="5347"/>
        <v>0</v>
      </c>
      <c r="BM106" s="40">
        <f t="shared" si="5347"/>
        <v>0</v>
      </c>
      <c r="BN106" s="40">
        <f t="shared" si="5347"/>
        <v>0</v>
      </c>
      <c r="BO106" s="40">
        <f t="shared" si="5347"/>
        <v>0</v>
      </c>
      <c r="BP106" s="40">
        <f t="shared" si="5347"/>
        <v>0</v>
      </c>
      <c r="BQ106" s="40">
        <f t="shared" si="5347"/>
        <v>0</v>
      </c>
      <c r="BR106" s="40">
        <f t="shared" si="5347"/>
        <v>0</v>
      </c>
      <c r="BS106" s="40">
        <f t="shared" si="5347"/>
        <v>0</v>
      </c>
      <c r="BT106" s="40">
        <f t="shared" si="5347"/>
        <v>0</v>
      </c>
      <c r="BU106" s="40">
        <f t="shared" si="5347"/>
        <v>0</v>
      </c>
      <c r="BV106" s="40">
        <f t="shared" si="5347"/>
        <v>0</v>
      </c>
      <c r="BW106" s="40">
        <f t="shared" si="5339"/>
        <v>0</v>
      </c>
      <c r="BX106" s="40">
        <f t="shared" si="5339"/>
        <v>0</v>
      </c>
      <c r="BY106" s="40">
        <f t="shared" si="5339"/>
        <v>0</v>
      </c>
      <c r="BZ106" s="40">
        <f t="shared" si="5339"/>
        <v>0</v>
      </c>
      <c r="CA106" s="40">
        <f t="shared" si="5339"/>
        <v>0</v>
      </c>
      <c r="CB106" s="40">
        <f t="shared" si="5339"/>
        <v>0</v>
      </c>
      <c r="CC106" s="40">
        <f t="shared" si="5339"/>
        <v>0</v>
      </c>
      <c r="CD106" s="40">
        <f t="shared" si="5339"/>
        <v>0</v>
      </c>
      <c r="CE106" s="40">
        <f t="shared" si="5339"/>
        <v>0</v>
      </c>
      <c r="CF106" s="40">
        <f t="shared" si="5339"/>
        <v>0</v>
      </c>
      <c r="CG106" s="40">
        <f t="shared" si="5339"/>
        <v>0</v>
      </c>
      <c r="CH106" s="40">
        <f t="shared" si="5339"/>
        <v>0</v>
      </c>
      <c r="CI106" s="40">
        <f t="shared" si="5339"/>
        <v>0</v>
      </c>
      <c r="CJ106" s="40">
        <f t="shared" si="5339"/>
        <v>0</v>
      </c>
      <c r="CK106" s="40">
        <f t="shared" si="5339"/>
        <v>0</v>
      </c>
      <c r="CL106" s="40">
        <f t="shared" si="5339"/>
        <v>0</v>
      </c>
      <c r="CM106" s="40">
        <f t="shared" si="5339"/>
        <v>0</v>
      </c>
      <c r="CN106" s="40">
        <f t="shared" si="5339"/>
        <v>0</v>
      </c>
      <c r="CO106" s="40">
        <f t="shared" si="5339"/>
        <v>0</v>
      </c>
      <c r="CP106" s="40">
        <f t="shared" si="5339"/>
        <v>0</v>
      </c>
      <c r="CQ106" s="40">
        <f t="shared" si="5339"/>
        <v>0</v>
      </c>
      <c r="CR106" s="40">
        <f t="shared" si="5339"/>
        <v>0</v>
      </c>
      <c r="CS106" s="40">
        <f t="shared" si="5339"/>
        <v>0</v>
      </c>
      <c r="CT106" s="40">
        <f t="shared" si="5339"/>
        <v>0</v>
      </c>
      <c r="CU106" s="40">
        <f t="shared" si="5339"/>
        <v>0</v>
      </c>
      <c r="CV106" s="40">
        <f t="shared" si="5339"/>
        <v>0</v>
      </c>
      <c r="CW106" s="40">
        <f t="shared" si="5339"/>
        <v>0</v>
      </c>
      <c r="CX106" s="40">
        <f t="shared" si="5339"/>
        <v>0</v>
      </c>
      <c r="CY106" s="40">
        <f t="shared" si="5339"/>
        <v>0</v>
      </c>
      <c r="CZ106" s="40">
        <f t="shared" si="5339"/>
        <v>0</v>
      </c>
      <c r="DA106" s="40">
        <f t="shared" si="5339"/>
        <v>0</v>
      </c>
      <c r="DB106" s="40">
        <f t="shared" si="5339"/>
        <v>0</v>
      </c>
      <c r="DC106" s="40">
        <f t="shared" si="5339"/>
        <v>0</v>
      </c>
      <c r="DD106" s="40">
        <f t="shared" si="5339"/>
        <v>0</v>
      </c>
      <c r="DE106" s="40">
        <f t="shared" si="5339"/>
        <v>0</v>
      </c>
      <c r="DF106" s="40">
        <f t="shared" si="5339"/>
        <v>0</v>
      </c>
      <c r="DG106" s="40">
        <f t="shared" si="5339"/>
        <v>0</v>
      </c>
      <c r="DH106" s="40">
        <f t="shared" si="5339"/>
        <v>0</v>
      </c>
      <c r="DI106" s="40">
        <f t="shared" si="5339"/>
        <v>0</v>
      </c>
      <c r="DJ106" s="40">
        <f t="shared" si="5339"/>
        <v>0</v>
      </c>
      <c r="DK106" s="40">
        <f t="shared" si="5339"/>
        <v>0</v>
      </c>
      <c r="DL106" s="40">
        <f t="shared" si="5339"/>
        <v>0</v>
      </c>
      <c r="DM106" s="40">
        <f t="shared" si="5339"/>
        <v>0</v>
      </c>
      <c r="DN106" s="40">
        <f t="shared" si="5339"/>
        <v>0</v>
      </c>
      <c r="DO106" s="40">
        <f t="shared" si="5339"/>
        <v>0</v>
      </c>
      <c r="DP106" s="40">
        <f t="shared" si="5339"/>
        <v>0</v>
      </c>
      <c r="DQ106" s="40">
        <f t="shared" si="5339"/>
        <v>0</v>
      </c>
      <c r="DR106" s="40">
        <f t="shared" si="5339"/>
        <v>0</v>
      </c>
      <c r="DS106" s="40">
        <f t="shared" si="5339"/>
        <v>0</v>
      </c>
      <c r="DT106" s="40">
        <f t="shared" si="5339"/>
        <v>0</v>
      </c>
      <c r="DU106" s="40">
        <f t="shared" si="5339"/>
        <v>0</v>
      </c>
      <c r="DV106" s="40">
        <f t="shared" si="5339"/>
        <v>0</v>
      </c>
      <c r="DW106" s="40">
        <f t="shared" si="5339"/>
        <v>0</v>
      </c>
      <c r="DX106" s="40">
        <f t="shared" si="5339"/>
        <v>0</v>
      </c>
      <c r="DY106" s="40">
        <f t="shared" si="5339"/>
        <v>0</v>
      </c>
      <c r="DZ106" s="40">
        <f t="shared" si="5339"/>
        <v>0</v>
      </c>
      <c r="EA106" s="40">
        <f t="shared" si="5339"/>
        <v>0</v>
      </c>
      <c r="EB106" s="40">
        <f t="shared" si="5339"/>
        <v>0</v>
      </c>
      <c r="EC106" s="40">
        <f t="shared" si="5339"/>
        <v>0</v>
      </c>
      <c r="ED106" s="40">
        <f t="shared" si="5339"/>
        <v>0</v>
      </c>
      <c r="EE106" s="40">
        <f t="shared" si="5339"/>
        <v>0</v>
      </c>
      <c r="EF106" s="40">
        <f t="shared" si="5339"/>
        <v>0</v>
      </c>
      <c r="EG106" s="40">
        <f t="shared" si="5339"/>
        <v>0</v>
      </c>
      <c r="EH106" s="40">
        <f t="shared" si="5340"/>
        <v>0</v>
      </c>
      <c r="EI106" s="40">
        <f t="shared" si="5340"/>
        <v>0</v>
      </c>
      <c r="EJ106" s="40">
        <f t="shared" si="5340"/>
        <v>0</v>
      </c>
      <c r="EK106" s="40">
        <f t="shared" si="5340"/>
        <v>0</v>
      </c>
      <c r="EL106" s="40">
        <f t="shared" si="5340"/>
        <v>0</v>
      </c>
      <c r="EM106" s="40">
        <f t="shared" si="5340"/>
        <v>0</v>
      </c>
      <c r="EN106" s="40">
        <f t="shared" si="5340"/>
        <v>0</v>
      </c>
      <c r="EO106" s="40">
        <f t="shared" si="5340"/>
        <v>0</v>
      </c>
      <c r="EP106" s="40">
        <f t="shared" si="5340"/>
        <v>0</v>
      </c>
      <c r="EQ106" s="40">
        <f t="shared" si="5340"/>
        <v>0</v>
      </c>
      <c r="ER106" s="40">
        <f t="shared" si="5340"/>
        <v>0</v>
      </c>
      <c r="ES106" s="40">
        <f t="shared" si="5340"/>
        <v>0</v>
      </c>
      <c r="ET106" s="40">
        <f t="shared" si="5340"/>
        <v>0</v>
      </c>
      <c r="EU106" s="40">
        <f t="shared" si="5340"/>
        <v>0</v>
      </c>
      <c r="EV106" s="40">
        <f t="shared" si="5340"/>
        <v>0</v>
      </c>
      <c r="EW106" s="40">
        <f t="shared" si="5340"/>
        <v>0</v>
      </c>
      <c r="EX106" s="40">
        <f t="shared" si="5340"/>
        <v>0</v>
      </c>
      <c r="EY106" s="40">
        <f t="shared" si="5340"/>
        <v>0</v>
      </c>
      <c r="EZ106" s="40">
        <f t="shared" si="5340"/>
        <v>0</v>
      </c>
      <c r="FA106" s="40">
        <f t="shared" si="5340"/>
        <v>0</v>
      </c>
      <c r="FB106" s="40">
        <f t="shared" si="5340"/>
        <v>0</v>
      </c>
      <c r="FC106" s="40">
        <f t="shared" si="5340"/>
        <v>0</v>
      </c>
      <c r="FD106" s="40">
        <f t="shared" si="5340"/>
        <v>0</v>
      </c>
      <c r="FE106" s="40">
        <f t="shared" si="5340"/>
        <v>0</v>
      </c>
      <c r="FF106" s="40">
        <f t="shared" si="5340"/>
        <v>0</v>
      </c>
      <c r="FG106" s="40">
        <f t="shared" si="5340"/>
        <v>0</v>
      </c>
      <c r="FH106" s="40">
        <f t="shared" si="5340"/>
        <v>0</v>
      </c>
      <c r="FI106" s="40">
        <f t="shared" si="5340"/>
        <v>0</v>
      </c>
      <c r="FJ106" s="40">
        <f t="shared" si="5340"/>
        <v>0</v>
      </c>
      <c r="FK106" s="40">
        <f t="shared" si="5340"/>
        <v>0</v>
      </c>
      <c r="FL106" s="40">
        <f t="shared" si="5340"/>
        <v>0</v>
      </c>
      <c r="FM106" s="40">
        <f t="shared" si="5340"/>
        <v>0</v>
      </c>
      <c r="FN106" s="40">
        <f t="shared" si="5340"/>
        <v>0</v>
      </c>
      <c r="FO106" s="40">
        <f t="shared" si="5340"/>
        <v>0</v>
      </c>
      <c r="FP106" s="40">
        <f t="shared" si="5340"/>
        <v>0</v>
      </c>
      <c r="FQ106" s="40">
        <f t="shared" si="5340"/>
        <v>0</v>
      </c>
      <c r="FR106" s="40">
        <f t="shared" si="5340"/>
        <v>0</v>
      </c>
      <c r="FS106" s="40">
        <f t="shared" si="5340"/>
        <v>0</v>
      </c>
      <c r="FT106" s="40">
        <f t="shared" si="5340"/>
        <v>0</v>
      </c>
      <c r="FU106" s="40">
        <f t="shared" si="5340"/>
        <v>0</v>
      </c>
      <c r="FV106" s="40">
        <f t="shared" si="5340"/>
        <v>0</v>
      </c>
      <c r="FW106" s="40">
        <f t="shared" si="5340"/>
        <v>0</v>
      </c>
      <c r="FX106" s="40">
        <f t="shared" si="5340"/>
        <v>0</v>
      </c>
      <c r="FY106" s="40">
        <f t="shared" si="5340"/>
        <v>0</v>
      </c>
      <c r="FZ106" s="40">
        <f t="shared" si="5340"/>
        <v>0</v>
      </c>
      <c r="GA106" s="40">
        <f t="shared" si="5340"/>
        <v>0</v>
      </c>
      <c r="GB106" s="40">
        <f t="shared" si="5340"/>
        <v>0</v>
      </c>
      <c r="GC106" s="40">
        <f t="shared" si="5340"/>
        <v>0</v>
      </c>
      <c r="GD106" s="40">
        <f t="shared" si="5340"/>
        <v>0</v>
      </c>
      <c r="GE106" s="40">
        <f t="shared" si="5340"/>
        <v>0</v>
      </c>
      <c r="GF106" s="40">
        <f t="shared" ca="1" si="5340"/>
        <v>0</v>
      </c>
      <c r="GG106" s="40">
        <f t="shared" ca="1" si="5340"/>
        <v>0</v>
      </c>
      <c r="GH106" s="40">
        <f t="shared" ca="1" si="5340"/>
        <v>0</v>
      </c>
      <c r="GI106" s="40">
        <f t="shared" ca="1" si="5340"/>
        <v>0</v>
      </c>
      <c r="GJ106" s="40">
        <f t="shared" ca="1" si="5340"/>
        <v>0</v>
      </c>
      <c r="GK106" s="40">
        <f t="shared" ca="1" si="5340"/>
        <v>0</v>
      </c>
      <c r="GL106" s="40">
        <f t="shared" ca="1" si="5340"/>
        <v>0</v>
      </c>
      <c r="GM106" s="40">
        <f t="shared" ca="1" si="5340"/>
        <v>0</v>
      </c>
      <c r="GN106" s="40">
        <f t="shared" ca="1" si="5340"/>
        <v>0</v>
      </c>
      <c r="GO106" s="40">
        <f t="shared" ca="1" si="5340"/>
        <v>0</v>
      </c>
      <c r="GP106" s="40">
        <f t="shared" ca="1" si="5340"/>
        <v>0</v>
      </c>
      <c r="GQ106" s="40">
        <f t="shared" ca="1" si="5340"/>
        <v>0</v>
      </c>
      <c r="GR106" s="40">
        <f t="shared" ca="1" si="5340"/>
        <v>0</v>
      </c>
      <c r="GS106" s="40">
        <f t="shared" ref="GS106:JD106" ca="1" si="5348">$D106*GS$102</f>
        <v>0</v>
      </c>
      <c r="GT106" s="40">
        <f t="shared" ca="1" si="5348"/>
        <v>0</v>
      </c>
      <c r="GU106" s="40">
        <f t="shared" ca="1" si="5348"/>
        <v>0</v>
      </c>
      <c r="GV106" s="40">
        <f t="shared" ca="1" si="5348"/>
        <v>0</v>
      </c>
      <c r="GW106" s="40">
        <f t="shared" ca="1" si="5348"/>
        <v>0</v>
      </c>
      <c r="GX106" s="40">
        <f t="shared" ca="1" si="5348"/>
        <v>0</v>
      </c>
      <c r="GY106" s="40">
        <f t="shared" ca="1" si="5348"/>
        <v>0</v>
      </c>
      <c r="GZ106" s="40">
        <f t="shared" ca="1" si="5348"/>
        <v>0</v>
      </c>
      <c r="HA106" s="40">
        <f t="shared" ca="1" si="5348"/>
        <v>0</v>
      </c>
      <c r="HB106" s="40">
        <f t="shared" ca="1" si="5348"/>
        <v>0</v>
      </c>
      <c r="HC106" s="40">
        <f t="shared" ca="1" si="5348"/>
        <v>0</v>
      </c>
      <c r="HD106" s="40">
        <f t="shared" ca="1" si="5348"/>
        <v>0</v>
      </c>
      <c r="HE106" s="40">
        <f t="shared" ca="1" si="5348"/>
        <v>0</v>
      </c>
      <c r="HF106" s="40">
        <f t="shared" ca="1" si="5348"/>
        <v>0</v>
      </c>
      <c r="HG106" s="40">
        <f t="shared" ca="1" si="5348"/>
        <v>0</v>
      </c>
      <c r="HH106" s="40">
        <f t="shared" ca="1" si="5348"/>
        <v>0</v>
      </c>
      <c r="HI106" s="40">
        <f t="shared" ca="1" si="5348"/>
        <v>0</v>
      </c>
      <c r="HJ106" s="40">
        <f t="shared" ca="1" si="5348"/>
        <v>0</v>
      </c>
      <c r="HK106" s="40">
        <f t="shared" ca="1" si="5348"/>
        <v>0</v>
      </c>
      <c r="HL106" s="40">
        <f t="shared" ca="1" si="5348"/>
        <v>0</v>
      </c>
      <c r="HM106" s="40">
        <f t="shared" ca="1" si="5348"/>
        <v>0</v>
      </c>
      <c r="HN106" s="40">
        <f t="shared" ca="1" si="5348"/>
        <v>0</v>
      </c>
      <c r="HO106" s="40">
        <f t="shared" ca="1" si="5348"/>
        <v>0</v>
      </c>
      <c r="HP106" s="40">
        <f t="shared" ca="1" si="5348"/>
        <v>0</v>
      </c>
      <c r="HQ106" s="40">
        <f t="shared" ca="1" si="5348"/>
        <v>0</v>
      </c>
      <c r="HR106" s="40">
        <f t="shared" ca="1" si="5348"/>
        <v>0</v>
      </c>
      <c r="HS106" s="40">
        <f t="shared" ca="1" si="5348"/>
        <v>0</v>
      </c>
      <c r="HT106" s="40">
        <f t="shared" ca="1" si="5348"/>
        <v>0</v>
      </c>
      <c r="HU106" s="40">
        <f t="shared" ca="1" si="5348"/>
        <v>0</v>
      </c>
      <c r="HV106" s="40">
        <f t="shared" ca="1" si="5348"/>
        <v>0</v>
      </c>
      <c r="HW106" s="40">
        <f t="shared" ca="1" si="5348"/>
        <v>0</v>
      </c>
      <c r="HX106" s="40">
        <f t="shared" ca="1" si="5348"/>
        <v>0</v>
      </c>
      <c r="HY106" s="40">
        <f t="shared" ca="1" si="5348"/>
        <v>0</v>
      </c>
      <c r="HZ106" s="40">
        <f t="shared" ca="1" si="5348"/>
        <v>0</v>
      </c>
      <c r="IA106" s="40">
        <f t="shared" ca="1" si="5348"/>
        <v>0</v>
      </c>
      <c r="IB106" s="40">
        <f t="shared" ca="1" si="5348"/>
        <v>0</v>
      </c>
      <c r="IC106" s="40">
        <f t="shared" ca="1" si="5348"/>
        <v>0</v>
      </c>
      <c r="ID106" s="40">
        <f t="shared" ca="1" si="5348"/>
        <v>0</v>
      </c>
      <c r="IE106" s="40">
        <f t="shared" ca="1" si="5348"/>
        <v>0</v>
      </c>
      <c r="IF106" s="40">
        <f t="shared" ca="1" si="5348"/>
        <v>0</v>
      </c>
      <c r="IG106" s="40">
        <f t="shared" ca="1" si="5348"/>
        <v>0</v>
      </c>
      <c r="IH106" s="40">
        <f t="shared" ca="1" si="5348"/>
        <v>0</v>
      </c>
      <c r="II106" s="40">
        <f t="shared" ca="1" si="5348"/>
        <v>0</v>
      </c>
      <c r="IJ106" s="40">
        <f t="shared" ca="1" si="5348"/>
        <v>0</v>
      </c>
      <c r="IK106" s="40">
        <f t="shared" ca="1" si="5348"/>
        <v>0</v>
      </c>
      <c r="IL106" s="40">
        <f t="shared" ca="1" si="5348"/>
        <v>0</v>
      </c>
      <c r="IM106" s="40">
        <f t="shared" ca="1" si="5348"/>
        <v>0</v>
      </c>
      <c r="IN106" s="40">
        <f t="shared" ca="1" si="5348"/>
        <v>0</v>
      </c>
      <c r="IO106" s="40">
        <f t="shared" ca="1" si="5348"/>
        <v>0</v>
      </c>
      <c r="IP106" s="40">
        <f t="shared" ca="1" si="5348"/>
        <v>0</v>
      </c>
      <c r="IQ106" s="40">
        <f t="shared" ca="1" si="5348"/>
        <v>0</v>
      </c>
      <c r="IR106" s="40">
        <f t="shared" ca="1" si="5348"/>
        <v>0</v>
      </c>
      <c r="IS106" s="40">
        <f t="shared" ca="1" si="5348"/>
        <v>0</v>
      </c>
      <c r="IT106" s="40">
        <f t="shared" ca="1" si="5348"/>
        <v>0</v>
      </c>
      <c r="IU106" s="40">
        <f t="shared" ca="1" si="5348"/>
        <v>0</v>
      </c>
      <c r="IV106" s="40">
        <f t="shared" ca="1" si="5348"/>
        <v>0</v>
      </c>
      <c r="IW106" s="40">
        <f t="shared" ca="1" si="5348"/>
        <v>0</v>
      </c>
      <c r="IX106" s="40">
        <f t="shared" ca="1" si="5348"/>
        <v>0</v>
      </c>
      <c r="IY106" s="40">
        <f t="shared" ca="1" si="5348"/>
        <v>0</v>
      </c>
      <c r="IZ106" s="40">
        <f t="shared" ca="1" si="5348"/>
        <v>0</v>
      </c>
      <c r="JA106" s="40">
        <f t="shared" ca="1" si="5348"/>
        <v>0</v>
      </c>
      <c r="JB106" s="40">
        <f t="shared" ca="1" si="5348"/>
        <v>0</v>
      </c>
      <c r="JC106" s="40">
        <f t="shared" ca="1" si="5348"/>
        <v>0</v>
      </c>
      <c r="JD106" s="40">
        <f t="shared" ca="1" si="5348"/>
        <v>0</v>
      </c>
      <c r="JE106" s="40">
        <f t="shared" ca="1" si="5345"/>
        <v>0</v>
      </c>
      <c r="JF106" s="40">
        <f t="shared" ca="1" si="5345"/>
        <v>0</v>
      </c>
      <c r="JG106" s="40">
        <f t="shared" ca="1" si="5345"/>
        <v>0</v>
      </c>
      <c r="JH106" s="40">
        <f t="shared" ca="1" si="5345"/>
        <v>0</v>
      </c>
      <c r="JI106" s="40">
        <f t="shared" ca="1" si="5345"/>
        <v>0</v>
      </c>
      <c r="JJ106" s="40">
        <f t="shared" ca="1" si="5345"/>
        <v>0</v>
      </c>
      <c r="JK106" s="40">
        <f t="shared" ca="1" si="5345"/>
        <v>0</v>
      </c>
      <c r="JL106" s="40">
        <f t="shared" ca="1" si="5345"/>
        <v>0</v>
      </c>
      <c r="JM106" s="40">
        <f t="shared" ca="1" si="5345"/>
        <v>0</v>
      </c>
      <c r="JN106" s="40">
        <f t="shared" ca="1" si="5345"/>
        <v>0</v>
      </c>
      <c r="JO106" s="40">
        <f t="shared" ca="1" si="5345"/>
        <v>0</v>
      </c>
      <c r="JP106" s="40">
        <f t="shared" ca="1" si="5345"/>
        <v>0</v>
      </c>
      <c r="JQ106" s="40">
        <f t="shared" ca="1" si="5345"/>
        <v>0</v>
      </c>
      <c r="JR106" s="40">
        <f t="shared" ca="1" si="5345"/>
        <v>0</v>
      </c>
      <c r="JS106" s="40">
        <f t="shared" ca="1" si="5345"/>
        <v>0</v>
      </c>
      <c r="JT106" s="40">
        <f t="shared" ca="1" si="5345"/>
        <v>0</v>
      </c>
      <c r="JU106" s="40">
        <f t="shared" ca="1" si="5345"/>
        <v>0</v>
      </c>
      <c r="JV106" s="40">
        <f t="shared" ca="1" si="5345"/>
        <v>0</v>
      </c>
      <c r="JW106" s="40">
        <f t="shared" ca="1" si="5345"/>
        <v>0</v>
      </c>
      <c r="JX106" s="40">
        <f t="shared" ca="1" si="5345"/>
        <v>0</v>
      </c>
      <c r="JY106" s="40">
        <f t="shared" ca="1" si="5345"/>
        <v>0</v>
      </c>
      <c r="JZ106" s="40">
        <f t="shared" ca="1" si="5345"/>
        <v>0</v>
      </c>
      <c r="KA106" s="40">
        <f t="shared" ca="1" si="5345"/>
        <v>0</v>
      </c>
      <c r="KB106" s="40">
        <f t="shared" ca="1" si="5345"/>
        <v>0</v>
      </c>
      <c r="KC106" s="40">
        <f t="shared" ca="1" si="5345"/>
        <v>0</v>
      </c>
      <c r="KD106" s="40">
        <f t="shared" ca="1" si="5345"/>
        <v>0</v>
      </c>
      <c r="KE106" s="40">
        <f t="shared" ca="1" si="5345"/>
        <v>0</v>
      </c>
      <c r="KF106" s="40">
        <f t="shared" ca="1" si="5345"/>
        <v>0</v>
      </c>
      <c r="KG106" s="40">
        <f t="shared" ca="1" si="5345"/>
        <v>0</v>
      </c>
      <c r="KH106" s="40">
        <f t="shared" ca="1" si="5345"/>
        <v>0</v>
      </c>
      <c r="KI106" s="40">
        <f t="shared" ca="1" si="5345"/>
        <v>0</v>
      </c>
      <c r="KJ106" s="40">
        <f t="shared" ca="1" si="5345"/>
        <v>0</v>
      </c>
      <c r="KK106" s="40">
        <f t="shared" ca="1" si="5345"/>
        <v>0</v>
      </c>
      <c r="KL106" s="40">
        <f t="shared" ca="1" si="5345"/>
        <v>0</v>
      </c>
      <c r="KM106" s="40">
        <f t="shared" ca="1" si="5345"/>
        <v>0</v>
      </c>
      <c r="KN106" s="40">
        <f t="shared" ca="1" si="5345"/>
        <v>0</v>
      </c>
      <c r="KO106" s="40">
        <f t="shared" ca="1" si="5345"/>
        <v>0</v>
      </c>
      <c r="KP106" s="40">
        <f t="shared" ca="1" si="5345"/>
        <v>0</v>
      </c>
      <c r="KQ106" s="40">
        <f t="shared" ca="1" si="5345"/>
        <v>0</v>
      </c>
      <c r="KR106" s="40">
        <f t="shared" ca="1" si="5345"/>
        <v>0</v>
      </c>
      <c r="KS106" s="40">
        <f t="shared" ca="1" si="5345"/>
        <v>0</v>
      </c>
      <c r="KT106" s="40">
        <f t="shared" ca="1" si="5345"/>
        <v>0</v>
      </c>
      <c r="KU106" s="40">
        <f t="shared" ca="1" si="5345"/>
        <v>0</v>
      </c>
      <c r="KV106" s="40">
        <f t="shared" ca="1" si="5345"/>
        <v>0</v>
      </c>
      <c r="KW106" s="40">
        <f t="shared" ca="1" si="5345"/>
        <v>0</v>
      </c>
      <c r="KX106" s="40">
        <f t="shared" ca="1" si="5345"/>
        <v>0</v>
      </c>
      <c r="KY106" s="40">
        <f t="shared" ca="1" si="5345"/>
        <v>0</v>
      </c>
      <c r="KZ106" s="40">
        <f t="shared" ca="1" si="5345"/>
        <v>0</v>
      </c>
      <c r="LA106" s="40">
        <f t="shared" ca="1" si="5342"/>
        <v>0</v>
      </c>
      <c r="LB106" s="40">
        <f t="shared" ca="1" si="5343"/>
        <v>0</v>
      </c>
      <c r="LC106" s="40">
        <f t="shared" ca="1" si="5343"/>
        <v>0</v>
      </c>
      <c r="LD106" s="40">
        <f t="shared" ca="1" si="5343"/>
        <v>0</v>
      </c>
      <c r="LE106" s="40">
        <f t="shared" ca="1" si="5343"/>
        <v>0</v>
      </c>
      <c r="LF106" s="40">
        <f t="shared" ca="1" si="5343"/>
        <v>0</v>
      </c>
      <c r="LG106" s="40">
        <f t="shared" ca="1" si="5343"/>
        <v>0</v>
      </c>
      <c r="LH106" s="40">
        <f t="shared" ca="1" si="5343"/>
        <v>0</v>
      </c>
      <c r="LI106" s="40">
        <f t="shared" ca="1" si="5343"/>
        <v>0</v>
      </c>
      <c r="LJ106" s="40">
        <f t="shared" ca="1" si="5343"/>
        <v>0</v>
      </c>
      <c r="LK106" s="40">
        <f t="shared" ca="1" si="5343"/>
        <v>0</v>
      </c>
      <c r="LL106" s="40">
        <f t="shared" ca="1" si="5343"/>
        <v>0</v>
      </c>
      <c r="LM106" s="40">
        <f t="shared" ca="1" si="5343"/>
        <v>0</v>
      </c>
      <c r="LN106" s="40">
        <f t="shared" ca="1" si="5343"/>
        <v>0</v>
      </c>
      <c r="LO106" s="40">
        <f t="shared" ca="1" si="5343"/>
        <v>0</v>
      </c>
      <c r="LP106" s="40">
        <f t="shared" ca="1" si="5343"/>
        <v>0</v>
      </c>
      <c r="LQ106" s="40">
        <f t="shared" ca="1" si="5343"/>
        <v>0</v>
      </c>
      <c r="LR106" s="40">
        <f t="shared" ca="1" si="5343"/>
        <v>0</v>
      </c>
      <c r="LS106" s="40">
        <f t="shared" ca="1" si="5343"/>
        <v>0</v>
      </c>
      <c r="LT106" s="40">
        <f t="shared" ca="1" si="5343"/>
        <v>0</v>
      </c>
      <c r="LU106" s="40">
        <f t="shared" ca="1" si="5343"/>
        <v>0</v>
      </c>
      <c r="LV106" s="40">
        <f t="shared" ca="1" si="5343"/>
        <v>0</v>
      </c>
      <c r="LW106" s="40">
        <f t="shared" ca="1" si="5343"/>
        <v>0</v>
      </c>
      <c r="LX106" s="40">
        <f t="shared" ca="1" si="5343"/>
        <v>0</v>
      </c>
      <c r="LY106" s="40">
        <f t="shared" ca="1" si="5343"/>
        <v>0</v>
      </c>
      <c r="LZ106" s="40">
        <f t="shared" ca="1" si="5343"/>
        <v>0</v>
      </c>
      <c r="MA106" s="40">
        <f t="shared" ca="1" si="5343"/>
        <v>0</v>
      </c>
      <c r="MB106" s="40">
        <f t="shared" ca="1" si="5343"/>
        <v>0</v>
      </c>
      <c r="MC106" s="40">
        <f t="shared" ca="1" si="5343"/>
        <v>0</v>
      </c>
      <c r="MD106" s="40">
        <f t="shared" ca="1" si="5343"/>
        <v>0</v>
      </c>
      <c r="ME106" s="40">
        <f t="shared" ca="1" si="5343"/>
        <v>0</v>
      </c>
      <c r="MF106" s="40">
        <f t="shared" ca="1" si="5343"/>
        <v>0</v>
      </c>
      <c r="MG106" s="40">
        <f t="shared" ca="1" si="5343"/>
        <v>0</v>
      </c>
      <c r="MH106" s="40">
        <f t="shared" ca="1" si="5343"/>
        <v>0</v>
      </c>
      <c r="MI106" s="40">
        <f t="shared" ca="1" si="5343"/>
        <v>0</v>
      </c>
      <c r="MJ106" s="40">
        <f t="shared" ca="1" si="5343"/>
        <v>0</v>
      </c>
      <c r="MK106" s="40">
        <f t="shared" ca="1" si="5343"/>
        <v>0</v>
      </c>
      <c r="ML106" s="40">
        <f t="shared" ca="1" si="5343"/>
        <v>0</v>
      </c>
      <c r="MM106" s="40">
        <f t="shared" ca="1" si="5343"/>
        <v>0</v>
      </c>
      <c r="MN106" s="40">
        <f t="shared" ca="1" si="5343"/>
        <v>0</v>
      </c>
      <c r="MO106" s="40">
        <f t="shared" ca="1" si="5343"/>
        <v>0</v>
      </c>
      <c r="MP106" s="40">
        <f t="shared" ca="1" si="5343"/>
        <v>0</v>
      </c>
      <c r="MQ106" s="40">
        <f t="shared" ca="1" si="5343"/>
        <v>0</v>
      </c>
      <c r="MR106" s="40">
        <f t="shared" ca="1" si="5343"/>
        <v>0</v>
      </c>
      <c r="MS106" s="40">
        <f t="shared" ca="1" si="5343"/>
        <v>0</v>
      </c>
      <c r="MT106" s="40">
        <f t="shared" ca="1" si="5343"/>
        <v>0</v>
      </c>
      <c r="MU106" s="40">
        <f t="shared" ca="1" si="5343"/>
        <v>0</v>
      </c>
      <c r="MV106" s="40">
        <f t="shared" ca="1" si="5343"/>
        <v>0</v>
      </c>
      <c r="MW106" s="40">
        <f t="shared" ca="1" si="5343"/>
        <v>0</v>
      </c>
      <c r="MX106" s="40">
        <f t="shared" ca="1" si="5343"/>
        <v>0</v>
      </c>
      <c r="MY106" s="40">
        <f t="shared" ca="1" si="5343"/>
        <v>0</v>
      </c>
      <c r="MZ106" s="40">
        <f t="shared" ca="1" si="5343"/>
        <v>0</v>
      </c>
      <c r="NA106" s="40">
        <f t="shared" ca="1" si="5343"/>
        <v>0</v>
      </c>
      <c r="NB106" s="40">
        <f t="shared" ca="1" si="5343"/>
        <v>0</v>
      </c>
      <c r="NC106" s="40">
        <f t="shared" ca="1" si="5343"/>
        <v>0</v>
      </c>
      <c r="ND106" s="40">
        <f t="shared" ca="1" si="5343"/>
        <v>0</v>
      </c>
      <c r="NE106" s="40"/>
      <c r="NF106" s="40"/>
      <c r="NG106" s="40"/>
      <c r="NH106" s="40"/>
      <c r="NI106" s="40"/>
      <c r="NJ106" s="40"/>
      <c r="NK106" s="40"/>
      <c r="NL106" s="40"/>
      <c r="NM106" s="40"/>
      <c r="NN106" s="40"/>
      <c r="NO106" s="40"/>
      <c r="NP106" s="40"/>
      <c r="NQ106" s="40"/>
      <c r="NR106" s="40"/>
    </row>
    <row r="107" spans="2:382" x14ac:dyDescent="0.15">
      <c r="B107" s="521"/>
      <c r="C107" s="120" t="str">
        <f>C7</f>
        <v>-</v>
      </c>
      <c r="D107" s="5">
        <f>D97</f>
        <v>0</v>
      </c>
      <c r="G107" s="118"/>
      <c r="I107" s="40">
        <f>$D$107*I$102</f>
        <v>0</v>
      </c>
      <c r="J107" s="40">
        <f t="shared" ref="J107:BU107" si="5349">$D$107*J$102</f>
        <v>0</v>
      </c>
      <c r="K107" s="40">
        <f t="shared" si="5349"/>
        <v>0</v>
      </c>
      <c r="L107" s="40">
        <f t="shared" si="5349"/>
        <v>0</v>
      </c>
      <c r="M107" s="40">
        <f t="shared" si="5349"/>
        <v>0</v>
      </c>
      <c r="N107" s="40">
        <f t="shared" si="5349"/>
        <v>0</v>
      </c>
      <c r="O107" s="40">
        <f t="shared" si="5349"/>
        <v>0</v>
      </c>
      <c r="P107" s="40">
        <f t="shared" si="5349"/>
        <v>0</v>
      </c>
      <c r="Q107" s="40">
        <f t="shared" si="5349"/>
        <v>0</v>
      </c>
      <c r="R107" s="40">
        <f t="shared" si="5349"/>
        <v>0</v>
      </c>
      <c r="S107" s="40">
        <f t="shared" si="5349"/>
        <v>0</v>
      </c>
      <c r="T107" s="40">
        <f t="shared" si="5349"/>
        <v>0</v>
      </c>
      <c r="U107" s="40">
        <f t="shared" si="5349"/>
        <v>0</v>
      </c>
      <c r="V107" s="40">
        <f t="shared" si="5349"/>
        <v>0</v>
      </c>
      <c r="W107" s="40">
        <f t="shared" si="5349"/>
        <v>0</v>
      </c>
      <c r="X107" s="40">
        <f t="shared" si="5349"/>
        <v>0</v>
      </c>
      <c r="Y107" s="40">
        <f t="shared" si="5349"/>
        <v>0</v>
      </c>
      <c r="Z107" s="40">
        <f t="shared" si="5349"/>
        <v>0</v>
      </c>
      <c r="AA107" s="40">
        <f t="shared" si="5349"/>
        <v>0</v>
      </c>
      <c r="AB107" s="40">
        <f t="shared" si="5349"/>
        <v>0</v>
      </c>
      <c r="AC107" s="40">
        <f t="shared" si="5349"/>
        <v>0</v>
      </c>
      <c r="AD107" s="40">
        <f t="shared" si="5349"/>
        <v>0</v>
      </c>
      <c r="AE107" s="40">
        <f t="shared" si="5349"/>
        <v>0</v>
      </c>
      <c r="AF107" s="40">
        <f t="shared" si="5349"/>
        <v>0</v>
      </c>
      <c r="AG107" s="40">
        <f t="shared" si="5349"/>
        <v>0</v>
      </c>
      <c r="AH107" s="40">
        <f t="shared" si="5349"/>
        <v>0</v>
      </c>
      <c r="AI107" s="40">
        <f t="shared" si="5349"/>
        <v>0</v>
      </c>
      <c r="AJ107" s="40">
        <f t="shared" si="5349"/>
        <v>0</v>
      </c>
      <c r="AK107" s="40">
        <f t="shared" si="5349"/>
        <v>0</v>
      </c>
      <c r="AL107" s="40">
        <f t="shared" si="5349"/>
        <v>0</v>
      </c>
      <c r="AM107" s="40">
        <f t="shared" si="5349"/>
        <v>0</v>
      </c>
      <c r="AN107" s="40">
        <f t="shared" si="5349"/>
        <v>0</v>
      </c>
      <c r="AO107" s="40">
        <f t="shared" si="5349"/>
        <v>0</v>
      </c>
      <c r="AP107" s="40">
        <f t="shared" si="5349"/>
        <v>0</v>
      </c>
      <c r="AQ107" s="40">
        <f t="shared" si="5349"/>
        <v>0</v>
      </c>
      <c r="AR107" s="40">
        <f t="shared" si="5349"/>
        <v>0</v>
      </c>
      <c r="AS107" s="40">
        <f t="shared" si="5349"/>
        <v>0</v>
      </c>
      <c r="AT107" s="40">
        <f t="shared" si="5349"/>
        <v>0</v>
      </c>
      <c r="AU107" s="40">
        <f t="shared" si="5349"/>
        <v>0</v>
      </c>
      <c r="AV107" s="40">
        <f t="shared" si="5349"/>
        <v>0</v>
      </c>
      <c r="AW107" s="40">
        <f t="shared" si="5349"/>
        <v>0</v>
      </c>
      <c r="AX107" s="40">
        <f t="shared" si="5349"/>
        <v>0</v>
      </c>
      <c r="AY107" s="40">
        <f t="shared" si="5349"/>
        <v>0</v>
      </c>
      <c r="AZ107" s="40">
        <f t="shared" si="5349"/>
        <v>0</v>
      </c>
      <c r="BA107" s="40">
        <f t="shared" si="5349"/>
        <v>0</v>
      </c>
      <c r="BB107" s="40">
        <f t="shared" si="5349"/>
        <v>0</v>
      </c>
      <c r="BC107" s="40">
        <f t="shared" si="5349"/>
        <v>0</v>
      </c>
      <c r="BD107" s="40">
        <f t="shared" si="5349"/>
        <v>0</v>
      </c>
      <c r="BE107" s="40">
        <f t="shared" si="5349"/>
        <v>0</v>
      </c>
      <c r="BF107" s="40">
        <f t="shared" si="5349"/>
        <v>0</v>
      </c>
      <c r="BG107" s="40">
        <f t="shared" si="5349"/>
        <v>0</v>
      </c>
      <c r="BH107" s="40">
        <f t="shared" si="5349"/>
        <v>0</v>
      </c>
      <c r="BI107" s="40">
        <f t="shared" si="5349"/>
        <v>0</v>
      </c>
      <c r="BJ107" s="40">
        <f t="shared" si="5349"/>
        <v>0</v>
      </c>
      <c r="BK107" s="40">
        <f t="shared" si="5349"/>
        <v>0</v>
      </c>
      <c r="BL107" s="40">
        <f t="shared" si="5349"/>
        <v>0</v>
      </c>
      <c r="BM107" s="40">
        <f t="shared" si="5349"/>
        <v>0</v>
      </c>
      <c r="BN107" s="40">
        <f t="shared" si="5349"/>
        <v>0</v>
      </c>
      <c r="BO107" s="40">
        <f t="shared" si="5349"/>
        <v>0</v>
      </c>
      <c r="BP107" s="40">
        <f t="shared" si="5349"/>
        <v>0</v>
      </c>
      <c r="BQ107" s="40">
        <f t="shared" si="5349"/>
        <v>0</v>
      </c>
      <c r="BR107" s="40">
        <f t="shared" si="5349"/>
        <v>0</v>
      </c>
      <c r="BS107" s="40">
        <f t="shared" si="5349"/>
        <v>0</v>
      </c>
      <c r="BT107" s="40">
        <f t="shared" si="5349"/>
        <v>0</v>
      </c>
      <c r="BU107" s="40">
        <f t="shared" si="5349"/>
        <v>0</v>
      </c>
      <c r="BV107" s="40">
        <f t="shared" ref="BV107:EG107" si="5350">$D$107*BV$102</f>
        <v>0</v>
      </c>
      <c r="BW107" s="40">
        <f t="shared" si="5350"/>
        <v>0</v>
      </c>
      <c r="BX107" s="40">
        <f t="shared" si="5350"/>
        <v>0</v>
      </c>
      <c r="BY107" s="40">
        <f t="shared" si="5350"/>
        <v>0</v>
      </c>
      <c r="BZ107" s="40">
        <f t="shared" si="5350"/>
        <v>0</v>
      </c>
      <c r="CA107" s="40">
        <f t="shared" si="5350"/>
        <v>0</v>
      </c>
      <c r="CB107" s="40">
        <f t="shared" si="5350"/>
        <v>0</v>
      </c>
      <c r="CC107" s="40">
        <f t="shared" si="5350"/>
        <v>0</v>
      </c>
      <c r="CD107" s="40">
        <f t="shared" si="5350"/>
        <v>0</v>
      </c>
      <c r="CE107" s="40">
        <f t="shared" si="5350"/>
        <v>0</v>
      </c>
      <c r="CF107" s="40">
        <f t="shared" si="5350"/>
        <v>0</v>
      </c>
      <c r="CG107" s="40">
        <f t="shared" si="5350"/>
        <v>0</v>
      </c>
      <c r="CH107" s="40">
        <f t="shared" si="5350"/>
        <v>0</v>
      </c>
      <c r="CI107" s="40">
        <f t="shared" si="5350"/>
        <v>0</v>
      </c>
      <c r="CJ107" s="40">
        <f t="shared" si="5350"/>
        <v>0</v>
      </c>
      <c r="CK107" s="40">
        <f t="shared" si="5350"/>
        <v>0</v>
      </c>
      <c r="CL107" s="40">
        <f t="shared" si="5350"/>
        <v>0</v>
      </c>
      <c r="CM107" s="40">
        <f t="shared" si="5350"/>
        <v>0</v>
      </c>
      <c r="CN107" s="40">
        <f t="shared" si="5350"/>
        <v>0</v>
      </c>
      <c r="CO107" s="40">
        <f t="shared" si="5350"/>
        <v>0</v>
      </c>
      <c r="CP107" s="40">
        <f t="shared" si="5350"/>
        <v>0</v>
      </c>
      <c r="CQ107" s="40">
        <f t="shared" si="5350"/>
        <v>0</v>
      </c>
      <c r="CR107" s="40">
        <f t="shared" si="5350"/>
        <v>0</v>
      </c>
      <c r="CS107" s="40">
        <f t="shared" si="5350"/>
        <v>0</v>
      </c>
      <c r="CT107" s="40">
        <f t="shared" si="5350"/>
        <v>0</v>
      </c>
      <c r="CU107" s="40">
        <f t="shared" si="5350"/>
        <v>0</v>
      </c>
      <c r="CV107" s="40">
        <f t="shared" si="5350"/>
        <v>0</v>
      </c>
      <c r="CW107" s="40">
        <f t="shared" si="5350"/>
        <v>0</v>
      </c>
      <c r="CX107" s="40">
        <f t="shared" si="5350"/>
        <v>0</v>
      </c>
      <c r="CY107" s="40">
        <f t="shared" si="5350"/>
        <v>0</v>
      </c>
      <c r="CZ107" s="40">
        <f t="shared" si="5350"/>
        <v>0</v>
      </c>
      <c r="DA107" s="40">
        <f t="shared" si="5350"/>
        <v>0</v>
      </c>
      <c r="DB107" s="40">
        <f t="shared" si="5350"/>
        <v>0</v>
      </c>
      <c r="DC107" s="40">
        <f t="shared" si="5350"/>
        <v>0</v>
      </c>
      <c r="DD107" s="40">
        <f t="shared" si="5350"/>
        <v>0</v>
      </c>
      <c r="DE107" s="40">
        <f t="shared" si="5350"/>
        <v>0</v>
      </c>
      <c r="DF107" s="40">
        <f t="shared" si="5350"/>
        <v>0</v>
      </c>
      <c r="DG107" s="40">
        <f t="shared" si="5350"/>
        <v>0</v>
      </c>
      <c r="DH107" s="40">
        <f t="shared" si="5350"/>
        <v>0</v>
      </c>
      <c r="DI107" s="40">
        <f t="shared" si="5350"/>
        <v>0</v>
      </c>
      <c r="DJ107" s="40">
        <f t="shared" si="5350"/>
        <v>0</v>
      </c>
      <c r="DK107" s="40">
        <f t="shared" si="5350"/>
        <v>0</v>
      </c>
      <c r="DL107" s="40">
        <f t="shared" si="5350"/>
        <v>0</v>
      </c>
      <c r="DM107" s="40">
        <f t="shared" si="5350"/>
        <v>0</v>
      </c>
      <c r="DN107" s="40">
        <f t="shared" si="5350"/>
        <v>0</v>
      </c>
      <c r="DO107" s="40">
        <f t="shared" si="5350"/>
        <v>0</v>
      </c>
      <c r="DP107" s="40">
        <f t="shared" si="5350"/>
        <v>0</v>
      </c>
      <c r="DQ107" s="40">
        <f t="shared" si="5350"/>
        <v>0</v>
      </c>
      <c r="DR107" s="40">
        <f t="shared" si="5350"/>
        <v>0</v>
      </c>
      <c r="DS107" s="40">
        <f t="shared" si="5350"/>
        <v>0</v>
      </c>
      <c r="DT107" s="40">
        <f t="shared" si="5350"/>
        <v>0</v>
      </c>
      <c r="DU107" s="40">
        <f t="shared" si="5350"/>
        <v>0</v>
      </c>
      <c r="DV107" s="40">
        <f t="shared" si="5350"/>
        <v>0</v>
      </c>
      <c r="DW107" s="40">
        <f t="shared" si="5350"/>
        <v>0</v>
      </c>
      <c r="DX107" s="40">
        <f t="shared" si="5350"/>
        <v>0</v>
      </c>
      <c r="DY107" s="40">
        <f t="shared" si="5350"/>
        <v>0</v>
      </c>
      <c r="DZ107" s="40">
        <f t="shared" si="5350"/>
        <v>0</v>
      </c>
      <c r="EA107" s="40">
        <f t="shared" si="5350"/>
        <v>0</v>
      </c>
      <c r="EB107" s="40">
        <f t="shared" si="5350"/>
        <v>0</v>
      </c>
      <c r="EC107" s="40">
        <f t="shared" si="5350"/>
        <v>0</v>
      </c>
      <c r="ED107" s="40">
        <f t="shared" si="5350"/>
        <v>0</v>
      </c>
      <c r="EE107" s="40">
        <f t="shared" si="5350"/>
        <v>0</v>
      </c>
      <c r="EF107" s="40">
        <f t="shared" si="5350"/>
        <v>0</v>
      </c>
      <c r="EG107" s="40">
        <f t="shared" si="5350"/>
        <v>0</v>
      </c>
      <c r="EH107" s="40">
        <f t="shared" ref="EH107:GS107" si="5351">$D$107*EH$102</f>
        <v>0</v>
      </c>
      <c r="EI107" s="40">
        <f t="shared" si="5351"/>
        <v>0</v>
      </c>
      <c r="EJ107" s="40">
        <f t="shared" si="5351"/>
        <v>0</v>
      </c>
      <c r="EK107" s="40">
        <f t="shared" si="5351"/>
        <v>0</v>
      </c>
      <c r="EL107" s="40">
        <f t="shared" si="5351"/>
        <v>0</v>
      </c>
      <c r="EM107" s="40">
        <f t="shared" si="5351"/>
        <v>0</v>
      </c>
      <c r="EN107" s="40">
        <f t="shared" si="5351"/>
        <v>0</v>
      </c>
      <c r="EO107" s="40">
        <f t="shared" si="5351"/>
        <v>0</v>
      </c>
      <c r="EP107" s="40">
        <f t="shared" si="5351"/>
        <v>0</v>
      </c>
      <c r="EQ107" s="40">
        <f t="shared" si="5351"/>
        <v>0</v>
      </c>
      <c r="ER107" s="40">
        <f t="shared" si="5351"/>
        <v>0</v>
      </c>
      <c r="ES107" s="40">
        <f t="shared" si="5351"/>
        <v>0</v>
      </c>
      <c r="ET107" s="40">
        <f t="shared" si="5351"/>
        <v>0</v>
      </c>
      <c r="EU107" s="40">
        <f t="shared" si="5351"/>
        <v>0</v>
      </c>
      <c r="EV107" s="40">
        <f t="shared" si="5351"/>
        <v>0</v>
      </c>
      <c r="EW107" s="40">
        <f t="shared" si="5351"/>
        <v>0</v>
      </c>
      <c r="EX107" s="40">
        <f t="shared" si="5351"/>
        <v>0</v>
      </c>
      <c r="EY107" s="40">
        <f t="shared" si="5351"/>
        <v>0</v>
      </c>
      <c r="EZ107" s="40">
        <f t="shared" si="5351"/>
        <v>0</v>
      </c>
      <c r="FA107" s="40">
        <f t="shared" si="5351"/>
        <v>0</v>
      </c>
      <c r="FB107" s="40">
        <f t="shared" si="5351"/>
        <v>0</v>
      </c>
      <c r="FC107" s="40">
        <f t="shared" si="5351"/>
        <v>0</v>
      </c>
      <c r="FD107" s="40">
        <f t="shared" si="5351"/>
        <v>0</v>
      </c>
      <c r="FE107" s="40">
        <f t="shared" si="5351"/>
        <v>0</v>
      </c>
      <c r="FF107" s="40">
        <f t="shared" si="5351"/>
        <v>0</v>
      </c>
      <c r="FG107" s="40">
        <f t="shared" si="5351"/>
        <v>0</v>
      </c>
      <c r="FH107" s="40">
        <f t="shared" si="5351"/>
        <v>0</v>
      </c>
      <c r="FI107" s="40">
        <f t="shared" si="5351"/>
        <v>0</v>
      </c>
      <c r="FJ107" s="40">
        <f t="shared" si="5351"/>
        <v>0</v>
      </c>
      <c r="FK107" s="40">
        <f t="shared" si="5351"/>
        <v>0</v>
      </c>
      <c r="FL107" s="40">
        <f t="shared" si="5351"/>
        <v>0</v>
      </c>
      <c r="FM107" s="40">
        <f t="shared" si="5351"/>
        <v>0</v>
      </c>
      <c r="FN107" s="40">
        <f t="shared" si="5351"/>
        <v>0</v>
      </c>
      <c r="FO107" s="40">
        <f t="shared" si="5351"/>
        <v>0</v>
      </c>
      <c r="FP107" s="40">
        <f t="shared" si="5351"/>
        <v>0</v>
      </c>
      <c r="FQ107" s="40">
        <f t="shared" si="5351"/>
        <v>0</v>
      </c>
      <c r="FR107" s="40">
        <f t="shared" si="5351"/>
        <v>0</v>
      </c>
      <c r="FS107" s="40">
        <f t="shared" si="5351"/>
        <v>0</v>
      </c>
      <c r="FT107" s="40">
        <f t="shared" si="5351"/>
        <v>0</v>
      </c>
      <c r="FU107" s="40">
        <f t="shared" si="5351"/>
        <v>0</v>
      </c>
      <c r="FV107" s="40">
        <f t="shared" si="5351"/>
        <v>0</v>
      </c>
      <c r="FW107" s="40">
        <f t="shared" si="5351"/>
        <v>0</v>
      </c>
      <c r="FX107" s="40">
        <f t="shared" si="5351"/>
        <v>0</v>
      </c>
      <c r="FY107" s="40">
        <f t="shared" si="5351"/>
        <v>0</v>
      </c>
      <c r="FZ107" s="40">
        <f t="shared" si="5351"/>
        <v>0</v>
      </c>
      <c r="GA107" s="40">
        <f t="shared" si="5351"/>
        <v>0</v>
      </c>
      <c r="GB107" s="40">
        <f t="shared" si="5351"/>
        <v>0</v>
      </c>
      <c r="GC107" s="40">
        <f t="shared" si="5351"/>
        <v>0</v>
      </c>
      <c r="GD107" s="40">
        <f t="shared" si="5351"/>
        <v>0</v>
      </c>
      <c r="GE107" s="40">
        <f t="shared" si="5351"/>
        <v>0</v>
      </c>
      <c r="GF107" s="40">
        <f t="shared" ca="1" si="5351"/>
        <v>0</v>
      </c>
      <c r="GG107" s="40">
        <f t="shared" ca="1" si="5351"/>
        <v>0</v>
      </c>
      <c r="GH107" s="40">
        <f t="shared" ca="1" si="5351"/>
        <v>0</v>
      </c>
      <c r="GI107" s="40">
        <f t="shared" ca="1" si="5351"/>
        <v>0</v>
      </c>
      <c r="GJ107" s="40">
        <f t="shared" ca="1" si="5351"/>
        <v>0</v>
      </c>
      <c r="GK107" s="40">
        <f t="shared" ca="1" si="5351"/>
        <v>0</v>
      </c>
      <c r="GL107" s="40">
        <f t="shared" ca="1" si="5351"/>
        <v>0</v>
      </c>
      <c r="GM107" s="40">
        <f t="shared" ca="1" si="5351"/>
        <v>0</v>
      </c>
      <c r="GN107" s="40">
        <f t="shared" ca="1" si="5351"/>
        <v>0</v>
      </c>
      <c r="GO107" s="40">
        <f t="shared" ca="1" si="5351"/>
        <v>0</v>
      </c>
      <c r="GP107" s="40">
        <f t="shared" ca="1" si="5351"/>
        <v>0</v>
      </c>
      <c r="GQ107" s="40">
        <f t="shared" ca="1" si="5351"/>
        <v>0</v>
      </c>
      <c r="GR107" s="40">
        <f t="shared" ca="1" si="5351"/>
        <v>0</v>
      </c>
      <c r="GS107" s="40">
        <f t="shared" ca="1" si="5351"/>
        <v>0</v>
      </c>
      <c r="GT107" s="40">
        <f t="shared" ref="GT107:JE107" ca="1" si="5352">$D$107*GT$102</f>
        <v>0</v>
      </c>
      <c r="GU107" s="40">
        <f t="shared" ca="1" si="5352"/>
        <v>0</v>
      </c>
      <c r="GV107" s="40">
        <f t="shared" ca="1" si="5352"/>
        <v>0</v>
      </c>
      <c r="GW107" s="40">
        <f t="shared" ca="1" si="5352"/>
        <v>0</v>
      </c>
      <c r="GX107" s="40">
        <f t="shared" ca="1" si="5352"/>
        <v>0</v>
      </c>
      <c r="GY107" s="40">
        <f t="shared" ca="1" si="5352"/>
        <v>0</v>
      </c>
      <c r="GZ107" s="40">
        <f t="shared" ca="1" si="5352"/>
        <v>0</v>
      </c>
      <c r="HA107" s="40">
        <f t="shared" ca="1" si="5352"/>
        <v>0</v>
      </c>
      <c r="HB107" s="40">
        <f t="shared" ca="1" si="5352"/>
        <v>0</v>
      </c>
      <c r="HC107" s="40">
        <f t="shared" ca="1" si="5352"/>
        <v>0</v>
      </c>
      <c r="HD107" s="40">
        <f t="shared" ca="1" si="5352"/>
        <v>0</v>
      </c>
      <c r="HE107" s="40">
        <f t="shared" ca="1" si="5352"/>
        <v>0</v>
      </c>
      <c r="HF107" s="40">
        <f t="shared" ca="1" si="5352"/>
        <v>0</v>
      </c>
      <c r="HG107" s="40">
        <f t="shared" ca="1" si="5352"/>
        <v>0</v>
      </c>
      <c r="HH107" s="40">
        <f t="shared" ca="1" si="5352"/>
        <v>0</v>
      </c>
      <c r="HI107" s="40">
        <f t="shared" ca="1" si="5352"/>
        <v>0</v>
      </c>
      <c r="HJ107" s="40">
        <f t="shared" ca="1" si="5352"/>
        <v>0</v>
      </c>
      <c r="HK107" s="40">
        <f t="shared" ca="1" si="5352"/>
        <v>0</v>
      </c>
      <c r="HL107" s="40">
        <f t="shared" ca="1" si="5352"/>
        <v>0</v>
      </c>
      <c r="HM107" s="40">
        <f t="shared" ca="1" si="5352"/>
        <v>0</v>
      </c>
      <c r="HN107" s="40">
        <f t="shared" ca="1" si="5352"/>
        <v>0</v>
      </c>
      <c r="HO107" s="40">
        <f t="shared" ca="1" si="5352"/>
        <v>0</v>
      </c>
      <c r="HP107" s="40">
        <f t="shared" ca="1" si="5352"/>
        <v>0</v>
      </c>
      <c r="HQ107" s="40">
        <f t="shared" ca="1" si="5352"/>
        <v>0</v>
      </c>
      <c r="HR107" s="40">
        <f t="shared" ca="1" si="5352"/>
        <v>0</v>
      </c>
      <c r="HS107" s="40">
        <f t="shared" ca="1" si="5352"/>
        <v>0</v>
      </c>
      <c r="HT107" s="40">
        <f t="shared" ca="1" si="5352"/>
        <v>0</v>
      </c>
      <c r="HU107" s="40">
        <f t="shared" ca="1" si="5352"/>
        <v>0</v>
      </c>
      <c r="HV107" s="40">
        <f t="shared" ca="1" si="5352"/>
        <v>0</v>
      </c>
      <c r="HW107" s="40">
        <f t="shared" ca="1" si="5352"/>
        <v>0</v>
      </c>
      <c r="HX107" s="40">
        <f t="shared" ca="1" si="5352"/>
        <v>0</v>
      </c>
      <c r="HY107" s="40">
        <f t="shared" ca="1" si="5352"/>
        <v>0</v>
      </c>
      <c r="HZ107" s="40">
        <f t="shared" ca="1" si="5352"/>
        <v>0</v>
      </c>
      <c r="IA107" s="40">
        <f t="shared" ca="1" si="5352"/>
        <v>0</v>
      </c>
      <c r="IB107" s="40">
        <f t="shared" ca="1" si="5352"/>
        <v>0</v>
      </c>
      <c r="IC107" s="40">
        <f t="shared" ca="1" si="5352"/>
        <v>0</v>
      </c>
      <c r="ID107" s="40">
        <f t="shared" ca="1" si="5352"/>
        <v>0</v>
      </c>
      <c r="IE107" s="40">
        <f t="shared" ca="1" si="5352"/>
        <v>0</v>
      </c>
      <c r="IF107" s="40">
        <f t="shared" ca="1" si="5352"/>
        <v>0</v>
      </c>
      <c r="IG107" s="40">
        <f t="shared" ca="1" si="5352"/>
        <v>0</v>
      </c>
      <c r="IH107" s="40">
        <f t="shared" ca="1" si="5352"/>
        <v>0</v>
      </c>
      <c r="II107" s="40">
        <f t="shared" ca="1" si="5352"/>
        <v>0</v>
      </c>
      <c r="IJ107" s="40">
        <f t="shared" ca="1" si="5352"/>
        <v>0</v>
      </c>
      <c r="IK107" s="40">
        <f t="shared" ca="1" si="5352"/>
        <v>0</v>
      </c>
      <c r="IL107" s="40">
        <f t="shared" ca="1" si="5352"/>
        <v>0</v>
      </c>
      <c r="IM107" s="40">
        <f t="shared" ca="1" si="5352"/>
        <v>0</v>
      </c>
      <c r="IN107" s="40">
        <f t="shared" ca="1" si="5352"/>
        <v>0</v>
      </c>
      <c r="IO107" s="40">
        <f t="shared" ca="1" si="5352"/>
        <v>0</v>
      </c>
      <c r="IP107" s="40">
        <f t="shared" ca="1" si="5352"/>
        <v>0</v>
      </c>
      <c r="IQ107" s="40">
        <f t="shared" ca="1" si="5352"/>
        <v>0</v>
      </c>
      <c r="IR107" s="40">
        <f t="shared" ca="1" si="5352"/>
        <v>0</v>
      </c>
      <c r="IS107" s="40">
        <f t="shared" ca="1" si="5352"/>
        <v>0</v>
      </c>
      <c r="IT107" s="40">
        <f t="shared" ca="1" si="5352"/>
        <v>0</v>
      </c>
      <c r="IU107" s="40">
        <f t="shared" ca="1" si="5352"/>
        <v>0</v>
      </c>
      <c r="IV107" s="40">
        <f t="shared" ca="1" si="5352"/>
        <v>0</v>
      </c>
      <c r="IW107" s="40">
        <f t="shared" ca="1" si="5352"/>
        <v>0</v>
      </c>
      <c r="IX107" s="40">
        <f t="shared" ca="1" si="5352"/>
        <v>0</v>
      </c>
      <c r="IY107" s="40">
        <f t="shared" ca="1" si="5352"/>
        <v>0</v>
      </c>
      <c r="IZ107" s="40">
        <f t="shared" ca="1" si="5352"/>
        <v>0</v>
      </c>
      <c r="JA107" s="40">
        <f t="shared" ca="1" si="5352"/>
        <v>0</v>
      </c>
      <c r="JB107" s="40">
        <f t="shared" ca="1" si="5352"/>
        <v>0</v>
      </c>
      <c r="JC107" s="40">
        <f t="shared" ca="1" si="5352"/>
        <v>0</v>
      </c>
      <c r="JD107" s="40">
        <f t="shared" ca="1" si="5352"/>
        <v>0</v>
      </c>
      <c r="JE107" s="40">
        <f t="shared" ca="1" si="5352"/>
        <v>0</v>
      </c>
      <c r="JF107" s="40">
        <f t="shared" ref="JF107:LQ107" ca="1" si="5353">$D$107*JF$102</f>
        <v>0</v>
      </c>
      <c r="JG107" s="40">
        <f t="shared" ca="1" si="5353"/>
        <v>0</v>
      </c>
      <c r="JH107" s="40">
        <f t="shared" ca="1" si="5353"/>
        <v>0</v>
      </c>
      <c r="JI107" s="40">
        <f t="shared" ca="1" si="5353"/>
        <v>0</v>
      </c>
      <c r="JJ107" s="40">
        <f t="shared" ca="1" si="5353"/>
        <v>0</v>
      </c>
      <c r="JK107" s="40">
        <f t="shared" ca="1" si="5353"/>
        <v>0</v>
      </c>
      <c r="JL107" s="40">
        <f t="shared" ca="1" si="5353"/>
        <v>0</v>
      </c>
      <c r="JM107" s="40">
        <f t="shared" ca="1" si="5353"/>
        <v>0</v>
      </c>
      <c r="JN107" s="40">
        <f t="shared" ca="1" si="5353"/>
        <v>0</v>
      </c>
      <c r="JO107" s="40">
        <f t="shared" ca="1" si="5353"/>
        <v>0</v>
      </c>
      <c r="JP107" s="40">
        <f t="shared" ca="1" si="5353"/>
        <v>0</v>
      </c>
      <c r="JQ107" s="40">
        <f t="shared" ca="1" si="5353"/>
        <v>0</v>
      </c>
      <c r="JR107" s="40">
        <f t="shared" ca="1" si="5353"/>
        <v>0</v>
      </c>
      <c r="JS107" s="40">
        <f t="shared" ca="1" si="5353"/>
        <v>0</v>
      </c>
      <c r="JT107" s="40">
        <f t="shared" ca="1" si="5353"/>
        <v>0</v>
      </c>
      <c r="JU107" s="40">
        <f t="shared" ca="1" si="5353"/>
        <v>0</v>
      </c>
      <c r="JV107" s="40">
        <f t="shared" ca="1" si="5353"/>
        <v>0</v>
      </c>
      <c r="JW107" s="40">
        <f t="shared" ca="1" si="5353"/>
        <v>0</v>
      </c>
      <c r="JX107" s="40">
        <f t="shared" ca="1" si="5353"/>
        <v>0</v>
      </c>
      <c r="JY107" s="40">
        <f t="shared" ca="1" si="5353"/>
        <v>0</v>
      </c>
      <c r="JZ107" s="40">
        <f t="shared" ca="1" si="5353"/>
        <v>0</v>
      </c>
      <c r="KA107" s="40">
        <f t="shared" ca="1" si="5353"/>
        <v>0</v>
      </c>
      <c r="KB107" s="40">
        <f t="shared" ca="1" si="5353"/>
        <v>0</v>
      </c>
      <c r="KC107" s="40">
        <f t="shared" ca="1" si="5353"/>
        <v>0</v>
      </c>
      <c r="KD107" s="40">
        <f t="shared" ca="1" si="5353"/>
        <v>0</v>
      </c>
      <c r="KE107" s="40">
        <f t="shared" ca="1" si="5353"/>
        <v>0</v>
      </c>
      <c r="KF107" s="40">
        <f t="shared" ca="1" si="5353"/>
        <v>0</v>
      </c>
      <c r="KG107" s="40">
        <f t="shared" ca="1" si="5353"/>
        <v>0</v>
      </c>
      <c r="KH107" s="40">
        <f t="shared" ca="1" si="5353"/>
        <v>0</v>
      </c>
      <c r="KI107" s="40">
        <f t="shared" ca="1" si="5353"/>
        <v>0</v>
      </c>
      <c r="KJ107" s="40">
        <f t="shared" ca="1" si="5353"/>
        <v>0</v>
      </c>
      <c r="KK107" s="40">
        <f t="shared" ca="1" si="5353"/>
        <v>0</v>
      </c>
      <c r="KL107" s="40">
        <f t="shared" ca="1" si="5353"/>
        <v>0</v>
      </c>
      <c r="KM107" s="40">
        <f t="shared" ca="1" si="5353"/>
        <v>0</v>
      </c>
      <c r="KN107" s="40">
        <f t="shared" ca="1" si="5353"/>
        <v>0</v>
      </c>
      <c r="KO107" s="40">
        <f t="shared" ca="1" si="5353"/>
        <v>0</v>
      </c>
      <c r="KP107" s="40">
        <f t="shared" ca="1" si="5353"/>
        <v>0</v>
      </c>
      <c r="KQ107" s="40">
        <f t="shared" ca="1" si="5353"/>
        <v>0</v>
      </c>
      <c r="KR107" s="40">
        <f t="shared" ca="1" si="5353"/>
        <v>0</v>
      </c>
      <c r="KS107" s="40">
        <f t="shared" ca="1" si="5353"/>
        <v>0</v>
      </c>
      <c r="KT107" s="40">
        <f t="shared" ca="1" si="5353"/>
        <v>0</v>
      </c>
      <c r="KU107" s="40">
        <f t="shared" ca="1" si="5353"/>
        <v>0</v>
      </c>
      <c r="KV107" s="40">
        <f t="shared" ca="1" si="5353"/>
        <v>0</v>
      </c>
      <c r="KW107" s="40">
        <f t="shared" ca="1" si="5353"/>
        <v>0</v>
      </c>
      <c r="KX107" s="40">
        <f t="shared" ca="1" si="5353"/>
        <v>0</v>
      </c>
      <c r="KY107" s="40">
        <f t="shared" ca="1" si="5353"/>
        <v>0</v>
      </c>
      <c r="KZ107" s="40">
        <f t="shared" ca="1" si="5353"/>
        <v>0</v>
      </c>
      <c r="LA107" s="40">
        <f t="shared" ca="1" si="5353"/>
        <v>0</v>
      </c>
      <c r="LB107" s="40">
        <f t="shared" ca="1" si="5353"/>
        <v>0</v>
      </c>
      <c r="LC107" s="40">
        <f t="shared" ca="1" si="5353"/>
        <v>0</v>
      </c>
      <c r="LD107" s="40">
        <f t="shared" ca="1" si="5353"/>
        <v>0</v>
      </c>
      <c r="LE107" s="40">
        <f t="shared" ca="1" si="5353"/>
        <v>0</v>
      </c>
      <c r="LF107" s="40">
        <f t="shared" ca="1" si="5353"/>
        <v>0</v>
      </c>
      <c r="LG107" s="40">
        <f t="shared" ca="1" si="5353"/>
        <v>0</v>
      </c>
      <c r="LH107" s="40">
        <f t="shared" ca="1" si="5353"/>
        <v>0</v>
      </c>
      <c r="LI107" s="40">
        <f t="shared" ca="1" si="5353"/>
        <v>0</v>
      </c>
      <c r="LJ107" s="40">
        <f t="shared" ca="1" si="5353"/>
        <v>0</v>
      </c>
      <c r="LK107" s="40">
        <f t="shared" ca="1" si="5353"/>
        <v>0</v>
      </c>
      <c r="LL107" s="40">
        <f t="shared" ca="1" si="5353"/>
        <v>0</v>
      </c>
      <c r="LM107" s="40">
        <f t="shared" ca="1" si="5353"/>
        <v>0</v>
      </c>
      <c r="LN107" s="40">
        <f t="shared" ca="1" si="5353"/>
        <v>0</v>
      </c>
      <c r="LO107" s="40">
        <f t="shared" ca="1" si="5353"/>
        <v>0</v>
      </c>
      <c r="LP107" s="40">
        <f t="shared" ca="1" si="5353"/>
        <v>0</v>
      </c>
      <c r="LQ107" s="40">
        <f t="shared" ca="1" si="5353"/>
        <v>0</v>
      </c>
      <c r="LR107" s="40">
        <f t="shared" ref="LR107:ND107" ca="1" si="5354">$D$107*LR$102</f>
        <v>0</v>
      </c>
      <c r="LS107" s="40">
        <f t="shared" ca="1" si="5354"/>
        <v>0</v>
      </c>
      <c r="LT107" s="40">
        <f t="shared" ca="1" si="5354"/>
        <v>0</v>
      </c>
      <c r="LU107" s="40">
        <f t="shared" ca="1" si="5354"/>
        <v>0</v>
      </c>
      <c r="LV107" s="40">
        <f t="shared" ca="1" si="5354"/>
        <v>0</v>
      </c>
      <c r="LW107" s="40">
        <f t="shared" ca="1" si="5354"/>
        <v>0</v>
      </c>
      <c r="LX107" s="40">
        <f t="shared" ca="1" si="5354"/>
        <v>0</v>
      </c>
      <c r="LY107" s="40">
        <f t="shared" ca="1" si="5354"/>
        <v>0</v>
      </c>
      <c r="LZ107" s="40">
        <f t="shared" ca="1" si="5354"/>
        <v>0</v>
      </c>
      <c r="MA107" s="40">
        <f t="shared" ca="1" si="5354"/>
        <v>0</v>
      </c>
      <c r="MB107" s="40">
        <f t="shared" ca="1" si="5354"/>
        <v>0</v>
      </c>
      <c r="MC107" s="40">
        <f t="shared" ca="1" si="5354"/>
        <v>0</v>
      </c>
      <c r="MD107" s="40">
        <f t="shared" ca="1" si="5354"/>
        <v>0</v>
      </c>
      <c r="ME107" s="40">
        <f t="shared" ca="1" si="5354"/>
        <v>0</v>
      </c>
      <c r="MF107" s="40">
        <f t="shared" ca="1" si="5354"/>
        <v>0</v>
      </c>
      <c r="MG107" s="40">
        <f t="shared" ca="1" si="5354"/>
        <v>0</v>
      </c>
      <c r="MH107" s="40">
        <f t="shared" ca="1" si="5354"/>
        <v>0</v>
      </c>
      <c r="MI107" s="40">
        <f t="shared" ca="1" si="5354"/>
        <v>0</v>
      </c>
      <c r="MJ107" s="40">
        <f t="shared" ca="1" si="5354"/>
        <v>0</v>
      </c>
      <c r="MK107" s="40">
        <f t="shared" ca="1" si="5354"/>
        <v>0</v>
      </c>
      <c r="ML107" s="40">
        <f t="shared" ca="1" si="5354"/>
        <v>0</v>
      </c>
      <c r="MM107" s="40">
        <f t="shared" ca="1" si="5354"/>
        <v>0</v>
      </c>
      <c r="MN107" s="40">
        <f t="shared" ca="1" si="5354"/>
        <v>0</v>
      </c>
      <c r="MO107" s="40">
        <f t="shared" ca="1" si="5354"/>
        <v>0</v>
      </c>
      <c r="MP107" s="40">
        <f t="shared" ca="1" si="5354"/>
        <v>0</v>
      </c>
      <c r="MQ107" s="40">
        <f t="shared" ca="1" si="5354"/>
        <v>0</v>
      </c>
      <c r="MR107" s="40">
        <f t="shared" ca="1" si="5354"/>
        <v>0</v>
      </c>
      <c r="MS107" s="40">
        <f t="shared" ca="1" si="5354"/>
        <v>0</v>
      </c>
      <c r="MT107" s="40">
        <f t="shared" ca="1" si="5354"/>
        <v>0</v>
      </c>
      <c r="MU107" s="40">
        <f t="shared" ca="1" si="5354"/>
        <v>0</v>
      </c>
      <c r="MV107" s="40">
        <f t="shared" ca="1" si="5354"/>
        <v>0</v>
      </c>
      <c r="MW107" s="40">
        <f t="shared" ca="1" si="5354"/>
        <v>0</v>
      </c>
      <c r="MX107" s="40">
        <f t="shared" ca="1" si="5354"/>
        <v>0</v>
      </c>
      <c r="MY107" s="40">
        <f t="shared" ca="1" si="5354"/>
        <v>0</v>
      </c>
      <c r="MZ107" s="40">
        <f t="shared" ca="1" si="5354"/>
        <v>0</v>
      </c>
      <c r="NA107" s="40">
        <f t="shared" ca="1" si="5354"/>
        <v>0</v>
      </c>
      <c r="NB107" s="40">
        <f t="shared" ca="1" si="5354"/>
        <v>0</v>
      </c>
      <c r="NC107" s="40">
        <f t="shared" ca="1" si="5354"/>
        <v>0</v>
      </c>
      <c r="ND107" s="40">
        <f t="shared" ca="1" si="5354"/>
        <v>0</v>
      </c>
      <c r="NE107" s="40"/>
      <c r="NF107" s="40"/>
      <c r="NG107" s="40"/>
      <c r="NH107" s="40"/>
      <c r="NI107" s="40"/>
      <c r="NJ107" s="40"/>
      <c r="NK107" s="40"/>
      <c r="NL107" s="40"/>
      <c r="NM107" s="40"/>
      <c r="NN107" s="40"/>
      <c r="NO107" s="40"/>
      <c r="NP107" s="40"/>
      <c r="NQ107" s="40"/>
      <c r="NR107" s="40"/>
    </row>
    <row r="108" spans="2:382" x14ac:dyDescent="0.15">
      <c r="B108" s="521"/>
      <c r="C108" t="s">
        <v>185</v>
      </c>
      <c r="E108" s="5">
        <f>K15</f>
        <v>0.30000000000000004</v>
      </c>
      <c r="G108" s="118"/>
      <c r="I108" s="40">
        <f>$E$108*I100</f>
        <v>0</v>
      </c>
      <c r="J108" s="40">
        <f t="shared" ref="J108" si="5355">$E$108*J100</f>
        <v>0</v>
      </c>
      <c r="K108" s="40">
        <f t="shared" ref="K108:BV108" si="5356">$E$108*K100</f>
        <v>0</v>
      </c>
      <c r="L108" s="40">
        <f t="shared" si="5356"/>
        <v>0</v>
      </c>
      <c r="M108" s="40">
        <f t="shared" si="5356"/>
        <v>0</v>
      </c>
      <c r="N108" s="40">
        <f t="shared" si="5356"/>
        <v>0</v>
      </c>
      <c r="O108" s="40">
        <f t="shared" si="5356"/>
        <v>0</v>
      </c>
      <c r="P108" s="40">
        <f t="shared" si="5356"/>
        <v>0</v>
      </c>
      <c r="Q108" s="40">
        <f t="shared" si="5356"/>
        <v>0</v>
      </c>
      <c r="R108" s="40">
        <f t="shared" si="5356"/>
        <v>0</v>
      </c>
      <c r="S108" s="40">
        <f t="shared" si="5356"/>
        <v>0</v>
      </c>
      <c r="T108" s="40">
        <f t="shared" si="5356"/>
        <v>0</v>
      </c>
      <c r="U108" s="40">
        <f t="shared" si="5356"/>
        <v>0</v>
      </c>
      <c r="V108" s="40">
        <f t="shared" si="5356"/>
        <v>0</v>
      </c>
      <c r="W108" s="40">
        <f t="shared" si="5356"/>
        <v>0</v>
      </c>
      <c r="X108" s="40">
        <f t="shared" si="5356"/>
        <v>0</v>
      </c>
      <c r="Y108" s="40">
        <f t="shared" si="5356"/>
        <v>0</v>
      </c>
      <c r="Z108" s="40">
        <f t="shared" si="5356"/>
        <v>0</v>
      </c>
      <c r="AA108" s="40">
        <f t="shared" si="5356"/>
        <v>0</v>
      </c>
      <c r="AB108" s="40">
        <f t="shared" si="5356"/>
        <v>0</v>
      </c>
      <c r="AC108" s="40">
        <f t="shared" si="5356"/>
        <v>0</v>
      </c>
      <c r="AD108" s="40">
        <f t="shared" si="5356"/>
        <v>0</v>
      </c>
      <c r="AE108" s="40">
        <f t="shared" si="5356"/>
        <v>0</v>
      </c>
      <c r="AF108" s="40">
        <f t="shared" si="5356"/>
        <v>0</v>
      </c>
      <c r="AG108" s="40">
        <f t="shared" si="5356"/>
        <v>0</v>
      </c>
      <c r="AH108" s="40">
        <f t="shared" si="5356"/>
        <v>0</v>
      </c>
      <c r="AI108" s="40">
        <f t="shared" si="5356"/>
        <v>0</v>
      </c>
      <c r="AJ108" s="40">
        <f t="shared" si="5356"/>
        <v>0</v>
      </c>
      <c r="AK108" s="40">
        <f t="shared" si="5356"/>
        <v>0</v>
      </c>
      <c r="AL108" s="40">
        <f t="shared" si="5356"/>
        <v>0</v>
      </c>
      <c r="AM108" s="40">
        <f t="shared" si="5356"/>
        <v>0</v>
      </c>
      <c r="AN108" s="40">
        <f t="shared" si="5356"/>
        <v>0</v>
      </c>
      <c r="AO108" s="40">
        <f t="shared" si="5356"/>
        <v>0</v>
      </c>
      <c r="AP108" s="40">
        <f t="shared" si="5356"/>
        <v>0</v>
      </c>
      <c r="AQ108" s="40">
        <f t="shared" si="5356"/>
        <v>0</v>
      </c>
      <c r="AR108" s="40">
        <f t="shared" si="5356"/>
        <v>0</v>
      </c>
      <c r="AS108" s="40">
        <f t="shared" si="5356"/>
        <v>0</v>
      </c>
      <c r="AT108" s="40">
        <f t="shared" si="5356"/>
        <v>0</v>
      </c>
      <c r="AU108" s="40">
        <f t="shared" si="5356"/>
        <v>0</v>
      </c>
      <c r="AV108" s="40">
        <f t="shared" si="5356"/>
        <v>0</v>
      </c>
      <c r="AW108" s="40">
        <f t="shared" si="5356"/>
        <v>0</v>
      </c>
      <c r="AX108" s="40">
        <f t="shared" si="5356"/>
        <v>0</v>
      </c>
      <c r="AY108" s="40">
        <f t="shared" si="5356"/>
        <v>0</v>
      </c>
      <c r="AZ108" s="40">
        <f t="shared" si="5356"/>
        <v>0</v>
      </c>
      <c r="BA108" s="40">
        <f t="shared" si="5356"/>
        <v>0</v>
      </c>
      <c r="BB108" s="40">
        <f t="shared" si="5356"/>
        <v>0</v>
      </c>
      <c r="BC108" s="40">
        <f t="shared" si="5356"/>
        <v>0</v>
      </c>
      <c r="BD108" s="40">
        <f t="shared" si="5356"/>
        <v>0</v>
      </c>
      <c r="BE108" s="40">
        <f t="shared" si="5356"/>
        <v>0</v>
      </c>
      <c r="BF108" s="40">
        <f t="shared" si="5356"/>
        <v>0</v>
      </c>
      <c r="BG108" s="40">
        <f t="shared" si="5356"/>
        <v>0</v>
      </c>
      <c r="BH108" s="40">
        <f t="shared" si="5356"/>
        <v>0</v>
      </c>
      <c r="BI108" s="40">
        <f t="shared" si="5356"/>
        <v>0</v>
      </c>
      <c r="BJ108" s="40">
        <f t="shared" si="5356"/>
        <v>0</v>
      </c>
      <c r="BK108" s="40">
        <f t="shared" si="5356"/>
        <v>0</v>
      </c>
      <c r="BL108" s="40">
        <f t="shared" si="5356"/>
        <v>0</v>
      </c>
      <c r="BM108" s="40">
        <f t="shared" si="5356"/>
        <v>0</v>
      </c>
      <c r="BN108" s="40">
        <f t="shared" si="5356"/>
        <v>0</v>
      </c>
      <c r="BO108" s="40">
        <f t="shared" si="5356"/>
        <v>0</v>
      </c>
      <c r="BP108" s="40">
        <f t="shared" si="5356"/>
        <v>0</v>
      </c>
      <c r="BQ108" s="40">
        <f t="shared" si="5356"/>
        <v>0</v>
      </c>
      <c r="BR108" s="40">
        <f t="shared" si="5356"/>
        <v>0</v>
      </c>
      <c r="BS108" s="40">
        <f t="shared" si="5356"/>
        <v>0</v>
      </c>
      <c r="BT108" s="40">
        <f t="shared" si="5356"/>
        <v>0</v>
      </c>
      <c r="BU108" s="40">
        <f t="shared" si="5356"/>
        <v>0</v>
      </c>
      <c r="BV108" s="40">
        <f t="shared" si="5356"/>
        <v>0</v>
      </c>
      <c r="BW108" s="40">
        <f t="shared" ref="BW108:EH108" si="5357">$E$108*BW100</f>
        <v>0</v>
      </c>
      <c r="BX108" s="40">
        <f t="shared" si="5357"/>
        <v>0</v>
      </c>
      <c r="BY108" s="40">
        <f t="shared" si="5357"/>
        <v>0</v>
      </c>
      <c r="BZ108" s="40">
        <f t="shared" si="5357"/>
        <v>0</v>
      </c>
      <c r="CA108" s="40">
        <f t="shared" si="5357"/>
        <v>0</v>
      </c>
      <c r="CB108" s="40">
        <f t="shared" si="5357"/>
        <v>0</v>
      </c>
      <c r="CC108" s="40">
        <f t="shared" si="5357"/>
        <v>0</v>
      </c>
      <c r="CD108" s="40">
        <f t="shared" si="5357"/>
        <v>0</v>
      </c>
      <c r="CE108" s="40">
        <f t="shared" si="5357"/>
        <v>0</v>
      </c>
      <c r="CF108" s="40">
        <f t="shared" si="5357"/>
        <v>0</v>
      </c>
      <c r="CG108" s="40">
        <f t="shared" si="5357"/>
        <v>0</v>
      </c>
      <c r="CH108" s="40">
        <f t="shared" si="5357"/>
        <v>0</v>
      </c>
      <c r="CI108" s="40">
        <f t="shared" si="5357"/>
        <v>0</v>
      </c>
      <c r="CJ108" s="40">
        <f t="shared" si="5357"/>
        <v>0</v>
      </c>
      <c r="CK108" s="40">
        <f t="shared" si="5357"/>
        <v>0</v>
      </c>
      <c r="CL108" s="40">
        <f t="shared" si="5357"/>
        <v>0</v>
      </c>
      <c r="CM108" s="40">
        <f t="shared" si="5357"/>
        <v>0</v>
      </c>
      <c r="CN108" s="40">
        <f t="shared" si="5357"/>
        <v>0</v>
      </c>
      <c r="CO108" s="40">
        <f t="shared" si="5357"/>
        <v>0</v>
      </c>
      <c r="CP108" s="40">
        <f t="shared" si="5357"/>
        <v>0</v>
      </c>
      <c r="CQ108" s="40">
        <f t="shared" si="5357"/>
        <v>0</v>
      </c>
      <c r="CR108" s="40">
        <f t="shared" si="5357"/>
        <v>0</v>
      </c>
      <c r="CS108" s="40">
        <f t="shared" si="5357"/>
        <v>0</v>
      </c>
      <c r="CT108" s="40">
        <f t="shared" si="5357"/>
        <v>0</v>
      </c>
      <c r="CU108" s="40">
        <f t="shared" si="5357"/>
        <v>0</v>
      </c>
      <c r="CV108" s="40">
        <f t="shared" si="5357"/>
        <v>0</v>
      </c>
      <c r="CW108" s="40">
        <f t="shared" si="5357"/>
        <v>0</v>
      </c>
      <c r="CX108" s="40">
        <f t="shared" si="5357"/>
        <v>0</v>
      </c>
      <c r="CY108" s="40">
        <f t="shared" si="5357"/>
        <v>0</v>
      </c>
      <c r="CZ108" s="40">
        <f t="shared" si="5357"/>
        <v>0</v>
      </c>
      <c r="DA108" s="40">
        <f t="shared" si="5357"/>
        <v>0</v>
      </c>
      <c r="DB108" s="40">
        <f t="shared" si="5357"/>
        <v>0</v>
      </c>
      <c r="DC108" s="40">
        <f t="shared" si="5357"/>
        <v>0</v>
      </c>
      <c r="DD108" s="40">
        <f t="shared" si="5357"/>
        <v>0</v>
      </c>
      <c r="DE108" s="40">
        <f t="shared" si="5357"/>
        <v>0</v>
      </c>
      <c r="DF108" s="40">
        <f t="shared" si="5357"/>
        <v>0</v>
      </c>
      <c r="DG108" s="40">
        <f t="shared" si="5357"/>
        <v>0</v>
      </c>
      <c r="DH108" s="40">
        <f t="shared" si="5357"/>
        <v>0</v>
      </c>
      <c r="DI108" s="40">
        <f t="shared" si="5357"/>
        <v>0</v>
      </c>
      <c r="DJ108" s="40">
        <f t="shared" si="5357"/>
        <v>0</v>
      </c>
      <c r="DK108" s="40">
        <f t="shared" si="5357"/>
        <v>0</v>
      </c>
      <c r="DL108" s="40">
        <f t="shared" si="5357"/>
        <v>0</v>
      </c>
      <c r="DM108" s="40">
        <f t="shared" si="5357"/>
        <v>0</v>
      </c>
      <c r="DN108" s="40">
        <f t="shared" si="5357"/>
        <v>0</v>
      </c>
      <c r="DO108" s="40">
        <f t="shared" si="5357"/>
        <v>0</v>
      </c>
      <c r="DP108" s="40">
        <f t="shared" si="5357"/>
        <v>0</v>
      </c>
      <c r="DQ108" s="40">
        <f t="shared" si="5357"/>
        <v>0</v>
      </c>
      <c r="DR108" s="40">
        <f t="shared" si="5357"/>
        <v>0</v>
      </c>
      <c r="DS108" s="40">
        <f t="shared" si="5357"/>
        <v>0</v>
      </c>
      <c r="DT108" s="40">
        <f t="shared" si="5357"/>
        <v>0</v>
      </c>
      <c r="DU108" s="40">
        <f t="shared" si="5357"/>
        <v>0</v>
      </c>
      <c r="DV108" s="40">
        <f t="shared" si="5357"/>
        <v>0</v>
      </c>
      <c r="DW108" s="40">
        <f t="shared" si="5357"/>
        <v>0</v>
      </c>
      <c r="DX108" s="40">
        <f t="shared" si="5357"/>
        <v>0</v>
      </c>
      <c r="DY108" s="40">
        <f t="shared" si="5357"/>
        <v>0</v>
      </c>
      <c r="DZ108" s="40">
        <f t="shared" si="5357"/>
        <v>0</v>
      </c>
      <c r="EA108" s="40">
        <f t="shared" si="5357"/>
        <v>0</v>
      </c>
      <c r="EB108" s="40">
        <f t="shared" si="5357"/>
        <v>0</v>
      </c>
      <c r="EC108" s="40">
        <f t="shared" si="5357"/>
        <v>0</v>
      </c>
      <c r="ED108" s="40">
        <f t="shared" si="5357"/>
        <v>0</v>
      </c>
      <c r="EE108" s="40">
        <f t="shared" si="5357"/>
        <v>0</v>
      </c>
      <c r="EF108" s="40">
        <f t="shared" si="5357"/>
        <v>0</v>
      </c>
      <c r="EG108" s="40">
        <f t="shared" si="5357"/>
        <v>0</v>
      </c>
      <c r="EH108" s="40">
        <f t="shared" si="5357"/>
        <v>0</v>
      </c>
      <c r="EI108" s="40">
        <f t="shared" ref="EI108:GT108" si="5358">$E$108*EI100</f>
        <v>0</v>
      </c>
      <c r="EJ108" s="40">
        <f t="shared" si="5358"/>
        <v>0</v>
      </c>
      <c r="EK108" s="40">
        <f t="shared" si="5358"/>
        <v>0</v>
      </c>
      <c r="EL108" s="40">
        <f t="shared" si="5358"/>
        <v>0</v>
      </c>
      <c r="EM108" s="40">
        <f t="shared" si="5358"/>
        <v>0</v>
      </c>
      <c r="EN108" s="40">
        <f t="shared" si="5358"/>
        <v>0</v>
      </c>
      <c r="EO108" s="40">
        <f t="shared" si="5358"/>
        <v>0</v>
      </c>
      <c r="EP108" s="40">
        <f t="shared" si="5358"/>
        <v>0</v>
      </c>
      <c r="EQ108" s="40">
        <f t="shared" si="5358"/>
        <v>0</v>
      </c>
      <c r="ER108" s="40">
        <f t="shared" si="5358"/>
        <v>0</v>
      </c>
      <c r="ES108" s="40">
        <f t="shared" si="5358"/>
        <v>0</v>
      </c>
      <c r="ET108" s="40">
        <f t="shared" si="5358"/>
        <v>0</v>
      </c>
      <c r="EU108" s="40">
        <f t="shared" si="5358"/>
        <v>0</v>
      </c>
      <c r="EV108" s="40">
        <f t="shared" si="5358"/>
        <v>0</v>
      </c>
      <c r="EW108" s="40">
        <f t="shared" si="5358"/>
        <v>0</v>
      </c>
      <c r="EX108" s="40">
        <f t="shared" si="5358"/>
        <v>0</v>
      </c>
      <c r="EY108" s="40">
        <f t="shared" si="5358"/>
        <v>0</v>
      </c>
      <c r="EZ108" s="40">
        <f t="shared" si="5358"/>
        <v>0</v>
      </c>
      <c r="FA108" s="40">
        <f t="shared" si="5358"/>
        <v>0</v>
      </c>
      <c r="FB108" s="40">
        <f t="shared" si="5358"/>
        <v>0</v>
      </c>
      <c r="FC108" s="40">
        <f t="shared" si="5358"/>
        <v>0</v>
      </c>
      <c r="FD108" s="40">
        <f t="shared" si="5358"/>
        <v>0</v>
      </c>
      <c r="FE108" s="40">
        <f t="shared" si="5358"/>
        <v>0</v>
      </c>
      <c r="FF108" s="40">
        <f t="shared" si="5358"/>
        <v>0</v>
      </c>
      <c r="FG108" s="40">
        <f t="shared" si="5358"/>
        <v>0</v>
      </c>
      <c r="FH108" s="40">
        <f t="shared" si="5358"/>
        <v>0</v>
      </c>
      <c r="FI108" s="40">
        <f t="shared" si="5358"/>
        <v>0</v>
      </c>
      <c r="FJ108" s="40">
        <f t="shared" si="5358"/>
        <v>0</v>
      </c>
      <c r="FK108" s="40">
        <f t="shared" si="5358"/>
        <v>0</v>
      </c>
      <c r="FL108" s="40">
        <f t="shared" si="5358"/>
        <v>0</v>
      </c>
      <c r="FM108" s="40">
        <f t="shared" si="5358"/>
        <v>0</v>
      </c>
      <c r="FN108" s="40">
        <f t="shared" si="5358"/>
        <v>0</v>
      </c>
      <c r="FO108" s="40">
        <f t="shared" si="5358"/>
        <v>0</v>
      </c>
      <c r="FP108" s="40">
        <f t="shared" si="5358"/>
        <v>0</v>
      </c>
      <c r="FQ108" s="40">
        <f t="shared" si="5358"/>
        <v>0</v>
      </c>
      <c r="FR108" s="40">
        <f t="shared" si="5358"/>
        <v>0</v>
      </c>
      <c r="FS108" s="40">
        <f t="shared" si="5358"/>
        <v>0</v>
      </c>
      <c r="FT108" s="40">
        <f t="shared" si="5358"/>
        <v>0</v>
      </c>
      <c r="FU108" s="40">
        <f t="shared" si="5358"/>
        <v>0</v>
      </c>
      <c r="FV108" s="40">
        <f t="shared" si="5358"/>
        <v>0</v>
      </c>
      <c r="FW108" s="40">
        <f t="shared" si="5358"/>
        <v>0</v>
      </c>
      <c r="FX108" s="40">
        <f t="shared" si="5358"/>
        <v>0</v>
      </c>
      <c r="FY108" s="40">
        <f t="shared" si="5358"/>
        <v>0</v>
      </c>
      <c r="FZ108" s="40">
        <f t="shared" si="5358"/>
        <v>0</v>
      </c>
      <c r="GA108" s="40">
        <f t="shared" si="5358"/>
        <v>0</v>
      </c>
      <c r="GB108" s="40">
        <f t="shared" si="5358"/>
        <v>0</v>
      </c>
      <c r="GC108" s="40">
        <f t="shared" si="5358"/>
        <v>0</v>
      </c>
      <c r="GD108" s="40">
        <f t="shared" si="5358"/>
        <v>0</v>
      </c>
      <c r="GE108" s="40">
        <f t="shared" si="5358"/>
        <v>0</v>
      </c>
      <c r="GF108" s="40">
        <f t="shared" ca="1" si="5358"/>
        <v>0</v>
      </c>
      <c r="GG108" s="40">
        <f t="shared" ca="1" si="5358"/>
        <v>0</v>
      </c>
      <c r="GH108" s="40">
        <f t="shared" ca="1" si="5358"/>
        <v>0</v>
      </c>
      <c r="GI108" s="40">
        <f t="shared" ca="1" si="5358"/>
        <v>0</v>
      </c>
      <c r="GJ108" s="40">
        <f t="shared" ca="1" si="5358"/>
        <v>0</v>
      </c>
      <c r="GK108" s="40">
        <f t="shared" ca="1" si="5358"/>
        <v>0</v>
      </c>
      <c r="GL108" s="40">
        <f t="shared" ca="1" si="5358"/>
        <v>0</v>
      </c>
      <c r="GM108" s="40">
        <f t="shared" ca="1" si="5358"/>
        <v>0</v>
      </c>
      <c r="GN108" s="40">
        <f t="shared" ca="1" si="5358"/>
        <v>0</v>
      </c>
      <c r="GO108" s="40">
        <f t="shared" ca="1" si="5358"/>
        <v>0</v>
      </c>
      <c r="GP108" s="40">
        <f t="shared" ca="1" si="5358"/>
        <v>0</v>
      </c>
      <c r="GQ108" s="40">
        <f t="shared" ca="1" si="5358"/>
        <v>0</v>
      </c>
      <c r="GR108" s="40">
        <f t="shared" ca="1" si="5358"/>
        <v>0</v>
      </c>
      <c r="GS108" s="40">
        <f t="shared" ca="1" si="5358"/>
        <v>0</v>
      </c>
      <c r="GT108" s="40">
        <f t="shared" ca="1" si="5358"/>
        <v>0</v>
      </c>
      <c r="GU108" s="40">
        <f t="shared" ref="GU108:IN108" ca="1" si="5359">$E$108*GU100</f>
        <v>0</v>
      </c>
      <c r="GV108" s="40">
        <f t="shared" ca="1" si="5359"/>
        <v>0</v>
      </c>
      <c r="GW108" s="40">
        <f t="shared" ca="1" si="5359"/>
        <v>0</v>
      </c>
      <c r="GX108" s="40">
        <f t="shared" ca="1" si="5359"/>
        <v>0</v>
      </c>
      <c r="GY108" s="40">
        <f t="shared" ca="1" si="5359"/>
        <v>0</v>
      </c>
      <c r="GZ108" s="40">
        <f t="shared" ca="1" si="5359"/>
        <v>0</v>
      </c>
      <c r="HA108" s="40">
        <f t="shared" ca="1" si="5359"/>
        <v>0</v>
      </c>
      <c r="HB108" s="40">
        <f t="shared" ca="1" si="5359"/>
        <v>0</v>
      </c>
      <c r="HC108" s="40">
        <f t="shared" ca="1" si="5359"/>
        <v>0</v>
      </c>
      <c r="HD108" s="40">
        <f t="shared" ca="1" si="5359"/>
        <v>0</v>
      </c>
      <c r="HE108" s="40">
        <f t="shared" ca="1" si="5359"/>
        <v>0</v>
      </c>
      <c r="HF108" s="40">
        <f t="shared" ca="1" si="5359"/>
        <v>0</v>
      </c>
      <c r="HG108" s="40">
        <f t="shared" ca="1" si="5359"/>
        <v>0</v>
      </c>
      <c r="HH108" s="40">
        <f t="shared" ca="1" si="5359"/>
        <v>0</v>
      </c>
      <c r="HI108" s="40">
        <f t="shared" ca="1" si="5359"/>
        <v>0</v>
      </c>
      <c r="HJ108" s="40">
        <f t="shared" ca="1" si="5359"/>
        <v>0</v>
      </c>
      <c r="HK108" s="40">
        <f t="shared" ca="1" si="5359"/>
        <v>0</v>
      </c>
      <c r="HL108" s="40">
        <f t="shared" ca="1" si="5359"/>
        <v>0</v>
      </c>
      <c r="HM108" s="40">
        <f t="shared" ca="1" si="5359"/>
        <v>0</v>
      </c>
      <c r="HN108" s="40">
        <f t="shared" ca="1" si="5359"/>
        <v>0</v>
      </c>
      <c r="HO108" s="40">
        <f t="shared" ca="1" si="5359"/>
        <v>0</v>
      </c>
      <c r="HP108" s="40">
        <f t="shared" ca="1" si="5359"/>
        <v>0</v>
      </c>
      <c r="HQ108" s="40">
        <f t="shared" ca="1" si="5359"/>
        <v>0</v>
      </c>
      <c r="HR108" s="40">
        <f t="shared" ca="1" si="5359"/>
        <v>0</v>
      </c>
      <c r="HS108" s="40">
        <f t="shared" ca="1" si="5359"/>
        <v>0</v>
      </c>
      <c r="HT108" s="40">
        <f t="shared" ca="1" si="5359"/>
        <v>0</v>
      </c>
      <c r="HU108" s="40">
        <f t="shared" ca="1" si="5359"/>
        <v>0</v>
      </c>
      <c r="HV108" s="40">
        <f t="shared" ca="1" si="5359"/>
        <v>0</v>
      </c>
      <c r="HW108" s="40">
        <f t="shared" ca="1" si="5359"/>
        <v>0</v>
      </c>
      <c r="HX108" s="40">
        <f t="shared" ca="1" si="5359"/>
        <v>0</v>
      </c>
      <c r="HY108" s="40">
        <f t="shared" ca="1" si="5359"/>
        <v>0</v>
      </c>
      <c r="HZ108" s="40">
        <f t="shared" ca="1" si="5359"/>
        <v>0</v>
      </c>
      <c r="IA108" s="40">
        <f t="shared" ca="1" si="5359"/>
        <v>0</v>
      </c>
      <c r="IB108" s="40">
        <f t="shared" ca="1" si="5359"/>
        <v>0</v>
      </c>
      <c r="IC108" s="40">
        <f t="shared" ca="1" si="5359"/>
        <v>0</v>
      </c>
      <c r="ID108" s="40">
        <f t="shared" ca="1" si="5359"/>
        <v>0</v>
      </c>
      <c r="IE108" s="40">
        <f t="shared" ca="1" si="5359"/>
        <v>0</v>
      </c>
      <c r="IF108" s="40">
        <f t="shared" ca="1" si="5359"/>
        <v>0</v>
      </c>
      <c r="IG108" s="40">
        <f t="shared" ca="1" si="5359"/>
        <v>0</v>
      </c>
      <c r="IH108" s="40">
        <f t="shared" ca="1" si="5359"/>
        <v>0</v>
      </c>
      <c r="II108" s="40">
        <f t="shared" ca="1" si="5359"/>
        <v>0</v>
      </c>
      <c r="IJ108" s="40">
        <f t="shared" ca="1" si="5359"/>
        <v>0</v>
      </c>
      <c r="IK108" s="40">
        <f t="shared" ca="1" si="5359"/>
        <v>0</v>
      </c>
      <c r="IL108" s="40">
        <f t="shared" ca="1" si="5359"/>
        <v>0</v>
      </c>
      <c r="IM108" s="40">
        <f t="shared" ca="1" si="5359"/>
        <v>0</v>
      </c>
      <c r="IN108" s="40">
        <f t="shared" ca="1" si="5359"/>
        <v>0</v>
      </c>
      <c r="IO108" s="40">
        <f t="shared" ref="IO108:KZ108" ca="1" si="5360">$E$108*IO100</f>
        <v>0</v>
      </c>
      <c r="IP108" s="40">
        <f t="shared" ca="1" si="5360"/>
        <v>0</v>
      </c>
      <c r="IQ108" s="40">
        <f t="shared" ca="1" si="5360"/>
        <v>0</v>
      </c>
      <c r="IR108" s="40">
        <f t="shared" ca="1" si="5360"/>
        <v>0</v>
      </c>
      <c r="IS108" s="40">
        <f t="shared" ca="1" si="5360"/>
        <v>0</v>
      </c>
      <c r="IT108" s="40">
        <f t="shared" ca="1" si="5360"/>
        <v>0</v>
      </c>
      <c r="IU108" s="40">
        <f t="shared" ca="1" si="5360"/>
        <v>0</v>
      </c>
      <c r="IV108" s="40">
        <f t="shared" ca="1" si="5360"/>
        <v>0</v>
      </c>
      <c r="IW108" s="40">
        <f t="shared" ca="1" si="5360"/>
        <v>0</v>
      </c>
      <c r="IX108" s="40">
        <f t="shared" ca="1" si="5360"/>
        <v>0</v>
      </c>
      <c r="IY108" s="40">
        <f t="shared" ca="1" si="5360"/>
        <v>0</v>
      </c>
      <c r="IZ108" s="40">
        <f t="shared" ca="1" si="5360"/>
        <v>0</v>
      </c>
      <c r="JA108" s="40">
        <f t="shared" ca="1" si="5360"/>
        <v>0</v>
      </c>
      <c r="JB108" s="40">
        <f t="shared" ca="1" si="5360"/>
        <v>0</v>
      </c>
      <c r="JC108" s="40">
        <f t="shared" ca="1" si="5360"/>
        <v>0</v>
      </c>
      <c r="JD108" s="40">
        <f t="shared" ca="1" si="5360"/>
        <v>0</v>
      </c>
      <c r="JE108" s="40">
        <f t="shared" ca="1" si="5360"/>
        <v>0</v>
      </c>
      <c r="JF108" s="40">
        <f t="shared" ca="1" si="5360"/>
        <v>0</v>
      </c>
      <c r="JG108" s="40">
        <f t="shared" ca="1" si="5360"/>
        <v>0</v>
      </c>
      <c r="JH108" s="40">
        <f t="shared" ca="1" si="5360"/>
        <v>0</v>
      </c>
      <c r="JI108" s="40">
        <f t="shared" ca="1" si="5360"/>
        <v>0</v>
      </c>
      <c r="JJ108" s="40">
        <f t="shared" ca="1" si="5360"/>
        <v>0</v>
      </c>
      <c r="JK108" s="40">
        <f t="shared" ca="1" si="5360"/>
        <v>0</v>
      </c>
      <c r="JL108" s="40">
        <f t="shared" ca="1" si="5360"/>
        <v>0</v>
      </c>
      <c r="JM108" s="40">
        <f t="shared" ca="1" si="5360"/>
        <v>0</v>
      </c>
      <c r="JN108" s="40">
        <f t="shared" ca="1" si="5360"/>
        <v>0</v>
      </c>
      <c r="JO108" s="40">
        <f t="shared" ca="1" si="5360"/>
        <v>0</v>
      </c>
      <c r="JP108" s="40">
        <f t="shared" ca="1" si="5360"/>
        <v>0</v>
      </c>
      <c r="JQ108" s="40">
        <f t="shared" ca="1" si="5360"/>
        <v>0</v>
      </c>
      <c r="JR108" s="40">
        <f t="shared" ca="1" si="5360"/>
        <v>0</v>
      </c>
      <c r="JS108" s="40">
        <f t="shared" ca="1" si="5360"/>
        <v>0</v>
      </c>
      <c r="JT108" s="40">
        <f t="shared" ca="1" si="5360"/>
        <v>0</v>
      </c>
      <c r="JU108" s="40">
        <f t="shared" ca="1" si="5360"/>
        <v>0</v>
      </c>
      <c r="JV108" s="40">
        <f t="shared" ca="1" si="5360"/>
        <v>0</v>
      </c>
      <c r="JW108" s="40">
        <f t="shared" ca="1" si="5360"/>
        <v>0</v>
      </c>
      <c r="JX108" s="40">
        <f t="shared" ca="1" si="5360"/>
        <v>0</v>
      </c>
      <c r="JY108" s="40">
        <f t="shared" ca="1" si="5360"/>
        <v>0</v>
      </c>
      <c r="JZ108" s="40">
        <f t="shared" ca="1" si="5360"/>
        <v>0</v>
      </c>
      <c r="KA108" s="40">
        <f t="shared" ca="1" si="5360"/>
        <v>0</v>
      </c>
      <c r="KB108" s="40">
        <f t="shared" ca="1" si="5360"/>
        <v>0</v>
      </c>
      <c r="KC108" s="40">
        <f t="shared" ca="1" si="5360"/>
        <v>0</v>
      </c>
      <c r="KD108" s="40">
        <f t="shared" ca="1" si="5360"/>
        <v>0</v>
      </c>
      <c r="KE108" s="40">
        <f t="shared" ca="1" si="5360"/>
        <v>0</v>
      </c>
      <c r="KF108" s="40">
        <f t="shared" ca="1" si="5360"/>
        <v>0</v>
      </c>
      <c r="KG108" s="40">
        <f t="shared" ca="1" si="5360"/>
        <v>0</v>
      </c>
      <c r="KH108" s="40">
        <f t="shared" ca="1" si="5360"/>
        <v>0</v>
      </c>
      <c r="KI108" s="40">
        <f t="shared" ca="1" si="5360"/>
        <v>0</v>
      </c>
      <c r="KJ108" s="40">
        <f t="shared" ca="1" si="5360"/>
        <v>0</v>
      </c>
      <c r="KK108" s="40">
        <f t="shared" ca="1" si="5360"/>
        <v>0</v>
      </c>
      <c r="KL108" s="40">
        <f t="shared" ca="1" si="5360"/>
        <v>0</v>
      </c>
      <c r="KM108" s="40">
        <f t="shared" ca="1" si="5360"/>
        <v>0</v>
      </c>
      <c r="KN108" s="40">
        <f t="shared" ca="1" si="5360"/>
        <v>0</v>
      </c>
      <c r="KO108" s="40">
        <f t="shared" ca="1" si="5360"/>
        <v>0</v>
      </c>
      <c r="KP108" s="40">
        <f t="shared" ca="1" si="5360"/>
        <v>0</v>
      </c>
      <c r="KQ108" s="40">
        <f t="shared" ca="1" si="5360"/>
        <v>0</v>
      </c>
      <c r="KR108" s="40">
        <f t="shared" ca="1" si="5360"/>
        <v>0</v>
      </c>
      <c r="KS108" s="40">
        <f t="shared" ca="1" si="5360"/>
        <v>0</v>
      </c>
      <c r="KT108" s="40">
        <f t="shared" ca="1" si="5360"/>
        <v>0</v>
      </c>
      <c r="KU108" s="40">
        <f t="shared" ca="1" si="5360"/>
        <v>0</v>
      </c>
      <c r="KV108" s="40">
        <f t="shared" ca="1" si="5360"/>
        <v>0</v>
      </c>
      <c r="KW108" s="40">
        <f t="shared" ca="1" si="5360"/>
        <v>0</v>
      </c>
      <c r="KX108" s="40">
        <f t="shared" ca="1" si="5360"/>
        <v>0</v>
      </c>
      <c r="KY108" s="40">
        <f t="shared" ca="1" si="5360"/>
        <v>0</v>
      </c>
      <c r="KZ108" s="40">
        <f t="shared" ca="1" si="5360"/>
        <v>0</v>
      </c>
      <c r="LA108" s="40">
        <f t="shared" ref="LA108:ND108" ca="1" si="5361">$E$108*LA100</f>
        <v>0</v>
      </c>
      <c r="LB108" s="40">
        <f t="shared" ca="1" si="5361"/>
        <v>0</v>
      </c>
      <c r="LC108" s="40">
        <f t="shared" ca="1" si="5361"/>
        <v>0</v>
      </c>
      <c r="LD108" s="40">
        <f t="shared" ca="1" si="5361"/>
        <v>0</v>
      </c>
      <c r="LE108" s="40">
        <f t="shared" ca="1" si="5361"/>
        <v>0</v>
      </c>
      <c r="LF108" s="40">
        <f t="shared" ca="1" si="5361"/>
        <v>0</v>
      </c>
      <c r="LG108" s="40">
        <f t="shared" ca="1" si="5361"/>
        <v>0</v>
      </c>
      <c r="LH108" s="40">
        <f t="shared" ca="1" si="5361"/>
        <v>0</v>
      </c>
      <c r="LI108" s="40">
        <f t="shared" ca="1" si="5361"/>
        <v>0</v>
      </c>
      <c r="LJ108" s="40">
        <f t="shared" ca="1" si="5361"/>
        <v>0</v>
      </c>
      <c r="LK108" s="40">
        <f t="shared" ca="1" si="5361"/>
        <v>0</v>
      </c>
      <c r="LL108" s="40">
        <f t="shared" ca="1" si="5361"/>
        <v>0</v>
      </c>
      <c r="LM108" s="40">
        <f t="shared" ca="1" si="5361"/>
        <v>0</v>
      </c>
      <c r="LN108" s="40">
        <f t="shared" ca="1" si="5361"/>
        <v>0</v>
      </c>
      <c r="LO108" s="40">
        <f t="shared" ca="1" si="5361"/>
        <v>0</v>
      </c>
      <c r="LP108" s="40">
        <f t="shared" ca="1" si="5361"/>
        <v>0</v>
      </c>
      <c r="LQ108" s="40">
        <f t="shared" ca="1" si="5361"/>
        <v>0</v>
      </c>
      <c r="LR108" s="40">
        <f t="shared" ca="1" si="5361"/>
        <v>0</v>
      </c>
      <c r="LS108" s="40">
        <f t="shared" ca="1" si="5361"/>
        <v>0</v>
      </c>
      <c r="LT108" s="40">
        <f t="shared" ca="1" si="5361"/>
        <v>0</v>
      </c>
      <c r="LU108" s="40">
        <f t="shared" ca="1" si="5361"/>
        <v>0</v>
      </c>
      <c r="LV108" s="40">
        <f t="shared" ca="1" si="5361"/>
        <v>0</v>
      </c>
      <c r="LW108" s="40">
        <f t="shared" ca="1" si="5361"/>
        <v>0</v>
      </c>
      <c r="LX108" s="40">
        <f t="shared" ca="1" si="5361"/>
        <v>0</v>
      </c>
      <c r="LY108" s="40">
        <f t="shared" ca="1" si="5361"/>
        <v>0</v>
      </c>
      <c r="LZ108" s="40">
        <f t="shared" ca="1" si="5361"/>
        <v>0</v>
      </c>
      <c r="MA108" s="40">
        <f t="shared" ca="1" si="5361"/>
        <v>0</v>
      </c>
      <c r="MB108" s="40">
        <f t="shared" ca="1" si="5361"/>
        <v>0</v>
      </c>
      <c r="MC108" s="40">
        <f t="shared" ca="1" si="5361"/>
        <v>0</v>
      </c>
      <c r="MD108" s="40">
        <f t="shared" ca="1" si="5361"/>
        <v>0</v>
      </c>
      <c r="ME108" s="40">
        <f t="shared" ca="1" si="5361"/>
        <v>0</v>
      </c>
      <c r="MF108" s="40">
        <f t="shared" ca="1" si="5361"/>
        <v>0</v>
      </c>
      <c r="MG108" s="40">
        <f t="shared" ca="1" si="5361"/>
        <v>0</v>
      </c>
      <c r="MH108" s="40">
        <f t="shared" ca="1" si="5361"/>
        <v>0</v>
      </c>
      <c r="MI108" s="40">
        <f t="shared" ca="1" si="5361"/>
        <v>0</v>
      </c>
      <c r="MJ108" s="40">
        <f t="shared" ca="1" si="5361"/>
        <v>0</v>
      </c>
      <c r="MK108" s="40">
        <f t="shared" ca="1" si="5361"/>
        <v>0</v>
      </c>
      <c r="ML108" s="40">
        <f t="shared" ca="1" si="5361"/>
        <v>0</v>
      </c>
      <c r="MM108" s="40">
        <f t="shared" ca="1" si="5361"/>
        <v>0</v>
      </c>
      <c r="MN108" s="40">
        <f t="shared" ca="1" si="5361"/>
        <v>0</v>
      </c>
      <c r="MO108" s="40">
        <f t="shared" ca="1" si="5361"/>
        <v>0</v>
      </c>
      <c r="MP108" s="40">
        <f t="shared" ca="1" si="5361"/>
        <v>0</v>
      </c>
      <c r="MQ108" s="40">
        <f t="shared" ca="1" si="5361"/>
        <v>0</v>
      </c>
      <c r="MR108" s="40">
        <f t="shared" ca="1" si="5361"/>
        <v>0</v>
      </c>
      <c r="MS108" s="40">
        <f t="shared" ca="1" si="5361"/>
        <v>0</v>
      </c>
      <c r="MT108" s="40">
        <f t="shared" ca="1" si="5361"/>
        <v>0</v>
      </c>
      <c r="MU108" s="40">
        <f t="shared" ca="1" si="5361"/>
        <v>0</v>
      </c>
      <c r="MV108" s="40">
        <f t="shared" ca="1" si="5361"/>
        <v>0</v>
      </c>
      <c r="MW108" s="40">
        <f t="shared" ca="1" si="5361"/>
        <v>0</v>
      </c>
      <c r="MX108" s="40">
        <f t="shared" ca="1" si="5361"/>
        <v>0</v>
      </c>
      <c r="MY108" s="40">
        <f t="shared" ca="1" si="5361"/>
        <v>0</v>
      </c>
      <c r="MZ108" s="40">
        <f t="shared" ca="1" si="5361"/>
        <v>0</v>
      </c>
      <c r="NA108" s="40">
        <f t="shared" ca="1" si="5361"/>
        <v>0</v>
      </c>
      <c r="NB108" s="40">
        <f t="shared" ca="1" si="5361"/>
        <v>0</v>
      </c>
      <c r="NC108" s="40">
        <f t="shared" ca="1" si="5361"/>
        <v>0</v>
      </c>
      <c r="ND108" s="40">
        <f t="shared" ca="1" si="5361"/>
        <v>0</v>
      </c>
      <c r="NE108" s="40"/>
      <c r="NF108" s="40"/>
      <c r="NG108" s="40"/>
      <c r="NH108" s="40"/>
      <c r="NI108" s="40"/>
      <c r="NJ108" s="40"/>
      <c r="NK108" s="40"/>
      <c r="NL108" s="40"/>
      <c r="NM108" s="40"/>
      <c r="NN108" s="40"/>
      <c r="NO108" s="40"/>
      <c r="NP108" s="40"/>
      <c r="NQ108" s="40"/>
      <c r="NR108" s="40"/>
    </row>
    <row r="109" spans="2:382" x14ac:dyDescent="0.15">
      <c r="B109" s="521"/>
      <c r="G109" s="118"/>
      <c r="I109" s="40"/>
      <c r="J109" s="40"/>
      <c r="K109" s="40"/>
      <c r="L109" s="40"/>
      <c r="M109" s="40"/>
      <c r="N109" s="40"/>
      <c r="O109" s="40"/>
      <c r="P109" s="40"/>
      <c r="Q109" s="40"/>
      <c r="R109" s="40"/>
      <c r="S109" s="40"/>
      <c r="T109" s="40"/>
      <c r="U109" s="40"/>
      <c r="V109" s="40"/>
      <c r="W109" s="40"/>
      <c r="X109" s="40"/>
      <c r="Y109" s="40"/>
      <c r="Z109" s="40"/>
      <c r="AA109" s="40"/>
      <c r="AB109" s="40"/>
      <c r="AC109" s="40"/>
      <c r="AD109" s="40"/>
      <c r="AE109" s="40"/>
      <c r="AF109" s="40"/>
      <c r="AG109" s="40"/>
      <c r="AH109" s="40"/>
      <c r="AI109" s="40"/>
      <c r="AJ109" s="40"/>
      <c r="AK109" s="40"/>
      <c r="AL109" s="40"/>
      <c r="AM109" s="40"/>
      <c r="AN109" s="40"/>
      <c r="AO109" s="40"/>
      <c r="AP109" s="40"/>
      <c r="AQ109" s="40"/>
      <c r="AR109" s="40"/>
      <c r="AS109" s="40"/>
      <c r="AT109" s="40"/>
      <c r="AU109" s="40"/>
      <c r="AV109" s="40"/>
      <c r="AW109" s="40"/>
      <c r="AX109" s="40"/>
      <c r="AY109" s="40"/>
      <c r="AZ109" s="40"/>
      <c r="BA109" s="40"/>
      <c r="BB109" s="40"/>
      <c r="BC109" s="40"/>
      <c r="BD109" s="40"/>
      <c r="BE109" s="40"/>
      <c r="BF109" s="40"/>
      <c r="BG109" s="40"/>
      <c r="BH109" s="40"/>
      <c r="BI109" s="40"/>
      <c r="BJ109" s="40"/>
      <c r="BK109" s="40"/>
      <c r="BL109" s="40"/>
      <c r="BM109" s="40"/>
      <c r="BN109" s="40"/>
      <c r="BO109" s="40"/>
      <c r="BP109" s="40"/>
      <c r="BQ109" s="40"/>
      <c r="BR109" s="40"/>
      <c r="BS109" s="40"/>
      <c r="BT109" s="40"/>
      <c r="BU109" s="40"/>
      <c r="BV109" s="40"/>
      <c r="BW109" s="40"/>
      <c r="BX109" s="40"/>
      <c r="BY109" s="40"/>
      <c r="BZ109" s="40"/>
      <c r="CA109" s="40"/>
      <c r="CB109" s="40"/>
      <c r="CC109" s="40"/>
      <c r="CD109" s="40"/>
      <c r="CE109" s="40"/>
      <c r="CF109" s="40"/>
      <c r="CG109" s="40"/>
      <c r="CH109" s="40"/>
      <c r="CI109" s="40"/>
      <c r="CJ109" s="40"/>
      <c r="CK109" s="40"/>
      <c r="CL109" s="40"/>
      <c r="CM109" s="40"/>
      <c r="CN109" s="40"/>
      <c r="CO109" s="40"/>
      <c r="CP109" s="40"/>
      <c r="CQ109" s="40"/>
      <c r="CR109" s="40"/>
      <c r="CS109" s="40"/>
      <c r="CT109" s="40"/>
      <c r="CU109" s="40"/>
      <c r="CV109" s="40"/>
      <c r="CW109" s="40"/>
      <c r="CX109" s="40"/>
      <c r="CY109" s="40"/>
      <c r="CZ109" s="40"/>
      <c r="DA109" s="40"/>
      <c r="DB109" s="40"/>
      <c r="DC109" s="40"/>
      <c r="DD109" s="40"/>
      <c r="DE109" s="40"/>
      <c r="DF109" s="40"/>
      <c r="DG109" s="40"/>
      <c r="DH109" s="40"/>
      <c r="DI109" s="40"/>
      <c r="DJ109" s="40"/>
      <c r="DK109" s="40"/>
      <c r="DL109" s="40"/>
      <c r="DM109" s="40"/>
      <c r="DN109" s="40"/>
      <c r="DO109" s="40"/>
      <c r="DP109" s="40"/>
      <c r="DQ109" s="40"/>
      <c r="DR109" s="40"/>
      <c r="DS109" s="40"/>
      <c r="DT109" s="40"/>
      <c r="DU109" s="40"/>
      <c r="DV109" s="40"/>
      <c r="DW109" s="40"/>
      <c r="DX109" s="40"/>
      <c r="DY109" s="40"/>
      <c r="DZ109" s="40"/>
      <c r="EA109" s="40"/>
      <c r="EB109" s="40"/>
      <c r="EC109" s="40"/>
      <c r="ED109" s="40"/>
      <c r="EE109" s="40"/>
      <c r="EF109" s="40"/>
      <c r="EG109" s="40"/>
      <c r="EH109" s="40"/>
      <c r="EI109" s="40"/>
      <c r="EJ109" s="40"/>
      <c r="EK109" s="40"/>
      <c r="EL109" s="40"/>
      <c r="EM109" s="40"/>
      <c r="EN109" s="40"/>
      <c r="EO109" s="40"/>
      <c r="EP109" s="40"/>
      <c r="EQ109" s="40"/>
      <c r="ER109" s="40"/>
      <c r="ES109" s="40"/>
      <c r="ET109" s="40"/>
      <c r="EU109" s="40"/>
      <c r="EV109" s="40"/>
      <c r="EW109" s="40"/>
      <c r="EX109" s="40"/>
      <c r="EY109" s="40"/>
      <c r="EZ109" s="40"/>
      <c r="FA109" s="40"/>
      <c r="FB109" s="40"/>
      <c r="FC109" s="40"/>
      <c r="FD109" s="40"/>
      <c r="FE109" s="40"/>
      <c r="FF109" s="40"/>
      <c r="FG109" s="40"/>
      <c r="FH109" s="40"/>
      <c r="FI109" s="40"/>
      <c r="FJ109" s="40"/>
      <c r="FK109" s="40"/>
      <c r="FL109" s="40"/>
      <c r="FM109" s="40"/>
      <c r="FN109" s="40"/>
      <c r="FO109" s="40"/>
      <c r="FP109" s="40"/>
      <c r="FQ109" s="40"/>
      <c r="FR109" s="40"/>
      <c r="FS109" s="40"/>
      <c r="FT109" s="40"/>
      <c r="FU109" s="40"/>
      <c r="FV109" s="40"/>
      <c r="FW109" s="40"/>
      <c r="FX109" s="40"/>
      <c r="FY109" s="40"/>
      <c r="FZ109" s="40"/>
      <c r="GA109" s="40"/>
      <c r="GB109" s="40"/>
      <c r="GC109" s="40"/>
      <c r="GD109" s="40"/>
      <c r="GE109" s="40"/>
      <c r="GF109" s="40"/>
      <c r="GG109" s="40"/>
      <c r="GH109" s="40"/>
      <c r="GI109" s="40"/>
      <c r="GJ109" s="40"/>
      <c r="GK109" s="40"/>
      <c r="GL109" s="40"/>
      <c r="GM109" s="40"/>
      <c r="GN109" s="40"/>
      <c r="GO109" s="40"/>
      <c r="GP109" s="40"/>
      <c r="GQ109" s="40"/>
      <c r="GR109" s="40"/>
      <c r="GS109" s="40"/>
      <c r="GT109" s="40"/>
      <c r="GU109" s="40"/>
      <c r="GV109" s="40"/>
      <c r="GW109" s="40"/>
      <c r="GX109" s="40"/>
      <c r="GY109" s="40"/>
      <c r="GZ109" s="40"/>
      <c r="HA109" s="40"/>
      <c r="HB109" s="40"/>
      <c r="HC109" s="40"/>
      <c r="HD109" s="40"/>
      <c r="HE109" s="40"/>
      <c r="HF109" s="40"/>
      <c r="HG109" s="40"/>
      <c r="HH109" s="40"/>
      <c r="HI109" s="40"/>
      <c r="HJ109" s="40"/>
      <c r="HK109" s="40"/>
      <c r="HL109" s="40"/>
      <c r="HM109" s="40"/>
      <c r="HN109" s="40"/>
      <c r="HO109" s="40"/>
      <c r="HP109" s="40"/>
      <c r="HQ109" s="40"/>
      <c r="HR109" s="40"/>
      <c r="HS109" s="40"/>
      <c r="HT109" s="40"/>
      <c r="HU109" s="40"/>
      <c r="HV109" s="40"/>
      <c r="HW109" s="40"/>
      <c r="HX109" s="40"/>
      <c r="HY109" s="40"/>
      <c r="HZ109" s="40"/>
      <c r="IA109" s="40"/>
      <c r="IB109" s="40"/>
      <c r="IC109" s="40"/>
      <c r="ID109" s="40"/>
      <c r="IE109" s="40"/>
      <c r="IF109" s="40"/>
      <c r="IG109" s="40"/>
      <c r="IH109" s="40"/>
      <c r="II109" s="40"/>
      <c r="IJ109" s="40"/>
      <c r="IK109" s="40"/>
      <c r="IL109" s="40"/>
      <c r="IM109" s="40"/>
      <c r="IN109" s="40"/>
      <c r="IO109" s="40"/>
      <c r="IP109" s="40"/>
      <c r="IQ109" s="40"/>
      <c r="IR109" s="40"/>
      <c r="IS109" s="40"/>
      <c r="IT109" s="40"/>
      <c r="IU109" s="40"/>
      <c r="IV109" s="40"/>
      <c r="IW109" s="40"/>
      <c r="IX109" s="40"/>
      <c r="IY109" s="40"/>
      <c r="IZ109" s="40"/>
      <c r="JA109" s="40"/>
      <c r="JB109" s="40"/>
      <c r="JC109" s="40"/>
      <c r="JD109" s="40"/>
      <c r="JE109" s="40"/>
      <c r="JF109" s="40"/>
      <c r="JG109" s="40"/>
      <c r="JH109" s="40"/>
      <c r="JI109" s="40"/>
      <c r="JJ109" s="40"/>
      <c r="JK109" s="40"/>
      <c r="JL109" s="40"/>
      <c r="JM109" s="40"/>
      <c r="JN109" s="40"/>
      <c r="JO109" s="40"/>
      <c r="JP109" s="40"/>
      <c r="JQ109" s="40"/>
      <c r="JR109" s="40"/>
      <c r="JS109" s="40"/>
      <c r="JT109" s="40"/>
      <c r="JU109" s="40"/>
      <c r="JV109" s="40"/>
      <c r="JW109" s="40"/>
      <c r="JX109" s="40"/>
      <c r="JY109" s="40"/>
      <c r="JZ109" s="40"/>
      <c r="KA109" s="40"/>
      <c r="KB109" s="40"/>
      <c r="KC109" s="40"/>
      <c r="KD109" s="40"/>
      <c r="KE109" s="40"/>
      <c r="KF109" s="40"/>
      <c r="KG109" s="40"/>
      <c r="KH109" s="40"/>
      <c r="KI109" s="40"/>
      <c r="KJ109" s="40"/>
      <c r="KK109" s="40"/>
      <c r="KL109" s="40"/>
      <c r="KM109" s="40"/>
      <c r="KN109" s="40"/>
      <c r="KO109" s="40"/>
      <c r="KP109" s="40"/>
      <c r="KQ109" s="40"/>
      <c r="KR109" s="40"/>
      <c r="KS109" s="40"/>
      <c r="KT109" s="40"/>
      <c r="KU109" s="40"/>
      <c r="KV109" s="40"/>
      <c r="KW109" s="40"/>
      <c r="KX109" s="40"/>
      <c r="KY109" s="40"/>
      <c r="KZ109" s="40"/>
      <c r="LA109" s="40"/>
      <c r="LB109" s="40"/>
      <c r="LC109" s="40"/>
      <c r="LD109" s="40"/>
      <c r="LE109" s="40"/>
      <c r="LF109" s="40"/>
      <c r="LG109" s="40"/>
      <c r="LH109" s="40"/>
      <c r="LI109" s="40"/>
      <c r="LJ109" s="40"/>
      <c r="LK109" s="40"/>
      <c r="LL109" s="40"/>
      <c r="LM109" s="40"/>
      <c r="LN109" s="40"/>
      <c r="LO109" s="40"/>
      <c r="LP109" s="40"/>
      <c r="LQ109" s="40"/>
      <c r="LR109" s="40"/>
      <c r="LS109" s="40"/>
      <c r="LT109" s="40"/>
      <c r="LU109" s="40"/>
      <c r="LV109" s="40"/>
      <c r="LW109" s="40"/>
      <c r="LX109" s="40"/>
      <c r="LY109" s="40"/>
      <c r="LZ109" s="40"/>
      <c r="MA109" s="40"/>
      <c r="MB109" s="40"/>
      <c r="MC109" s="40"/>
      <c r="MD109" s="40"/>
      <c r="ME109" s="40"/>
      <c r="MF109" s="40"/>
      <c r="MG109" s="40"/>
      <c r="MH109" s="40"/>
      <c r="MI109" s="40"/>
      <c r="MJ109" s="40"/>
      <c r="MK109" s="40"/>
      <c r="ML109" s="40"/>
      <c r="MM109" s="40"/>
      <c r="MN109" s="40"/>
      <c r="MO109" s="40"/>
      <c r="MP109" s="40"/>
      <c r="MQ109" s="40"/>
      <c r="MR109" s="40"/>
      <c r="MS109" s="40"/>
      <c r="MT109" s="40"/>
      <c r="MU109" s="40"/>
      <c r="MV109" s="40"/>
      <c r="MW109" s="40"/>
      <c r="MX109" s="40"/>
      <c r="MY109" s="40"/>
      <c r="MZ109" s="40"/>
      <c r="NA109" s="40"/>
      <c r="NB109" s="40"/>
      <c r="NC109" s="40"/>
      <c r="ND109" s="40"/>
      <c r="NE109" s="40"/>
      <c r="NF109" s="40"/>
      <c r="NG109" s="40"/>
      <c r="NH109" s="40"/>
      <c r="NI109" s="40"/>
      <c r="NJ109" s="40"/>
      <c r="NK109" s="40"/>
      <c r="NL109" s="40"/>
      <c r="NM109" s="40"/>
      <c r="NN109" s="40"/>
      <c r="NO109" s="40"/>
      <c r="NP109" s="40"/>
      <c r="NQ109" s="40"/>
      <c r="NR109" s="40"/>
    </row>
    <row r="110" spans="2:382" x14ac:dyDescent="0.15">
      <c r="B110" s="521"/>
      <c r="C110" s="4" t="s">
        <v>186</v>
      </c>
      <c r="G110" s="118"/>
      <c r="I110" s="40"/>
      <c r="J110" s="40"/>
      <c r="K110" s="40"/>
      <c r="L110" s="40"/>
      <c r="M110" s="40"/>
      <c r="N110" s="40"/>
      <c r="O110" s="40"/>
      <c r="P110" s="40"/>
      <c r="Q110" s="40"/>
      <c r="R110" s="40"/>
      <c r="S110" s="40"/>
      <c r="T110" s="40"/>
      <c r="U110" s="40"/>
      <c r="V110" s="40"/>
      <c r="W110" s="40"/>
      <c r="X110" s="40"/>
      <c r="Y110" s="40"/>
      <c r="Z110" s="40"/>
      <c r="AA110" s="40"/>
      <c r="AB110" s="40"/>
      <c r="AC110" s="40"/>
      <c r="AD110" s="40"/>
      <c r="AE110" s="40"/>
      <c r="AF110" s="40"/>
      <c r="AG110" s="40"/>
      <c r="AH110" s="40"/>
      <c r="AI110" s="40"/>
      <c r="AJ110" s="40"/>
      <c r="AK110" s="40"/>
      <c r="AL110" s="40"/>
      <c r="AM110" s="40"/>
      <c r="AN110" s="40"/>
      <c r="AO110" s="40"/>
      <c r="AP110" s="40"/>
      <c r="AQ110" s="40"/>
      <c r="AR110" s="40"/>
      <c r="AS110" s="40"/>
      <c r="AT110" s="40"/>
      <c r="AU110" s="40"/>
      <c r="AV110" s="40"/>
      <c r="AW110" s="40"/>
      <c r="AX110" s="40"/>
      <c r="AY110" s="40"/>
      <c r="AZ110" s="40"/>
      <c r="BA110" s="40"/>
      <c r="BB110" s="40"/>
      <c r="BC110" s="40"/>
      <c r="BD110" s="40"/>
      <c r="BE110" s="40"/>
      <c r="BF110" s="40"/>
      <c r="BG110" s="40"/>
      <c r="BH110" s="40"/>
      <c r="BI110" s="40"/>
      <c r="BJ110" s="40"/>
      <c r="BK110" s="40"/>
      <c r="BL110" s="40"/>
      <c r="BM110" s="40"/>
      <c r="BN110" s="40"/>
      <c r="BO110" s="40"/>
      <c r="BP110" s="40"/>
      <c r="BQ110" s="40"/>
      <c r="BR110" s="40"/>
      <c r="BS110" s="40"/>
      <c r="BT110" s="40"/>
      <c r="BU110" s="40"/>
      <c r="BV110" s="40"/>
      <c r="BW110" s="40"/>
      <c r="BX110" s="40"/>
      <c r="BY110" s="40"/>
      <c r="BZ110" s="40"/>
      <c r="CA110" s="40"/>
      <c r="CB110" s="40"/>
      <c r="CC110" s="40"/>
      <c r="CD110" s="40"/>
      <c r="CE110" s="40"/>
      <c r="CF110" s="40"/>
      <c r="CG110" s="40"/>
      <c r="CH110" s="40"/>
      <c r="CI110" s="40"/>
      <c r="CJ110" s="40"/>
      <c r="CK110" s="40"/>
      <c r="CL110" s="40"/>
      <c r="CM110" s="40"/>
      <c r="CN110" s="40"/>
      <c r="CO110" s="40"/>
      <c r="CP110" s="40"/>
      <c r="CQ110" s="40"/>
      <c r="CR110" s="40"/>
      <c r="CS110" s="40"/>
      <c r="CT110" s="40"/>
      <c r="CU110" s="40"/>
      <c r="CV110" s="40"/>
      <c r="CW110" s="40"/>
      <c r="CX110" s="40"/>
      <c r="CY110" s="40"/>
      <c r="CZ110" s="40"/>
      <c r="DA110" s="40"/>
      <c r="DB110" s="40"/>
      <c r="DC110" s="40"/>
      <c r="DD110" s="40"/>
      <c r="DE110" s="40"/>
      <c r="DF110" s="40"/>
      <c r="DG110" s="40"/>
      <c r="DH110" s="40"/>
      <c r="DI110" s="40"/>
      <c r="DJ110" s="40"/>
      <c r="DK110" s="40"/>
      <c r="DL110" s="40"/>
      <c r="DM110" s="40"/>
      <c r="DN110" s="40"/>
      <c r="DO110" s="40"/>
      <c r="DP110" s="40"/>
      <c r="DQ110" s="40"/>
      <c r="DR110" s="40"/>
      <c r="DS110" s="40"/>
      <c r="DT110" s="40"/>
      <c r="DU110" s="40"/>
      <c r="DV110" s="40"/>
      <c r="DW110" s="40"/>
      <c r="DX110" s="40"/>
      <c r="DY110" s="40"/>
      <c r="DZ110" s="40"/>
      <c r="EA110" s="40"/>
      <c r="EB110" s="40"/>
      <c r="EC110" s="40"/>
      <c r="ED110" s="40"/>
      <c r="EE110" s="40"/>
      <c r="EF110" s="40"/>
      <c r="EG110" s="40"/>
      <c r="EH110" s="40"/>
      <c r="EI110" s="40"/>
      <c r="EJ110" s="40"/>
      <c r="EK110" s="40"/>
      <c r="EL110" s="40"/>
      <c r="EM110" s="40"/>
      <c r="EN110" s="40"/>
      <c r="EO110" s="40"/>
      <c r="EP110" s="40"/>
      <c r="EQ110" s="40"/>
      <c r="ER110" s="40"/>
      <c r="ES110" s="40"/>
      <c r="ET110" s="40"/>
      <c r="EU110" s="40"/>
      <c r="EV110" s="40"/>
      <c r="EW110" s="40"/>
      <c r="EX110" s="40"/>
      <c r="EY110" s="40"/>
      <c r="EZ110" s="40"/>
      <c r="FA110" s="40"/>
      <c r="FB110" s="40"/>
      <c r="FC110" s="40"/>
      <c r="FD110" s="40"/>
      <c r="FE110" s="40"/>
      <c r="FF110" s="40"/>
      <c r="FG110" s="40"/>
      <c r="FH110" s="40"/>
      <c r="FI110" s="40"/>
      <c r="FJ110" s="40"/>
      <c r="FK110" s="40"/>
      <c r="FL110" s="40"/>
      <c r="FM110" s="40"/>
      <c r="FN110" s="40"/>
      <c r="FO110" s="40"/>
      <c r="FP110" s="40"/>
      <c r="FQ110" s="40"/>
      <c r="FR110" s="40"/>
      <c r="FS110" s="40"/>
      <c r="FT110" s="40"/>
      <c r="FU110" s="40"/>
      <c r="FV110" s="40"/>
      <c r="FW110" s="40"/>
      <c r="FX110" s="40"/>
      <c r="FY110" s="40"/>
      <c r="FZ110" s="40"/>
      <c r="GA110" s="40"/>
      <c r="GB110" s="40"/>
      <c r="GC110" s="40"/>
      <c r="GD110" s="40"/>
      <c r="GE110" s="40"/>
      <c r="GF110" s="40"/>
      <c r="GG110" s="40"/>
      <c r="GH110" s="40"/>
      <c r="GI110" s="40"/>
      <c r="GJ110" s="40"/>
      <c r="GK110" s="40"/>
      <c r="GL110" s="40"/>
      <c r="GM110" s="40"/>
      <c r="GN110" s="40"/>
      <c r="GO110" s="40"/>
      <c r="GP110" s="40"/>
      <c r="GQ110" s="40"/>
      <c r="GR110" s="40"/>
      <c r="GS110" s="40"/>
      <c r="GT110" s="40"/>
      <c r="GU110" s="40"/>
      <c r="GV110" s="40"/>
      <c r="GW110" s="40"/>
      <c r="GX110" s="40"/>
      <c r="GY110" s="40"/>
      <c r="GZ110" s="40"/>
      <c r="HA110" s="40"/>
      <c r="HB110" s="40"/>
      <c r="HC110" s="40"/>
      <c r="HD110" s="40"/>
      <c r="HE110" s="40"/>
      <c r="HF110" s="40"/>
      <c r="HG110" s="40"/>
      <c r="HH110" s="40"/>
      <c r="HI110" s="40"/>
      <c r="HJ110" s="40"/>
      <c r="HK110" s="40"/>
      <c r="HL110" s="40"/>
      <c r="HM110" s="40"/>
      <c r="HN110" s="40"/>
      <c r="HO110" s="40"/>
      <c r="HP110" s="40"/>
      <c r="HQ110" s="40"/>
      <c r="HR110" s="40"/>
      <c r="HS110" s="40"/>
      <c r="HT110" s="40"/>
      <c r="HU110" s="40"/>
      <c r="HV110" s="40"/>
      <c r="HW110" s="40"/>
      <c r="HX110" s="40"/>
      <c r="HY110" s="40"/>
      <c r="HZ110" s="40"/>
      <c r="IA110" s="40"/>
      <c r="IB110" s="40"/>
      <c r="IC110" s="40"/>
      <c r="ID110" s="40"/>
      <c r="IE110" s="40"/>
      <c r="IF110" s="40"/>
      <c r="IG110" s="40"/>
      <c r="IH110" s="40"/>
      <c r="II110" s="40"/>
      <c r="IJ110" s="40"/>
      <c r="IK110" s="40"/>
      <c r="IL110" s="40"/>
      <c r="IM110" s="40"/>
      <c r="IN110" s="40"/>
      <c r="IO110" s="40"/>
      <c r="IP110" s="40"/>
      <c r="IQ110" s="40"/>
      <c r="IR110" s="40"/>
      <c r="IS110" s="40"/>
      <c r="IT110" s="40"/>
      <c r="IU110" s="40"/>
      <c r="IV110" s="40"/>
      <c r="IW110" s="40"/>
      <c r="IX110" s="40"/>
      <c r="IY110" s="40"/>
      <c r="IZ110" s="40"/>
      <c r="JA110" s="40"/>
      <c r="JB110" s="40"/>
      <c r="JC110" s="40"/>
      <c r="JD110" s="40"/>
      <c r="JE110" s="40"/>
      <c r="JF110" s="40"/>
      <c r="JG110" s="40"/>
      <c r="JH110" s="40"/>
      <c r="JI110" s="40"/>
      <c r="JJ110" s="40"/>
      <c r="JK110" s="40"/>
      <c r="JL110" s="40"/>
      <c r="JM110" s="40"/>
      <c r="JN110" s="40"/>
      <c r="JO110" s="40"/>
      <c r="JP110" s="40"/>
      <c r="JQ110" s="40"/>
      <c r="JR110" s="40"/>
      <c r="JS110" s="40"/>
      <c r="JT110" s="40"/>
      <c r="JU110" s="40"/>
      <c r="JV110" s="40"/>
      <c r="JW110" s="40"/>
      <c r="JX110" s="40"/>
      <c r="JY110" s="40"/>
      <c r="JZ110" s="40"/>
      <c r="KA110" s="40"/>
      <c r="KB110" s="40"/>
      <c r="KC110" s="40"/>
      <c r="KD110" s="40"/>
      <c r="KE110" s="40"/>
      <c r="KF110" s="40"/>
      <c r="KG110" s="40"/>
      <c r="KH110" s="40"/>
      <c r="KI110" s="40"/>
      <c r="KJ110" s="40"/>
      <c r="KK110" s="40"/>
      <c r="KL110" s="40"/>
      <c r="KM110" s="40"/>
      <c r="KN110" s="40"/>
      <c r="KO110" s="40"/>
      <c r="KP110" s="40"/>
      <c r="KQ110" s="40"/>
      <c r="KR110" s="40"/>
      <c r="KS110" s="40"/>
      <c r="KT110" s="40"/>
      <c r="KU110" s="40"/>
      <c r="KV110" s="40"/>
      <c r="KW110" s="40"/>
      <c r="KX110" s="40"/>
      <c r="KY110" s="40"/>
      <c r="KZ110" s="40"/>
      <c r="LA110" s="40"/>
      <c r="LB110" s="40"/>
      <c r="LC110" s="40"/>
      <c r="LD110" s="40"/>
      <c r="LE110" s="40"/>
      <c r="LF110" s="40"/>
      <c r="LG110" s="40"/>
      <c r="LH110" s="40"/>
      <c r="LI110" s="40"/>
      <c r="LJ110" s="40"/>
      <c r="LK110" s="40"/>
      <c r="LL110" s="40"/>
      <c r="LM110" s="40"/>
      <c r="LN110" s="40"/>
      <c r="LO110" s="40"/>
      <c r="LP110" s="40"/>
      <c r="LQ110" s="40"/>
      <c r="LR110" s="40"/>
      <c r="LS110" s="40"/>
      <c r="LT110" s="40"/>
      <c r="LU110" s="40"/>
      <c r="LV110" s="40"/>
      <c r="LW110" s="40"/>
      <c r="LX110" s="40"/>
      <c r="LY110" s="40"/>
      <c r="LZ110" s="40"/>
      <c r="MA110" s="40"/>
      <c r="MB110" s="40"/>
      <c r="MC110" s="40"/>
      <c r="MD110" s="40"/>
      <c r="ME110" s="40"/>
      <c r="MF110" s="40"/>
      <c r="MG110" s="40"/>
      <c r="MH110" s="40"/>
      <c r="MI110" s="40"/>
      <c r="MJ110" s="40"/>
      <c r="MK110" s="40"/>
      <c r="ML110" s="40"/>
      <c r="MM110" s="40"/>
      <c r="MN110" s="40"/>
      <c r="MO110" s="40"/>
      <c r="MP110" s="40"/>
      <c r="MQ110" s="40"/>
      <c r="MR110" s="40"/>
      <c r="MS110" s="40"/>
      <c r="MT110" s="40"/>
      <c r="MU110" s="40"/>
      <c r="MV110" s="40"/>
      <c r="MW110" s="40"/>
      <c r="MX110" s="40"/>
      <c r="MY110" s="40"/>
      <c r="MZ110" s="40"/>
      <c r="NA110" s="40"/>
      <c r="NB110" s="40"/>
      <c r="NC110" s="40"/>
      <c r="ND110" s="40"/>
      <c r="NE110" s="40"/>
      <c r="NF110" s="40"/>
      <c r="NG110" s="40"/>
      <c r="NH110" s="40"/>
      <c r="NI110" s="40"/>
      <c r="NJ110" s="40"/>
      <c r="NK110" s="40"/>
      <c r="NL110" s="40"/>
      <c r="NM110" s="40"/>
      <c r="NN110" s="40"/>
      <c r="NO110" s="40"/>
      <c r="NP110" s="40"/>
      <c r="NQ110" s="40"/>
      <c r="NR110" s="40"/>
    </row>
    <row r="111" spans="2:382" x14ac:dyDescent="0.15">
      <c r="B111" s="521"/>
      <c r="C111" s="120" t="str">
        <f>C3</f>
        <v>Aaron (Manager)</v>
      </c>
      <c r="D111" s="5">
        <f>D103</f>
        <v>0.30000000000000004</v>
      </c>
      <c r="G111" s="118"/>
      <c r="I111" s="40">
        <f t="shared" ref="I111:J111" si="5362">SUM(I28:I29,I78,I93,I103)</f>
        <v>-31938.513322500003</v>
      </c>
      <c r="J111" s="40">
        <f t="shared" si="5362"/>
        <v>-31938.51332250001</v>
      </c>
      <c r="K111" s="40">
        <f t="shared" ref="K111:BV111" si="5363">SUM(K28:K29,K78,K93,K103)</f>
        <v>-31938.513322500003</v>
      </c>
      <c r="L111" s="40">
        <f t="shared" si="5363"/>
        <v>0</v>
      </c>
      <c r="M111" s="40">
        <f t="shared" si="5363"/>
        <v>0</v>
      </c>
      <c r="N111" s="40">
        <f t="shared" si="5363"/>
        <v>0</v>
      </c>
      <c r="O111" s="40">
        <f t="shared" si="5363"/>
        <v>0</v>
      </c>
      <c r="P111" s="40">
        <f t="shared" si="5363"/>
        <v>0</v>
      </c>
      <c r="Q111" s="40">
        <f t="shared" si="5363"/>
        <v>0</v>
      </c>
      <c r="R111" s="40">
        <f t="shared" si="5363"/>
        <v>0</v>
      </c>
      <c r="S111" s="40">
        <f t="shared" si="5363"/>
        <v>0</v>
      </c>
      <c r="T111" s="40">
        <f t="shared" si="5363"/>
        <v>0</v>
      </c>
      <c r="U111" s="40">
        <f t="shared" si="5363"/>
        <v>0</v>
      </c>
      <c r="V111" s="40">
        <f t="shared" si="5363"/>
        <v>0</v>
      </c>
      <c r="W111" s="40">
        <f t="shared" si="5363"/>
        <v>0</v>
      </c>
      <c r="X111" s="40">
        <f t="shared" si="5363"/>
        <v>0</v>
      </c>
      <c r="Y111" s="40">
        <f t="shared" si="5363"/>
        <v>0</v>
      </c>
      <c r="Z111" s="40">
        <f t="shared" si="5363"/>
        <v>0</v>
      </c>
      <c r="AA111" s="40">
        <f t="shared" si="5363"/>
        <v>0</v>
      </c>
      <c r="AB111" s="40">
        <f t="shared" si="5363"/>
        <v>0</v>
      </c>
      <c r="AC111" s="40">
        <f t="shared" si="5363"/>
        <v>0</v>
      </c>
      <c r="AD111" s="40">
        <f t="shared" si="5363"/>
        <v>0</v>
      </c>
      <c r="AE111" s="40">
        <f t="shared" si="5363"/>
        <v>0</v>
      </c>
      <c r="AF111" s="40">
        <f t="shared" si="5363"/>
        <v>0</v>
      </c>
      <c r="AG111" s="40">
        <f t="shared" si="5363"/>
        <v>0</v>
      </c>
      <c r="AH111" s="40">
        <f t="shared" si="5363"/>
        <v>0</v>
      </c>
      <c r="AI111" s="40">
        <f t="shared" si="5363"/>
        <v>0</v>
      </c>
      <c r="AJ111" s="40">
        <f t="shared" si="5363"/>
        <v>0</v>
      </c>
      <c r="AK111" s="40">
        <f t="shared" si="5363"/>
        <v>0</v>
      </c>
      <c r="AL111" s="40">
        <f t="shared" si="5363"/>
        <v>0</v>
      </c>
      <c r="AM111" s="40">
        <f t="shared" si="5363"/>
        <v>0</v>
      </c>
      <c r="AN111" s="40">
        <f t="shared" si="5363"/>
        <v>0</v>
      </c>
      <c r="AO111" s="40">
        <f t="shared" si="5363"/>
        <v>0</v>
      </c>
      <c r="AP111" s="40">
        <f t="shared" si="5363"/>
        <v>0</v>
      </c>
      <c r="AQ111" s="40">
        <f t="shared" si="5363"/>
        <v>0</v>
      </c>
      <c r="AR111" s="40">
        <f t="shared" si="5363"/>
        <v>0</v>
      </c>
      <c r="AS111" s="40">
        <f t="shared" si="5363"/>
        <v>110.72524415783781</v>
      </c>
      <c r="AT111" s="40">
        <f t="shared" si="5363"/>
        <v>110.72524415783784</v>
      </c>
      <c r="AU111" s="40">
        <f t="shared" si="5363"/>
        <v>110.72524415783784</v>
      </c>
      <c r="AV111" s="40">
        <f t="shared" si="5363"/>
        <v>110.72524415783784</v>
      </c>
      <c r="AW111" s="40">
        <f t="shared" si="5363"/>
        <v>110.72524415783784</v>
      </c>
      <c r="AX111" s="40">
        <f t="shared" si="5363"/>
        <v>110.72524415783784</v>
      </c>
      <c r="AY111" s="40">
        <f t="shared" si="5363"/>
        <v>110.72524415783784</v>
      </c>
      <c r="AZ111" s="40">
        <f t="shared" si="5363"/>
        <v>110.72524415783784</v>
      </c>
      <c r="BA111" s="40">
        <f t="shared" si="5363"/>
        <v>110.72524415783784</v>
      </c>
      <c r="BB111" s="40">
        <f t="shared" si="5363"/>
        <v>110.72524415783784</v>
      </c>
      <c r="BC111" s="40">
        <f t="shared" si="5363"/>
        <v>110.72524415783784</v>
      </c>
      <c r="BD111" s="40">
        <f t="shared" si="5363"/>
        <v>110.72524415783781</v>
      </c>
      <c r="BE111" s="40">
        <f t="shared" si="5363"/>
        <v>393.7644214373492</v>
      </c>
      <c r="BF111" s="40">
        <f t="shared" si="5363"/>
        <v>393.76442143734914</v>
      </c>
      <c r="BG111" s="40">
        <f t="shared" si="5363"/>
        <v>393.7644214373492</v>
      </c>
      <c r="BH111" s="40">
        <f t="shared" si="5363"/>
        <v>393.76442143734914</v>
      </c>
      <c r="BI111" s="40">
        <f t="shared" si="5363"/>
        <v>393.7644214373492</v>
      </c>
      <c r="BJ111" s="40">
        <f t="shared" si="5363"/>
        <v>393.76442143734914</v>
      </c>
      <c r="BK111" s="40">
        <f t="shared" si="5363"/>
        <v>393.76442143734914</v>
      </c>
      <c r="BL111" s="40">
        <f t="shared" si="5363"/>
        <v>393.76442143734909</v>
      </c>
      <c r="BM111" s="40">
        <f t="shared" si="5363"/>
        <v>393.76442143734914</v>
      </c>
      <c r="BN111" s="40">
        <f t="shared" si="5363"/>
        <v>393.76442143734909</v>
      </c>
      <c r="BO111" s="40">
        <f t="shared" si="5363"/>
        <v>393.76442143734914</v>
      </c>
      <c r="BP111" s="40">
        <f t="shared" si="5363"/>
        <v>393.76442143734909</v>
      </c>
      <c r="BQ111" s="40">
        <f t="shared" si="5363"/>
        <v>685.68804493039886</v>
      </c>
      <c r="BR111" s="40">
        <f t="shared" si="5363"/>
        <v>685.68804493039886</v>
      </c>
      <c r="BS111" s="40">
        <f t="shared" si="5363"/>
        <v>685.68804493039886</v>
      </c>
      <c r="BT111" s="40">
        <f t="shared" si="5363"/>
        <v>685.68804493039886</v>
      </c>
      <c r="BU111" s="40">
        <f t="shared" si="5363"/>
        <v>685.68804493039897</v>
      </c>
      <c r="BV111" s="40">
        <f t="shared" si="5363"/>
        <v>685.68804493039886</v>
      </c>
      <c r="BW111" s="40">
        <f t="shared" ref="BW111:EH111" si="5364">SUM(BW28:BW29,BW78,BW93,BW103)</f>
        <v>685.68804493039897</v>
      </c>
      <c r="BX111" s="40">
        <f t="shared" si="5364"/>
        <v>685.68804493039897</v>
      </c>
      <c r="BY111" s="40">
        <f t="shared" si="5364"/>
        <v>685.68804493039909</v>
      </c>
      <c r="BZ111" s="40">
        <f t="shared" si="5364"/>
        <v>685.68804493039897</v>
      </c>
      <c r="CA111" s="40">
        <f t="shared" si="5364"/>
        <v>685.68804493039909</v>
      </c>
      <c r="CB111" s="40">
        <f t="shared" si="5364"/>
        <v>685.68804493039897</v>
      </c>
      <c r="CC111" s="40">
        <f t="shared" si="5364"/>
        <v>986.77104027638154</v>
      </c>
      <c r="CD111" s="40">
        <f t="shared" si="5364"/>
        <v>986.77104027638154</v>
      </c>
      <c r="CE111" s="40">
        <f t="shared" si="5364"/>
        <v>986.77104027638154</v>
      </c>
      <c r="CF111" s="40">
        <f t="shared" si="5364"/>
        <v>986.77104027638143</v>
      </c>
      <c r="CG111" s="40">
        <f t="shared" si="5364"/>
        <v>986.77104027638154</v>
      </c>
      <c r="CH111" s="40">
        <f t="shared" si="5364"/>
        <v>986.77104027638143</v>
      </c>
      <c r="CI111" s="40">
        <f t="shared" si="5364"/>
        <v>986.77104027638143</v>
      </c>
      <c r="CJ111" s="40">
        <f t="shared" si="5364"/>
        <v>986.7710402763812</v>
      </c>
      <c r="CK111" s="40">
        <f t="shared" si="5364"/>
        <v>986.77104027638143</v>
      </c>
      <c r="CL111" s="40">
        <f t="shared" si="5364"/>
        <v>986.77104027638143</v>
      </c>
      <c r="CM111" s="40">
        <f t="shared" si="5364"/>
        <v>986.77104027638143</v>
      </c>
      <c r="CN111" s="40">
        <f t="shared" si="5364"/>
        <v>986.7710402763812</v>
      </c>
      <c r="CO111" s="40">
        <f t="shared" si="5364"/>
        <v>1297.2967618998046</v>
      </c>
      <c r="CP111" s="40">
        <f t="shared" si="5364"/>
        <v>1297.2967618998046</v>
      </c>
      <c r="CQ111" s="40">
        <f t="shared" si="5364"/>
        <v>1297.2967618998043</v>
      </c>
      <c r="CR111" s="40">
        <f t="shared" si="5364"/>
        <v>1297.2967618998043</v>
      </c>
      <c r="CS111" s="40">
        <f t="shared" si="5364"/>
        <v>1297.2967618998043</v>
      </c>
      <c r="CT111" s="40">
        <f t="shared" si="5364"/>
        <v>1297.2967618998043</v>
      </c>
      <c r="CU111" s="40">
        <f t="shared" si="5364"/>
        <v>1297.2967618998043</v>
      </c>
      <c r="CV111" s="40">
        <f t="shared" si="5364"/>
        <v>1297.2967618998043</v>
      </c>
      <c r="CW111" s="40">
        <f t="shared" si="5364"/>
        <v>1297.2967618998043</v>
      </c>
      <c r="CX111" s="40">
        <f t="shared" si="5364"/>
        <v>1297.2967618998043</v>
      </c>
      <c r="CY111" s="40">
        <f t="shared" si="5364"/>
        <v>1297.2967618998043</v>
      </c>
      <c r="CZ111" s="40">
        <f t="shared" si="5364"/>
        <v>1297.2967618998041</v>
      </c>
      <c r="DA111" s="40">
        <f t="shared" si="5364"/>
        <v>1617.5572498234515</v>
      </c>
      <c r="DB111" s="40">
        <f t="shared" si="5364"/>
        <v>1617.5572498234515</v>
      </c>
      <c r="DC111" s="40">
        <f t="shared" si="5364"/>
        <v>1617.5572498234515</v>
      </c>
      <c r="DD111" s="40">
        <f t="shared" si="5364"/>
        <v>1617.5572498234515</v>
      </c>
      <c r="DE111" s="40">
        <f t="shared" si="5364"/>
        <v>1617.5572498234515</v>
      </c>
      <c r="DF111" s="40">
        <f t="shared" si="5364"/>
        <v>1617.5572498234515</v>
      </c>
      <c r="DG111" s="40">
        <f t="shared" si="5364"/>
        <v>1617.5572498234515</v>
      </c>
      <c r="DH111" s="40">
        <f t="shared" si="5364"/>
        <v>1617.5572498234515</v>
      </c>
      <c r="DI111" s="40">
        <f t="shared" si="5364"/>
        <v>1617.5572498234515</v>
      </c>
      <c r="DJ111" s="40">
        <f t="shared" si="5364"/>
        <v>1617.5572498234515</v>
      </c>
      <c r="DK111" s="40">
        <f t="shared" si="5364"/>
        <v>1617.5572498234515</v>
      </c>
      <c r="DL111" s="40">
        <f t="shared" si="5364"/>
        <v>1617.5572498234515</v>
      </c>
      <c r="DM111" s="40">
        <f t="shared" si="5364"/>
        <v>1947.8534942731176</v>
      </c>
      <c r="DN111" s="40">
        <f t="shared" si="5364"/>
        <v>1947.8534942731176</v>
      </c>
      <c r="DO111" s="40">
        <f t="shared" si="5364"/>
        <v>1947.853494273118</v>
      </c>
      <c r="DP111" s="40">
        <f t="shared" si="5364"/>
        <v>1947.8534942731176</v>
      </c>
      <c r="DQ111" s="40">
        <f t="shared" si="5364"/>
        <v>1947.8534942731173</v>
      </c>
      <c r="DR111" s="40">
        <f t="shared" si="5364"/>
        <v>1947.8534942731176</v>
      </c>
      <c r="DS111" s="40">
        <f t="shared" si="5364"/>
        <v>1947.8534942731176</v>
      </c>
      <c r="DT111" s="40">
        <f t="shared" si="5364"/>
        <v>1947.8534942731173</v>
      </c>
      <c r="DU111" s="40">
        <f t="shared" si="5364"/>
        <v>1947.8534942731173</v>
      </c>
      <c r="DV111" s="40">
        <f t="shared" si="5364"/>
        <v>1947.8534942731173</v>
      </c>
      <c r="DW111" s="40">
        <f t="shared" si="5364"/>
        <v>1947.8534942731173</v>
      </c>
      <c r="DX111" s="40">
        <f t="shared" si="5364"/>
        <v>1947.8534942731178</v>
      </c>
      <c r="DY111" s="40">
        <f t="shared" si="5364"/>
        <v>2288.4957083097142</v>
      </c>
      <c r="DZ111" s="40">
        <f t="shared" si="5364"/>
        <v>2288.4957083097142</v>
      </c>
      <c r="EA111" s="40">
        <f t="shared" si="5364"/>
        <v>2288.4957083097147</v>
      </c>
      <c r="EB111" s="40">
        <f t="shared" si="5364"/>
        <v>2288.4957083097147</v>
      </c>
      <c r="EC111" s="40">
        <f t="shared" si="5364"/>
        <v>2288.4957083097147</v>
      </c>
      <c r="ED111" s="40">
        <f t="shared" si="5364"/>
        <v>2288.4957083097156</v>
      </c>
      <c r="EE111" s="40">
        <f t="shared" si="5364"/>
        <v>2288.4957083097152</v>
      </c>
      <c r="EF111" s="40">
        <f t="shared" si="5364"/>
        <v>2288.4957083097152</v>
      </c>
      <c r="EG111" s="40">
        <f t="shared" si="5364"/>
        <v>2288.4957083097147</v>
      </c>
      <c r="EH111" s="40">
        <f t="shared" si="5364"/>
        <v>2288.4957083097152</v>
      </c>
      <c r="EI111" s="40">
        <f t="shared" ref="EI111:GT111" si="5365">SUM(EI28:EI29,EI78,EI93,EI103)</f>
        <v>2288.4957083097152</v>
      </c>
      <c r="EJ111" s="40">
        <f t="shared" si="5365"/>
        <v>2288.4957083097152</v>
      </c>
      <c r="EK111" s="40">
        <f t="shared" si="5365"/>
        <v>2639.8036087314608</v>
      </c>
      <c r="EL111" s="40">
        <f t="shared" si="5365"/>
        <v>2639.8036087314604</v>
      </c>
      <c r="EM111" s="40">
        <f t="shared" si="5365"/>
        <v>2639.8036087314622</v>
      </c>
      <c r="EN111" s="40">
        <f t="shared" si="5365"/>
        <v>2639.8036087314613</v>
      </c>
      <c r="EO111" s="40">
        <f t="shared" si="5365"/>
        <v>2639.8036087314608</v>
      </c>
      <c r="EP111" s="40">
        <f t="shared" si="5365"/>
        <v>2639.8036087314613</v>
      </c>
      <c r="EQ111" s="40">
        <f t="shared" si="5365"/>
        <v>2639.8036087314622</v>
      </c>
      <c r="ER111" s="40">
        <f t="shared" si="5365"/>
        <v>2639.8036087314622</v>
      </c>
      <c r="ES111" s="40">
        <f t="shared" si="5365"/>
        <v>2639.8036087314613</v>
      </c>
      <c r="ET111" s="40">
        <f t="shared" si="5365"/>
        <v>2639.8036087314613</v>
      </c>
      <c r="EU111" s="40">
        <f t="shared" si="5365"/>
        <v>2639.8036087314617</v>
      </c>
      <c r="EV111" s="40">
        <f t="shared" si="5365"/>
        <v>2639.8036087314608</v>
      </c>
      <c r="EW111" s="40">
        <f t="shared" si="5365"/>
        <v>3002.1067054963646</v>
      </c>
      <c r="EX111" s="40">
        <f t="shared" si="5365"/>
        <v>3002.1067054963651</v>
      </c>
      <c r="EY111" s="40">
        <f t="shared" si="5365"/>
        <v>3002.1067054963646</v>
      </c>
      <c r="EZ111" s="40">
        <f t="shared" si="5365"/>
        <v>3002.1067054963646</v>
      </c>
      <c r="FA111" s="40">
        <f t="shared" si="5365"/>
        <v>3002.1067054963646</v>
      </c>
      <c r="FB111" s="40">
        <f t="shared" si="5365"/>
        <v>3002.1067054963651</v>
      </c>
      <c r="FC111" s="40">
        <f t="shared" si="5365"/>
        <v>3002.1067054963646</v>
      </c>
      <c r="FD111" s="40">
        <f t="shared" si="5365"/>
        <v>3002.1067054963646</v>
      </c>
      <c r="FE111" s="40">
        <f t="shared" si="5365"/>
        <v>3002.1067054963646</v>
      </c>
      <c r="FF111" s="40">
        <f t="shared" si="5365"/>
        <v>3002.1067054963651</v>
      </c>
      <c r="FG111" s="40">
        <f t="shared" si="5365"/>
        <v>3002.1067054963637</v>
      </c>
      <c r="FH111" s="40">
        <f t="shared" si="5365"/>
        <v>3002.1067054963646</v>
      </c>
      <c r="FI111" s="40">
        <f t="shared" si="5365"/>
        <v>3375.7445999226989</v>
      </c>
      <c r="FJ111" s="40">
        <f t="shared" si="5365"/>
        <v>3375.7445999226979</v>
      </c>
      <c r="FK111" s="40">
        <f t="shared" si="5365"/>
        <v>3375.7445999226979</v>
      </c>
      <c r="FL111" s="40">
        <f t="shared" si="5365"/>
        <v>3375.7445999226979</v>
      </c>
      <c r="FM111" s="40">
        <f t="shared" si="5365"/>
        <v>3375.7445999226979</v>
      </c>
      <c r="FN111" s="40">
        <f t="shared" si="5365"/>
        <v>3375.7445999226975</v>
      </c>
      <c r="FO111" s="40">
        <f t="shared" si="5365"/>
        <v>3375.744599922697</v>
      </c>
      <c r="FP111" s="40">
        <f t="shared" si="5365"/>
        <v>3375.7445999226975</v>
      </c>
      <c r="FQ111" s="40">
        <f t="shared" si="5365"/>
        <v>3375.744599922697</v>
      </c>
      <c r="FR111" s="40">
        <f t="shared" si="5365"/>
        <v>3375.7445999226966</v>
      </c>
      <c r="FS111" s="40">
        <f t="shared" si="5365"/>
        <v>3375.744599922697</v>
      </c>
      <c r="FT111" s="40">
        <f t="shared" si="5365"/>
        <v>3375.7445999226961</v>
      </c>
      <c r="FU111" s="40">
        <f t="shared" si="5365"/>
        <v>3761.067291932869</v>
      </c>
      <c r="FV111" s="40">
        <f t="shared" si="5365"/>
        <v>3761.067291932869</v>
      </c>
      <c r="FW111" s="40">
        <f t="shared" si="5365"/>
        <v>3761.0672919328695</v>
      </c>
      <c r="FX111" s="40">
        <f t="shared" si="5365"/>
        <v>3761.067291932869</v>
      </c>
      <c r="FY111" s="40">
        <f t="shared" si="5365"/>
        <v>3761.0672919328686</v>
      </c>
      <c r="FZ111" s="40">
        <f t="shared" si="5365"/>
        <v>3761.0672919328681</v>
      </c>
      <c r="GA111" s="40">
        <f t="shared" si="5365"/>
        <v>3761.0672919328676</v>
      </c>
      <c r="GB111" s="40">
        <f t="shared" si="5365"/>
        <v>3761.0672919328681</v>
      </c>
      <c r="GC111" s="40">
        <f t="shared" si="5365"/>
        <v>0</v>
      </c>
      <c r="GD111" s="40">
        <f t="shared" si="5365"/>
        <v>0</v>
      </c>
      <c r="GE111" s="40">
        <f t="shared" si="5365"/>
        <v>0</v>
      </c>
      <c r="GF111" s="40">
        <f t="shared" ca="1" si="5365"/>
        <v>2141625.8806336923</v>
      </c>
      <c r="GG111" s="40">
        <f t="shared" ca="1" si="5365"/>
        <v>0</v>
      </c>
      <c r="GH111" s="40">
        <f t="shared" ca="1" si="5365"/>
        <v>0</v>
      </c>
      <c r="GI111" s="40">
        <f t="shared" ca="1" si="5365"/>
        <v>0</v>
      </c>
      <c r="GJ111" s="40">
        <f t="shared" ca="1" si="5365"/>
        <v>0</v>
      </c>
      <c r="GK111" s="40">
        <f t="shared" ca="1" si="5365"/>
        <v>0</v>
      </c>
      <c r="GL111" s="40">
        <f t="shared" ca="1" si="5365"/>
        <v>0</v>
      </c>
      <c r="GM111" s="40">
        <f t="shared" ca="1" si="5365"/>
        <v>0</v>
      </c>
      <c r="GN111" s="40">
        <f t="shared" ca="1" si="5365"/>
        <v>0</v>
      </c>
      <c r="GO111" s="40">
        <f t="shared" ca="1" si="5365"/>
        <v>0</v>
      </c>
      <c r="GP111" s="40">
        <f t="shared" ca="1" si="5365"/>
        <v>0</v>
      </c>
      <c r="GQ111" s="40">
        <f t="shared" ca="1" si="5365"/>
        <v>0</v>
      </c>
      <c r="GR111" s="40">
        <f t="shared" ca="1" si="5365"/>
        <v>0</v>
      </c>
      <c r="GS111" s="40">
        <f t="shared" ca="1" si="5365"/>
        <v>0</v>
      </c>
      <c r="GT111" s="40">
        <f t="shared" ca="1" si="5365"/>
        <v>0</v>
      </c>
      <c r="GU111" s="40">
        <f t="shared" ref="GU111:IN111" ca="1" si="5366">SUM(GU28:GU29,GU78,GU93,GU103)</f>
        <v>0</v>
      </c>
      <c r="GV111" s="40">
        <f t="shared" ca="1" si="5366"/>
        <v>0</v>
      </c>
      <c r="GW111" s="40">
        <f t="shared" ca="1" si="5366"/>
        <v>0</v>
      </c>
      <c r="GX111" s="40">
        <f t="shared" ca="1" si="5366"/>
        <v>0</v>
      </c>
      <c r="GY111" s="40">
        <f t="shared" ca="1" si="5366"/>
        <v>0</v>
      </c>
      <c r="GZ111" s="40">
        <f t="shared" ca="1" si="5366"/>
        <v>0</v>
      </c>
      <c r="HA111" s="40">
        <f t="shared" ca="1" si="5366"/>
        <v>0</v>
      </c>
      <c r="HB111" s="40">
        <f t="shared" ca="1" si="5366"/>
        <v>0</v>
      </c>
      <c r="HC111" s="40">
        <f t="shared" ca="1" si="5366"/>
        <v>0</v>
      </c>
      <c r="HD111" s="40">
        <f t="shared" ca="1" si="5366"/>
        <v>0</v>
      </c>
      <c r="HE111" s="40">
        <f t="shared" ca="1" si="5366"/>
        <v>0</v>
      </c>
      <c r="HF111" s="40">
        <f t="shared" ca="1" si="5366"/>
        <v>0</v>
      </c>
      <c r="HG111" s="40">
        <f t="shared" ca="1" si="5366"/>
        <v>0</v>
      </c>
      <c r="HH111" s="40">
        <f t="shared" ca="1" si="5366"/>
        <v>0</v>
      </c>
      <c r="HI111" s="40">
        <f t="shared" ca="1" si="5366"/>
        <v>0</v>
      </c>
      <c r="HJ111" s="40">
        <f t="shared" ca="1" si="5366"/>
        <v>0</v>
      </c>
      <c r="HK111" s="40">
        <f t="shared" ca="1" si="5366"/>
        <v>0</v>
      </c>
      <c r="HL111" s="40">
        <f t="shared" ca="1" si="5366"/>
        <v>0</v>
      </c>
      <c r="HM111" s="40">
        <f t="shared" ca="1" si="5366"/>
        <v>0</v>
      </c>
      <c r="HN111" s="40">
        <f t="shared" ca="1" si="5366"/>
        <v>0</v>
      </c>
      <c r="HO111" s="40">
        <f t="shared" ca="1" si="5366"/>
        <v>0</v>
      </c>
      <c r="HP111" s="40">
        <f t="shared" ca="1" si="5366"/>
        <v>0</v>
      </c>
      <c r="HQ111" s="40">
        <f t="shared" ca="1" si="5366"/>
        <v>0</v>
      </c>
      <c r="HR111" s="40">
        <f t="shared" ca="1" si="5366"/>
        <v>0</v>
      </c>
      <c r="HS111" s="40">
        <f t="shared" ca="1" si="5366"/>
        <v>0</v>
      </c>
      <c r="HT111" s="40">
        <f t="shared" ca="1" si="5366"/>
        <v>0</v>
      </c>
      <c r="HU111" s="40">
        <f t="shared" ca="1" si="5366"/>
        <v>0</v>
      </c>
      <c r="HV111" s="40">
        <f t="shared" ca="1" si="5366"/>
        <v>0</v>
      </c>
      <c r="HW111" s="40">
        <f t="shared" ca="1" si="5366"/>
        <v>0</v>
      </c>
      <c r="HX111" s="40">
        <f t="shared" ca="1" si="5366"/>
        <v>0</v>
      </c>
      <c r="HY111" s="40">
        <f t="shared" ca="1" si="5366"/>
        <v>0</v>
      </c>
      <c r="HZ111" s="40">
        <f t="shared" ca="1" si="5366"/>
        <v>0</v>
      </c>
      <c r="IA111" s="40">
        <f t="shared" ca="1" si="5366"/>
        <v>0</v>
      </c>
      <c r="IB111" s="40">
        <f t="shared" ca="1" si="5366"/>
        <v>0</v>
      </c>
      <c r="IC111" s="40">
        <f t="shared" ca="1" si="5366"/>
        <v>0</v>
      </c>
      <c r="ID111" s="40">
        <f t="shared" ca="1" si="5366"/>
        <v>0</v>
      </c>
      <c r="IE111" s="40">
        <f t="shared" ca="1" si="5366"/>
        <v>0</v>
      </c>
      <c r="IF111" s="40">
        <f t="shared" ca="1" si="5366"/>
        <v>0</v>
      </c>
      <c r="IG111" s="40">
        <f t="shared" ca="1" si="5366"/>
        <v>0</v>
      </c>
      <c r="IH111" s="40">
        <f t="shared" ca="1" si="5366"/>
        <v>0</v>
      </c>
      <c r="II111" s="40">
        <f t="shared" ca="1" si="5366"/>
        <v>0</v>
      </c>
      <c r="IJ111" s="40">
        <f t="shared" ca="1" si="5366"/>
        <v>0</v>
      </c>
      <c r="IK111" s="40">
        <f t="shared" ca="1" si="5366"/>
        <v>0</v>
      </c>
      <c r="IL111" s="40">
        <f t="shared" ca="1" si="5366"/>
        <v>0</v>
      </c>
      <c r="IM111" s="40">
        <f t="shared" ca="1" si="5366"/>
        <v>0</v>
      </c>
      <c r="IN111" s="40">
        <f t="shared" ca="1" si="5366"/>
        <v>0</v>
      </c>
      <c r="IO111" s="40">
        <f t="shared" ref="IO111:KZ111" ca="1" si="5367">SUM(IO28:IO29,IO78,IO93,IO103)</f>
        <v>0</v>
      </c>
      <c r="IP111" s="40">
        <f t="shared" ca="1" si="5367"/>
        <v>0</v>
      </c>
      <c r="IQ111" s="40">
        <f t="shared" ca="1" si="5367"/>
        <v>0</v>
      </c>
      <c r="IR111" s="40">
        <f t="shared" ca="1" si="5367"/>
        <v>0</v>
      </c>
      <c r="IS111" s="40">
        <f t="shared" ca="1" si="5367"/>
        <v>0</v>
      </c>
      <c r="IT111" s="40">
        <f t="shared" ca="1" si="5367"/>
        <v>0</v>
      </c>
      <c r="IU111" s="40">
        <f t="shared" ca="1" si="5367"/>
        <v>0</v>
      </c>
      <c r="IV111" s="40">
        <f t="shared" ca="1" si="5367"/>
        <v>0</v>
      </c>
      <c r="IW111" s="40">
        <f t="shared" ca="1" si="5367"/>
        <v>0</v>
      </c>
      <c r="IX111" s="40">
        <f t="shared" ca="1" si="5367"/>
        <v>0</v>
      </c>
      <c r="IY111" s="40">
        <f t="shared" ca="1" si="5367"/>
        <v>0</v>
      </c>
      <c r="IZ111" s="40">
        <f t="shared" ca="1" si="5367"/>
        <v>0</v>
      </c>
      <c r="JA111" s="40">
        <f t="shared" ca="1" si="5367"/>
        <v>0</v>
      </c>
      <c r="JB111" s="40">
        <f t="shared" ca="1" si="5367"/>
        <v>0</v>
      </c>
      <c r="JC111" s="40">
        <f t="shared" ca="1" si="5367"/>
        <v>0</v>
      </c>
      <c r="JD111" s="40">
        <f t="shared" ca="1" si="5367"/>
        <v>0</v>
      </c>
      <c r="JE111" s="40">
        <f t="shared" ca="1" si="5367"/>
        <v>0</v>
      </c>
      <c r="JF111" s="40">
        <f t="shared" ca="1" si="5367"/>
        <v>0</v>
      </c>
      <c r="JG111" s="40">
        <f t="shared" ca="1" si="5367"/>
        <v>0</v>
      </c>
      <c r="JH111" s="40">
        <f t="shared" ca="1" si="5367"/>
        <v>0</v>
      </c>
      <c r="JI111" s="40">
        <f t="shared" ca="1" si="5367"/>
        <v>0</v>
      </c>
      <c r="JJ111" s="40">
        <f t="shared" ca="1" si="5367"/>
        <v>0</v>
      </c>
      <c r="JK111" s="40">
        <f t="shared" ca="1" si="5367"/>
        <v>0</v>
      </c>
      <c r="JL111" s="40">
        <f t="shared" ca="1" si="5367"/>
        <v>0</v>
      </c>
      <c r="JM111" s="40">
        <f t="shared" ca="1" si="5367"/>
        <v>0</v>
      </c>
      <c r="JN111" s="40">
        <f t="shared" ca="1" si="5367"/>
        <v>0</v>
      </c>
      <c r="JO111" s="40">
        <f t="shared" ca="1" si="5367"/>
        <v>0</v>
      </c>
      <c r="JP111" s="40">
        <f t="shared" ca="1" si="5367"/>
        <v>0</v>
      </c>
      <c r="JQ111" s="40">
        <f t="shared" ca="1" si="5367"/>
        <v>0</v>
      </c>
      <c r="JR111" s="40">
        <f t="shared" ca="1" si="5367"/>
        <v>0</v>
      </c>
      <c r="JS111" s="40">
        <f t="shared" ca="1" si="5367"/>
        <v>0</v>
      </c>
      <c r="JT111" s="40">
        <f t="shared" ca="1" si="5367"/>
        <v>0</v>
      </c>
      <c r="JU111" s="40">
        <f t="shared" ca="1" si="5367"/>
        <v>0</v>
      </c>
      <c r="JV111" s="40">
        <f t="shared" ca="1" si="5367"/>
        <v>0</v>
      </c>
      <c r="JW111" s="40">
        <f t="shared" ca="1" si="5367"/>
        <v>0</v>
      </c>
      <c r="JX111" s="40">
        <f t="shared" ca="1" si="5367"/>
        <v>0</v>
      </c>
      <c r="JY111" s="40">
        <f t="shared" ca="1" si="5367"/>
        <v>0</v>
      </c>
      <c r="JZ111" s="40">
        <f t="shared" ca="1" si="5367"/>
        <v>0</v>
      </c>
      <c r="KA111" s="40">
        <f t="shared" ca="1" si="5367"/>
        <v>0</v>
      </c>
      <c r="KB111" s="40">
        <f t="shared" ca="1" si="5367"/>
        <v>0</v>
      </c>
      <c r="KC111" s="40">
        <f t="shared" ca="1" si="5367"/>
        <v>0</v>
      </c>
      <c r="KD111" s="40">
        <f t="shared" ca="1" si="5367"/>
        <v>0</v>
      </c>
      <c r="KE111" s="40">
        <f t="shared" ca="1" si="5367"/>
        <v>0</v>
      </c>
      <c r="KF111" s="40">
        <f t="shared" ca="1" si="5367"/>
        <v>0</v>
      </c>
      <c r="KG111" s="40">
        <f t="shared" ca="1" si="5367"/>
        <v>0</v>
      </c>
      <c r="KH111" s="40">
        <f t="shared" ca="1" si="5367"/>
        <v>0</v>
      </c>
      <c r="KI111" s="40">
        <f t="shared" ca="1" si="5367"/>
        <v>0</v>
      </c>
      <c r="KJ111" s="40">
        <f t="shared" ca="1" si="5367"/>
        <v>0</v>
      </c>
      <c r="KK111" s="40">
        <f t="shared" ca="1" si="5367"/>
        <v>0</v>
      </c>
      <c r="KL111" s="40">
        <f t="shared" ca="1" si="5367"/>
        <v>0</v>
      </c>
      <c r="KM111" s="40">
        <f t="shared" ca="1" si="5367"/>
        <v>0</v>
      </c>
      <c r="KN111" s="40">
        <f t="shared" ca="1" si="5367"/>
        <v>0</v>
      </c>
      <c r="KO111" s="40">
        <f t="shared" ca="1" si="5367"/>
        <v>0</v>
      </c>
      <c r="KP111" s="40">
        <f t="shared" ca="1" si="5367"/>
        <v>0</v>
      </c>
      <c r="KQ111" s="40">
        <f t="shared" ca="1" si="5367"/>
        <v>0</v>
      </c>
      <c r="KR111" s="40">
        <f t="shared" ca="1" si="5367"/>
        <v>0</v>
      </c>
      <c r="KS111" s="40">
        <f t="shared" ca="1" si="5367"/>
        <v>0</v>
      </c>
      <c r="KT111" s="40">
        <f t="shared" ca="1" si="5367"/>
        <v>0</v>
      </c>
      <c r="KU111" s="40">
        <f t="shared" ca="1" si="5367"/>
        <v>0</v>
      </c>
      <c r="KV111" s="40">
        <f t="shared" ca="1" si="5367"/>
        <v>0</v>
      </c>
      <c r="KW111" s="40">
        <f t="shared" ca="1" si="5367"/>
        <v>0</v>
      </c>
      <c r="KX111" s="40">
        <f t="shared" ca="1" si="5367"/>
        <v>0</v>
      </c>
      <c r="KY111" s="40">
        <f t="shared" ca="1" si="5367"/>
        <v>0</v>
      </c>
      <c r="KZ111" s="40">
        <f t="shared" ca="1" si="5367"/>
        <v>0</v>
      </c>
      <c r="LA111" s="40">
        <f t="shared" ref="LA111:ND111" ca="1" si="5368">SUM(LA28:LA29,LA78,LA93,LA103)</f>
        <v>0</v>
      </c>
      <c r="LB111" s="40">
        <f t="shared" ca="1" si="5368"/>
        <v>0</v>
      </c>
      <c r="LC111" s="40">
        <f t="shared" ca="1" si="5368"/>
        <v>0</v>
      </c>
      <c r="LD111" s="40">
        <f t="shared" ca="1" si="5368"/>
        <v>0</v>
      </c>
      <c r="LE111" s="40">
        <f t="shared" ca="1" si="5368"/>
        <v>0</v>
      </c>
      <c r="LF111" s="40">
        <f t="shared" ca="1" si="5368"/>
        <v>0</v>
      </c>
      <c r="LG111" s="40">
        <f t="shared" ca="1" si="5368"/>
        <v>0</v>
      </c>
      <c r="LH111" s="40">
        <f t="shared" ca="1" si="5368"/>
        <v>0</v>
      </c>
      <c r="LI111" s="40">
        <f t="shared" ca="1" si="5368"/>
        <v>0</v>
      </c>
      <c r="LJ111" s="40">
        <f t="shared" ca="1" si="5368"/>
        <v>0</v>
      </c>
      <c r="LK111" s="40">
        <f t="shared" ca="1" si="5368"/>
        <v>0</v>
      </c>
      <c r="LL111" s="40">
        <f t="shared" ca="1" si="5368"/>
        <v>0</v>
      </c>
      <c r="LM111" s="40">
        <f t="shared" ca="1" si="5368"/>
        <v>0</v>
      </c>
      <c r="LN111" s="40">
        <f t="shared" ca="1" si="5368"/>
        <v>0</v>
      </c>
      <c r="LO111" s="40">
        <f t="shared" ca="1" si="5368"/>
        <v>0</v>
      </c>
      <c r="LP111" s="40">
        <f t="shared" ca="1" si="5368"/>
        <v>0</v>
      </c>
      <c r="LQ111" s="40">
        <f t="shared" ca="1" si="5368"/>
        <v>0</v>
      </c>
      <c r="LR111" s="40">
        <f t="shared" ca="1" si="5368"/>
        <v>0</v>
      </c>
      <c r="LS111" s="40">
        <f t="shared" ca="1" si="5368"/>
        <v>0</v>
      </c>
      <c r="LT111" s="40">
        <f t="shared" ca="1" si="5368"/>
        <v>0</v>
      </c>
      <c r="LU111" s="40">
        <f t="shared" ca="1" si="5368"/>
        <v>0</v>
      </c>
      <c r="LV111" s="40">
        <f t="shared" ca="1" si="5368"/>
        <v>0</v>
      </c>
      <c r="LW111" s="40">
        <f t="shared" ca="1" si="5368"/>
        <v>0</v>
      </c>
      <c r="LX111" s="40">
        <f t="shared" ca="1" si="5368"/>
        <v>0</v>
      </c>
      <c r="LY111" s="40">
        <f t="shared" ca="1" si="5368"/>
        <v>0</v>
      </c>
      <c r="LZ111" s="40">
        <f t="shared" ca="1" si="5368"/>
        <v>0</v>
      </c>
      <c r="MA111" s="40">
        <f t="shared" ca="1" si="5368"/>
        <v>0</v>
      </c>
      <c r="MB111" s="40">
        <f t="shared" ca="1" si="5368"/>
        <v>0</v>
      </c>
      <c r="MC111" s="40">
        <f t="shared" ca="1" si="5368"/>
        <v>0</v>
      </c>
      <c r="MD111" s="40">
        <f t="shared" ca="1" si="5368"/>
        <v>0</v>
      </c>
      <c r="ME111" s="40">
        <f t="shared" ca="1" si="5368"/>
        <v>0</v>
      </c>
      <c r="MF111" s="40">
        <f t="shared" ca="1" si="5368"/>
        <v>0</v>
      </c>
      <c r="MG111" s="40">
        <f t="shared" ca="1" si="5368"/>
        <v>0</v>
      </c>
      <c r="MH111" s="40">
        <f t="shared" ca="1" si="5368"/>
        <v>0</v>
      </c>
      <c r="MI111" s="40">
        <f t="shared" ca="1" si="5368"/>
        <v>0</v>
      </c>
      <c r="MJ111" s="40">
        <f t="shared" ca="1" si="5368"/>
        <v>0</v>
      </c>
      <c r="MK111" s="40">
        <f t="shared" ca="1" si="5368"/>
        <v>0</v>
      </c>
      <c r="ML111" s="40">
        <f t="shared" ca="1" si="5368"/>
        <v>0</v>
      </c>
      <c r="MM111" s="40">
        <f t="shared" ca="1" si="5368"/>
        <v>0</v>
      </c>
      <c r="MN111" s="40">
        <f t="shared" ca="1" si="5368"/>
        <v>0</v>
      </c>
      <c r="MO111" s="40">
        <f t="shared" ca="1" si="5368"/>
        <v>0</v>
      </c>
      <c r="MP111" s="40">
        <f t="shared" ca="1" si="5368"/>
        <v>0</v>
      </c>
      <c r="MQ111" s="40">
        <f t="shared" ca="1" si="5368"/>
        <v>0</v>
      </c>
      <c r="MR111" s="40">
        <f t="shared" ca="1" si="5368"/>
        <v>0</v>
      </c>
      <c r="MS111" s="40">
        <f t="shared" ca="1" si="5368"/>
        <v>0</v>
      </c>
      <c r="MT111" s="40">
        <f t="shared" ca="1" si="5368"/>
        <v>0</v>
      </c>
      <c r="MU111" s="40">
        <f t="shared" ca="1" si="5368"/>
        <v>0</v>
      </c>
      <c r="MV111" s="40">
        <f t="shared" ca="1" si="5368"/>
        <v>0</v>
      </c>
      <c r="MW111" s="40">
        <f t="shared" ca="1" si="5368"/>
        <v>0</v>
      </c>
      <c r="MX111" s="40">
        <f t="shared" ca="1" si="5368"/>
        <v>0</v>
      </c>
      <c r="MY111" s="40">
        <f t="shared" ca="1" si="5368"/>
        <v>0</v>
      </c>
      <c r="MZ111" s="40">
        <f t="shared" ca="1" si="5368"/>
        <v>0</v>
      </c>
      <c r="NA111" s="40">
        <f t="shared" ca="1" si="5368"/>
        <v>0</v>
      </c>
      <c r="NB111" s="40">
        <f t="shared" ca="1" si="5368"/>
        <v>0</v>
      </c>
      <c r="NC111" s="40">
        <f t="shared" ca="1" si="5368"/>
        <v>0</v>
      </c>
      <c r="ND111" s="40">
        <f t="shared" ca="1" si="5368"/>
        <v>0</v>
      </c>
      <c r="NE111" s="40"/>
      <c r="NF111" s="40"/>
      <c r="NG111" s="40"/>
      <c r="NH111" s="40"/>
      <c r="NI111" s="40"/>
      <c r="NJ111" s="40"/>
      <c r="NK111" s="40"/>
      <c r="NL111" s="40"/>
      <c r="NM111" s="40"/>
      <c r="NN111" s="40"/>
      <c r="NO111" s="40"/>
      <c r="NP111" s="40"/>
      <c r="NQ111" s="40"/>
      <c r="NR111" s="40"/>
    </row>
    <row r="112" spans="2:382" x14ac:dyDescent="0.15">
      <c r="B112" s="521"/>
      <c r="C112" s="120" t="str">
        <f>C4</f>
        <v>Brian</v>
      </c>
      <c r="D112" s="5">
        <f>D104</f>
        <v>0.3</v>
      </c>
      <c r="G112" s="118"/>
      <c r="I112" s="40">
        <f t="shared" ref="I112:J112" si="5369">SUM(I36:I37,I79,I94,I104)</f>
        <v>-31938.513322499999</v>
      </c>
      <c r="J112" s="40">
        <f t="shared" si="5369"/>
        <v>-31938.513322499999</v>
      </c>
      <c r="K112" s="40">
        <f t="shared" ref="K112:BV112" si="5370">SUM(K36:K37,K79,K94,K104)</f>
        <v>-31938.513322499992</v>
      </c>
      <c r="L112" s="40">
        <f t="shared" si="5370"/>
        <v>0</v>
      </c>
      <c r="M112" s="40">
        <f t="shared" si="5370"/>
        <v>0</v>
      </c>
      <c r="N112" s="40">
        <f t="shared" si="5370"/>
        <v>0</v>
      </c>
      <c r="O112" s="40">
        <f t="shared" si="5370"/>
        <v>0</v>
      </c>
      <c r="P112" s="40">
        <f t="shared" si="5370"/>
        <v>0</v>
      </c>
      <c r="Q112" s="40">
        <f t="shared" si="5370"/>
        <v>0</v>
      </c>
      <c r="R112" s="40">
        <f t="shared" si="5370"/>
        <v>0</v>
      </c>
      <c r="S112" s="40">
        <f t="shared" si="5370"/>
        <v>0</v>
      </c>
      <c r="T112" s="40">
        <f t="shared" si="5370"/>
        <v>0</v>
      </c>
      <c r="U112" s="40">
        <f t="shared" si="5370"/>
        <v>0</v>
      </c>
      <c r="V112" s="40">
        <f t="shared" si="5370"/>
        <v>0</v>
      </c>
      <c r="W112" s="40">
        <f t="shared" si="5370"/>
        <v>0</v>
      </c>
      <c r="X112" s="40">
        <f t="shared" si="5370"/>
        <v>0</v>
      </c>
      <c r="Y112" s="40">
        <f t="shared" si="5370"/>
        <v>0</v>
      </c>
      <c r="Z112" s="40">
        <f t="shared" si="5370"/>
        <v>0</v>
      </c>
      <c r="AA112" s="40">
        <f t="shared" si="5370"/>
        <v>0</v>
      </c>
      <c r="AB112" s="40">
        <f t="shared" si="5370"/>
        <v>0</v>
      </c>
      <c r="AC112" s="40">
        <f t="shared" si="5370"/>
        <v>0</v>
      </c>
      <c r="AD112" s="40">
        <f t="shared" si="5370"/>
        <v>0</v>
      </c>
      <c r="AE112" s="40">
        <f t="shared" si="5370"/>
        <v>0</v>
      </c>
      <c r="AF112" s="40">
        <f t="shared" si="5370"/>
        <v>0</v>
      </c>
      <c r="AG112" s="40">
        <f t="shared" si="5370"/>
        <v>0</v>
      </c>
      <c r="AH112" s="40">
        <f t="shared" si="5370"/>
        <v>0</v>
      </c>
      <c r="AI112" s="40">
        <f t="shared" si="5370"/>
        <v>0</v>
      </c>
      <c r="AJ112" s="40">
        <f t="shared" si="5370"/>
        <v>0</v>
      </c>
      <c r="AK112" s="40">
        <f t="shared" si="5370"/>
        <v>0</v>
      </c>
      <c r="AL112" s="40">
        <f t="shared" si="5370"/>
        <v>0</v>
      </c>
      <c r="AM112" s="40">
        <f t="shared" si="5370"/>
        <v>0</v>
      </c>
      <c r="AN112" s="40">
        <f t="shared" si="5370"/>
        <v>0</v>
      </c>
      <c r="AO112" s="40">
        <f t="shared" si="5370"/>
        <v>0</v>
      </c>
      <c r="AP112" s="40">
        <f t="shared" si="5370"/>
        <v>0</v>
      </c>
      <c r="AQ112" s="40">
        <f t="shared" si="5370"/>
        <v>0</v>
      </c>
      <c r="AR112" s="40">
        <f t="shared" si="5370"/>
        <v>0</v>
      </c>
      <c r="AS112" s="40">
        <f t="shared" si="5370"/>
        <v>110.72524415783781</v>
      </c>
      <c r="AT112" s="40">
        <f t="shared" si="5370"/>
        <v>110.72524415783781</v>
      </c>
      <c r="AU112" s="40">
        <f t="shared" si="5370"/>
        <v>110.72524415783781</v>
      </c>
      <c r="AV112" s="40">
        <f t="shared" si="5370"/>
        <v>110.72524415783781</v>
      </c>
      <c r="AW112" s="40">
        <f t="shared" si="5370"/>
        <v>110.72524415783781</v>
      </c>
      <c r="AX112" s="40">
        <f t="shared" si="5370"/>
        <v>110.72524415783781</v>
      </c>
      <c r="AY112" s="40">
        <f t="shared" si="5370"/>
        <v>110.72524415783781</v>
      </c>
      <c r="AZ112" s="40">
        <f t="shared" si="5370"/>
        <v>110.72524415783781</v>
      </c>
      <c r="BA112" s="40">
        <f t="shared" si="5370"/>
        <v>110.72524415783781</v>
      </c>
      <c r="BB112" s="40">
        <f t="shared" si="5370"/>
        <v>110.72524415783781</v>
      </c>
      <c r="BC112" s="40">
        <f t="shared" si="5370"/>
        <v>110.72524415783781</v>
      </c>
      <c r="BD112" s="40">
        <f t="shared" si="5370"/>
        <v>110.72524415783781</v>
      </c>
      <c r="BE112" s="40">
        <f t="shared" si="5370"/>
        <v>393.7644214373492</v>
      </c>
      <c r="BF112" s="40">
        <f t="shared" si="5370"/>
        <v>393.76442143734914</v>
      </c>
      <c r="BG112" s="40">
        <f t="shared" si="5370"/>
        <v>393.76442143734914</v>
      </c>
      <c r="BH112" s="40">
        <f t="shared" si="5370"/>
        <v>393.76442143734909</v>
      </c>
      <c r="BI112" s="40">
        <f t="shared" si="5370"/>
        <v>393.76442143734914</v>
      </c>
      <c r="BJ112" s="40">
        <f t="shared" si="5370"/>
        <v>393.76442143734909</v>
      </c>
      <c r="BK112" s="40">
        <f t="shared" si="5370"/>
        <v>393.76442143734914</v>
      </c>
      <c r="BL112" s="40">
        <f t="shared" si="5370"/>
        <v>393.76442143734909</v>
      </c>
      <c r="BM112" s="40">
        <f t="shared" si="5370"/>
        <v>393.76442143734909</v>
      </c>
      <c r="BN112" s="40">
        <f t="shared" si="5370"/>
        <v>393.76442143734897</v>
      </c>
      <c r="BO112" s="40">
        <f t="shared" si="5370"/>
        <v>393.76442143734909</v>
      </c>
      <c r="BP112" s="40">
        <f t="shared" si="5370"/>
        <v>393.76442143734897</v>
      </c>
      <c r="BQ112" s="40">
        <f t="shared" si="5370"/>
        <v>685.68804493039875</v>
      </c>
      <c r="BR112" s="40">
        <f t="shared" si="5370"/>
        <v>685.68804493039863</v>
      </c>
      <c r="BS112" s="40">
        <f t="shared" si="5370"/>
        <v>685.68804493039875</v>
      </c>
      <c r="BT112" s="40">
        <f t="shared" si="5370"/>
        <v>685.68804493039875</v>
      </c>
      <c r="BU112" s="40">
        <f t="shared" si="5370"/>
        <v>685.68804493039886</v>
      </c>
      <c r="BV112" s="40">
        <f t="shared" si="5370"/>
        <v>685.68804493039875</v>
      </c>
      <c r="BW112" s="40">
        <f t="shared" ref="BW112:EH112" si="5371">SUM(BW36:BW37,BW79,BW94,BW104)</f>
        <v>685.68804493039886</v>
      </c>
      <c r="BX112" s="40">
        <f t="shared" si="5371"/>
        <v>685.68804493039886</v>
      </c>
      <c r="BY112" s="40">
        <f t="shared" si="5371"/>
        <v>685.68804493039886</v>
      </c>
      <c r="BZ112" s="40">
        <f t="shared" si="5371"/>
        <v>685.68804493039886</v>
      </c>
      <c r="CA112" s="40">
        <f t="shared" si="5371"/>
        <v>685.68804493039897</v>
      </c>
      <c r="CB112" s="40">
        <f t="shared" si="5371"/>
        <v>685.68804493039886</v>
      </c>
      <c r="CC112" s="40">
        <f t="shared" si="5371"/>
        <v>986.77104027638143</v>
      </c>
      <c r="CD112" s="40">
        <f t="shared" si="5371"/>
        <v>986.77104027638143</v>
      </c>
      <c r="CE112" s="40">
        <f t="shared" si="5371"/>
        <v>986.77104027638143</v>
      </c>
      <c r="CF112" s="40">
        <f t="shared" si="5371"/>
        <v>986.7710402763812</v>
      </c>
      <c r="CG112" s="40">
        <f t="shared" si="5371"/>
        <v>986.77104027638143</v>
      </c>
      <c r="CH112" s="40">
        <f t="shared" si="5371"/>
        <v>986.7710402763812</v>
      </c>
      <c r="CI112" s="40">
        <f t="shared" si="5371"/>
        <v>986.7710402763812</v>
      </c>
      <c r="CJ112" s="40">
        <f t="shared" si="5371"/>
        <v>986.77104027638097</v>
      </c>
      <c r="CK112" s="40">
        <f t="shared" si="5371"/>
        <v>986.7710402763812</v>
      </c>
      <c r="CL112" s="40">
        <f t="shared" si="5371"/>
        <v>986.7710402763812</v>
      </c>
      <c r="CM112" s="40">
        <f t="shared" si="5371"/>
        <v>986.7710402763812</v>
      </c>
      <c r="CN112" s="40">
        <f t="shared" si="5371"/>
        <v>986.77104027638097</v>
      </c>
      <c r="CO112" s="40">
        <f t="shared" si="5371"/>
        <v>1297.2967618998043</v>
      </c>
      <c r="CP112" s="40">
        <f t="shared" si="5371"/>
        <v>1297.2967618998043</v>
      </c>
      <c r="CQ112" s="40">
        <f t="shared" si="5371"/>
        <v>1297.2967618998043</v>
      </c>
      <c r="CR112" s="40">
        <f t="shared" si="5371"/>
        <v>1297.2967618998041</v>
      </c>
      <c r="CS112" s="40">
        <f t="shared" si="5371"/>
        <v>1297.2967618998041</v>
      </c>
      <c r="CT112" s="40">
        <f t="shared" si="5371"/>
        <v>1297.2967618998043</v>
      </c>
      <c r="CU112" s="40">
        <f t="shared" si="5371"/>
        <v>1297.2967618998041</v>
      </c>
      <c r="CV112" s="40">
        <f t="shared" si="5371"/>
        <v>1297.2967618998041</v>
      </c>
      <c r="CW112" s="40">
        <f t="shared" si="5371"/>
        <v>1297.2967618998043</v>
      </c>
      <c r="CX112" s="40">
        <f t="shared" si="5371"/>
        <v>1297.2967618998041</v>
      </c>
      <c r="CY112" s="40">
        <f t="shared" si="5371"/>
        <v>1297.2967618998041</v>
      </c>
      <c r="CZ112" s="40">
        <f t="shared" si="5371"/>
        <v>1297.2967618998041</v>
      </c>
      <c r="DA112" s="40">
        <f t="shared" si="5371"/>
        <v>1617.5572498234512</v>
      </c>
      <c r="DB112" s="40">
        <f t="shared" si="5371"/>
        <v>1617.5572498234512</v>
      </c>
      <c r="DC112" s="40">
        <f t="shared" si="5371"/>
        <v>1617.5572498234512</v>
      </c>
      <c r="DD112" s="40">
        <f t="shared" si="5371"/>
        <v>1617.5572498234512</v>
      </c>
      <c r="DE112" s="40">
        <f t="shared" si="5371"/>
        <v>1617.5572498234512</v>
      </c>
      <c r="DF112" s="40">
        <f t="shared" si="5371"/>
        <v>1617.5572498234512</v>
      </c>
      <c r="DG112" s="40">
        <f t="shared" si="5371"/>
        <v>1617.5572498234512</v>
      </c>
      <c r="DH112" s="40">
        <f t="shared" si="5371"/>
        <v>1617.5572498234512</v>
      </c>
      <c r="DI112" s="40">
        <f t="shared" si="5371"/>
        <v>1617.5572498234512</v>
      </c>
      <c r="DJ112" s="40">
        <f t="shared" si="5371"/>
        <v>1617.5572498234512</v>
      </c>
      <c r="DK112" s="40">
        <f t="shared" si="5371"/>
        <v>1617.5572498234512</v>
      </c>
      <c r="DL112" s="40">
        <f t="shared" si="5371"/>
        <v>1617.5572498234512</v>
      </c>
      <c r="DM112" s="40">
        <f t="shared" si="5371"/>
        <v>1947.8534942731173</v>
      </c>
      <c r="DN112" s="40">
        <f t="shared" si="5371"/>
        <v>1947.8534942731173</v>
      </c>
      <c r="DO112" s="40">
        <f t="shared" si="5371"/>
        <v>1947.8534942731176</v>
      </c>
      <c r="DP112" s="40">
        <f t="shared" si="5371"/>
        <v>1947.8534942731173</v>
      </c>
      <c r="DQ112" s="40">
        <f t="shared" si="5371"/>
        <v>1947.8534942731173</v>
      </c>
      <c r="DR112" s="40">
        <f t="shared" si="5371"/>
        <v>1947.8534942731173</v>
      </c>
      <c r="DS112" s="40">
        <f t="shared" si="5371"/>
        <v>1947.8534942731173</v>
      </c>
      <c r="DT112" s="40">
        <f t="shared" si="5371"/>
        <v>1947.8534942731173</v>
      </c>
      <c r="DU112" s="40">
        <f t="shared" si="5371"/>
        <v>1947.8534942731169</v>
      </c>
      <c r="DV112" s="40">
        <f t="shared" si="5371"/>
        <v>1947.8534942731169</v>
      </c>
      <c r="DW112" s="40">
        <f t="shared" si="5371"/>
        <v>1947.8534942731173</v>
      </c>
      <c r="DX112" s="40">
        <f t="shared" si="5371"/>
        <v>1947.8534942731176</v>
      </c>
      <c r="DY112" s="40">
        <f t="shared" si="5371"/>
        <v>2288.4957083097142</v>
      </c>
      <c r="DZ112" s="40">
        <f t="shared" si="5371"/>
        <v>2288.4957083097138</v>
      </c>
      <c r="EA112" s="40">
        <f t="shared" si="5371"/>
        <v>2288.4957083097147</v>
      </c>
      <c r="EB112" s="40">
        <f t="shared" si="5371"/>
        <v>2288.4957083097142</v>
      </c>
      <c r="EC112" s="40">
        <f t="shared" si="5371"/>
        <v>2288.4957083097142</v>
      </c>
      <c r="ED112" s="40">
        <f t="shared" si="5371"/>
        <v>2288.4957083097156</v>
      </c>
      <c r="EE112" s="40">
        <f t="shared" si="5371"/>
        <v>2288.4957083097147</v>
      </c>
      <c r="EF112" s="40">
        <f t="shared" si="5371"/>
        <v>2288.4957083097147</v>
      </c>
      <c r="EG112" s="40">
        <f t="shared" si="5371"/>
        <v>2288.4957083097147</v>
      </c>
      <c r="EH112" s="40">
        <f t="shared" si="5371"/>
        <v>2288.4957083097147</v>
      </c>
      <c r="EI112" s="40">
        <f t="shared" ref="EI112:GT112" si="5372">SUM(EI36:EI37,EI79,EI94,EI104)</f>
        <v>2288.4957083097152</v>
      </c>
      <c r="EJ112" s="40">
        <f t="shared" si="5372"/>
        <v>2288.4957083097147</v>
      </c>
      <c r="EK112" s="40">
        <f t="shared" si="5372"/>
        <v>2639.8036087314604</v>
      </c>
      <c r="EL112" s="40">
        <f t="shared" si="5372"/>
        <v>2639.8036087314604</v>
      </c>
      <c r="EM112" s="40">
        <f t="shared" si="5372"/>
        <v>2639.8036087314613</v>
      </c>
      <c r="EN112" s="40">
        <f t="shared" si="5372"/>
        <v>2639.8036087314608</v>
      </c>
      <c r="EO112" s="40">
        <f t="shared" si="5372"/>
        <v>2639.8036087314608</v>
      </c>
      <c r="EP112" s="40">
        <f t="shared" si="5372"/>
        <v>2639.8036087314608</v>
      </c>
      <c r="EQ112" s="40">
        <f t="shared" si="5372"/>
        <v>2639.8036087314622</v>
      </c>
      <c r="ER112" s="40">
        <f t="shared" si="5372"/>
        <v>2639.8036087314613</v>
      </c>
      <c r="ES112" s="40">
        <f t="shared" si="5372"/>
        <v>2639.8036087314608</v>
      </c>
      <c r="ET112" s="40">
        <f t="shared" si="5372"/>
        <v>2639.8036087314613</v>
      </c>
      <c r="EU112" s="40">
        <f t="shared" si="5372"/>
        <v>2639.8036087314613</v>
      </c>
      <c r="EV112" s="40">
        <f t="shared" si="5372"/>
        <v>2639.8036087314608</v>
      </c>
      <c r="EW112" s="40">
        <f t="shared" si="5372"/>
        <v>3002.1067054963646</v>
      </c>
      <c r="EX112" s="40">
        <f t="shared" si="5372"/>
        <v>3002.1067054963646</v>
      </c>
      <c r="EY112" s="40">
        <f t="shared" si="5372"/>
        <v>3002.1067054963637</v>
      </c>
      <c r="EZ112" s="40">
        <f t="shared" si="5372"/>
        <v>3002.1067054963637</v>
      </c>
      <c r="FA112" s="40">
        <f t="shared" si="5372"/>
        <v>3002.1067054963637</v>
      </c>
      <c r="FB112" s="40">
        <f t="shared" si="5372"/>
        <v>3002.1067054963637</v>
      </c>
      <c r="FC112" s="40">
        <f t="shared" si="5372"/>
        <v>3002.1067054963637</v>
      </c>
      <c r="FD112" s="40">
        <f t="shared" si="5372"/>
        <v>3002.1067054963637</v>
      </c>
      <c r="FE112" s="40">
        <f t="shared" si="5372"/>
        <v>3002.1067054963637</v>
      </c>
      <c r="FF112" s="40">
        <f t="shared" si="5372"/>
        <v>3002.1067054963646</v>
      </c>
      <c r="FG112" s="40">
        <f t="shared" si="5372"/>
        <v>3002.1067054963632</v>
      </c>
      <c r="FH112" s="40">
        <f t="shared" si="5372"/>
        <v>3002.1067054963637</v>
      </c>
      <c r="FI112" s="40">
        <f t="shared" si="5372"/>
        <v>3375.7445999226979</v>
      </c>
      <c r="FJ112" s="40">
        <f t="shared" si="5372"/>
        <v>3375.7445999226975</v>
      </c>
      <c r="FK112" s="40">
        <f t="shared" si="5372"/>
        <v>3375.7445999226975</v>
      </c>
      <c r="FL112" s="40">
        <f t="shared" si="5372"/>
        <v>3375.7445999226975</v>
      </c>
      <c r="FM112" s="40">
        <f t="shared" si="5372"/>
        <v>3375.7445999226975</v>
      </c>
      <c r="FN112" s="40">
        <f t="shared" si="5372"/>
        <v>3375.744599922697</v>
      </c>
      <c r="FO112" s="40">
        <f t="shared" si="5372"/>
        <v>3375.7445999226966</v>
      </c>
      <c r="FP112" s="40">
        <f t="shared" si="5372"/>
        <v>3375.744599922697</v>
      </c>
      <c r="FQ112" s="40">
        <f t="shared" si="5372"/>
        <v>3375.7445999226961</v>
      </c>
      <c r="FR112" s="40">
        <f t="shared" si="5372"/>
        <v>3375.7445999226957</v>
      </c>
      <c r="FS112" s="40">
        <f t="shared" si="5372"/>
        <v>3375.7445999226961</v>
      </c>
      <c r="FT112" s="40">
        <f t="shared" si="5372"/>
        <v>3375.7445999226957</v>
      </c>
      <c r="FU112" s="40">
        <f t="shared" si="5372"/>
        <v>3761.0672919328681</v>
      </c>
      <c r="FV112" s="40">
        <f t="shared" si="5372"/>
        <v>3761.0672919328681</v>
      </c>
      <c r="FW112" s="40">
        <f t="shared" si="5372"/>
        <v>3761.0672919328686</v>
      </c>
      <c r="FX112" s="40">
        <f t="shared" si="5372"/>
        <v>3761.0672919328681</v>
      </c>
      <c r="FY112" s="40">
        <f t="shared" si="5372"/>
        <v>3761.0672919328681</v>
      </c>
      <c r="FZ112" s="40">
        <f t="shared" si="5372"/>
        <v>3761.0672919328672</v>
      </c>
      <c r="GA112" s="40">
        <f t="shared" si="5372"/>
        <v>3761.0672919328667</v>
      </c>
      <c r="GB112" s="40">
        <f t="shared" si="5372"/>
        <v>3761.0672919328667</v>
      </c>
      <c r="GC112" s="40">
        <f t="shared" si="5372"/>
        <v>0</v>
      </c>
      <c r="GD112" s="40">
        <f t="shared" si="5372"/>
        <v>0</v>
      </c>
      <c r="GE112" s="40">
        <f t="shared" si="5372"/>
        <v>0</v>
      </c>
      <c r="GF112" s="40">
        <f t="shared" ca="1" si="5372"/>
        <v>2141625.8806336918</v>
      </c>
      <c r="GG112" s="40">
        <f t="shared" ca="1" si="5372"/>
        <v>0</v>
      </c>
      <c r="GH112" s="40">
        <f t="shared" ca="1" si="5372"/>
        <v>0</v>
      </c>
      <c r="GI112" s="40">
        <f t="shared" ca="1" si="5372"/>
        <v>0</v>
      </c>
      <c r="GJ112" s="40">
        <f t="shared" ca="1" si="5372"/>
        <v>0</v>
      </c>
      <c r="GK112" s="40">
        <f t="shared" ca="1" si="5372"/>
        <v>0</v>
      </c>
      <c r="GL112" s="40">
        <f t="shared" ca="1" si="5372"/>
        <v>0</v>
      </c>
      <c r="GM112" s="40">
        <f t="shared" ca="1" si="5372"/>
        <v>0</v>
      </c>
      <c r="GN112" s="40">
        <f t="shared" ca="1" si="5372"/>
        <v>0</v>
      </c>
      <c r="GO112" s="40">
        <f t="shared" ca="1" si="5372"/>
        <v>0</v>
      </c>
      <c r="GP112" s="40">
        <f t="shared" ca="1" si="5372"/>
        <v>0</v>
      </c>
      <c r="GQ112" s="40">
        <f t="shared" ca="1" si="5372"/>
        <v>0</v>
      </c>
      <c r="GR112" s="40">
        <f t="shared" ca="1" si="5372"/>
        <v>0</v>
      </c>
      <c r="GS112" s="40">
        <f t="shared" ca="1" si="5372"/>
        <v>0</v>
      </c>
      <c r="GT112" s="40">
        <f t="shared" ca="1" si="5372"/>
        <v>0</v>
      </c>
      <c r="GU112" s="40">
        <f t="shared" ref="GU112:IN112" ca="1" si="5373">SUM(GU36:GU37,GU79,GU94,GU104)</f>
        <v>0</v>
      </c>
      <c r="GV112" s="40">
        <f t="shared" ca="1" si="5373"/>
        <v>0</v>
      </c>
      <c r="GW112" s="40">
        <f t="shared" ca="1" si="5373"/>
        <v>0</v>
      </c>
      <c r="GX112" s="40">
        <f t="shared" ca="1" si="5373"/>
        <v>0</v>
      </c>
      <c r="GY112" s="40">
        <f t="shared" ca="1" si="5373"/>
        <v>0</v>
      </c>
      <c r="GZ112" s="40">
        <f t="shared" ca="1" si="5373"/>
        <v>0</v>
      </c>
      <c r="HA112" s="40">
        <f t="shared" ca="1" si="5373"/>
        <v>0</v>
      </c>
      <c r="HB112" s="40">
        <f t="shared" ca="1" si="5373"/>
        <v>0</v>
      </c>
      <c r="HC112" s="40">
        <f t="shared" ca="1" si="5373"/>
        <v>0</v>
      </c>
      <c r="HD112" s="40">
        <f t="shared" ca="1" si="5373"/>
        <v>0</v>
      </c>
      <c r="HE112" s="40">
        <f t="shared" ca="1" si="5373"/>
        <v>0</v>
      </c>
      <c r="HF112" s="40">
        <f t="shared" ca="1" si="5373"/>
        <v>0</v>
      </c>
      <c r="HG112" s="40">
        <f t="shared" ca="1" si="5373"/>
        <v>0</v>
      </c>
      <c r="HH112" s="40">
        <f t="shared" ca="1" si="5373"/>
        <v>0</v>
      </c>
      <c r="HI112" s="40">
        <f t="shared" ca="1" si="5373"/>
        <v>0</v>
      </c>
      <c r="HJ112" s="40">
        <f t="shared" ca="1" si="5373"/>
        <v>0</v>
      </c>
      <c r="HK112" s="40">
        <f t="shared" ca="1" si="5373"/>
        <v>0</v>
      </c>
      <c r="HL112" s="40">
        <f t="shared" ca="1" si="5373"/>
        <v>0</v>
      </c>
      <c r="HM112" s="40">
        <f t="shared" ca="1" si="5373"/>
        <v>0</v>
      </c>
      <c r="HN112" s="40">
        <f t="shared" ca="1" si="5373"/>
        <v>0</v>
      </c>
      <c r="HO112" s="40">
        <f t="shared" ca="1" si="5373"/>
        <v>0</v>
      </c>
      <c r="HP112" s="40">
        <f t="shared" ca="1" si="5373"/>
        <v>0</v>
      </c>
      <c r="HQ112" s="40">
        <f t="shared" ca="1" si="5373"/>
        <v>0</v>
      </c>
      <c r="HR112" s="40">
        <f t="shared" ca="1" si="5373"/>
        <v>0</v>
      </c>
      <c r="HS112" s="40">
        <f t="shared" ca="1" si="5373"/>
        <v>0</v>
      </c>
      <c r="HT112" s="40">
        <f t="shared" ca="1" si="5373"/>
        <v>0</v>
      </c>
      <c r="HU112" s="40">
        <f t="shared" ca="1" si="5373"/>
        <v>0</v>
      </c>
      <c r="HV112" s="40">
        <f t="shared" ca="1" si="5373"/>
        <v>0</v>
      </c>
      <c r="HW112" s="40">
        <f t="shared" ca="1" si="5373"/>
        <v>0</v>
      </c>
      <c r="HX112" s="40">
        <f t="shared" ca="1" si="5373"/>
        <v>0</v>
      </c>
      <c r="HY112" s="40">
        <f t="shared" ca="1" si="5373"/>
        <v>0</v>
      </c>
      <c r="HZ112" s="40">
        <f t="shared" ca="1" si="5373"/>
        <v>0</v>
      </c>
      <c r="IA112" s="40">
        <f t="shared" ca="1" si="5373"/>
        <v>0</v>
      </c>
      <c r="IB112" s="40">
        <f t="shared" ca="1" si="5373"/>
        <v>0</v>
      </c>
      <c r="IC112" s="40">
        <f t="shared" ca="1" si="5373"/>
        <v>0</v>
      </c>
      <c r="ID112" s="40">
        <f t="shared" ca="1" si="5373"/>
        <v>0</v>
      </c>
      <c r="IE112" s="40">
        <f t="shared" ca="1" si="5373"/>
        <v>0</v>
      </c>
      <c r="IF112" s="40">
        <f t="shared" ca="1" si="5373"/>
        <v>0</v>
      </c>
      <c r="IG112" s="40">
        <f t="shared" ca="1" si="5373"/>
        <v>0</v>
      </c>
      <c r="IH112" s="40">
        <f t="shared" ca="1" si="5373"/>
        <v>0</v>
      </c>
      <c r="II112" s="40">
        <f t="shared" ca="1" si="5373"/>
        <v>0</v>
      </c>
      <c r="IJ112" s="40">
        <f t="shared" ca="1" si="5373"/>
        <v>0</v>
      </c>
      <c r="IK112" s="40">
        <f t="shared" ca="1" si="5373"/>
        <v>0</v>
      </c>
      <c r="IL112" s="40">
        <f t="shared" ca="1" si="5373"/>
        <v>0</v>
      </c>
      <c r="IM112" s="40">
        <f t="shared" ca="1" si="5373"/>
        <v>0</v>
      </c>
      <c r="IN112" s="40">
        <f t="shared" ca="1" si="5373"/>
        <v>0</v>
      </c>
      <c r="IO112" s="40">
        <f t="shared" ref="IO112:KZ112" ca="1" si="5374">SUM(IO36:IO37,IO79,IO94,IO104)</f>
        <v>0</v>
      </c>
      <c r="IP112" s="40">
        <f t="shared" ca="1" si="5374"/>
        <v>0</v>
      </c>
      <c r="IQ112" s="40">
        <f t="shared" ca="1" si="5374"/>
        <v>0</v>
      </c>
      <c r="IR112" s="40">
        <f t="shared" ca="1" si="5374"/>
        <v>0</v>
      </c>
      <c r="IS112" s="40">
        <f t="shared" ca="1" si="5374"/>
        <v>0</v>
      </c>
      <c r="IT112" s="40">
        <f t="shared" ca="1" si="5374"/>
        <v>0</v>
      </c>
      <c r="IU112" s="40">
        <f t="shared" ca="1" si="5374"/>
        <v>0</v>
      </c>
      <c r="IV112" s="40">
        <f t="shared" ca="1" si="5374"/>
        <v>0</v>
      </c>
      <c r="IW112" s="40">
        <f t="shared" ca="1" si="5374"/>
        <v>0</v>
      </c>
      <c r="IX112" s="40">
        <f t="shared" ca="1" si="5374"/>
        <v>0</v>
      </c>
      <c r="IY112" s="40">
        <f t="shared" ca="1" si="5374"/>
        <v>0</v>
      </c>
      <c r="IZ112" s="40">
        <f t="shared" ca="1" si="5374"/>
        <v>0</v>
      </c>
      <c r="JA112" s="40">
        <f t="shared" ca="1" si="5374"/>
        <v>0</v>
      </c>
      <c r="JB112" s="40">
        <f t="shared" ca="1" si="5374"/>
        <v>0</v>
      </c>
      <c r="JC112" s="40">
        <f t="shared" ca="1" si="5374"/>
        <v>0</v>
      </c>
      <c r="JD112" s="40">
        <f t="shared" ca="1" si="5374"/>
        <v>0</v>
      </c>
      <c r="JE112" s="40">
        <f t="shared" ca="1" si="5374"/>
        <v>0</v>
      </c>
      <c r="JF112" s="40">
        <f t="shared" ca="1" si="5374"/>
        <v>0</v>
      </c>
      <c r="JG112" s="40">
        <f t="shared" ca="1" si="5374"/>
        <v>0</v>
      </c>
      <c r="JH112" s="40">
        <f t="shared" ca="1" si="5374"/>
        <v>0</v>
      </c>
      <c r="JI112" s="40">
        <f t="shared" ca="1" si="5374"/>
        <v>0</v>
      </c>
      <c r="JJ112" s="40">
        <f t="shared" ca="1" si="5374"/>
        <v>0</v>
      </c>
      <c r="JK112" s="40">
        <f t="shared" ca="1" si="5374"/>
        <v>0</v>
      </c>
      <c r="JL112" s="40">
        <f t="shared" ca="1" si="5374"/>
        <v>0</v>
      </c>
      <c r="JM112" s="40">
        <f t="shared" ca="1" si="5374"/>
        <v>0</v>
      </c>
      <c r="JN112" s="40">
        <f t="shared" ca="1" si="5374"/>
        <v>0</v>
      </c>
      <c r="JO112" s="40">
        <f t="shared" ca="1" si="5374"/>
        <v>0</v>
      </c>
      <c r="JP112" s="40">
        <f t="shared" ca="1" si="5374"/>
        <v>0</v>
      </c>
      <c r="JQ112" s="40">
        <f t="shared" ca="1" si="5374"/>
        <v>0</v>
      </c>
      <c r="JR112" s="40">
        <f t="shared" ca="1" si="5374"/>
        <v>0</v>
      </c>
      <c r="JS112" s="40">
        <f t="shared" ca="1" si="5374"/>
        <v>0</v>
      </c>
      <c r="JT112" s="40">
        <f t="shared" ca="1" si="5374"/>
        <v>0</v>
      </c>
      <c r="JU112" s="40">
        <f t="shared" ca="1" si="5374"/>
        <v>0</v>
      </c>
      <c r="JV112" s="40">
        <f t="shared" ca="1" si="5374"/>
        <v>0</v>
      </c>
      <c r="JW112" s="40">
        <f t="shared" ca="1" si="5374"/>
        <v>0</v>
      </c>
      <c r="JX112" s="40">
        <f t="shared" ca="1" si="5374"/>
        <v>0</v>
      </c>
      <c r="JY112" s="40">
        <f t="shared" ca="1" si="5374"/>
        <v>0</v>
      </c>
      <c r="JZ112" s="40">
        <f t="shared" ca="1" si="5374"/>
        <v>0</v>
      </c>
      <c r="KA112" s="40">
        <f t="shared" ca="1" si="5374"/>
        <v>0</v>
      </c>
      <c r="KB112" s="40">
        <f t="shared" ca="1" si="5374"/>
        <v>0</v>
      </c>
      <c r="KC112" s="40">
        <f t="shared" ca="1" si="5374"/>
        <v>0</v>
      </c>
      <c r="KD112" s="40">
        <f t="shared" ca="1" si="5374"/>
        <v>0</v>
      </c>
      <c r="KE112" s="40">
        <f t="shared" ca="1" si="5374"/>
        <v>0</v>
      </c>
      <c r="KF112" s="40">
        <f t="shared" ca="1" si="5374"/>
        <v>0</v>
      </c>
      <c r="KG112" s="40">
        <f t="shared" ca="1" si="5374"/>
        <v>0</v>
      </c>
      <c r="KH112" s="40">
        <f t="shared" ca="1" si="5374"/>
        <v>0</v>
      </c>
      <c r="KI112" s="40">
        <f t="shared" ca="1" si="5374"/>
        <v>0</v>
      </c>
      <c r="KJ112" s="40">
        <f t="shared" ca="1" si="5374"/>
        <v>0</v>
      </c>
      <c r="KK112" s="40">
        <f t="shared" ca="1" si="5374"/>
        <v>0</v>
      </c>
      <c r="KL112" s="40">
        <f t="shared" ca="1" si="5374"/>
        <v>0</v>
      </c>
      <c r="KM112" s="40">
        <f t="shared" ca="1" si="5374"/>
        <v>0</v>
      </c>
      <c r="KN112" s="40">
        <f t="shared" ca="1" si="5374"/>
        <v>0</v>
      </c>
      <c r="KO112" s="40">
        <f t="shared" ca="1" si="5374"/>
        <v>0</v>
      </c>
      <c r="KP112" s="40">
        <f t="shared" ca="1" si="5374"/>
        <v>0</v>
      </c>
      <c r="KQ112" s="40">
        <f t="shared" ca="1" si="5374"/>
        <v>0</v>
      </c>
      <c r="KR112" s="40">
        <f t="shared" ca="1" si="5374"/>
        <v>0</v>
      </c>
      <c r="KS112" s="40">
        <f t="shared" ca="1" si="5374"/>
        <v>0</v>
      </c>
      <c r="KT112" s="40">
        <f t="shared" ca="1" si="5374"/>
        <v>0</v>
      </c>
      <c r="KU112" s="40">
        <f t="shared" ca="1" si="5374"/>
        <v>0</v>
      </c>
      <c r="KV112" s="40">
        <f t="shared" ca="1" si="5374"/>
        <v>0</v>
      </c>
      <c r="KW112" s="40">
        <f t="shared" ca="1" si="5374"/>
        <v>0</v>
      </c>
      <c r="KX112" s="40">
        <f t="shared" ca="1" si="5374"/>
        <v>0</v>
      </c>
      <c r="KY112" s="40">
        <f t="shared" ca="1" si="5374"/>
        <v>0</v>
      </c>
      <c r="KZ112" s="40">
        <f t="shared" ca="1" si="5374"/>
        <v>0</v>
      </c>
      <c r="LA112" s="40">
        <f t="shared" ref="LA112:ND112" ca="1" si="5375">SUM(LA36:LA37,LA79,LA94,LA104)</f>
        <v>0</v>
      </c>
      <c r="LB112" s="40">
        <f t="shared" ca="1" si="5375"/>
        <v>0</v>
      </c>
      <c r="LC112" s="40">
        <f t="shared" ca="1" si="5375"/>
        <v>0</v>
      </c>
      <c r="LD112" s="40">
        <f t="shared" ca="1" si="5375"/>
        <v>0</v>
      </c>
      <c r="LE112" s="40">
        <f t="shared" ca="1" si="5375"/>
        <v>0</v>
      </c>
      <c r="LF112" s="40">
        <f t="shared" ca="1" si="5375"/>
        <v>0</v>
      </c>
      <c r="LG112" s="40">
        <f t="shared" ca="1" si="5375"/>
        <v>0</v>
      </c>
      <c r="LH112" s="40">
        <f t="shared" ca="1" si="5375"/>
        <v>0</v>
      </c>
      <c r="LI112" s="40">
        <f t="shared" ca="1" si="5375"/>
        <v>0</v>
      </c>
      <c r="LJ112" s="40">
        <f t="shared" ca="1" si="5375"/>
        <v>0</v>
      </c>
      <c r="LK112" s="40">
        <f t="shared" ca="1" si="5375"/>
        <v>0</v>
      </c>
      <c r="LL112" s="40">
        <f t="shared" ca="1" si="5375"/>
        <v>0</v>
      </c>
      <c r="LM112" s="40">
        <f t="shared" ca="1" si="5375"/>
        <v>0</v>
      </c>
      <c r="LN112" s="40">
        <f t="shared" ca="1" si="5375"/>
        <v>0</v>
      </c>
      <c r="LO112" s="40">
        <f t="shared" ca="1" si="5375"/>
        <v>0</v>
      </c>
      <c r="LP112" s="40">
        <f t="shared" ca="1" si="5375"/>
        <v>0</v>
      </c>
      <c r="LQ112" s="40">
        <f t="shared" ca="1" si="5375"/>
        <v>0</v>
      </c>
      <c r="LR112" s="40">
        <f t="shared" ca="1" si="5375"/>
        <v>0</v>
      </c>
      <c r="LS112" s="40">
        <f t="shared" ca="1" si="5375"/>
        <v>0</v>
      </c>
      <c r="LT112" s="40">
        <f t="shared" ca="1" si="5375"/>
        <v>0</v>
      </c>
      <c r="LU112" s="40">
        <f t="shared" ca="1" si="5375"/>
        <v>0</v>
      </c>
      <c r="LV112" s="40">
        <f t="shared" ca="1" si="5375"/>
        <v>0</v>
      </c>
      <c r="LW112" s="40">
        <f t="shared" ca="1" si="5375"/>
        <v>0</v>
      </c>
      <c r="LX112" s="40">
        <f t="shared" ca="1" si="5375"/>
        <v>0</v>
      </c>
      <c r="LY112" s="40">
        <f t="shared" ca="1" si="5375"/>
        <v>0</v>
      </c>
      <c r="LZ112" s="40">
        <f t="shared" ca="1" si="5375"/>
        <v>0</v>
      </c>
      <c r="MA112" s="40">
        <f t="shared" ca="1" si="5375"/>
        <v>0</v>
      </c>
      <c r="MB112" s="40">
        <f t="shared" ca="1" si="5375"/>
        <v>0</v>
      </c>
      <c r="MC112" s="40">
        <f t="shared" ca="1" si="5375"/>
        <v>0</v>
      </c>
      <c r="MD112" s="40">
        <f t="shared" ca="1" si="5375"/>
        <v>0</v>
      </c>
      <c r="ME112" s="40">
        <f t="shared" ca="1" si="5375"/>
        <v>0</v>
      </c>
      <c r="MF112" s="40">
        <f t="shared" ca="1" si="5375"/>
        <v>0</v>
      </c>
      <c r="MG112" s="40">
        <f t="shared" ca="1" si="5375"/>
        <v>0</v>
      </c>
      <c r="MH112" s="40">
        <f t="shared" ca="1" si="5375"/>
        <v>0</v>
      </c>
      <c r="MI112" s="40">
        <f t="shared" ca="1" si="5375"/>
        <v>0</v>
      </c>
      <c r="MJ112" s="40">
        <f t="shared" ca="1" si="5375"/>
        <v>0</v>
      </c>
      <c r="MK112" s="40">
        <f t="shared" ca="1" si="5375"/>
        <v>0</v>
      </c>
      <c r="ML112" s="40">
        <f t="shared" ca="1" si="5375"/>
        <v>0</v>
      </c>
      <c r="MM112" s="40">
        <f t="shared" ca="1" si="5375"/>
        <v>0</v>
      </c>
      <c r="MN112" s="40">
        <f t="shared" ca="1" si="5375"/>
        <v>0</v>
      </c>
      <c r="MO112" s="40">
        <f t="shared" ca="1" si="5375"/>
        <v>0</v>
      </c>
      <c r="MP112" s="40">
        <f t="shared" ca="1" si="5375"/>
        <v>0</v>
      </c>
      <c r="MQ112" s="40">
        <f t="shared" ca="1" si="5375"/>
        <v>0</v>
      </c>
      <c r="MR112" s="40">
        <f t="shared" ca="1" si="5375"/>
        <v>0</v>
      </c>
      <c r="MS112" s="40">
        <f t="shared" ca="1" si="5375"/>
        <v>0</v>
      </c>
      <c r="MT112" s="40">
        <f t="shared" ca="1" si="5375"/>
        <v>0</v>
      </c>
      <c r="MU112" s="40">
        <f t="shared" ca="1" si="5375"/>
        <v>0</v>
      </c>
      <c r="MV112" s="40">
        <f t="shared" ca="1" si="5375"/>
        <v>0</v>
      </c>
      <c r="MW112" s="40">
        <f t="shared" ca="1" si="5375"/>
        <v>0</v>
      </c>
      <c r="MX112" s="40">
        <f t="shared" ca="1" si="5375"/>
        <v>0</v>
      </c>
      <c r="MY112" s="40">
        <f t="shared" ca="1" si="5375"/>
        <v>0</v>
      </c>
      <c r="MZ112" s="40">
        <f t="shared" ca="1" si="5375"/>
        <v>0</v>
      </c>
      <c r="NA112" s="40">
        <f t="shared" ca="1" si="5375"/>
        <v>0</v>
      </c>
      <c r="NB112" s="40">
        <f t="shared" ca="1" si="5375"/>
        <v>0</v>
      </c>
      <c r="NC112" s="40">
        <f t="shared" ca="1" si="5375"/>
        <v>0</v>
      </c>
      <c r="ND112" s="40">
        <f t="shared" ca="1" si="5375"/>
        <v>0</v>
      </c>
      <c r="NE112" s="40"/>
      <c r="NF112" s="40"/>
      <c r="NG112" s="40"/>
      <c r="NH112" s="40"/>
      <c r="NI112" s="40"/>
      <c r="NJ112" s="40"/>
      <c r="NK112" s="40"/>
      <c r="NL112" s="40"/>
      <c r="NM112" s="40"/>
      <c r="NN112" s="40"/>
      <c r="NO112" s="40"/>
      <c r="NP112" s="40"/>
      <c r="NQ112" s="40"/>
      <c r="NR112" s="40"/>
    </row>
    <row r="113" spans="2:382" x14ac:dyDescent="0.15">
      <c r="B113" s="521"/>
      <c r="C113" s="120" t="str">
        <f>C5</f>
        <v>Chris</v>
      </c>
      <c r="D113" s="5">
        <f>D105</f>
        <v>0.4</v>
      </c>
      <c r="G113" s="118"/>
      <c r="I113" s="40">
        <f t="shared" ref="I113:J113" si="5376">SUM(I44:I45,I80,I94,I105)</f>
        <v>-42584.684430000001</v>
      </c>
      <c r="J113" s="40">
        <f t="shared" si="5376"/>
        <v>-42584.684430000001</v>
      </c>
      <c r="K113" s="40">
        <f t="shared" ref="K113:BV113" si="5377">SUM(K44:K45,K80,K94,K105)</f>
        <v>-42584.684429999994</v>
      </c>
      <c r="L113" s="40">
        <f t="shared" si="5377"/>
        <v>0</v>
      </c>
      <c r="M113" s="40">
        <f t="shared" si="5377"/>
        <v>0</v>
      </c>
      <c r="N113" s="40">
        <f t="shared" si="5377"/>
        <v>0</v>
      </c>
      <c r="O113" s="40">
        <f t="shared" si="5377"/>
        <v>0</v>
      </c>
      <c r="P113" s="40">
        <f t="shared" si="5377"/>
        <v>0</v>
      </c>
      <c r="Q113" s="40">
        <f t="shared" si="5377"/>
        <v>0</v>
      </c>
      <c r="R113" s="40">
        <f t="shared" si="5377"/>
        <v>0</v>
      </c>
      <c r="S113" s="40">
        <f t="shared" si="5377"/>
        <v>0</v>
      </c>
      <c r="T113" s="40">
        <f t="shared" si="5377"/>
        <v>0</v>
      </c>
      <c r="U113" s="40">
        <f t="shared" si="5377"/>
        <v>0</v>
      </c>
      <c r="V113" s="40">
        <f t="shared" si="5377"/>
        <v>0</v>
      </c>
      <c r="W113" s="40">
        <f t="shared" si="5377"/>
        <v>0</v>
      </c>
      <c r="X113" s="40">
        <f t="shared" si="5377"/>
        <v>0</v>
      </c>
      <c r="Y113" s="40">
        <f t="shared" si="5377"/>
        <v>0</v>
      </c>
      <c r="Z113" s="40">
        <f t="shared" si="5377"/>
        <v>0</v>
      </c>
      <c r="AA113" s="40">
        <f t="shared" si="5377"/>
        <v>0</v>
      </c>
      <c r="AB113" s="40">
        <f t="shared" si="5377"/>
        <v>0</v>
      </c>
      <c r="AC113" s="40">
        <f t="shared" si="5377"/>
        <v>0</v>
      </c>
      <c r="AD113" s="40">
        <f t="shared" si="5377"/>
        <v>0</v>
      </c>
      <c r="AE113" s="40">
        <f t="shared" si="5377"/>
        <v>0</v>
      </c>
      <c r="AF113" s="40">
        <f t="shared" si="5377"/>
        <v>0</v>
      </c>
      <c r="AG113" s="40">
        <f t="shared" si="5377"/>
        <v>0</v>
      </c>
      <c r="AH113" s="40">
        <f t="shared" si="5377"/>
        <v>0</v>
      </c>
      <c r="AI113" s="40">
        <f t="shared" si="5377"/>
        <v>0</v>
      </c>
      <c r="AJ113" s="40">
        <f t="shared" si="5377"/>
        <v>0</v>
      </c>
      <c r="AK113" s="40">
        <f t="shared" si="5377"/>
        <v>0</v>
      </c>
      <c r="AL113" s="40">
        <f t="shared" si="5377"/>
        <v>0</v>
      </c>
      <c r="AM113" s="40">
        <f t="shared" si="5377"/>
        <v>0</v>
      </c>
      <c r="AN113" s="40">
        <f t="shared" si="5377"/>
        <v>0</v>
      </c>
      <c r="AO113" s="40">
        <f t="shared" si="5377"/>
        <v>0</v>
      </c>
      <c r="AP113" s="40">
        <f t="shared" si="5377"/>
        <v>0</v>
      </c>
      <c r="AQ113" s="40">
        <f t="shared" si="5377"/>
        <v>0</v>
      </c>
      <c r="AR113" s="40">
        <f t="shared" si="5377"/>
        <v>0</v>
      </c>
      <c r="AS113" s="40">
        <f t="shared" si="5377"/>
        <v>147.6336588771168</v>
      </c>
      <c r="AT113" s="40">
        <f t="shared" si="5377"/>
        <v>147.63365887711683</v>
      </c>
      <c r="AU113" s="40">
        <f t="shared" si="5377"/>
        <v>147.6336588771168</v>
      </c>
      <c r="AV113" s="40">
        <f t="shared" si="5377"/>
        <v>147.6336588771168</v>
      </c>
      <c r="AW113" s="40">
        <f t="shared" si="5377"/>
        <v>147.63365887711683</v>
      </c>
      <c r="AX113" s="40">
        <f t="shared" si="5377"/>
        <v>147.63365887711683</v>
      </c>
      <c r="AY113" s="40">
        <f t="shared" si="5377"/>
        <v>147.63365887711683</v>
      </c>
      <c r="AZ113" s="40">
        <f t="shared" si="5377"/>
        <v>147.63365887711683</v>
      </c>
      <c r="BA113" s="40">
        <f t="shared" si="5377"/>
        <v>147.63365887711683</v>
      </c>
      <c r="BB113" s="40">
        <f t="shared" si="5377"/>
        <v>147.63365887711683</v>
      </c>
      <c r="BC113" s="40">
        <f t="shared" si="5377"/>
        <v>147.63365887711683</v>
      </c>
      <c r="BD113" s="40">
        <f t="shared" si="5377"/>
        <v>147.63365887711683</v>
      </c>
      <c r="BE113" s="40">
        <f t="shared" si="5377"/>
        <v>525.01922858313139</v>
      </c>
      <c r="BF113" s="40">
        <f t="shared" si="5377"/>
        <v>525.01922858313139</v>
      </c>
      <c r="BG113" s="40">
        <f t="shared" si="5377"/>
        <v>525.01922858313139</v>
      </c>
      <c r="BH113" s="40">
        <f t="shared" si="5377"/>
        <v>525.01922858313139</v>
      </c>
      <c r="BI113" s="40">
        <f t="shared" si="5377"/>
        <v>525.01922858313151</v>
      </c>
      <c r="BJ113" s="40">
        <f t="shared" si="5377"/>
        <v>525.01922858313139</v>
      </c>
      <c r="BK113" s="40">
        <f t="shared" si="5377"/>
        <v>525.01922858313162</v>
      </c>
      <c r="BL113" s="40">
        <f t="shared" si="5377"/>
        <v>525.01922858313151</v>
      </c>
      <c r="BM113" s="40">
        <f t="shared" si="5377"/>
        <v>525.01922858313162</v>
      </c>
      <c r="BN113" s="40">
        <f t="shared" si="5377"/>
        <v>525.01922858313162</v>
      </c>
      <c r="BO113" s="40">
        <f t="shared" si="5377"/>
        <v>525.01922858313173</v>
      </c>
      <c r="BP113" s="40">
        <f t="shared" si="5377"/>
        <v>525.01922858313173</v>
      </c>
      <c r="BQ113" s="40">
        <f t="shared" si="5377"/>
        <v>914.25072657386465</v>
      </c>
      <c r="BR113" s="40">
        <f t="shared" si="5377"/>
        <v>914.25072657386443</v>
      </c>
      <c r="BS113" s="40">
        <f t="shared" si="5377"/>
        <v>914.25072657386443</v>
      </c>
      <c r="BT113" s="40">
        <f t="shared" si="5377"/>
        <v>914.25072657386431</v>
      </c>
      <c r="BU113" s="40">
        <f t="shared" si="5377"/>
        <v>914.25072657386443</v>
      </c>
      <c r="BV113" s="40">
        <f t="shared" si="5377"/>
        <v>914.2507265738642</v>
      </c>
      <c r="BW113" s="40">
        <f t="shared" ref="BW113:EH113" si="5378">SUM(BW44:BW45,BW80,BW94,BW105)</f>
        <v>914.25072657386431</v>
      </c>
      <c r="BX113" s="40">
        <f t="shared" si="5378"/>
        <v>914.2507265738642</v>
      </c>
      <c r="BY113" s="40">
        <f t="shared" si="5378"/>
        <v>914.2507265738642</v>
      </c>
      <c r="BZ113" s="40">
        <f t="shared" si="5378"/>
        <v>914.25072657386409</v>
      </c>
      <c r="CA113" s="40">
        <f t="shared" si="5378"/>
        <v>914.25072657386409</v>
      </c>
      <c r="CB113" s="40">
        <f t="shared" si="5378"/>
        <v>914.25072657386397</v>
      </c>
      <c r="CC113" s="40">
        <f t="shared" si="5378"/>
        <v>1315.6947203685065</v>
      </c>
      <c r="CD113" s="40">
        <f t="shared" si="5378"/>
        <v>1315.6947203685068</v>
      </c>
      <c r="CE113" s="40">
        <f t="shared" si="5378"/>
        <v>1315.6947203685068</v>
      </c>
      <c r="CF113" s="40">
        <f t="shared" si="5378"/>
        <v>1315.6947203685065</v>
      </c>
      <c r="CG113" s="40">
        <f t="shared" si="5378"/>
        <v>1315.694720368507</v>
      </c>
      <c r="CH113" s="40">
        <f t="shared" si="5378"/>
        <v>1315.694720368507</v>
      </c>
      <c r="CI113" s="40">
        <f t="shared" si="5378"/>
        <v>1315.694720368507</v>
      </c>
      <c r="CJ113" s="40">
        <f t="shared" si="5378"/>
        <v>1315.6947203685068</v>
      </c>
      <c r="CK113" s="40">
        <f t="shared" si="5378"/>
        <v>1315.694720368507</v>
      </c>
      <c r="CL113" s="40">
        <f t="shared" si="5378"/>
        <v>1315.694720368507</v>
      </c>
      <c r="CM113" s="40">
        <f t="shared" si="5378"/>
        <v>1315.6947203685072</v>
      </c>
      <c r="CN113" s="40">
        <f t="shared" si="5378"/>
        <v>1315.694720368507</v>
      </c>
      <c r="CO113" s="40">
        <f t="shared" si="5378"/>
        <v>1729.7290158664046</v>
      </c>
      <c r="CP113" s="40">
        <f t="shared" si="5378"/>
        <v>1729.7290158664046</v>
      </c>
      <c r="CQ113" s="40">
        <f t="shared" si="5378"/>
        <v>1729.7290158664046</v>
      </c>
      <c r="CR113" s="40">
        <f t="shared" si="5378"/>
        <v>1729.7290158664046</v>
      </c>
      <c r="CS113" s="40">
        <f t="shared" si="5378"/>
        <v>1729.7290158664046</v>
      </c>
      <c r="CT113" s="40">
        <f t="shared" si="5378"/>
        <v>1729.7290158664048</v>
      </c>
      <c r="CU113" s="40">
        <f t="shared" si="5378"/>
        <v>1729.7290158664048</v>
      </c>
      <c r="CV113" s="40">
        <f t="shared" si="5378"/>
        <v>1729.7290158664046</v>
      </c>
      <c r="CW113" s="40">
        <f t="shared" si="5378"/>
        <v>1729.729015866405</v>
      </c>
      <c r="CX113" s="40">
        <f t="shared" si="5378"/>
        <v>1729.7290158664048</v>
      </c>
      <c r="CY113" s="40">
        <f t="shared" si="5378"/>
        <v>1729.7290158664048</v>
      </c>
      <c r="CZ113" s="40">
        <f t="shared" si="5378"/>
        <v>1729.7290158664048</v>
      </c>
      <c r="DA113" s="40">
        <f t="shared" si="5378"/>
        <v>2156.7429997646013</v>
      </c>
      <c r="DB113" s="40">
        <f t="shared" si="5378"/>
        <v>2156.7429997646013</v>
      </c>
      <c r="DC113" s="40">
        <f t="shared" si="5378"/>
        <v>2156.7429997646013</v>
      </c>
      <c r="DD113" s="40">
        <f t="shared" si="5378"/>
        <v>2156.7429997646013</v>
      </c>
      <c r="DE113" s="40">
        <f t="shared" si="5378"/>
        <v>2156.7429997646013</v>
      </c>
      <c r="DF113" s="40">
        <f t="shared" si="5378"/>
        <v>2156.7429997646013</v>
      </c>
      <c r="DG113" s="40">
        <f t="shared" si="5378"/>
        <v>2156.7429997646013</v>
      </c>
      <c r="DH113" s="40">
        <f t="shared" si="5378"/>
        <v>2156.7429997646013</v>
      </c>
      <c r="DI113" s="40">
        <f t="shared" si="5378"/>
        <v>2156.7429997646013</v>
      </c>
      <c r="DJ113" s="40">
        <f t="shared" si="5378"/>
        <v>2156.7429997646013</v>
      </c>
      <c r="DK113" s="40">
        <f t="shared" si="5378"/>
        <v>2156.7429997646013</v>
      </c>
      <c r="DL113" s="40">
        <f t="shared" si="5378"/>
        <v>2156.7429997646013</v>
      </c>
      <c r="DM113" s="40">
        <f t="shared" si="5378"/>
        <v>2597.1379923641562</v>
      </c>
      <c r="DN113" s="40">
        <f t="shared" si="5378"/>
        <v>2597.1379923641562</v>
      </c>
      <c r="DO113" s="40">
        <f t="shared" si="5378"/>
        <v>2597.1379923641566</v>
      </c>
      <c r="DP113" s="40">
        <f t="shared" si="5378"/>
        <v>2597.1379923641566</v>
      </c>
      <c r="DQ113" s="40">
        <f t="shared" si="5378"/>
        <v>2597.1379923641562</v>
      </c>
      <c r="DR113" s="40">
        <f t="shared" si="5378"/>
        <v>2597.1379923641566</v>
      </c>
      <c r="DS113" s="40">
        <f t="shared" si="5378"/>
        <v>2597.1379923641571</v>
      </c>
      <c r="DT113" s="40">
        <f t="shared" si="5378"/>
        <v>2597.1379923641571</v>
      </c>
      <c r="DU113" s="40">
        <f t="shared" si="5378"/>
        <v>2597.1379923641566</v>
      </c>
      <c r="DV113" s="40">
        <f t="shared" si="5378"/>
        <v>2597.1379923641571</v>
      </c>
      <c r="DW113" s="40">
        <f t="shared" si="5378"/>
        <v>2597.1379923641575</v>
      </c>
      <c r="DX113" s="40">
        <f t="shared" si="5378"/>
        <v>2597.137992364158</v>
      </c>
      <c r="DY113" s="40">
        <f t="shared" si="5378"/>
        <v>3051.327611079621</v>
      </c>
      <c r="DZ113" s="40">
        <f t="shared" si="5378"/>
        <v>3051.3276110796201</v>
      </c>
      <c r="EA113" s="40">
        <f t="shared" si="5378"/>
        <v>3051.327611079621</v>
      </c>
      <c r="EB113" s="40">
        <f t="shared" si="5378"/>
        <v>3051.3276110796205</v>
      </c>
      <c r="EC113" s="40">
        <f t="shared" si="5378"/>
        <v>3051.3276110796201</v>
      </c>
      <c r="ED113" s="40">
        <f t="shared" si="5378"/>
        <v>3051.3276110796214</v>
      </c>
      <c r="EE113" s="40">
        <f t="shared" si="5378"/>
        <v>3051.3276110796205</v>
      </c>
      <c r="EF113" s="40">
        <f t="shared" si="5378"/>
        <v>3051.3276110796201</v>
      </c>
      <c r="EG113" s="40">
        <f t="shared" si="5378"/>
        <v>3051.3276110796196</v>
      </c>
      <c r="EH113" s="40">
        <f t="shared" si="5378"/>
        <v>3051.3276110796201</v>
      </c>
      <c r="EI113" s="40">
        <f t="shared" ref="EI113:GT113" si="5379">SUM(EI44:EI45,EI80,EI94,EI105)</f>
        <v>3051.3276110796201</v>
      </c>
      <c r="EJ113" s="40">
        <f t="shared" si="5379"/>
        <v>3051.3276110796196</v>
      </c>
      <c r="EK113" s="40">
        <f t="shared" si="5379"/>
        <v>3519.7381449752797</v>
      </c>
      <c r="EL113" s="40">
        <f t="shared" si="5379"/>
        <v>3519.7381449752797</v>
      </c>
      <c r="EM113" s="40">
        <f t="shared" si="5379"/>
        <v>3519.7381449752811</v>
      </c>
      <c r="EN113" s="40">
        <f t="shared" si="5379"/>
        <v>3519.7381449752797</v>
      </c>
      <c r="EO113" s="40">
        <f t="shared" si="5379"/>
        <v>3519.7381449752793</v>
      </c>
      <c r="EP113" s="40">
        <f t="shared" si="5379"/>
        <v>3519.7381449752797</v>
      </c>
      <c r="EQ113" s="40">
        <f t="shared" si="5379"/>
        <v>3519.7381449752806</v>
      </c>
      <c r="ER113" s="40">
        <f t="shared" si="5379"/>
        <v>3519.7381449752802</v>
      </c>
      <c r="ES113" s="40">
        <f t="shared" si="5379"/>
        <v>3519.7381449752788</v>
      </c>
      <c r="ET113" s="40">
        <f t="shared" si="5379"/>
        <v>3519.7381449752793</v>
      </c>
      <c r="EU113" s="40">
        <f t="shared" si="5379"/>
        <v>3519.7381449752793</v>
      </c>
      <c r="EV113" s="40">
        <f t="shared" si="5379"/>
        <v>3519.7381449752784</v>
      </c>
      <c r="EW113" s="40">
        <f t="shared" si="5379"/>
        <v>4002.808940661816</v>
      </c>
      <c r="EX113" s="40">
        <f t="shared" si="5379"/>
        <v>4002.808940661816</v>
      </c>
      <c r="EY113" s="40">
        <f t="shared" si="5379"/>
        <v>4002.8089406618155</v>
      </c>
      <c r="EZ113" s="40">
        <f t="shared" si="5379"/>
        <v>4002.8089406618155</v>
      </c>
      <c r="FA113" s="40">
        <f t="shared" si="5379"/>
        <v>4002.8089406618165</v>
      </c>
      <c r="FB113" s="40">
        <f t="shared" si="5379"/>
        <v>4002.8089406618165</v>
      </c>
      <c r="FC113" s="40">
        <f t="shared" si="5379"/>
        <v>4002.8089406618165</v>
      </c>
      <c r="FD113" s="40">
        <f t="shared" si="5379"/>
        <v>4002.8089406618169</v>
      </c>
      <c r="FE113" s="40">
        <f t="shared" si="5379"/>
        <v>4002.8089406618169</v>
      </c>
      <c r="FF113" s="40">
        <f t="shared" si="5379"/>
        <v>4002.8089406618178</v>
      </c>
      <c r="FG113" s="40">
        <f t="shared" si="5379"/>
        <v>4002.8089406618169</v>
      </c>
      <c r="FH113" s="40">
        <f t="shared" si="5379"/>
        <v>4002.8089406618174</v>
      </c>
      <c r="FI113" s="40">
        <f t="shared" si="5379"/>
        <v>4500.9927998969297</v>
      </c>
      <c r="FJ113" s="40">
        <f t="shared" si="5379"/>
        <v>4500.9927998969306</v>
      </c>
      <c r="FK113" s="40">
        <f t="shared" si="5379"/>
        <v>4500.9927998969315</v>
      </c>
      <c r="FL113" s="40">
        <f t="shared" si="5379"/>
        <v>4500.9927998969315</v>
      </c>
      <c r="FM113" s="40">
        <f t="shared" si="5379"/>
        <v>4500.9927998969315</v>
      </c>
      <c r="FN113" s="40">
        <f t="shared" si="5379"/>
        <v>4500.9927998969315</v>
      </c>
      <c r="FO113" s="40">
        <f t="shared" si="5379"/>
        <v>4500.9927998969315</v>
      </c>
      <c r="FP113" s="40">
        <f t="shared" si="5379"/>
        <v>4500.9927998969333</v>
      </c>
      <c r="FQ113" s="40">
        <f t="shared" si="5379"/>
        <v>4500.9927998969333</v>
      </c>
      <c r="FR113" s="40">
        <f t="shared" si="5379"/>
        <v>4500.9927998969333</v>
      </c>
      <c r="FS113" s="40">
        <f t="shared" si="5379"/>
        <v>4500.9927998969342</v>
      </c>
      <c r="FT113" s="40">
        <f t="shared" si="5379"/>
        <v>4500.9927998969342</v>
      </c>
      <c r="FU113" s="40">
        <f t="shared" si="5379"/>
        <v>5014.756389243832</v>
      </c>
      <c r="FV113" s="40">
        <f t="shared" si="5379"/>
        <v>5014.7563892438329</v>
      </c>
      <c r="FW113" s="40">
        <f t="shared" si="5379"/>
        <v>5014.7563892438347</v>
      </c>
      <c r="FX113" s="40">
        <f t="shared" si="5379"/>
        <v>5014.7563892438347</v>
      </c>
      <c r="FY113" s="40">
        <f t="shared" si="5379"/>
        <v>5014.7563892438357</v>
      </c>
      <c r="FZ113" s="40">
        <f t="shared" si="5379"/>
        <v>5014.7563892438357</v>
      </c>
      <c r="GA113" s="40">
        <f t="shared" si="5379"/>
        <v>5014.7563892438357</v>
      </c>
      <c r="GB113" s="40">
        <f t="shared" si="5379"/>
        <v>5014.7563892438357</v>
      </c>
      <c r="GC113" s="40">
        <f t="shared" si="5379"/>
        <v>0</v>
      </c>
      <c r="GD113" s="40">
        <f t="shared" si="5379"/>
        <v>0</v>
      </c>
      <c r="GE113" s="40">
        <f t="shared" si="5379"/>
        <v>0</v>
      </c>
      <c r="GF113" s="40">
        <f t="shared" ca="1" si="5379"/>
        <v>2855501.1741782613</v>
      </c>
      <c r="GG113" s="40">
        <f t="shared" ca="1" si="5379"/>
        <v>0</v>
      </c>
      <c r="GH113" s="40">
        <f t="shared" ca="1" si="5379"/>
        <v>0</v>
      </c>
      <c r="GI113" s="40">
        <f t="shared" ca="1" si="5379"/>
        <v>0</v>
      </c>
      <c r="GJ113" s="40">
        <f t="shared" ca="1" si="5379"/>
        <v>0</v>
      </c>
      <c r="GK113" s="40">
        <f t="shared" ca="1" si="5379"/>
        <v>0</v>
      </c>
      <c r="GL113" s="40">
        <f t="shared" ca="1" si="5379"/>
        <v>0</v>
      </c>
      <c r="GM113" s="40">
        <f t="shared" ca="1" si="5379"/>
        <v>0</v>
      </c>
      <c r="GN113" s="40">
        <f t="shared" ca="1" si="5379"/>
        <v>0</v>
      </c>
      <c r="GO113" s="40">
        <f t="shared" ca="1" si="5379"/>
        <v>0</v>
      </c>
      <c r="GP113" s="40">
        <f t="shared" ca="1" si="5379"/>
        <v>0</v>
      </c>
      <c r="GQ113" s="40">
        <f t="shared" ca="1" si="5379"/>
        <v>0</v>
      </c>
      <c r="GR113" s="40">
        <f t="shared" ca="1" si="5379"/>
        <v>0</v>
      </c>
      <c r="GS113" s="40">
        <f t="shared" ca="1" si="5379"/>
        <v>0</v>
      </c>
      <c r="GT113" s="40">
        <f t="shared" ca="1" si="5379"/>
        <v>0</v>
      </c>
      <c r="GU113" s="40">
        <f t="shared" ref="GU113:IN113" ca="1" si="5380">SUM(GU44:GU45,GU80,GU94,GU105)</f>
        <v>0</v>
      </c>
      <c r="GV113" s="40">
        <f t="shared" ca="1" si="5380"/>
        <v>0</v>
      </c>
      <c r="GW113" s="40">
        <f t="shared" ca="1" si="5380"/>
        <v>0</v>
      </c>
      <c r="GX113" s="40">
        <f t="shared" ca="1" si="5380"/>
        <v>0</v>
      </c>
      <c r="GY113" s="40">
        <f t="shared" ca="1" si="5380"/>
        <v>0</v>
      </c>
      <c r="GZ113" s="40">
        <f t="shared" ca="1" si="5380"/>
        <v>0</v>
      </c>
      <c r="HA113" s="40">
        <f t="shared" ca="1" si="5380"/>
        <v>0</v>
      </c>
      <c r="HB113" s="40">
        <f t="shared" ca="1" si="5380"/>
        <v>0</v>
      </c>
      <c r="HC113" s="40">
        <f t="shared" ca="1" si="5380"/>
        <v>0</v>
      </c>
      <c r="HD113" s="40">
        <f t="shared" ca="1" si="5380"/>
        <v>0</v>
      </c>
      <c r="HE113" s="40">
        <f t="shared" ca="1" si="5380"/>
        <v>0</v>
      </c>
      <c r="HF113" s="40">
        <f t="shared" ca="1" si="5380"/>
        <v>0</v>
      </c>
      <c r="HG113" s="40">
        <f t="shared" ca="1" si="5380"/>
        <v>0</v>
      </c>
      <c r="HH113" s="40">
        <f t="shared" ca="1" si="5380"/>
        <v>0</v>
      </c>
      <c r="HI113" s="40">
        <f t="shared" ca="1" si="5380"/>
        <v>0</v>
      </c>
      <c r="HJ113" s="40">
        <f t="shared" ca="1" si="5380"/>
        <v>0</v>
      </c>
      <c r="HK113" s="40">
        <f t="shared" ca="1" si="5380"/>
        <v>0</v>
      </c>
      <c r="HL113" s="40">
        <f t="shared" ca="1" si="5380"/>
        <v>0</v>
      </c>
      <c r="HM113" s="40">
        <f t="shared" ca="1" si="5380"/>
        <v>0</v>
      </c>
      <c r="HN113" s="40">
        <f t="shared" ca="1" si="5380"/>
        <v>0</v>
      </c>
      <c r="HO113" s="40">
        <f t="shared" ca="1" si="5380"/>
        <v>0</v>
      </c>
      <c r="HP113" s="40">
        <f t="shared" ca="1" si="5380"/>
        <v>0</v>
      </c>
      <c r="HQ113" s="40">
        <f t="shared" ca="1" si="5380"/>
        <v>0</v>
      </c>
      <c r="HR113" s="40">
        <f t="shared" ca="1" si="5380"/>
        <v>0</v>
      </c>
      <c r="HS113" s="40">
        <f t="shared" ca="1" si="5380"/>
        <v>0</v>
      </c>
      <c r="HT113" s="40">
        <f t="shared" ca="1" si="5380"/>
        <v>0</v>
      </c>
      <c r="HU113" s="40">
        <f t="shared" ca="1" si="5380"/>
        <v>0</v>
      </c>
      <c r="HV113" s="40">
        <f t="shared" ca="1" si="5380"/>
        <v>0</v>
      </c>
      <c r="HW113" s="40">
        <f t="shared" ca="1" si="5380"/>
        <v>0</v>
      </c>
      <c r="HX113" s="40">
        <f t="shared" ca="1" si="5380"/>
        <v>0</v>
      </c>
      <c r="HY113" s="40">
        <f t="shared" ca="1" si="5380"/>
        <v>0</v>
      </c>
      <c r="HZ113" s="40">
        <f t="shared" ca="1" si="5380"/>
        <v>0</v>
      </c>
      <c r="IA113" s="40">
        <f t="shared" ca="1" si="5380"/>
        <v>0</v>
      </c>
      <c r="IB113" s="40">
        <f t="shared" ca="1" si="5380"/>
        <v>0</v>
      </c>
      <c r="IC113" s="40">
        <f t="shared" ca="1" si="5380"/>
        <v>0</v>
      </c>
      <c r="ID113" s="40">
        <f t="shared" ca="1" si="5380"/>
        <v>0</v>
      </c>
      <c r="IE113" s="40">
        <f t="shared" ca="1" si="5380"/>
        <v>0</v>
      </c>
      <c r="IF113" s="40">
        <f t="shared" ca="1" si="5380"/>
        <v>0</v>
      </c>
      <c r="IG113" s="40">
        <f t="shared" ca="1" si="5380"/>
        <v>0</v>
      </c>
      <c r="IH113" s="40">
        <f t="shared" ca="1" si="5380"/>
        <v>0</v>
      </c>
      <c r="II113" s="40">
        <f t="shared" ca="1" si="5380"/>
        <v>0</v>
      </c>
      <c r="IJ113" s="40">
        <f t="shared" ca="1" si="5380"/>
        <v>0</v>
      </c>
      <c r="IK113" s="40">
        <f t="shared" ca="1" si="5380"/>
        <v>0</v>
      </c>
      <c r="IL113" s="40">
        <f t="shared" ca="1" si="5380"/>
        <v>0</v>
      </c>
      <c r="IM113" s="40">
        <f t="shared" ca="1" si="5380"/>
        <v>0</v>
      </c>
      <c r="IN113" s="40">
        <f t="shared" ca="1" si="5380"/>
        <v>0</v>
      </c>
      <c r="IO113" s="40">
        <f t="shared" ref="IO113:KZ113" ca="1" si="5381">SUM(IO44:IO45,IO80,IO94,IO105)</f>
        <v>0</v>
      </c>
      <c r="IP113" s="40">
        <f t="shared" ca="1" si="5381"/>
        <v>0</v>
      </c>
      <c r="IQ113" s="40">
        <f t="shared" ca="1" si="5381"/>
        <v>0</v>
      </c>
      <c r="IR113" s="40">
        <f t="shared" ca="1" si="5381"/>
        <v>0</v>
      </c>
      <c r="IS113" s="40">
        <f t="shared" ca="1" si="5381"/>
        <v>0</v>
      </c>
      <c r="IT113" s="40">
        <f t="shared" ca="1" si="5381"/>
        <v>0</v>
      </c>
      <c r="IU113" s="40">
        <f t="shared" ca="1" si="5381"/>
        <v>0</v>
      </c>
      <c r="IV113" s="40">
        <f t="shared" ca="1" si="5381"/>
        <v>0</v>
      </c>
      <c r="IW113" s="40">
        <f t="shared" ca="1" si="5381"/>
        <v>0</v>
      </c>
      <c r="IX113" s="40">
        <f t="shared" ca="1" si="5381"/>
        <v>0</v>
      </c>
      <c r="IY113" s="40">
        <f t="shared" ca="1" si="5381"/>
        <v>0</v>
      </c>
      <c r="IZ113" s="40">
        <f t="shared" ca="1" si="5381"/>
        <v>0</v>
      </c>
      <c r="JA113" s="40">
        <f t="shared" ca="1" si="5381"/>
        <v>0</v>
      </c>
      <c r="JB113" s="40">
        <f t="shared" ca="1" si="5381"/>
        <v>0</v>
      </c>
      <c r="JC113" s="40">
        <f t="shared" ca="1" si="5381"/>
        <v>0</v>
      </c>
      <c r="JD113" s="40">
        <f t="shared" ca="1" si="5381"/>
        <v>0</v>
      </c>
      <c r="JE113" s="40">
        <f t="shared" ca="1" si="5381"/>
        <v>0</v>
      </c>
      <c r="JF113" s="40">
        <f t="shared" ca="1" si="5381"/>
        <v>0</v>
      </c>
      <c r="JG113" s="40">
        <f t="shared" ca="1" si="5381"/>
        <v>0</v>
      </c>
      <c r="JH113" s="40">
        <f t="shared" ca="1" si="5381"/>
        <v>0</v>
      </c>
      <c r="JI113" s="40">
        <f t="shared" ca="1" si="5381"/>
        <v>0</v>
      </c>
      <c r="JJ113" s="40">
        <f t="shared" ca="1" si="5381"/>
        <v>0</v>
      </c>
      <c r="JK113" s="40">
        <f t="shared" ca="1" si="5381"/>
        <v>0</v>
      </c>
      <c r="JL113" s="40">
        <f t="shared" ca="1" si="5381"/>
        <v>0</v>
      </c>
      <c r="JM113" s="40">
        <f t="shared" ca="1" si="5381"/>
        <v>0</v>
      </c>
      <c r="JN113" s="40">
        <f t="shared" ca="1" si="5381"/>
        <v>0</v>
      </c>
      <c r="JO113" s="40">
        <f t="shared" ca="1" si="5381"/>
        <v>0</v>
      </c>
      <c r="JP113" s="40">
        <f t="shared" ca="1" si="5381"/>
        <v>0</v>
      </c>
      <c r="JQ113" s="40">
        <f t="shared" ca="1" si="5381"/>
        <v>0</v>
      </c>
      <c r="JR113" s="40">
        <f t="shared" ca="1" si="5381"/>
        <v>0</v>
      </c>
      <c r="JS113" s="40">
        <f t="shared" ca="1" si="5381"/>
        <v>0</v>
      </c>
      <c r="JT113" s="40">
        <f t="shared" ca="1" si="5381"/>
        <v>0</v>
      </c>
      <c r="JU113" s="40">
        <f t="shared" ca="1" si="5381"/>
        <v>0</v>
      </c>
      <c r="JV113" s="40">
        <f t="shared" ca="1" si="5381"/>
        <v>0</v>
      </c>
      <c r="JW113" s="40">
        <f t="shared" ca="1" si="5381"/>
        <v>0</v>
      </c>
      <c r="JX113" s="40">
        <f t="shared" ca="1" si="5381"/>
        <v>0</v>
      </c>
      <c r="JY113" s="40">
        <f t="shared" ca="1" si="5381"/>
        <v>0</v>
      </c>
      <c r="JZ113" s="40">
        <f t="shared" ca="1" si="5381"/>
        <v>0</v>
      </c>
      <c r="KA113" s="40">
        <f t="shared" ca="1" si="5381"/>
        <v>0</v>
      </c>
      <c r="KB113" s="40">
        <f t="shared" ca="1" si="5381"/>
        <v>0</v>
      </c>
      <c r="KC113" s="40">
        <f t="shared" ca="1" si="5381"/>
        <v>0</v>
      </c>
      <c r="KD113" s="40">
        <f t="shared" ca="1" si="5381"/>
        <v>0</v>
      </c>
      <c r="KE113" s="40">
        <f t="shared" ca="1" si="5381"/>
        <v>0</v>
      </c>
      <c r="KF113" s="40">
        <f t="shared" ca="1" si="5381"/>
        <v>0</v>
      </c>
      <c r="KG113" s="40">
        <f t="shared" ca="1" si="5381"/>
        <v>0</v>
      </c>
      <c r="KH113" s="40">
        <f t="shared" ca="1" si="5381"/>
        <v>0</v>
      </c>
      <c r="KI113" s="40">
        <f t="shared" ca="1" si="5381"/>
        <v>0</v>
      </c>
      <c r="KJ113" s="40">
        <f t="shared" ca="1" si="5381"/>
        <v>0</v>
      </c>
      <c r="KK113" s="40">
        <f t="shared" ca="1" si="5381"/>
        <v>0</v>
      </c>
      <c r="KL113" s="40">
        <f t="shared" ca="1" si="5381"/>
        <v>0</v>
      </c>
      <c r="KM113" s="40">
        <f t="shared" ca="1" si="5381"/>
        <v>0</v>
      </c>
      <c r="KN113" s="40">
        <f t="shared" ca="1" si="5381"/>
        <v>0</v>
      </c>
      <c r="KO113" s="40">
        <f t="shared" ca="1" si="5381"/>
        <v>0</v>
      </c>
      <c r="KP113" s="40">
        <f t="shared" ca="1" si="5381"/>
        <v>0</v>
      </c>
      <c r="KQ113" s="40">
        <f t="shared" ca="1" si="5381"/>
        <v>0</v>
      </c>
      <c r="KR113" s="40">
        <f t="shared" ca="1" si="5381"/>
        <v>0</v>
      </c>
      <c r="KS113" s="40">
        <f t="shared" ca="1" si="5381"/>
        <v>0</v>
      </c>
      <c r="KT113" s="40">
        <f t="shared" ca="1" si="5381"/>
        <v>0</v>
      </c>
      <c r="KU113" s="40">
        <f t="shared" ca="1" si="5381"/>
        <v>0</v>
      </c>
      <c r="KV113" s="40">
        <f t="shared" ca="1" si="5381"/>
        <v>0</v>
      </c>
      <c r="KW113" s="40">
        <f t="shared" ca="1" si="5381"/>
        <v>0</v>
      </c>
      <c r="KX113" s="40">
        <f t="shared" ca="1" si="5381"/>
        <v>0</v>
      </c>
      <c r="KY113" s="40">
        <f t="shared" ca="1" si="5381"/>
        <v>0</v>
      </c>
      <c r="KZ113" s="40">
        <f t="shared" ca="1" si="5381"/>
        <v>0</v>
      </c>
      <c r="LA113" s="40">
        <f t="shared" ref="LA113:ND113" ca="1" si="5382">SUM(LA44:LA45,LA80,LA94,LA105)</f>
        <v>0</v>
      </c>
      <c r="LB113" s="40">
        <f t="shared" ca="1" si="5382"/>
        <v>0</v>
      </c>
      <c r="LC113" s="40">
        <f t="shared" ca="1" si="5382"/>
        <v>0</v>
      </c>
      <c r="LD113" s="40">
        <f t="shared" ca="1" si="5382"/>
        <v>0</v>
      </c>
      <c r="LE113" s="40">
        <f t="shared" ca="1" si="5382"/>
        <v>0</v>
      </c>
      <c r="LF113" s="40">
        <f t="shared" ca="1" si="5382"/>
        <v>0</v>
      </c>
      <c r="LG113" s="40">
        <f t="shared" ca="1" si="5382"/>
        <v>0</v>
      </c>
      <c r="LH113" s="40">
        <f t="shared" ca="1" si="5382"/>
        <v>0</v>
      </c>
      <c r="LI113" s="40">
        <f t="shared" ca="1" si="5382"/>
        <v>0</v>
      </c>
      <c r="LJ113" s="40">
        <f t="shared" ca="1" si="5382"/>
        <v>0</v>
      </c>
      <c r="LK113" s="40">
        <f t="shared" ca="1" si="5382"/>
        <v>0</v>
      </c>
      <c r="LL113" s="40">
        <f t="shared" ca="1" si="5382"/>
        <v>0</v>
      </c>
      <c r="LM113" s="40">
        <f t="shared" ca="1" si="5382"/>
        <v>0</v>
      </c>
      <c r="LN113" s="40">
        <f t="shared" ca="1" si="5382"/>
        <v>0</v>
      </c>
      <c r="LO113" s="40">
        <f t="shared" ca="1" si="5382"/>
        <v>0</v>
      </c>
      <c r="LP113" s="40">
        <f t="shared" ca="1" si="5382"/>
        <v>0</v>
      </c>
      <c r="LQ113" s="40">
        <f t="shared" ca="1" si="5382"/>
        <v>0</v>
      </c>
      <c r="LR113" s="40">
        <f t="shared" ca="1" si="5382"/>
        <v>0</v>
      </c>
      <c r="LS113" s="40">
        <f t="shared" ca="1" si="5382"/>
        <v>0</v>
      </c>
      <c r="LT113" s="40">
        <f t="shared" ca="1" si="5382"/>
        <v>0</v>
      </c>
      <c r="LU113" s="40">
        <f t="shared" ca="1" si="5382"/>
        <v>0</v>
      </c>
      <c r="LV113" s="40">
        <f t="shared" ca="1" si="5382"/>
        <v>0</v>
      </c>
      <c r="LW113" s="40">
        <f t="shared" ca="1" si="5382"/>
        <v>0</v>
      </c>
      <c r="LX113" s="40">
        <f t="shared" ca="1" si="5382"/>
        <v>0</v>
      </c>
      <c r="LY113" s="40">
        <f t="shared" ca="1" si="5382"/>
        <v>0</v>
      </c>
      <c r="LZ113" s="40">
        <f t="shared" ca="1" si="5382"/>
        <v>0</v>
      </c>
      <c r="MA113" s="40">
        <f t="shared" ca="1" si="5382"/>
        <v>0</v>
      </c>
      <c r="MB113" s="40">
        <f t="shared" ca="1" si="5382"/>
        <v>0</v>
      </c>
      <c r="MC113" s="40">
        <f t="shared" ca="1" si="5382"/>
        <v>0</v>
      </c>
      <c r="MD113" s="40">
        <f t="shared" ca="1" si="5382"/>
        <v>0</v>
      </c>
      <c r="ME113" s="40">
        <f t="shared" ca="1" si="5382"/>
        <v>0</v>
      </c>
      <c r="MF113" s="40">
        <f t="shared" ca="1" si="5382"/>
        <v>0</v>
      </c>
      <c r="MG113" s="40">
        <f t="shared" ca="1" si="5382"/>
        <v>0</v>
      </c>
      <c r="MH113" s="40">
        <f t="shared" ca="1" si="5382"/>
        <v>0</v>
      </c>
      <c r="MI113" s="40">
        <f t="shared" ca="1" si="5382"/>
        <v>0</v>
      </c>
      <c r="MJ113" s="40">
        <f t="shared" ca="1" si="5382"/>
        <v>0</v>
      </c>
      <c r="MK113" s="40">
        <f t="shared" ca="1" si="5382"/>
        <v>0</v>
      </c>
      <c r="ML113" s="40">
        <f t="shared" ca="1" si="5382"/>
        <v>0</v>
      </c>
      <c r="MM113" s="40">
        <f t="shared" ca="1" si="5382"/>
        <v>0</v>
      </c>
      <c r="MN113" s="40">
        <f t="shared" ca="1" si="5382"/>
        <v>0</v>
      </c>
      <c r="MO113" s="40">
        <f t="shared" ca="1" si="5382"/>
        <v>0</v>
      </c>
      <c r="MP113" s="40">
        <f t="shared" ca="1" si="5382"/>
        <v>0</v>
      </c>
      <c r="MQ113" s="40">
        <f t="shared" ca="1" si="5382"/>
        <v>0</v>
      </c>
      <c r="MR113" s="40">
        <f t="shared" ca="1" si="5382"/>
        <v>0</v>
      </c>
      <c r="MS113" s="40">
        <f t="shared" ca="1" si="5382"/>
        <v>0</v>
      </c>
      <c r="MT113" s="40">
        <f t="shared" ca="1" si="5382"/>
        <v>0</v>
      </c>
      <c r="MU113" s="40">
        <f t="shared" ca="1" si="5382"/>
        <v>0</v>
      </c>
      <c r="MV113" s="40">
        <f t="shared" ca="1" si="5382"/>
        <v>0</v>
      </c>
      <c r="MW113" s="40">
        <f t="shared" ca="1" si="5382"/>
        <v>0</v>
      </c>
      <c r="MX113" s="40">
        <f t="shared" ca="1" si="5382"/>
        <v>0</v>
      </c>
      <c r="MY113" s="40">
        <f t="shared" ca="1" si="5382"/>
        <v>0</v>
      </c>
      <c r="MZ113" s="40">
        <f t="shared" ca="1" si="5382"/>
        <v>0</v>
      </c>
      <c r="NA113" s="40">
        <f t="shared" ca="1" si="5382"/>
        <v>0</v>
      </c>
      <c r="NB113" s="40">
        <f t="shared" ca="1" si="5382"/>
        <v>0</v>
      </c>
      <c r="NC113" s="40">
        <f t="shared" ca="1" si="5382"/>
        <v>0</v>
      </c>
      <c r="ND113" s="40">
        <f t="shared" ca="1" si="5382"/>
        <v>0</v>
      </c>
      <c r="NE113" s="40"/>
      <c r="NF113" s="40"/>
      <c r="NG113" s="40"/>
      <c r="NH113" s="40"/>
      <c r="NI113" s="40"/>
      <c r="NJ113" s="40"/>
      <c r="NK113" s="40"/>
      <c r="NL113" s="40"/>
      <c r="NM113" s="40"/>
      <c r="NN113" s="40"/>
      <c r="NO113" s="40"/>
      <c r="NP113" s="40"/>
      <c r="NQ113" s="40"/>
      <c r="NR113" s="40"/>
    </row>
    <row r="114" spans="2:382" x14ac:dyDescent="0.15">
      <c r="B114" s="521"/>
      <c r="C114" s="120" t="str">
        <f>C6</f>
        <v>-</v>
      </c>
      <c r="D114" s="5">
        <f>D106</f>
        <v>0</v>
      </c>
      <c r="G114" s="118"/>
      <c r="I114" s="40">
        <f>SUM(I52:I53,I81,I96,I106)</f>
        <v>0</v>
      </c>
      <c r="J114" s="40">
        <f t="shared" ref="J114" si="5383">SUM(J52:J53,J81,J96,J106)</f>
        <v>0</v>
      </c>
      <c r="K114" s="40">
        <f t="shared" ref="K114:BV114" si="5384">SUM(K52:K53,K81,K96,K106)</f>
        <v>0</v>
      </c>
      <c r="L114" s="40">
        <f t="shared" si="5384"/>
        <v>0</v>
      </c>
      <c r="M114" s="40">
        <f t="shared" si="5384"/>
        <v>0</v>
      </c>
      <c r="N114" s="40">
        <f t="shared" si="5384"/>
        <v>0</v>
      </c>
      <c r="O114" s="40">
        <f t="shared" si="5384"/>
        <v>0</v>
      </c>
      <c r="P114" s="40">
        <f t="shared" si="5384"/>
        <v>0</v>
      </c>
      <c r="Q114" s="40">
        <f t="shared" si="5384"/>
        <v>0</v>
      </c>
      <c r="R114" s="40">
        <f t="shared" si="5384"/>
        <v>0</v>
      </c>
      <c r="S114" s="40">
        <f t="shared" si="5384"/>
        <v>0</v>
      </c>
      <c r="T114" s="40">
        <f t="shared" si="5384"/>
        <v>0</v>
      </c>
      <c r="U114" s="40">
        <f t="shared" si="5384"/>
        <v>0</v>
      </c>
      <c r="V114" s="40">
        <f t="shared" si="5384"/>
        <v>0</v>
      </c>
      <c r="W114" s="40">
        <f t="shared" si="5384"/>
        <v>0</v>
      </c>
      <c r="X114" s="40">
        <f t="shared" si="5384"/>
        <v>0</v>
      </c>
      <c r="Y114" s="40">
        <f t="shared" si="5384"/>
        <v>0</v>
      </c>
      <c r="Z114" s="40">
        <f t="shared" si="5384"/>
        <v>0</v>
      </c>
      <c r="AA114" s="40">
        <f t="shared" si="5384"/>
        <v>0</v>
      </c>
      <c r="AB114" s="40">
        <f t="shared" si="5384"/>
        <v>0</v>
      </c>
      <c r="AC114" s="40">
        <f t="shared" si="5384"/>
        <v>0</v>
      </c>
      <c r="AD114" s="40">
        <f t="shared" si="5384"/>
        <v>0</v>
      </c>
      <c r="AE114" s="40">
        <f t="shared" si="5384"/>
        <v>0</v>
      </c>
      <c r="AF114" s="40">
        <f t="shared" si="5384"/>
        <v>0</v>
      </c>
      <c r="AG114" s="40">
        <f t="shared" si="5384"/>
        <v>0</v>
      </c>
      <c r="AH114" s="40">
        <f t="shared" si="5384"/>
        <v>0</v>
      </c>
      <c r="AI114" s="40">
        <f t="shared" si="5384"/>
        <v>0</v>
      </c>
      <c r="AJ114" s="40">
        <f t="shared" si="5384"/>
        <v>0</v>
      </c>
      <c r="AK114" s="40">
        <f t="shared" si="5384"/>
        <v>0</v>
      </c>
      <c r="AL114" s="40">
        <f t="shared" si="5384"/>
        <v>0</v>
      </c>
      <c r="AM114" s="40">
        <f t="shared" si="5384"/>
        <v>0</v>
      </c>
      <c r="AN114" s="40">
        <f t="shared" si="5384"/>
        <v>0</v>
      </c>
      <c r="AO114" s="40">
        <f t="shared" si="5384"/>
        <v>0</v>
      </c>
      <c r="AP114" s="40">
        <f t="shared" si="5384"/>
        <v>0</v>
      </c>
      <c r="AQ114" s="40">
        <f t="shared" si="5384"/>
        <v>0</v>
      </c>
      <c r="AR114" s="40">
        <f t="shared" si="5384"/>
        <v>0</v>
      </c>
      <c r="AS114" s="40">
        <f t="shared" si="5384"/>
        <v>0</v>
      </c>
      <c r="AT114" s="40">
        <f t="shared" si="5384"/>
        <v>0</v>
      </c>
      <c r="AU114" s="40">
        <f t="shared" si="5384"/>
        <v>0</v>
      </c>
      <c r="AV114" s="40">
        <f t="shared" si="5384"/>
        <v>0</v>
      </c>
      <c r="AW114" s="40">
        <f t="shared" si="5384"/>
        <v>0</v>
      </c>
      <c r="AX114" s="40">
        <f t="shared" si="5384"/>
        <v>0</v>
      </c>
      <c r="AY114" s="40">
        <f t="shared" si="5384"/>
        <v>0</v>
      </c>
      <c r="AZ114" s="40">
        <f t="shared" si="5384"/>
        <v>0</v>
      </c>
      <c r="BA114" s="40">
        <f t="shared" si="5384"/>
        <v>0</v>
      </c>
      <c r="BB114" s="40">
        <f t="shared" si="5384"/>
        <v>0</v>
      </c>
      <c r="BC114" s="40">
        <f t="shared" si="5384"/>
        <v>0</v>
      </c>
      <c r="BD114" s="40">
        <f t="shared" si="5384"/>
        <v>0</v>
      </c>
      <c r="BE114" s="40">
        <f t="shared" si="5384"/>
        <v>0</v>
      </c>
      <c r="BF114" s="40">
        <f t="shared" si="5384"/>
        <v>0</v>
      </c>
      <c r="BG114" s="40">
        <f t="shared" si="5384"/>
        <v>0</v>
      </c>
      <c r="BH114" s="40">
        <f t="shared" si="5384"/>
        <v>0</v>
      </c>
      <c r="BI114" s="40">
        <f t="shared" si="5384"/>
        <v>0</v>
      </c>
      <c r="BJ114" s="40">
        <f t="shared" si="5384"/>
        <v>0</v>
      </c>
      <c r="BK114" s="40">
        <f t="shared" si="5384"/>
        <v>0</v>
      </c>
      <c r="BL114" s="40">
        <f t="shared" si="5384"/>
        <v>0</v>
      </c>
      <c r="BM114" s="40">
        <f t="shared" si="5384"/>
        <v>0</v>
      </c>
      <c r="BN114" s="40">
        <f t="shared" si="5384"/>
        <v>0</v>
      </c>
      <c r="BO114" s="40">
        <f t="shared" si="5384"/>
        <v>0</v>
      </c>
      <c r="BP114" s="40">
        <f t="shared" si="5384"/>
        <v>0</v>
      </c>
      <c r="BQ114" s="40">
        <f t="shared" si="5384"/>
        <v>0</v>
      </c>
      <c r="BR114" s="40">
        <f t="shared" si="5384"/>
        <v>0</v>
      </c>
      <c r="BS114" s="40">
        <f t="shared" si="5384"/>
        <v>0</v>
      </c>
      <c r="BT114" s="40">
        <f t="shared" si="5384"/>
        <v>0</v>
      </c>
      <c r="BU114" s="40">
        <f t="shared" si="5384"/>
        <v>0</v>
      </c>
      <c r="BV114" s="40">
        <f t="shared" si="5384"/>
        <v>0</v>
      </c>
      <c r="BW114" s="40">
        <f t="shared" ref="BW114:EH114" si="5385">SUM(BW52:BW53,BW81,BW96,BW106)</f>
        <v>0</v>
      </c>
      <c r="BX114" s="40">
        <f t="shared" si="5385"/>
        <v>0</v>
      </c>
      <c r="BY114" s="40">
        <f t="shared" si="5385"/>
        <v>0</v>
      </c>
      <c r="BZ114" s="40">
        <f t="shared" si="5385"/>
        <v>0</v>
      </c>
      <c r="CA114" s="40">
        <f t="shared" si="5385"/>
        <v>0</v>
      </c>
      <c r="CB114" s="40">
        <f t="shared" si="5385"/>
        <v>0</v>
      </c>
      <c r="CC114" s="40">
        <f t="shared" si="5385"/>
        <v>0</v>
      </c>
      <c r="CD114" s="40">
        <f t="shared" si="5385"/>
        <v>0</v>
      </c>
      <c r="CE114" s="40">
        <f t="shared" si="5385"/>
        <v>0</v>
      </c>
      <c r="CF114" s="40">
        <f t="shared" si="5385"/>
        <v>0</v>
      </c>
      <c r="CG114" s="40">
        <f t="shared" si="5385"/>
        <v>0</v>
      </c>
      <c r="CH114" s="40">
        <f t="shared" si="5385"/>
        <v>0</v>
      </c>
      <c r="CI114" s="40">
        <f t="shared" si="5385"/>
        <v>0</v>
      </c>
      <c r="CJ114" s="40">
        <f t="shared" si="5385"/>
        <v>0</v>
      </c>
      <c r="CK114" s="40">
        <f t="shared" si="5385"/>
        <v>0</v>
      </c>
      <c r="CL114" s="40">
        <f t="shared" si="5385"/>
        <v>0</v>
      </c>
      <c r="CM114" s="40">
        <f t="shared" si="5385"/>
        <v>0</v>
      </c>
      <c r="CN114" s="40">
        <f t="shared" si="5385"/>
        <v>0</v>
      </c>
      <c r="CO114" s="40">
        <f t="shared" si="5385"/>
        <v>0</v>
      </c>
      <c r="CP114" s="40">
        <f t="shared" si="5385"/>
        <v>0</v>
      </c>
      <c r="CQ114" s="40">
        <f t="shared" si="5385"/>
        <v>0</v>
      </c>
      <c r="CR114" s="40">
        <f t="shared" si="5385"/>
        <v>0</v>
      </c>
      <c r="CS114" s="40">
        <f t="shared" si="5385"/>
        <v>0</v>
      </c>
      <c r="CT114" s="40">
        <f t="shared" si="5385"/>
        <v>0</v>
      </c>
      <c r="CU114" s="40">
        <f t="shared" si="5385"/>
        <v>0</v>
      </c>
      <c r="CV114" s="40">
        <f t="shared" si="5385"/>
        <v>0</v>
      </c>
      <c r="CW114" s="40">
        <f t="shared" si="5385"/>
        <v>0</v>
      </c>
      <c r="CX114" s="40">
        <f t="shared" si="5385"/>
        <v>0</v>
      </c>
      <c r="CY114" s="40">
        <f t="shared" si="5385"/>
        <v>0</v>
      </c>
      <c r="CZ114" s="40">
        <f t="shared" si="5385"/>
        <v>0</v>
      </c>
      <c r="DA114" s="40">
        <f t="shared" si="5385"/>
        <v>0</v>
      </c>
      <c r="DB114" s="40">
        <f t="shared" si="5385"/>
        <v>0</v>
      </c>
      <c r="DC114" s="40">
        <f t="shared" si="5385"/>
        <v>0</v>
      </c>
      <c r="DD114" s="40">
        <f t="shared" si="5385"/>
        <v>0</v>
      </c>
      <c r="DE114" s="40">
        <f t="shared" si="5385"/>
        <v>0</v>
      </c>
      <c r="DF114" s="40">
        <f t="shared" si="5385"/>
        <v>0</v>
      </c>
      <c r="DG114" s="40">
        <f t="shared" si="5385"/>
        <v>0</v>
      </c>
      <c r="DH114" s="40">
        <f t="shared" si="5385"/>
        <v>0</v>
      </c>
      <c r="DI114" s="40">
        <f t="shared" si="5385"/>
        <v>0</v>
      </c>
      <c r="DJ114" s="40">
        <f t="shared" si="5385"/>
        <v>0</v>
      </c>
      <c r="DK114" s="40">
        <f t="shared" si="5385"/>
        <v>0</v>
      </c>
      <c r="DL114" s="40">
        <f t="shared" si="5385"/>
        <v>0</v>
      </c>
      <c r="DM114" s="40">
        <f t="shared" si="5385"/>
        <v>0</v>
      </c>
      <c r="DN114" s="40">
        <f t="shared" si="5385"/>
        <v>0</v>
      </c>
      <c r="DO114" s="40">
        <f t="shared" si="5385"/>
        <v>0</v>
      </c>
      <c r="DP114" s="40">
        <f t="shared" si="5385"/>
        <v>0</v>
      </c>
      <c r="DQ114" s="40">
        <f t="shared" si="5385"/>
        <v>0</v>
      </c>
      <c r="DR114" s="40">
        <f t="shared" si="5385"/>
        <v>0</v>
      </c>
      <c r="DS114" s="40">
        <f t="shared" si="5385"/>
        <v>0</v>
      </c>
      <c r="DT114" s="40">
        <f t="shared" si="5385"/>
        <v>0</v>
      </c>
      <c r="DU114" s="40">
        <f t="shared" si="5385"/>
        <v>0</v>
      </c>
      <c r="DV114" s="40">
        <f t="shared" si="5385"/>
        <v>0</v>
      </c>
      <c r="DW114" s="40">
        <f t="shared" si="5385"/>
        <v>0</v>
      </c>
      <c r="DX114" s="40">
        <f t="shared" si="5385"/>
        <v>0</v>
      </c>
      <c r="DY114" s="40">
        <f t="shared" si="5385"/>
        <v>0</v>
      </c>
      <c r="DZ114" s="40">
        <f t="shared" si="5385"/>
        <v>0</v>
      </c>
      <c r="EA114" s="40">
        <f t="shared" si="5385"/>
        <v>0</v>
      </c>
      <c r="EB114" s="40">
        <f t="shared" si="5385"/>
        <v>0</v>
      </c>
      <c r="EC114" s="40">
        <f t="shared" si="5385"/>
        <v>0</v>
      </c>
      <c r="ED114" s="40">
        <f t="shared" si="5385"/>
        <v>0</v>
      </c>
      <c r="EE114" s="40">
        <f t="shared" si="5385"/>
        <v>0</v>
      </c>
      <c r="EF114" s="40">
        <f t="shared" si="5385"/>
        <v>0</v>
      </c>
      <c r="EG114" s="40">
        <f t="shared" si="5385"/>
        <v>0</v>
      </c>
      <c r="EH114" s="40">
        <f t="shared" si="5385"/>
        <v>0</v>
      </c>
      <c r="EI114" s="40">
        <f t="shared" ref="EI114:GT114" si="5386">SUM(EI52:EI53,EI81,EI96,EI106)</f>
        <v>0</v>
      </c>
      <c r="EJ114" s="40">
        <f t="shared" si="5386"/>
        <v>0</v>
      </c>
      <c r="EK114" s="40">
        <f t="shared" si="5386"/>
        <v>0</v>
      </c>
      <c r="EL114" s="40">
        <f t="shared" si="5386"/>
        <v>0</v>
      </c>
      <c r="EM114" s="40">
        <f t="shared" si="5386"/>
        <v>0</v>
      </c>
      <c r="EN114" s="40">
        <f t="shared" si="5386"/>
        <v>0</v>
      </c>
      <c r="EO114" s="40">
        <f t="shared" si="5386"/>
        <v>0</v>
      </c>
      <c r="EP114" s="40">
        <f t="shared" si="5386"/>
        <v>0</v>
      </c>
      <c r="EQ114" s="40">
        <f t="shared" si="5386"/>
        <v>0</v>
      </c>
      <c r="ER114" s="40">
        <f t="shared" si="5386"/>
        <v>0</v>
      </c>
      <c r="ES114" s="40">
        <f t="shared" si="5386"/>
        <v>0</v>
      </c>
      <c r="ET114" s="40">
        <f t="shared" si="5386"/>
        <v>0</v>
      </c>
      <c r="EU114" s="40">
        <f t="shared" si="5386"/>
        <v>0</v>
      </c>
      <c r="EV114" s="40">
        <f t="shared" si="5386"/>
        <v>0</v>
      </c>
      <c r="EW114" s="40">
        <f t="shared" si="5386"/>
        <v>0</v>
      </c>
      <c r="EX114" s="40">
        <f t="shared" si="5386"/>
        <v>0</v>
      </c>
      <c r="EY114" s="40">
        <f t="shared" si="5386"/>
        <v>0</v>
      </c>
      <c r="EZ114" s="40">
        <f t="shared" si="5386"/>
        <v>0</v>
      </c>
      <c r="FA114" s="40">
        <f t="shared" si="5386"/>
        <v>0</v>
      </c>
      <c r="FB114" s="40">
        <f t="shared" si="5386"/>
        <v>0</v>
      </c>
      <c r="FC114" s="40">
        <f t="shared" si="5386"/>
        <v>0</v>
      </c>
      <c r="FD114" s="40">
        <f t="shared" si="5386"/>
        <v>0</v>
      </c>
      <c r="FE114" s="40">
        <f t="shared" si="5386"/>
        <v>0</v>
      </c>
      <c r="FF114" s="40">
        <f t="shared" si="5386"/>
        <v>0</v>
      </c>
      <c r="FG114" s="40">
        <f t="shared" si="5386"/>
        <v>0</v>
      </c>
      <c r="FH114" s="40">
        <f t="shared" si="5386"/>
        <v>0</v>
      </c>
      <c r="FI114" s="40">
        <f t="shared" si="5386"/>
        <v>0</v>
      </c>
      <c r="FJ114" s="40">
        <f t="shared" si="5386"/>
        <v>0</v>
      </c>
      <c r="FK114" s="40">
        <f t="shared" si="5386"/>
        <v>0</v>
      </c>
      <c r="FL114" s="40">
        <f t="shared" si="5386"/>
        <v>0</v>
      </c>
      <c r="FM114" s="40">
        <f t="shared" si="5386"/>
        <v>0</v>
      </c>
      <c r="FN114" s="40">
        <f t="shared" si="5386"/>
        <v>0</v>
      </c>
      <c r="FO114" s="40">
        <f t="shared" si="5386"/>
        <v>0</v>
      </c>
      <c r="FP114" s="40">
        <f t="shared" si="5386"/>
        <v>0</v>
      </c>
      <c r="FQ114" s="40">
        <f t="shared" si="5386"/>
        <v>0</v>
      </c>
      <c r="FR114" s="40">
        <f t="shared" si="5386"/>
        <v>0</v>
      </c>
      <c r="FS114" s="40">
        <f t="shared" si="5386"/>
        <v>0</v>
      </c>
      <c r="FT114" s="40">
        <f t="shared" si="5386"/>
        <v>0</v>
      </c>
      <c r="FU114" s="40">
        <f t="shared" si="5386"/>
        <v>0</v>
      </c>
      <c r="FV114" s="40">
        <f t="shared" si="5386"/>
        <v>0</v>
      </c>
      <c r="FW114" s="40">
        <f t="shared" si="5386"/>
        <v>0</v>
      </c>
      <c r="FX114" s="40">
        <f t="shared" si="5386"/>
        <v>0</v>
      </c>
      <c r="FY114" s="40">
        <f t="shared" si="5386"/>
        <v>0</v>
      </c>
      <c r="FZ114" s="40">
        <f t="shared" si="5386"/>
        <v>0</v>
      </c>
      <c r="GA114" s="40">
        <f t="shared" si="5386"/>
        <v>0</v>
      </c>
      <c r="GB114" s="40">
        <f t="shared" si="5386"/>
        <v>0</v>
      </c>
      <c r="GC114" s="40">
        <f t="shared" si="5386"/>
        <v>0</v>
      </c>
      <c r="GD114" s="40">
        <f t="shared" si="5386"/>
        <v>0</v>
      </c>
      <c r="GE114" s="40">
        <f t="shared" si="5386"/>
        <v>0</v>
      </c>
      <c r="GF114" s="40">
        <f t="shared" ca="1" si="5386"/>
        <v>0</v>
      </c>
      <c r="GG114" s="40">
        <f t="shared" ca="1" si="5386"/>
        <v>0</v>
      </c>
      <c r="GH114" s="40">
        <f t="shared" ca="1" si="5386"/>
        <v>0</v>
      </c>
      <c r="GI114" s="40">
        <f t="shared" ca="1" si="5386"/>
        <v>0</v>
      </c>
      <c r="GJ114" s="40">
        <f t="shared" ca="1" si="5386"/>
        <v>0</v>
      </c>
      <c r="GK114" s="40">
        <f t="shared" ca="1" si="5386"/>
        <v>0</v>
      </c>
      <c r="GL114" s="40">
        <f t="shared" ca="1" si="5386"/>
        <v>0</v>
      </c>
      <c r="GM114" s="40">
        <f t="shared" ca="1" si="5386"/>
        <v>0</v>
      </c>
      <c r="GN114" s="40">
        <f t="shared" ca="1" si="5386"/>
        <v>0</v>
      </c>
      <c r="GO114" s="40">
        <f t="shared" ca="1" si="5386"/>
        <v>0</v>
      </c>
      <c r="GP114" s="40">
        <f t="shared" ca="1" si="5386"/>
        <v>0</v>
      </c>
      <c r="GQ114" s="40">
        <f t="shared" ca="1" si="5386"/>
        <v>0</v>
      </c>
      <c r="GR114" s="40">
        <f t="shared" ca="1" si="5386"/>
        <v>0</v>
      </c>
      <c r="GS114" s="40">
        <f t="shared" ca="1" si="5386"/>
        <v>0</v>
      </c>
      <c r="GT114" s="40">
        <f t="shared" ca="1" si="5386"/>
        <v>0</v>
      </c>
      <c r="GU114" s="40">
        <f t="shared" ref="GU114:IN114" ca="1" si="5387">SUM(GU52:GU53,GU81,GU96,GU106)</f>
        <v>0</v>
      </c>
      <c r="GV114" s="40">
        <f t="shared" ca="1" si="5387"/>
        <v>0</v>
      </c>
      <c r="GW114" s="40">
        <f t="shared" ca="1" si="5387"/>
        <v>0</v>
      </c>
      <c r="GX114" s="40">
        <f t="shared" ca="1" si="5387"/>
        <v>0</v>
      </c>
      <c r="GY114" s="40">
        <f t="shared" ca="1" si="5387"/>
        <v>0</v>
      </c>
      <c r="GZ114" s="40">
        <f t="shared" ca="1" si="5387"/>
        <v>0</v>
      </c>
      <c r="HA114" s="40">
        <f t="shared" ca="1" si="5387"/>
        <v>0</v>
      </c>
      <c r="HB114" s="40">
        <f t="shared" ca="1" si="5387"/>
        <v>0</v>
      </c>
      <c r="HC114" s="40">
        <f t="shared" ca="1" si="5387"/>
        <v>0</v>
      </c>
      <c r="HD114" s="40">
        <f t="shared" ca="1" si="5387"/>
        <v>0</v>
      </c>
      <c r="HE114" s="40">
        <f t="shared" ca="1" si="5387"/>
        <v>0</v>
      </c>
      <c r="HF114" s="40">
        <f t="shared" ca="1" si="5387"/>
        <v>0</v>
      </c>
      <c r="HG114" s="40">
        <f t="shared" ca="1" si="5387"/>
        <v>0</v>
      </c>
      <c r="HH114" s="40">
        <f t="shared" ca="1" si="5387"/>
        <v>0</v>
      </c>
      <c r="HI114" s="40">
        <f t="shared" ca="1" si="5387"/>
        <v>0</v>
      </c>
      <c r="HJ114" s="40">
        <f t="shared" ca="1" si="5387"/>
        <v>0</v>
      </c>
      <c r="HK114" s="40">
        <f t="shared" ca="1" si="5387"/>
        <v>0</v>
      </c>
      <c r="HL114" s="40">
        <f t="shared" ca="1" si="5387"/>
        <v>0</v>
      </c>
      <c r="HM114" s="40">
        <f t="shared" ca="1" si="5387"/>
        <v>0</v>
      </c>
      <c r="HN114" s="40">
        <f t="shared" ca="1" si="5387"/>
        <v>0</v>
      </c>
      <c r="HO114" s="40">
        <f t="shared" ca="1" si="5387"/>
        <v>0</v>
      </c>
      <c r="HP114" s="40">
        <f t="shared" ca="1" si="5387"/>
        <v>0</v>
      </c>
      <c r="HQ114" s="40">
        <f t="shared" ca="1" si="5387"/>
        <v>0</v>
      </c>
      <c r="HR114" s="40">
        <f t="shared" ca="1" si="5387"/>
        <v>0</v>
      </c>
      <c r="HS114" s="40">
        <f t="shared" ca="1" si="5387"/>
        <v>0</v>
      </c>
      <c r="HT114" s="40">
        <f t="shared" ca="1" si="5387"/>
        <v>0</v>
      </c>
      <c r="HU114" s="40">
        <f t="shared" ca="1" si="5387"/>
        <v>0</v>
      </c>
      <c r="HV114" s="40">
        <f t="shared" ca="1" si="5387"/>
        <v>0</v>
      </c>
      <c r="HW114" s="40">
        <f t="shared" ca="1" si="5387"/>
        <v>0</v>
      </c>
      <c r="HX114" s="40">
        <f t="shared" ca="1" si="5387"/>
        <v>0</v>
      </c>
      <c r="HY114" s="40">
        <f t="shared" ca="1" si="5387"/>
        <v>0</v>
      </c>
      <c r="HZ114" s="40">
        <f t="shared" ca="1" si="5387"/>
        <v>0</v>
      </c>
      <c r="IA114" s="40">
        <f t="shared" ca="1" si="5387"/>
        <v>0</v>
      </c>
      <c r="IB114" s="40">
        <f t="shared" ca="1" si="5387"/>
        <v>0</v>
      </c>
      <c r="IC114" s="40">
        <f t="shared" ca="1" si="5387"/>
        <v>0</v>
      </c>
      <c r="ID114" s="40">
        <f t="shared" ca="1" si="5387"/>
        <v>0</v>
      </c>
      <c r="IE114" s="40">
        <f t="shared" ca="1" si="5387"/>
        <v>0</v>
      </c>
      <c r="IF114" s="40">
        <f t="shared" ca="1" si="5387"/>
        <v>0</v>
      </c>
      <c r="IG114" s="40">
        <f t="shared" ca="1" si="5387"/>
        <v>0</v>
      </c>
      <c r="IH114" s="40">
        <f t="shared" ca="1" si="5387"/>
        <v>0</v>
      </c>
      <c r="II114" s="40">
        <f t="shared" ca="1" si="5387"/>
        <v>0</v>
      </c>
      <c r="IJ114" s="40">
        <f t="shared" ca="1" si="5387"/>
        <v>0</v>
      </c>
      <c r="IK114" s="40">
        <f t="shared" ca="1" si="5387"/>
        <v>0</v>
      </c>
      <c r="IL114" s="40">
        <f t="shared" ca="1" si="5387"/>
        <v>0</v>
      </c>
      <c r="IM114" s="40">
        <f t="shared" ca="1" si="5387"/>
        <v>0</v>
      </c>
      <c r="IN114" s="40">
        <f t="shared" ca="1" si="5387"/>
        <v>0</v>
      </c>
      <c r="IO114" s="40">
        <f t="shared" ref="IO114:KZ114" ca="1" si="5388">SUM(IO52:IO53,IO81,IO96,IO106)</f>
        <v>0</v>
      </c>
      <c r="IP114" s="40">
        <f t="shared" ca="1" si="5388"/>
        <v>0</v>
      </c>
      <c r="IQ114" s="40">
        <f t="shared" ca="1" si="5388"/>
        <v>0</v>
      </c>
      <c r="IR114" s="40">
        <f t="shared" ca="1" si="5388"/>
        <v>0</v>
      </c>
      <c r="IS114" s="40">
        <f t="shared" ca="1" si="5388"/>
        <v>0</v>
      </c>
      <c r="IT114" s="40">
        <f t="shared" ca="1" si="5388"/>
        <v>0</v>
      </c>
      <c r="IU114" s="40">
        <f t="shared" ca="1" si="5388"/>
        <v>0</v>
      </c>
      <c r="IV114" s="40">
        <f t="shared" ca="1" si="5388"/>
        <v>0</v>
      </c>
      <c r="IW114" s="40">
        <f t="shared" ca="1" si="5388"/>
        <v>0</v>
      </c>
      <c r="IX114" s="40">
        <f t="shared" ca="1" si="5388"/>
        <v>0</v>
      </c>
      <c r="IY114" s="40">
        <f t="shared" ca="1" si="5388"/>
        <v>0</v>
      </c>
      <c r="IZ114" s="40">
        <f t="shared" ca="1" si="5388"/>
        <v>0</v>
      </c>
      <c r="JA114" s="40">
        <f t="shared" ca="1" si="5388"/>
        <v>0</v>
      </c>
      <c r="JB114" s="40">
        <f t="shared" ca="1" si="5388"/>
        <v>0</v>
      </c>
      <c r="JC114" s="40">
        <f t="shared" ca="1" si="5388"/>
        <v>0</v>
      </c>
      <c r="JD114" s="40">
        <f t="shared" ca="1" si="5388"/>
        <v>0</v>
      </c>
      <c r="JE114" s="40">
        <f t="shared" ca="1" si="5388"/>
        <v>0</v>
      </c>
      <c r="JF114" s="40">
        <f t="shared" ca="1" si="5388"/>
        <v>0</v>
      </c>
      <c r="JG114" s="40">
        <f t="shared" ca="1" si="5388"/>
        <v>0</v>
      </c>
      <c r="JH114" s="40">
        <f t="shared" ca="1" si="5388"/>
        <v>0</v>
      </c>
      <c r="JI114" s="40">
        <f t="shared" ca="1" si="5388"/>
        <v>0</v>
      </c>
      <c r="JJ114" s="40">
        <f t="shared" ca="1" si="5388"/>
        <v>0</v>
      </c>
      <c r="JK114" s="40">
        <f t="shared" ca="1" si="5388"/>
        <v>0</v>
      </c>
      <c r="JL114" s="40">
        <f t="shared" ca="1" si="5388"/>
        <v>0</v>
      </c>
      <c r="JM114" s="40">
        <f t="shared" ca="1" si="5388"/>
        <v>0</v>
      </c>
      <c r="JN114" s="40">
        <f t="shared" ca="1" si="5388"/>
        <v>0</v>
      </c>
      <c r="JO114" s="40">
        <f t="shared" ca="1" si="5388"/>
        <v>0</v>
      </c>
      <c r="JP114" s="40">
        <f t="shared" ca="1" si="5388"/>
        <v>0</v>
      </c>
      <c r="JQ114" s="40">
        <f t="shared" ca="1" si="5388"/>
        <v>0</v>
      </c>
      <c r="JR114" s="40">
        <f t="shared" ca="1" si="5388"/>
        <v>0</v>
      </c>
      <c r="JS114" s="40">
        <f t="shared" ca="1" si="5388"/>
        <v>0</v>
      </c>
      <c r="JT114" s="40">
        <f t="shared" ca="1" si="5388"/>
        <v>0</v>
      </c>
      <c r="JU114" s="40">
        <f t="shared" ca="1" si="5388"/>
        <v>0</v>
      </c>
      <c r="JV114" s="40">
        <f t="shared" ca="1" si="5388"/>
        <v>0</v>
      </c>
      <c r="JW114" s="40">
        <f t="shared" ca="1" si="5388"/>
        <v>0</v>
      </c>
      <c r="JX114" s="40">
        <f t="shared" ca="1" si="5388"/>
        <v>0</v>
      </c>
      <c r="JY114" s="40">
        <f t="shared" ca="1" si="5388"/>
        <v>0</v>
      </c>
      <c r="JZ114" s="40">
        <f t="shared" ca="1" si="5388"/>
        <v>0</v>
      </c>
      <c r="KA114" s="40">
        <f t="shared" ca="1" si="5388"/>
        <v>0</v>
      </c>
      <c r="KB114" s="40">
        <f t="shared" ca="1" si="5388"/>
        <v>0</v>
      </c>
      <c r="KC114" s="40">
        <f t="shared" ca="1" si="5388"/>
        <v>0</v>
      </c>
      <c r="KD114" s="40">
        <f t="shared" ca="1" si="5388"/>
        <v>0</v>
      </c>
      <c r="KE114" s="40">
        <f t="shared" ca="1" si="5388"/>
        <v>0</v>
      </c>
      <c r="KF114" s="40">
        <f t="shared" ca="1" si="5388"/>
        <v>0</v>
      </c>
      <c r="KG114" s="40">
        <f t="shared" ca="1" si="5388"/>
        <v>0</v>
      </c>
      <c r="KH114" s="40">
        <f t="shared" ca="1" si="5388"/>
        <v>0</v>
      </c>
      <c r="KI114" s="40">
        <f t="shared" ca="1" si="5388"/>
        <v>0</v>
      </c>
      <c r="KJ114" s="40">
        <f t="shared" ca="1" si="5388"/>
        <v>0</v>
      </c>
      <c r="KK114" s="40">
        <f t="shared" ca="1" si="5388"/>
        <v>0</v>
      </c>
      <c r="KL114" s="40">
        <f t="shared" ca="1" si="5388"/>
        <v>0</v>
      </c>
      <c r="KM114" s="40">
        <f t="shared" ca="1" si="5388"/>
        <v>0</v>
      </c>
      <c r="KN114" s="40">
        <f t="shared" ca="1" si="5388"/>
        <v>0</v>
      </c>
      <c r="KO114" s="40">
        <f t="shared" ca="1" si="5388"/>
        <v>0</v>
      </c>
      <c r="KP114" s="40">
        <f t="shared" ca="1" si="5388"/>
        <v>0</v>
      </c>
      <c r="KQ114" s="40">
        <f t="shared" ca="1" si="5388"/>
        <v>0</v>
      </c>
      <c r="KR114" s="40">
        <f t="shared" ca="1" si="5388"/>
        <v>0</v>
      </c>
      <c r="KS114" s="40">
        <f t="shared" ca="1" si="5388"/>
        <v>0</v>
      </c>
      <c r="KT114" s="40">
        <f t="shared" ca="1" si="5388"/>
        <v>0</v>
      </c>
      <c r="KU114" s="40">
        <f t="shared" ca="1" si="5388"/>
        <v>0</v>
      </c>
      <c r="KV114" s="40">
        <f t="shared" ca="1" si="5388"/>
        <v>0</v>
      </c>
      <c r="KW114" s="40">
        <f t="shared" ca="1" si="5388"/>
        <v>0</v>
      </c>
      <c r="KX114" s="40">
        <f t="shared" ca="1" si="5388"/>
        <v>0</v>
      </c>
      <c r="KY114" s="40">
        <f t="shared" ca="1" si="5388"/>
        <v>0</v>
      </c>
      <c r="KZ114" s="40">
        <f t="shared" ca="1" si="5388"/>
        <v>0</v>
      </c>
      <c r="LA114" s="40">
        <f t="shared" ref="LA114:ND114" ca="1" si="5389">SUM(LA52:LA53,LA81,LA96,LA106)</f>
        <v>0</v>
      </c>
      <c r="LB114" s="40">
        <f t="shared" ca="1" si="5389"/>
        <v>0</v>
      </c>
      <c r="LC114" s="40">
        <f t="shared" ca="1" si="5389"/>
        <v>0</v>
      </c>
      <c r="LD114" s="40">
        <f t="shared" ca="1" si="5389"/>
        <v>0</v>
      </c>
      <c r="LE114" s="40">
        <f t="shared" ca="1" si="5389"/>
        <v>0</v>
      </c>
      <c r="LF114" s="40">
        <f t="shared" ca="1" si="5389"/>
        <v>0</v>
      </c>
      <c r="LG114" s="40">
        <f t="shared" ca="1" si="5389"/>
        <v>0</v>
      </c>
      <c r="LH114" s="40">
        <f t="shared" ca="1" si="5389"/>
        <v>0</v>
      </c>
      <c r="LI114" s="40">
        <f t="shared" ca="1" si="5389"/>
        <v>0</v>
      </c>
      <c r="LJ114" s="40">
        <f t="shared" ca="1" si="5389"/>
        <v>0</v>
      </c>
      <c r="LK114" s="40">
        <f t="shared" ca="1" si="5389"/>
        <v>0</v>
      </c>
      <c r="LL114" s="40">
        <f t="shared" ca="1" si="5389"/>
        <v>0</v>
      </c>
      <c r="LM114" s="40">
        <f t="shared" ca="1" si="5389"/>
        <v>0</v>
      </c>
      <c r="LN114" s="40">
        <f t="shared" ca="1" si="5389"/>
        <v>0</v>
      </c>
      <c r="LO114" s="40">
        <f t="shared" ca="1" si="5389"/>
        <v>0</v>
      </c>
      <c r="LP114" s="40">
        <f t="shared" ca="1" si="5389"/>
        <v>0</v>
      </c>
      <c r="LQ114" s="40">
        <f t="shared" ca="1" si="5389"/>
        <v>0</v>
      </c>
      <c r="LR114" s="40">
        <f t="shared" ca="1" si="5389"/>
        <v>0</v>
      </c>
      <c r="LS114" s="40">
        <f t="shared" ca="1" si="5389"/>
        <v>0</v>
      </c>
      <c r="LT114" s="40">
        <f t="shared" ca="1" si="5389"/>
        <v>0</v>
      </c>
      <c r="LU114" s="40">
        <f t="shared" ca="1" si="5389"/>
        <v>0</v>
      </c>
      <c r="LV114" s="40">
        <f t="shared" ca="1" si="5389"/>
        <v>0</v>
      </c>
      <c r="LW114" s="40">
        <f t="shared" ca="1" si="5389"/>
        <v>0</v>
      </c>
      <c r="LX114" s="40">
        <f t="shared" ca="1" si="5389"/>
        <v>0</v>
      </c>
      <c r="LY114" s="40">
        <f t="shared" ca="1" si="5389"/>
        <v>0</v>
      </c>
      <c r="LZ114" s="40">
        <f t="shared" ca="1" si="5389"/>
        <v>0</v>
      </c>
      <c r="MA114" s="40">
        <f t="shared" ca="1" si="5389"/>
        <v>0</v>
      </c>
      <c r="MB114" s="40">
        <f t="shared" ca="1" si="5389"/>
        <v>0</v>
      </c>
      <c r="MC114" s="40">
        <f t="shared" ca="1" si="5389"/>
        <v>0</v>
      </c>
      <c r="MD114" s="40">
        <f t="shared" ca="1" si="5389"/>
        <v>0</v>
      </c>
      <c r="ME114" s="40">
        <f t="shared" ca="1" si="5389"/>
        <v>0</v>
      </c>
      <c r="MF114" s="40">
        <f t="shared" ca="1" si="5389"/>
        <v>0</v>
      </c>
      <c r="MG114" s="40">
        <f t="shared" ca="1" si="5389"/>
        <v>0</v>
      </c>
      <c r="MH114" s="40">
        <f t="shared" ca="1" si="5389"/>
        <v>0</v>
      </c>
      <c r="MI114" s="40">
        <f t="shared" ca="1" si="5389"/>
        <v>0</v>
      </c>
      <c r="MJ114" s="40">
        <f t="shared" ca="1" si="5389"/>
        <v>0</v>
      </c>
      <c r="MK114" s="40">
        <f t="shared" ca="1" si="5389"/>
        <v>0</v>
      </c>
      <c r="ML114" s="40">
        <f t="shared" ca="1" si="5389"/>
        <v>0</v>
      </c>
      <c r="MM114" s="40">
        <f t="shared" ca="1" si="5389"/>
        <v>0</v>
      </c>
      <c r="MN114" s="40">
        <f t="shared" ca="1" si="5389"/>
        <v>0</v>
      </c>
      <c r="MO114" s="40">
        <f t="shared" ca="1" si="5389"/>
        <v>0</v>
      </c>
      <c r="MP114" s="40">
        <f t="shared" ca="1" si="5389"/>
        <v>0</v>
      </c>
      <c r="MQ114" s="40">
        <f t="shared" ca="1" si="5389"/>
        <v>0</v>
      </c>
      <c r="MR114" s="40">
        <f t="shared" ca="1" si="5389"/>
        <v>0</v>
      </c>
      <c r="MS114" s="40">
        <f t="shared" ca="1" si="5389"/>
        <v>0</v>
      </c>
      <c r="MT114" s="40">
        <f t="shared" ca="1" si="5389"/>
        <v>0</v>
      </c>
      <c r="MU114" s="40">
        <f t="shared" ca="1" si="5389"/>
        <v>0</v>
      </c>
      <c r="MV114" s="40">
        <f t="shared" ca="1" si="5389"/>
        <v>0</v>
      </c>
      <c r="MW114" s="40">
        <f t="shared" ca="1" si="5389"/>
        <v>0</v>
      </c>
      <c r="MX114" s="40">
        <f t="shared" ca="1" si="5389"/>
        <v>0</v>
      </c>
      <c r="MY114" s="40">
        <f t="shared" ca="1" si="5389"/>
        <v>0</v>
      </c>
      <c r="MZ114" s="40">
        <f t="shared" ca="1" si="5389"/>
        <v>0</v>
      </c>
      <c r="NA114" s="40">
        <f t="shared" ca="1" si="5389"/>
        <v>0</v>
      </c>
      <c r="NB114" s="40">
        <f t="shared" ca="1" si="5389"/>
        <v>0</v>
      </c>
      <c r="NC114" s="40">
        <f t="shared" ca="1" si="5389"/>
        <v>0</v>
      </c>
      <c r="ND114" s="40">
        <f t="shared" ca="1" si="5389"/>
        <v>0</v>
      </c>
      <c r="NE114" s="40"/>
      <c r="NF114" s="40"/>
      <c r="NG114" s="40"/>
      <c r="NH114" s="40"/>
      <c r="NI114" s="40"/>
      <c r="NJ114" s="40"/>
      <c r="NK114" s="40"/>
      <c r="NL114" s="40"/>
      <c r="NM114" s="40"/>
      <c r="NN114" s="40"/>
      <c r="NO114" s="40"/>
      <c r="NP114" s="40"/>
      <c r="NQ114" s="40"/>
      <c r="NR114" s="40"/>
    </row>
    <row r="115" spans="2:382" x14ac:dyDescent="0.15">
      <c r="B115" s="521"/>
      <c r="C115" s="120" t="str">
        <f>C7</f>
        <v>-</v>
      </c>
      <c r="D115" s="5">
        <f>D107</f>
        <v>0</v>
      </c>
      <c r="G115" s="118"/>
      <c r="I115" s="40">
        <f>SUM(I60:I61,I82,I97,I107)</f>
        <v>0</v>
      </c>
      <c r="J115" s="40">
        <f t="shared" ref="J115" si="5390">SUM(J60:J61,J82,J97,J107)</f>
        <v>0</v>
      </c>
      <c r="K115" s="40">
        <f t="shared" ref="K115:BV115" si="5391">SUM(K60:K61,K82,K97,K107)</f>
        <v>0</v>
      </c>
      <c r="L115" s="40">
        <f t="shared" si="5391"/>
        <v>0</v>
      </c>
      <c r="M115" s="40">
        <f t="shared" si="5391"/>
        <v>0</v>
      </c>
      <c r="N115" s="40">
        <f t="shared" si="5391"/>
        <v>0</v>
      </c>
      <c r="O115" s="40">
        <f t="shared" si="5391"/>
        <v>0</v>
      </c>
      <c r="P115" s="40">
        <f t="shared" si="5391"/>
        <v>0</v>
      </c>
      <c r="Q115" s="40">
        <f t="shared" si="5391"/>
        <v>0</v>
      </c>
      <c r="R115" s="40">
        <f t="shared" si="5391"/>
        <v>0</v>
      </c>
      <c r="S115" s="40">
        <f t="shared" si="5391"/>
        <v>0</v>
      </c>
      <c r="T115" s="40">
        <f t="shared" si="5391"/>
        <v>0</v>
      </c>
      <c r="U115" s="40">
        <f t="shared" si="5391"/>
        <v>0</v>
      </c>
      <c r="V115" s="40">
        <f t="shared" si="5391"/>
        <v>0</v>
      </c>
      <c r="W115" s="40">
        <f t="shared" si="5391"/>
        <v>0</v>
      </c>
      <c r="X115" s="40">
        <f t="shared" si="5391"/>
        <v>0</v>
      </c>
      <c r="Y115" s="40">
        <f t="shared" si="5391"/>
        <v>0</v>
      </c>
      <c r="Z115" s="40">
        <f t="shared" si="5391"/>
        <v>0</v>
      </c>
      <c r="AA115" s="40">
        <f t="shared" si="5391"/>
        <v>0</v>
      </c>
      <c r="AB115" s="40">
        <f t="shared" si="5391"/>
        <v>0</v>
      </c>
      <c r="AC115" s="40">
        <f t="shared" si="5391"/>
        <v>0</v>
      </c>
      <c r="AD115" s="40">
        <f t="shared" si="5391"/>
        <v>0</v>
      </c>
      <c r="AE115" s="40">
        <f t="shared" si="5391"/>
        <v>0</v>
      </c>
      <c r="AF115" s="40">
        <f t="shared" si="5391"/>
        <v>0</v>
      </c>
      <c r="AG115" s="40">
        <f t="shared" si="5391"/>
        <v>0</v>
      </c>
      <c r="AH115" s="40">
        <f t="shared" si="5391"/>
        <v>0</v>
      </c>
      <c r="AI115" s="40">
        <f t="shared" si="5391"/>
        <v>0</v>
      </c>
      <c r="AJ115" s="40">
        <f t="shared" si="5391"/>
        <v>0</v>
      </c>
      <c r="AK115" s="40">
        <f t="shared" si="5391"/>
        <v>0</v>
      </c>
      <c r="AL115" s="40">
        <f t="shared" si="5391"/>
        <v>0</v>
      </c>
      <c r="AM115" s="40">
        <f t="shared" si="5391"/>
        <v>0</v>
      </c>
      <c r="AN115" s="40">
        <f t="shared" si="5391"/>
        <v>0</v>
      </c>
      <c r="AO115" s="40">
        <f t="shared" si="5391"/>
        <v>0</v>
      </c>
      <c r="AP115" s="40">
        <f t="shared" si="5391"/>
        <v>0</v>
      </c>
      <c r="AQ115" s="40">
        <f t="shared" si="5391"/>
        <v>0</v>
      </c>
      <c r="AR115" s="40">
        <f t="shared" si="5391"/>
        <v>0</v>
      </c>
      <c r="AS115" s="40">
        <f t="shared" si="5391"/>
        <v>0</v>
      </c>
      <c r="AT115" s="40">
        <f t="shared" si="5391"/>
        <v>0</v>
      </c>
      <c r="AU115" s="40">
        <f t="shared" si="5391"/>
        <v>0</v>
      </c>
      <c r="AV115" s="40">
        <f t="shared" si="5391"/>
        <v>0</v>
      </c>
      <c r="AW115" s="40">
        <f t="shared" si="5391"/>
        <v>0</v>
      </c>
      <c r="AX115" s="40">
        <f t="shared" si="5391"/>
        <v>0</v>
      </c>
      <c r="AY115" s="40">
        <f t="shared" si="5391"/>
        <v>0</v>
      </c>
      <c r="AZ115" s="40">
        <f t="shared" si="5391"/>
        <v>0</v>
      </c>
      <c r="BA115" s="40">
        <f t="shared" si="5391"/>
        <v>0</v>
      </c>
      <c r="BB115" s="40">
        <f t="shared" si="5391"/>
        <v>0</v>
      </c>
      <c r="BC115" s="40">
        <f t="shared" si="5391"/>
        <v>0</v>
      </c>
      <c r="BD115" s="40">
        <f t="shared" si="5391"/>
        <v>0</v>
      </c>
      <c r="BE115" s="40">
        <f t="shared" si="5391"/>
        <v>0</v>
      </c>
      <c r="BF115" s="40">
        <f t="shared" si="5391"/>
        <v>0</v>
      </c>
      <c r="BG115" s="40">
        <f t="shared" si="5391"/>
        <v>0</v>
      </c>
      <c r="BH115" s="40">
        <f t="shared" si="5391"/>
        <v>0</v>
      </c>
      <c r="BI115" s="40">
        <f t="shared" si="5391"/>
        <v>0</v>
      </c>
      <c r="BJ115" s="40">
        <f t="shared" si="5391"/>
        <v>0</v>
      </c>
      <c r="BK115" s="40">
        <f t="shared" si="5391"/>
        <v>0</v>
      </c>
      <c r="BL115" s="40">
        <f t="shared" si="5391"/>
        <v>0</v>
      </c>
      <c r="BM115" s="40">
        <f t="shared" si="5391"/>
        <v>0</v>
      </c>
      <c r="BN115" s="40">
        <f t="shared" si="5391"/>
        <v>0</v>
      </c>
      <c r="BO115" s="40">
        <f t="shared" si="5391"/>
        <v>0</v>
      </c>
      <c r="BP115" s="40">
        <f t="shared" si="5391"/>
        <v>0</v>
      </c>
      <c r="BQ115" s="40">
        <f t="shared" si="5391"/>
        <v>0</v>
      </c>
      <c r="BR115" s="40">
        <f t="shared" si="5391"/>
        <v>0</v>
      </c>
      <c r="BS115" s="40">
        <f t="shared" si="5391"/>
        <v>0</v>
      </c>
      <c r="BT115" s="40">
        <f t="shared" si="5391"/>
        <v>0</v>
      </c>
      <c r="BU115" s="40">
        <f t="shared" si="5391"/>
        <v>0</v>
      </c>
      <c r="BV115" s="40">
        <f t="shared" si="5391"/>
        <v>0</v>
      </c>
      <c r="BW115" s="40">
        <f t="shared" ref="BW115:EH115" si="5392">SUM(BW60:BW61,BW82,BW97,BW107)</f>
        <v>0</v>
      </c>
      <c r="BX115" s="40">
        <f t="shared" si="5392"/>
        <v>0</v>
      </c>
      <c r="BY115" s="40">
        <f t="shared" si="5392"/>
        <v>0</v>
      </c>
      <c r="BZ115" s="40">
        <f t="shared" si="5392"/>
        <v>0</v>
      </c>
      <c r="CA115" s="40">
        <f t="shared" si="5392"/>
        <v>0</v>
      </c>
      <c r="CB115" s="40">
        <f t="shared" si="5392"/>
        <v>0</v>
      </c>
      <c r="CC115" s="40">
        <f t="shared" si="5392"/>
        <v>0</v>
      </c>
      <c r="CD115" s="40">
        <f t="shared" si="5392"/>
        <v>0</v>
      </c>
      <c r="CE115" s="40">
        <f t="shared" si="5392"/>
        <v>0</v>
      </c>
      <c r="CF115" s="40">
        <f t="shared" si="5392"/>
        <v>0</v>
      </c>
      <c r="CG115" s="40">
        <f t="shared" si="5392"/>
        <v>0</v>
      </c>
      <c r="CH115" s="40">
        <f t="shared" si="5392"/>
        <v>0</v>
      </c>
      <c r="CI115" s="40">
        <f t="shared" si="5392"/>
        <v>0</v>
      </c>
      <c r="CJ115" s="40">
        <f t="shared" si="5392"/>
        <v>0</v>
      </c>
      <c r="CK115" s="40">
        <f t="shared" si="5392"/>
        <v>0</v>
      </c>
      <c r="CL115" s="40">
        <f t="shared" si="5392"/>
        <v>0</v>
      </c>
      <c r="CM115" s="40">
        <f t="shared" si="5392"/>
        <v>0</v>
      </c>
      <c r="CN115" s="40">
        <f t="shared" si="5392"/>
        <v>0</v>
      </c>
      <c r="CO115" s="40">
        <f t="shared" si="5392"/>
        <v>0</v>
      </c>
      <c r="CP115" s="40">
        <f t="shared" si="5392"/>
        <v>0</v>
      </c>
      <c r="CQ115" s="40">
        <f t="shared" si="5392"/>
        <v>0</v>
      </c>
      <c r="CR115" s="40">
        <f t="shared" si="5392"/>
        <v>0</v>
      </c>
      <c r="CS115" s="40">
        <f t="shared" si="5392"/>
        <v>0</v>
      </c>
      <c r="CT115" s="40">
        <f t="shared" si="5392"/>
        <v>0</v>
      </c>
      <c r="CU115" s="40">
        <f t="shared" si="5392"/>
        <v>0</v>
      </c>
      <c r="CV115" s="40">
        <f t="shared" si="5392"/>
        <v>0</v>
      </c>
      <c r="CW115" s="40">
        <f t="shared" si="5392"/>
        <v>0</v>
      </c>
      <c r="CX115" s="40">
        <f t="shared" si="5392"/>
        <v>0</v>
      </c>
      <c r="CY115" s="40">
        <f t="shared" si="5392"/>
        <v>0</v>
      </c>
      <c r="CZ115" s="40">
        <f t="shared" si="5392"/>
        <v>0</v>
      </c>
      <c r="DA115" s="40">
        <f t="shared" si="5392"/>
        <v>0</v>
      </c>
      <c r="DB115" s="40">
        <f t="shared" si="5392"/>
        <v>0</v>
      </c>
      <c r="DC115" s="40">
        <f t="shared" si="5392"/>
        <v>0</v>
      </c>
      <c r="DD115" s="40">
        <f t="shared" si="5392"/>
        <v>0</v>
      </c>
      <c r="DE115" s="40">
        <f t="shared" si="5392"/>
        <v>0</v>
      </c>
      <c r="DF115" s="40">
        <f t="shared" si="5392"/>
        <v>0</v>
      </c>
      <c r="DG115" s="40">
        <f t="shared" si="5392"/>
        <v>0</v>
      </c>
      <c r="DH115" s="40">
        <f t="shared" si="5392"/>
        <v>0</v>
      </c>
      <c r="DI115" s="40">
        <f t="shared" si="5392"/>
        <v>0</v>
      </c>
      <c r="DJ115" s="40">
        <f t="shared" si="5392"/>
        <v>0</v>
      </c>
      <c r="DK115" s="40">
        <f t="shared" si="5392"/>
        <v>0</v>
      </c>
      <c r="DL115" s="40">
        <f t="shared" si="5392"/>
        <v>0</v>
      </c>
      <c r="DM115" s="40">
        <f t="shared" si="5392"/>
        <v>0</v>
      </c>
      <c r="DN115" s="40">
        <f t="shared" si="5392"/>
        <v>0</v>
      </c>
      <c r="DO115" s="40">
        <f t="shared" si="5392"/>
        <v>0</v>
      </c>
      <c r="DP115" s="40">
        <f t="shared" si="5392"/>
        <v>0</v>
      </c>
      <c r="DQ115" s="40">
        <f t="shared" si="5392"/>
        <v>0</v>
      </c>
      <c r="DR115" s="40">
        <f t="shared" si="5392"/>
        <v>0</v>
      </c>
      <c r="DS115" s="40">
        <f t="shared" si="5392"/>
        <v>0</v>
      </c>
      <c r="DT115" s="40">
        <f t="shared" si="5392"/>
        <v>0</v>
      </c>
      <c r="DU115" s="40">
        <f t="shared" si="5392"/>
        <v>0</v>
      </c>
      <c r="DV115" s="40">
        <f t="shared" si="5392"/>
        <v>0</v>
      </c>
      <c r="DW115" s="40">
        <f t="shared" si="5392"/>
        <v>0</v>
      </c>
      <c r="DX115" s="40">
        <f t="shared" si="5392"/>
        <v>0</v>
      </c>
      <c r="DY115" s="40">
        <f t="shared" si="5392"/>
        <v>0</v>
      </c>
      <c r="DZ115" s="40">
        <f t="shared" si="5392"/>
        <v>0</v>
      </c>
      <c r="EA115" s="40">
        <f t="shared" si="5392"/>
        <v>0</v>
      </c>
      <c r="EB115" s="40">
        <f t="shared" si="5392"/>
        <v>0</v>
      </c>
      <c r="EC115" s="40">
        <f t="shared" si="5392"/>
        <v>0</v>
      </c>
      <c r="ED115" s="40">
        <f t="shared" si="5392"/>
        <v>0</v>
      </c>
      <c r="EE115" s="40">
        <f t="shared" si="5392"/>
        <v>0</v>
      </c>
      <c r="EF115" s="40">
        <f t="shared" si="5392"/>
        <v>0</v>
      </c>
      <c r="EG115" s="40">
        <f t="shared" si="5392"/>
        <v>0</v>
      </c>
      <c r="EH115" s="40">
        <f t="shared" si="5392"/>
        <v>0</v>
      </c>
      <c r="EI115" s="40">
        <f t="shared" ref="EI115:GT115" si="5393">SUM(EI60:EI61,EI82,EI97,EI107)</f>
        <v>0</v>
      </c>
      <c r="EJ115" s="40">
        <f t="shared" si="5393"/>
        <v>0</v>
      </c>
      <c r="EK115" s="40">
        <f t="shared" si="5393"/>
        <v>0</v>
      </c>
      <c r="EL115" s="40">
        <f t="shared" si="5393"/>
        <v>0</v>
      </c>
      <c r="EM115" s="40">
        <f t="shared" si="5393"/>
        <v>0</v>
      </c>
      <c r="EN115" s="40">
        <f t="shared" si="5393"/>
        <v>0</v>
      </c>
      <c r="EO115" s="40">
        <f t="shared" si="5393"/>
        <v>0</v>
      </c>
      <c r="EP115" s="40">
        <f t="shared" si="5393"/>
        <v>0</v>
      </c>
      <c r="EQ115" s="40">
        <f t="shared" si="5393"/>
        <v>0</v>
      </c>
      <c r="ER115" s="40">
        <f t="shared" si="5393"/>
        <v>0</v>
      </c>
      <c r="ES115" s="40">
        <f t="shared" si="5393"/>
        <v>0</v>
      </c>
      <c r="ET115" s="40">
        <f t="shared" si="5393"/>
        <v>0</v>
      </c>
      <c r="EU115" s="40">
        <f t="shared" si="5393"/>
        <v>0</v>
      </c>
      <c r="EV115" s="40">
        <f t="shared" si="5393"/>
        <v>0</v>
      </c>
      <c r="EW115" s="40">
        <f t="shared" si="5393"/>
        <v>0</v>
      </c>
      <c r="EX115" s="40">
        <f t="shared" si="5393"/>
        <v>0</v>
      </c>
      <c r="EY115" s="40">
        <f t="shared" si="5393"/>
        <v>0</v>
      </c>
      <c r="EZ115" s="40">
        <f t="shared" si="5393"/>
        <v>0</v>
      </c>
      <c r="FA115" s="40">
        <f t="shared" si="5393"/>
        <v>0</v>
      </c>
      <c r="FB115" s="40">
        <f t="shared" si="5393"/>
        <v>0</v>
      </c>
      <c r="FC115" s="40">
        <f t="shared" si="5393"/>
        <v>0</v>
      </c>
      <c r="FD115" s="40">
        <f t="shared" si="5393"/>
        <v>0</v>
      </c>
      <c r="FE115" s="40">
        <f t="shared" si="5393"/>
        <v>0</v>
      </c>
      <c r="FF115" s="40">
        <f t="shared" si="5393"/>
        <v>0</v>
      </c>
      <c r="FG115" s="40">
        <f t="shared" si="5393"/>
        <v>0</v>
      </c>
      <c r="FH115" s="40">
        <f t="shared" si="5393"/>
        <v>0</v>
      </c>
      <c r="FI115" s="40">
        <f t="shared" si="5393"/>
        <v>0</v>
      </c>
      <c r="FJ115" s="40">
        <f t="shared" si="5393"/>
        <v>0</v>
      </c>
      <c r="FK115" s="40">
        <f t="shared" si="5393"/>
        <v>0</v>
      </c>
      <c r="FL115" s="40">
        <f t="shared" si="5393"/>
        <v>0</v>
      </c>
      <c r="FM115" s="40">
        <f t="shared" si="5393"/>
        <v>0</v>
      </c>
      <c r="FN115" s="40">
        <f t="shared" si="5393"/>
        <v>0</v>
      </c>
      <c r="FO115" s="40">
        <f t="shared" si="5393"/>
        <v>0</v>
      </c>
      <c r="FP115" s="40">
        <f t="shared" si="5393"/>
        <v>0</v>
      </c>
      <c r="FQ115" s="40">
        <f t="shared" si="5393"/>
        <v>0</v>
      </c>
      <c r="FR115" s="40">
        <f t="shared" si="5393"/>
        <v>0</v>
      </c>
      <c r="FS115" s="40">
        <f t="shared" si="5393"/>
        <v>0</v>
      </c>
      <c r="FT115" s="40">
        <f t="shared" si="5393"/>
        <v>0</v>
      </c>
      <c r="FU115" s="40">
        <f t="shared" si="5393"/>
        <v>0</v>
      </c>
      <c r="FV115" s="40">
        <f t="shared" si="5393"/>
        <v>0</v>
      </c>
      <c r="FW115" s="40">
        <f t="shared" si="5393"/>
        <v>0</v>
      </c>
      <c r="FX115" s="40">
        <f t="shared" si="5393"/>
        <v>0</v>
      </c>
      <c r="FY115" s="40">
        <f t="shared" si="5393"/>
        <v>0</v>
      </c>
      <c r="FZ115" s="40">
        <f t="shared" si="5393"/>
        <v>0</v>
      </c>
      <c r="GA115" s="40">
        <f t="shared" si="5393"/>
        <v>0</v>
      </c>
      <c r="GB115" s="40">
        <f t="shared" si="5393"/>
        <v>0</v>
      </c>
      <c r="GC115" s="40">
        <f t="shared" si="5393"/>
        <v>0</v>
      </c>
      <c r="GD115" s="40">
        <f t="shared" si="5393"/>
        <v>0</v>
      </c>
      <c r="GE115" s="40">
        <f t="shared" si="5393"/>
        <v>0</v>
      </c>
      <c r="GF115" s="40">
        <f t="shared" ca="1" si="5393"/>
        <v>0</v>
      </c>
      <c r="GG115" s="40">
        <f t="shared" ca="1" si="5393"/>
        <v>0</v>
      </c>
      <c r="GH115" s="40">
        <f t="shared" ca="1" si="5393"/>
        <v>0</v>
      </c>
      <c r="GI115" s="40">
        <f t="shared" ca="1" si="5393"/>
        <v>0</v>
      </c>
      <c r="GJ115" s="40">
        <f t="shared" ca="1" si="5393"/>
        <v>0</v>
      </c>
      <c r="GK115" s="40">
        <f t="shared" ca="1" si="5393"/>
        <v>0</v>
      </c>
      <c r="GL115" s="40">
        <f t="shared" ca="1" si="5393"/>
        <v>0</v>
      </c>
      <c r="GM115" s="40">
        <f t="shared" ca="1" si="5393"/>
        <v>0</v>
      </c>
      <c r="GN115" s="40">
        <f t="shared" ca="1" si="5393"/>
        <v>0</v>
      </c>
      <c r="GO115" s="40">
        <f t="shared" ca="1" si="5393"/>
        <v>0</v>
      </c>
      <c r="GP115" s="40">
        <f t="shared" ca="1" si="5393"/>
        <v>0</v>
      </c>
      <c r="GQ115" s="40">
        <f t="shared" ca="1" si="5393"/>
        <v>0</v>
      </c>
      <c r="GR115" s="40">
        <f t="shared" ca="1" si="5393"/>
        <v>0</v>
      </c>
      <c r="GS115" s="40">
        <f t="shared" ca="1" si="5393"/>
        <v>0</v>
      </c>
      <c r="GT115" s="40">
        <f t="shared" ca="1" si="5393"/>
        <v>0</v>
      </c>
      <c r="GU115" s="40">
        <f t="shared" ref="GU115:IN115" ca="1" si="5394">SUM(GU60:GU61,GU82,GU97,GU107)</f>
        <v>0</v>
      </c>
      <c r="GV115" s="40">
        <f t="shared" ca="1" si="5394"/>
        <v>0</v>
      </c>
      <c r="GW115" s="40">
        <f t="shared" ca="1" si="5394"/>
        <v>0</v>
      </c>
      <c r="GX115" s="40">
        <f t="shared" ca="1" si="5394"/>
        <v>0</v>
      </c>
      <c r="GY115" s="40">
        <f t="shared" ca="1" si="5394"/>
        <v>0</v>
      </c>
      <c r="GZ115" s="40">
        <f t="shared" ca="1" si="5394"/>
        <v>0</v>
      </c>
      <c r="HA115" s="40">
        <f t="shared" ca="1" si="5394"/>
        <v>0</v>
      </c>
      <c r="HB115" s="40">
        <f t="shared" ca="1" si="5394"/>
        <v>0</v>
      </c>
      <c r="HC115" s="40">
        <f t="shared" ca="1" si="5394"/>
        <v>0</v>
      </c>
      <c r="HD115" s="40">
        <f t="shared" ca="1" si="5394"/>
        <v>0</v>
      </c>
      <c r="HE115" s="40">
        <f t="shared" ca="1" si="5394"/>
        <v>0</v>
      </c>
      <c r="HF115" s="40">
        <f t="shared" ca="1" si="5394"/>
        <v>0</v>
      </c>
      <c r="HG115" s="40">
        <f t="shared" ca="1" si="5394"/>
        <v>0</v>
      </c>
      <c r="HH115" s="40">
        <f t="shared" ca="1" si="5394"/>
        <v>0</v>
      </c>
      <c r="HI115" s="40">
        <f t="shared" ca="1" si="5394"/>
        <v>0</v>
      </c>
      <c r="HJ115" s="40">
        <f t="shared" ca="1" si="5394"/>
        <v>0</v>
      </c>
      <c r="HK115" s="40">
        <f t="shared" ca="1" si="5394"/>
        <v>0</v>
      </c>
      <c r="HL115" s="40">
        <f t="shared" ca="1" si="5394"/>
        <v>0</v>
      </c>
      <c r="HM115" s="40">
        <f t="shared" ca="1" si="5394"/>
        <v>0</v>
      </c>
      <c r="HN115" s="40">
        <f t="shared" ca="1" si="5394"/>
        <v>0</v>
      </c>
      <c r="HO115" s="40">
        <f t="shared" ca="1" si="5394"/>
        <v>0</v>
      </c>
      <c r="HP115" s="40">
        <f t="shared" ca="1" si="5394"/>
        <v>0</v>
      </c>
      <c r="HQ115" s="40">
        <f t="shared" ca="1" si="5394"/>
        <v>0</v>
      </c>
      <c r="HR115" s="40">
        <f t="shared" ca="1" si="5394"/>
        <v>0</v>
      </c>
      <c r="HS115" s="40">
        <f t="shared" ca="1" si="5394"/>
        <v>0</v>
      </c>
      <c r="HT115" s="40">
        <f t="shared" ca="1" si="5394"/>
        <v>0</v>
      </c>
      <c r="HU115" s="40">
        <f t="shared" ca="1" si="5394"/>
        <v>0</v>
      </c>
      <c r="HV115" s="40">
        <f t="shared" ca="1" si="5394"/>
        <v>0</v>
      </c>
      <c r="HW115" s="40">
        <f t="shared" ca="1" si="5394"/>
        <v>0</v>
      </c>
      <c r="HX115" s="40">
        <f t="shared" ca="1" si="5394"/>
        <v>0</v>
      </c>
      <c r="HY115" s="40">
        <f t="shared" ca="1" si="5394"/>
        <v>0</v>
      </c>
      <c r="HZ115" s="40">
        <f t="shared" ca="1" si="5394"/>
        <v>0</v>
      </c>
      <c r="IA115" s="40">
        <f t="shared" ca="1" si="5394"/>
        <v>0</v>
      </c>
      <c r="IB115" s="40">
        <f t="shared" ca="1" si="5394"/>
        <v>0</v>
      </c>
      <c r="IC115" s="40">
        <f t="shared" ca="1" si="5394"/>
        <v>0</v>
      </c>
      <c r="ID115" s="40">
        <f t="shared" ca="1" si="5394"/>
        <v>0</v>
      </c>
      <c r="IE115" s="40">
        <f t="shared" ca="1" si="5394"/>
        <v>0</v>
      </c>
      <c r="IF115" s="40">
        <f t="shared" ca="1" si="5394"/>
        <v>0</v>
      </c>
      <c r="IG115" s="40">
        <f t="shared" ca="1" si="5394"/>
        <v>0</v>
      </c>
      <c r="IH115" s="40">
        <f t="shared" ca="1" si="5394"/>
        <v>0</v>
      </c>
      <c r="II115" s="40">
        <f t="shared" ca="1" si="5394"/>
        <v>0</v>
      </c>
      <c r="IJ115" s="40">
        <f t="shared" ca="1" si="5394"/>
        <v>0</v>
      </c>
      <c r="IK115" s="40">
        <f t="shared" ca="1" si="5394"/>
        <v>0</v>
      </c>
      <c r="IL115" s="40">
        <f t="shared" ca="1" si="5394"/>
        <v>0</v>
      </c>
      <c r="IM115" s="40">
        <f t="shared" ca="1" si="5394"/>
        <v>0</v>
      </c>
      <c r="IN115" s="40">
        <f t="shared" ca="1" si="5394"/>
        <v>0</v>
      </c>
      <c r="IO115" s="40">
        <f t="shared" ref="IO115:KZ115" ca="1" si="5395">SUM(IO60:IO61,IO82,IO97,IO107)</f>
        <v>0</v>
      </c>
      <c r="IP115" s="40">
        <f t="shared" ca="1" si="5395"/>
        <v>0</v>
      </c>
      <c r="IQ115" s="40">
        <f t="shared" ca="1" si="5395"/>
        <v>0</v>
      </c>
      <c r="IR115" s="40">
        <f t="shared" ca="1" si="5395"/>
        <v>0</v>
      </c>
      <c r="IS115" s="40">
        <f t="shared" ca="1" si="5395"/>
        <v>0</v>
      </c>
      <c r="IT115" s="40">
        <f t="shared" ca="1" si="5395"/>
        <v>0</v>
      </c>
      <c r="IU115" s="40">
        <f t="shared" ca="1" si="5395"/>
        <v>0</v>
      </c>
      <c r="IV115" s="40">
        <f t="shared" ca="1" si="5395"/>
        <v>0</v>
      </c>
      <c r="IW115" s="40">
        <f t="shared" ca="1" si="5395"/>
        <v>0</v>
      </c>
      <c r="IX115" s="40">
        <f t="shared" ca="1" si="5395"/>
        <v>0</v>
      </c>
      <c r="IY115" s="40">
        <f t="shared" ca="1" si="5395"/>
        <v>0</v>
      </c>
      <c r="IZ115" s="40">
        <f t="shared" ca="1" si="5395"/>
        <v>0</v>
      </c>
      <c r="JA115" s="40">
        <f t="shared" ca="1" si="5395"/>
        <v>0</v>
      </c>
      <c r="JB115" s="40">
        <f t="shared" ca="1" si="5395"/>
        <v>0</v>
      </c>
      <c r="JC115" s="40">
        <f t="shared" ca="1" si="5395"/>
        <v>0</v>
      </c>
      <c r="JD115" s="40">
        <f t="shared" ca="1" si="5395"/>
        <v>0</v>
      </c>
      <c r="JE115" s="40">
        <f t="shared" ca="1" si="5395"/>
        <v>0</v>
      </c>
      <c r="JF115" s="40">
        <f t="shared" ca="1" si="5395"/>
        <v>0</v>
      </c>
      <c r="JG115" s="40">
        <f t="shared" ca="1" si="5395"/>
        <v>0</v>
      </c>
      <c r="JH115" s="40">
        <f t="shared" ca="1" si="5395"/>
        <v>0</v>
      </c>
      <c r="JI115" s="40">
        <f t="shared" ca="1" si="5395"/>
        <v>0</v>
      </c>
      <c r="JJ115" s="40">
        <f t="shared" ca="1" si="5395"/>
        <v>0</v>
      </c>
      <c r="JK115" s="40">
        <f t="shared" ca="1" si="5395"/>
        <v>0</v>
      </c>
      <c r="JL115" s="40">
        <f t="shared" ca="1" si="5395"/>
        <v>0</v>
      </c>
      <c r="JM115" s="40">
        <f t="shared" ca="1" si="5395"/>
        <v>0</v>
      </c>
      <c r="JN115" s="40">
        <f t="shared" ca="1" si="5395"/>
        <v>0</v>
      </c>
      <c r="JO115" s="40">
        <f t="shared" ca="1" si="5395"/>
        <v>0</v>
      </c>
      <c r="JP115" s="40">
        <f t="shared" ca="1" si="5395"/>
        <v>0</v>
      </c>
      <c r="JQ115" s="40">
        <f t="shared" ca="1" si="5395"/>
        <v>0</v>
      </c>
      <c r="JR115" s="40">
        <f t="shared" ca="1" si="5395"/>
        <v>0</v>
      </c>
      <c r="JS115" s="40">
        <f t="shared" ca="1" si="5395"/>
        <v>0</v>
      </c>
      <c r="JT115" s="40">
        <f t="shared" ca="1" si="5395"/>
        <v>0</v>
      </c>
      <c r="JU115" s="40">
        <f t="shared" ca="1" si="5395"/>
        <v>0</v>
      </c>
      <c r="JV115" s="40">
        <f t="shared" ca="1" si="5395"/>
        <v>0</v>
      </c>
      <c r="JW115" s="40">
        <f t="shared" ca="1" si="5395"/>
        <v>0</v>
      </c>
      <c r="JX115" s="40">
        <f t="shared" ca="1" si="5395"/>
        <v>0</v>
      </c>
      <c r="JY115" s="40">
        <f t="shared" ca="1" si="5395"/>
        <v>0</v>
      </c>
      <c r="JZ115" s="40">
        <f t="shared" ca="1" si="5395"/>
        <v>0</v>
      </c>
      <c r="KA115" s="40">
        <f t="shared" ca="1" si="5395"/>
        <v>0</v>
      </c>
      <c r="KB115" s="40">
        <f t="shared" ca="1" si="5395"/>
        <v>0</v>
      </c>
      <c r="KC115" s="40">
        <f t="shared" ca="1" si="5395"/>
        <v>0</v>
      </c>
      <c r="KD115" s="40">
        <f t="shared" ca="1" si="5395"/>
        <v>0</v>
      </c>
      <c r="KE115" s="40">
        <f t="shared" ca="1" si="5395"/>
        <v>0</v>
      </c>
      <c r="KF115" s="40">
        <f t="shared" ca="1" si="5395"/>
        <v>0</v>
      </c>
      <c r="KG115" s="40">
        <f t="shared" ca="1" si="5395"/>
        <v>0</v>
      </c>
      <c r="KH115" s="40">
        <f t="shared" ca="1" si="5395"/>
        <v>0</v>
      </c>
      <c r="KI115" s="40">
        <f t="shared" ca="1" si="5395"/>
        <v>0</v>
      </c>
      <c r="KJ115" s="40">
        <f t="shared" ca="1" si="5395"/>
        <v>0</v>
      </c>
      <c r="KK115" s="40">
        <f t="shared" ca="1" si="5395"/>
        <v>0</v>
      </c>
      <c r="KL115" s="40">
        <f t="shared" ca="1" si="5395"/>
        <v>0</v>
      </c>
      <c r="KM115" s="40">
        <f t="shared" ca="1" si="5395"/>
        <v>0</v>
      </c>
      <c r="KN115" s="40">
        <f t="shared" ca="1" si="5395"/>
        <v>0</v>
      </c>
      <c r="KO115" s="40">
        <f t="shared" ca="1" si="5395"/>
        <v>0</v>
      </c>
      <c r="KP115" s="40">
        <f t="shared" ca="1" si="5395"/>
        <v>0</v>
      </c>
      <c r="KQ115" s="40">
        <f t="shared" ca="1" si="5395"/>
        <v>0</v>
      </c>
      <c r="KR115" s="40">
        <f t="shared" ca="1" si="5395"/>
        <v>0</v>
      </c>
      <c r="KS115" s="40">
        <f t="shared" ca="1" si="5395"/>
        <v>0</v>
      </c>
      <c r="KT115" s="40">
        <f t="shared" ca="1" si="5395"/>
        <v>0</v>
      </c>
      <c r="KU115" s="40">
        <f t="shared" ca="1" si="5395"/>
        <v>0</v>
      </c>
      <c r="KV115" s="40">
        <f t="shared" ca="1" si="5395"/>
        <v>0</v>
      </c>
      <c r="KW115" s="40">
        <f t="shared" ca="1" si="5395"/>
        <v>0</v>
      </c>
      <c r="KX115" s="40">
        <f t="shared" ca="1" si="5395"/>
        <v>0</v>
      </c>
      <c r="KY115" s="40">
        <f t="shared" ca="1" si="5395"/>
        <v>0</v>
      </c>
      <c r="KZ115" s="40">
        <f t="shared" ca="1" si="5395"/>
        <v>0</v>
      </c>
      <c r="LA115" s="40">
        <f t="shared" ref="LA115:ND115" ca="1" si="5396">SUM(LA60:LA61,LA82,LA97,LA107)</f>
        <v>0</v>
      </c>
      <c r="LB115" s="40">
        <f t="shared" ca="1" si="5396"/>
        <v>0</v>
      </c>
      <c r="LC115" s="40">
        <f t="shared" ca="1" si="5396"/>
        <v>0</v>
      </c>
      <c r="LD115" s="40">
        <f t="shared" ca="1" si="5396"/>
        <v>0</v>
      </c>
      <c r="LE115" s="40">
        <f t="shared" ca="1" si="5396"/>
        <v>0</v>
      </c>
      <c r="LF115" s="40">
        <f t="shared" ca="1" si="5396"/>
        <v>0</v>
      </c>
      <c r="LG115" s="40">
        <f t="shared" ca="1" si="5396"/>
        <v>0</v>
      </c>
      <c r="LH115" s="40">
        <f t="shared" ca="1" si="5396"/>
        <v>0</v>
      </c>
      <c r="LI115" s="40">
        <f t="shared" ca="1" si="5396"/>
        <v>0</v>
      </c>
      <c r="LJ115" s="40">
        <f t="shared" ca="1" si="5396"/>
        <v>0</v>
      </c>
      <c r="LK115" s="40">
        <f t="shared" ca="1" si="5396"/>
        <v>0</v>
      </c>
      <c r="LL115" s="40">
        <f t="shared" ca="1" si="5396"/>
        <v>0</v>
      </c>
      <c r="LM115" s="40">
        <f t="shared" ca="1" si="5396"/>
        <v>0</v>
      </c>
      <c r="LN115" s="40">
        <f t="shared" ca="1" si="5396"/>
        <v>0</v>
      </c>
      <c r="LO115" s="40">
        <f t="shared" ca="1" si="5396"/>
        <v>0</v>
      </c>
      <c r="LP115" s="40">
        <f t="shared" ca="1" si="5396"/>
        <v>0</v>
      </c>
      <c r="LQ115" s="40">
        <f t="shared" ca="1" si="5396"/>
        <v>0</v>
      </c>
      <c r="LR115" s="40">
        <f t="shared" ca="1" si="5396"/>
        <v>0</v>
      </c>
      <c r="LS115" s="40">
        <f t="shared" ca="1" si="5396"/>
        <v>0</v>
      </c>
      <c r="LT115" s="40">
        <f t="shared" ca="1" si="5396"/>
        <v>0</v>
      </c>
      <c r="LU115" s="40">
        <f t="shared" ca="1" si="5396"/>
        <v>0</v>
      </c>
      <c r="LV115" s="40">
        <f t="shared" ca="1" si="5396"/>
        <v>0</v>
      </c>
      <c r="LW115" s="40">
        <f t="shared" ca="1" si="5396"/>
        <v>0</v>
      </c>
      <c r="LX115" s="40">
        <f t="shared" ca="1" si="5396"/>
        <v>0</v>
      </c>
      <c r="LY115" s="40">
        <f t="shared" ca="1" si="5396"/>
        <v>0</v>
      </c>
      <c r="LZ115" s="40">
        <f t="shared" ca="1" si="5396"/>
        <v>0</v>
      </c>
      <c r="MA115" s="40">
        <f t="shared" ca="1" si="5396"/>
        <v>0</v>
      </c>
      <c r="MB115" s="40">
        <f t="shared" ca="1" si="5396"/>
        <v>0</v>
      </c>
      <c r="MC115" s="40">
        <f t="shared" ca="1" si="5396"/>
        <v>0</v>
      </c>
      <c r="MD115" s="40">
        <f t="shared" ca="1" si="5396"/>
        <v>0</v>
      </c>
      <c r="ME115" s="40">
        <f t="shared" ca="1" si="5396"/>
        <v>0</v>
      </c>
      <c r="MF115" s="40">
        <f t="shared" ca="1" si="5396"/>
        <v>0</v>
      </c>
      <c r="MG115" s="40">
        <f t="shared" ca="1" si="5396"/>
        <v>0</v>
      </c>
      <c r="MH115" s="40">
        <f t="shared" ca="1" si="5396"/>
        <v>0</v>
      </c>
      <c r="MI115" s="40">
        <f t="shared" ca="1" si="5396"/>
        <v>0</v>
      </c>
      <c r="MJ115" s="40">
        <f t="shared" ca="1" si="5396"/>
        <v>0</v>
      </c>
      <c r="MK115" s="40">
        <f t="shared" ca="1" si="5396"/>
        <v>0</v>
      </c>
      <c r="ML115" s="40">
        <f t="shared" ca="1" si="5396"/>
        <v>0</v>
      </c>
      <c r="MM115" s="40">
        <f t="shared" ca="1" si="5396"/>
        <v>0</v>
      </c>
      <c r="MN115" s="40">
        <f t="shared" ca="1" si="5396"/>
        <v>0</v>
      </c>
      <c r="MO115" s="40">
        <f t="shared" ca="1" si="5396"/>
        <v>0</v>
      </c>
      <c r="MP115" s="40">
        <f t="shared" ca="1" si="5396"/>
        <v>0</v>
      </c>
      <c r="MQ115" s="40">
        <f t="shared" ca="1" si="5396"/>
        <v>0</v>
      </c>
      <c r="MR115" s="40">
        <f t="shared" ca="1" si="5396"/>
        <v>0</v>
      </c>
      <c r="MS115" s="40">
        <f t="shared" ca="1" si="5396"/>
        <v>0</v>
      </c>
      <c r="MT115" s="40">
        <f t="shared" ca="1" si="5396"/>
        <v>0</v>
      </c>
      <c r="MU115" s="40">
        <f t="shared" ca="1" si="5396"/>
        <v>0</v>
      </c>
      <c r="MV115" s="40">
        <f t="shared" ca="1" si="5396"/>
        <v>0</v>
      </c>
      <c r="MW115" s="40">
        <f t="shared" ca="1" si="5396"/>
        <v>0</v>
      </c>
      <c r="MX115" s="40">
        <f t="shared" ca="1" si="5396"/>
        <v>0</v>
      </c>
      <c r="MY115" s="40">
        <f t="shared" ca="1" si="5396"/>
        <v>0</v>
      </c>
      <c r="MZ115" s="40">
        <f t="shared" ca="1" si="5396"/>
        <v>0</v>
      </c>
      <c r="NA115" s="40">
        <f t="shared" ca="1" si="5396"/>
        <v>0</v>
      </c>
      <c r="NB115" s="40">
        <f t="shared" ca="1" si="5396"/>
        <v>0</v>
      </c>
      <c r="NC115" s="40">
        <f t="shared" ca="1" si="5396"/>
        <v>0</v>
      </c>
      <c r="ND115" s="40">
        <f t="shared" ca="1" si="5396"/>
        <v>0</v>
      </c>
      <c r="NE115" s="40"/>
      <c r="NF115" s="40"/>
      <c r="NG115" s="40"/>
      <c r="NH115" s="40"/>
      <c r="NI115" s="40"/>
      <c r="NJ115" s="40"/>
      <c r="NK115" s="40"/>
      <c r="NL115" s="40"/>
      <c r="NM115" s="40"/>
      <c r="NN115" s="40"/>
      <c r="NO115" s="40"/>
      <c r="NP115" s="40"/>
      <c r="NQ115" s="40"/>
      <c r="NR115" s="40"/>
    </row>
    <row r="116" spans="2:382" x14ac:dyDescent="0.15">
      <c r="B116" s="521"/>
      <c r="C116" s="4" t="s">
        <v>187</v>
      </c>
      <c r="G116" s="118"/>
      <c r="I116" s="40">
        <f>I83+I98+I108</f>
        <v>0</v>
      </c>
      <c r="J116" s="40">
        <f t="shared" ref="J116" si="5397">J83+J98+J108</f>
        <v>0</v>
      </c>
      <c r="K116" s="40">
        <f t="shared" ref="K116:BV116" si="5398">K83+K98+K108</f>
        <v>0</v>
      </c>
      <c r="L116" s="40">
        <f t="shared" si="5398"/>
        <v>0</v>
      </c>
      <c r="M116" s="40">
        <f t="shared" si="5398"/>
        <v>0</v>
      </c>
      <c r="N116" s="40">
        <f t="shared" si="5398"/>
        <v>0</v>
      </c>
      <c r="O116" s="40">
        <f t="shared" si="5398"/>
        <v>0</v>
      </c>
      <c r="P116" s="40">
        <f t="shared" si="5398"/>
        <v>0</v>
      </c>
      <c r="Q116" s="40">
        <f t="shared" si="5398"/>
        <v>0</v>
      </c>
      <c r="R116" s="40">
        <f t="shared" si="5398"/>
        <v>0</v>
      </c>
      <c r="S116" s="40">
        <f t="shared" si="5398"/>
        <v>0</v>
      </c>
      <c r="T116" s="40">
        <f t="shared" si="5398"/>
        <v>0</v>
      </c>
      <c r="U116" s="40">
        <f t="shared" si="5398"/>
        <v>0</v>
      </c>
      <c r="V116" s="40">
        <f t="shared" si="5398"/>
        <v>0</v>
      </c>
      <c r="W116" s="40">
        <f t="shared" si="5398"/>
        <v>0</v>
      </c>
      <c r="X116" s="40">
        <f t="shared" si="5398"/>
        <v>0</v>
      </c>
      <c r="Y116" s="40">
        <f t="shared" si="5398"/>
        <v>0</v>
      </c>
      <c r="Z116" s="40">
        <f t="shared" si="5398"/>
        <v>0</v>
      </c>
      <c r="AA116" s="40">
        <f t="shared" si="5398"/>
        <v>0</v>
      </c>
      <c r="AB116" s="40">
        <f t="shared" si="5398"/>
        <v>0</v>
      </c>
      <c r="AC116" s="40">
        <f t="shared" si="5398"/>
        <v>0</v>
      </c>
      <c r="AD116" s="40">
        <f t="shared" si="5398"/>
        <v>0</v>
      </c>
      <c r="AE116" s="40">
        <f t="shared" si="5398"/>
        <v>0</v>
      </c>
      <c r="AF116" s="40">
        <f t="shared" si="5398"/>
        <v>0</v>
      </c>
      <c r="AG116" s="40">
        <f t="shared" si="5398"/>
        <v>0</v>
      </c>
      <c r="AH116" s="40">
        <f t="shared" si="5398"/>
        <v>0</v>
      </c>
      <c r="AI116" s="40">
        <f t="shared" si="5398"/>
        <v>0</v>
      </c>
      <c r="AJ116" s="40">
        <f t="shared" si="5398"/>
        <v>0</v>
      </c>
      <c r="AK116" s="40">
        <f t="shared" si="5398"/>
        <v>0</v>
      </c>
      <c r="AL116" s="40">
        <f t="shared" si="5398"/>
        <v>0</v>
      </c>
      <c r="AM116" s="40">
        <f t="shared" si="5398"/>
        <v>0</v>
      </c>
      <c r="AN116" s="40">
        <f t="shared" si="5398"/>
        <v>0</v>
      </c>
      <c r="AO116" s="40">
        <f t="shared" si="5398"/>
        <v>0</v>
      </c>
      <c r="AP116" s="40">
        <f t="shared" si="5398"/>
        <v>0</v>
      </c>
      <c r="AQ116" s="40">
        <f t="shared" si="5398"/>
        <v>0</v>
      </c>
      <c r="AR116" s="40">
        <f t="shared" si="5398"/>
        <v>0</v>
      </c>
      <c r="AS116" s="40">
        <f t="shared" si="5398"/>
        <v>0</v>
      </c>
      <c r="AT116" s="40">
        <f t="shared" si="5398"/>
        <v>0</v>
      </c>
      <c r="AU116" s="40">
        <f t="shared" si="5398"/>
        <v>0</v>
      </c>
      <c r="AV116" s="40">
        <f t="shared" si="5398"/>
        <v>0</v>
      </c>
      <c r="AW116" s="40">
        <f t="shared" si="5398"/>
        <v>0</v>
      </c>
      <c r="AX116" s="40">
        <f t="shared" si="5398"/>
        <v>0</v>
      </c>
      <c r="AY116" s="40">
        <f t="shared" si="5398"/>
        <v>0</v>
      </c>
      <c r="AZ116" s="40">
        <f t="shared" si="5398"/>
        <v>0</v>
      </c>
      <c r="BA116" s="40">
        <f t="shared" si="5398"/>
        <v>0</v>
      </c>
      <c r="BB116" s="40">
        <f t="shared" si="5398"/>
        <v>0</v>
      </c>
      <c r="BC116" s="40">
        <f t="shared" si="5398"/>
        <v>0</v>
      </c>
      <c r="BD116" s="40">
        <f t="shared" si="5398"/>
        <v>0</v>
      </c>
      <c r="BE116" s="40">
        <f t="shared" si="5398"/>
        <v>0</v>
      </c>
      <c r="BF116" s="40">
        <f t="shared" si="5398"/>
        <v>0</v>
      </c>
      <c r="BG116" s="40">
        <f t="shared" si="5398"/>
        <v>0</v>
      </c>
      <c r="BH116" s="40">
        <f t="shared" si="5398"/>
        <v>0</v>
      </c>
      <c r="BI116" s="40">
        <f t="shared" si="5398"/>
        <v>0</v>
      </c>
      <c r="BJ116" s="40">
        <f t="shared" si="5398"/>
        <v>0</v>
      </c>
      <c r="BK116" s="40">
        <f t="shared" si="5398"/>
        <v>0</v>
      </c>
      <c r="BL116" s="40">
        <f t="shared" si="5398"/>
        <v>0</v>
      </c>
      <c r="BM116" s="40">
        <f t="shared" si="5398"/>
        <v>0</v>
      </c>
      <c r="BN116" s="40">
        <f t="shared" si="5398"/>
        <v>0</v>
      </c>
      <c r="BO116" s="40">
        <f t="shared" si="5398"/>
        <v>0</v>
      </c>
      <c r="BP116" s="40">
        <f t="shared" si="5398"/>
        <v>0</v>
      </c>
      <c r="BQ116" s="40">
        <f t="shared" si="5398"/>
        <v>0</v>
      </c>
      <c r="BR116" s="40">
        <f t="shared" si="5398"/>
        <v>0</v>
      </c>
      <c r="BS116" s="40">
        <f t="shared" si="5398"/>
        <v>0</v>
      </c>
      <c r="BT116" s="40">
        <f t="shared" si="5398"/>
        <v>0</v>
      </c>
      <c r="BU116" s="40">
        <f t="shared" si="5398"/>
        <v>0</v>
      </c>
      <c r="BV116" s="40">
        <f t="shared" si="5398"/>
        <v>0</v>
      </c>
      <c r="BW116" s="40">
        <f t="shared" ref="BW116:EH116" si="5399">BW83+BW98+BW108</f>
        <v>0</v>
      </c>
      <c r="BX116" s="40">
        <f t="shared" si="5399"/>
        <v>0</v>
      </c>
      <c r="BY116" s="40">
        <f t="shared" si="5399"/>
        <v>0</v>
      </c>
      <c r="BZ116" s="40">
        <f t="shared" si="5399"/>
        <v>0</v>
      </c>
      <c r="CA116" s="40">
        <f t="shared" si="5399"/>
        <v>0</v>
      </c>
      <c r="CB116" s="40">
        <f t="shared" si="5399"/>
        <v>0</v>
      </c>
      <c r="CC116" s="40">
        <f t="shared" si="5399"/>
        <v>0</v>
      </c>
      <c r="CD116" s="40">
        <f t="shared" si="5399"/>
        <v>0</v>
      </c>
      <c r="CE116" s="40">
        <f t="shared" si="5399"/>
        <v>0</v>
      </c>
      <c r="CF116" s="40">
        <f t="shared" si="5399"/>
        <v>0</v>
      </c>
      <c r="CG116" s="40">
        <f t="shared" si="5399"/>
        <v>0</v>
      </c>
      <c r="CH116" s="40">
        <f t="shared" si="5399"/>
        <v>0</v>
      </c>
      <c r="CI116" s="40">
        <f t="shared" si="5399"/>
        <v>0</v>
      </c>
      <c r="CJ116" s="40">
        <f t="shared" si="5399"/>
        <v>0</v>
      </c>
      <c r="CK116" s="40">
        <f t="shared" si="5399"/>
        <v>0</v>
      </c>
      <c r="CL116" s="40">
        <f t="shared" si="5399"/>
        <v>0</v>
      </c>
      <c r="CM116" s="40">
        <f t="shared" si="5399"/>
        <v>0</v>
      </c>
      <c r="CN116" s="40">
        <f t="shared" si="5399"/>
        <v>0</v>
      </c>
      <c r="CO116" s="40">
        <f t="shared" si="5399"/>
        <v>0</v>
      </c>
      <c r="CP116" s="40">
        <f t="shared" si="5399"/>
        <v>0</v>
      </c>
      <c r="CQ116" s="40">
        <f t="shared" si="5399"/>
        <v>0</v>
      </c>
      <c r="CR116" s="40">
        <f t="shared" si="5399"/>
        <v>0</v>
      </c>
      <c r="CS116" s="40">
        <f t="shared" si="5399"/>
        <v>0</v>
      </c>
      <c r="CT116" s="40">
        <f t="shared" si="5399"/>
        <v>0</v>
      </c>
      <c r="CU116" s="40">
        <f t="shared" si="5399"/>
        <v>0</v>
      </c>
      <c r="CV116" s="40">
        <f t="shared" si="5399"/>
        <v>0</v>
      </c>
      <c r="CW116" s="40">
        <f t="shared" si="5399"/>
        <v>0</v>
      </c>
      <c r="CX116" s="40">
        <f t="shared" si="5399"/>
        <v>0</v>
      </c>
      <c r="CY116" s="40">
        <f t="shared" si="5399"/>
        <v>0</v>
      </c>
      <c r="CZ116" s="40">
        <f t="shared" si="5399"/>
        <v>0</v>
      </c>
      <c r="DA116" s="40">
        <f t="shared" si="5399"/>
        <v>0</v>
      </c>
      <c r="DB116" s="40">
        <f t="shared" si="5399"/>
        <v>0</v>
      </c>
      <c r="DC116" s="40">
        <f t="shared" si="5399"/>
        <v>0</v>
      </c>
      <c r="DD116" s="40">
        <f t="shared" si="5399"/>
        <v>0</v>
      </c>
      <c r="DE116" s="40">
        <f t="shared" si="5399"/>
        <v>0</v>
      </c>
      <c r="DF116" s="40">
        <f t="shared" si="5399"/>
        <v>0</v>
      </c>
      <c r="DG116" s="40">
        <f t="shared" si="5399"/>
        <v>0</v>
      </c>
      <c r="DH116" s="40">
        <f t="shared" si="5399"/>
        <v>0</v>
      </c>
      <c r="DI116" s="40">
        <f t="shared" si="5399"/>
        <v>0</v>
      </c>
      <c r="DJ116" s="40">
        <f t="shared" si="5399"/>
        <v>0</v>
      </c>
      <c r="DK116" s="40">
        <f t="shared" si="5399"/>
        <v>0</v>
      </c>
      <c r="DL116" s="40">
        <f t="shared" si="5399"/>
        <v>0</v>
      </c>
      <c r="DM116" s="40">
        <f t="shared" si="5399"/>
        <v>0</v>
      </c>
      <c r="DN116" s="40">
        <f t="shared" si="5399"/>
        <v>0</v>
      </c>
      <c r="DO116" s="40">
        <f t="shared" si="5399"/>
        <v>0</v>
      </c>
      <c r="DP116" s="40">
        <f t="shared" si="5399"/>
        <v>0</v>
      </c>
      <c r="DQ116" s="40">
        <f t="shared" si="5399"/>
        <v>0</v>
      </c>
      <c r="DR116" s="40">
        <f t="shared" si="5399"/>
        <v>0</v>
      </c>
      <c r="DS116" s="40">
        <f t="shared" si="5399"/>
        <v>0</v>
      </c>
      <c r="DT116" s="40">
        <f t="shared" si="5399"/>
        <v>0</v>
      </c>
      <c r="DU116" s="40">
        <f t="shared" si="5399"/>
        <v>0</v>
      </c>
      <c r="DV116" s="40">
        <f t="shared" si="5399"/>
        <v>0</v>
      </c>
      <c r="DW116" s="40">
        <f t="shared" si="5399"/>
        <v>0</v>
      </c>
      <c r="DX116" s="40">
        <f t="shared" si="5399"/>
        <v>0</v>
      </c>
      <c r="DY116" s="40">
        <f t="shared" si="5399"/>
        <v>0</v>
      </c>
      <c r="DZ116" s="40">
        <f t="shared" si="5399"/>
        <v>0</v>
      </c>
      <c r="EA116" s="40">
        <f t="shared" si="5399"/>
        <v>0</v>
      </c>
      <c r="EB116" s="40">
        <f t="shared" si="5399"/>
        <v>0</v>
      </c>
      <c r="EC116" s="40">
        <f t="shared" si="5399"/>
        <v>0</v>
      </c>
      <c r="ED116" s="40">
        <f t="shared" si="5399"/>
        <v>0</v>
      </c>
      <c r="EE116" s="40">
        <f t="shared" si="5399"/>
        <v>0</v>
      </c>
      <c r="EF116" s="40">
        <f t="shared" si="5399"/>
        <v>0</v>
      </c>
      <c r="EG116" s="40">
        <f t="shared" si="5399"/>
        <v>0</v>
      </c>
      <c r="EH116" s="40">
        <f t="shared" si="5399"/>
        <v>0</v>
      </c>
      <c r="EI116" s="40">
        <f t="shared" ref="EI116:GT116" si="5400">EI83+EI98+EI108</f>
        <v>0</v>
      </c>
      <c r="EJ116" s="40">
        <f t="shared" si="5400"/>
        <v>0</v>
      </c>
      <c r="EK116" s="40">
        <f t="shared" si="5400"/>
        <v>0</v>
      </c>
      <c r="EL116" s="40">
        <f t="shared" si="5400"/>
        <v>0</v>
      </c>
      <c r="EM116" s="40">
        <f t="shared" si="5400"/>
        <v>0</v>
      </c>
      <c r="EN116" s="40">
        <f t="shared" si="5400"/>
        <v>0</v>
      </c>
      <c r="EO116" s="40">
        <f t="shared" si="5400"/>
        <v>0</v>
      </c>
      <c r="EP116" s="40">
        <f t="shared" si="5400"/>
        <v>0</v>
      </c>
      <c r="EQ116" s="40">
        <f t="shared" si="5400"/>
        <v>0</v>
      </c>
      <c r="ER116" s="40">
        <f t="shared" si="5400"/>
        <v>0</v>
      </c>
      <c r="ES116" s="40">
        <f t="shared" si="5400"/>
        <v>0</v>
      </c>
      <c r="ET116" s="40">
        <f t="shared" si="5400"/>
        <v>0</v>
      </c>
      <c r="EU116" s="40">
        <f t="shared" si="5400"/>
        <v>0</v>
      </c>
      <c r="EV116" s="40">
        <f t="shared" si="5400"/>
        <v>0</v>
      </c>
      <c r="EW116" s="40">
        <f t="shared" si="5400"/>
        <v>0</v>
      </c>
      <c r="EX116" s="40">
        <f t="shared" si="5400"/>
        <v>0</v>
      </c>
      <c r="EY116" s="40">
        <f t="shared" si="5400"/>
        <v>0</v>
      </c>
      <c r="EZ116" s="40">
        <f t="shared" si="5400"/>
        <v>0</v>
      </c>
      <c r="FA116" s="40">
        <f t="shared" si="5400"/>
        <v>0</v>
      </c>
      <c r="FB116" s="40">
        <f t="shared" si="5400"/>
        <v>0</v>
      </c>
      <c r="FC116" s="40">
        <f t="shared" si="5400"/>
        <v>0</v>
      </c>
      <c r="FD116" s="40">
        <f t="shared" si="5400"/>
        <v>0</v>
      </c>
      <c r="FE116" s="40">
        <f t="shared" si="5400"/>
        <v>0</v>
      </c>
      <c r="FF116" s="40">
        <f t="shared" si="5400"/>
        <v>0</v>
      </c>
      <c r="FG116" s="40">
        <f t="shared" si="5400"/>
        <v>0</v>
      </c>
      <c r="FH116" s="40">
        <f t="shared" si="5400"/>
        <v>0</v>
      </c>
      <c r="FI116" s="40">
        <f t="shared" si="5400"/>
        <v>0</v>
      </c>
      <c r="FJ116" s="40">
        <f t="shared" si="5400"/>
        <v>0</v>
      </c>
      <c r="FK116" s="40">
        <f t="shared" si="5400"/>
        <v>0</v>
      </c>
      <c r="FL116" s="40">
        <f t="shared" si="5400"/>
        <v>0</v>
      </c>
      <c r="FM116" s="40">
        <f t="shared" si="5400"/>
        <v>0</v>
      </c>
      <c r="FN116" s="40">
        <f t="shared" si="5400"/>
        <v>0</v>
      </c>
      <c r="FO116" s="40">
        <f t="shared" si="5400"/>
        <v>0</v>
      </c>
      <c r="FP116" s="40">
        <f t="shared" si="5400"/>
        <v>0</v>
      </c>
      <c r="FQ116" s="40">
        <f t="shared" si="5400"/>
        <v>0</v>
      </c>
      <c r="FR116" s="40">
        <f t="shared" si="5400"/>
        <v>0</v>
      </c>
      <c r="FS116" s="40">
        <f t="shared" si="5400"/>
        <v>0</v>
      </c>
      <c r="FT116" s="40">
        <f t="shared" si="5400"/>
        <v>0</v>
      </c>
      <c r="FU116" s="40">
        <f t="shared" si="5400"/>
        <v>0</v>
      </c>
      <c r="FV116" s="40">
        <f t="shared" si="5400"/>
        <v>0</v>
      </c>
      <c r="FW116" s="40">
        <f t="shared" si="5400"/>
        <v>0</v>
      </c>
      <c r="FX116" s="40">
        <f t="shared" si="5400"/>
        <v>0</v>
      </c>
      <c r="FY116" s="40">
        <f t="shared" si="5400"/>
        <v>0</v>
      </c>
      <c r="FZ116" s="40">
        <f t="shared" si="5400"/>
        <v>0</v>
      </c>
      <c r="GA116" s="40">
        <f t="shared" si="5400"/>
        <v>0</v>
      </c>
      <c r="GB116" s="40">
        <f t="shared" si="5400"/>
        <v>0</v>
      </c>
      <c r="GC116" s="40">
        <f t="shared" si="5400"/>
        <v>0</v>
      </c>
      <c r="GD116" s="40">
        <f t="shared" si="5400"/>
        <v>0</v>
      </c>
      <c r="GE116" s="40">
        <f t="shared" si="5400"/>
        <v>0</v>
      </c>
      <c r="GF116" s="40">
        <f t="shared" ca="1" si="5400"/>
        <v>0</v>
      </c>
      <c r="GG116" s="40">
        <f t="shared" ca="1" si="5400"/>
        <v>0</v>
      </c>
      <c r="GH116" s="40">
        <f t="shared" ca="1" si="5400"/>
        <v>0</v>
      </c>
      <c r="GI116" s="40">
        <f t="shared" ca="1" si="5400"/>
        <v>0</v>
      </c>
      <c r="GJ116" s="40">
        <f t="shared" ca="1" si="5400"/>
        <v>0</v>
      </c>
      <c r="GK116" s="40">
        <f t="shared" ca="1" si="5400"/>
        <v>0</v>
      </c>
      <c r="GL116" s="40">
        <f t="shared" ca="1" si="5400"/>
        <v>0</v>
      </c>
      <c r="GM116" s="40">
        <f t="shared" ca="1" si="5400"/>
        <v>0</v>
      </c>
      <c r="GN116" s="40">
        <f t="shared" ca="1" si="5400"/>
        <v>0</v>
      </c>
      <c r="GO116" s="40">
        <f t="shared" ca="1" si="5400"/>
        <v>0</v>
      </c>
      <c r="GP116" s="40">
        <f t="shared" ca="1" si="5400"/>
        <v>0</v>
      </c>
      <c r="GQ116" s="40">
        <f t="shared" ca="1" si="5400"/>
        <v>0</v>
      </c>
      <c r="GR116" s="40">
        <f t="shared" ca="1" si="5400"/>
        <v>0</v>
      </c>
      <c r="GS116" s="40">
        <f t="shared" ca="1" si="5400"/>
        <v>0</v>
      </c>
      <c r="GT116" s="40">
        <f t="shared" ca="1" si="5400"/>
        <v>0</v>
      </c>
      <c r="GU116" s="40">
        <f t="shared" ref="GU116:IN116" ca="1" si="5401">GU83+GU98+GU108</f>
        <v>0</v>
      </c>
      <c r="GV116" s="40">
        <f t="shared" ca="1" si="5401"/>
        <v>0</v>
      </c>
      <c r="GW116" s="40">
        <f t="shared" ca="1" si="5401"/>
        <v>0</v>
      </c>
      <c r="GX116" s="40">
        <f t="shared" ca="1" si="5401"/>
        <v>0</v>
      </c>
      <c r="GY116" s="40">
        <f t="shared" ca="1" si="5401"/>
        <v>0</v>
      </c>
      <c r="GZ116" s="40">
        <f t="shared" ca="1" si="5401"/>
        <v>0</v>
      </c>
      <c r="HA116" s="40">
        <f t="shared" ca="1" si="5401"/>
        <v>0</v>
      </c>
      <c r="HB116" s="40">
        <f t="shared" ca="1" si="5401"/>
        <v>0</v>
      </c>
      <c r="HC116" s="40">
        <f t="shared" ca="1" si="5401"/>
        <v>0</v>
      </c>
      <c r="HD116" s="40">
        <f t="shared" ca="1" si="5401"/>
        <v>0</v>
      </c>
      <c r="HE116" s="40">
        <f t="shared" ca="1" si="5401"/>
        <v>0</v>
      </c>
      <c r="HF116" s="40">
        <f t="shared" ca="1" si="5401"/>
        <v>0</v>
      </c>
      <c r="HG116" s="40">
        <f t="shared" ca="1" si="5401"/>
        <v>0</v>
      </c>
      <c r="HH116" s="40">
        <f t="shared" ca="1" si="5401"/>
        <v>0</v>
      </c>
      <c r="HI116" s="40">
        <f t="shared" ca="1" si="5401"/>
        <v>0</v>
      </c>
      <c r="HJ116" s="40">
        <f t="shared" ca="1" si="5401"/>
        <v>0</v>
      </c>
      <c r="HK116" s="40">
        <f t="shared" ca="1" si="5401"/>
        <v>0</v>
      </c>
      <c r="HL116" s="40">
        <f t="shared" ca="1" si="5401"/>
        <v>0</v>
      </c>
      <c r="HM116" s="40">
        <f t="shared" ca="1" si="5401"/>
        <v>0</v>
      </c>
      <c r="HN116" s="40">
        <f t="shared" ca="1" si="5401"/>
        <v>0</v>
      </c>
      <c r="HO116" s="40">
        <f t="shared" ca="1" si="5401"/>
        <v>0</v>
      </c>
      <c r="HP116" s="40">
        <f t="shared" ca="1" si="5401"/>
        <v>0</v>
      </c>
      <c r="HQ116" s="40">
        <f t="shared" ca="1" si="5401"/>
        <v>0</v>
      </c>
      <c r="HR116" s="40">
        <f t="shared" ca="1" si="5401"/>
        <v>0</v>
      </c>
      <c r="HS116" s="40">
        <f t="shared" ca="1" si="5401"/>
        <v>0</v>
      </c>
      <c r="HT116" s="40">
        <f t="shared" ca="1" si="5401"/>
        <v>0</v>
      </c>
      <c r="HU116" s="40">
        <f t="shared" ca="1" si="5401"/>
        <v>0</v>
      </c>
      <c r="HV116" s="40">
        <f t="shared" ca="1" si="5401"/>
        <v>0</v>
      </c>
      <c r="HW116" s="40">
        <f t="shared" ca="1" si="5401"/>
        <v>0</v>
      </c>
      <c r="HX116" s="40">
        <f t="shared" ca="1" si="5401"/>
        <v>0</v>
      </c>
      <c r="HY116" s="40">
        <f t="shared" ca="1" si="5401"/>
        <v>0</v>
      </c>
      <c r="HZ116" s="40">
        <f t="shared" ca="1" si="5401"/>
        <v>0</v>
      </c>
      <c r="IA116" s="40">
        <f t="shared" ca="1" si="5401"/>
        <v>0</v>
      </c>
      <c r="IB116" s="40">
        <f t="shared" ca="1" si="5401"/>
        <v>0</v>
      </c>
      <c r="IC116" s="40">
        <f t="shared" ca="1" si="5401"/>
        <v>0</v>
      </c>
      <c r="ID116" s="40">
        <f t="shared" ca="1" si="5401"/>
        <v>0</v>
      </c>
      <c r="IE116" s="40">
        <f t="shared" ca="1" si="5401"/>
        <v>0</v>
      </c>
      <c r="IF116" s="40">
        <f t="shared" ca="1" si="5401"/>
        <v>0</v>
      </c>
      <c r="IG116" s="40">
        <f t="shared" ca="1" si="5401"/>
        <v>0</v>
      </c>
      <c r="IH116" s="40">
        <f t="shared" ca="1" si="5401"/>
        <v>0</v>
      </c>
      <c r="II116" s="40">
        <f t="shared" ca="1" si="5401"/>
        <v>0</v>
      </c>
      <c r="IJ116" s="40">
        <f t="shared" ca="1" si="5401"/>
        <v>0</v>
      </c>
      <c r="IK116" s="40">
        <f t="shared" ca="1" si="5401"/>
        <v>0</v>
      </c>
      <c r="IL116" s="40">
        <f t="shared" ca="1" si="5401"/>
        <v>0</v>
      </c>
      <c r="IM116" s="40">
        <f t="shared" ca="1" si="5401"/>
        <v>0</v>
      </c>
      <c r="IN116" s="40">
        <f t="shared" ca="1" si="5401"/>
        <v>0</v>
      </c>
      <c r="IO116" s="40">
        <f t="shared" ref="IO116:KZ116" ca="1" si="5402">IO83+IO98+IO108</f>
        <v>0</v>
      </c>
      <c r="IP116" s="40">
        <f t="shared" ca="1" si="5402"/>
        <v>0</v>
      </c>
      <c r="IQ116" s="40">
        <f t="shared" ca="1" si="5402"/>
        <v>0</v>
      </c>
      <c r="IR116" s="40">
        <f t="shared" ca="1" si="5402"/>
        <v>0</v>
      </c>
      <c r="IS116" s="40">
        <f t="shared" ca="1" si="5402"/>
        <v>0</v>
      </c>
      <c r="IT116" s="40">
        <f t="shared" ca="1" si="5402"/>
        <v>0</v>
      </c>
      <c r="IU116" s="40">
        <f t="shared" ca="1" si="5402"/>
        <v>0</v>
      </c>
      <c r="IV116" s="40">
        <f t="shared" ca="1" si="5402"/>
        <v>0</v>
      </c>
      <c r="IW116" s="40">
        <f t="shared" ca="1" si="5402"/>
        <v>0</v>
      </c>
      <c r="IX116" s="40">
        <f t="shared" ca="1" si="5402"/>
        <v>0</v>
      </c>
      <c r="IY116" s="40">
        <f t="shared" ca="1" si="5402"/>
        <v>0</v>
      </c>
      <c r="IZ116" s="40">
        <f t="shared" ca="1" si="5402"/>
        <v>0</v>
      </c>
      <c r="JA116" s="40">
        <f t="shared" ca="1" si="5402"/>
        <v>0</v>
      </c>
      <c r="JB116" s="40">
        <f t="shared" ca="1" si="5402"/>
        <v>0</v>
      </c>
      <c r="JC116" s="40">
        <f t="shared" ca="1" si="5402"/>
        <v>0</v>
      </c>
      <c r="JD116" s="40">
        <f t="shared" ca="1" si="5402"/>
        <v>0</v>
      </c>
      <c r="JE116" s="40">
        <f t="shared" ca="1" si="5402"/>
        <v>0</v>
      </c>
      <c r="JF116" s="40">
        <f t="shared" ca="1" si="5402"/>
        <v>0</v>
      </c>
      <c r="JG116" s="40">
        <f t="shared" ca="1" si="5402"/>
        <v>0</v>
      </c>
      <c r="JH116" s="40">
        <f t="shared" ca="1" si="5402"/>
        <v>0</v>
      </c>
      <c r="JI116" s="40">
        <f t="shared" ca="1" si="5402"/>
        <v>0</v>
      </c>
      <c r="JJ116" s="40">
        <f t="shared" ca="1" si="5402"/>
        <v>0</v>
      </c>
      <c r="JK116" s="40">
        <f t="shared" ca="1" si="5402"/>
        <v>0</v>
      </c>
      <c r="JL116" s="40">
        <f t="shared" ca="1" si="5402"/>
        <v>0</v>
      </c>
      <c r="JM116" s="40">
        <f t="shared" ca="1" si="5402"/>
        <v>0</v>
      </c>
      <c r="JN116" s="40">
        <f t="shared" ca="1" si="5402"/>
        <v>0</v>
      </c>
      <c r="JO116" s="40">
        <f t="shared" ca="1" si="5402"/>
        <v>0</v>
      </c>
      <c r="JP116" s="40">
        <f t="shared" ca="1" si="5402"/>
        <v>0</v>
      </c>
      <c r="JQ116" s="40">
        <f t="shared" ca="1" si="5402"/>
        <v>0</v>
      </c>
      <c r="JR116" s="40">
        <f t="shared" ca="1" si="5402"/>
        <v>0</v>
      </c>
      <c r="JS116" s="40">
        <f t="shared" ca="1" si="5402"/>
        <v>0</v>
      </c>
      <c r="JT116" s="40">
        <f t="shared" ca="1" si="5402"/>
        <v>0</v>
      </c>
      <c r="JU116" s="40">
        <f t="shared" ca="1" si="5402"/>
        <v>0</v>
      </c>
      <c r="JV116" s="40">
        <f t="shared" ca="1" si="5402"/>
        <v>0</v>
      </c>
      <c r="JW116" s="40">
        <f t="shared" ca="1" si="5402"/>
        <v>0</v>
      </c>
      <c r="JX116" s="40">
        <f t="shared" ca="1" si="5402"/>
        <v>0</v>
      </c>
      <c r="JY116" s="40">
        <f t="shared" ca="1" si="5402"/>
        <v>0</v>
      </c>
      <c r="JZ116" s="40">
        <f t="shared" ca="1" si="5402"/>
        <v>0</v>
      </c>
      <c r="KA116" s="40">
        <f t="shared" ca="1" si="5402"/>
        <v>0</v>
      </c>
      <c r="KB116" s="40">
        <f t="shared" ca="1" si="5402"/>
        <v>0</v>
      </c>
      <c r="KC116" s="40">
        <f t="shared" ca="1" si="5402"/>
        <v>0</v>
      </c>
      <c r="KD116" s="40">
        <f t="shared" ca="1" si="5402"/>
        <v>0</v>
      </c>
      <c r="KE116" s="40">
        <f t="shared" ca="1" si="5402"/>
        <v>0</v>
      </c>
      <c r="KF116" s="40">
        <f t="shared" ca="1" si="5402"/>
        <v>0</v>
      </c>
      <c r="KG116" s="40">
        <f t="shared" ca="1" si="5402"/>
        <v>0</v>
      </c>
      <c r="KH116" s="40">
        <f t="shared" ca="1" si="5402"/>
        <v>0</v>
      </c>
      <c r="KI116" s="40">
        <f t="shared" ca="1" si="5402"/>
        <v>0</v>
      </c>
      <c r="KJ116" s="40">
        <f t="shared" ca="1" si="5402"/>
        <v>0</v>
      </c>
      <c r="KK116" s="40">
        <f t="shared" ca="1" si="5402"/>
        <v>0</v>
      </c>
      <c r="KL116" s="40">
        <f t="shared" ca="1" si="5402"/>
        <v>0</v>
      </c>
      <c r="KM116" s="40">
        <f t="shared" ca="1" si="5402"/>
        <v>0</v>
      </c>
      <c r="KN116" s="40">
        <f t="shared" ca="1" si="5402"/>
        <v>0</v>
      </c>
      <c r="KO116" s="40">
        <f t="shared" ca="1" si="5402"/>
        <v>0</v>
      </c>
      <c r="KP116" s="40">
        <f t="shared" ca="1" si="5402"/>
        <v>0</v>
      </c>
      <c r="KQ116" s="40">
        <f t="shared" ca="1" si="5402"/>
        <v>0</v>
      </c>
      <c r="KR116" s="40">
        <f t="shared" ca="1" si="5402"/>
        <v>0</v>
      </c>
      <c r="KS116" s="40">
        <f t="shared" ca="1" si="5402"/>
        <v>0</v>
      </c>
      <c r="KT116" s="40">
        <f t="shared" ca="1" si="5402"/>
        <v>0</v>
      </c>
      <c r="KU116" s="40">
        <f t="shared" ca="1" si="5402"/>
        <v>0</v>
      </c>
      <c r="KV116" s="40">
        <f t="shared" ca="1" si="5402"/>
        <v>0</v>
      </c>
      <c r="KW116" s="40">
        <f t="shared" ca="1" si="5402"/>
        <v>0</v>
      </c>
      <c r="KX116" s="40">
        <f t="shared" ca="1" si="5402"/>
        <v>0</v>
      </c>
      <c r="KY116" s="40">
        <f t="shared" ca="1" si="5402"/>
        <v>0</v>
      </c>
      <c r="KZ116" s="40">
        <f t="shared" ca="1" si="5402"/>
        <v>0</v>
      </c>
      <c r="LA116" s="40">
        <f t="shared" ref="LA116:ND116" ca="1" si="5403">LA83+LA98+LA108</f>
        <v>0</v>
      </c>
      <c r="LB116" s="40">
        <f t="shared" ca="1" si="5403"/>
        <v>0</v>
      </c>
      <c r="LC116" s="40">
        <f t="shared" ca="1" si="5403"/>
        <v>0</v>
      </c>
      <c r="LD116" s="40">
        <f t="shared" ca="1" si="5403"/>
        <v>0</v>
      </c>
      <c r="LE116" s="40">
        <f t="shared" ca="1" si="5403"/>
        <v>0</v>
      </c>
      <c r="LF116" s="40">
        <f t="shared" ca="1" si="5403"/>
        <v>0</v>
      </c>
      <c r="LG116" s="40">
        <f t="shared" ca="1" si="5403"/>
        <v>0</v>
      </c>
      <c r="LH116" s="40">
        <f t="shared" ca="1" si="5403"/>
        <v>0</v>
      </c>
      <c r="LI116" s="40">
        <f t="shared" ca="1" si="5403"/>
        <v>0</v>
      </c>
      <c r="LJ116" s="40">
        <f t="shared" ca="1" si="5403"/>
        <v>0</v>
      </c>
      <c r="LK116" s="40">
        <f t="shared" ca="1" si="5403"/>
        <v>0</v>
      </c>
      <c r="LL116" s="40">
        <f t="shared" ca="1" si="5403"/>
        <v>0</v>
      </c>
      <c r="LM116" s="40">
        <f t="shared" ca="1" si="5403"/>
        <v>0</v>
      </c>
      <c r="LN116" s="40">
        <f t="shared" ca="1" si="5403"/>
        <v>0</v>
      </c>
      <c r="LO116" s="40">
        <f t="shared" ca="1" si="5403"/>
        <v>0</v>
      </c>
      <c r="LP116" s="40">
        <f t="shared" ca="1" si="5403"/>
        <v>0</v>
      </c>
      <c r="LQ116" s="40">
        <f t="shared" ca="1" si="5403"/>
        <v>0</v>
      </c>
      <c r="LR116" s="40">
        <f t="shared" ca="1" si="5403"/>
        <v>0</v>
      </c>
      <c r="LS116" s="40">
        <f t="shared" ca="1" si="5403"/>
        <v>0</v>
      </c>
      <c r="LT116" s="40">
        <f t="shared" ca="1" si="5403"/>
        <v>0</v>
      </c>
      <c r="LU116" s="40">
        <f t="shared" ca="1" si="5403"/>
        <v>0</v>
      </c>
      <c r="LV116" s="40">
        <f t="shared" ca="1" si="5403"/>
        <v>0</v>
      </c>
      <c r="LW116" s="40">
        <f t="shared" ca="1" si="5403"/>
        <v>0</v>
      </c>
      <c r="LX116" s="40">
        <f t="shared" ca="1" si="5403"/>
        <v>0</v>
      </c>
      <c r="LY116" s="40">
        <f t="shared" ca="1" si="5403"/>
        <v>0</v>
      </c>
      <c r="LZ116" s="40">
        <f t="shared" ca="1" si="5403"/>
        <v>0</v>
      </c>
      <c r="MA116" s="40">
        <f t="shared" ca="1" si="5403"/>
        <v>0</v>
      </c>
      <c r="MB116" s="40">
        <f t="shared" ca="1" si="5403"/>
        <v>0</v>
      </c>
      <c r="MC116" s="40">
        <f t="shared" ca="1" si="5403"/>
        <v>0</v>
      </c>
      <c r="MD116" s="40">
        <f t="shared" ca="1" si="5403"/>
        <v>0</v>
      </c>
      <c r="ME116" s="40">
        <f t="shared" ca="1" si="5403"/>
        <v>0</v>
      </c>
      <c r="MF116" s="40">
        <f t="shared" ca="1" si="5403"/>
        <v>0</v>
      </c>
      <c r="MG116" s="40">
        <f t="shared" ca="1" si="5403"/>
        <v>0</v>
      </c>
      <c r="MH116" s="40">
        <f t="shared" ca="1" si="5403"/>
        <v>0</v>
      </c>
      <c r="MI116" s="40">
        <f t="shared" ca="1" si="5403"/>
        <v>0</v>
      </c>
      <c r="MJ116" s="40">
        <f t="shared" ca="1" si="5403"/>
        <v>0</v>
      </c>
      <c r="MK116" s="40">
        <f t="shared" ca="1" si="5403"/>
        <v>0</v>
      </c>
      <c r="ML116" s="40">
        <f t="shared" ca="1" si="5403"/>
        <v>0</v>
      </c>
      <c r="MM116" s="40">
        <f t="shared" ca="1" si="5403"/>
        <v>0</v>
      </c>
      <c r="MN116" s="40">
        <f t="shared" ca="1" si="5403"/>
        <v>0</v>
      </c>
      <c r="MO116" s="40">
        <f t="shared" ca="1" si="5403"/>
        <v>0</v>
      </c>
      <c r="MP116" s="40">
        <f t="shared" ca="1" si="5403"/>
        <v>0</v>
      </c>
      <c r="MQ116" s="40">
        <f t="shared" ca="1" si="5403"/>
        <v>0</v>
      </c>
      <c r="MR116" s="40">
        <f t="shared" ca="1" si="5403"/>
        <v>0</v>
      </c>
      <c r="MS116" s="40">
        <f t="shared" ca="1" si="5403"/>
        <v>0</v>
      </c>
      <c r="MT116" s="40">
        <f t="shared" ca="1" si="5403"/>
        <v>0</v>
      </c>
      <c r="MU116" s="40">
        <f t="shared" ca="1" si="5403"/>
        <v>0</v>
      </c>
      <c r="MV116" s="40">
        <f t="shared" ca="1" si="5403"/>
        <v>0</v>
      </c>
      <c r="MW116" s="40">
        <f t="shared" ca="1" si="5403"/>
        <v>0</v>
      </c>
      <c r="MX116" s="40">
        <f t="shared" ca="1" si="5403"/>
        <v>0</v>
      </c>
      <c r="MY116" s="40">
        <f t="shared" ca="1" si="5403"/>
        <v>0</v>
      </c>
      <c r="MZ116" s="40">
        <f t="shared" ca="1" si="5403"/>
        <v>0</v>
      </c>
      <c r="NA116" s="40">
        <f t="shared" ca="1" si="5403"/>
        <v>0</v>
      </c>
      <c r="NB116" s="40">
        <f t="shared" ca="1" si="5403"/>
        <v>0</v>
      </c>
      <c r="NC116" s="40">
        <f t="shared" ca="1" si="5403"/>
        <v>0</v>
      </c>
      <c r="ND116" s="40">
        <f t="shared" ca="1" si="5403"/>
        <v>0</v>
      </c>
      <c r="NE116" s="40"/>
      <c r="NF116" s="40"/>
      <c r="NG116" s="40"/>
      <c r="NH116" s="40"/>
      <c r="NI116" s="40"/>
      <c r="NJ116" s="40"/>
      <c r="NK116" s="40"/>
      <c r="NL116" s="40"/>
      <c r="NM116" s="40"/>
      <c r="NN116" s="40"/>
      <c r="NO116" s="40"/>
      <c r="NP116" s="40"/>
      <c r="NQ116" s="40"/>
      <c r="NR116" s="40"/>
    </row>
    <row r="117" spans="2:382" x14ac:dyDescent="0.15">
      <c r="B117" s="522" t="s">
        <v>188</v>
      </c>
      <c r="G117" s="118"/>
      <c r="I117" s="40"/>
      <c r="J117" s="40"/>
      <c r="K117" s="40"/>
      <c r="L117" s="40"/>
      <c r="M117" s="40"/>
      <c r="N117" s="40"/>
      <c r="O117" s="40"/>
      <c r="P117" s="40"/>
      <c r="Q117" s="40"/>
      <c r="R117" s="40"/>
      <c r="S117" s="40"/>
      <c r="T117" s="40"/>
      <c r="U117" s="40"/>
      <c r="V117" s="40"/>
      <c r="W117" s="40"/>
      <c r="X117" s="40"/>
      <c r="Y117" s="40"/>
      <c r="Z117" s="40"/>
      <c r="AA117" s="40"/>
      <c r="AB117" s="40"/>
      <c r="AC117" s="40"/>
      <c r="AD117" s="40"/>
      <c r="AE117" s="40"/>
      <c r="AF117" s="40"/>
      <c r="AG117" s="40"/>
      <c r="AH117" s="40"/>
      <c r="AI117" s="40"/>
      <c r="AJ117" s="40"/>
      <c r="AK117" s="40"/>
      <c r="AL117" s="40"/>
      <c r="AM117" s="40"/>
      <c r="AN117" s="40"/>
      <c r="AO117" s="40"/>
      <c r="AP117" s="40"/>
      <c r="AQ117" s="40"/>
      <c r="AR117" s="40"/>
      <c r="AS117" s="40"/>
      <c r="AT117" s="40"/>
      <c r="AU117" s="40"/>
      <c r="AV117" s="40"/>
      <c r="AW117" s="40"/>
      <c r="AX117" s="40"/>
      <c r="AY117" s="40"/>
      <c r="AZ117" s="40"/>
      <c r="BA117" s="40"/>
      <c r="BB117" s="40"/>
      <c r="BC117" s="40"/>
      <c r="BD117" s="40"/>
      <c r="BE117" s="40"/>
      <c r="BF117" s="40"/>
      <c r="BG117" s="40"/>
      <c r="BH117" s="40"/>
      <c r="BI117" s="40"/>
      <c r="BJ117" s="40"/>
      <c r="BK117" s="40"/>
      <c r="BL117" s="40"/>
      <c r="BM117" s="40"/>
      <c r="BN117" s="40"/>
      <c r="BO117" s="40"/>
      <c r="BP117" s="40"/>
      <c r="BQ117" s="40"/>
      <c r="BR117" s="40"/>
      <c r="BS117" s="40"/>
      <c r="BT117" s="40"/>
      <c r="BU117" s="40"/>
      <c r="BV117" s="40"/>
      <c r="BW117" s="40"/>
      <c r="BX117" s="40"/>
      <c r="BY117" s="40"/>
      <c r="BZ117" s="40"/>
      <c r="CA117" s="40"/>
      <c r="CB117" s="40"/>
      <c r="CC117" s="40"/>
      <c r="CD117" s="40"/>
      <c r="CE117" s="40"/>
      <c r="CF117" s="40"/>
      <c r="CG117" s="40"/>
      <c r="CH117" s="40"/>
      <c r="CI117" s="40"/>
      <c r="CJ117" s="40"/>
      <c r="CK117" s="40"/>
      <c r="CL117" s="40"/>
      <c r="CM117" s="40"/>
      <c r="CN117" s="40"/>
      <c r="CO117" s="40"/>
      <c r="CP117" s="40"/>
      <c r="CQ117" s="40"/>
      <c r="CR117" s="40"/>
      <c r="CS117" s="40"/>
      <c r="CT117" s="40"/>
      <c r="CU117" s="40"/>
      <c r="CV117" s="40"/>
      <c r="CW117" s="40"/>
      <c r="CX117" s="40"/>
      <c r="CY117" s="40"/>
      <c r="CZ117" s="40"/>
      <c r="DA117" s="40"/>
      <c r="DB117" s="40"/>
      <c r="DC117" s="40"/>
      <c r="DD117" s="40"/>
      <c r="DE117" s="40"/>
      <c r="DF117" s="40"/>
      <c r="DG117" s="40"/>
      <c r="DH117" s="40"/>
      <c r="DI117" s="40"/>
      <c r="DJ117" s="40"/>
      <c r="DK117" s="40"/>
      <c r="DL117" s="40"/>
      <c r="DM117" s="40"/>
      <c r="DN117" s="40"/>
      <c r="DO117" s="40"/>
      <c r="DP117" s="40"/>
      <c r="DQ117" s="40"/>
      <c r="DR117" s="40"/>
      <c r="DS117" s="40"/>
      <c r="DT117" s="40"/>
      <c r="DU117" s="40"/>
      <c r="DV117" s="40"/>
      <c r="DW117" s="40"/>
      <c r="DX117" s="40"/>
      <c r="DY117" s="40"/>
      <c r="DZ117" s="40"/>
      <c r="EA117" s="40"/>
      <c r="EB117" s="40"/>
      <c r="EC117" s="40"/>
      <c r="ED117" s="40"/>
      <c r="EE117" s="40"/>
      <c r="EF117" s="40"/>
      <c r="EG117" s="40"/>
      <c r="EH117" s="40"/>
      <c r="EI117" s="40"/>
      <c r="EJ117" s="40"/>
      <c r="EK117" s="40"/>
      <c r="EL117" s="40"/>
      <c r="EM117" s="40"/>
      <c r="EN117" s="40"/>
      <c r="EO117" s="40"/>
      <c r="EP117" s="40"/>
      <c r="EQ117" s="40"/>
      <c r="ER117" s="40"/>
      <c r="ES117" s="40"/>
      <c r="ET117" s="40"/>
      <c r="EU117" s="40"/>
      <c r="EV117" s="40"/>
      <c r="EW117" s="40"/>
      <c r="EX117" s="40"/>
      <c r="EY117" s="40"/>
      <c r="EZ117" s="40"/>
      <c r="FA117" s="40"/>
      <c r="FB117" s="40"/>
      <c r="FC117" s="40"/>
      <c r="FD117" s="40"/>
      <c r="FE117" s="40"/>
      <c r="FF117" s="40"/>
      <c r="FG117" s="40"/>
      <c r="FH117" s="40"/>
      <c r="FI117" s="40"/>
      <c r="FJ117" s="40"/>
      <c r="FK117" s="40"/>
      <c r="FL117" s="40"/>
      <c r="FM117" s="40"/>
      <c r="FN117" s="40"/>
      <c r="FO117" s="40"/>
      <c r="FP117" s="40"/>
      <c r="FQ117" s="40"/>
      <c r="FR117" s="40"/>
      <c r="FS117" s="40"/>
      <c r="FT117" s="40"/>
      <c r="FU117" s="40"/>
      <c r="FV117" s="40"/>
      <c r="FW117" s="40"/>
      <c r="FX117" s="40"/>
      <c r="FY117" s="40"/>
      <c r="FZ117" s="40"/>
      <c r="GA117" s="40"/>
      <c r="GB117" s="40"/>
      <c r="GC117" s="40"/>
      <c r="GD117" s="40"/>
      <c r="GE117" s="40"/>
      <c r="GF117" s="40"/>
      <c r="GG117" s="40"/>
      <c r="GH117" s="40"/>
      <c r="GI117" s="40"/>
      <c r="GJ117" s="40"/>
      <c r="GK117" s="40"/>
      <c r="GL117" s="40"/>
      <c r="GM117" s="40"/>
      <c r="GN117" s="40"/>
      <c r="GO117" s="40"/>
      <c r="GP117" s="40"/>
      <c r="GQ117" s="40"/>
      <c r="GR117" s="40"/>
      <c r="GS117" s="40"/>
      <c r="GT117" s="40"/>
      <c r="GU117" s="40"/>
      <c r="GV117" s="40"/>
      <c r="GW117" s="40"/>
      <c r="GX117" s="40"/>
      <c r="GY117" s="40"/>
      <c r="GZ117" s="40"/>
      <c r="HA117" s="40"/>
      <c r="HB117" s="40"/>
      <c r="HC117" s="40"/>
      <c r="HD117" s="40"/>
      <c r="HE117" s="40"/>
      <c r="HF117" s="40"/>
      <c r="HG117" s="40"/>
      <c r="HH117" s="40"/>
      <c r="HI117" s="40"/>
      <c r="HJ117" s="40"/>
      <c r="HK117" s="40"/>
      <c r="HL117" s="40"/>
      <c r="HM117" s="40"/>
      <c r="HN117" s="40"/>
      <c r="HO117" s="40"/>
      <c r="HP117" s="40"/>
      <c r="HQ117" s="40"/>
      <c r="HR117" s="40"/>
      <c r="HS117" s="40"/>
      <c r="HT117" s="40"/>
      <c r="HU117" s="40"/>
      <c r="HV117" s="40"/>
      <c r="HW117" s="40"/>
      <c r="HX117" s="40"/>
      <c r="HY117" s="40"/>
      <c r="HZ117" s="40"/>
      <c r="IA117" s="40"/>
      <c r="IB117" s="40"/>
      <c r="IC117" s="40"/>
      <c r="ID117" s="40"/>
      <c r="IE117" s="40"/>
      <c r="IF117" s="40"/>
      <c r="IG117" s="40"/>
      <c r="IH117" s="40"/>
      <c r="II117" s="40"/>
      <c r="IJ117" s="40"/>
      <c r="IK117" s="40"/>
      <c r="IL117" s="40"/>
      <c r="IM117" s="40"/>
      <c r="IN117" s="40"/>
      <c r="IO117" s="40"/>
      <c r="IP117" s="40"/>
      <c r="IQ117" s="40"/>
      <c r="IR117" s="40"/>
      <c r="IS117" s="40"/>
      <c r="IT117" s="40"/>
      <c r="IU117" s="40"/>
      <c r="IV117" s="40"/>
      <c r="IW117" s="40"/>
      <c r="IX117" s="40"/>
      <c r="IY117" s="40"/>
      <c r="IZ117" s="40"/>
      <c r="JA117" s="40"/>
      <c r="JB117" s="40"/>
      <c r="JC117" s="40"/>
      <c r="JD117" s="40"/>
      <c r="JE117" s="40"/>
      <c r="JF117" s="40"/>
      <c r="JG117" s="40"/>
      <c r="JH117" s="40"/>
      <c r="JI117" s="40"/>
      <c r="JJ117" s="40"/>
      <c r="JK117" s="40"/>
      <c r="JL117" s="40"/>
      <c r="JM117" s="40"/>
      <c r="JN117" s="40"/>
      <c r="JO117" s="40"/>
      <c r="JP117" s="40"/>
      <c r="JQ117" s="40"/>
      <c r="JR117" s="40"/>
      <c r="JS117" s="40"/>
      <c r="JT117" s="40"/>
      <c r="JU117" s="40"/>
      <c r="JV117" s="40"/>
      <c r="JW117" s="40"/>
      <c r="JX117" s="40"/>
      <c r="JY117" s="40"/>
      <c r="JZ117" s="40"/>
      <c r="KA117" s="40"/>
      <c r="KB117" s="40"/>
      <c r="KC117" s="40"/>
      <c r="KD117" s="40"/>
      <c r="KE117" s="40"/>
      <c r="KF117" s="40"/>
      <c r="KG117" s="40"/>
      <c r="KH117" s="40"/>
      <c r="KI117" s="40"/>
      <c r="KJ117" s="40"/>
      <c r="KK117" s="40"/>
      <c r="KL117" s="40"/>
      <c r="KM117" s="40"/>
      <c r="KN117" s="40"/>
      <c r="KO117" s="40"/>
      <c r="KP117" s="40"/>
      <c r="KQ117" s="40"/>
      <c r="KR117" s="40"/>
      <c r="KS117" s="40"/>
      <c r="KT117" s="40"/>
      <c r="KU117" s="40"/>
      <c r="KV117" s="40"/>
      <c r="KW117" s="40"/>
      <c r="KX117" s="40"/>
      <c r="KY117" s="40"/>
      <c r="KZ117" s="40"/>
      <c r="LA117" s="40"/>
      <c r="LB117" s="40"/>
      <c r="LC117" s="40"/>
      <c r="LD117" s="40"/>
      <c r="LE117" s="40"/>
      <c r="LF117" s="40"/>
      <c r="LG117" s="40"/>
      <c r="LH117" s="40"/>
      <c r="LI117" s="40"/>
      <c r="LJ117" s="40"/>
      <c r="LK117" s="40"/>
      <c r="LL117" s="40"/>
      <c r="LM117" s="40"/>
      <c r="LN117" s="40"/>
      <c r="LO117" s="40"/>
      <c r="LP117" s="40"/>
      <c r="LQ117" s="40"/>
      <c r="LR117" s="40"/>
      <c r="LS117" s="40"/>
      <c r="LT117" s="40"/>
      <c r="LU117" s="40"/>
      <c r="LV117" s="40"/>
      <c r="LW117" s="40"/>
      <c r="LX117" s="40"/>
      <c r="LY117" s="40"/>
      <c r="LZ117" s="40"/>
      <c r="MA117" s="40"/>
      <c r="MB117" s="40"/>
      <c r="MC117" s="40"/>
      <c r="MD117" s="40"/>
      <c r="ME117" s="40"/>
      <c r="MF117" s="40"/>
      <c r="MG117" s="40"/>
      <c r="MH117" s="40"/>
      <c r="MI117" s="40"/>
      <c r="MJ117" s="40"/>
      <c r="MK117" s="40"/>
      <c r="ML117" s="40"/>
      <c r="MM117" s="40"/>
      <c r="MN117" s="40"/>
      <c r="MO117" s="40"/>
      <c r="MP117" s="40"/>
      <c r="MQ117" s="40"/>
      <c r="MR117" s="40"/>
      <c r="MS117" s="40"/>
      <c r="MT117" s="40"/>
      <c r="MU117" s="40"/>
      <c r="MV117" s="40"/>
      <c r="MW117" s="40"/>
      <c r="MX117" s="40"/>
      <c r="MY117" s="40"/>
      <c r="MZ117" s="40"/>
      <c r="NA117" s="40"/>
      <c r="NB117" s="40"/>
      <c r="NC117" s="40"/>
      <c r="ND117" s="40"/>
      <c r="NE117" s="40"/>
      <c r="NF117" s="40"/>
      <c r="NG117" s="40"/>
      <c r="NH117" s="40"/>
      <c r="NI117" s="40"/>
      <c r="NJ117" s="40"/>
      <c r="NK117" s="40"/>
      <c r="NL117" s="40"/>
      <c r="NM117" s="40"/>
      <c r="NN117" s="40"/>
      <c r="NO117" s="40"/>
      <c r="NP117" s="40"/>
      <c r="NQ117" s="40"/>
      <c r="NR117" s="40"/>
    </row>
    <row r="118" spans="2:382" x14ac:dyDescent="0.15">
      <c r="B118" s="522"/>
      <c r="C118" s="155" t="s">
        <v>189</v>
      </c>
      <c r="D118" s="151" t="s">
        <v>39</v>
      </c>
      <c r="E118" s="151" t="s">
        <v>40</v>
      </c>
      <c r="F118" s="151" t="s">
        <v>56</v>
      </c>
      <c r="G118" s="152"/>
      <c r="H118" s="154"/>
      <c r="I118" s="153"/>
      <c r="J118" s="153"/>
      <c r="K118" s="153"/>
      <c r="L118" s="153"/>
      <c r="M118" s="153"/>
      <c r="N118" s="153"/>
      <c r="O118" s="153"/>
      <c r="P118" s="153"/>
      <c r="Q118" s="153"/>
      <c r="R118" s="153"/>
      <c r="S118" s="153"/>
      <c r="T118" s="153"/>
      <c r="U118" s="153"/>
      <c r="V118" s="153"/>
      <c r="W118" s="153"/>
      <c r="X118" s="153"/>
      <c r="Y118" s="153"/>
      <c r="Z118" s="153"/>
      <c r="AA118" s="153"/>
      <c r="AB118" s="153"/>
      <c r="AC118" s="153"/>
      <c r="AD118" s="153"/>
      <c r="AE118" s="153"/>
      <c r="AF118" s="153"/>
      <c r="AG118" s="153"/>
      <c r="AH118" s="153"/>
      <c r="AI118" s="153"/>
      <c r="AJ118" s="153"/>
      <c r="AK118" s="153"/>
      <c r="AL118" s="153"/>
      <c r="AM118" s="153"/>
      <c r="AN118" s="153"/>
      <c r="AO118" s="153"/>
      <c r="AP118" s="153"/>
      <c r="AQ118" s="153"/>
      <c r="AR118" s="153"/>
      <c r="AS118" s="153"/>
      <c r="AT118" s="153"/>
      <c r="AU118" s="153"/>
      <c r="AV118" s="153"/>
      <c r="AW118" s="153"/>
      <c r="AX118" s="153"/>
      <c r="AY118" s="153"/>
      <c r="AZ118" s="153"/>
      <c r="BA118" s="153"/>
      <c r="BB118" s="153"/>
      <c r="BC118" s="153"/>
      <c r="BD118" s="153"/>
      <c r="BE118" s="153"/>
      <c r="BF118" s="153"/>
      <c r="BG118" s="153"/>
      <c r="BH118" s="153"/>
      <c r="BI118" s="153"/>
      <c r="BJ118" s="153"/>
      <c r="BK118" s="153"/>
      <c r="BL118" s="153"/>
      <c r="BM118" s="153"/>
      <c r="BN118" s="153"/>
      <c r="BO118" s="153"/>
      <c r="BP118" s="153"/>
      <c r="BQ118" s="153"/>
      <c r="BR118" s="153"/>
      <c r="BS118" s="153"/>
      <c r="BT118" s="153"/>
      <c r="BU118" s="153"/>
      <c r="BV118" s="153"/>
      <c r="BW118" s="153"/>
      <c r="BX118" s="153"/>
      <c r="BY118" s="153"/>
      <c r="BZ118" s="153"/>
      <c r="CA118" s="153"/>
      <c r="CB118" s="153"/>
      <c r="CC118" s="153"/>
      <c r="CD118" s="153"/>
      <c r="CE118" s="153"/>
      <c r="CF118" s="153"/>
      <c r="CG118" s="153"/>
      <c r="CH118" s="153"/>
      <c r="CI118" s="153"/>
      <c r="CJ118" s="153"/>
      <c r="CK118" s="153"/>
      <c r="CL118" s="153"/>
      <c r="CM118" s="153"/>
      <c r="CN118" s="153"/>
      <c r="CO118" s="153"/>
      <c r="CP118" s="153"/>
      <c r="CQ118" s="153"/>
      <c r="CR118" s="153"/>
      <c r="CS118" s="153"/>
      <c r="CT118" s="153"/>
      <c r="CU118" s="153"/>
      <c r="CV118" s="153"/>
      <c r="CW118" s="153"/>
      <c r="CX118" s="153"/>
      <c r="CY118" s="153"/>
      <c r="CZ118" s="153"/>
      <c r="DA118" s="153"/>
      <c r="DB118" s="153"/>
      <c r="DC118" s="153"/>
      <c r="DD118" s="153"/>
      <c r="DE118" s="153"/>
      <c r="DF118" s="153"/>
      <c r="DG118" s="153"/>
      <c r="DH118" s="153"/>
      <c r="DI118" s="153"/>
      <c r="DJ118" s="153"/>
      <c r="DK118" s="153"/>
      <c r="DL118" s="153"/>
      <c r="DM118" s="153"/>
      <c r="DN118" s="153"/>
      <c r="DO118" s="153"/>
      <c r="DP118" s="153"/>
      <c r="DQ118" s="153"/>
      <c r="DR118" s="153"/>
      <c r="DS118" s="153"/>
      <c r="DT118" s="153"/>
      <c r="DU118" s="153"/>
      <c r="DV118" s="153"/>
      <c r="DW118" s="153"/>
      <c r="DX118" s="153"/>
      <c r="DY118" s="153"/>
      <c r="DZ118" s="153"/>
      <c r="EA118" s="153"/>
      <c r="EB118" s="153"/>
      <c r="EC118" s="153"/>
      <c r="ED118" s="153"/>
      <c r="EE118" s="153"/>
      <c r="EF118" s="153"/>
      <c r="EG118" s="153"/>
      <c r="EH118" s="153"/>
      <c r="EI118" s="153"/>
      <c r="EJ118" s="153"/>
      <c r="EK118" s="153"/>
      <c r="EL118" s="153"/>
      <c r="EM118" s="153"/>
      <c r="EN118" s="153"/>
      <c r="EO118" s="153"/>
      <c r="EP118" s="153"/>
      <c r="EQ118" s="153"/>
      <c r="ER118" s="153"/>
      <c r="ES118" s="153"/>
      <c r="ET118" s="153"/>
      <c r="EU118" s="153"/>
      <c r="EV118" s="153"/>
      <c r="EW118" s="153"/>
      <c r="EX118" s="153"/>
      <c r="EY118" s="153"/>
      <c r="EZ118" s="153"/>
      <c r="FA118" s="153"/>
      <c r="FB118" s="153"/>
      <c r="FC118" s="153"/>
      <c r="FD118" s="153"/>
      <c r="FE118" s="153"/>
      <c r="FF118" s="153"/>
      <c r="FG118" s="153"/>
      <c r="FH118" s="153"/>
      <c r="FI118" s="153"/>
      <c r="FJ118" s="153"/>
      <c r="FK118" s="153"/>
      <c r="FL118" s="153"/>
      <c r="FM118" s="153"/>
      <c r="FN118" s="153"/>
      <c r="FO118" s="153"/>
      <c r="FP118" s="153"/>
      <c r="FQ118" s="153"/>
      <c r="FR118" s="153"/>
      <c r="FS118" s="153"/>
      <c r="FT118" s="153"/>
      <c r="FU118" s="153"/>
      <c r="FV118" s="153"/>
      <c r="FW118" s="153"/>
      <c r="FX118" s="153"/>
      <c r="FY118" s="153"/>
      <c r="FZ118" s="153"/>
      <c r="GA118" s="153"/>
      <c r="GB118" s="153"/>
      <c r="GC118" s="153"/>
      <c r="GD118" s="153"/>
      <c r="GE118" s="153"/>
      <c r="GF118" s="153"/>
      <c r="GG118" s="153"/>
      <c r="GH118" s="153"/>
      <c r="GI118" s="153"/>
      <c r="GJ118" s="153"/>
      <c r="GK118" s="153"/>
      <c r="GL118" s="153"/>
      <c r="GM118" s="153"/>
      <c r="GN118" s="153"/>
      <c r="GO118" s="153"/>
      <c r="GP118" s="153"/>
      <c r="GQ118" s="153"/>
      <c r="GR118" s="153"/>
      <c r="GS118" s="153"/>
      <c r="GT118" s="153"/>
      <c r="GU118" s="153"/>
      <c r="GV118" s="153"/>
      <c r="GW118" s="153"/>
      <c r="GX118" s="153"/>
      <c r="GY118" s="153"/>
      <c r="GZ118" s="153"/>
      <c r="HA118" s="153"/>
      <c r="HB118" s="153"/>
      <c r="HC118" s="153"/>
      <c r="HD118" s="153"/>
      <c r="HE118" s="153"/>
      <c r="HF118" s="153"/>
      <c r="HG118" s="153"/>
      <c r="HH118" s="153"/>
      <c r="HI118" s="153"/>
      <c r="HJ118" s="153"/>
      <c r="HK118" s="153"/>
      <c r="HL118" s="153"/>
      <c r="HM118" s="153"/>
      <c r="HN118" s="153"/>
      <c r="HO118" s="153"/>
      <c r="HP118" s="153"/>
      <c r="HQ118" s="153"/>
      <c r="HR118" s="153"/>
      <c r="HS118" s="153"/>
      <c r="HT118" s="153"/>
      <c r="HU118" s="153"/>
      <c r="HV118" s="153"/>
      <c r="HW118" s="153"/>
      <c r="HX118" s="153"/>
      <c r="HY118" s="153"/>
      <c r="HZ118" s="153"/>
      <c r="IA118" s="153"/>
      <c r="IB118" s="153"/>
      <c r="IC118" s="153"/>
      <c r="ID118" s="153"/>
      <c r="IE118" s="153"/>
      <c r="IF118" s="153"/>
      <c r="IG118" s="153"/>
      <c r="IH118" s="153"/>
      <c r="II118" s="153"/>
      <c r="IJ118" s="153"/>
      <c r="IK118" s="153"/>
      <c r="IL118" s="153"/>
      <c r="IM118" s="153"/>
      <c r="IN118" s="153"/>
      <c r="IO118" s="153"/>
      <c r="IP118" s="153"/>
      <c r="IQ118" s="153"/>
      <c r="IR118" s="153"/>
      <c r="IS118" s="153"/>
      <c r="IT118" s="153"/>
      <c r="IU118" s="153"/>
      <c r="IV118" s="153"/>
      <c r="IW118" s="153"/>
      <c r="IX118" s="153"/>
      <c r="IY118" s="153"/>
      <c r="IZ118" s="153"/>
      <c r="JA118" s="153"/>
      <c r="JB118" s="153"/>
      <c r="JC118" s="153"/>
      <c r="JD118" s="153"/>
      <c r="JE118" s="153"/>
      <c r="JF118" s="153"/>
      <c r="JG118" s="153"/>
      <c r="JH118" s="153"/>
      <c r="JI118" s="153"/>
      <c r="JJ118" s="153"/>
      <c r="JK118" s="153"/>
      <c r="JL118" s="153"/>
      <c r="JM118" s="153"/>
      <c r="JN118" s="153"/>
      <c r="JO118" s="153"/>
      <c r="JP118" s="153"/>
      <c r="JQ118" s="153"/>
      <c r="JR118" s="153"/>
      <c r="JS118" s="153"/>
      <c r="JT118" s="153"/>
      <c r="JU118" s="153"/>
      <c r="JV118" s="153"/>
      <c r="JW118" s="153"/>
      <c r="JX118" s="153"/>
      <c r="JY118" s="153"/>
      <c r="JZ118" s="153"/>
      <c r="KA118" s="153"/>
      <c r="KB118" s="153"/>
      <c r="KC118" s="153"/>
      <c r="KD118" s="153"/>
      <c r="KE118" s="153"/>
      <c r="KF118" s="153"/>
      <c r="KG118" s="153"/>
      <c r="KH118" s="153"/>
      <c r="KI118" s="153"/>
      <c r="KJ118" s="153"/>
      <c r="KK118" s="153"/>
      <c r="KL118" s="153"/>
      <c r="KM118" s="153"/>
      <c r="KN118" s="153"/>
      <c r="KO118" s="153"/>
      <c r="KP118" s="153"/>
      <c r="KQ118" s="153"/>
      <c r="KR118" s="153"/>
      <c r="KS118" s="153"/>
      <c r="KT118" s="153"/>
      <c r="KU118" s="153"/>
      <c r="KV118" s="153"/>
      <c r="KW118" s="153"/>
      <c r="KX118" s="153"/>
      <c r="KY118" s="153"/>
      <c r="KZ118" s="153"/>
      <c r="LA118" s="153"/>
      <c r="LB118" s="153"/>
      <c r="LC118" s="153"/>
      <c r="LD118" s="153"/>
      <c r="LE118" s="153"/>
      <c r="LF118" s="153"/>
      <c r="LG118" s="153"/>
      <c r="LH118" s="153"/>
      <c r="LI118" s="153"/>
      <c r="LJ118" s="153"/>
      <c r="LK118" s="153"/>
      <c r="LL118" s="153"/>
      <c r="LM118" s="153"/>
      <c r="LN118" s="153"/>
      <c r="LO118" s="153"/>
      <c r="LP118" s="153"/>
      <c r="LQ118" s="153"/>
      <c r="LR118" s="153"/>
      <c r="LS118" s="153"/>
      <c r="LT118" s="153"/>
      <c r="LU118" s="153"/>
      <c r="LV118" s="153"/>
      <c r="LW118" s="153"/>
      <c r="LX118" s="153"/>
      <c r="LY118" s="153"/>
      <c r="LZ118" s="153"/>
      <c r="MA118" s="153"/>
      <c r="MB118" s="153"/>
      <c r="MC118" s="153"/>
      <c r="MD118" s="153"/>
      <c r="ME118" s="153"/>
      <c r="MF118" s="153"/>
      <c r="MG118" s="153"/>
      <c r="MH118" s="153"/>
      <c r="MI118" s="153"/>
      <c r="MJ118" s="153"/>
      <c r="MK118" s="153"/>
      <c r="ML118" s="153"/>
      <c r="MM118" s="153"/>
      <c r="MN118" s="153"/>
      <c r="MO118" s="153"/>
      <c r="MP118" s="153"/>
      <c r="MQ118" s="153"/>
      <c r="MR118" s="153"/>
      <c r="MS118" s="153"/>
      <c r="MT118" s="153"/>
      <c r="MU118" s="153"/>
      <c r="MV118" s="153"/>
      <c r="MW118" s="153"/>
      <c r="MX118" s="153"/>
      <c r="MY118" s="153"/>
      <c r="MZ118" s="153"/>
      <c r="NA118" s="153"/>
      <c r="NB118" s="153"/>
      <c r="NC118" s="153"/>
      <c r="ND118" s="153"/>
      <c r="NE118" s="40"/>
      <c r="NF118" s="40"/>
      <c r="NG118" s="40"/>
      <c r="NH118" s="40"/>
      <c r="NI118" s="40"/>
      <c r="NJ118" s="40"/>
      <c r="NK118" s="40"/>
      <c r="NL118" s="40"/>
      <c r="NM118" s="40"/>
      <c r="NN118" s="40"/>
      <c r="NO118" s="40"/>
      <c r="NP118" s="40"/>
      <c r="NQ118" s="40"/>
      <c r="NR118" s="40"/>
    </row>
    <row r="119" spans="2:382" x14ac:dyDescent="0.15">
      <c r="B119" s="522"/>
      <c r="C119" s="156" t="str">
        <f>_xlfn.CONCAT(C3," (Manager)")</f>
        <v>Aaron (Manager) (Manager)</v>
      </c>
      <c r="D119" s="243">
        <f ca="1">IFERROR(XIRR($H119:$ND119,$H$21:$ND$21),"-")</f>
        <v>7.3946443200111414E-2</v>
      </c>
      <c r="E119" s="121">
        <f ca="1">IFERROR(XNPV('Deal Summary'!$E$63,$I119:$ND119,$I$21:$ND$21)+H119,"-")</f>
        <v>50684.168114138301</v>
      </c>
      <c r="F119" s="245">
        <f ca="1">IFERROR((SUM(H119:ND119)+'Investors Breakdown'!$E18)/'Investors Breakdown'!$E18,"-")</f>
        <v>3.0374821625155617</v>
      </c>
      <c r="H119" s="129">
        <f>$D111*'Monthly P&amp;L'!$F$78</f>
        <v>-755905.20000000007</v>
      </c>
      <c r="I119" s="40">
        <f>I111+I116</f>
        <v>-31938.513322500003</v>
      </c>
      <c r="J119" s="40">
        <f>J111+J116</f>
        <v>-31938.51332250001</v>
      </c>
      <c r="K119" s="40">
        <f t="shared" ref="K119:BV119" si="5404">K111+K116</f>
        <v>-31938.513322500003</v>
      </c>
      <c r="L119" s="40">
        <f t="shared" si="5404"/>
        <v>0</v>
      </c>
      <c r="M119" s="40">
        <f t="shared" si="5404"/>
        <v>0</v>
      </c>
      <c r="N119" s="40">
        <f t="shared" si="5404"/>
        <v>0</v>
      </c>
      <c r="O119" s="40">
        <f t="shared" si="5404"/>
        <v>0</v>
      </c>
      <c r="P119" s="40">
        <f t="shared" si="5404"/>
        <v>0</v>
      </c>
      <c r="Q119" s="40">
        <f t="shared" si="5404"/>
        <v>0</v>
      </c>
      <c r="R119" s="40">
        <f t="shared" si="5404"/>
        <v>0</v>
      </c>
      <c r="S119" s="40">
        <f t="shared" si="5404"/>
        <v>0</v>
      </c>
      <c r="T119" s="40">
        <f t="shared" si="5404"/>
        <v>0</v>
      </c>
      <c r="U119" s="40">
        <f t="shared" si="5404"/>
        <v>0</v>
      </c>
      <c r="V119" s="40">
        <f t="shared" si="5404"/>
        <v>0</v>
      </c>
      <c r="W119" s="40">
        <f t="shared" si="5404"/>
        <v>0</v>
      </c>
      <c r="X119" s="40">
        <f t="shared" si="5404"/>
        <v>0</v>
      </c>
      <c r="Y119" s="40">
        <f t="shared" si="5404"/>
        <v>0</v>
      </c>
      <c r="Z119" s="40">
        <f t="shared" si="5404"/>
        <v>0</v>
      </c>
      <c r="AA119" s="40">
        <f t="shared" si="5404"/>
        <v>0</v>
      </c>
      <c r="AB119" s="40">
        <f t="shared" si="5404"/>
        <v>0</v>
      </c>
      <c r="AC119" s="40">
        <f t="shared" si="5404"/>
        <v>0</v>
      </c>
      <c r="AD119" s="40">
        <f t="shared" si="5404"/>
        <v>0</v>
      </c>
      <c r="AE119" s="40">
        <f t="shared" si="5404"/>
        <v>0</v>
      </c>
      <c r="AF119" s="40">
        <f t="shared" si="5404"/>
        <v>0</v>
      </c>
      <c r="AG119" s="40">
        <f t="shared" si="5404"/>
        <v>0</v>
      </c>
      <c r="AH119" s="40">
        <f t="shared" si="5404"/>
        <v>0</v>
      </c>
      <c r="AI119" s="40">
        <f t="shared" si="5404"/>
        <v>0</v>
      </c>
      <c r="AJ119" s="40">
        <f t="shared" si="5404"/>
        <v>0</v>
      </c>
      <c r="AK119" s="40">
        <f t="shared" si="5404"/>
        <v>0</v>
      </c>
      <c r="AL119" s="40">
        <f t="shared" si="5404"/>
        <v>0</v>
      </c>
      <c r="AM119" s="40">
        <f t="shared" si="5404"/>
        <v>0</v>
      </c>
      <c r="AN119" s="40">
        <f t="shared" si="5404"/>
        <v>0</v>
      </c>
      <c r="AO119" s="40">
        <f t="shared" si="5404"/>
        <v>0</v>
      </c>
      <c r="AP119" s="40">
        <f t="shared" si="5404"/>
        <v>0</v>
      </c>
      <c r="AQ119" s="40">
        <f t="shared" si="5404"/>
        <v>0</v>
      </c>
      <c r="AR119" s="40">
        <f t="shared" si="5404"/>
        <v>0</v>
      </c>
      <c r="AS119" s="40">
        <f t="shared" si="5404"/>
        <v>110.72524415783781</v>
      </c>
      <c r="AT119" s="40">
        <f t="shared" si="5404"/>
        <v>110.72524415783784</v>
      </c>
      <c r="AU119" s="40">
        <f t="shared" si="5404"/>
        <v>110.72524415783784</v>
      </c>
      <c r="AV119" s="40">
        <f t="shared" si="5404"/>
        <v>110.72524415783784</v>
      </c>
      <c r="AW119" s="40">
        <f t="shared" si="5404"/>
        <v>110.72524415783784</v>
      </c>
      <c r="AX119" s="40">
        <f t="shared" si="5404"/>
        <v>110.72524415783784</v>
      </c>
      <c r="AY119" s="40">
        <f t="shared" si="5404"/>
        <v>110.72524415783784</v>
      </c>
      <c r="AZ119" s="40">
        <f t="shared" si="5404"/>
        <v>110.72524415783784</v>
      </c>
      <c r="BA119" s="40">
        <f t="shared" si="5404"/>
        <v>110.72524415783784</v>
      </c>
      <c r="BB119" s="40">
        <f t="shared" si="5404"/>
        <v>110.72524415783784</v>
      </c>
      <c r="BC119" s="40">
        <f t="shared" si="5404"/>
        <v>110.72524415783784</v>
      </c>
      <c r="BD119" s="40">
        <f t="shared" si="5404"/>
        <v>110.72524415783781</v>
      </c>
      <c r="BE119" s="40">
        <f t="shared" si="5404"/>
        <v>393.7644214373492</v>
      </c>
      <c r="BF119" s="40">
        <f t="shared" si="5404"/>
        <v>393.76442143734914</v>
      </c>
      <c r="BG119" s="40">
        <f t="shared" si="5404"/>
        <v>393.7644214373492</v>
      </c>
      <c r="BH119" s="40">
        <f t="shared" si="5404"/>
        <v>393.76442143734914</v>
      </c>
      <c r="BI119" s="40">
        <f t="shared" si="5404"/>
        <v>393.7644214373492</v>
      </c>
      <c r="BJ119" s="40">
        <f t="shared" si="5404"/>
        <v>393.76442143734914</v>
      </c>
      <c r="BK119" s="40">
        <f t="shared" si="5404"/>
        <v>393.76442143734914</v>
      </c>
      <c r="BL119" s="40">
        <f t="shared" si="5404"/>
        <v>393.76442143734909</v>
      </c>
      <c r="BM119" s="40">
        <f t="shared" si="5404"/>
        <v>393.76442143734914</v>
      </c>
      <c r="BN119" s="40">
        <f t="shared" si="5404"/>
        <v>393.76442143734909</v>
      </c>
      <c r="BO119" s="40">
        <f t="shared" si="5404"/>
        <v>393.76442143734914</v>
      </c>
      <c r="BP119" s="40">
        <f t="shared" si="5404"/>
        <v>393.76442143734909</v>
      </c>
      <c r="BQ119" s="40">
        <f t="shared" si="5404"/>
        <v>685.68804493039886</v>
      </c>
      <c r="BR119" s="40">
        <f t="shared" si="5404"/>
        <v>685.68804493039886</v>
      </c>
      <c r="BS119" s="40">
        <f t="shared" si="5404"/>
        <v>685.68804493039886</v>
      </c>
      <c r="BT119" s="40">
        <f t="shared" si="5404"/>
        <v>685.68804493039886</v>
      </c>
      <c r="BU119" s="40">
        <f t="shared" si="5404"/>
        <v>685.68804493039897</v>
      </c>
      <c r="BV119" s="40">
        <f t="shared" si="5404"/>
        <v>685.68804493039886</v>
      </c>
      <c r="BW119" s="40">
        <f t="shared" ref="BW119:EH119" si="5405">BW111+BW116</f>
        <v>685.68804493039897</v>
      </c>
      <c r="BX119" s="40">
        <f t="shared" si="5405"/>
        <v>685.68804493039897</v>
      </c>
      <c r="BY119" s="40">
        <f t="shared" si="5405"/>
        <v>685.68804493039909</v>
      </c>
      <c r="BZ119" s="40">
        <f t="shared" si="5405"/>
        <v>685.68804493039897</v>
      </c>
      <c r="CA119" s="40">
        <f t="shared" si="5405"/>
        <v>685.68804493039909</v>
      </c>
      <c r="CB119" s="40">
        <f t="shared" si="5405"/>
        <v>685.68804493039897</v>
      </c>
      <c r="CC119" s="40">
        <f t="shared" si="5405"/>
        <v>986.77104027638154</v>
      </c>
      <c r="CD119" s="40">
        <f t="shared" si="5405"/>
        <v>986.77104027638154</v>
      </c>
      <c r="CE119" s="40">
        <f t="shared" si="5405"/>
        <v>986.77104027638154</v>
      </c>
      <c r="CF119" s="40">
        <f t="shared" si="5405"/>
        <v>986.77104027638143</v>
      </c>
      <c r="CG119" s="40">
        <f t="shared" si="5405"/>
        <v>986.77104027638154</v>
      </c>
      <c r="CH119" s="40">
        <f t="shared" si="5405"/>
        <v>986.77104027638143</v>
      </c>
      <c r="CI119" s="40">
        <f t="shared" si="5405"/>
        <v>986.77104027638143</v>
      </c>
      <c r="CJ119" s="40">
        <f t="shared" si="5405"/>
        <v>986.7710402763812</v>
      </c>
      <c r="CK119" s="40">
        <f t="shared" si="5405"/>
        <v>986.77104027638143</v>
      </c>
      <c r="CL119" s="40">
        <f t="shared" si="5405"/>
        <v>986.77104027638143</v>
      </c>
      <c r="CM119" s="40">
        <f t="shared" si="5405"/>
        <v>986.77104027638143</v>
      </c>
      <c r="CN119" s="40">
        <f t="shared" si="5405"/>
        <v>986.7710402763812</v>
      </c>
      <c r="CO119" s="40">
        <f t="shared" si="5405"/>
        <v>1297.2967618998046</v>
      </c>
      <c r="CP119" s="40">
        <f t="shared" si="5405"/>
        <v>1297.2967618998046</v>
      </c>
      <c r="CQ119" s="40">
        <f t="shared" si="5405"/>
        <v>1297.2967618998043</v>
      </c>
      <c r="CR119" s="40">
        <f t="shared" si="5405"/>
        <v>1297.2967618998043</v>
      </c>
      <c r="CS119" s="40">
        <f t="shared" si="5405"/>
        <v>1297.2967618998043</v>
      </c>
      <c r="CT119" s="40">
        <f t="shared" si="5405"/>
        <v>1297.2967618998043</v>
      </c>
      <c r="CU119" s="40">
        <f t="shared" si="5405"/>
        <v>1297.2967618998043</v>
      </c>
      <c r="CV119" s="40">
        <f t="shared" si="5405"/>
        <v>1297.2967618998043</v>
      </c>
      <c r="CW119" s="40">
        <f t="shared" si="5405"/>
        <v>1297.2967618998043</v>
      </c>
      <c r="CX119" s="40">
        <f t="shared" si="5405"/>
        <v>1297.2967618998043</v>
      </c>
      <c r="CY119" s="40">
        <f t="shared" si="5405"/>
        <v>1297.2967618998043</v>
      </c>
      <c r="CZ119" s="40">
        <f t="shared" si="5405"/>
        <v>1297.2967618998041</v>
      </c>
      <c r="DA119" s="40">
        <f t="shared" si="5405"/>
        <v>1617.5572498234515</v>
      </c>
      <c r="DB119" s="40">
        <f t="shared" si="5405"/>
        <v>1617.5572498234515</v>
      </c>
      <c r="DC119" s="40">
        <f t="shared" si="5405"/>
        <v>1617.5572498234515</v>
      </c>
      <c r="DD119" s="40">
        <f t="shared" si="5405"/>
        <v>1617.5572498234515</v>
      </c>
      <c r="DE119" s="40">
        <f t="shared" si="5405"/>
        <v>1617.5572498234515</v>
      </c>
      <c r="DF119" s="40">
        <f t="shared" si="5405"/>
        <v>1617.5572498234515</v>
      </c>
      <c r="DG119" s="40">
        <f t="shared" si="5405"/>
        <v>1617.5572498234515</v>
      </c>
      <c r="DH119" s="40">
        <f t="shared" si="5405"/>
        <v>1617.5572498234515</v>
      </c>
      <c r="DI119" s="40">
        <f t="shared" si="5405"/>
        <v>1617.5572498234515</v>
      </c>
      <c r="DJ119" s="40">
        <f t="shared" si="5405"/>
        <v>1617.5572498234515</v>
      </c>
      <c r="DK119" s="40">
        <f t="shared" si="5405"/>
        <v>1617.5572498234515</v>
      </c>
      <c r="DL119" s="40">
        <f t="shared" si="5405"/>
        <v>1617.5572498234515</v>
      </c>
      <c r="DM119" s="40">
        <f t="shared" si="5405"/>
        <v>1947.8534942731176</v>
      </c>
      <c r="DN119" s="40">
        <f t="shared" si="5405"/>
        <v>1947.8534942731176</v>
      </c>
      <c r="DO119" s="40">
        <f t="shared" si="5405"/>
        <v>1947.853494273118</v>
      </c>
      <c r="DP119" s="40">
        <f t="shared" si="5405"/>
        <v>1947.8534942731176</v>
      </c>
      <c r="DQ119" s="40">
        <f t="shared" si="5405"/>
        <v>1947.8534942731173</v>
      </c>
      <c r="DR119" s="40">
        <f t="shared" si="5405"/>
        <v>1947.8534942731176</v>
      </c>
      <c r="DS119" s="40">
        <f t="shared" si="5405"/>
        <v>1947.8534942731176</v>
      </c>
      <c r="DT119" s="40">
        <f t="shared" si="5405"/>
        <v>1947.8534942731173</v>
      </c>
      <c r="DU119" s="40">
        <f t="shared" si="5405"/>
        <v>1947.8534942731173</v>
      </c>
      <c r="DV119" s="40">
        <f t="shared" si="5405"/>
        <v>1947.8534942731173</v>
      </c>
      <c r="DW119" s="40">
        <f t="shared" si="5405"/>
        <v>1947.8534942731173</v>
      </c>
      <c r="DX119" s="40">
        <f t="shared" si="5405"/>
        <v>1947.8534942731178</v>
      </c>
      <c r="DY119" s="40">
        <f t="shared" si="5405"/>
        <v>2288.4957083097142</v>
      </c>
      <c r="DZ119" s="40">
        <f t="shared" si="5405"/>
        <v>2288.4957083097142</v>
      </c>
      <c r="EA119" s="40">
        <f t="shared" si="5405"/>
        <v>2288.4957083097147</v>
      </c>
      <c r="EB119" s="40">
        <f t="shared" si="5405"/>
        <v>2288.4957083097147</v>
      </c>
      <c r="EC119" s="40">
        <f t="shared" si="5405"/>
        <v>2288.4957083097147</v>
      </c>
      <c r="ED119" s="40">
        <f t="shared" si="5405"/>
        <v>2288.4957083097156</v>
      </c>
      <c r="EE119" s="40">
        <f t="shared" si="5405"/>
        <v>2288.4957083097152</v>
      </c>
      <c r="EF119" s="40">
        <f t="shared" si="5405"/>
        <v>2288.4957083097152</v>
      </c>
      <c r="EG119" s="40">
        <f t="shared" si="5405"/>
        <v>2288.4957083097147</v>
      </c>
      <c r="EH119" s="40">
        <f t="shared" si="5405"/>
        <v>2288.4957083097152</v>
      </c>
      <c r="EI119" s="40">
        <f t="shared" ref="EI119:GT119" si="5406">EI111+EI116</f>
        <v>2288.4957083097152</v>
      </c>
      <c r="EJ119" s="40">
        <f t="shared" si="5406"/>
        <v>2288.4957083097152</v>
      </c>
      <c r="EK119" s="40">
        <f t="shared" si="5406"/>
        <v>2639.8036087314608</v>
      </c>
      <c r="EL119" s="40">
        <f t="shared" si="5406"/>
        <v>2639.8036087314604</v>
      </c>
      <c r="EM119" s="40">
        <f t="shared" si="5406"/>
        <v>2639.8036087314622</v>
      </c>
      <c r="EN119" s="40">
        <f t="shared" si="5406"/>
        <v>2639.8036087314613</v>
      </c>
      <c r="EO119" s="40">
        <f t="shared" si="5406"/>
        <v>2639.8036087314608</v>
      </c>
      <c r="EP119" s="40">
        <f t="shared" si="5406"/>
        <v>2639.8036087314613</v>
      </c>
      <c r="EQ119" s="40">
        <f t="shared" si="5406"/>
        <v>2639.8036087314622</v>
      </c>
      <c r="ER119" s="40">
        <f t="shared" si="5406"/>
        <v>2639.8036087314622</v>
      </c>
      <c r="ES119" s="40">
        <f t="shared" si="5406"/>
        <v>2639.8036087314613</v>
      </c>
      <c r="ET119" s="40">
        <f t="shared" si="5406"/>
        <v>2639.8036087314613</v>
      </c>
      <c r="EU119" s="40">
        <f t="shared" si="5406"/>
        <v>2639.8036087314617</v>
      </c>
      <c r="EV119" s="40">
        <f t="shared" si="5406"/>
        <v>2639.8036087314608</v>
      </c>
      <c r="EW119" s="40">
        <f t="shared" si="5406"/>
        <v>3002.1067054963646</v>
      </c>
      <c r="EX119" s="40">
        <f t="shared" si="5406"/>
        <v>3002.1067054963651</v>
      </c>
      <c r="EY119" s="40">
        <f t="shared" si="5406"/>
        <v>3002.1067054963646</v>
      </c>
      <c r="EZ119" s="40">
        <f t="shared" si="5406"/>
        <v>3002.1067054963646</v>
      </c>
      <c r="FA119" s="40">
        <f t="shared" si="5406"/>
        <v>3002.1067054963646</v>
      </c>
      <c r="FB119" s="40">
        <f t="shared" si="5406"/>
        <v>3002.1067054963651</v>
      </c>
      <c r="FC119" s="40">
        <f t="shared" si="5406"/>
        <v>3002.1067054963646</v>
      </c>
      <c r="FD119" s="40">
        <f t="shared" si="5406"/>
        <v>3002.1067054963646</v>
      </c>
      <c r="FE119" s="40">
        <f t="shared" si="5406"/>
        <v>3002.1067054963646</v>
      </c>
      <c r="FF119" s="40">
        <f t="shared" si="5406"/>
        <v>3002.1067054963651</v>
      </c>
      <c r="FG119" s="40">
        <f t="shared" si="5406"/>
        <v>3002.1067054963637</v>
      </c>
      <c r="FH119" s="40">
        <f t="shared" si="5406"/>
        <v>3002.1067054963646</v>
      </c>
      <c r="FI119" s="40">
        <f t="shared" si="5406"/>
        <v>3375.7445999226989</v>
      </c>
      <c r="FJ119" s="40">
        <f t="shared" si="5406"/>
        <v>3375.7445999226979</v>
      </c>
      <c r="FK119" s="40">
        <f t="shared" si="5406"/>
        <v>3375.7445999226979</v>
      </c>
      <c r="FL119" s="40">
        <f t="shared" si="5406"/>
        <v>3375.7445999226979</v>
      </c>
      <c r="FM119" s="40">
        <f t="shared" si="5406"/>
        <v>3375.7445999226979</v>
      </c>
      <c r="FN119" s="40">
        <f t="shared" si="5406"/>
        <v>3375.7445999226975</v>
      </c>
      <c r="FO119" s="40">
        <f t="shared" si="5406"/>
        <v>3375.744599922697</v>
      </c>
      <c r="FP119" s="40">
        <f t="shared" si="5406"/>
        <v>3375.7445999226975</v>
      </c>
      <c r="FQ119" s="40">
        <f t="shared" si="5406"/>
        <v>3375.744599922697</v>
      </c>
      <c r="FR119" s="40">
        <f t="shared" si="5406"/>
        <v>3375.7445999226966</v>
      </c>
      <c r="FS119" s="40">
        <f t="shared" si="5406"/>
        <v>3375.744599922697</v>
      </c>
      <c r="FT119" s="40">
        <f t="shared" si="5406"/>
        <v>3375.7445999226961</v>
      </c>
      <c r="FU119" s="40">
        <f t="shared" si="5406"/>
        <v>3761.067291932869</v>
      </c>
      <c r="FV119" s="40">
        <f t="shared" si="5406"/>
        <v>3761.067291932869</v>
      </c>
      <c r="FW119" s="40">
        <f t="shared" si="5406"/>
        <v>3761.0672919328695</v>
      </c>
      <c r="FX119" s="40">
        <f t="shared" si="5406"/>
        <v>3761.067291932869</v>
      </c>
      <c r="FY119" s="40">
        <f t="shared" si="5406"/>
        <v>3761.0672919328686</v>
      </c>
      <c r="FZ119" s="40">
        <f t="shared" si="5406"/>
        <v>3761.0672919328681</v>
      </c>
      <c r="GA119" s="40">
        <f t="shared" si="5406"/>
        <v>3761.0672919328676</v>
      </c>
      <c r="GB119" s="40">
        <f t="shared" si="5406"/>
        <v>3761.0672919328681</v>
      </c>
      <c r="GC119" s="40">
        <f t="shared" si="5406"/>
        <v>0</v>
      </c>
      <c r="GD119" s="40">
        <f t="shared" si="5406"/>
        <v>0</v>
      </c>
      <c r="GE119" s="40">
        <f t="shared" si="5406"/>
        <v>0</v>
      </c>
      <c r="GF119" s="40">
        <f t="shared" ca="1" si="5406"/>
        <v>2141625.8806336923</v>
      </c>
      <c r="GG119" s="40">
        <f t="shared" ca="1" si="5406"/>
        <v>0</v>
      </c>
      <c r="GH119" s="40">
        <f t="shared" ca="1" si="5406"/>
        <v>0</v>
      </c>
      <c r="GI119" s="40">
        <f t="shared" ca="1" si="5406"/>
        <v>0</v>
      </c>
      <c r="GJ119" s="40">
        <f t="shared" ca="1" si="5406"/>
        <v>0</v>
      </c>
      <c r="GK119" s="40">
        <f t="shared" ca="1" si="5406"/>
        <v>0</v>
      </c>
      <c r="GL119" s="40">
        <f t="shared" ca="1" si="5406"/>
        <v>0</v>
      </c>
      <c r="GM119" s="40">
        <f t="shared" ca="1" si="5406"/>
        <v>0</v>
      </c>
      <c r="GN119" s="40">
        <f t="shared" ca="1" si="5406"/>
        <v>0</v>
      </c>
      <c r="GO119" s="40">
        <f t="shared" ca="1" si="5406"/>
        <v>0</v>
      </c>
      <c r="GP119" s="40">
        <f t="shared" ca="1" si="5406"/>
        <v>0</v>
      </c>
      <c r="GQ119" s="40">
        <f t="shared" ca="1" si="5406"/>
        <v>0</v>
      </c>
      <c r="GR119" s="40">
        <f t="shared" ca="1" si="5406"/>
        <v>0</v>
      </c>
      <c r="GS119" s="40">
        <f t="shared" ca="1" si="5406"/>
        <v>0</v>
      </c>
      <c r="GT119" s="40">
        <f t="shared" ca="1" si="5406"/>
        <v>0</v>
      </c>
      <c r="GU119" s="40">
        <f t="shared" ref="GU119:IN119" ca="1" si="5407">GU111+GU116</f>
        <v>0</v>
      </c>
      <c r="GV119" s="40">
        <f t="shared" ca="1" si="5407"/>
        <v>0</v>
      </c>
      <c r="GW119" s="40">
        <f t="shared" ca="1" si="5407"/>
        <v>0</v>
      </c>
      <c r="GX119" s="40">
        <f t="shared" ca="1" si="5407"/>
        <v>0</v>
      </c>
      <c r="GY119" s="40">
        <f t="shared" ca="1" si="5407"/>
        <v>0</v>
      </c>
      <c r="GZ119" s="40">
        <f t="shared" ca="1" si="5407"/>
        <v>0</v>
      </c>
      <c r="HA119" s="40">
        <f t="shared" ca="1" si="5407"/>
        <v>0</v>
      </c>
      <c r="HB119" s="40">
        <f t="shared" ca="1" si="5407"/>
        <v>0</v>
      </c>
      <c r="HC119" s="40">
        <f t="shared" ca="1" si="5407"/>
        <v>0</v>
      </c>
      <c r="HD119" s="40">
        <f t="shared" ca="1" si="5407"/>
        <v>0</v>
      </c>
      <c r="HE119" s="40">
        <f t="shared" ca="1" si="5407"/>
        <v>0</v>
      </c>
      <c r="HF119" s="40">
        <f t="shared" ca="1" si="5407"/>
        <v>0</v>
      </c>
      <c r="HG119" s="40">
        <f t="shared" ca="1" si="5407"/>
        <v>0</v>
      </c>
      <c r="HH119" s="40">
        <f t="shared" ca="1" si="5407"/>
        <v>0</v>
      </c>
      <c r="HI119" s="40">
        <f t="shared" ca="1" si="5407"/>
        <v>0</v>
      </c>
      <c r="HJ119" s="40">
        <f t="shared" ca="1" si="5407"/>
        <v>0</v>
      </c>
      <c r="HK119" s="40">
        <f t="shared" ca="1" si="5407"/>
        <v>0</v>
      </c>
      <c r="HL119" s="40">
        <f t="shared" ca="1" si="5407"/>
        <v>0</v>
      </c>
      <c r="HM119" s="40">
        <f t="shared" ca="1" si="5407"/>
        <v>0</v>
      </c>
      <c r="HN119" s="40">
        <f t="shared" ca="1" si="5407"/>
        <v>0</v>
      </c>
      <c r="HO119" s="40">
        <f t="shared" ca="1" si="5407"/>
        <v>0</v>
      </c>
      <c r="HP119" s="40">
        <f t="shared" ca="1" si="5407"/>
        <v>0</v>
      </c>
      <c r="HQ119" s="40">
        <f t="shared" ca="1" si="5407"/>
        <v>0</v>
      </c>
      <c r="HR119" s="40">
        <f t="shared" ca="1" si="5407"/>
        <v>0</v>
      </c>
      <c r="HS119" s="40">
        <f t="shared" ca="1" si="5407"/>
        <v>0</v>
      </c>
      <c r="HT119" s="40">
        <f t="shared" ca="1" si="5407"/>
        <v>0</v>
      </c>
      <c r="HU119" s="40">
        <f t="shared" ca="1" si="5407"/>
        <v>0</v>
      </c>
      <c r="HV119" s="40">
        <f t="shared" ca="1" si="5407"/>
        <v>0</v>
      </c>
      <c r="HW119" s="40">
        <f t="shared" ca="1" si="5407"/>
        <v>0</v>
      </c>
      <c r="HX119" s="40">
        <f t="shared" ca="1" si="5407"/>
        <v>0</v>
      </c>
      <c r="HY119" s="40">
        <f t="shared" ca="1" si="5407"/>
        <v>0</v>
      </c>
      <c r="HZ119" s="40">
        <f t="shared" ca="1" si="5407"/>
        <v>0</v>
      </c>
      <c r="IA119" s="40">
        <f t="shared" ca="1" si="5407"/>
        <v>0</v>
      </c>
      <c r="IB119" s="40">
        <f t="shared" ca="1" si="5407"/>
        <v>0</v>
      </c>
      <c r="IC119" s="40">
        <f t="shared" ca="1" si="5407"/>
        <v>0</v>
      </c>
      <c r="ID119" s="40">
        <f t="shared" ca="1" si="5407"/>
        <v>0</v>
      </c>
      <c r="IE119" s="40">
        <f t="shared" ca="1" si="5407"/>
        <v>0</v>
      </c>
      <c r="IF119" s="40">
        <f t="shared" ca="1" si="5407"/>
        <v>0</v>
      </c>
      <c r="IG119" s="40">
        <f t="shared" ca="1" si="5407"/>
        <v>0</v>
      </c>
      <c r="IH119" s="40">
        <f t="shared" ca="1" si="5407"/>
        <v>0</v>
      </c>
      <c r="II119" s="40">
        <f t="shared" ca="1" si="5407"/>
        <v>0</v>
      </c>
      <c r="IJ119" s="40">
        <f t="shared" ca="1" si="5407"/>
        <v>0</v>
      </c>
      <c r="IK119" s="40">
        <f t="shared" ca="1" si="5407"/>
        <v>0</v>
      </c>
      <c r="IL119" s="40">
        <f t="shared" ca="1" si="5407"/>
        <v>0</v>
      </c>
      <c r="IM119" s="40">
        <f t="shared" ca="1" si="5407"/>
        <v>0</v>
      </c>
      <c r="IN119" s="40">
        <f t="shared" ca="1" si="5407"/>
        <v>0</v>
      </c>
      <c r="IO119" s="40">
        <f t="shared" ref="IO119:KZ119" ca="1" si="5408">IO111+IO116</f>
        <v>0</v>
      </c>
      <c r="IP119" s="40">
        <f t="shared" ca="1" si="5408"/>
        <v>0</v>
      </c>
      <c r="IQ119" s="40">
        <f t="shared" ca="1" si="5408"/>
        <v>0</v>
      </c>
      <c r="IR119" s="40">
        <f t="shared" ca="1" si="5408"/>
        <v>0</v>
      </c>
      <c r="IS119" s="40">
        <f t="shared" ca="1" si="5408"/>
        <v>0</v>
      </c>
      <c r="IT119" s="40">
        <f t="shared" ca="1" si="5408"/>
        <v>0</v>
      </c>
      <c r="IU119" s="40">
        <f t="shared" ca="1" si="5408"/>
        <v>0</v>
      </c>
      <c r="IV119" s="40">
        <f t="shared" ca="1" si="5408"/>
        <v>0</v>
      </c>
      <c r="IW119" s="40">
        <f t="shared" ca="1" si="5408"/>
        <v>0</v>
      </c>
      <c r="IX119" s="40">
        <f t="shared" ca="1" si="5408"/>
        <v>0</v>
      </c>
      <c r="IY119" s="40">
        <f t="shared" ca="1" si="5408"/>
        <v>0</v>
      </c>
      <c r="IZ119" s="40">
        <f t="shared" ca="1" si="5408"/>
        <v>0</v>
      </c>
      <c r="JA119" s="40">
        <f t="shared" ca="1" si="5408"/>
        <v>0</v>
      </c>
      <c r="JB119" s="40">
        <f t="shared" ca="1" si="5408"/>
        <v>0</v>
      </c>
      <c r="JC119" s="40">
        <f t="shared" ca="1" si="5408"/>
        <v>0</v>
      </c>
      <c r="JD119" s="40">
        <f t="shared" ca="1" si="5408"/>
        <v>0</v>
      </c>
      <c r="JE119" s="40">
        <f t="shared" ca="1" si="5408"/>
        <v>0</v>
      </c>
      <c r="JF119" s="40">
        <f t="shared" ca="1" si="5408"/>
        <v>0</v>
      </c>
      <c r="JG119" s="40">
        <f t="shared" ca="1" si="5408"/>
        <v>0</v>
      </c>
      <c r="JH119" s="40">
        <f t="shared" ca="1" si="5408"/>
        <v>0</v>
      </c>
      <c r="JI119" s="40">
        <f t="shared" ca="1" si="5408"/>
        <v>0</v>
      </c>
      <c r="JJ119" s="40">
        <f t="shared" ca="1" si="5408"/>
        <v>0</v>
      </c>
      <c r="JK119" s="40">
        <f t="shared" ca="1" si="5408"/>
        <v>0</v>
      </c>
      <c r="JL119" s="40">
        <f t="shared" ca="1" si="5408"/>
        <v>0</v>
      </c>
      <c r="JM119" s="40">
        <f t="shared" ca="1" si="5408"/>
        <v>0</v>
      </c>
      <c r="JN119" s="40">
        <f t="shared" ca="1" si="5408"/>
        <v>0</v>
      </c>
      <c r="JO119" s="40">
        <f t="shared" ca="1" si="5408"/>
        <v>0</v>
      </c>
      <c r="JP119" s="40">
        <f t="shared" ca="1" si="5408"/>
        <v>0</v>
      </c>
      <c r="JQ119" s="40">
        <f t="shared" ca="1" si="5408"/>
        <v>0</v>
      </c>
      <c r="JR119" s="40">
        <f t="shared" ca="1" si="5408"/>
        <v>0</v>
      </c>
      <c r="JS119" s="40">
        <f t="shared" ca="1" si="5408"/>
        <v>0</v>
      </c>
      <c r="JT119" s="40">
        <f t="shared" ca="1" si="5408"/>
        <v>0</v>
      </c>
      <c r="JU119" s="40">
        <f t="shared" ca="1" si="5408"/>
        <v>0</v>
      </c>
      <c r="JV119" s="40">
        <f t="shared" ca="1" si="5408"/>
        <v>0</v>
      </c>
      <c r="JW119" s="40">
        <f t="shared" ca="1" si="5408"/>
        <v>0</v>
      </c>
      <c r="JX119" s="40">
        <f t="shared" ca="1" si="5408"/>
        <v>0</v>
      </c>
      <c r="JY119" s="40">
        <f t="shared" ca="1" si="5408"/>
        <v>0</v>
      </c>
      <c r="JZ119" s="40">
        <f t="shared" ca="1" si="5408"/>
        <v>0</v>
      </c>
      <c r="KA119" s="40">
        <f t="shared" ca="1" si="5408"/>
        <v>0</v>
      </c>
      <c r="KB119" s="40">
        <f t="shared" ca="1" si="5408"/>
        <v>0</v>
      </c>
      <c r="KC119" s="40">
        <f t="shared" ca="1" si="5408"/>
        <v>0</v>
      </c>
      <c r="KD119" s="40">
        <f t="shared" ca="1" si="5408"/>
        <v>0</v>
      </c>
      <c r="KE119" s="40">
        <f t="shared" ca="1" si="5408"/>
        <v>0</v>
      </c>
      <c r="KF119" s="40">
        <f t="shared" ca="1" si="5408"/>
        <v>0</v>
      </c>
      <c r="KG119" s="40">
        <f t="shared" ca="1" si="5408"/>
        <v>0</v>
      </c>
      <c r="KH119" s="40">
        <f t="shared" ca="1" si="5408"/>
        <v>0</v>
      </c>
      <c r="KI119" s="40">
        <f t="shared" ca="1" si="5408"/>
        <v>0</v>
      </c>
      <c r="KJ119" s="40">
        <f t="shared" ca="1" si="5408"/>
        <v>0</v>
      </c>
      <c r="KK119" s="40">
        <f t="shared" ca="1" si="5408"/>
        <v>0</v>
      </c>
      <c r="KL119" s="40">
        <f t="shared" ca="1" si="5408"/>
        <v>0</v>
      </c>
      <c r="KM119" s="40">
        <f t="shared" ca="1" si="5408"/>
        <v>0</v>
      </c>
      <c r="KN119" s="40">
        <f t="shared" ca="1" si="5408"/>
        <v>0</v>
      </c>
      <c r="KO119" s="40">
        <f t="shared" ca="1" si="5408"/>
        <v>0</v>
      </c>
      <c r="KP119" s="40">
        <f t="shared" ca="1" si="5408"/>
        <v>0</v>
      </c>
      <c r="KQ119" s="40">
        <f t="shared" ca="1" si="5408"/>
        <v>0</v>
      </c>
      <c r="KR119" s="40">
        <f t="shared" ca="1" si="5408"/>
        <v>0</v>
      </c>
      <c r="KS119" s="40">
        <f t="shared" ca="1" si="5408"/>
        <v>0</v>
      </c>
      <c r="KT119" s="40">
        <f t="shared" ca="1" si="5408"/>
        <v>0</v>
      </c>
      <c r="KU119" s="40">
        <f t="shared" ca="1" si="5408"/>
        <v>0</v>
      </c>
      <c r="KV119" s="40">
        <f t="shared" ca="1" si="5408"/>
        <v>0</v>
      </c>
      <c r="KW119" s="40">
        <f t="shared" ca="1" si="5408"/>
        <v>0</v>
      </c>
      <c r="KX119" s="40">
        <f t="shared" ca="1" si="5408"/>
        <v>0</v>
      </c>
      <c r="KY119" s="40">
        <f t="shared" ca="1" si="5408"/>
        <v>0</v>
      </c>
      <c r="KZ119" s="40">
        <f t="shared" ca="1" si="5408"/>
        <v>0</v>
      </c>
      <c r="LA119" s="40">
        <f t="shared" ref="LA119:ND119" ca="1" si="5409">LA111+LA116</f>
        <v>0</v>
      </c>
      <c r="LB119" s="40">
        <f t="shared" ca="1" si="5409"/>
        <v>0</v>
      </c>
      <c r="LC119" s="40">
        <f t="shared" ca="1" si="5409"/>
        <v>0</v>
      </c>
      <c r="LD119" s="40">
        <f t="shared" ca="1" si="5409"/>
        <v>0</v>
      </c>
      <c r="LE119" s="40">
        <f t="shared" ca="1" si="5409"/>
        <v>0</v>
      </c>
      <c r="LF119" s="40">
        <f t="shared" ca="1" si="5409"/>
        <v>0</v>
      </c>
      <c r="LG119" s="40">
        <f t="shared" ca="1" si="5409"/>
        <v>0</v>
      </c>
      <c r="LH119" s="40">
        <f t="shared" ca="1" si="5409"/>
        <v>0</v>
      </c>
      <c r="LI119" s="40">
        <f t="shared" ca="1" si="5409"/>
        <v>0</v>
      </c>
      <c r="LJ119" s="40">
        <f t="shared" ca="1" si="5409"/>
        <v>0</v>
      </c>
      <c r="LK119" s="40">
        <f t="shared" ca="1" si="5409"/>
        <v>0</v>
      </c>
      <c r="LL119" s="40">
        <f t="shared" ca="1" si="5409"/>
        <v>0</v>
      </c>
      <c r="LM119" s="40">
        <f t="shared" ca="1" si="5409"/>
        <v>0</v>
      </c>
      <c r="LN119" s="40">
        <f t="shared" ca="1" si="5409"/>
        <v>0</v>
      </c>
      <c r="LO119" s="40">
        <f t="shared" ca="1" si="5409"/>
        <v>0</v>
      </c>
      <c r="LP119" s="40">
        <f t="shared" ca="1" si="5409"/>
        <v>0</v>
      </c>
      <c r="LQ119" s="40">
        <f t="shared" ca="1" si="5409"/>
        <v>0</v>
      </c>
      <c r="LR119" s="40">
        <f t="shared" ca="1" si="5409"/>
        <v>0</v>
      </c>
      <c r="LS119" s="40">
        <f t="shared" ca="1" si="5409"/>
        <v>0</v>
      </c>
      <c r="LT119" s="40">
        <f t="shared" ca="1" si="5409"/>
        <v>0</v>
      </c>
      <c r="LU119" s="40">
        <f t="shared" ca="1" si="5409"/>
        <v>0</v>
      </c>
      <c r="LV119" s="40">
        <f t="shared" ca="1" si="5409"/>
        <v>0</v>
      </c>
      <c r="LW119" s="40">
        <f t="shared" ca="1" si="5409"/>
        <v>0</v>
      </c>
      <c r="LX119" s="40">
        <f t="shared" ca="1" si="5409"/>
        <v>0</v>
      </c>
      <c r="LY119" s="40">
        <f t="shared" ca="1" si="5409"/>
        <v>0</v>
      </c>
      <c r="LZ119" s="40">
        <f t="shared" ca="1" si="5409"/>
        <v>0</v>
      </c>
      <c r="MA119" s="40">
        <f t="shared" ca="1" si="5409"/>
        <v>0</v>
      </c>
      <c r="MB119" s="40">
        <f t="shared" ca="1" si="5409"/>
        <v>0</v>
      </c>
      <c r="MC119" s="40">
        <f t="shared" ca="1" si="5409"/>
        <v>0</v>
      </c>
      <c r="MD119" s="40">
        <f t="shared" ca="1" si="5409"/>
        <v>0</v>
      </c>
      <c r="ME119" s="40">
        <f t="shared" ca="1" si="5409"/>
        <v>0</v>
      </c>
      <c r="MF119" s="40">
        <f t="shared" ca="1" si="5409"/>
        <v>0</v>
      </c>
      <c r="MG119" s="40">
        <f t="shared" ca="1" si="5409"/>
        <v>0</v>
      </c>
      <c r="MH119" s="40">
        <f t="shared" ca="1" si="5409"/>
        <v>0</v>
      </c>
      <c r="MI119" s="40">
        <f t="shared" ca="1" si="5409"/>
        <v>0</v>
      </c>
      <c r="MJ119" s="40">
        <f t="shared" ca="1" si="5409"/>
        <v>0</v>
      </c>
      <c r="MK119" s="40">
        <f t="shared" ca="1" si="5409"/>
        <v>0</v>
      </c>
      <c r="ML119" s="40">
        <f t="shared" ca="1" si="5409"/>
        <v>0</v>
      </c>
      <c r="MM119" s="40">
        <f t="shared" ca="1" si="5409"/>
        <v>0</v>
      </c>
      <c r="MN119" s="40">
        <f t="shared" ca="1" si="5409"/>
        <v>0</v>
      </c>
      <c r="MO119" s="40">
        <f t="shared" ca="1" si="5409"/>
        <v>0</v>
      </c>
      <c r="MP119" s="40">
        <f t="shared" ca="1" si="5409"/>
        <v>0</v>
      </c>
      <c r="MQ119" s="40">
        <f t="shared" ca="1" si="5409"/>
        <v>0</v>
      </c>
      <c r="MR119" s="40">
        <f t="shared" ca="1" si="5409"/>
        <v>0</v>
      </c>
      <c r="MS119" s="40">
        <f t="shared" ca="1" si="5409"/>
        <v>0</v>
      </c>
      <c r="MT119" s="40">
        <f t="shared" ca="1" si="5409"/>
        <v>0</v>
      </c>
      <c r="MU119" s="40">
        <f t="shared" ca="1" si="5409"/>
        <v>0</v>
      </c>
      <c r="MV119" s="40">
        <f t="shared" ca="1" si="5409"/>
        <v>0</v>
      </c>
      <c r="MW119" s="40">
        <f t="shared" ca="1" si="5409"/>
        <v>0</v>
      </c>
      <c r="MX119" s="40">
        <f t="shared" ca="1" si="5409"/>
        <v>0</v>
      </c>
      <c r="MY119" s="40">
        <f t="shared" ca="1" si="5409"/>
        <v>0</v>
      </c>
      <c r="MZ119" s="40">
        <f t="shared" ca="1" si="5409"/>
        <v>0</v>
      </c>
      <c r="NA119" s="40">
        <f t="shared" ca="1" si="5409"/>
        <v>0</v>
      </c>
      <c r="NB119" s="40">
        <f t="shared" ca="1" si="5409"/>
        <v>0</v>
      </c>
      <c r="NC119" s="40">
        <f t="shared" ca="1" si="5409"/>
        <v>0</v>
      </c>
      <c r="ND119" s="40">
        <f t="shared" ca="1" si="5409"/>
        <v>0</v>
      </c>
      <c r="NE119" s="40"/>
      <c r="NF119" s="40"/>
      <c r="NG119" s="40"/>
      <c r="NH119" s="40"/>
      <c r="NI119" s="40"/>
      <c r="NJ119" s="40"/>
      <c r="NK119" s="40"/>
      <c r="NL119" s="40"/>
      <c r="NM119" s="40"/>
      <c r="NN119" s="40"/>
      <c r="NO119" s="40"/>
      <c r="NP119" s="40"/>
      <c r="NQ119" s="40"/>
      <c r="NR119" s="40"/>
    </row>
    <row r="120" spans="2:382" x14ac:dyDescent="0.15">
      <c r="B120" s="522"/>
      <c r="C120" s="156" t="str">
        <f>C4</f>
        <v>Brian</v>
      </c>
      <c r="D120" s="243">
        <f t="shared" ref="D120:D123" ca="1" si="5410">IFERROR(XIRR($H120:$ND120,$H$21:$ND$21),"-")</f>
        <v>7.3946443200111414E-2</v>
      </c>
      <c r="E120" s="121">
        <f ca="1">IFERROR(XNPV('Deal Summary'!$E$63,$I120:$ND120,$I$21:$ND$21)+H120,"-")</f>
        <v>50684.168114138185</v>
      </c>
      <c r="F120" s="245">
        <f ca="1">IFERROR((SUM(H120:ND120)+'Investors Breakdown'!$E19)/'Investors Breakdown'!$E19,"-")</f>
        <v>3.0374821625155617</v>
      </c>
      <c r="H120" s="129">
        <f>$D112*'Monthly P&amp;L'!$F$78</f>
        <v>-755905.2</v>
      </c>
      <c r="I120" s="40">
        <f>I112</f>
        <v>-31938.513322499999</v>
      </c>
      <c r="J120" s="40">
        <f t="shared" ref="J120" si="5411">J112</f>
        <v>-31938.513322499999</v>
      </c>
      <c r="K120" s="40">
        <f t="shared" ref="K120:BV120" si="5412">K112</f>
        <v>-31938.513322499992</v>
      </c>
      <c r="L120" s="40">
        <f t="shared" si="5412"/>
        <v>0</v>
      </c>
      <c r="M120" s="40">
        <f t="shared" si="5412"/>
        <v>0</v>
      </c>
      <c r="N120" s="40">
        <f t="shared" si="5412"/>
        <v>0</v>
      </c>
      <c r="O120" s="40">
        <f t="shared" si="5412"/>
        <v>0</v>
      </c>
      <c r="P120" s="40">
        <f t="shared" si="5412"/>
        <v>0</v>
      </c>
      <c r="Q120" s="40">
        <f t="shared" si="5412"/>
        <v>0</v>
      </c>
      <c r="R120" s="40">
        <f t="shared" si="5412"/>
        <v>0</v>
      </c>
      <c r="S120" s="40">
        <f t="shared" si="5412"/>
        <v>0</v>
      </c>
      <c r="T120" s="40">
        <f t="shared" si="5412"/>
        <v>0</v>
      </c>
      <c r="U120" s="40">
        <f t="shared" si="5412"/>
        <v>0</v>
      </c>
      <c r="V120" s="40">
        <f t="shared" si="5412"/>
        <v>0</v>
      </c>
      <c r="W120" s="40">
        <f t="shared" si="5412"/>
        <v>0</v>
      </c>
      <c r="X120" s="40">
        <f t="shared" si="5412"/>
        <v>0</v>
      </c>
      <c r="Y120" s="40">
        <f t="shared" si="5412"/>
        <v>0</v>
      </c>
      <c r="Z120" s="40">
        <f t="shared" si="5412"/>
        <v>0</v>
      </c>
      <c r="AA120" s="40">
        <f t="shared" si="5412"/>
        <v>0</v>
      </c>
      <c r="AB120" s="40">
        <f t="shared" si="5412"/>
        <v>0</v>
      </c>
      <c r="AC120" s="40">
        <f t="shared" si="5412"/>
        <v>0</v>
      </c>
      <c r="AD120" s="40">
        <f t="shared" si="5412"/>
        <v>0</v>
      </c>
      <c r="AE120" s="40">
        <f t="shared" si="5412"/>
        <v>0</v>
      </c>
      <c r="AF120" s="40">
        <f t="shared" si="5412"/>
        <v>0</v>
      </c>
      <c r="AG120" s="40">
        <f t="shared" si="5412"/>
        <v>0</v>
      </c>
      <c r="AH120" s="40">
        <f t="shared" si="5412"/>
        <v>0</v>
      </c>
      <c r="AI120" s="40">
        <f t="shared" si="5412"/>
        <v>0</v>
      </c>
      <c r="AJ120" s="40">
        <f t="shared" si="5412"/>
        <v>0</v>
      </c>
      <c r="AK120" s="40">
        <f t="shared" si="5412"/>
        <v>0</v>
      </c>
      <c r="AL120" s="40">
        <f t="shared" si="5412"/>
        <v>0</v>
      </c>
      <c r="AM120" s="40">
        <f t="shared" si="5412"/>
        <v>0</v>
      </c>
      <c r="AN120" s="40">
        <f t="shared" si="5412"/>
        <v>0</v>
      </c>
      <c r="AO120" s="40">
        <f t="shared" si="5412"/>
        <v>0</v>
      </c>
      <c r="AP120" s="40">
        <f t="shared" si="5412"/>
        <v>0</v>
      </c>
      <c r="AQ120" s="40">
        <f t="shared" si="5412"/>
        <v>0</v>
      </c>
      <c r="AR120" s="40">
        <f t="shared" si="5412"/>
        <v>0</v>
      </c>
      <c r="AS120" s="40">
        <f t="shared" si="5412"/>
        <v>110.72524415783781</v>
      </c>
      <c r="AT120" s="40">
        <f t="shared" si="5412"/>
        <v>110.72524415783781</v>
      </c>
      <c r="AU120" s="40">
        <f t="shared" si="5412"/>
        <v>110.72524415783781</v>
      </c>
      <c r="AV120" s="40">
        <f t="shared" si="5412"/>
        <v>110.72524415783781</v>
      </c>
      <c r="AW120" s="40">
        <f t="shared" si="5412"/>
        <v>110.72524415783781</v>
      </c>
      <c r="AX120" s="40">
        <f t="shared" si="5412"/>
        <v>110.72524415783781</v>
      </c>
      <c r="AY120" s="40">
        <f t="shared" si="5412"/>
        <v>110.72524415783781</v>
      </c>
      <c r="AZ120" s="40">
        <f t="shared" si="5412"/>
        <v>110.72524415783781</v>
      </c>
      <c r="BA120" s="40">
        <f t="shared" si="5412"/>
        <v>110.72524415783781</v>
      </c>
      <c r="BB120" s="40">
        <f t="shared" si="5412"/>
        <v>110.72524415783781</v>
      </c>
      <c r="BC120" s="40">
        <f t="shared" si="5412"/>
        <v>110.72524415783781</v>
      </c>
      <c r="BD120" s="40">
        <f t="shared" si="5412"/>
        <v>110.72524415783781</v>
      </c>
      <c r="BE120" s="40">
        <f t="shared" si="5412"/>
        <v>393.7644214373492</v>
      </c>
      <c r="BF120" s="40">
        <f t="shared" si="5412"/>
        <v>393.76442143734914</v>
      </c>
      <c r="BG120" s="40">
        <f t="shared" si="5412"/>
        <v>393.76442143734914</v>
      </c>
      <c r="BH120" s="40">
        <f t="shared" si="5412"/>
        <v>393.76442143734909</v>
      </c>
      <c r="BI120" s="40">
        <f t="shared" si="5412"/>
        <v>393.76442143734914</v>
      </c>
      <c r="BJ120" s="40">
        <f t="shared" si="5412"/>
        <v>393.76442143734909</v>
      </c>
      <c r="BK120" s="40">
        <f t="shared" si="5412"/>
        <v>393.76442143734914</v>
      </c>
      <c r="BL120" s="40">
        <f t="shared" si="5412"/>
        <v>393.76442143734909</v>
      </c>
      <c r="BM120" s="40">
        <f t="shared" si="5412"/>
        <v>393.76442143734909</v>
      </c>
      <c r="BN120" s="40">
        <f t="shared" si="5412"/>
        <v>393.76442143734897</v>
      </c>
      <c r="BO120" s="40">
        <f t="shared" si="5412"/>
        <v>393.76442143734909</v>
      </c>
      <c r="BP120" s="40">
        <f t="shared" si="5412"/>
        <v>393.76442143734897</v>
      </c>
      <c r="BQ120" s="40">
        <f t="shared" si="5412"/>
        <v>685.68804493039875</v>
      </c>
      <c r="BR120" s="40">
        <f t="shared" si="5412"/>
        <v>685.68804493039863</v>
      </c>
      <c r="BS120" s="40">
        <f t="shared" si="5412"/>
        <v>685.68804493039875</v>
      </c>
      <c r="BT120" s="40">
        <f t="shared" si="5412"/>
        <v>685.68804493039875</v>
      </c>
      <c r="BU120" s="40">
        <f t="shared" si="5412"/>
        <v>685.68804493039886</v>
      </c>
      <c r="BV120" s="40">
        <f t="shared" si="5412"/>
        <v>685.68804493039875</v>
      </c>
      <c r="BW120" s="40">
        <f t="shared" ref="BW120:EH120" si="5413">BW112</f>
        <v>685.68804493039886</v>
      </c>
      <c r="BX120" s="40">
        <f t="shared" si="5413"/>
        <v>685.68804493039886</v>
      </c>
      <c r="BY120" s="40">
        <f t="shared" si="5413"/>
        <v>685.68804493039886</v>
      </c>
      <c r="BZ120" s="40">
        <f t="shared" si="5413"/>
        <v>685.68804493039886</v>
      </c>
      <c r="CA120" s="40">
        <f t="shared" si="5413"/>
        <v>685.68804493039897</v>
      </c>
      <c r="CB120" s="40">
        <f t="shared" si="5413"/>
        <v>685.68804493039886</v>
      </c>
      <c r="CC120" s="40">
        <f t="shared" si="5413"/>
        <v>986.77104027638143</v>
      </c>
      <c r="CD120" s="40">
        <f t="shared" si="5413"/>
        <v>986.77104027638143</v>
      </c>
      <c r="CE120" s="40">
        <f t="shared" si="5413"/>
        <v>986.77104027638143</v>
      </c>
      <c r="CF120" s="40">
        <f t="shared" si="5413"/>
        <v>986.7710402763812</v>
      </c>
      <c r="CG120" s="40">
        <f t="shared" si="5413"/>
        <v>986.77104027638143</v>
      </c>
      <c r="CH120" s="40">
        <f t="shared" si="5413"/>
        <v>986.7710402763812</v>
      </c>
      <c r="CI120" s="40">
        <f t="shared" si="5413"/>
        <v>986.7710402763812</v>
      </c>
      <c r="CJ120" s="40">
        <f t="shared" si="5413"/>
        <v>986.77104027638097</v>
      </c>
      <c r="CK120" s="40">
        <f t="shared" si="5413"/>
        <v>986.7710402763812</v>
      </c>
      <c r="CL120" s="40">
        <f t="shared" si="5413"/>
        <v>986.7710402763812</v>
      </c>
      <c r="CM120" s="40">
        <f t="shared" si="5413"/>
        <v>986.7710402763812</v>
      </c>
      <c r="CN120" s="40">
        <f t="shared" si="5413"/>
        <v>986.77104027638097</v>
      </c>
      <c r="CO120" s="40">
        <f t="shared" si="5413"/>
        <v>1297.2967618998043</v>
      </c>
      <c r="CP120" s="40">
        <f t="shared" si="5413"/>
        <v>1297.2967618998043</v>
      </c>
      <c r="CQ120" s="40">
        <f t="shared" si="5413"/>
        <v>1297.2967618998043</v>
      </c>
      <c r="CR120" s="40">
        <f t="shared" si="5413"/>
        <v>1297.2967618998041</v>
      </c>
      <c r="CS120" s="40">
        <f t="shared" si="5413"/>
        <v>1297.2967618998041</v>
      </c>
      <c r="CT120" s="40">
        <f t="shared" si="5413"/>
        <v>1297.2967618998043</v>
      </c>
      <c r="CU120" s="40">
        <f t="shared" si="5413"/>
        <v>1297.2967618998041</v>
      </c>
      <c r="CV120" s="40">
        <f t="shared" si="5413"/>
        <v>1297.2967618998041</v>
      </c>
      <c r="CW120" s="40">
        <f t="shared" si="5413"/>
        <v>1297.2967618998043</v>
      </c>
      <c r="CX120" s="40">
        <f t="shared" si="5413"/>
        <v>1297.2967618998041</v>
      </c>
      <c r="CY120" s="40">
        <f t="shared" si="5413"/>
        <v>1297.2967618998041</v>
      </c>
      <c r="CZ120" s="40">
        <f t="shared" si="5413"/>
        <v>1297.2967618998041</v>
      </c>
      <c r="DA120" s="40">
        <f t="shared" si="5413"/>
        <v>1617.5572498234512</v>
      </c>
      <c r="DB120" s="40">
        <f t="shared" si="5413"/>
        <v>1617.5572498234512</v>
      </c>
      <c r="DC120" s="40">
        <f t="shared" si="5413"/>
        <v>1617.5572498234512</v>
      </c>
      <c r="DD120" s="40">
        <f t="shared" si="5413"/>
        <v>1617.5572498234512</v>
      </c>
      <c r="DE120" s="40">
        <f t="shared" si="5413"/>
        <v>1617.5572498234512</v>
      </c>
      <c r="DF120" s="40">
        <f t="shared" si="5413"/>
        <v>1617.5572498234512</v>
      </c>
      <c r="DG120" s="40">
        <f t="shared" si="5413"/>
        <v>1617.5572498234512</v>
      </c>
      <c r="DH120" s="40">
        <f t="shared" si="5413"/>
        <v>1617.5572498234512</v>
      </c>
      <c r="DI120" s="40">
        <f t="shared" si="5413"/>
        <v>1617.5572498234512</v>
      </c>
      <c r="DJ120" s="40">
        <f t="shared" si="5413"/>
        <v>1617.5572498234512</v>
      </c>
      <c r="DK120" s="40">
        <f t="shared" si="5413"/>
        <v>1617.5572498234512</v>
      </c>
      <c r="DL120" s="40">
        <f t="shared" si="5413"/>
        <v>1617.5572498234512</v>
      </c>
      <c r="DM120" s="40">
        <f t="shared" si="5413"/>
        <v>1947.8534942731173</v>
      </c>
      <c r="DN120" s="40">
        <f t="shared" si="5413"/>
        <v>1947.8534942731173</v>
      </c>
      <c r="DO120" s="40">
        <f t="shared" si="5413"/>
        <v>1947.8534942731176</v>
      </c>
      <c r="DP120" s="40">
        <f t="shared" si="5413"/>
        <v>1947.8534942731173</v>
      </c>
      <c r="DQ120" s="40">
        <f t="shared" si="5413"/>
        <v>1947.8534942731173</v>
      </c>
      <c r="DR120" s="40">
        <f t="shared" si="5413"/>
        <v>1947.8534942731173</v>
      </c>
      <c r="DS120" s="40">
        <f t="shared" si="5413"/>
        <v>1947.8534942731173</v>
      </c>
      <c r="DT120" s="40">
        <f t="shared" si="5413"/>
        <v>1947.8534942731173</v>
      </c>
      <c r="DU120" s="40">
        <f t="shared" si="5413"/>
        <v>1947.8534942731169</v>
      </c>
      <c r="DV120" s="40">
        <f t="shared" si="5413"/>
        <v>1947.8534942731169</v>
      </c>
      <c r="DW120" s="40">
        <f t="shared" si="5413"/>
        <v>1947.8534942731173</v>
      </c>
      <c r="DX120" s="40">
        <f t="shared" si="5413"/>
        <v>1947.8534942731176</v>
      </c>
      <c r="DY120" s="40">
        <f t="shared" si="5413"/>
        <v>2288.4957083097142</v>
      </c>
      <c r="DZ120" s="40">
        <f t="shared" si="5413"/>
        <v>2288.4957083097138</v>
      </c>
      <c r="EA120" s="40">
        <f t="shared" si="5413"/>
        <v>2288.4957083097147</v>
      </c>
      <c r="EB120" s="40">
        <f t="shared" si="5413"/>
        <v>2288.4957083097142</v>
      </c>
      <c r="EC120" s="40">
        <f t="shared" si="5413"/>
        <v>2288.4957083097142</v>
      </c>
      <c r="ED120" s="40">
        <f t="shared" si="5413"/>
        <v>2288.4957083097156</v>
      </c>
      <c r="EE120" s="40">
        <f t="shared" si="5413"/>
        <v>2288.4957083097147</v>
      </c>
      <c r="EF120" s="40">
        <f t="shared" si="5413"/>
        <v>2288.4957083097147</v>
      </c>
      <c r="EG120" s="40">
        <f t="shared" si="5413"/>
        <v>2288.4957083097147</v>
      </c>
      <c r="EH120" s="40">
        <f t="shared" si="5413"/>
        <v>2288.4957083097147</v>
      </c>
      <c r="EI120" s="40">
        <f t="shared" ref="EI120:GT120" si="5414">EI112</f>
        <v>2288.4957083097152</v>
      </c>
      <c r="EJ120" s="40">
        <f t="shared" si="5414"/>
        <v>2288.4957083097147</v>
      </c>
      <c r="EK120" s="40">
        <f t="shared" si="5414"/>
        <v>2639.8036087314604</v>
      </c>
      <c r="EL120" s="40">
        <f t="shared" si="5414"/>
        <v>2639.8036087314604</v>
      </c>
      <c r="EM120" s="40">
        <f t="shared" si="5414"/>
        <v>2639.8036087314613</v>
      </c>
      <c r="EN120" s="40">
        <f t="shared" si="5414"/>
        <v>2639.8036087314608</v>
      </c>
      <c r="EO120" s="40">
        <f t="shared" si="5414"/>
        <v>2639.8036087314608</v>
      </c>
      <c r="EP120" s="40">
        <f t="shared" si="5414"/>
        <v>2639.8036087314608</v>
      </c>
      <c r="EQ120" s="40">
        <f t="shared" si="5414"/>
        <v>2639.8036087314622</v>
      </c>
      <c r="ER120" s="40">
        <f t="shared" si="5414"/>
        <v>2639.8036087314613</v>
      </c>
      <c r="ES120" s="40">
        <f t="shared" si="5414"/>
        <v>2639.8036087314608</v>
      </c>
      <c r="ET120" s="40">
        <f t="shared" si="5414"/>
        <v>2639.8036087314613</v>
      </c>
      <c r="EU120" s="40">
        <f t="shared" si="5414"/>
        <v>2639.8036087314613</v>
      </c>
      <c r="EV120" s="40">
        <f t="shared" si="5414"/>
        <v>2639.8036087314608</v>
      </c>
      <c r="EW120" s="40">
        <f t="shared" si="5414"/>
        <v>3002.1067054963646</v>
      </c>
      <c r="EX120" s="40">
        <f t="shared" si="5414"/>
        <v>3002.1067054963646</v>
      </c>
      <c r="EY120" s="40">
        <f t="shared" si="5414"/>
        <v>3002.1067054963637</v>
      </c>
      <c r="EZ120" s="40">
        <f t="shared" si="5414"/>
        <v>3002.1067054963637</v>
      </c>
      <c r="FA120" s="40">
        <f t="shared" si="5414"/>
        <v>3002.1067054963637</v>
      </c>
      <c r="FB120" s="40">
        <f t="shared" si="5414"/>
        <v>3002.1067054963637</v>
      </c>
      <c r="FC120" s="40">
        <f t="shared" si="5414"/>
        <v>3002.1067054963637</v>
      </c>
      <c r="FD120" s="40">
        <f t="shared" si="5414"/>
        <v>3002.1067054963637</v>
      </c>
      <c r="FE120" s="40">
        <f t="shared" si="5414"/>
        <v>3002.1067054963637</v>
      </c>
      <c r="FF120" s="40">
        <f t="shared" si="5414"/>
        <v>3002.1067054963646</v>
      </c>
      <c r="FG120" s="40">
        <f t="shared" si="5414"/>
        <v>3002.1067054963632</v>
      </c>
      <c r="FH120" s="40">
        <f t="shared" si="5414"/>
        <v>3002.1067054963637</v>
      </c>
      <c r="FI120" s="40">
        <f t="shared" si="5414"/>
        <v>3375.7445999226979</v>
      </c>
      <c r="FJ120" s="40">
        <f t="shared" si="5414"/>
        <v>3375.7445999226975</v>
      </c>
      <c r="FK120" s="40">
        <f t="shared" si="5414"/>
        <v>3375.7445999226975</v>
      </c>
      <c r="FL120" s="40">
        <f t="shared" si="5414"/>
        <v>3375.7445999226975</v>
      </c>
      <c r="FM120" s="40">
        <f t="shared" si="5414"/>
        <v>3375.7445999226975</v>
      </c>
      <c r="FN120" s="40">
        <f t="shared" si="5414"/>
        <v>3375.744599922697</v>
      </c>
      <c r="FO120" s="40">
        <f t="shared" si="5414"/>
        <v>3375.7445999226966</v>
      </c>
      <c r="FP120" s="40">
        <f t="shared" si="5414"/>
        <v>3375.744599922697</v>
      </c>
      <c r="FQ120" s="40">
        <f t="shared" si="5414"/>
        <v>3375.7445999226961</v>
      </c>
      <c r="FR120" s="40">
        <f t="shared" si="5414"/>
        <v>3375.7445999226957</v>
      </c>
      <c r="FS120" s="40">
        <f t="shared" si="5414"/>
        <v>3375.7445999226961</v>
      </c>
      <c r="FT120" s="40">
        <f t="shared" si="5414"/>
        <v>3375.7445999226957</v>
      </c>
      <c r="FU120" s="40">
        <f t="shared" si="5414"/>
        <v>3761.0672919328681</v>
      </c>
      <c r="FV120" s="40">
        <f t="shared" si="5414"/>
        <v>3761.0672919328681</v>
      </c>
      <c r="FW120" s="40">
        <f t="shared" si="5414"/>
        <v>3761.0672919328686</v>
      </c>
      <c r="FX120" s="40">
        <f t="shared" si="5414"/>
        <v>3761.0672919328681</v>
      </c>
      <c r="FY120" s="40">
        <f t="shared" si="5414"/>
        <v>3761.0672919328681</v>
      </c>
      <c r="FZ120" s="40">
        <f t="shared" si="5414"/>
        <v>3761.0672919328672</v>
      </c>
      <c r="GA120" s="40">
        <f t="shared" si="5414"/>
        <v>3761.0672919328667</v>
      </c>
      <c r="GB120" s="40">
        <f t="shared" si="5414"/>
        <v>3761.0672919328667</v>
      </c>
      <c r="GC120" s="40">
        <f t="shared" si="5414"/>
        <v>0</v>
      </c>
      <c r="GD120" s="40">
        <f t="shared" si="5414"/>
        <v>0</v>
      </c>
      <c r="GE120" s="40">
        <f t="shared" si="5414"/>
        <v>0</v>
      </c>
      <c r="GF120" s="40">
        <f t="shared" ca="1" si="5414"/>
        <v>2141625.8806336918</v>
      </c>
      <c r="GG120" s="40">
        <f t="shared" ca="1" si="5414"/>
        <v>0</v>
      </c>
      <c r="GH120" s="40">
        <f t="shared" ca="1" si="5414"/>
        <v>0</v>
      </c>
      <c r="GI120" s="40">
        <f t="shared" ca="1" si="5414"/>
        <v>0</v>
      </c>
      <c r="GJ120" s="40">
        <f t="shared" ca="1" si="5414"/>
        <v>0</v>
      </c>
      <c r="GK120" s="40">
        <f t="shared" ca="1" si="5414"/>
        <v>0</v>
      </c>
      <c r="GL120" s="40">
        <f t="shared" ca="1" si="5414"/>
        <v>0</v>
      </c>
      <c r="GM120" s="40">
        <f t="shared" ca="1" si="5414"/>
        <v>0</v>
      </c>
      <c r="GN120" s="40">
        <f t="shared" ca="1" si="5414"/>
        <v>0</v>
      </c>
      <c r="GO120" s="40">
        <f t="shared" ca="1" si="5414"/>
        <v>0</v>
      </c>
      <c r="GP120" s="40">
        <f t="shared" ca="1" si="5414"/>
        <v>0</v>
      </c>
      <c r="GQ120" s="40">
        <f t="shared" ca="1" si="5414"/>
        <v>0</v>
      </c>
      <c r="GR120" s="40">
        <f t="shared" ca="1" si="5414"/>
        <v>0</v>
      </c>
      <c r="GS120" s="40">
        <f t="shared" ca="1" si="5414"/>
        <v>0</v>
      </c>
      <c r="GT120" s="40">
        <f t="shared" ca="1" si="5414"/>
        <v>0</v>
      </c>
      <c r="GU120" s="40">
        <f t="shared" ref="GU120:IN120" ca="1" si="5415">GU112</f>
        <v>0</v>
      </c>
      <c r="GV120" s="40">
        <f t="shared" ca="1" si="5415"/>
        <v>0</v>
      </c>
      <c r="GW120" s="40">
        <f t="shared" ca="1" si="5415"/>
        <v>0</v>
      </c>
      <c r="GX120" s="40">
        <f t="shared" ca="1" si="5415"/>
        <v>0</v>
      </c>
      <c r="GY120" s="40">
        <f t="shared" ca="1" si="5415"/>
        <v>0</v>
      </c>
      <c r="GZ120" s="40">
        <f t="shared" ca="1" si="5415"/>
        <v>0</v>
      </c>
      <c r="HA120" s="40">
        <f t="shared" ca="1" si="5415"/>
        <v>0</v>
      </c>
      <c r="HB120" s="40">
        <f t="shared" ca="1" si="5415"/>
        <v>0</v>
      </c>
      <c r="HC120" s="40">
        <f t="shared" ca="1" si="5415"/>
        <v>0</v>
      </c>
      <c r="HD120" s="40">
        <f t="shared" ca="1" si="5415"/>
        <v>0</v>
      </c>
      <c r="HE120" s="40">
        <f t="shared" ca="1" si="5415"/>
        <v>0</v>
      </c>
      <c r="HF120" s="40">
        <f t="shared" ca="1" si="5415"/>
        <v>0</v>
      </c>
      <c r="HG120" s="40">
        <f t="shared" ca="1" si="5415"/>
        <v>0</v>
      </c>
      <c r="HH120" s="40">
        <f t="shared" ca="1" si="5415"/>
        <v>0</v>
      </c>
      <c r="HI120" s="40">
        <f t="shared" ca="1" si="5415"/>
        <v>0</v>
      </c>
      <c r="HJ120" s="40">
        <f t="shared" ca="1" si="5415"/>
        <v>0</v>
      </c>
      <c r="HK120" s="40">
        <f t="shared" ca="1" si="5415"/>
        <v>0</v>
      </c>
      <c r="HL120" s="40">
        <f t="shared" ca="1" si="5415"/>
        <v>0</v>
      </c>
      <c r="HM120" s="40">
        <f t="shared" ca="1" si="5415"/>
        <v>0</v>
      </c>
      <c r="HN120" s="40">
        <f t="shared" ca="1" si="5415"/>
        <v>0</v>
      </c>
      <c r="HO120" s="40">
        <f t="shared" ca="1" si="5415"/>
        <v>0</v>
      </c>
      <c r="HP120" s="40">
        <f t="shared" ca="1" si="5415"/>
        <v>0</v>
      </c>
      <c r="HQ120" s="40">
        <f t="shared" ca="1" si="5415"/>
        <v>0</v>
      </c>
      <c r="HR120" s="40">
        <f t="shared" ca="1" si="5415"/>
        <v>0</v>
      </c>
      <c r="HS120" s="40">
        <f t="shared" ca="1" si="5415"/>
        <v>0</v>
      </c>
      <c r="HT120" s="40">
        <f t="shared" ca="1" si="5415"/>
        <v>0</v>
      </c>
      <c r="HU120" s="40">
        <f t="shared" ca="1" si="5415"/>
        <v>0</v>
      </c>
      <c r="HV120" s="40">
        <f t="shared" ca="1" si="5415"/>
        <v>0</v>
      </c>
      <c r="HW120" s="40">
        <f t="shared" ca="1" si="5415"/>
        <v>0</v>
      </c>
      <c r="HX120" s="40">
        <f t="shared" ca="1" si="5415"/>
        <v>0</v>
      </c>
      <c r="HY120" s="40">
        <f t="shared" ca="1" si="5415"/>
        <v>0</v>
      </c>
      <c r="HZ120" s="40">
        <f t="shared" ca="1" si="5415"/>
        <v>0</v>
      </c>
      <c r="IA120" s="40">
        <f t="shared" ca="1" si="5415"/>
        <v>0</v>
      </c>
      <c r="IB120" s="40">
        <f t="shared" ca="1" si="5415"/>
        <v>0</v>
      </c>
      <c r="IC120" s="40">
        <f t="shared" ca="1" si="5415"/>
        <v>0</v>
      </c>
      <c r="ID120" s="40">
        <f t="shared" ca="1" si="5415"/>
        <v>0</v>
      </c>
      <c r="IE120" s="40">
        <f t="shared" ca="1" si="5415"/>
        <v>0</v>
      </c>
      <c r="IF120" s="40">
        <f t="shared" ca="1" si="5415"/>
        <v>0</v>
      </c>
      <c r="IG120" s="40">
        <f t="shared" ca="1" si="5415"/>
        <v>0</v>
      </c>
      <c r="IH120" s="40">
        <f t="shared" ca="1" si="5415"/>
        <v>0</v>
      </c>
      <c r="II120" s="40">
        <f t="shared" ca="1" si="5415"/>
        <v>0</v>
      </c>
      <c r="IJ120" s="40">
        <f t="shared" ca="1" si="5415"/>
        <v>0</v>
      </c>
      <c r="IK120" s="40">
        <f t="shared" ca="1" si="5415"/>
        <v>0</v>
      </c>
      <c r="IL120" s="40">
        <f t="shared" ca="1" si="5415"/>
        <v>0</v>
      </c>
      <c r="IM120" s="40">
        <f t="shared" ca="1" si="5415"/>
        <v>0</v>
      </c>
      <c r="IN120" s="40">
        <f t="shared" ca="1" si="5415"/>
        <v>0</v>
      </c>
      <c r="IO120" s="40">
        <f t="shared" ref="IO120:KZ120" ca="1" si="5416">IO112</f>
        <v>0</v>
      </c>
      <c r="IP120" s="40">
        <f t="shared" ca="1" si="5416"/>
        <v>0</v>
      </c>
      <c r="IQ120" s="40">
        <f t="shared" ca="1" si="5416"/>
        <v>0</v>
      </c>
      <c r="IR120" s="40">
        <f t="shared" ca="1" si="5416"/>
        <v>0</v>
      </c>
      <c r="IS120" s="40">
        <f t="shared" ca="1" si="5416"/>
        <v>0</v>
      </c>
      <c r="IT120" s="40">
        <f t="shared" ca="1" si="5416"/>
        <v>0</v>
      </c>
      <c r="IU120" s="40">
        <f t="shared" ca="1" si="5416"/>
        <v>0</v>
      </c>
      <c r="IV120" s="40">
        <f t="shared" ca="1" si="5416"/>
        <v>0</v>
      </c>
      <c r="IW120" s="40">
        <f t="shared" ca="1" si="5416"/>
        <v>0</v>
      </c>
      <c r="IX120" s="40">
        <f t="shared" ca="1" si="5416"/>
        <v>0</v>
      </c>
      <c r="IY120" s="40">
        <f t="shared" ca="1" si="5416"/>
        <v>0</v>
      </c>
      <c r="IZ120" s="40">
        <f t="shared" ca="1" si="5416"/>
        <v>0</v>
      </c>
      <c r="JA120" s="40">
        <f t="shared" ca="1" si="5416"/>
        <v>0</v>
      </c>
      <c r="JB120" s="40">
        <f t="shared" ca="1" si="5416"/>
        <v>0</v>
      </c>
      <c r="JC120" s="40">
        <f t="shared" ca="1" si="5416"/>
        <v>0</v>
      </c>
      <c r="JD120" s="40">
        <f t="shared" ca="1" si="5416"/>
        <v>0</v>
      </c>
      <c r="JE120" s="40">
        <f t="shared" ca="1" si="5416"/>
        <v>0</v>
      </c>
      <c r="JF120" s="40">
        <f t="shared" ca="1" si="5416"/>
        <v>0</v>
      </c>
      <c r="JG120" s="40">
        <f t="shared" ca="1" si="5416"/>
        <v>0</v>
      </c>
      <c r="JH120" s="40">
        <f t="shared" ca="1" si="5416"/>
        <v>0</v>
      </c>
      <c r="JI120" s="40">
        <f t="shared" ca="1" si="5416"/>
        <v>0</v>
      </c>
      <c r="JJ120" s="40">
        <f t="shared" ca="1" si="5416"/>
        <v>0</v>
      </c>
      <c r="JK120" s="40">
        <f t="shared" ca="1" si="5416"/>
        <v>0</v>
      </c>
      <c r="JL120" s="40">
        <f t="shared" ca="1" si="5416"/>
        <v>0</v>
      </c>
      <c r="JM120" s="40">
        <f t="shared" ca="1" si="5416"/>
        <v>0</v>
      </c>
      <c r="JN120" s="40">
        <f t="shared" ca="1" si="5416"/>
        <v>0</v>
      </c>
      <c r="JO120" s="40">
        <f t="shared" ca="1" si="5416"/>
        <v>0</v>
      </c>
      <c r="JP120" s="40">
        <f t="shared" ca="1" si="5416"/>
        <v>0</v>
      </c>
      <c r="JQ120" s="40">
        <f t="shared" ca="1" si="5416"/>
        <v>0</v>
      </c>
      <c r="JR120" s="40">
        <f t="shared" ca="1" si="5416"/>
        <v>0</v>
      </c>
      <c r="JS120" s="40">
        <f t="shared" ca="1" si="5416"/>
        <v>0</v>
      </c>
      <c r="JT120" s="40">
        <f t="shared" ca="1" si="5416"/>
        <v>0</v>
      </c>
      <c r="JU120" s="40">
        <f t="shared" ca="1" si="5416"/>
        <v>0</v>
      </c>
      <c r="JV120" s="40">
        <f t="shared" ca="1" si="5416"/>
        <v>0</v>
      </c>
      <c r="JW120" s="40">
        <f t="shared" ca="1" si="5416"/>
        <v>0</v>
      </c>
      <c r="JX120" s="40">
        <f t="shared" ca="1" si="5416"/>
        <v>0</v>
      </c>
      <c r="JY120" s="40">
        <f t="shared" ca="1" si="5416"/>
        <v>0</v>
      </c>
      <c r="JZ120" s="40">
        <f t="shared" ca="1" si="5416"/>
        <v>0</v>
      </c>
      <c r="KA120" s="40">
        <f t="shared" ca="1" si="5416"/>
        <v>0</v>
      </c>
      <c r="KB120" s="40">
        <f t="shared" ca="1" si="5416"/>
        <v>0</v>
      </c>
      <c r="KC120" s="40">
        <f t="shared" ca="1" si="5416"/>
        <v>0</v>
      </c>
      <c r="KD120" s="40">
        <f t="shared" ca="1" si="5416"/>
        <v>0</v>
      </c>
      <c r="KE120" s="40">
        <f t="shared" ca="1" si="5416"/>
        <v>0</v>
      </c>
      <c r="KF120" s="40">
        <f t="shared" ca="1" si="5416"/>
        <v>0</v>
      </c>
      <c r="KG120" s="40">
        <f t="shared" ca="1" si="5416"/>
        <v>0</v>
      </c>
      <c r="KH120" s="40">
        <f t="shared" ca="1" si="5416"/>
        <v>0</v>
      </c>
      <c r="KI120" s="40">
        <f t="shared" ca="1" si="5416"/>
        <v>0</v>
      </c>
      <c r="KJ120" s="40">
        <f t="shared" ca="1" si="5416"/>
        <v>0</v>
      </c>
      <c r="KK120" s="40">
        <f t="shared" ca="1" si="5416"/>
        <v>0</v>
      </c>
      <c r="KL120" s="40">
        <f t="shared" ca="1" si="5416"/>
        <v>0</v>
      </c>
      <c r="KM120" s="40">
        <f t="shared" ca="1" si="5416"/>
        <v>0</v>
      </c>
      <c r="KN120" s="40">
        <f t="shared" ca="1" si="5416"/>
        <v>0</v>
      </c>
      <c r="KO120" s="40">
        <f t="shared" ca="1" si="5416"/>
        <v>0</v>
      </c>
      <c r="KP120" s="40">
        <f t="shared" ca="1" si="5416"/>
        <v>0</v>
      </c>
      <c r="KQ120" s="40">
        <f t="shared" ca="1" si="5416"/>
        <v>0</v>
      </c>
      <c r="KR120" s="40">
        <f t="shared" ca="1" si="5416"/>
        <v>0</v>
      </c>
      <c r="KS120" s="40">
        <f t="shared" ca="1" si="5416"/>
        <v>0</v>
      </c>
      <c r="KT120" s="40">
        <f t="shared" ca="1" si="5416"/>
        <v>0</v>
      </c>
      <c r="KU120" s="40">
        <f t="shared" ca="1" si="5416"/>
        <v>0</v>
      </c>
      <c r="KV120" s="40">
        <f t="shared" ca="1" si="5416"/>
        <v>0</v>
      </c>
      <c r="KW120" s="40">
        <f t="shared" ca="1" si="5416"/>
        <v>0</v>
      </c>
      <c r="KX120" s="40">
        <f t="shared" ca="1" si="5416"/>
        <v>0</v>
      </c>
      <c r="KY120" s="40">
        <f t="shared" ca="1" si="5416"/>
        <v>0</v>
      </c>
      <c r="KZ120" s="40">
        <f t="shared" ca="1" si="5416"/>
        <v>0</v>
      </c>
      <c r="LA120" s="40">
        <f t="shared" ref="LA120:ND120" ca="1" si="5417">LA112</f>
        <v>0</v>
      </c>
      <c r="LB120" s="40">
        <f t="shared" ca="1" si="5417"/>
        <v>0</v>
      </c>
      <c r="LC120" s="40">
        <f t="shared" ca="1" si="5417"/>
        <v>0</v>
      </c>
      <c r="LD120" s="40">
        <f t="shared" ca="1" si="5417"/>
        <v>0</v>
      </c>
      <c r="LE120" s="40">
        <f t="shared" ca="1" si="5417"/>
        <v>0</v>
      </c>
      <c r="LF120" s="40">
        <f t="shared" ca="1" si="5417"/>
        <v>0</v>
      </c>
      <c r="LG120" s="40">
        <f t="shared" ca="1" si="5417"/>
        <v>0</v>
      </c>
      <c r="LH120" s="40">
        <f t="shared" ca="1" si="5417"/>
        <v>0</v>
      </c>
      <c r="LI120" s="40">
        <f t="shared" ca="1" si="5417"/>
        <v>0</v>
      </c>
      <c r="LJ120" s="40">
        <f t="shared" ca="1" si="5417"/>
        <v>0</v>
      </c>
      <c r="LK120" s="40">
        <f t="shared" ca="1" si="5417"/>
        <v>0</v>
      </c>
      <c r="LL120" s="40">
        <f t="shared" ca="1" si="5417"/>
        <v>0</v>
      </c>
      <c r="LM120" s="40">
        <f t="shared" ca="1" si="5417"/>
        <v>0</v>
      </c>
      <c r="LN120" s="40">
        <f t="shared" ca="1" si="5417"/>
        <v>0</v>
      </c>
      <c r="LO120" s="40">
        <f t="shared" ca="1" si="5417"/>
        <v>0</v>
      </c>
      <c r="LP120" s="40">
        <f t="shared" ca="1" si="5417"/>
        <v>0</v>
      </c>
      <c r="LQ120" s="40">
        <f t="shared" ca="1" si="5417"/>
        <v>0</v>
      </c>
      <c r="LR120" s="40">
        <f t="shared" ca="1" si="5417"/>
        <v>0</v>
      </c>
      <c r="LS120" s="40">
        <f t="shared" ca="1" si="5417"/>
        <v>0</v>
      </c>
      <c r="LT120" s="40">
        <f t="shared" ca="1" si="5417"/>
        <v>0</v>
      </c>
      <c r="LU120" s="40">
        <f t="shared" ca="1" si="5417"/>
        <v>0</v>
      </c>
      <c r="LV120" s="40">
        <f t="shared" ca="1" si="5417"/>
        <v>0</v>
      </c>
      <c r="LW120" s="40">
        <f t="shared" ca="1" si="5417"/>
        <v>0</v>
      </c>
      <c r="LX120" s="40">
        <f t="shared" ca="1" si="5417"/>
        <v>0</v>
      </c>
      <c r="LY120" s="40">
        <f t="shared" ca="1" si="5417"/>
        <v>0</v>
      </c>
      <c r="LZ120" s="40">
        <f t="shared" ca="1" si="5417"/>
        <v>0</v>
      </c>
      <c r="MA120" s="40">
        <f t="shared" ca="1" si="5417"/>
        <v>0</v>
      </c>
      <c r="MB120" s="40">
        <f t="shared" ca="1" si="5417"/>
        <v>0</v>
      </c>
      <c r="MC120" s="40">
        <f t="shared" ca="1" si="5417"/>
        <v>0</v>
      </c>
      <c r="MD120" s="40">
        <f t="shared" ca="1" si="5417"/>
        <v>0</v>
      </c>
      <c r="ME120" s="40">
        <f t="shared" ca="1" si="5417"/>
        <v>0</v>
      </c>
      <c r="MF120" s="40">
        <f t="shared" ca="1" si="5417"/>
        <v>0</v>
      </c>
      <c r="MG120" s="40">
        <f t="shared" ca="1" si="5417"/>
        <v>0</v>
      </c>
      <c r="MH120" s="40">
        <f t="shared" ca="1" si="5417"/>
        <v>0</v>
      </c>
      <c r="MI120" s="40">
        <f t="shared" ca="1" si="5417"/>
        <v>0</v>
      </c>
      <c r="MJ120" s="40">
        <f t="shared" ca="1" si="5417"/>
        <v>0</v>
      </c>
      <c r="MK120" s="40">
        <f t="shared" ca="1" si="5417"/>
        <v>0</v>
      </c>
      <c r="ML120" s="40">
        <f t="shared" ca="1" si="5417"/>
        <v>0</v>
      </c>
      <c r="MM120" s="40">
        <f t="shared" ca="1" si="5417"/>
        <v>0</v>
      </c>
      <c r="MN120" s="40">
        <f t="shared" ca="1" si="5417"/>
        <v>0</v>
      </c>
      <c r="MO120" s="40">
        <f t="shared" ca="1" si="5417"/>
        <v>0</v>
      </c>
      <c r="MP120" s="40">
        <f t="shared" ca="1" si="5417"/>
        <v>0</v>
      </c>
      <c r="MQ120" s="40">
        <f t="shared" ca="1" si="5417"/>
        <v>0</v>
      </c>
      <c r="MR120" s="40">
        <f t="shared" ca="1" si="5417"/>
        <v>0</v>
      </c>
      <c r="MS120" s="40">
        <f t="shared" ca="1" si="5417"/>
        <v>0</v>
      </c>
      <c r="MT120" s="40">
        <f t="shared" ca="1" si="5417"/>
        <v>0</v>
      </c>
      <c r="MU120" s="40">
        <f t="shared" ca="1" si="5417"/>
        <v>0</v>
      </c>
      <c r="MV120" s="40">
        <f t="shared" ca="1" si="5417"/>
        <v>0</v>
      </c>
      <c r="MW120" s="40">
        <f t="shared" ca="1" si="5417"/>
        <v>0</v>
      </c>
      <c r="MX120" s="40">
        <f t="shared" ca="1" si="5417"/>
        <v>0</v>
      </c>
      <c r="MY120" s="40">
        <f t="shared" ca="1" si="5417"/>
        <v>0</v>
      </c>
      <c r="MZ120" s="40">
        <f t="shared" ca="1" si="5417"/>
        <v>0</v>
      </c>
      <c r="NA120" s="40">
        <f t="shared" ca="1" si="5417"/>
        <v>0</v>
      </c>
      <c r="NB120" s="40">
        <f t="shared" ca="1" si="5417"/>
        <v>0</v>
      </c>
      <c r="NC120" s="40">
        <f t="shared" ca="1" si="5417"/>
        <v>0</v>
      </c>
      <c r="ND120" s="40">
        <f t="shared" ca="1" si="5417"/>
        <v>0</v>
      </c>
      <c r="NE120" s="40"/>
      <c r="NF120" s="40"/>
      <c r="NG120" s="40"/>
      <c r="NH120" s="40"/>
      <c r="NI120" s="40"/>
      <c r="NJ120" s="40"/>
      <c r="NK120" s="40"/>
      <c r="NL120" s="40"/>
      <c r="NM120" s="40"/>
      <c r="NN120" s="40"/>
      <c r="NO120" s="40"/>
      <c r="NP120" s="40"/>
      <c r="NQ120" s="40"/>
      <c r="NR120" s="40"/>
    </row>
    <row r="121" spans="2:382" x14ac:dyDescent="0.15">
      <c r="B121" s="522"/>
      <c r="C121" s="156" t="str">
        <f>C5</f>
        <v>Chris</v>
      </c>
      <c r="D121" s="243">
        <f t="shared" ca="1" si="5410"/>
        <v>7.3946443200111414E-2</v>
      </c>
      <c r="E121" s="121">
        <f ca="1">IFERROR(XNPV('Deal Summary'!$E$63,$I121:$ND121,$I$21:$ND$21)+H121,"-")</f>
        <v>67578.890818852931</v>
      </c>
      <c r="F121" s="245">
        <f ca="1">IFERROR((SUM(H121:ND121)+'Investors Breakdown'!$E20)/'Investors Breakdown'!$E20,"-")</f>
        <v>3.0374821625155688</v>
      </c>
      <c r="H121" s="129">
        <f>$D113*'Monthly P&amp;L'!$F$78</f>
        <v>-1007873.6000000001</v>
      </c>
      <c r="I121" s="40">
        <f t="shared" ref="I121:J121" si="5418">I113</f>
        <v>-42584.684430000001</v>
      </c>
      <c r="J121" s="40">
        <f t="shared" si="5418"/>
        <v>-42584.684430000001</v>
      </c>
      <c r="K121" s="40">
        <f t="shared" ref="K121:BV121" si="5419">K113</f>
        <v>-42584.684429999994</v>
      </c>
      <c r="L121" s="40">
        <f t="shared" si="5419"/>
        <v>0</v>
      </c>
      <c r="M121" s="40">
        <f t="shared" si="5419"/>
        <v>0</v>
      </c>
      <c r="N121" s="40">
        <f t="shared" si="5419"/>
        <v>0</v>
      </c>
      <c r="O121" s="40">
        <f t="shared" si="5419"/>
        <v>0</v>
      </c>
      <c r="P121" s="40">
        <f t="shared" si="5419"/>
        <v>0</v>
      </c>
      <c r="Q121" s="40">
        <f t="shared" si="5419"/>
        <v>0</v>
      </c>
      <c r="R121" s="40">
        <f t="shared" si="5419"/>
        <v>0</v>
      </c>
      <c r="S121" s="40">
        <f t="shared" si="5419"/>
        <v>0</v>
      </c>
      <c r="T121" s="40">
        <f t="shared" si="5419"/>
        <v>0</v>
      </c>
      <c r="U121" s="40">
        <f t="shared" si="5419"/>
        <v>0</v>
      </c>
      <c r="V121" s="40">
        <f t="shared" si="5419"/>
        <v>0</v>
      </c>
      <c r="W121" s="40">
        <f t="shared" si="5419"/>
        <v>0</v>
      </c>
      <c r="X121" s="40">
        <f t="shared" si="5419"/>
        <v>0</v>
      </c>
      <c r="Y121" s="40">
        <f t="shared" si="5419"/>
        <v>0</v>
      </c>
      <c r="Z121" s="40">
        <f t="shared" si="5419"/>
        <v>0</v>
      </c>
      <c r="AA121" s="40">
        <f t="shared" si="5419"/>
        <v>0</v>
      </c>
      <c r="AB121" s="40">
        <f t="shared" si="5419"/>
        <v>0</v>
      </c>
      <c r="AC121" s="40">
        <f t="shared" si="5419"/>
        <v>0</v>
      </c>
      <c r="AD121" s="40">
        <f t="shared" si="5419"/>
        <v>0</v>
      </c>
      <c r="AE121" s="40">
        <f t="shared" si="5419"/>
        <v>0</v>
      </c>
      <c r="AF121" s="40">
        <f t="shared" si="5419"/>
        <v>0</v>
      </c>
      <c r="AG121" s="40">
        <f t="shared" si="5419"/>
        <v>0</v>
      </c>
      <c r="AH121" s="40">
        <f t="shared" si="5419"/>
        <v>0</v>
      </c>
      <c r="AI121" s="40">
        <f t="shared" si="5419"/>
        <v>0</v>
      </c>
      <c r="AJ121" s="40">
        <f t="shared" si="5419"/>
        <v>0</v>
      </c>
      <c r="AK121" s="40">
        <f t="shared" si="5419"/>
        <v>0</v>
      </c>
      <c r="AL121" s="40">
        <f t="shared" si="5419"/>
        <v>0</v>
      </c>
      <c r="AM121" s="40">
        <f t="shared" si="5419"/>
        <v>0</v>
      </c>
      <c r="AN121" s="40">
        <f t="shared" si="5419"/>
        <v>0</v>
      </c>
      <c r="AO121" s="40">
        <f t="shared" si="5419"/>
        <v>0</v>
      </c>
      <c r="AP121" s="40">
        <f t="shared" si="5419"/>
        <v>0</v>
      </c>
      <c r="AQ121" s="40">
        <f t="shared" si="5419"/>
        <v>0</v>
      </c>
      <c r="AR121" s="40">
        <f t="shared" si="5419"/>
        <v>0</v>
      </c>
      <c r="AS121" s="40">
        <f t="shared" si="5419"/>
        <v>147.6336588771168</v>
      </c>
      <c r="AT121" s="40">
        <f t="shared" si="5419"/>
        <v>147.63365887711683</v>
      </c>
      <c r="AU121" s="40">
        <f t="shared" si="5419"/>
        <v>147.6336588771168</v>
      </c>
      <c r="AV121" s="40">
        <f t="shared" si="5419"/>
        <v>147.6336588771168</v>
      </c>
      <c r="AW121" s="40">
        <f t="shared" si="5419"/>
        <v>147.63365887711683</v>
      </c>
      <c r="AX121" s="40">
        <f t="shared" si="5419"/>
        <v>147.63365887711683</v>
      </c>
      <c r="AY121" s="40">
        <f t="shared" si="5419"/>
        <v>147.63365887711683</v>
      </c>
      <c r="AZ121" s="40">
        <f t="shared" si="5419"/>
        <v>147.63365887711683</v>
      </c>
      <c r="BA121" s="40">
        <f t="shared" si="5419"/>
        <v>147.63365887711683</v>
      </c>
      <c r="BB121" s="40">
        <f t="shared" si="5419"/>
        <v>147.63365887711683</v>
      </c>
      <c r="BC121" s="40">
        <f t="shared" si="5419"/>
        <v>147.63365887711683</v>
      </c>
      <c r="BD121" s="40">
        <f t="shared" si="5419"/>
        <v>147.63365887711683</v>
      </c>
      <c r="BE121" s="40">
        <f t="shared" si="5419"/>
        <v>525.01922858313139</v>
      </c>
      <c r="BF121" s="40">
        <f t="shared" si="5419"/>
        <v>525.01922858313139</v>
      </c>
      <c r="BG121" s="40">
        <f t="shared" si="5419"/>
        <v>525.01922858313139</v>
      </c>
      <c r="BH121" s="40">
        <f t="shared" si="5419"/>
        <v>525.01922858313139</v>
      </c>
      <c r="BI121" s="40">
        <f t="shared" si="5419"/>
        <v>525.01922858313151</v>
      </c>
      <c r="BJ121" s="40">
        <f t="shared" si="5419"/>
        <v>525.01922858313139</v>
      </c>
      <c r="BK121" s="40">
        <f t="shared" si="5419"/>
        <v>525.01922858313162</v>
      </c>
      <c r="BL121" s="40">
        <f t="shared" si="5419"/>
        <v>525.01922858313151</v>
      </c>
      <c r="BM121" s="40">
        <f t="shared" si="5419"/>
        <v>525.01922858313162</v>
      </c>
      <c r="BN121" s="40">
        <f t="shared" si="5419"/>
        <v>525.01922858313162</v>
      </c>
      <c r="BO121" s="40">
        <f t="shared" si="5419"/>
        <v>525.01922858313173</v>
      </c>
      <c r="BP121" s="40">
        <f t="shared" si="5419"/>
        <v>525.01922858313173</v>
      </c>
      <c r="BQ121" s="40">
        <f t="shared" si="5419"/>
        <v>914.25072657386465</v>
      </c>
      <c r="BR121" s="40">
        <f t="shared" si="5419"/>
        <v>914.25072657386443</v>
      </c>
      <c r="BS121" s="40">
        <f t="shared" si="5419"/>
        <v>914.25072657386443</v>
      </c>
      <c r="BT121" s="40">
        <f t="shared" si="5419"/>
        <v>914.25072657386431</v>
      </c>
      <c r="BU121" s="40">
        <f t="shared" si="5419"/>
        <v>914.25072657386443</v>
      </c>
      <c r="BV121" s="40">
        <f t="shared" si="5419"/>
        <v>914.2507265738642</v>
      </c>
      <c r="BW121" s="40">
        <f t="shared" ref="BW121:EH121" si="5420">BW113</f>
        <v>914.25072657386431</v>
      </c>
      <c r="BX121" s="40">
        <f t="shared" si="5420"/>
        <v>914.2507265738642</v>
      </c>
      <c r="BY121" s="40">
        <f t="shared" si="5420"/>
        <v>914.2507265738642</v>
      </c>
      <c r="BZ121" s="40">
        <f t="shared" si="5420"/>
        <v>914.25072657386409</v>
      </c>
      <c r="CA121" s="40">
        <f t="shared" si="5420"/>
        <v>914.25072657386409</v>
      </c>
      <c r="CB121" s="40">
        <f t="shared" si="5420"/>
        <v>914.25072657386397</v>
      </c>
      <c r="CC121" s="40">
        <f t="shared" si="5420"/>
        <v>1315.6947203685065</v>
      </c>
      <c r="CD121" s="40">
        <f t="shared" si="5420"/>
        <v>1315.6947203685068</v>
      </c>
      <c r="CE121" s="40">
        <f t="shared" si="5420"/>
        <v>1315.6947203685068</v>
      </c>
      <c r="CF121" s="40">
        <f t="shared" si="5420"/>
        <v>1315.6947203685065</v>
      </c>
      <c r="CG121" s="40">
        <f t="shared" si="5420"/>
        <v>1315.694720368507</v>
      </c>
      <c r="CH121" s="40">
        <f t="shared" si="5420"/>
        <v>1315.694720368507</v>
      </c>
      <c r="CI121" s="40">
        <f t="shared" si="5420"/>
        <v>1315.694720368507</v>
      </c>
      <c r="CJ121" s="40">
        <f t="shared" si="5420"/>
        <v>1315.6947203685068</v>
      </c>
      <c r="CK121" s="40">
        <f t="shared" si="5420"/>
        <v>1315.694720368507</v>
      </c>
      <c r="CL121" s="40">
        <f t="shared" si="5420"/>
        <v>1315.694720368507</v>
      </c>
      <c r="CM121" s="40">
        <f t="shared" si="5420"/>
        <v>1315.6947203685072</v>
      </c>
      <c r="CN121" s="40">
        <f t="shared" si="5420"/>
        <v>1315.694720368507</v>
      </c>
      <c r="CO121" s="40">
        <f t="shared" si="5420"/>
        <v>1729.7290158664046</v>
      </c>
      <c r="CP121" s="40">
        <f t="shared" si="5420"/>
        <v>1729.7290158664046</v>
      </c>
      <c r="CQ121" s="40">
        <f t="shared" si="5420"/>
        <v>1729.7290158664046</v>
      </c>
      <c r="CR121" s="40">
        <f t="shared" si="5420"/>
        <v>1729.7290158664046</v>
      </c>
      <c r="CS121" s="40">
        <f t="shared" si="5420"/>
        <v>1729.7290158664046</v>
      </c>
      <c r="CT121" s="40">
        <f t="shared" si="5420"/>
        <v>1729.7290158664048</v>
      </c>
      <c r="CU121" s="40">
        <f t="shared" si="5420"/>
        <v>1729.7290158664048</v>
      </c>
      <c r="CV121" s="40">
        <f t="shared" si="5420"/>
        <v>1729.7290158664046</v>
      </c>
      <c r="CW121" s="40">
        <f t="shared" si="5420"/>
        <v>1729.729015866405</v>
      </c>
      <c r="CX121" s="40">
        <f t="shared" si="5420"/>
        <v>1729.7290158664048</v>
      </c>
      <c r="CY121" s="40">
        <f t="shared" si="5420"/>
        <v>1729.7290158664048</v>
      </c>
      <c r="CZ121" s="40">
        <f t="shared" si="5420"/>
        <v>1729.7290158664048</v>
      </c>
      <c r="DA121" s="40">
        <f t="shared" si="5420"/>
        <v>2156.7429997646013</v>
      </c>
      <c r="DB121" s="40">
        <f t="shared" si="5420"/>
        <v>2156.7429997646013</v>
      </c>
      <c r="DC121" s="40">
        <f t="shared" si="5420"/>
        <v>2156.7429997646013</v>
      </c>
      <c r="DD121" s="40">
        <f t="shared" si="5420"/>
        <v>2156.7429997646013</v>
      </c>
      <c r="DE121" s="40">
        <f t="shared" si="5420"/>
        <v>2156.7429997646013</v>
      </c>
      <c r="DF121" s="40">
        <f t="shared" si="5420"/>
        <v>2156.7429997646013</v>
      </c>
      <c r="DG121" s="40">
        <f t="shared" si="5420"/>
        <v>2156.7429997646013</v>
      </c>
      <c r="DH121" s="40">
        <f t="shared" si="5420"/>
        <v>2156.7429997646013</v>
      </c>
      <c r="DI121" s="40">
        <f t="shared" si="5420"/>
        <v>2156.7429997646013</v>
      </c>
      <c r="DJ121" s="40">
        <f t="shared" si="5420"/>
        <v>2156.7429997646013</v>
      </c>
      <c r="DK121" s="40">
        <f t="shared" si="5420"/>
        <v>2156.7429997646013</v>
      </c>
      <c r="DL121" s="40">
        <f t="shared" si="5420"/>
        <v>2156.7429997646013</v>
      </c>
      <c r="DM121" s="40">
        <f t="shared" si="5420"/>
        <v>2597.1379923641562</v>
      </c>
      <c r="DN121" s="40">
        <f t="shared" si="5420"/>
        <v>2597.1379923641562</v>
      </c>
      <c r="DO121" s="40">
        <f t="shared" si="5420"/>
        <v>2597.1379923641566</v>
      </c>
      <c r="DP121" s="40">
        <f t="shared" si="5420"/>
        <v>2597.1379923641566</v>
      </c>
      <c r="DQ121" s="40">
        <f t="shared" si="5420"/>
        <v>2597.1379923641562</v>
      </c>
      <c r="DR121" s="40">
        <f t="shared" si="5420"/>
        <v>2597.1379923641566</v>
      </c>
      <c r="DS121" s="40">
        <f t="shared" si="5420"/>
        <v>2597.1379923641571</v>
      </c>
      <c r="DT121" s="40">
        <f t="shared" si="5420"/>
        <v>2597.1379923641571</v>
      </c>
      <c r="DU121" s="40">
        <f t="shared" si="5420"/>
        <v>2597.1379923641566</v>
      </c>
      <c r="DV121" s="40">
        <f t="shared" si="5420"/>
        <v>2597.1379923641571</v>
      </c>
      <c r="DW121" s="40">
        <f t="shared" si="5420"/>
        <v>2597.1379923641575</v>
      </c>
      <c r="DX121" s="40">
        <f t="shared" si="5420"/>
        <v>2597.137992364158</v>
      </c>
      <c r="DY121" s="40">
        <f t="shared" si="5420"/>
        <v>3051.327611079621</v>
      </c>
      <c r="DZ121" s="40">
        <f t="shared" si="5420"/>
        <v>3051.3276110796201</v>
      </c>
      <c r="EA121" s="40">
        <f t="shared" si="5420"/>
        <v>3051.327611079621</v>
      </c>
      <c r="EB121" s="40">
        <f t="shared" si="5420"/>
        <v>3051.3276110796205</v>
      </c>
      <c r="EC121" s="40">
        <f t="shared" si="5420"/>
        <v>3051.3276110796201</v>
      </c>
      <c r="ED121" s="40">
        <f t="shared" si="5420"/>
        <v>3051.3276110796214</v>
      </c>
      <c r="EE121" s="40">
        <f t="shared" si="5420"/>
        <v>3051.3276110796205</v>
      </c>
      <c r="EF121" s="40">
        <f t="shared" si="5420"/>
        <v>3051.3276110796201</v>
      </c>
      <c r="EG121" s="40">
        <f t="shared" si="5420"/>
        <v>3051.3276110796196</v>
      </c>
      <c r="EH121" s="40">
        <f t="shared" si="5420"/>
        <v>3051.3276110796201</v>
      </c>
      <c r="EI121" s="40">
        <f t="shared" ref="EI121:GT121" si="5421">EI113</f>
        <v>3051.3276110796201</v>
      </c>
      <c r="EJ121" s="40">
        <f t="shared" si="5421"/>
        <v>3051.3276110796196</v>
      </c>
      <c r="EK121" s="40">
        <f t="shared" si="5421"/>
        <v>3519.7381449752797</v>
      </c>
      <c r="EL121" s="40">
        <f t="shared" si="5421"/>
        <v>3519.7381449752797</v>
      </c>
      <c r="EM121" s="40">
        <f t="shared" si="5421"/>
        <v>3519.7381449752811</v>
      </c>
      <c r="EN121" s="40">
        <f t="shared" si="5421"/>
        <v>3519.7381449752797</v>
      </c>
      <c r="EO121" s="40">
        <f t="shared" si="5421"/>
        <v>3519.7381449752793</v>
      </c>
      <c r="EP121" s="40">
        <f t="shared" si="5421"/>
        <v>3519.7381449752797</v>
      </c>
      <c r="EQ121" s="40">
        <f t="shared" si="5421"/>
        <v>3519.7381449752806</v>
      </c>
      <c r="ER121" s="40">
        <f t="shared" si="5421"/>
        <v>3519.7381449752802</v>
      </c>
      <c r="ES121" s="40">
        <f t="shared" si="5421"/>
        <v>3519.7381449752788</v>
      </c>
      <c r="ET121" s="40">
        <f t="shared" si="5421"/>
        <v>3519.7381449752793</v>
      </c>
      <c r="EU121" s="40">
        <f t="shared" si="5421"/>
        <v>3519.7381449752793</v>
      </c>
      <c r="EV121" s="40">
        <f t="shared" si="5421"/>
        <v>3519.7381449752784</v>
      </c>
      <c r="EW121" s="40">
        <f t="shared" si="5421"/>
        <v>4002.808940661816</v>
      </c>
      <c r="EX121" s="40">
        <f t="shared" si="5421"/>
        <v>4002.808940661816</v>
      </c>
      <c r="EY121" s="40">
        <f t="shared" si="5421"/>
        <v>4002.8089406618155</v>
      </c>
      <c r="EZ121" s="40">
        <f t="shared" si="5421"/>
        <v>4002.8089406618155</v>
      </c>
      <c r="FA121" s="40">
        <f t="shared" si="5421"/>
        <v>4002.8089406618165</v>
      </c>
      <c r="FB121" s="40">
        <f t="shared" si="5421"/>
        <v>4002.8089406618165</v>
      </c>
      <c r="FC121" s="40">
        <f t="shared" si="5421"/>
        <v>4002.8089406618165</v>
      </c>
      <c r="FD121" s="40">
        <f t="shared" si="5421"/>
        <v>4002.8089406618169</v>
      </c>
      <c r="FE121" s="40">
        <f t="shared" si="5421"/>
        <v>4002.8089406618169</v>
      </c>
      <c r="FF121" s="40">
        <f t="shared" si="5421"/>
        <v>4002.8089406618178</v>
      </c>
      <c r="FG121" s="40">
        <f t="shared" si="5421"/>
        <v>4002.8089406618169</v>
      </c>
      <c r="FH121" s="40">
        <f t="shared" si="5421"/>
        <v>4002.8089406618174</v>
      </c>
      <c r="FI121" s="40">
        <f t="shared" si="5421"/>
        <v>4500.9927998969297</v>
      </c>
      <c r="FJ121" s="40">
        <f t="shared" si="5421"/>
        <v>4500.9927998969306</v>
      </c>
      <c r="FK121" s="40">
        <f t="shared" si="5421"/>
        <v>4500.9927998969315</v>
      </c>
      <c r="FL121" s="40">
        <f t="shared" si="5421"/>
        <v>4500.9927998969315</v>
      </c>
      <c r="FM121" s="40">
        <f t="shared" si="5421"/>
        <v>4500.9927998969315</v>
      </c>
      <c r="FN121" s="40">
        <f t="shared" si="5421"/>
        <v>4500.9927998969315</v>
      </c>
      <c r="FO121" s="40">
        <f t="shared" si="5421"/>
        <v>4500.9927998969315</v>
      </c>
      <c r="FP121" s="40">
        <f t="shared" si="5421"/>
        <v>4500.9927998969333</v>
      </c>
      <c r="FQ121" s="40">
        <f t="shared" si="5421"/>
        <v>4500.9927998969333</v>
      </c>
      <c r="FR121" s="40">
        <f t="shared" si="5421"/>
        <v>4500.9927998969333</v>
      </c>
      <c r="FS121" s="40">
        <f t="shared" si="5421"/>
        <v>4500.9927998969342</v>
      </c>
      <c r="FT121" s="40">
        <f t="shared" si="5421"/>
        <v>4500.9927998969342</v>
      </c>
      <c r="FU121" s="40">
        <f t="shared" si="5421"/>
        <v>5014.756389243832</v>
      </c>
      <c r="FV121" s="40">
        <f t="shared" si="5421"/>
        <v>5014.7563892438329</v>
      </c>
      <c r="FW121" s="40">
        <f t="shared" si="5421"/>
        <v>5014.7563892438347</v>
      </c>
      <c r="FX121" s="40">
        <f t="shared" si="5421"/>
        <v>5014.7563892438347</v>
      </c>
      <c r="FY121" s="40">
        <f t="shared" si="5421"/>
        <v>5014.7563892438357</v>
      </c>
      <c r="FZ121" s="40">
        <f t="shared" si="5421"/>
        <v>5014.7563892438357</v>
      </c>
      <c r="GA121" s="40">
        <f t="shared" si="5421"/>
        <v>5014.7563892438357</v>
      </c>
      <c r="GB121" s="40">
        <f t="shared" si="5421"/>
        <v>5014.7563892438357</v>
      </c>
      <c r="GC121" s="40">
        <f t="shared" si="5421"/>
        <v>0</v>
      </c>
      <c r="GD121" s="40">
        <f t="shared" si="5421"/>
        <v>0</v>
      </c>
      <c r="GE121" s="40">
        <f t="shared" si="5421"/>
        <v>0</v>
      </c>
      <c r="GF121" s="40">
        <f t="shared" ca="1" si="5421"/>
        <v>2855501.1741782613</v>
      </c>
      <c r="GG121" s="40">
        <f t="shared" ca="1" si="5421"/>
        <v>0</v>
      </c>
      <c r="GH121" s="40">
        <f t="shared" ca="1" si="5421"/>
        <v>0</v>
      </c>
      <c r="GI121" s="40">
        <f t="shared" ca="1" si="5421"/>
        <v>0</v>
      </c>
      <c r="GJ121" s="40">
        <f t="shared" ca="1" si="5421"/>
        <v>0</v>
      </c>
      <c r="GK121" s="40">
        <f t="shared" ca="1" si="5421"/>
        <v>0</v>
      </c>
      <c r="GL121" s="40">
        <f t="shared" ca="1" si="5421"/>
        <v>0</v>
      </c>
      <c r="GM121" s="40">
        <f t="shared" ca="1" si="5421"/>
        <v>0</v>
      </c>
      <c r="GN121" s="40">
        <f t="shared" ca="1" si="5421"/>
        <v>0</v>
      </c>
      <c r="GO121" s="40">
        <f t="shared" ca="1" si="5421"/>
        <v>0</v>
      </c>
      <c r="GP121" s="40">
        <f t="shared" ca="1" si="5421"/>
        <v>0</v>
      </c>
      <c r="GQ121" s="40">
        <f t="shared" ca="1" si="5421"/>
        <v>0</v>
      </c>
      <c r="GR121" s="40">
        <f t="shared" ca="1" si="5421"/>
        <v>0</v>
      </c>
      <c r="GS121" s="40">
        <f t="shared" ca="1" si="5421"/>
        <v>0</v>
      </c>
      <c r="GT121" s="40">
        <f t="shared" ca="1" si="5421"/>
        <v>0</v>
      </c>
      <c r="GU121" s="40">
        <f t="shared" ref="GU121:IN121" ca="1" si="5422">GU113</f>
        <v>0</v>
      </c>
      <c r="GV121" s="40">
        <f t="shared" ca="1" si="5422"/>
        <v>0</v>
      </c>
      <c r="GW121" s="40">
        <f t="shared" ca="1" si="5422"/>
        <v>0</v>
      </c>
      <c r="GX121" s="40">
        <f t="shared" ca="1" si="5422"/>
        <v>0</v>
      </c>
      <c r="GY121" s="40">
        <f t="shared" ca="1" si="5422"/>
        <v>0</v>
      </c>
      <c r="GZ121" s="40">
        <f t="shared" ca="1" si="5422"/>
        <v>0</v>
      </c>
      <c r="HA121" s="40">
        <f t="shared" ca="1" si="5422"/>
        <v>0</v>
      </c>
      <c r="HB121" s="40">
        <f t="shared" ca="1" si="5422"/>
        <v>0</v>
      </c>
      <c r="HC121" s="40">
        <f t="shared" ca="1" si="5422"/>
        <v>0</v>
      </c>
      <c r="HD121" s="40">
        <f t="shared" ca="1" si="5422"/>
        <v>0</v>
      </c>
      <c r="HE121" s="40">
        <f t="shared" ca="1" si="5422"/>
        <v>0</v>
      </c>
      <c r="HF121" s="40">
        <f t="shared" ca="1" si="5422"/>
        <v>0</v>
      </c>
      <c r="HG121" s="40">
        <f t="shared" ca="1" si="5422"/>
        <v>0</v>
      </c>
      <c r="HH121" s="40">
        <f t="shared" ca="1" si="5422"/>
        <v>0</v>
      </c>
      <c r="HI121" s="40">
        <f t="shared" ca="1" si="5422"/>
        <v>0</v>
      </c>
      <c r="HJ121" s="40">
        <f t="shared" ca="1" si="5422"/>
        <v>0</v>
      </c>
      <c r="HK121" s="40">
        <f t="shared" ca="1" si="5422"/>
        <v>0</v>
      </c>
      <c r="HL121" s="40">
        <f t="shared" ca="1" si="5422"/>
        <v>0</v>
      </c>
      <c r="HM121" s="40">
        <f t="shared" ca="1" si="5422"/>
        <v>0</v>
      </c>
      <c r="HN121" s="40">
        <f t="shared" ca="1" si="5422"/>
        <v>0</v>
      </c>
      <c r="HO121" s="40">
        <f t="shared" ca="1" si="5422"/>
        <v>0</v>
      </c>
      <c r="HP121" s="40">
        <f t="shared" ca="1" si="5422"/>
        <v>0</v>
      </c>
      <c r="HQ121" s="40">
        <f t="shared" ca="1" si="5422"/>
        <v>0</v>
      </c>
      <c r="HR121" s="40">
        <f t="shared" ca="1" si="5422"/>
        <v>0</v>
      </c>
      <c r="HS121" s="40">
        <f t="shared" ca="1" si="5422"/>
        <v>0</v>
      </c>
      <c r="HT121" s="40">
        <f t="shared" ca="1" si="5422"/>
        <v>0</v>
      </c>
      <c r="HU121" s="40">
        <f t="shared" ca="1" si="5422"/>
        <v>0</v>
      </c>
      <c r="HV121" s="40">
        <f t="shared" ca="1" si="5422"/>
        <v>0</v>
      </c>
      <c r="HW121" s="40">
        <f t="shared" ca="1" si="5422"/>
        <v>0</v>
      </c>
      <c r="HX121" s="40">
        <f t="shared" ca="1" si="5422"/>
        <v>0</v>
      </c>
      <c r="HY121" s="40">
        <f t="shared" ca="1" si="5422"/>
        <v>0</v>
      </c>
      <c r="HZ121" s="40">
        <f t="shared" ca="1" si="5422"/>
        <v>0</v>
      </c>
      <c r="IA121" s="40">
        <f t="shared" ca="1" si="5422"/>
        <v>0</v>
      </c>
      <c r="IB121" s="40">
        <f t="shared" ca="1" si="5422"/>
        <v>0</v>
      </c>
      <c r="IC121" s="40">
        <f t="shared" ca="1" si="5422"/>
        <v>0</v>
      </c>
      <c r="ID121" s="40">
        <f t="shared" ca="1" si="5422"/>
        <v>0</v>
      </c>
      <c r="IE121" s="40">
        <f t="shared" ca="1" si="5422"/>
        <v>0</v>
      </c>
      <c r="IF121" s="40">
        <f t="shared" ca="1" si="5422"/>
        <v>0</v>
      </c>
      <c r="IG121" s="40">
        <f t="shared" ca="1" si="5422"/>
        <v>0</v>
      </c>
      <c r="IH121" s="40">
        <f t="shared" ca="1" si="5422"/>
        <v>0</v>
      </c>
      <c r="II121" s="40">
        <f t="shared" ca="1" si="5422"/>
        <v>0</v>
      </c>
      <c r="IJ121" s="40">
        <f t="shared" ca="1" si="5422"/>
        <v>0</v>
      </c>
      <c r="IK121" s="40">
        <f t="shared" ca="1" si="5422"/>
        <v>0</v>
      </c>
      <c r="IL121" s="40">
        <f t="shared" ca="1" si="5422"/>
        <v>0</v>
      </c>
      <c r="IM121" s="40">
        <f t="shared" ca="1" si="5422"/>
        <v>0</v>
      </c>
      <c r="IN121" s="40">
        <f t="shared" ca="1" si="5422"/>
        <v>0</v>
      </c>
      <c r="IO121" s="40">
        <f t="shared" ref="IO121:KZ121" ca="1" si="5423">IO113</f>
        <v>0</v>
      </c>
      <c r="IP121" s="40">
        <f t="shared" ca="1" si="5423"/>
        <v>0</v>
      </c>
      <c r="IQ121" s="40">
        <f t="shared" ca="1" si="5423"/>
        <v>0</v>
      </c>
      <c r="IR121" s="40">
        <f t="shared" ca="1" si="5423"/>
        <v>0</v>
      </c>
      <c r="IS121" s="40">
        <f t="shared" ca="1" si="5423"/>
        <v>0</v>
      </c>
      <c r="IT121" s="40">
        <f t="shared" ca="1" si="5423"/>
        <v>0</v>
      </c>
      <c r="IU121" s="40">
        <f t="shared" ca="1" si="5423"/>
        <v>0</v>
      </c>
      <c r="IV121" s="40">
        <f t="shared" ca="1" si="5423"/>
        <v>0</v>
      </c>
      <c r="IW121" s="40">
        <f t="shared" ca="1" si="5423"/>
        <v>0</v>
      </c>
      <c r="IX121" s="40">
        <f t="shared" ca="1" si="5423"/>
        <v>0</v>
      </c>
      <c r="IY121" s="40">
        <f t="shared" ca="1" si="5423"/>
        <v>0</v>
      </c>
      <c r="IZ121" s="40">
        <f t="shared" ca="1" si="5423"/>
        <v>0</v>
      </c>
      <c r="JA121" s="40">
        <f t="shared" ca="1" si="5423"/>
        <v>0</v>
      </c>
      <c r="JB121" s="40">
        <f t="shared" ca="1" si="5423"/>
        <v>0</v>
      </c>
      <c r="JC121" s="40">
        <f t="shared" ca="1" si="5423"/>
        <v>0</v>
      </c>
      <c r="JD121" s="40">
        <f t="shared" ca="1" si="5423"/>
        <v>0</v>
      </c>
      <c r="JE121" s="40">
        <f t="shared" ca="1" si="5423"/>
        <v>0</v>
      </c>
      <c r="JF121" s="40">
        <f t="shared" ca="1" si="5423"/>
        <v>0</v>
      </c>
      <c r="JG121" s="40">
        <f t="shared" ca="1" si="5423"/>
        <v>0</v>
      </c>
      <c r="JH121" s="40">
        <f t="shared" ca="1" si="5423"/>
        <v>0</v>
      </c>
      <c r="JI121" s="40">
        <f t="shared" ca="1" si="5423"/>
        <v>0</v>
      </c>
      <c r="JJ121" s="40">
        <f t="shared" ca="1" si="5423"/>
        <v>0</v>
      </c>
      <c r="JK121" s="40">
        <f t="shared" ca="1" si="5423"/>
        <v>0</v>
      </c>
      <c r="JL121" s="40">
        <f t="shared" ca="1" si="5423"/>
        <v>0</v>
      </c>
      <c r="JM121" s="40">
        <f t="shared" ca="1" si="5423"/>
        <v>0</v>
      </c>
      <c r="JN121" s="40">
        <f t="shared" ca="1" si="5423"/>
        <v>0</v>
      </c>
      <c r="JO121" s="40">
        <f t="shared" ca="1" si="5423"/>
        <v>0</v>
      </c>
      <c r="JP121" s="40">
        <f t="shared" ca="1" si="5423"/>
        <v>0</v>
      </c>
      <c r="JQ121" s="40">
        <f t="shared" ca="1" si="5423"/>
        <v>0</v>
      </c>
      <c r="JR121" s="40">
        <f t="shared" ca="1" si="5423"/>
        <v>0</v>
      </c>
      <c r="JS121" s="40">
        <f t="shared" ca="1" si="5423"/>
        <v>0</v>
      </c>
      <c r="JT121" s="40">
        <f t="shared" ca="1" si="5423"/>
        <v>0</v>
      </c>
      <c r="JU121" s="40">
        <f t="shared" ca="1" si="5423"/>
        <v>0</v>
      </c>
      <c r="JV121" s="40">
        <f t="shared" ca="1" si="5423"/>
        <v>0</v>
      </c>
      <c r="JW121" s="40">
        <f t="shared" ca="1" si="5423"/>
        <v>0</v>
      </c>
      <c r="JX121" s="40">
        <f t="shared" ca="1" si="5423"/>
        <v>0</v>
      </c>
      <c r="JY121" s="40">
        <f t="shared" ca="1" si="5423"/>
        <v>0</v>
      </c>
      <c r="JZ121" s="40">
        <f t="shared" ca="1" si="5423"/>
        <v>0</v>
      </c>
      <c r="KA121" s="40">
        <f t="shared" ca="1" si="5423"/>
        <v>0</v>
      </c>
      <c r="KB121" s="40">
        <f t="shared" ca="1" si="5423"/>
        <v>0</v>
      </c>
      <c r="KC121" s="40">
        <f t="shared" ca="1" si="5423"/>
        <v>0</v>
      </c>
      <c r="KD121" s="40">
        <f t="shared" ca="1" si="5423"/>
        <v>0</v>
      </c>
      <c r="KE121" s="40">
        <f t="shared" ca="1" si="5423"/>
        <v>0</v>
      </c>
      <c r="KF121" s="40">
        <f t="shared" ca="1" si="5423"/>
        <v>0</v>
      </c>
      <c r="KG121" s="40">
        <f t="shared" ca="1" si="5423"/>
        <v>0</v>
      </c>
      <c r="KH121" s="40">
        <f t="shared" ca="1" si="5423"/>
        <v>0</v>
      </c>
      <c r="KI121" s="40">
        <f t="shared" ca="1" si="5423"/>
        <v>0</v>
      </c>
      <c r="KJ121" s="40">
        <f t="shared" ca="1" si="5423"/>
        <v>0</v>
      </c>
      <c r="KK121" s="40">
        <f t="shared" ca="1" si="5423"/>
        <v>0</v>
      </c>
      <c r="KL121" s="40">
        <f t="shared" ca="1" si="5423"/>
        <v>0</v>
      </c>
      <c r="KM121" s="40">
        <f t="shared" ca="1" si="5423"/>
        <v>0</v>
      </c>
      <c r="KN121" s="40">
        <f t="shared" ca="1" si="5423"/>
        <v>0</v>
      </c>
      <c r="KO121" s="40">
        <f t="shared" ca="1" si="5423"/>
        <v>0</v>
      </c>
      <c r="KP121" s="40">
        <f t="shared" ca="1" si="5423"/>
        <v>0</v>
      </c>
      <c r="KQ121" s="40">
        <f t="shared" ca="1" si="5423"/>
        <v>0</v>
      </c>
      <c r="KR121" s="40">
        <f t="shared" ca="1" si="5423"/>
        <v>0</v>
      </c>
      <c r="KS121" s="40">
        <f t="shared" ca="1" si="5423"/>
        <v>0</v>
      </c>
      <c r="KT121" s="40">
        <f t="shared" ca="1" si="5423"/>
        <v>0</v>
      </c>
      <c r="KU121" s="40">
        <f t="shared" ca="1" si="5423"/>
        <v>0</v>
      </c>
      <c r="KV121" s="40">
        <f t="shared" ca="1" si="5423"/>
        <v>0</v>
      </c>
      <c r="KW121" s="40">
        <f t="shared" ca="1" si="5423"/>
        <v>0</v>
      </c>
      <c r="KX121" s="40">
        <f t="shared" ca="1" si="5423"/>
        <v>0</v>
      </c>
      <c r="KY121" s="40">
        <f t="shared" ca="1" si="5423"/>
        <v>0</v>
      </c>
      <c r="KZ121" s="40">
        <f t="shared" ca="1" si="5423"/>
        <v>0</v>
      </c>
      <c r="LA121" s="40">
        <f t="shared" ref="LA121:ND121" ca="1" si="5424">LA113</f>
        <v>0</v>
      </c>
      <c r="LB121" s="40">
        <f t="shared" ca="1" si="5424"/>
        <v>0</v>
      </c>
      <c r="LC121" s="40">
        <f t="shared" ca="1" si="5424"/>
        <v>0</v>
      </c>
      <c r="LD121" s="40">
        <f t="shared" ca="1" si="5424"/>
        <v>0</v>
      </c>
      <c r="LE121" s="40">
        <f t="shared" ca="1" si="5424"/>
        <v>0</v>
      </c>
      <c r="LF121" s="40">
        <f t="shared" ca="1" si="5424"/>
        <v>0</v>
      </c>
      <c r="LG121" s="40">
        <f t="shared" ca="1" si="5424"/>
        <v>0</v>
      </c>
      <c r="LH121" s="40">
        <f t="shared" ca="1" si="5424"/>
        <v>0</v>
      </c>
      <c r="LI121" s="40">
        <f t="shared" ca="1" si="5424"/>
        <v>0</v>
      </c>
      <c r="LJ121" s="40">
        <f t="shared" ca="1" si="5424"/>
        <v>0</v>
      </c>
      <c r="LK121" s="40">
        <f t="shared" ca="1" si="5424"/>
        <v>0</v>
      </c>
      <c r="LL121" s="40">
        <f t="shared" ca="1" si="5424"/>
        <v>0</v>
      </c>
      <c r="LM121" s="40">
        <f t="shared" ca="1" si="5424"/>
        <v>0</v>
      </c>
      <c r="LN121" s="40">
        <f t="shared" ca="1" si="5424"/>
        <v>0</v>
      </c>
      <c r="LO121" s="40">
        <f t="shared" ca="1" si="5424"/>
        <v>0</v>
      </c>
      <c r="LP121" s="40">
        <f t="shared" ca="1" si="5424"/>
        <v>0</v>
      </c>
      <c r="LQ121" s="40">
        <f t="shared" ca="1" si="5424"/>
        <v>0</v>
      </c>
      <c r="LR121" s="40">
        <f t="shared" ca="1" si="5424"/>
        <v>0</v>
      </c>
      <c r="LS121" s="40">
        <f t="shared" ca="1" si="5424"/>
        <v>0</v>
      </c>
      <c r="LT121" s="40">
        <f t="shared" ca="1" si="5424"/>
        <v>0</v>
      </c>
      <c r="LU121" s="40">
        <f t="shared" ca="1" si="5424"/>
        <v>0</v>
      </c>
      <c r="LV121" s="40">
        <f t="shared" ca="1" si="5424"/>
        <v>0</v>
      </c>
      <c r="LW121" s="40">
        <f t="shared" ca="1" si="5424"/>
        <v>0</v>
      </c>
      <c r="LX121" s="40">
        <f t="shared" ca="1" si="5424"/>
        <v>0</v>
      </c>
      <c r="LY121" s="40">
        <f t="shared" ca="1" si="5424"/>
        <v>0</v>
      </c>
      <c r="LZ121" s="40">
        <f t="shared" ca="1" si="5424"/>
        <v>0</v>
      </c>
      <c r="MA121" s="40">
        <f t="shared" ca="1" si="5424"/>
        <v>0</v>
      </c>
      <c r="MB121" s="40">
        <f t="shared" ca="1" si="5424"/>
        <v>0</v>
      </c>
      <c r="MC121" s="40">
        <f t="shared" ca="1" si="5424"/>
        <v>0</v>
      </c>
      <c r="MD121" s="40">
        <f t="shared" ca="1" si="5424"/>
        <v>0</v>
      </c>
      <c r="ME121" s="40">
        <f t="shared" ca="1" si="5424"/>
        <v>0</v>
      </c>
      <c r="MF121" s="40">
        <f t="shared" ca="1" si="5424"/>
        <v>0</v>
      </c>
      <c r="MG121" s="40">
        <f t="shared" ca="1" si="5424"/>
        <v>0</v>
      </c>
      <c r="MH121" s="40">
        <f t="shared" ca="1" si="5424"/>
        <v>0</v>
      </c>
      <c r="MI121" s="40">
        <f t="shared" ca="1" si="5424"/>
        <v>0</v>
      </c>
      <c r="MJ121" s="40">
        <f t="shared" ca="1" si="5424"/>
        <v>0</v>
      </c>
      <c r="MK121" s="40">
        <f t="shared" ca="1" si="5424"/>
        <v>0</v>
      </c>
      <c r="ML121" s="40">
        <f t="shared" ca="1" si="5424"/>
        <v>0</v>
      </c>
      <c r="MM121" s="40">
        <f t="shared" ca="1" si="5424"/>
        <v>0</v>
      </c>
      <c r="MN121" s="40">
        <f t="shared" ca="1" si="5424"/>
        <v>0</v>
      </c>
      <c r="MO121" s="40">
        <f t="shared" ca="1" si="5424"/>
        <v>0</v>
      </c>
      <c r="MP121" s="40">
        <f t="shared" ca="1" si="5424"/>
        <v>0</v>
      </c>
      <c r="MQ121" s="40">
        <f t="shared" ca="1" si="5424"/>
        <v>0</v>
      </c>
      <c r="MR121" s="40">
        <f t="shared" ca="1" si="5424"/>
        <v>0</v>
      </c>
      <c r="MS121" s="40">
        <f t="shared" ca="1" si="5424"/>
        <v>0</v>
      </c>
      <c r="MT121" s="40">
        <f t="shared" ca="1" si="5424"/>
        <v>0</v>
      </c>
      <c r="MU121" s="40">
        <f t="shared" ca="1" si="5424"/>
        <v>0</v>
      </c>
      <c r="MV121" s="40">
        <f t="shared" ca="1" si="5424"/>
        <v>0</v>
      </c>
      <c r="MW121" s="40">
        <f t="shared" ca="1" si="5424"/>
        <v>0</v>
      </c>
      <c r="MX121" s="40">
        <f t="shared" ca="1" si="5424"/>
        <v>0</v>
      </c>
      <c r="MY121" s="40">
        <f t="shared" ca="1" si="5424"/>
        <v>0</v>
      </c>
      <c r="MZ121" s="40">
        <f t="shared" ca="1" si="5424"/>
        <v>0</v>
      </c>
      <c r="NA121" s="40">
        <f t="shared" ca="1" si="5424"/>
        <v>0</v>
      </c>
      <c r="NB121" s="40">
        <f t="shared" ca="1" si="5424"/>
        <v>0</v>
      </c>
      <c r="NC121" s="40">
        <f t="shared" ca="1" si="5424"/>
        <v>0</v>
      </c>
      <c r="ND121" s="40">
        <f t="shared" ca="1" si="5424"/>
        <v>0</v>
      </c>
      <c r="NE121" s="40"/>
      <c r="NF121" s="40"/>
      <c r="NG121" s="40"/>
      <c r="NH121" s="40"/>
      <c r="NI121" s="40"/>
      <c r="NJ121" s="40"/>
      <c r="NK121" s="40"/>
      <c r="NL121" s="40"/>
      <c r="NM121" s="40"/>
      <c r="NN121" s="40"/>
      <c r="NO121" s="40"/>
      <c r="NP121" s="40"/>
      <c r="NQ121" s="40"/>
      <c r="NR121" s="40"/>
    </row>
    <row r="122" spans="2:382" x14ac:dyDescent="0.15">
      <c r="B122" s="522"/>
      <c r="C122" s="156" t="str">
        <f>C6</f>
        <v>-</v>
      </c>
      <c r="D122" s="243" t="str">
        <f t="shared" ca="1" si="5410"/>
        <v>-</v>
      </c>
      <c r="E122" s="121">
        <f ca="1">IFERROR(XNPV('Deal Summary'!$E$63,$I122:$ND122,$I$21:$ND$21)+H122,"-")</f>
        <v>0</v>
      </c>
      <c r="F122" s="245" t="str">
        <f ca="1">IFERROR((SUM(H122:ND122)+'Investors Breakdown'!$E21)/'Investors Breakdown'!$E21,"-")</f>
        <v>-</v>
      </c>
      <c r="H122" s="129">
        <f>$D114*'Monthly P&amp;L'!$F$78</f>
        <v>0</v>
      </c>
      <c r="I122" s="40">
        <f>I114</f>
        <v>0</v>
      </c>
      <c r="J122" s="40">
        <f>J114</f>
        <v>0</v>
      </c>
      <c r="K122" s="40">
        <f t="shared" ref="K122:BV122" si="5425">K114</f>
        <v>0</v>
      </c>
      <c r="L122" s="40">
        <f t="shared" si="5425"/>
        <v>0</v>
      </c>
      <c r="M122" s="40">
        <f t="shared" si="5425"/>
        <v>0</v>
      </c>
      <c r="N122" s="40">
        <f t="shared" si="5425"/>
        <v>0</v>
      </c>
      <c r="O122" s="40">
        <f t="shared" si="5425"/>
        <v>0</v>
      </c>
      <c r="P122" s="40">
        <f t="shared" si="5425"/>
        <v>0</v>
      </c>
      <c r="Q122" s="40">
        <f t="shared" si="5425"/>
        <v>0</v>
      </c>
      <c r="R122" s="40">
        <f t="shared" si="5425"/>
        <v>0</v>
      </c>
      <c r="S122" s="40">
        <f t="shared" si="5425"/>
        <v>0</v>
      </c>
      <c r="T122" s="40">
        <f t="shared" si="5425"/>
        <v>0</v>
      </c>
      <c r="U122" s="40">
        <f t="shared" si="5425"/>
        <v>0</v>
      </c>
      <c r="V122" s="40">
        <f t="shared" si="5425"/>
        <v>0</v>
      </c>
      <c r="W122" s="40">
        <f t="shared" si="5425"/>
        <v>0</v>
      </c>
      <c r="X122" s="40">
        <f t="shared" si="5425"/>
        <v>0</v>
      </c>
      <c r="Y122" s="40">
        <f t="shared" si="5425"/>
        <v>0</v>
      </c>
      <c r="Z122" s="40">
        <f t="shared" si="5425"/>
        <v>0</v>
      </c>
      <c r="AA122" s="40">
        <f t="shared" si="5425"/>
        <v>0</v>
      </c>
      <c r="AB122" s="40">
        <f t="shared" si="5425"/>
        <v>0</v>
      </c>
      <c r="AC122" s="40">
        <f t="shared" si="5425"/>
        <v>0</v>
      </c>
      <c r="AD122" s="40">
        <f t="shared" si="5425"/>
        <v>0</v>
      </c>
      <c r="AE122" s="40">
        <f t="shared" si="5425"/>
        <v>0</v>
      </c>
      <c r="AF122" s="40">
        <f t="shared" si="5425"/>
        <v>0</v>
      </c>
      <c r="AG122" s="40">
        <f t="shared" si="5425"/>
        <v>0</v>
      </c>
      <c r="AH122" s="40">
        <f t="shared" si="5425"/>
        <v>0</v>
      </c>
      <c r="AI122" s="40">
        <f t="shared" si="5425"/>
        <v>0</v>
      </c>
      <c r="AJ122" s="40">
        <f t="shared" si="5425"/>
        <v>0</v>
      </c>
      <c r="AK122" s="40">
        <f t="shared" si="5425"/>
        <v>0</v>
      </c>
      <c r="AL122" s="40">
        <f t="shared" si="5425"/>
        <v>0</v>
      </c>
      <c r="AM122" s="40">
        <f t="shared" si="5425"/>
        <v>0</v>
      </c>
      <c r="AN122" s="40">
        <f t="shared" si="5425"/>
        <v>0</v>
      </c>
      <c r="AO122" s="40">
        <f t="shared" si="5425"/>
        <v>0</v>
      </c>
      <c r="AP122" s="40">
        <f t="shared" si="5425"/>
        <v>0</v>
      </c>
      <c r="AQ122" s="40">
        <f t="shared" si="5425"/>
        <v>0</v>
      </c>
      <c r="AR122" s="40">
        <f t="shared" si="5425"/>
        <v>0</v>
      </c>
      <c r="AS122" s="40">
        <f t="shared" si="5425"/>
        <v>0</v>
      </c>
      <c r="AT122" s="40">
        <f t="shared" si="5425"/>
        <v>0</v>
      </c>
      <c r="AU122" s="40">
        <f t="shared" si="5425"/>
        <v>0</v>
      </c>
      <c r="AV122" s="40">
        <f t="shared" si="5425"/>
        <v>0</v>
      </c>
      <c r="AW122" s="40">
        <f t="shared" si="5425"/>
        <v>0</v>
      </c>
      <c r="AX122" s="40">
        <f t="shared" si="5425"/>
        <v>0</v>
      </c>
      <c r="AY122" s="40">
        <f t="shared" si="5425"/>
        <v>0</v>
      </c>
      <c r="AZ122" s="40">
        <f t="shared" si="5425"/>
        <v>0</v>
      </c>
      <c r="BA122" s="40">
        <f t="shared" si="5425"/>
        <v>0</v>
      </c>
      <c r="BB122" s="40">
        <f t="shared" si="5425"/>
        <v>0</v>
      </c>
      <c r="BC122" s="40">
        <f t="shared" si="5425"/>
        <v>0</v>
      </c>
      <c r="BD122" s="40">
        <f t="shared" si="5425"/>
        <v>0</v>
      </c>
      <c r="BE122" s="40">
        <f t="shared" si="5425"/>
        <v>0</v>
      </c>
      <c r="BF122" s="40">
        <f t="shared" si="5425"/>
        <v>0</v>
      </c>
      <c r="BG122" s="40">
        <f t="shared" si="5425"/>
        <v>0</v>
      </c>
      <c r="BH122" s="40">
        <f t="shared" si="5425"/>
        <v>0</v>
      </c>
      <c r="BI122" s="40">
        <f t="shared" si="5425"/>
        <v>0</v>
      </c>
      <c r="BJ122" s="40">
        <f t="shared" si="5425"/>
        <v>0</v>
      </c>
      <c r="BK122" s="40">
        <f t="shared" si="5425"/>
        <v>0</v>
      </c>
      <c r="BL122" s="40">
        <f t="shared" si="5425"/>
        <v>0</v>
      </c>
      <c r="BM122" s="40">
        <f t="shared" si="5425"/>
        <v>0</v>
      </c>
      <c r="BN122" s="40">
        <f t="shared" si="5425"/>
        <v>0</v>
      </c>
      <c r="BO122" s="40">
        <f t="shared" si="5425"/>
        <v>0</v>
      </c>
      <c r="BP122" s="40">
        <f t="shared" si="5425"/>
        <v>0</v>
      </c>
      <c r="BQ122" s="40">
        <f t="shared" si="5425"/>
        <v>0</v>
      </c>
      <c r="BR122" s="40">
        <f t="shared" si="5425"/>
        <v>0</v>
      </c>
      <c r="BS122" s="40">
        <f t="shared" si="5425"/>
        <v>0</v>
      </c>
      <c r="BT122" s="40">
        <f t="shared" si="5425"/>
        <v>0</v>
      </c>
      <c r="BU122" s="40">
        <f t="shared" si="5425"/>
        <v>0</v>
      </c>
      <c r="BV122" s="40">
        <f t="shared" si="5425"/>
        <v>0</v>
      </c>
      <c r="BW122" s="40">
        <f t="shared" ref="BW122:EH122" si="5426">BW114</f>
        <v>0</v>
      </c>
      <c r="BX122" s="40">
        <f t="shared" si="5426"/>
        <v>0</v>
      </c>
      <c r="BY122" s="40">
        <f t="shared" si="5426"/>
        <v>0</v>
      </c>
      <c r="BZ122" s="40">
        <f t="shared" si="5426"/>
        <v>0</v>
      </c>
      <c r="CA122" s="40">
        <f t="shared" si="5426"/>
        <v>0</v>
      </c>
      <c r="CB122" s="40">
        <f t="shared" si="5426"/>
        <v>0</v>
      </c>
      <c r="CC122" s="40">
        <f t="shared" si="5426"/>
        <v>0</v>
      </c>
      <c r="CD122" s="40">
        <f t="shared" si="5426"/>
        <v>0</v>
      </c>
      <c r="CE122" s="40">
        <f t="shared" si="5426"/>
        <v>0</v>
      </c>
      <c r="CF122" s="40">
        <f t="shared" si="5426"/>
        <v>0</v>
      </c>
      <c r="CG122" s="40">
        <f t="shared" si="5426"/>
        <v>0</v>
      </c>
      <c r="CH122" s="40">
        <f t="shared" si="5426"/>
        <v>0</v>
      </c>
      <c r="CI122" s="40">
        <f t="shared" si="5426"/>
        <v>0</v>
      </c>
      <c r="CJ122" s="40">
        <f t="shared" si="5426"/>
        <v>0</v>
      </c>
      <c r="CK122" s="40">
        <f t="shared" si="5426"/>
        <v>0</v>
      </c>
      <c r="CL122" s="40">
        <f t="shared" si="5426"/>
        <v>0</v>
      </c>
      <c r="CM122" s="40">
        <f t="shared" si="5426"/>
        <v>0</v>
      </c>
      <c r="CN122" s="40">
        <f t="shared" si="5426"/>
        <v>0</v>
      </c>
      <c r="CO122" s="40">
        <f t="shared" si="5426"/>
        <v>0</v>
      </c>
      <c r="CP122" s="40">
        <f t="shared" si="5426"/>
        <v>0</v>
      </c>
      <c r="CQ122" s="40">
        <f t="shared" si="5426"/>
        <v>0</v>
      </c>
      <c r="CR122" s="40">
        <f t="shared" si="5426"/>
        <v>0</v>
      </c>
      <c r="CS122" s="40">
        <f t="shared" si="5426"/>
        <v>0</v>
      </c>
      <c r="CT122" s="40">
        <f t="shared" si="5426"/>
        <v>0</v>
      </c>
      <c r="CU122" s="40">
        <f t="shared" si="5426"/>
        <v>0</v>
      </c>
      <c r="CV122" s="40">
        <f t="shared" si="5426"/>
        <v>0</v>
      </c>
      <c r="CW122" s="40">
        <f t="shared" si="5426"/>
        <v>0</v>
      </c>
      <c r="CX122" s="40">
        <f t="shared" si="5426"/>
        <v>0</v>
      </c>
      <c r="CY122" s="40">
        <f t="shared" si="5426"/>
        <v>0</v>
      </c>
      <c r="CZ122" s="40">
        <f t="shared" si="5426"/>
        <v>0</v>
      </c>
      <c r="DA122" s="40">
        <f t="shared" si="5426"/>
        <v>0</v>
      </c>
      <c r="DB122" s="40">
        <f t="shared" si="5426"/>
        <v>0</v>
      </c>
      <c r="DC122" s="40">
        <f t="shared" si="5426"/>
        <v>0</v>
      </c>
      <c r="DD122" s="40">
        <f t="shared" si="5426"/>
        <v>0</v>
      </c>
      <c r="DE122" s="40">
        <f t="shared" si="5426"/>
        <v>0</v>
      </c>
      <c r="DF122" s="40">
        <f t="shared" si="5426"/>
        <v>0</v>
      </c>
      <c r="DG122" s="40">
        <f t="shared" si="5426"/>
        <v>0</v>
      </c>
      <c r="DH122" s="40">
        <f t="shared" si="5426"/>
        <v>0</v>
      </c>
      <c r="DI122" s="40">
        <f t="shared" si="5426"/>
        <v>0</v>
      </c>
      <c r="DJ122" s="40">
        <f t="shared" si="5426"/>
        <v>0</v>
      </c>
      <c r="DK122" s="40">
        <f t="shared" si="5426"/>
        <v>0</v>
      </c>
      <c r="DL122" s="40">
        <f t="shared" si="5426"/>
        <v>0</v>
      </c>
      <c r="DM122" s="40">
        <f t="shared" si="5426"/>
        <v>0</v>
      </c>
      <c r="DN122" s="40">
        <f t="shared" si="5426"/>
        <v>0</v>
      </c>
      <c r="DO122" s="40">
        <f t="shared" si="5426"/>
        <v>0</v>
      </c>
      <c r="DP122" s="40">
        <f t="shared" si="5426"/>
        <v>0</v>
      </c>
      <c r="DQ122" s="40">
        <f t="shared" si="5426"/>
        <v>0</v>
      </c>
      <c r="DR122" s="40">
        <f t="shared" si="5426"/>
        <v>0</v>
      </c>
      <c r="DS122" s="40">
        <f t="shared" si="5426"/>
        <v>0</v>
      </c>
      <c r="DT122" s="40">
        <f t="shared" si="5426"/>
        <v>0</v>
      </c>
      <c r="DU122" s="40">
        <f t="shared" si="5426"/>
        <v>0</v>
      </c>
      <c r="DV122" s="40">
        <f t="shared" si="5426"/>
        <v>0</v>
      </c>
      <c r="DW122" s="40">
        <f t="shared" si="5426"/>
        <v>0</v>
      </c>
      <c r="DX122" s="40">
        <f t="shared" si="5426"/>
        <v>0</v>
      </c>
      <c r="DY122" s="40">
        <f t="shared" si="5426"/>
        <v>0</v>
      </c>
      <c r="DZ122" s="40">
        <f t="shared" si="5426"/>
        <v>0</v>
      </c>
      <c r="EA122" s="40">
        <f t="shared" si="5426"/>
        <v>0</v>
      </c>
      <c r="EB122" s="40">
        <f t="shared" si="5426"/>
        <v>0</v>
      </c>
      <c r="EC122" s="40">
        <f t="shared" si="5426"/>
        <v>0</v>
      </c>
      <c r="ED122" s="40">
        <f t="shared" si="5426"/>
        <v>0</v>
      </c>
      <c r="EE122" s="40">
        <f t="shared" si="5426"/>
        <v>0</v>
      </c>
      <c r="EF122" s="40">
        <f t="shared" si="5426"/>
        <v>0</v>
      </c>
      <c r="EG122" s="40">
        <f t="shared" si="5426"/>
        <v>0</v>
      </c>
      <c r="EH122" s="40">
        <f t="shared" si="5426"/>
        <v>0</v>
      </c>
      <c r="EI122" s="40">
        <f t="shared" ref="EI122:GT122" si="5427">EI114</f>
        <v>0</v>
      </c>
      <c r="EJ122" s="40">
        <f t="shared" si="5427"/>
        <v>0</v>
      </c>
      <c r="EK122" s="40">
        <f t="shared" si="5427"/>
        <v>0</v>
      </c>
      <c r="EL122" s="40">
        <f t="shared" si="5427"/>
        <v>0</v>
      </c>
      <c r="EM122" s="40">
        <f t="shared" si="5427"/>
        <v>0</v>
      </c>
      <c r="EN122" s="40">
        <f t="shared" si="5427"/>
        <v>0</v>
      </c>
      <c r="EO122" s="40">
        <f t="shared" si="5427"/>
        <v>0</v>
      </c>
      <c r="EP122" s="40">
        <f t="shared" si="5427"/>
        <v>0</v>
      </c>
      <c r="EQ122" s="40">
        <f t="shared" si="5427"/>
        <v>0</v>
      </c>
      <c r="ER122" s="40">
        <f t="shared" si="5427"/>
        <v>0</v>
      </c>
      <c r="ES122" s="40">
        <f t="shared" si="5427"/>
        <v>0</v>
      </c>
      <c r="ET122" s="40">
        <f t="shared" si="5427"/>
        <v>0</v>
      </c>
      <c r="EU122" s="40">
        <f t="shared" si="5427"/>
        <v>0</v>
      </c>
      <c r="EV122" s="40">
        <f t="shared" si="5427"/>
        <v>0</v>
      </c>
      <c r="EW122" s="40">
        <f t="shared" si="5427"/>
        <v>0</v>
      </c>
      <c r="EX122" s="40">
        <f t="shared" si="5427"/>
        <v>0</v>
      </c>
      <c r="EY122" s="40">
        <f t="shared" si="5427"/>
        <v>0</v>
      </c>
      <c r="EZ122" s="40">
        <f t="shared" si="5427"/>
        <v>0</v>
      </c>
      <c r="FA122" s="40">
        <f t="shared" si="5427"/>
        <v>0</v>
      </c>
      <c r="FB122" s="40">
        <f t="shared" si="5427"/>
        <v>0</v>
      </c>
      <c r="FC122" s="40">
        <f t="shared" si="5427"/>
        <v>0</v>
      </c>
      <c r="FD122" s="40">
        <f t="shared" si="5427"/>
        <v>0</v>
      </c>
      <c r="FE122" s="40">
        <f t="shared" si="5427"/>
        <v>0</v>
      </c>
      <c r="FF122" s="40">
        <f t="shared" si="5427"/>
        <v>0</v>
      </c>
      <c r="FG122" s="40">
        <f t="shared" si="5427"/>
        <v>0</v>
      </c>
      <c r="FH122" s="40">
        <f t="shared" si="5427"/>
        <v>0</v>
      </c>
      <c r="FI122" s="40">
        <f t="shared" si="5427"/>
        <v>0</v>
      </c>
      <c r="FJ122" s="40">
        <f t="shared" si="5427"/>
        <v>0</v>
      </c>
      <c r="FK122" s="40">
        <f t="shared" si="5427"/>
        <v>0</v>
      </c>
      <c r="FL122" s="40">
        <f t="shared" si="5427"/>
        <v>0</v>
      </c>
      <c r="FM122" s="40">
        <f t="shared" si="5427"/>
        <v>0</v>
      </c>
      <c r="FN122" s="40">
        <f t="shared" si="5427"/>
        <v>0</v>
      </c>
      <c r="FO122" s="40">
        <f t="shared" si="5427"/>
        <v>0</v>
      </c>
      <c r="FP122" s="40">
        <f t="shared" si="5427"/>
        <v>0</v>
      </c>
      <c r="FQ122" s="40">
        <f t="shared" si="5427"/>
        <v>0</v>
      </c>
      <c r="FR122" s="40">
        <f t="shared" si="5427"/>
        <v>0</v>
      </c>
      <c r="FS122" s="40">
        <f t="shared" si="5427"/>
        <v>0</v>
      </c>
      <c r="FT122" s="40">
        <f t="shared" si="5427"/>
        <v>0</v>
      </c>
      <c r="FU122" s="40">
        <f t="shared" si="5427"/>
        <v>0</v>
      </c>
      <c r="FV122" s="40">
        <f t="shared" si="5427"/>
        <v>0</v>
      </c>
      <c r="FW122" s="40">
        <f t="shared" si="5427"/>
        <v>0</v>
      </c>
      <c r="FX122" s="40">
        <f t="shared" si="5427"/>
        <v>0</v>
      </c>
      <c r="FY122" s="40">
        <f t="shared" si="5427"/>
        <v>0</v>
      </c>
      <c r="FZ122" s="40">
        <f t="shared" si="5427"/>
        <v>0</v>
      </c>
      <c r="GA122" s="40">
        <f t="shared" si="5427"/>
        <v>0</v>
      </c>
      <c r="GB122" s="40">
        <f t="shared" si="5427"/>
        <v>0</v>
      </c>
      <c r="GC122" s="40">
        <f t="shared" si="5427"/>
        <v>0</v>
      </c>
      <c r="GD122" s="40">
        <f t="shared" si="5427"/>
        <v>0</v>
      </c>
      <c r="GE122" s="40">
        <f t="shared" si="5427"/>
        <v>0</v>
      </c>
      <c r="GF122" s="40">
        <f t="shared" ca="1" si="5427"/>
        <v>0</v>
      </c>
      <c r="GG122" s="40">
        <f t="shared" ca="1" si="5427"/>
        <v>0</v>
      </c>
      <c r="GH122" s="40">
        <f t="shared" ca="1" si="5427"/>
        <v>0</v>
      </c>
      <c r="GI122" s="40">
        <f t="shared" ca="1" si="5427"/>
        <v>0</v>
      </c>
      <c r="GJ122" s="40">
        <f t="shared" ca="1" si="5427"/>
        <v>0</v>
      </c>
      <c r="GK122" s="40">
        <f t="shared" ca="1" si="5427"/>
        <v>0</v>
      </c>
      <c r="GL122" s="40">
        <f t="shared" ca="1" si="5427"/>
        <v>0</v>
      </c>
      <c r="GM122" s="40">
        <f t="shared" ca="1" si="5427"/>
        <v>0</v>
      </c>
      <c r="GN122" s="40">
        <f t="shared" ca="1" si="5427"/>
        <v>0</v>
      </c>
      <c r="GO122" s="40">
        <f t="shared" ca="1" si="5427"/>
        <v>0</v>
      </c>
      <c r="GP122" s="40">
        <f t="shared" ca="1" si="5427"/>
        <v>0</v>
      </c>
      <c r="GQ122" s="40">
        <f t="shared" ca="1" si="5427"/>
        <v>0</v>
      </c>
      <c r="GR122" s="40">
        <f t="shared" ca="1" si="5427"/>
        <v>0</v>
      </c>
      <c r="GS122" s="40">
        <f t="shared" ca="1" si="5427"/>
        <v>0</v>
      </c>
      <c r="GT122" s="40">
        <f t="shared" ca="1" si="5427"/>
        <v>0</v>
      </c>
      <c r="GU122" s="40">
        <f t="shared" ref="GU122:IN122" ca="1" si="5428">GU114</f>
        <v>0</v>
      </c>
      <c r="GV122" s="40">
        <f t="shared" ca="1" si="5428"/>
        <v>0</v>
      </c>
      <c r="GW122" s="40">
        <f t="shared" ca="1" si="5428"/>
        <v>0</v>
      </c>
      <c r="GX122" s="40">
        <f t="shared" ca="1" si="5428"/>
        <v>0</v>
      </c>
      <c r="GY122" s="40">
        <f t="shared" ca="1" si="5428"/>
        <v>0</v>
      </c>
      <c r="GZ122" s="40">
        <f t="shared" ca="1" si="5428"/>
        <v>0</v>
      </c>
      <c r="HA122" s="40">
        <f t="shared" ca="1" si="5428"/>
        <v>0</v>
      </c>
      <c r="HB122" s="40">
        <f t="shared" ca="1" si="5428"/>
        <v>0</v>
      </c>
      <c r="HC122" s="40">
        <f t="shared" ca="1" si="5428"/>
        <v>0</v>
      </c>
      <c r="HD122" s="40">
        <f t="shared" ca="1" si="5428"/>
        <v>0</v>
      </c>
      <c r="HE122" s="40">
        <f t="shared" ca="1" si="5428"/>
        <v>0</v>
      </c>
      <c r="HF122" s="40">
        <f t="shared" ca="1" si="5428"/>
        <v>0</v>
      </c>
      <c r="HG122" s="40">
        <f t="shared" ca="1" si="5428"/>
        <v>0</v>
      </c>
      <c r="HH122" s="40">
        <f t="shared" ca="1" si="5428"/>
        <v>0</v>
      </c>
      <c r="HI122" s="40">
        <f t="shared" ca="1" si="5428"/>
        <v>0</v>
      </c>
      <c r="HJ122" s="40">
        <f t="shared" ca="1" si="5428"/>
        <v>0</v>
      </c>
      <c r="HK122" s="40">
        <f t="shared" ca="1" si="5428"/>
        <v>0</v>
      </c>
      <c r="HL122" s="40">
        <f t="shared" ca="1" si="5428"/>
        <v>0</v>
      </c>
      <c r="HM122" s="40">
        <f t="shared" ca="1" si="5428"/>
        <v>0</v>
      </c>
      <c r="HN122" s="40">
        <f t="shared" ca="1" si="5428"/>
        <v>0</v>
      </c>
      <c r="HO122" s="40">
        <f t="shared" ca="1" si="5428"/>
        <v>0</v>
      </c>
      <c r="HP122" s="40">
        <f t="shared" ca="1" si="5428"/>
        <v>0</v>
      </c>
      <c r="HQ122" s="40">
        <f t="shared" ca="1" si="5428"/>
        <v>0</v>
      </c>
      <c r="HR122" s="40">
        <f t="shared" ca="1" si="5428"/>
        <v>0</v>
      </c>
      <c r="HS122" s="40">
        <f t="shared" ca="1" si="5428"/>
        <v>0</v>
      </c>
      <c r="HT122" s="40">
        <f t="shared" ca="1" si="5428"/>
        <v>0</v>
      </c>
      <c r="HU122" s="40">
        <f t="shared" ca="1" si="5428"/>
        <v>0</v>
      </c>
      <c r="HV122" s="40">
        <f t="shared" ca="1" si="5428"/>
        <v>0</v>
      </c>
      <c r="HW122" s="40">
        <f t="shared" ca="1" si="5428"/>
        <v>0</v>
      </c>
      <c r="HX122" s="40">
        <f t="shared" ca="1" si="5428"/>
        <v>0</v>
      </c>
      <c r="HY122" s="40">
        <f t="shared" ca="1" si="5428"/>
        <v>0</v>
      </c>
      <c r="HZ122" s="40">
        <f t="shared" ca="1" si="5428"/>
        <v>0</v>
      </c>
      <c r="IA122" s="40">
        <f t="shared" ca="1" si="5428"/>
        <v>0</v>
      </c>
      <c r="IB122" s="40">
        <f t="shared" ca="1" si="5428"/>
        <v>0</v>
      </c>
      <c r="IC122" s="40">
        <f t="shared" ca="1" si="5428"/>
        <v>0</v>
      </c>
      <c r="ID122" s="40">
        <f t="shared" ca="1" si="5428"/>
        <v>0</v>
      </c>
      <c r="IE122" s="40">
        <f t="shared" ca="1" si="5428"/>
        <v>0</v>
      </c>
      <c r="IF122" s="40">
        <f t="shared" ca="1" si="5428"/>
        <v>0</v>
      </c>
      <c r="IG122" s="40">
        <f t="shared" ca="1" si="5428"/>
        <v>0</v>
      </c>
      <c r="IH122" s="40">
        <f t="shared" ca="1" si="5428"/>
        <v>0</v>
      </c>
      <c r="II122" s="40">
        <f t="shared" ca="1" si="5428"/>
        <v>0</v>
      </c>
      <c r="IJ122" s="40">
        <f t="shared" ca="1" si="5428"/>
        <v>0</v>
      </c>
      <c r="IK122" s="40">
        <f t="shared" ca="1" si="5428"/>
        <v>0</v>
      </c>
      <c r="IL122" s="40">
        <f t="shared" ca="1" si="5428"/>
        <v>0</v>
      </c>
      <c r="IM122" s="40">
        <f t="shared" ca="1" si="5428"/>
        <v>0</v>
      </c>
      <c r="IN122" s="40">
        <f t="shared" ca="1" si="5428"/>
        <v>0</v>
      </c>
      <c r="IO122" s="40">
        <f t="shared" ref="IO122:KZ122" ca="1" si="5429">IO114</f>
        <v>0</v>
      </c>
      <c r="IP122" s="40">
        <f t="shared" ca="1" si="5429"/>
        <v>0</v>
      </c>
      <c r="IQ122" s="40">
        <f t="shared" ca="1" si="5429"/>
        <v>0</v>
      </c>
      <c r="IR122" s="40">
        <f t="shared" ca="1" si="5429"/>
        <v>0</v>
      </c>
      <c r="IS122" s="40">
        <f t="shared" ca="1" si="5429"/>
        <v>0</v>
      </c>
      <c r="IT122" s="40">
        <f t="shared" ca="1" si="5429"/>
        <v>0</v>
      </c>
      <c r="IU122" s="40">
        <f t="shared" ca="1" si="5429"/>
        <v>0</v>
      </c>
      <c r="IV122" s="40">
        <f t="shared" ca="1" si="5429"/>
        <v>0</v>
      </c>
      <c r="IW122" s="40">
        <f t="shared" ca="1" si="5429"/>
        <v>0</v>
      </c>
      <c r="IX122" s="40">
        <f t="shared" ca="1" si="5429"/>
        <v>0</v>
      </c>
      <c r="IY122" s="40">
        <f t="shared" ca="1" si="5429"/>
        <v>0</v>
      </c>
      <c r="IZ122" s="40">
        <f t="shared" ca="1" si="5429"/>
        <v>0</v>
      </c>
      <c r="JA122" s="40">
        <f t="shared" ca="1" si="5429"/>
        <v>0</v>
      </c>
      <c r="JB122" s="40">
        <f t="shared" ca="1" si="5429"/>
        <v>0</v>
      </c>
      <c r="JC122" s="40">
        <f t="shared" ca="1" si="5429"/>
        <v>0</v>
      </c>
      <c r="JD122" s="40">
        <f t="shared" ca="1" si="5429"/>
        <v>0</v>
      </c>
      <c r="JE122" s="40">
        <f t="shared" ca="1" si="5429"/>
        <v>0</v>
      </c>
      <c r="JF122" s="40">
        <f t="shared" ca="1" si="5429"/>
        <v>0</v>
      </c>
      <c r="JG122" s="40">
        <f t="shared" ca="1" si="5429"/>
        <v>0</v>
      </c>
      <c r="JH122" s="40">
        <f t="shared" ca="1" si="5429"/>
        <v>0</v>
      </c>
      <c r="JI122" s="40">
        <f t="shared" ca="1" si="5429"/>
        <v>0</v>
      </c>
      <c r="JJ122" s="40">
        <f t="shared" ca="1" si="5429"/>
        <v>0</v>
      </c>
      <c r="JK122" s="40">
        <f t="shared" ca="1" si="5429"/>
        <v>0</v>
      </c>
      <c r="JL122" s="40">
        <f t="shared" ca="1" si="5429"/>
        <v>0</v>
      </c>
      <c r="JM122" s="40">
        <f t="shared" ca="1" si="5429"/>
        <v>0</v>
      </c>
      <c r="JN122" s="40">
        <f t="shared" ca="1" si="5429"/>
        <v>0</v>
      </c>
      <c r="JO122" s="40">
        <f t="shared" ca="1" si="5429"/>
        <v>0</v>
      </c>
      <c r="JP122" s="40">
        <f t="shared" ca="1" si="5429"/>
        <v>0</v>
      </c>
      <c r="JQ122" s="40">
        <f t="shared" ca="1" si="5429"/>
        <v>0</v>
      </c>
      <c r="JR122" s="40">
        <f t="shared" ca="1" si="5429"/>
        <v>0</v>
      </c>
      <c r="JS122" s="40">
        <f t="shared" ca="1" si="5429"/>
        <v>0</v>
      </c>
      <c r="JT122" s="40">
        <f t="shared" ca="1" si="5429"/>
        <v>0</v>
      </c>
      <c r="JU122" s="40">
        <f t="shared" ca="1" si="5429"/>
        <v>0</v>
      </c>
      <c r="JV122" s="40">
        <f t="shared" ca="1" si="5429"/>
        <v>0</v>
      </c>
      <c r="JW122" s="40">
        <f t="shared" ca="1" si="5429"/>
        <v>0</v>
      </c>
      <c r="JX122" s="40">
        <f t="shared" ca="1" si="5429"/>
        <v>0</v>
      </c>
      <c r="JY122" s="40">
        <f t="shared" ca="1" si="5429"/>
        <v>0</v>
      </c>
      <c r="JZ122" s="40">
        <f t="shared" ca="1" si="5429"/>
        <v>0</v>
      </c>
      <c r="KA122" s="40">
        <f t="shared" ca="1" si="5429"/>
        <v>0</v>
      </c>
      <c r="KB122" s="40">
        <f t="shared" ca="1" si="5429"/>
        <v>0</v>
      </c>
      <c r="KC122" s="40">
        <f t="shared" ca="1" si="5429"/>
        <v>0</v>
      </c>
      <c r="KD122" s="40">
        <f t="shared" ca="1" si="5429"/>
        <v>0</v>
      </c>
      <c r="KE122" s="40">
        <f t="shared" ca="1" si="5429"/>
        <v>0</v>
      </c>
      <c r="KF122" s="40">
        <f t="shared" ca="1" si="5429"/>
        <v>0</v>
      </c>
      <c r="KG122" s="40">
        <f t="shared" ca="1" si="5429"/>
        <v>0</v>
      </c>
      <c r="KH122" s="40">
        <f t="shared" ca="1" si="5429"/>
        <v>0</v>
      </c>
      <c r="KI122" s="40">
        <f t="shared" ca="1" si="5429"/>
        <v>0</v>
      </c>
      <c r="KJ122" s="40">
        <f t="shared" ca="1" si="5429"/>
        <v>0</v>
      </c>
      <c r="KK122" s="40">
        <f t="shared" ca="1" si="5429"/>
        <v>0</v>
      </c>
      <c r="KL122" s="40">
        <f t="shared" ca="1" si="5429"/>
        <v>0</v>
      </c>
      <c r="KM122" s="40">
        <f t="shared" ca="1" si="5429"/>
        <v>0</v>
      </c>
      <c r="KN122" s="40">
        <f t="shared" ca="1" si="5429"/>
        <v>0</v>
      </c>
      <c r="KO122" s="40">
        <f t="shared" ca="1" si="5429"/>
        <v>0</v>
      </c>
      <c r="KP122" s="40">
        <f t="shared" ca="1" si="5429"/>
        <v>0</v>
      </c>
      <c r="KQ122" s="40">
        <f t="shared" ca="1" si="5429"/>
        <v>0</v>
      </c>
      <c r="KR122" s="40">
        <f t="shared" ca="1" si="5429"/>
        <v>0</v>
      </c>
      <c r="KS122" s="40">
        <f t="shared" ca="1" si="5429"/>
        <v>0</v>
      </c>
      <c r="KT122" s="40">
        <f t="shared" ca="1" si="5429"/>
        <v>0</v>
      </c>
      <c r="KU122" s="40">
        <f t="shared" ca="1" si="5429"/>
        <v>0</v>
      </c>
      <c r="KV122" s="40">
        <f t="shared" ca="1" si="5429"/>
        <v>0</v>
      </c>
      <c r="KW122" s="40">
        <f t="shared" ca="1" si="5429"/>
        <v>0</v>
      </c>
      <c r="KX122" s="40">
        <f t="shared" ca="1" si="5429"/>
        <v>0</v>
      </c>
      <c r="KY122" s="40">
        <f t="shared" ca="1" si="5429"/>
        <v>0</v>
      </c>
      <c r="KZ122" s="40">
        <f t="shared" ca="1" si="5429"/>
        <v>0</v>
      </c>
      <c r="LA122" s="40">
        <f t="shared" ref="LA122:ND122" ca="1" si="5430">LA114</f>
        <v>0</v>
      </c>
      <c r="LB122" s="40">
        <f t="shared" ca="1" si="5430"/>
        <v>0</v>
      </c>
      <c r="LC122" s="40">
        <f t="shared" ca="1" si="5430"/>
        <v>0</v>
      </c>
      <c r="LD122" s="40">
        <f t="shared" ca="1" si="5430"/>
        <v>0</v>
      </c>
      <c r="LE122" s="40">
        <f t="shared" ca="1" si="5430"/>
        <v>0</v>
      </c>
      <c r="LF122" s="40">
        <f t="shared" ca="1" si="5430"/>
        <v>0</v>
      </c>
      <c r="LG122" s="40">
        <f t="shared" ca="1" si="5430"/>
        <v>0</v>
      </c>
      <c r="LH122" s="40">
        <f t="shared" ca="1" si="5430"/>
        <v>0</v>
      </c>
      <c r="LI122" s="40">
        <f t="shared" ca="1" si="5430"/>
        <v>0</v>
      </c>
      <c r="LJ122" s="40">
        <f t="shared" ca="1" si="5430"/>
        <v>0</v>
      </c>
      <c r="LK122" s="40">
        <f t="shared" ca="1" si="5430"/>
        <v>0</v>
      </c>
      <c r="LL122" s="40">
        <f t="shared" ca="1" si="5430"/>
        <v>0</v>
      </c>
      <c r="LM122" s="40">
        <f t="shared" ca="1" si="5430"/>
        <v>0</v>
      </c>
      <c r="LN122" s="40">
        <f t="shared" ca="1" si="5430"/>
        <v>0</v>
      </c>
      <c r="LO122" s="40">
        <f t="shared" ca="1" si="5430"/>
        <v>0</v>
      </c>
      <c r="LP122" s="40">
        <f t="shared" ca="1" si="5430"/>
        <v>0</v>
      </c>
      <c r="LQ122" s="40">
        <f t="shared" ca="1" si="5430"/>
        <v>0</v>
      </c>
      <c r="LR122" s="40">
        <f t="shared" ca="1" si="5430"/>
        <v>0</v>
      </c>
      <c r="LS122" s="40">
        <f t="shared" ca="1" si="5430"/>
        <v>0</v>
      </c>
      <c r="LT122" s="40">
        <f t="shared" ca="1" si="5430"/>
        <v>0</v>
      </c>
      <c r="LU122" s="40">
        <f t="shared" ca="1" si="5430"/>
        <v>0</v>
      </c>
      <c r="LV122" s="40">
        <f t="shared" ca="1" si="5430"/>
        <v>0</v>
      </c>
      <c r="LW122" s="40">
        <f t="shared" ca="1" si="5430"/>
        <v>0</v>
      </c>
      <c r="LX122" s="40">
        <f t="shared" ca="1" si="5430"/>
        <v>0</v>
      </c>
      <c r="LY122" s="40">
        <f t="shared" ca="1" si="5430"/>
        <v>0</v>
      </c>
      <c r="LZ122" s="40">
        <f t="shared" ca="1" si="5430"/>
        <v>0</v>
      </c>
      <c r="MA122" s="40">
        <f t="shared" ca="1" si="5430"/>
        <v>0</v>
      </c>
      <c r="MB122" s="40">
        <f t="shared" ca="1" si="5430"/>
        <v>0</v>
      </c>
      <c r="MC122" s="40">
        <f t="shared" ca="1" si="5430"/>
        <v>0</v>
      </c>
      <c r="MD122" s="40">
        <f t="shared" ca="1" si="5430"/>
        <v>0</v>
      </c>
      <c r="ME122" s="40">
        <f t="shared" ca="1" si="5430"/>
        <v>0</v>
      </c>
      <c r="MF122" s="40">
        <f t="shared" ca="1" si="5430"/>
        <v>0</v>
      </c>
      <c r="MG122" s="40">
        <f t="shared" ca="1" si="5430"/>
        <v>0</v>
      </c>
      <c r="MH122" s="40">
        <f t="shared" ca="1" si="5430"/>
        <v>0</v>
      </c>
      <c r="MI122" s="40">
        <f t="shared" ca="1" si="5430"/>
        <v>0</v>
      </c>
      <c r="MJ122" s="40">
        <f t="shared" ca="1" si="5430"/>
        <v>0</v>
      </c>
      <c r="MK122" s="40">
        <f t="shared" ca="1" si="5430"/>
        <v>0</v>
      </c>
      <c r="ML122" s="40">
        <f t="shared" ca="1" si="5430"/>
        <v>0</v>
      </c>
      <c r="MM122" s="40">
        <f t="shared" ca="1" si="5430"/>
        <v>0</v>
      </c>
      <c r="MN122" s="40">
        <f t="shared" ca="1" si="5430"/>
        <v>0</v>
      </c>
      <c r="MO122" s="40">
        <f t="shared" ca="1" si="5430"/>
        <v>0</v>
      </c>
      <c r="MP122" s="40">
        <f t="shared" ca="1" si="5430"/>
        <v>0</v>
      </c>
      <c r="MQ122" s="40">
        <f t="shared" ca="1" si="5430"/>
        <v>0</v>
      </c>
      <c r="MR122" s="40">
        <f t="shared" ca="1" si="5430"/>
        <v>0</v>
      </c>
      <c r="MS122" s="40">
        <f t="shared" ca="1" si="5430"/>
        <v>0</v>
      </c>
      <c r="MT122" s="40">
        <f t="shared" ca="1" si="5430"/>
        <v>0</v>
      </c>
      <c r="MU122" s="40">
        <f t="shared" ca="1" si="5430"/>
        <v>0</v>
      </c>
      <c r="MV122" s="40">
        <f t="shared" ca="1" si="5430"/>
        <v>0</v>
      </c>
      <c r="MW122" s="40">
        <f t="shared" ca="1" si="5430"/>
        <v>0</v>
      </c>
      <c r="MX122" s="40">
        <f t="shared" ca="1" si="5430"/>
        <v>0</v>
      </c>
      <c r="MY122" s="40">
        <f t="shared" ca="1" si="5430"/>
        <v>0</v>
      </c>
      <c r="MZ122" s="40">
        <f t="shared" ca="1" si="5430"/>
        <v>0</v>
      </c>
      <c r="NA122" s="40">
        <f t="shared" ca="1" si="5430"/>
        <v>0</v>
      </c>
      <c r="NB122" s="40">
        <f t="shared" ca="1" si="5430"/>
        <v>0</v>
      </c>
      <c r="NC122" s="40">
        <f t="shared" ca="1" si="5430"/>
        <v>0</v>
      </c>
      <c r="ND122" s="40">
        <f t="shared" ca="1" si="5430"/>
        <v>0</v>
      </c>
      <c r="NE122" s="40"/>
      <c r="NF122" s="40"/>
      <c r="NG122" s="40"/>
      <c r="NH122" s="40"/>
      <c r="NI122" s="40"/>
      <c r="NJ122" s="40"/>
      <c r="NK122" s="40"/>
      <c r="NL122" s="40"/>
      <c r="NM122" s="40"/>
      <c r="NN122" s="40"/>
      <c r="NO122" s="40"/>
      <c r="NP122" s="40"/>
      <c r="NQ122" s="40"/>
      <c r="NR122" s="40"/>
    </row>
    <row r="123" spans="2:382" x14ac:dyDescent="0.15">
      <c r="B123" s="522"/>
      <c r="C123" s="157" t="str">
        <f>C7</f>
        <v>-</v>
      </c>
      <c r="D123" s="244" t="str">
        <f t="shared" ca="1" si="5410"/>
        <v>-</v>
      </c>
      <c r="E123" s="149">
        <f ca="1">IFERROR(XNPV('Deal Summary'!$E$63,$I123:$ND123,$I$21:$ND$21)+H123,"-")</f>
        <v>0</v>
      </c>
      <c r="F123" s="246" t="str">
        <f ca="1">IFERROR((SUM(H123:ND123)+'Investors Breakdown'!$E22)/'Investors Breakdown'!$E22,"-")</f>
        <v>-</v>
      </c>
      <c r="G123" s="150"/>
      <c r="H123" s="15">
        <f>$D$115*'Monthly P&amp;L'!F78</f>
        <v>0</v>
      </c>
      <c r="I123" s="15">
        <f>I115</f>
        <v>0</v>
      </c>
      <c r="J123" s="15">
        <f>J115</f>
        <v>0</v>
      </c>
      <c r="K123" s="15">
        <f t="shared" ref="K123:BV123" si="5431">K115</f>
        <v>0</v>
      </c>
      <c r="L123" s="15">
        <f t="shared" si="5431"/>
        <v>0</v>
      </c>
      <c r="M123" s="15">
        <f t="shared" si="5431"/>
        <v>0</v>
      </c>
      <c r="N123" s="15">
        <f t="shared" si="5431"/>
        <v>0</v>
      </c>
      <c r="O123" s="15">
        <f t="shared" si="5431"/>
        <v>0</v>
      </c>
      <c r="P123" s="15">
        <f t="shared" si="5431"/>
        <v>0</v>
      </c>
      <c r="Q123" s="15">
        <f t="shared" si="5431"/>
        <v>0</v>
      </c>
      <c r="R123" s="15">
        <f t="shared" si="5431"/>
        <v>0</v>
      </c>
      <c r="S123" s="15">
        <f t="shared" si="5431"/>
        <v>0</v>
      </c>
      <c r="T123" s="15">
        <f t="shared" si="5431"/>
        <v>0</v>
      </c>
      <c r="U123" s="15">
        <f t="shared" si="5431"/>
        <v>0</v>
      </c>
      <c r="V123" s="15">
        <f t="shared" si="5431"/>
        <v>0</v>
      </c>
      <c r="W123" s="15">
        <f t="shared" si="5431"/>
        <v>0</v>
      </c>
      <c r="X123" s="15">
        <f t="shared" si="5431"/>
        <v>0</v>
      </c>
      <c r="Y123" s="15">
        <f t="shared" si="5431"/>
        <v>0</v>
      </c>
      <c r="Z123" s="15">
        <f t="shared" si="5431"/>
        <v>0</v>
      </c>
      <c r="AA123" s="15">
        <f t="shared" si="5431"/>
        <v>0</v>
      </c>
      <c r="AB123" s="15">
        <f t="shared" si="5431"/>
        <v>0</v>
      </c>
      <c r="AC123" s="15">
        <f t="shared" si="5431"/>
        <v>0</v>
      </c>
      <c r="AD123" s="15">
        <f t="shared" si="5431"/>
        <v>0</v>
      </c>
      <c r="AE123" s="15">
        <f t="shared" si="5431"/>
        <v>0</v>
      </c>
      <c r="AF123" s="15">
        <f t="shared" si="5431"/>
        <v>0</v>
      </c>
      <c r="AG123" s="15">
        <f t="shared" si="5431"/>
        <v>0</v>
      </c>
      <c r="AH123" s="15">
        <f t="shared" si="5431"/>
        <v>0</v>
      </c>
      <c r="AI123" s="15">
        <f t="shared" si="5431"/>
        <v>0</v>
      </c>
      <c r="AJ123" s="15">
        <f t="shared" si="5431"/>
        <v>0</v>
      </c>
      <c r="AK123" s="15">
        <f t="shared" si="5431"/>
        <v>0</v>
      </c>
      <c r="AL123" s="15">
        <f t="shared" si="5431"/>
        <v>0</v>
      </c>
      <c r="AM123" s="15">
        <f t="shared" si="5431"/>
        <v>0</v>
      </c>
      <c r="AN123" s="15">
        <f t="shared" si="5431"/>
        <v>0</v>
      </c>
      <c r="AO123" s="15">
        <f t="shared" si="5431"/>
        <v>0</v>
      </c>
      <c r="AP123" s="15">
        <f t="shared" si="5431"/>
        <v>0</v>
      </c>
      <c r="AQ123" s="15">
        <f t="shared" si="5431"/>
        <v>0</v>
      </c>
      <c r="AR123" s="15">
        <f t="shared" si="5431"/>
        <v>0</v>
      </c>
      <c r="AS123" s="15">
        <f t="shared" si="5431"/>
        <v>0</v>
      </c>
      <c r="AT123" s="15">
        <f t="shared" si="5431"/>
        <v>0</v>
      </c>
      <c r="AU123" s="15">
        <f t="shared" si="5431"/>
        <v>0</v>
      </c>
      <c r="AV123" s="15">
        <f t="shared" si="5431"/>
        <v>0</v>
      </c>
      <c r="AW123" s="15">
        <f t="shared" si="5431"/>
        <v>0</v>
      </c>
      <c r="AX123" s="15">
        <f t="shared" si="5431"/>
        <v>0</v>
      </c>
      <c r="AY123" s="15">
        <f t="shared" si="5431"/>
        <v>0</v>
      </c>
      <c r="AZ123" s="15">
        <f t="shared" si="5431"/>
        <v>0</v>
      </c>
      <c r="BA123" s="15">
        <f t="shared" si="5431"/>
        <v>0</v>
      </c>
      <c r="BB123" s="15">
        <f t="shared" si="5431"/>
        <v>0</v>
      </c>
      <c r="BC123" s="15">
        <f t="shared" si="5431"/>
        <v>0</v>
      </c>
      <c r="BD123" s="15">
        <f t="shared" si="5431"/>
        <v>0</v>
      </c>
      <c r="BE123" s="15">
        <f t="shared" si="5431"/>
        <v>0</v>
      </c>
      <c r="BF123" s="15">
        <f t="shared" si="5431"/>
        <v>0</v>
      </c>
      <c r="BG123" s="15">
        <f t="shared" si="5431"/>
        <v>0</v>
      </c>
      <c r="BH123" s="15">
        <f t="shared" si="5431"/>
        <v>0</v>
      </c>
      <c r="BI123" s="15">
        <f t="shared" si="5431"/>
        <v>0</v>
      </c>
      <c r="BJ123" s="15">
        <f t="shared" si="5431"/>
        <v>0</v>
      </c>
      <c r="BK123" s="15">
        <f t="shared" si="5431"/>
        <v>0</v>
      </c>
      <c r="BL123" s="15">
        <f t="shared" si="5431"/>
        <v>0</v>
      </c>
      <c r="BM123" s="15">
        <f t="shared" si="5431"/>
        <v>0</v>
      </c>
      <c r="BN123" s="15">
        <f t="shared" si="5431"/>
        <v>0</v>
      </c>
      <c r="BO123" s="15">
        <f t="shared" si="5431"/>
        <v>0</v>
      </c>
      <c r="BP123" s="15">
        <f t="shared" si="5431"/>
        <v>0</v>
      </c>
      <c r="BQ123" s="15">
        <f t="shared" si="5431"/>
        <v>0</v>
      </c>
      <c r="BR123" s="15">
        <f t="shared" si="5431"/>
        <v>0</v>
      </c>
      <c r="BS123" s="15">
        <f t="shared" si="5431"/>
        <v>0</v>
      </c>
      <c r="BT123" s="15">
        <f t="shared" si="5431"/>
        <v>0</v>
      </c>
      <c r="BU123" s="15">
        <f t="shared" si="5431"/>
        <v>0</v>
      </c>
      <c r="BV123" s="15">
        <f t="shared" si="5431"/>
        <v>0</v>
      </c>
      <c r="BW123" s="15">
        <f t="shared" ref="BW123:EH123" si="5432">BW115</f>
        <v>0</v>
      </c>
      <c r="BX123" s="15">
        <f t="shared" si="5432"/>
        <v>0</v>
      </c>
      <c r="BY123" s="15">
        <f t="shared" si="5432"/>
        <v>0</v>
      </c>
      <c r="BZ123" s="15">
        <f t="shared" si="5432"/>
        <v>0</v>
      </c>
      <c r="CA123" s="15">
        <f t="shared" si="5432"/>
        <v>0</v>
      </c>
      <c r="CB123" s="15">
        <f t="shared" si="5432"/>
        <v>0</v>
      </c>
      <c r="CC123" s="15">
        <f t="shared" si="5432"/>
        <v>0</v>
      </c>
      <c r="CD123" s="15">
        <f t="shared" si="5432"/>
        <v>0</v>
      </c>
      <c r="CE123" s="15">
        <f t="shared" si="5432"/>
        <v>0</v>
      </c>
      <c r="CF123" s="15">
        <f t="shared" si="5432"/>
        <v>0</v>
      </c>
      <c r="CG123" s="15">
        <f t="shared" si="5432"/>
        <v>0</v>
      </c>
      <c r="CH123" s="15">
        <f t="shared" si="5432"/>
        <v>0</v>
      </c>
      <c r="CI123" s="15">
        <f t="shared" si="5432"/>
        <v>0</v>
      </c>
      <c r="CJ123" s="15">
        <f t="shared" si="5432"/>
        <v>0</v>
      </c>
      <c r="CK123" s="15">
        <f t="shared" si="5432"/>
        <v>0</v>
      </c>
      <c r="CL123" s="15">
        <f t="shared" si="5432"/>
        <v>0</v>
      </c>
      <c r="CM123" s="15">
        <f t="shared" si="5432"/>
        <v>0</v>
      </c>
      <c r="CN123" s="15">
        <f t="shared" si="5432"/>
        <v>0</v>
      </c>
      <c r="CO123" s="15">
        <f t="shared" si="5432"/>
        <v>0</v>
      </c>
      <c r="CP123" s="15">
        <f t="shared" si="5432"/>
        <v>0</v>
      </c>
      <c r="CQ123" s="15">
        <f t="shared" si="5432"/>
        <v>0</v>
      </c>
      <c r="CR123" s="15">
        <f t="shared" si="5432"/>
        <v>0</v>
      </c>
      <c r="CS123" s="15">
        <f t="shared" si="5432"/>
        <v>0</v>
      </c>
      <c r="CT123" s="15">
        <f t="shared" si="5432"/>
        <v>0</v>
      </c>
      <c r="CU123" s="15">
        <f t="shared" si="5432"/>
        <v>0</v>
      </c>
      <c r="CV123" s="15">
        <f t="shared" si="5432"/>
        <v>0</v>
      </c>
      <c r="CW123" s="15">
        <f t="shared" si="5432"/>
        <v>0</v>
      </c>
      <c r="CX123" s="15">
        <f t="shared" si="5432"/>
        <v>0</v>
      </c>
      <c r="CY123" s="15">
        <f t="shared" si="5432"/>
        <v>0</v>
      </c>
      <c r="CZ123" s="15">
        <f t="shared" si="5432"/>
        <v>0</v>
      </c>
      <c r="DA123" s="15">
        <f t="shared" si="5432"/>
        <v>0</v>
      </c>
      <c r="DB123" s="15">
        <f t="shared" si="5432"/>
        <v>0</v>
      </c>
      <c r="DC123" s="15">
        <f t="shared" si="5432"/>
        <v>0</v>
      </c>
      <c r="DD123" s="15">
        <f t="shared" si="5432"/>
        <v>0</v>
      </c>
      <c r="DE123" s="15">
        <f t="shared" si="5432"/>
        <v>0</v>
      </c>
      <c r="DF123" s="15">
        <f t="shared" si="5432"/>
        <v>0</v>
      </c>
      <c r="DG123" s="15">
        <f t="shared" si="5432"/>
        <v>0</v>
      </c>
      <c r="DH123" s="15">
        <f t="shared" si="5432"/>
        <v>0</v>
      </c>
      <c r="DI123" s="15">
        <f t="shared" si="5432"/>
        <v>0</v>
      </c>
      <c r="DJ123" s="15">
        <f t="shared" si="5432"/>
        <v>0</v>
      </c>
      <c r="DK123" s="15">
        <f t="shared" si="5432"/>
        <v>0</v>
      </c>
      <c r="DL123" s="15">
        <f t="shared" si="5432"/>
        <v>0</v>
      </c>
      <c r="DM123" s="15">
        <f t="shared" si="5432"/>
        <v>0</v>
      </c>
      <c r="DN123" s="15">
        <f t="shared" si="5432"/>
        <v>0</v>
      </c>
      <c r="DO123" s="15">
        <f t="shared" si="5432"/>
        <v>0</v>
      </c>
      <c r="DP123" s="15">
        <f t="shared" si="5432"/>
        <v>0</v>
      </c>
      <c r="DQ123" s="15">
        <f t="shared" si="5432"/>
        <v>0</v>
      </c>
      <c r="DR123" s="15">
        <f t="shared" si="5432"/>
        <v>0</v>
      </c>
      <c r="DS123" s="15">
        <f t="shared" si="5432"/>
        <v>0</v>
      </c>
      <c r="DT123" s="15">
        <f t="shared" si="5432"/>
        <v>0</v>
      </c>
      <c r="DU123" s="15">
        <f t="shared" si="5432"/>
        <v>0</v>
      </c>
      <c r="DV123" s="15">
        <f t="shared" si="5432"/>
        <v>0</v>
      </c>
      <c r="DW123" s="15">
        <f t="shared" si="5432"/>
        <v>0</v>
      </c>
      <c r="DX123" s="15">
        <f t="shared" si="5432"/>
        <v>0</v>
      </c>
      <c r="DY123" s="15">
        <f t="shared" si="5432"/>
        <v>0</v>
      </c>
      <c r="DZ123" s="15">
        <f t="shared" si="5432"/>
        <v>0</v>
      </c>
      <c r="EA123" s="15">
        <f t="shared" si="5432"/>
        <v>0</v>
      </c>
      <c r="EB123" s="15">
        <f t="shared" si="5432"/>
        <v>0</v>
      </c>
      <c r="EC123" s="15">
        <f t="shared" si="5432"/>
        <v>0</v>
      </c>
      <c r="ED123" s="15">
        <f t="shared" si="5432"/>
        <v>0</v>
      </c>
      <c r="EE123" s="15">
        <f t="shared" si="5432"/>
        <v>0</v>
      </c>
      <c r="EF123" s="15">
        <f t="shared" si="5432"/>
        <v>0</v>
      </c>
      <c r="EG123" s="15">
        <f t="shared" si="5432"/>
        <v>0</v>
      </c>
      <c r="EH123" s="15">
        <f t="shared" si="5432"/>
        <v>0</v>
      </c>
      <c r="EI123" s="15">
        <f t="shared" ref="EI123:GT123" si="5433">EI115</f>
        <v>0</v>
      </c>
      <c r="EJ123" s="15">
        <f t="shared" si="5433"/>
        <v>0</v>
      </c>
      <c r="EK123" s="15">
        <f t="shared" si="5433"/>
        <v>0</v>
      </c>
      <c r="EL123" s="15">
        <f t="shared" si="5433"/>
        <v>0</v>
      </c>
      <c r="EM123" s="15">
        <f t="shared" si="5433"/>
        <v>0</v>
      </c>
      <c r="EN123" s="15">
        <f t="shared" si="5433"/>
        <v>0</v>
      </c>
      <c r="EO123" s="15">
        <f t="shared" si="5433"/>
        <v>0</v>
      </c>
      <c r="EP123" s="15">
        <f t="shared" si="5433"/>
        <v>0</v>
      </c>
      <c r="EQ123" s="15">
        <f t="shared" si="5433"/>
        <v>0</v>
      </c>
      <c r="ER123" s="15">
        <f t="shared" si="5433"/>
        <v>0</v>
      </c>
      <c r="ES123" s="15">
        <f t="shared" si="5433"/>
        <v>0</v>
      </c>
      <c r="ET123" s="15">
        <f t="shared" si="5433"/>
        <v>0</v>
      </c>
      <c r="EU123" s="15">
        <f t="shared" si="5433"/>
        <v>0</v>
      </c>
      <c r="EV123" s="15">
        <f t="shared" si="5433"/>
        <v>0</v>
      </c>
      <c r="EW123" s="15">
        <f t="shared" si="5433"/>
        <v>0</v>
      </c>
      <c r="EX123" s="15">
        <f t="shared" si="5433"/>
        <v>0</v>
      </c>
      <c r="EY123" s="15">
        <f t="shared" si="5433"/>
        <v>0</v>
      </c>
      <c r="EZ123" s="15">
        <f t="shared" si="5433"/>
        <v>0</v>
      </c>
      <c r="FA123" s="15">
        <f t="shared" si="5433"/>
        <v>0</v>
      </c>
      <c r="FB123" s="15">
        <f t="shared" si="5433"/>
        <v>0</v>
      </c>
      <c r="FC123" s="15">
        <f t="shared" si="5433"/>
        <v>0</v>
      </c>
      <c r="FD123" s="15">
        <f t="shared" si="5433"/>
        <v>0</v>
      </c>
      <c r="FE123" s="15">
        <f t="shared" si="5433"/>
        <v>0</v>
      </c>
      <c r="FF123" s="15">
        <f t="shared" si="5433"/>
        <v>0</v>
      </c>
      <c r="FG123" s="15">
        <f t="shared" si="5433"/>
        <v>0</v>
      </c>
      <c r="FH123" s="15">
        <f t="shared" si="5433"/>
        <v>0</v>
      </c>
      <c r="FI123" s="15">
        <f t="shared" si="5433"/>
        <v>0</v>
      </c>
      <c r="FJ123" s="15">
        <f t="shared" si="5433"/>
        <v>0</v>
      </c>
      <c r="FK123" s="15">
        <f t="shared" si="5433"/>
        <v>0</v>
      </c>
      <c r="FL123" s="15">
        <f t="shared" si="5433"/>
        <v>0</v>
      </c>
      <c r="FM123" s="15">
        <f t="shared" si="5433"/>
        <v>0</v>
      </c>
      <c r="FN123" s="15">
        <f t="shared" si="5433"/>
        <v>0</v>
      </c>
      <c r="FO123" s="15">
        <f t="shared" si="5433"/>
        <v>0</v>
      </c>
      <c r="FP123" s="15">
        <f t="shared" si="5433"/>
        <v>0</v>
      </c>
      <c r="FQ123" s="15">
        <f t="shared" si="5433"/>
        <v>0</v>
      </c>
      <c r="FR123" s="15">
        <f t="shared" si="5433"/>
        <v>0</v>
      </c>
      <c r="FS123" s="15">
        <f t="shared" si="5433"/>
        <v>0</v>
      </c>
      <c r="FT123" s="15">
        <f t="shared" si="5433"/>
        <v>0</v>
      </c>
      <c r="FU123" s="15">
        <f t="shared" si="5433"/>
        <v>0</v>
      </c>
      <c r="FV123" s="15">
        <f t="shared" si="5433"/>
        <v>0</v>
      </c>
      <c r="FW123" s="15">
        <f t="shared" si="5433"/>
        <v>0</v>
      </c>
      <c r="FX123" s="15">
        <f t="shared" si="5433"/>
        <v>0</v>
      </c>
      <c r="FY123" s="15">
        <f t="shared" si="5433"/>
        <v>0</v>
      </c>
      <c r="FZ123" s="15">
        <f t="shared" si="5433"/>
        <v>0</v>
      </c>
      <c r="GA123" s="15">
        <f t="shared" si="5433"/>
        <v>0</v>
      </c>
      <c r="GB123" s="15">
        <f t="shared" si="5433"/>
        <v>0</v>
      </c>
      <c r="GC123" s="15">
        <f t="shared" si="5433"/>
        <v>0</v>
      </c>
      <c r="GD123" s="15">
        <f t="shared" si="5433"/>
        <v>0</v>
      </c>
      <c r="GE123" s="15">
        <f t="shared" si="5433"/>
        <v>0</v>
      </c>
      <c r="GF123" s="15">
        <f t="shared" ca="1" si="5433"/>
        <v>0</v>
      </c>
      <c r="GG123" s="15">
        <f t="shared" ca="1" si="5433"/>
        <v>0</v>
      </c>
      <c r="GH123" s="15">
        <f t="shared" ca="1" si="5433"/>
        <v>0</v>
      </c>
      <c r="GI123" s="15">
        <f t="shared" ca="1" si="5433"/>
        <v>0</v>
      </c>
      <c r="GJ123" s="15">
        <f t="shared" ca="1" si="5433"/>
        <v>0</v>
      </c>
      <c r="GK123" s="15">
        <f t="shared" ca="1" si="5433"/>
        <v>0</v>
      </c>
      <c r="GL123" s="15">
        <f t="shared" ca="1" si="5433"/>
        <v>0</v>
      </c>
      <c r="GM123" s="15">
        <f t="shared" ca="1" si="5433"/>
        <v>0</v>
      </c>
      <c r="GN123" s="15">
        <f t="shared" ca="1" si="5433"/>
        <v>0</v>
      </c>
      <c r="GO123" s="15">
        <f t="shared" ca="1" si="5433"/>
        <v>0</v>
      </c>
      <c r="GP123" s="15">
        <f t="shared" ca="1" si="5433"/>
        <v>0</v>
      </c>
      <c r="GQ123" s="15">
        <f t="shared" ca="1" si="5433"/>
        <v>0</v>
      </c>
      <c r="GR123" s="15">
        <f t="shared" ca="1" si="5433"/>
        <v>0</v>
      </c>
      <c r="GS123" s="15">
        <f t="shared" ca="1" si="5433"/>
        <v>0</v>
      </c>
      <c r="GT123" s="15">
        <f t="shared" ca="1" si="5433"/>
        <v>0</v>
      </c>
      <c r="GU123" s="15">
        <f t="shared" ref="GU123:IN123" ca="1" si="5434">GU115</f>
        <v>0</v>
      </c>
      <c r="GV123" s="15">
        <f t="shared" ca="1" si="5434"/>
        <v>0</v>
      </c>
      <c r="GW123" s="15">
        <f t="shared" ca="1" si="5434"/>
        <v>0</v>
      </c>
      <c r="GX123" s="15">
        <f t="shared" ca="1" si="5434"/>
        <v>0</v>
      </c>
      <c r="GY123" s="15">
        <f t="shared" ca="1" si="5434"/>
        <v>0</v>
      </c>
      <c r="GZ123" s="15">
        <f t="shared" ca="1" si="5434"/>
        <v>0</v>
      </c>
      <c r="HA123" s="15">
        <f t="shared" ca="1" si="5434"/>
        <v>0</v>
      </c>
      <c r="HB123" s="15">
        <f t="shared" ca="1" si="5434"/>
        <v>0</v>
      </c>
      <c r="HC123" s="15">
        <f t="shared" ca="1" si="5434"/>
        <v>0</v>
      </c>
      <c r="HD123" s="15">
        <f t="shared" ca="1" si="5434"/>
        <v>0</v>
      </c>
      <c r="HE123" s="15">
        <f t="shared" ca="1" si="5434"/>
        <v>0</v>
      </c>
      <c r="HF123" s="15">
        <f t="shared" ca="1" si="5434"/>
        <v>0</v>
      </c>
      <c r="HG123" s="15">
        <f t="shared" ca="1" si="5434"/>
        <v>0</v>
      </c>
      <c r="HH123" s="15">
        <f t="shared" ca="1" si="5434"/>
        <v>0</v>
      </c>
      <c r="HI123" s="15">
        <f t="shared" ca="1" si="5434"/>
        <v>0</v>
      </c>
      <c r="HJ123" s="15">
        <f t="shared" ca="1" si="5434"/>
        <v>0</v>
      </c>
      <c r="HK123" s="15">
        <f t="shared" ca="1" si="5434"/>
        <v>0</v>
      </c>
      <c r="HL123" s="15">
        <f t="shared" ca="1" si="5434"/>
        <v>0</v>
      </c>
      <c r="HM123" s="15">
        <f t="shared" ca="1" si="5434"/>
        <v>0</v>
      </c>
      <c r="HN123" s="15">
        <f t="shared" ca="1" si="5434"/>
        <v>0</v>
      </c>
      <c r="HO123" s="15">
        <f t="shared" ca="1" si="5434"/>
        <v>0</v>
      </c>
      <c r="HP123" s="15">
        <f t="shared" ca="1" si="5434"/>
        <v>0</v>
      </c>
      <c r="HQ123" s="15">
        <f t="shared" ca="1" si="5434"/>
        <v>0</v>
      </c>
      <c r="HR123" s="15">
        <f t="shared" ca="1" si="5434"/>
        <v>0</v>
      </c>
      <c r="HS123" s="15">
        <f t="shared" ca="1" si="5434"/>
        <v>0</v>
      </c>
      <c r="HT123" s="15">
        <f t="shared" ca="1" si="5434"/>
        <v>0</v>
      </c>
      <c r="HU123" s="15">
        <f t="shared" ca="1" si="5434"/>
        <v>0</v>
      </c>
      <c r="HV123" s="15">
        <f t="shared" ca="1" si="5434"/>
        <v>0</v>
      </c>
      <c r="HW123" s="15">
        <f t="shared" ca="1" si="5434"/>
        <v>0</v>
      </c>
      <c r="HX123" s="15">
        <f t="shared" ca="1" si="5434"/>
        <v>0</v>
      </c>
      <c r="HY123" s="15">
        <f t="shared" ca="1" si="5434"/>
        <v>0</v>
      </c>
      <c r="HZ123" s="15">
        <f t="shared" ca="1" si="5434"/>
        <v>0</v>
      </c>
      <c r="IA123" s="15">
        <f t="shared" ca="1" si="5434"/>
        <v>0</v>
      </c>
      <c r="IB123" s="15">
        <f t="shared" ca="1" si="5434"/>
        <v>0</v>
      </c>
      <c r="IC123" s="15">
        <f t="shared" ca="1" si="5434"/>
        <v>0</v>
      </c>
      <c r="ID123" s="15">
        <f t="shared" ca="1" si="5434"/>
        <v>0</v>
      </c>
      <c r="IE123" s="15">
        <f t="shared" ca="1" si="5434"/>
        <v>0</v>
      </c>
      <c r="IF123" s="15">
        <f t="shared" ca="1" si="5434"/>
        <v>0</v>
      </c>
      <c r="IG123" s="15">
        <f t="shared" ca="1" si="5434"/>
        <v>0</v>
      </c>
      <c r="IH123" s="15">
        <f t="shared" ca="1" si="5434"/>
        <v>0</v>
      </c>
      <c r="II123" s="15">
        <f t="shared" ca="1" si="5434"/>
        <v>0</v>
      </c>
      <c r="IJ123" s="15">
        <f t="shared" ca="1" si="5434"/>
        <v>0</v>
      </c>
      <c r="IK123" s="15">
        <f t="shared" ca="1" si="5434"/>
        <v>0</v>
      </c>
      <c r="IL123" s="15">
        <f t="shared" ca="1" si="5434"/>
        <v>0</v>
      </c>
      <c r="IM123" s="15">
        <f t="shared" ca="1" si="5434"/>
        <v>0</v>
      </c>
      <c r="IN123" s="15">
        <f t="shared" ca="1" si="5434"/>
        <v>0</v>
      </c>
      <c r="IO123" s="15">
        <f t="shared" ref="IO123:KZ123" ca="1" si="5435">IO115</f>
        <v>0</v>
      </c>
      <c r="IP123" s="15">
        <f t="shared" ca="1" si="5435"/>
        <v>0</v>
      </c>
      <c r="IQ123" s="15">
        <f t="shared" ca="1" si="5435"/>
        <v>0</v>
      </c>
      <c r="IR123" s="15">
        <f t="shared" ca="1" si="5435"/>
        <v>0</v>
      </c>
      <c r="IS123" s="15">
        <f t="shared" ca="1" si="5435"/>
        <v>0</v>
      </c>
      <c r="IT123" s="15">
        <f t="shared" ca="1" si="5435"/>
        <v>0</v>
      </c>
      <c r="IU123" s="15">
        <f t="shared" ca="1" si="5435"/>
        <v>0</v>
      </c>
      <c r="IV123" s="15">
        <f t="shared" ca="1" si="5435"/>
        <v>0</v>
      </c>
      <c r="IW123" s="15">
        <f t="shared" ca="1" si="5435"/>
        <v>0</v>
      </c>
      <c r="IX123" s="15">
        <f t="shared" ca="1" si="5435"/>
        <v>0</v>
      </c>
      <c r="IY123" s="15">
        <f t="shared" ca="1" si="5435"/>
        <v>0</v>
      </c>
      <c r="IZ123" s="15">
        <f t="shared" ca="1" si="5435"/>
        <v>0</v>
      </c>
      <c r="JA123" s="15">
        <f t="shared" ca="1" si="5435"/>
        <v>0</v>
      </c>
      <c r="JB123" s="15">
        <f t="shared" ca="1" si="5435"/>
        <v>0</v>
      </c>
      <c r="JC123" s="15">
        <f t="shared" ca="1" si="5435"/>
        <v>0</v>
      </c>
      <c r="JD123" s="15">
        <f t="shared" ca="1" si="5435"/>
        <v>0</v>
      </c>
      <c r="JE123" s="15">
        <f t="shared" ca="1" si="5435"/>
        <v>0</v>
      </c>
      <c r="JF123" s="15">
        <f t="shared" ca="1" si="5435"/>
        <v>0</v>
      </c>
      <c r="JG123" s="15">
        <f t="shared" ca="1" si="5435"/>
        <v>0</v>
      </c>
      <c r="JH123" s="15">
        <f t="shared" ca="1" si="5435"/>
        <v>0</v>
      </c>
      <c r="JI123" s="15">
        <f t="shared" ca="1" si="5435"/>
        <v>0</v>
      </c>
      <c r="JJ123" s="15">
        <f t="shared" ca="1" si="5435"/>
        <v>0</v>
      </c>
      <c r="JK123" s="15">
        <f t="shared" ca="1" si="5435"/>
        <v>0</v>
      </c>
      <c r="JL123" s="15">
        <f t="shared" ca="1" si="5435"/>
        <v>0</v>
      </c>
      <c r="JM123" s="15">
        <f t="shared" ca="1" si="5435"/>
        <v>0</v>
      </c>
      <c r="JN123" s="15">
        <f t="shared" ca="1" si="5435"/>
        <v>0</v>
      </c>
      <c r="JO123" s="15">
        <f t="shared" ca="1" si="5435"/>
        <v>0</v>
      </c>
      <c r="JP123" s="15">
        <f t="shared" ca="1" si="5435"/>
        <v>0</v>
      </c>
      <c r="JQ123" s="15">
        <f t="shared" ca="1" si="5435"/>
        <v>0</v>
      </c>
      <c r="JR123" s="15">
        <f t="shared" ca="1" si="5435"/>
        <v>0</v>
      </c>
      <c r="JS123" s="15">
        <f t="shared" ca="1" si="5435"/>
        <v>0</v>
      </c>
      <c r="JT123" s="15">
        <f t="shared" ca="1" si="5435"/>
        <v>0</v>
      </c>
      <c r="JU123" s="15">
        <f t="shared" ca="1" si="5435"/>
        <v>0</v>
      </c>
      <c r="JV123" s="15">
        <f t="shared" ca="1" si="5435"/>
        <v>0</v>
      </c>
      <c r="JW123" s="15">
        <f t="shared" ca="1" si="5435"/>
        <v>0</v>
      </c>
      <c r="JX123" s="15">
        <f t="shared" ca="1" si="5435"/>
        <v>0</v>
      </c>
      <c r="JY123" s="15">
        <f t="shared" ca="1" si="5435"/>
        <v>0</v>
      </c>
      <c r="JZ123" s="15">
        <f t="shared" ca="1" si="5435"/>
        <v>0</v>
      </c>
      <c r="KA123" s="15">
        <f t="shared" ca="1" si="5435"/>
        <v>0</v>
      </c>
      <c r="KB123" s="15">
        <f t="shared" ca="1" si="5435"/>
        <v>0</v>
      </c>
      <c r="KC123" s="15">
        <f t="shared" ca="1" si="5435"/>
        <v>0</v>
      </c>
      <c r="KD123" s="15">
        <f t="shared" ca="1" si="5435"/>
        <v>0</v>
      </c>
      <c r="KE123" s="15">
        <f t="shared" ca="1" si="5435"/>
        <v>0</v>
      </c>
      <c r="KF123" s="15">
        <f t="shared" ca="1" si="5435"/>
        <v>0</v>
      </c>
      <c r="KG123" s="15">
        <f t="shared" ca="1" si="5435"/>
        <v>0</v>
      </c>
      <c r="KH123" s="15">
        <f t="shared" ca="1" si="5435"/>
        <v>0</v>
      </c>
      <c r="KI123" s="15">
        <f t="shared" ca="1" si="5435"/>
        <v>0</v>
      </c>
      <c r="KJ123" s="15">
        <f t="shared" ca="1" si="5435"/>
        <v>0</v>
      </c>
      <c r="KK123" s="15">
        <f t="shared" ca="1" si="5435"/>
        <v>0</v>
      </c>
      <c r="KL123" s="15">
        <f t="shared" ca="1" si="5435"/>
        <v>0</v>
      </c>
      <c r="KM123" s="15">
        <f t="shared" ca="1" si="5435"/>
        <v>0</v>
      </c>
      <c r="KN123" s="15">
        <f t="shared" ca="1" si="5435"/>
        <v>0</v>
      </c>
      <c r="KO123" s="15">
        <f t="shared" ca="1" si="5435"/>
        <v>0</v>
      </c>
      <c r="KP123" s="15">
        <f t="shared" ca="1" si="5435"/>
        <v>0</v>
      </c>
      <c r="KQ123" s="15">
        <f t="shared" ca="1" si="5435"/>
        <v>0</v>
      </c>
      <c r="KR123" s="15">
        <f t="shared" ca="1" si="5435"/>
        <v>0</v>
      </c>
      <c r="KS123" s="15">
        <f t="shared" ca="1" si="5435"/>
        <v>0</v>
      </c>
      <c r="KT123" s="15">
        <f t="shared" ca="1" si="5435"/>
        <v>0</v>
      </c>
      <c r="KU123" s="15">
        <f t="shared" ca="1" si="5435"/>
        <v>0</v>
      </c>
      <c r="KV123" s="15">
        <f t="shared" ca="1" si="5435"/>
        <v>0</v>
      </c>
      <c r="KW123" s="15">
        <f t="shared" ca="1" si="5435"/>
        <v>0</v>
      </c>
      <c r="KX123" s="15">
        <f t="shared" ca="1" si="5435"/>
        <v>0</v>
      </c>
      <c r="KY123" s="15">
        <f t="shared" ca="1" si="5435"/>
        <v>0</v>
      </c>
      <c r="KZ123" s="15">
        <f t="shared" ca="1" si="5435"/>
        <v>0</v>
      </c>
      <c r="LA123" s="15">
        <f t="shared" ref="LA123:ND123" ca="1" si="5436">LA115</f>
        <v>0</v>
      </c>
      <c r="LB123" s="15">
        <f t="shared" ca="1" si="5436"/>
        <v>0</v>
      </c>
      <c r="LC123" s="15">
        <f t="shared" ca="1" si="5436"/>
        <v>0</v>
      </c>
      <c r="LD123" s="15">
        <f t="shared" ca="1" si="5436"/>
        <v>0</v>
      </c>
      <c r="LE123" s="15">
        <f t="shared" ca="1" si="5436"/>
        <v>0</v>
      </c>
      <c r="LF123" s="15">
        <f t="shared" ca="1" si="5436"/>
        <v>0</v>
      </c>
      <c r="LG123" s="15">
        <f t="shared" ca="1" si="5436"/>
        <v>0</v>
      </c>
      <c r="LH123" s="15">
        <f t="shared" ca="1" si="5436"/>
        <v>0</v>
      </c>
      <c r="LI123" s="15">
        <f t="shared" ca="1" si="5436"/>
        <v>0</v>
      </c>
      <c r="LJ123" s="15">
        <f t="shared" ca="1" si="5436"/>
        <v>0</v>
      </c>
      <c r="LK123" s="15">
        <f t="shared" ca="1" si="5436"/>
        <v>0</v>
      </c>
      <c r="LL123" s="15">
        <f t="shared" ca="1" si="5436"/>
        <v>0</v>
      </c>
      <c r="LM123" s="15">
        <f t="shared" ca="1" si="5436"/>
        <v>0</v>
      </c>
      <c r="LN123" s="15">
        <f t="shared" ca="1" si="5436"/>
        <v>0</v>
      </c>
      <c r="LO123" s="15">
        <f t="shared" ca="1" si="5436"/>
        <v>0</v>
      </c>
      <c r="LP123" s="15">
        <f t="shared" ca="1" si="5436"/>
        <v>0</v>
      </c>
      <c r="LQ123" s="15">
        <f t="shared" ca="1" si="5436"/>
        <v>0</v>
      </c>
      <c r="LR123" s="15">
        <f t="shared" ca="1" si="5436"/>
        <v>0</v>
      </c>
      <c r="LS123" s="15">
        <f t="shared" ca="1" si="5436"/>
        <v>0</v>
      </c>
      <c r="LT123" s="15">
        <f t="shared" ca="1" si="5436"/>
        <v>0</v>
      </c>
      <c r="LU123" s="15">
        <f t="shared" ca="1" si="5436"/>
        <v>0</v>
      </c>
      <c r="LV123" s="15">
        <f t="shared" ca="1" si="5436"/>
        <v>0</v>
      </c>
      <c r="LW123" s="15">
        <f t="shared" ca="1" si="5436"/>
        <v>0</v>
      </c>
      <c r="LX123" s="15">
        <f t="shared" ca="1" si="5436"/>
        <v>0</v>
      </c>
      <c r="LY123" s="15">
        <f t="shared" ca="1" si="5436"/>
        <v>0</v>
      </c>
      <c r="LZ123" s="15">
        <f t="shared" ca="1" si="5436"/>
        <v>0</v>
      </c>
      <c r="MA123" s="15">
        <f t="shared" ca="1" si="5436"/>
        <v>0</v>
      </c>
      <c r="MB123" s="15">
        <f t="shared" ca="1" si="5436"/>
        <v>0</v>
      </c>
      <c r="MC123" s="15">
        <f t="shared" ca="1" si="5436"/>
        <v>0</v>
      </c>
      <c r="MD123" s="15">
        <f t="shared" ca="1" si="5436"/>
        <v>0</v>
      </c>
      <c r="ME123" s="15">
        <f t="shared" ca="1" si="5436"/>
        <v>0</v>
      </c>
      <c r="MF123" s="15">
        <f t="shared" ca="1" si="5436"/>
        <v>0</v>
      </c>
      <c r="MG123" s="15">
        <f t="shared" ca="1" si="5436"/>
        <v>0</v>
      </c>
      <c r="MH123" s="15">
        <f t="shared" ca="1" si="5436"/>
        <v>0</v>
      </c>
      <c r="MI123" s="15">
        <f t="shared" ca="1" si="5436"/>
        <v>0</v>
      </c>
      <c r="MJ123" s="15">
        <f t="shared" ca="1" si="5436"/>
        <v>0</v>
      </c>
      <c r="MK123" s="15">
        <f t="shared" ca="1" si="5436"/>
        <v>0</v>
      </c>
      <c r="ML123" s="15">
        <f t="shared" ca="1" si="5436"/>
        <v>0</v>
      </c>
      <c r="MM123" s="15">
        <f t="shared" ca="1" si="5436"/>
        <v>0</v>
      </c>
      <c r="MN123" s="15">
        <f t="shared" ca="1" si="5436"/>
        <v>0</v>
      </c>
      <c r="MO123" s="15">
        <f t="shared" ca="1" si="5436"/>
        <v>0</v>
      </c>
      <c r="MP123" s="15">
        <f t="shared" ca="1" si="5436"/>
        <v>0</v>
      </c>
      <c r="MQ123" s="15">
        <f t="shared" ca="1" si="5436"/>
        <v>0</v>
      </c>
      <c r="MR123" s="15">
        <f t="shared" ca="1" si="5436"/>
        <v>0</v>
      </c>
      <c r="MS123" s="15">
        <f t="shared" ca="1" si="5436"/>
        <v>0</v>
      </c>
      <c r="MT123" s="15">
        <f t="shared" ca="1" si="5436"/>
        <v>0</v>
      </c>
      <c r="MU123" s="15">
        <f t="shared" ca="1" si="5436"/>
        <v>0</v>
      </c>
      <c r="MV123" s="15">
        <f t="shared" ca="1" si="5436"/>
        <v>0</v>
      </c>
      <c r="MW123" s="15">
        <f t="shared" ca="1" si="5436"/>
        <v>0</v>
      </c>
      <c r="MX123" s="15">
        <f t="shared" ca="1" si="5436"/>
        <v>0</v>
      </c>
      <c r="MY123" s="15">
        <f t="shared" ca="1" si="5436"/>
        <v>0</v>
      </c>
      <c r="MZ123" s="15">
        <f t="shared" ca="1" si="5436"/>
        <v>0</v>
      </c>
      <c r="NA123" s="15">
        <f t="shared" ca="1" si="5436"/>
        <v>0</v>
      </c>
      <c r="NB123" s="15">
        <f t="shared" ca="1" si="5436"/>
        <v>0</v>
      </c>
      <c r="NC123" s="15">
        <f t="shared" ca="1" si="5436"/>
        <v>0</v>
      </c>
      <c r="ND123" s="15">
        <f t="shared" ca="1" si="5436"/>
        <v>0</v>
      </c>
      <c r="NE123" s="40"/>
      <c r="NF123" s="40"/>
      <c r="NG123" s="40"/>
      <c r="NH123" s="40"/>
      <c r="NI123" s="40"/>
      <c r="NJ123" s="40"/>
      <c r="NK123" s="40"/>
      <c r="NL123" s="40"/>
      <c r="NM123" s="40"/>
      <c r="NN123" s="40"/>
      <c r="NO123" s="40"/>
      <c r="NP123" s="40"/>
      <c r="NQ123" s="40"/>
      <c r="NR123" s="40"/>
    </row>
    <row r="124" spans="2:382" x14ac:dyDescent="0.15">
      <c r="E124" s="40"/>
      <c r="F124" s="40"/>
      <c r="G124" s="40"/>
      <c r="H124" s="40"/>
      <c r="I124" s="52"/>
      <c r="J124" s="40"/>
      <c r="K124" s="40"/>
      <c r="L124" s="40"/>
      <c r="M124" s="40"/>
      <c r="N124" s="40"/>
      <c r="O124" s="40"/>
      <c r="P124" s="40"/>
      <c r="Q124" s="40"/>
      <c r="R124" s="40"/>
      <c r="S124" s="40"/>
      <c r="T124" s="40"/>
      <c r="U124" s="40"/>
      <c r="V124" s="40"/>
      <c r="W124" s="40"/>
      <c r="X124" s="40"/>
      <c r="Y124" s="40"/>
      <c r="Z124" s="40"/>
      <c r="AA124" s="40"/>
      <c r="AB124" s="40"/>
    </row>
    <row r="125" spans="2:382" x14ac:dyDescent="0.15">
      <c r="E125" s="40"/>
      <c r="I125" s="55"/>
    </row>
    <row r="126" spans="2:382" x14ac:dyDescent="0.15">
      <c r="I126" s="40"/>
    </row>
    <row r="127" spans="2:382" x14ac:dyDescent="0.15">
      <c r="I127" s="40"/>
    </row>
  </sheetData>
  <mergeCells count="5">
    <mergeCell ref="B25:B65"/>
    <mergeCell ref="B66:B85"/>
    <mergeCell ref="B86:B100"/>
    <mergeCell ref="B101:B116"/>
    <mergeCell ref="B117:B123"/>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109418-3B57-EC48-B24D-91CDD54A97FA}">
  <sheetPr codeName="Sheet10"/>
  <dimension ref="A2:NB56"/>
  <sheetViews>
    <sheetView showGridLines="0" zoomScale="140" zoomScaleNormal="140" workbookViewId="0"/>
  </sheetViews>
  <sheetFormatPr baseColWidth="10" defaultColWidth="0" defaultRowHeight="11" x14ac:dyDescent="0.15"/>
  <cols>
    <col min="1" max="1" width="10.25" customWidth="1"/>
    <col min="2" max="2" width="22" customWidth="1"/>
    <col min="3" max="11" width="14.75" customWidth="1"/>
    <col min="12" max="366" width="12.5" customWidth="1"/>
  </cols>
  <sheetData>
    <row r="2" spans="2:366" ht="16" x14ac:dyDescent="0.2">
      <c r="B2" s="51" t="s">
        <v>67</v>
      </c>
      <c r="C2" s="9"/>
      <c r="D2" s="9"/>
      <c r="E2" s="9"/>
      <c r="F2" s="9"/>
      <c r="G2" s="9"/>
      <c r="H2" s="9"/>
      <c r="I2" s="9"/>
      <c r="J2" s="9"/>
      <c r="K2" s="9"/>
    </row>
    <row r="4" spans="2:366" x14ac:dyDescent="0.15">
      <c r="B4" s="4" t="s">
        <v>68</v>
      </c>
      <c r="D4" s="222">
        <f>'Main Assumptions'!E47</f>
        <v>4724400</v>
      </c>
      <c r="F4" s="4" t="s">
        <v>69</v>
      </c>
      <c r="H4">
        <f>12/_xlfn.XLOOKUP($D$7,$J$5:$J$8,K5:K8)</f>
        <v>12</v>
      </c>
      <c r="J4" t="s">
        <v>70</v>
      </c>
    </row>
    <row r="5" spans="2:366" x14ac:dyDescent="0.15">
      <c r="B5" s="4" t="s">
        <v>71</v>
      </c>
      <c r="D5" s="223">
        <f>'Main Assumptions'!E49</f>
        <v>5.5E-2</v>
      </c>
      <c r="F5" s="4" t="s">
        <v>72</v>
      </c>
      <c r="H5" s="38">
        <f>IF(pay_schedule=$J$9,annual_rate,$D$5/$H$4)</f>
        <v>4.5833333333333334E-3</v>
      </c>
      <c r="J5" s="39" t="s">
        <v>73</v>
      </c>
      <c r="K5">
        <v>12</v>
      </c>
      <c r="M5" s="40"/>
    </row>
    <row r="6" spans="2:366" x14ac:dyDescent="0.15">
      <c r="B6" s="4" t="s">
        <v>74</v>
      </c>
      <c r="D6" s="224">
        <f>'Main Assumptions'!E48</f>
        <v>25</v>
      </c>
      <c r="E6" s="208" t="s">
        <v>221</v>
      </c>
      <c r="F6" s="4" t="s">
        <v>75</v>
      </c>
      <c r="H6">
        <f>$D$6*$H$4</f>
        <v>300</v>
      </c>
      <c r="J6" s="39" t="s">
        <v>76</v>
      </c>
      <c r="K6">
        <v>6</v>
      </c>
    </row>
    <row r="7" spans="2:366" x14ac:dyDescent="0.15">
      <c r="B7" s="4" t="s">
        <v>77</v>
      </c>
      <c r="D7" s="224" t="s">
        <v>78</v>
      </c>
      <c r="F7" s="4" t="s">
        <v>79</v>
      </c>
      <c r="H7" s="40">
        <f>SUM(F17:NA17)</f>
        <v>8703584.8456037343</v>
      </c>
      <c r="J7" s="39" t="s">
        <v>80</v>
      </c>
      <c r="K7">
        <v>3</v>
      </c>
    </row>
    <row r="8" spans="2:366" x14ac:dyDescent="0.15">
      <c r="B8" s="4" t="s">
        <v>81</v>
      </c>
      <c r="D8" s="225">
        <f>'Main Assumptions'!E14</f>
        <v>46266</v>
      </c>
      <c r="F8" s="4" t="s">
        <v>82</v>
      </c>
      <c r="H8" s="40">
        <f>SUM(F18:NA18)</f>
        <v>3979184.8456037249</v>
      </c>
      <c r="J8" s="39" t="s">
        <v>78</v>
      </c>
      <c r="K8">
        <v>1</v>
      </c>
    </row>
    <row r="9" spans="2:366" x14ac:dyDescent="0.15">
      <c r="B9" s="4" t="s">
        <v>83</v>
      </c>
      <c r="D9" s="226" t="b">
        <f>IF('Main Assumptions'!$E$50="Interest-only",TRUE,FALSE)</f>
        <v>0</v>
      </c>
      <c r="J9" s="39"/>
    </row>
    <row r="10" spans="2:366" x14ac:dyDescent="0.15">
      <c r="J10" s="39"/>
    </row>
    <row r="11" spans="2:366" x14ac:dyDescent="0.15">
      <c r="B11" s="4" t="s">
        <v>84</v>
      </c>
      <c r="E11" s="49">
        <f>IF($D$9,effective_rate*principal,-PMT(H5,H6,principal))</f>
        <v>29011.94948534578</v>
      </c>
      <c r="G11" s="4" t="s">
        <v>85</v>
      </c>
      <c r="H11" s="4"/>
      <c r="I11" s="41" t="str">
        <f>SUBSTITUTE(ADDRESS(1,$H$6+5,4),"1","")</f>
        <v>KS</v>
      </c>
    </row>
    <row r="13" spans="2:366" x14ac:dyDescent="0.15">
      <c r="F13" s="7"/>
      <c r="G13" s="7"/>
      <c r="H13" s="7"/>
      <c r="I13" s="7"/>
      <c r="J13" s="7"/>
      <c r="K13" s="7"/>
      <c r="L13" s="7"/>
      <c r="M13" s="7"/>
      <c r="N13" s="7"/>
      <c r="O13" s="7"/>
      <c r="P13" s="7"/>
      <c r="Q13" s="7"/>
      <c r="R13" s="7"/>
      <c r="S13" s="7"/>
      <c r="T13" s="7"/>
      <c r="U13" s="7"/>
      <c r="V13" s="7"/>
      <c r="W13" s="7"/>
      <c r="X13" s="7"/>
      <c r="Y13" s="7"/>
      <c r="Z13" s="7"/>
      <c r="AA13" s="7"/>
      <c r="AB13" s="7"/>
      <c r="AC13" s="7"/>
      <c r="AD13" s="7"/>
      <c r="AE13" s="7"/>
      <c r="AF13" s="7"/>
      <c r="AG13" s="7"/>
      <c r="AH13" s="7"/>
      <c r="AI13" s="7"/>
      <c r="AJ13" s="7"/>
      <c r="AK13" s="7"/>
      <c r="AL13" s="7"/>
      <c r="AM13" s="7"/>
      <c r="AN13" s="7"/>
      <c r="AO13" s="7"/>
      <c r="AP13" s="7"/>
      <c r="AQ13" s="7"/>
      <c r="AR13" s="7"/>
      <c r="AS13" s="7"/>
      <c r="AT13" s="7"/>
      <c r="AU13" s="7"/>
      <c r="AV13" s="7"/>
      <c r="AW13" s="7"/>
      <c r="AX13" s="7"/>
      <c r="AY13" s="7"/>
      <c r="AZ13" s="7"/>
      <c r="BA13" s="7"/>
      <c r="BB13" s="7"/>
      <c r="BC13" s="7"/>
      <c r="BD13" s="7"/>
      <c r="BE13" s="7"/>
      <c r="BF13" s="7"/>
      <c r="BG13" s="7"/>
      <c r="BH13" s="7"/>
      <c r="BI13" s="7"/>
      <c r="BJ13" s="7"/>
      <c r="BK13" s="7"/>
      <c r="BL13" s="7"/>
      <c r="BM13" s="7"/>
      <c r="BN13" s="7"/>
      <c r="BO13" s="7"/>
      <c r="BP13" s="7"/>
      <c r="BQ13" s="7"/>
      <c r="BR13" s="7"/>
      <c r="BS13" s="7"/>
      <c r="BT13" s="7"/>
      <c r="BU13" s="7"/>
      <c r="BV13" s="7"/>
      <c r="BW13" s="7"/>
      <c r="BX13" s="7"/>
      <c r="BY13" s="7"/>
      <c r="BZ13" s="7"/>
      <c r="CA13" s="7"/>
      <c r="CB13" s="7"/>
      <c r="CC13" s="7"/>
      <c r="CD13" s="7"/>
      <c r="CE13" s="7"/>
      <c r="CF13" s="7"/>
      <c r="CG13" s="7"/>
      <c r="CH13" s="7"/>
      <c r="CI13" s="7"/>
      <c r="CJ13" s="7"/>
      <c r="CK13" s="7"/>
      <c r="CL13" s="7"/>
      <c r="CM13" s="7"/>
      <c r="CN13" s="7"/>
      <c r="CO13" s="7"/>
      <c r="CP13" s="7"/>
      <c r="CQ13" s="7"/>
      <c r="CR13" s="7"/>
      <c r="CS13" s="7"/>
      <c r="CT13" s="7"/>
      <c r="CU13" s="7"/>
      <c r="CV13" s="7"/>
      <c r="CW13" s="7"/>
      <c r="CX13" s="7"/>
      <c r="CY13" s="7"/>
      <c r="CZ13" s="7"/>
      <c r="DA13" s="7"/>
      <c r="DB13" s="7"/>
      <c r="DC13" s="7"/>
      <c r="DD13" s="7"/>
      <c r="DE13" s="7"/>
      <c r="DF13" s="7"/>
      <c r="DG13" s="7"/>
      <c r="DH13" s="7"/>
      <c r="DI13" s="7"/>
      <c r="DJ13" s="7"/>
      <c r="DK13" s="7"/>
      <c r="DL13" s="7"/>
      <c r="DM13" s="7"/>
      <c r="DN13" s="7"/>
      <c r="DO13" s="7"/>
      <c r="DP13" s="7"/>
      <c r="DQ13" s="7"/>
      <c r="DR13" s="7"/>
      <c r="DS13" s="7"/>
      <c r="DT13" s="7"/>
      <c r="DU13" s="7"/>
      <c r="DV13" s="7"/>
      <c r="DW13" s="7"/>
      <c r="DX13" s="7"/>
      <c r="DY13" s="7"/>
      <c r="DZ13" s="7"/>
      <c r="EA13" s="7"/>
      <c r="EB13" s="7"/>
      <c r="EC13" s="7"/>
      <c r="ED13" s="7"/>
      <c r="EE13" s="7"/>
      <c r="EF13" s="7"/>
      <c r="EG13" s="7"/>
      <c r="EH13" s="7"/>
      <c r="EI13" s="7"/>
      <c r="EJ13" s="7"/>
      <c r="EK13" s="7"/>
      <c r="EL13" s="7"/>
      <c r="EM13" s="7"/>
      <c r="EN13" s="7"/>
      <c r="EO13" s="7"/>
      <c r="EP13" s="7"/>
      <c r="EQ13" s="7"/>
      <c r="ER13" s="7"/>
      <c r="ES13" s="7"/>
      <c r="ET13" s="7"/>
      <c r="EU13" s="7"/>
      <c r="EV13" s="7"/>
      <c r="EW13" s="7"/>
      <c r="EX13" s="7"/>
      <c r="EY13" s="7"/>
      <c r="EZ13" s="7"/>
      <c r="FA13" s="7"/>
      <c r="FB13" s="7"/>
      <c r="FC13" s="7"/>
      <c r="FD13" s="7"/>
      <c r="FE13" s="7"/>
      <c r="FF13" s="7"/>
      <c r="FG13" s="7"/>
      <c r="FH13" s="7"/>
      <c r="FI13" s="7"/>
      <c r="FJ13" s="7"/>
      <c r="FK13" s="7"/>
      <c r="FL13" s="7"/>
      <c r="FM13" s="7"/>
      <c r="FN13" s="7"/>
      <c r="FO13" s="7"/>
      <c r="FP13" s="7"/>
      <c r="FQ13" s="7"/>
      <c r="FR13" s="7"/>
      <c r="FS13" s="7"/>
      <c r="FT13" s="7"/>
      <c r="FU13" s="7"/>
      <c r="FV13" s="7"/>
      <c r="FW13" s="7"/>
      <c r="FX13" s="7"/>
      <c r="FY13" s="7"/>
      <c r="FZ13" s="7"/>
      <c r="GA13" s="7"/>
      <c r="GB13" s="7"/>
      <c r="GC13" s="7"/>
      <c r="GD13" s="7"/>
      <c r="GE13" s="7"/>
      <c r="GF13" s="7"/>
      <c r="GG13" s="7"/>
      <c r="GH13" s="7"/>
      <c r="GI13" s="7"/>
      <c r="GJ13" s="7"/>
      <c r="GK13" s="7"/>
      <c r="GL13" s="7"/>
      <c r="GM13" s="7"/>
      <c r="GN13" s="7"/>
      <c r="GO13" s="7"/>
      <c r="GP13" s="7"/>
      <c r="GQ13" s="7"/>
      <c r="GR13" s="7"/>
      <c r="GS13" s="7"/>
      <c r="GT13" s="7"/>
      <c r="GU13" s="7"/>
      <c r="GV13" s="7"/>
      <c r="GW13" s="7"/>
      <c r="GX13" s="7"/>
      <c r="GY13" s="7"/>
      <c r="GZ13" s="7"/>
      <c r="HA13" s="7"/>
      <c r="HB13" s="7"/>
      <c r="HC13" s="7"/>
      <c r="HD13" s="7"/>
      <c r="HE13" s="7"/>
      <c r="HF13" s="7"/>
      <c r="HG13" s="7"/>
      <c r="HH13" s="7"/>
      <c r="HI13" s="7"/>
      <c r="HJ13" s="7"/>
      <c r="HK13" s="7"/>
      <c r="HL13" s="7"/>
      <c r="HM13" s="7"/>
      <c r="HN13" s="7"/>
      <c r="HO13" s="7"/>
      <c r="HP13" s="7"/>
      <c r="HQ13" s="7"/>
      <c r="HR13" s="7"/>
      <c r="HS13" s="7"/>
      <c r="HT13" s="7"/>
      <c r="HU13" s="7"/>
      <c r="HV13" s="7"/>
      <c r="HW13" s="7"/>
      <c r="HX13" s="7"/>
      <c r="HY13" s="7"/>
      <c r="HZ13" s="7"/>
      <c r="IA13" s="7"/>
      <c r="IB13" s="7"/>
      <c r="IC13" s="7"/>
      <c r="ID13" s="7"/>
      <c r="IE13" s="7"/>
      <c r="IF13" s="7"/>
      <c r="IG13" s="7"/>
      <c r="IH13" s="7"/>
      <c r="II13" s="7"/>
      <c r="IJ13" s="7"/>
      <c r="IK13" s="7"/>
      <c r="IL13" s="7"/>
      <c r="IM13" s="7"/>
      <c r="IN13" s="7"/>
      <c r="IO13" s="7"/>
      <c r="IP13" s="7"/>
      <c r="IQ13" s="7"/>
      <c r="IR13" s="7"/>
      <c r="IS13" s="7"/>
      <c r="IT13" s="7"/>
      <c r="IU13" s="7"/>
      <c r="IV13" s="7"/>
      <c r="IW13" s="7"/>
      <c r="IX13" s="7"/>
      <c r="IY13" s="7"/>
      <c r="IZ13" s="7"/>
      <c r="JA13" s="7"/>
      <c r="JB13" s="7"/>
      <c r="JC13" s="7"/>
      <c r="JD13" s="7"/>
      <c r="JE13" s="7"/>
      <c r="JF13" s="7"/>
      <c r="JG13" s="7"/>
      <c r="JH13" s="7"/>
      <c r="JI13" s="7"/>
      <c r="JJ13" s="7"/>
      <c r="JK13" s="7"/>
      <c r="JL13" s="7"/>
      <c r="JM13" s="7"/>
      <c r="JN13" s="7"/>
      <c r="JO13" s="7"/>
      <c r="JP13" s="7"/>
      <c r="JQ13" s="7"/>
      <c r="JR13" s="7"/>
      <c r="JS13" s="7"/>
      <c r="JT13" s="7"/>
      <c r="JU13" s="7"/>
      <c r="JV13" s="7"/>
      <c r="JW13" s="7"/>
      <c r="JX13" s="7"/>
      <c r="JY13" s="7"/>
      <c r="JZ13" s="7"/>
      <c r="KA13" s="7"/>
      <c r="KB13" s="7"/>
      <c r="KC13" s="7"/>
      <c r="KD13" s="7"/>
      <c r="KE13" s="7"/>
      <c r="KF13" s="7"/>
      <c r="KG13" s="7"/>
      <c r="KH13" s="7"/>
      <c r="KI13" s="7"/>
      <c r="KJ13" s="7"/>
      <c r="KK13" s="7"/>
      <c r="KL13" s="7"/>
      <c r="KM13" s="7"/>
      <c r="KN13" s="7"/>
      <c r="KO13" s="7"/>
      <c r="KP13" s="7"/>
      <c r="KQ13" s="7"/>
      <c r="KR13" s="7"/>
      <c r="KS13" s="7"/>
      <c r="KT13" s="7"/>
      <c r="KU13" s="7"/>
      <c r="KV13" s="7"/>
      <c r="KW13" s="7"/>
      <c r="KX13" s="7"/>
      <c r="KY13" s="7"/>
      <c r="KZ13" s="7"/>
      <c r="LA13" s="7"/>
      <c r="LB13" s="7"/>
      <c r="LC13" s="7"/>
      <c r="LD13" s="7"/>
      <c r="LE13" s="7"/>
      <c r="LF13" s="7"/>
      <c r="LG13" s="7"/>
      <c r="LH13" s="7"/>
      <c r="LI13" s="7"/>
      <c r="LJ13" s="7"/>
      <c r="LK13" s="7"/>
      <c r="LL13" s="7"/>
      <c r="LM13" s="7"/>
      <c r="LN13" s="7"/>
      <c r="LO13" s="7"/>
      <c r="LP13" s="7"/>
      <c r="LQ13" s="7"/>
      <c r="LR13" s="7"/>
      <c r="LS13" s="7"/>
      <c r="LT13" s="7"/>
      <c r="LU13" s="7"/>
      <c r="LV13" s="7"/>
      <c r="LW13" s="7"/>
      <c r="LX13" s="7"/>
      <c r="LY13" s="7"/>
      <c r="LZ13" s="7"/>
      <c r="MA13" s="7"/>
      <c r="MB13" s="7"/>
      <c r="MC13" s="7"/>
      <c r="MD13" s="7"/>
      <c r="ME13" s="7"/>
      <c r="MF13" s="7"/>
      <c r="MG13" s="7"/>
      <c r="MH13" s="7"/>
      <c r="MI13" s="7"/>
      <c r="MJ13" s="7"/>
      <c r="MK13" s="7"/>
      <c r="ML13" s="7"/>
      <c r="MM13" s="7"/>
      <c r="MN13" s="7"/>
      <c r="MO13" s="7"/>
      <c r="MP13" s="7"/>
      <c r="MQ13" s="7"/>
      <c r="MR13" s="7"/>
      <c r="MS13" s="7"/>
      <c r="MT13" s="7"/>
      <c r="MU13" s="7"/>
      <c r="MV13" s="7"/>
      <c r="MW13" s="7"/>
      <c r="MX13" s="7"/>
      <c r="MY13" s="7"/>
      <c r="MZ13" s="7"/>
      <c r="NA13" s="7"/>
    </row>
    <row r="14" spans="2:366" x14ac:dyDescent="0.15">
      <c r="B14" s="42" t="s">
        <v>86</v>
      </c>
      <c r="C14" s="6"/>
      <c r="D14" s="6"/>
      <c r="E14" s="6"/>
      <c r="F14" s="8">
        <v>1</v>
      </c>
      <c r="G14" s="8">
        <f>IF(F14&lt;$H$6,F14+1,"")</f>
        <v>2</v>
      </c>
      <c r="H14" s="8">
        <f t="shared" ref="H14:BS14" si="0">IF(G14&lt;$H$6,G14+1,"")</f>
        <v>3</v>
      </c>
      <c r="I14" s="8">
        <f t="shared" si="0"/>
        <v>4</v>
      </c>
      <c r="J14" s="8">
        <f t="shared" si="0"/>
        <v>5</v>
      </c>
      <c r="K14" s="8">
        <f t="shared" si="0"/>
        <v>6</v>
      </c>
      <c r="L14" s="8">
        <f t="shared" si="0"/>
        <v>7</v>
      </c>
      <c r="M14" s="8">
        <f t="shared" si="0"/>
        <v>8</v>
      </c>
      <c r="N14" s="8">
        <f t="shared" si="0"/>
        <v>9</v>
      </c>
      <c r="O14" s="8">
        <f t="shared" si="0"/>
        <v>10</v>
      </c>
      <c r="P14" s="8">
        <f t="shared" si="0"/>
        <v>11</v>
      </c>
      <c r="Q14" s="8">
        <f t="shared" si="0"/>
        <v>12</v>
      </c>
      <c r="R14" s="8">
        <f t="shared" si="0"/>
        <v>13</v>
      </c>
      <c r="S14" s="8">
        <f t="shared" si="0"/>
        <v>14</v>
      </c>
      <c r="T14" s="8">
        <f t="shared" si="0"/>
        <v>15</v>
      </c>
      <c r="U14" s="8">
        <f t="shared" si="0"/>
        <v>16</v>
      </c>
      <c r="V14" s="8">
        <f t="shared" si="0"/>
        <v>17</v>
      </c>
      <c r="W14" s="8">
        <f t="shared" si="0"/>
        <v>18</v>
      </c>
      <c r="X14" s="8">
        <f t="shared" si="0"/>
        <v>19</v>
      </c>
      <c r="Y14" s="8">
        <f t="shared" si="0"/>
        <v>20</v>
      </c>
      <c r="Z14" s="8">
        <f t="shared" si="0"/>
        <v>21</v>
      </c>
      <c r="AA14" s="8">
        <f t="shared" si="0"/>
        <v>22</v>
      </c>
      <c r="AB14" s="8">
        <f t="shared" si="0"/>
        <v>23</v>
      </c>
      <c r="AC14" s="8">
        <f t="shared" si="0"/>
        <v>24</v>
      </c>
      <c r="AD14" s="8">
        <f t="shared" si="0"/>
        <v>25</v>
      </c>
      <c r="AE14" s="8">
        <f t="shared" si="0"/>
        <v>26</v>
      </c>
      <c r="AF14" s="8">
        <f t="shared" si="0"/>
        <v>27</v>
      </c>
      <c r="AG14" s="8">
        <f t="shared" si="0"/>
        <v>28</v>
      </c>
      <c r="AH14" s="8">
        <f t="shared" si="0"/>
        <v>29</v>
      </c>
      <c r="AI14" s="8">
        <f t="shared" si="0"/>
        <v>30</v>
      </c>
      <c r="AJ14" s="8">
        <f t="shared" si="0"/>
        <v>31</v>
      </c>
      <c r="AK14" s="8">
        <f t="shared" si="0"/>
        <v>32</v>
      </c>
      <c r="AL14" s="8">
        <f t="shared" si="0"/>
        <v>33</v>
      </c>
      <c r="AM14" s="8">
        <f t="shared" si="0"/>
        <v>34</v>
      </c>
      <c r="AN14" s="8">
        <f t="shared" si="0"/>
        <v>35</v>
      </c>
      <c r="AO14" s="8">
        <f t="shared" si="0"/>
        <v>36</v>
      </c>
      <c r="AP14" s="8">
        <f t="shared" si="0"/>
        <v>37</v>
      </c>
      <c r="AQ14" s="8">
        <f t="shared" si="0"/>
        <v>38</v>
      </c>
      <c r="AR14" s="8">
        <f t="shared" si="0"/>
        <v>39</v>
      </c>
      <c r="AS14" s="8">
        <f t="shared" si="0"/>
        <v>40</v>
      </c>
      <c r="AT14" s="8">
        <f t="shared" si="0"/>
        <v>41</v>
      </c>
      <c r="AU14" s="8">
        <f t="shared" si="0"/>
        <v>42</v>
      </c>
      <c r="AV14" s="8">
        <f t="shared" si="0"/>
        <v>43</v>
      </c>
      <c r="AW14" s="8">
        <f t="shared" si="0"/>
        <v>44</v>
      </c>
      <c r="AX14" s="8">
        <f t="shared" si="0"/>
        <v>45</v>
      </c>
      <c r="AY14" s="8">
        <f t="shared" si="0"/>
        <v>46</v>
      </c>
      <c r="AZ14" s="8">
        <f t="shared" si="0"/>
        <v>47</v>
      </c>
      <c r="BA14" s="8">
        <f t="shared" si="0"/>
        <v>48</v>
      </c>
      <c r="BB14" s="8">
        <f t="shared" si="0"/>
        <v>49</v>
      </c>
      <c r="BC14" s="8">
        <f t="shared" si="0"/>
        <v>50</v>
      </c>
      <c r="BD14" s="8">
        <f t="shared" si="0"/>
        <v>51</v>
      </c>
      <c r="BE14" s="8">
        <f t="shared" si="0"/>
        <v>52</v>
      </c>
      <c r="BF14" s="8">
        <f t="shared" si="0"/>
        <v>53</v>
      </c>
      <c r="BG14" s="8">
        <f t="shared" si="0"/>
        <v>54</v>
      </c>
      <c r="BH14" s="8">
        <f t="shared" si="0"/>
        <v>55</v>
      </c>
      <c r="BI14" s="8">
        <f t="shared" si="0"/>
        <v>56</v>
      </c>
      <c r="BJ14" s="8">
        <f t="shared" si="0"/>
        <v>57</v>
      </c>
      <c r="BK14" s="8">
        <f t="shared" si="0"/>
        <v>58</v>
      </c>
      <c r="BL14" s="8">
        <f t="shared" si="0"/>
        <v>59</v>
      </c>
      <c r="BM14" s="8">
        <f t="shared" si="0"/>
        <v>60</v>
      </c>
      <c r="BN14" s="8">
        <f t="shared" si="0"/>
        <v>61</v>
      </c>
      <c r="BO14" s="8">
        <f t="shared" si="0"/>
        <v>62</v>
      </c>
      <c r="BP14" s="8">
        <f t="shared" si="0"/>
        <v>63</v>
      </c>
      <c r="BQ14" s="8">
        <f t="shared" si="0"/>
        <v>64</v>
      </c>
      <c r="BR14" s="8">
        <f t="shared" si="0"/>
        <v>65</v>
      </c>
      <c r="BS14" s="8">
        <f t="shared" si="0"/>
        <v>66</v>
      </c>
      <c r="BT14" s="8">
        <f t="shared" ref="BT14:EE14" si="1">IF(BS14&lt;$H$6,BS14+1,"")</f>
        <v>67</v>
      </c>
      <c r="BU14" s="8">
        <f t="shared" si="1"/>
        <v>68</v>
      </c>
      <c r="BV14" s="8">
        <f t="shared" si="1"/>
        <v>69</v>
      </c>
      <c r="BW14" s="8">
        <f t="shared" si="1"/>
        <v>70</v>
      </c>
      <c r="BX14" s="8">
        <f t="shared" si="1"/>
        <v>71</v>
      </c>
      <c r="BY14" s="8">
        <f t="shared" si="1"/>
        <v>72</v>
      </c>
      <c r="BZ14" s="8">
        <f t="shared" si="1"/>
        <v>73</v>
      </c>
      <c r="CA14" s="8">
        <f t="shared" si="1"/>
        <v>74</v>
      </c>
      <c r="CB14" s="8">
        <f t="shared" si="1"/>
        <v>75</v>
      </c>
      <c r="CC14" s="8">
        <f t="shared" si="1"/>
        <v>76</v>
      </c>
      <c r="CD14" s="8">
        <f t="shared" si="1"/>
        <v>77</v>
      </c>
      <c r="CE14" s="8">
        <f t="shared" si="1"/>
        <v>78</v>
      </c>
      <c r="CF14" s="8">
        <f t="shared" si="1"/>
        <v>79</v>
      </c>
      <c r="CG14" s="8">
        <f t="shared" si="1"/>
        <v>80</v>
      </c>
      <c r="CH14" s="8">
        <f t="shared" si="1"/>
        <v>81</v>
      </c>
      <c r="CI14" s="8">
        <f t="shared" si="1"/>
        <v>82</v>
      </c>
      <c r="CJ14" s="8">
        <f t="shared" si="1"/>
        <v>83</v>
      </c>
      <c r="CK14" s="8">
        <f t="shared" si="1"/>
        <v>84</v>
      </c>
      <c r="CL14" s="8">
        <f t="shared" si="1"/>
        <v>85</v>
      </c>
      <c r="CM14" s="8">
        <f t="shared" si="1"/>
        <v>86</v>
      </c>
      <c r="CN14" s="8">
        <f t="shared" si="1"/>
        <v>87</v>
      </c>
      <c r="CO14" s="8">
        <f t="shared" si="1"/>
        <v>88</v>
      </c>
      <c r="CP14" s="8">
        <f t="shared" si="1"/>
        <v>89</v>
      </c>
      <c r="CQ14" s="8">
        <f t="shared" si="1"/>
        <v>90</v>
      </c>
      <c r="CR14" s="8">
        <f t="shared" si="1"/>
        <v>91</v>
      </c>
      <c r="CS14" s="8">
        <f t="shared" si="1"/>
        <v>92</v>
      </c>
      <c r="CT14" s="8">
        <f t="shared" si="1"/>
        <v>93</v>
      </c>
      <c r="CU14" s="8">
        <f t="shared" si="1"/>
        <v>94</v>
      </c>
      <c r="CV14" s="8">
        <f t="shared" si="1"/>
        <v>95</v>
      </c>
      <c r="CW14" s="8">
        <f t="shared" si="1"/>
        <v>96</v>
      </c>
      <c r="CX14" s="8">
        <f t="shared" si="1"/>
        <v>97</v>
      </c>
      <c r="CY14" s="8">
        <f t="shared" si="1"/>
        <v>98</v>
      </c>
      <c r="CZ14" s="8">
        <f t="shared" si="1"/>
        <v>99</v>
      </c>
      <c r="DA14" s="8">
        <f t="shared" si="1"/>
        <v>100</v>
      </c>
      <c r="DB14" s="8">
        <f t="shared" si="1"/>
        <v>101</v>
      </c>
      <c r="DC14" s="8">
        <f t="shared" si="1"/>
        <v>102</v>
      </c>
      <c r="DD14" s="8">
        <f t="shared" si="1"/>
        <v>103</v>
      </c>
      <c r="DE14" s="8">
        <f t="shared" si="1"/>
        <v>104</v>
      </c>
      <c r="DF14" s="8">
        <f t="shared" si="1"/>
        <v>105</v>
      </c>
      <c r="DG14" s="8">
        <f t="shared" si="1"/>
        <v>106</v>
      </c>
      <c r="DH14" s="8">
        <f t="shared" si="1"/>
        <v>107</v>
      </c>
      <c r="DI14" s="8">
        <f t="shared" si="1"/>
        <v>108</v>
      </c>
      <c r="DJ14" s="8">
        <f t="shared" si="1"/>
        <v>109</v>
      </c>
      <c r="DK14" s="8">
        <f t="shared" si="1"/>
        <v>110</v>
      </c>
      <c r="DL14" s="8">
        <f t="shared" si="1"/>
        <v>111</v>
      </c>
      <c r="DM14" s="8">
        <f t="shared" si="1"/>
        <v>112</v>
      </c>
      <c r="DN14" s="8">
        <f t="shared" si="1"/>
        <v>113</v>
      </c>
      <c r="DO14" s="8">
        <f t="shared" si="1"/>
        <v>114</v>
      </c>
      <c r="DP14" s="8">
        <f t="shared" si="1"/>
        <v>115</v>
      </c>
      <c r="DQ14" s="8">
        <f t="shared" si="1"/>
        <v>116</v>
      </c>
      <c r="DR14" s="8">
        <f t="shared" si="1"/>
        <v>117</v>
      </c>
      <c r="DS14" s="8">
        <f t="shared" si="1"/>
        <v>118</v>
      </c>
      <c r="DT14" s="8">
        <f t="shared" si="1"/>
        <v>119</v>
      </c>
      <c r="DU14" s="8">
        <f t="shared" si="1"/>
        <v>120</v>
      </c>
      <c r="DV14" s="8">
        <f t="shared" si="1"/>
        <v>121</v>
      </c>
      <c r="DW14" s="8">
        <f t="shared" si="1"/>
        <v>122</v>
      </c>
      <c r="DX14" s="8">
        <f t="shared" si="1"/>
        <v>123</v>
      </c>
      <c r="DY14" s="8">
        <f t="shared" si="1"/>
        <v>124</v>
      </c>
      <c r="DZ14" s="8">
        <f t="shared" si="1"/>
        <v>125</v>
      </c>
      <c r="EA14" s="8">
        <f t="shared" si="1"/>
        <v>126</v>
      </c>
      <c r="EB14" s="8">
        <f t="shared" si="1"/>
        <v>127</v>
      </c>
      <c r="EC14" s="8">
        <f t="shared" si="1"/>
        <v>128</v>
      </c>
      <c r="ED14" s="8">
        <f t="shared" si="1"/>
        <v>129</v>
      </c>
      <c r="EE14" s="8">
        <f t="shared" si="1"/>
        <v>130</v>
      </c>
      <c r="EF14" s="8">
        <f t="shared" ref="EF14:GQ14" si="2">IF(EE14&lt;$H$6,EE14+1,"")</f>
        <v>131</v>
      </c>
      <c r="EG14" s="8">
        <f t="shared" si="2"/>
        <v>132</v>
      </c>
      <c r="EH14" s="8">
        <f t="shared" si="2"/>
        <v>133</v>
      </c>
      <c r="EI14" s="8">
        <f t="shared" si="2"/>
        <v>134</v>
      </c>
      <c r="EJ14" s="8">
        <f t="shared" si="2"/>
        <v>135</v>
      </c>
      <c r="EK14" s="8">
        <f t="shared" si="2"/>
        <v>136</v>
      </c>
      <c r="EL14" s="8">
        <f t="shared" si="2"/>
        <v>137</v>
      </c>
      <c r="EM14" s="8">
        <f t="shared" si="2"/>
        <v>138</v>
      </c>
      <c r="EN14" s="8">
        <f t="shared" si="2"/>
        <v>139</v>
      </c>
      <c r="EO14" s="8">
        <f t="shared" si="2"/>
        <v>140</v>
      </c>
      <c r="EP14" s="8">
        <f t="shared" si="2"/>
        <v>141</v>
      </c>
      <c r="EQ14" s="8">
        <f t="shared" si="2"/>
        <v>142</v>
      </c>
      <c r="ER14" s="8">
        <f t="shared" si="2"/>
        <v>143</v>
      </c>
      <c r="ES14" s="8">
        <f t="shared" si="2"/>
        <v>144</v>
      </c>
      <c r="ET14" s="8">
        <f t="shared" si="2"/>
        <v>145</v>
      </c>
      <c r="EU14" s="8">
        <f t="shared" si="2"/>
        <v>146</v>
      </c>
      <c r="EV14" s="8">
        <f t="shared" si="2"/>
        <v>147</v>
      </c>
      <c r="EW14" s="8">
        <f t="shared" si="2"/>
        <v>148</v>
      </c>
      <c r="EX14" s="8">
        <f t="shared" si="2"/>
        <v>149</v>
      </c>
      <c r="EY14" s="8">
        <f t="shared" si="2"/>
        <v>150</v>
      </c>
      <c r="EZ14" s="8">
        <f t="shared" si="2"/>
        <v>151</v>
      </c>
      <c r="FA14" s="8">
        <f t="shared" si="2"/>
        <v>152</v>
      </c>
      <c r="FB14" s="8">
        <f t="shared" si="2"/>
        <v>153</v>
      </c>
      <c r="FC14" s="8">
        <f t="shared" si="2"/>
        <v>154</v>
      </c>
      <c r="FD14" s="8">
        <f t="shared" si="2"/>
        <v>155</v>
      </c>
      <c r="FE14" s="8">
        <f t="shared" si="2"/>
        <v>156</v>
      </c>
      <c r="FF14" s="8">
        <f t="shared" si="2"/>
        <v>157</v>
      </c>
      <c r="FG14" s="8">
        <f t="shared" si="2"/>
        <v>158</v>
      </c>
      <c r="FH14" s="8">
        <f t="shared" si="2"/>
        <v>159</v>
      </c>
      <c r="FI14" s="8">
        <f t="shared" si="2"/>
        <v>160</v>
      </c>
      <c r="FJ14" s="8">
        <f t="shared" si="2"/>
        <v>161</v>
      </c>
      <c r="FK14" s="8">
        <f t="shared" si="2"/>
        <v>162</v>
      </c>
      <c r="FL14" s="8">
        <f t="shared" si="2"/>
        <v>163</v>
      </c>
      <c r="FM14" s="8">
        <f t="shared" si="2"/>
        <v>164</v>
      </c>
      <c r="FN14" s="8">
        <f t="shared" si="2"/>
        <v>165</v>
      </c>
      <c r="FO14" s="8">
        <f t="shared" si="2"/>
        <v>166</v>
      </c>
      <c r="FP14" s="8">
        <f t="shared" si="2"/>
        <v>167</v>
      </c>
      <c r="FQ14" s="8">
        <f t="shared" si="2"/>
        <v>168</v>
      </c>
      <c r="FR14" s="8">
        <f t="shared" si="2"/>
        <v>169</v>
      </c>
      <c r="FS14" s="8">
        <f t="shared" si="2"/>
        <v>170</v>
      </c>
      <c r="FT14" s="8">
        <f t="shared" si="2"/>
        <v>171</v>
      </c>
      <c r="FU14" s="8">
        <f t="shared" si="2"/>
        <v>172</v>
      </c>
      <c r="FV14" s="8">
        <f t="shared" si="2"/>
        <v>173</v>
      </c>
      <c r="FW14" s="8">
        <f t="shared" si="2"/>
        <v>174</v>
      </c>
      <c r="FX14" s="8">
        <f t="shared" si="2"/>
        <v>175</v>
      </c>
      <c r="FY14" s="8">
        <f t="shared" si="2"/>
        <v>176</v>
      </c>
      <c r="FZ14" s="8">
        <f t="shared" si="2"/>
        <v>177</v>
      </c>
      <c r="GA14" s="8">
        <f t="shared" si="2"/>
        <v>178</v>
      </c>
      <c r="GB14" s="8">
        <f t="shared" si="2"/>
        <v>179</v>
      </c>
      <c r="GC14" s="8">
        <f t="shared" si="2"/>
        <v>180</v>
      </c>
      <c r="GD14" s="8">
        <f t="shared" si="2"/>
        <v>181</v>
      </c>
      <c r="GE14" s="8">
        <f t="shared" si="2"/>
        <v>182</v>
      </c>
      <c r="GF14" s="8">
        <f t="shared" si="2"/>
        <v>183</v>
      </c>
      <c r="GG14" s="8">
        <f t="shared" si="2"/>
        <v>184</v>
      </c>
      <c r="GH14" s="8">
        <f t="shared" si="2"/>
        <v>185</v>
      </c>
      <c r="GI14" s="8">
        <f t="shared" si="2"/>
        <v>186</v>
      </c>
      <c r="GJ14" s="8">
        <f t="shared" si="2"/>
        <v>187</v>
      </c>
      <c r="GK14" s="8">
        <f t="shared" si="2"/>
        <v>188</v>
      </c>
      <c r="GL14" s="8">
        <f t="shared" si="2"/>
        <v>189</v>
      </c>
      <c r="GM14" s="8">
        <f t="shared" si="2"/>
        <v>190</v>
      </c>
      <c r="GN14" s="8">
        <f t="shared" si="2"/>
        <v>191</v>
      </c>
      <c r="GO14" s="8">
        <f t="shared" si="2"/>
        <v>192</v>
      </c>
      <c r="GP14" s="8">
        <f t="shared" si="2"/>
        <v>193</v>
      </c>
      <c r="GQ14" s="8">
        <f t="shared" si="2"/>
        <v>194</v>
      </c>
      <c r="GR14" s="8">
        <f t="shared" ref="GR14:JC14" si="3">IF(GQ14&lt;$H$6,GQ14+1,"")</f>
        <v>195</v>
      </c>
      <c r="GS14" s="8">
        <f t="shared" si="3"/>
        <v>196</v>
      </c>
      <c r="GT14" s="8">
        <f t="shared" si="3"/>
        <v>197</v>
      </c>
      <c r="GU14" s="8">
        <f t="shared" si="3"/>
        <v>198</v>
      </c>
      <c r="GV14" s="8">
        <f t="shared" si="3"/>
        <v>199</v>
      </c>
      <c r="GW14" s="8">
        <f t="shared" si="3"/>
        <v>200</v>
      </c>
      <c r="GX14" s="8">
        <f t="shared" si="3"/>
        <v>201</v>
      </c>
      <c r="GY14" s="8">
        <f t="shared" si="3"/>
        <v>202</v>
      </c>
      <c r="GZ14" s="8">
        <f t="shared" si="3"/>
        <v>203</v>
      </c>
      <c r="HA14" s="8">
        <f t="shared" si="3"/>
        <v>204</v>
      </c>
      <c r="HB14" s="8">
        <f t="shared" si="3"/>
        <v>205</v>
      </c>
      <c r="HC14" s="8">
        <f t="shared" si="3"/>
        <v>206</v>
      </c>
      <c r="HD14" s="8">
        <f t="shared" si="3"/>
        <v>207</v>
      </c>
      <c r="HE14" s="8">
        <f t="shared" si="3"/>
        <v>208</v>
      </c>
      <c r="HF14" s="8">
        <f t="shared" si="3"/>
        <v>209</v>
      </c>
      <c r="HG14" s="8">
        <f t="shared" si="3"/>
        <v>210</v>
      </c>
      <c r="HH14" s="8">
        <f t="shared" si="3"/>
        <v>211</v>
      </c>
      <c r="HI14" s="8">
        <f t="shared" si="3"/>
        <v>212</v>
      </c>
      <c r="HJ14" s="8">
        <f t="shared" si="3"/>
        <v>213</v>
      </c>
      <c r="HK14" s="8">
        <f t="shared" si="3"/>
        <v>214</v>
      </c>
      <c r="HL14" s="8">
        <f t="shared" si="3"/>
        <v>215</v>
      </c>
      <c r="HM14" s="8">
        <f t="shared" si="3"/>
        <v>216</v>
      </c>
      <c r="HN14" s="8">
        <f t="shared" si="3"/>
        <v>217</v>
      </c>
      <c r="HO14" s="8">
        <f t="shared" si="3"/>
        <v>218</v>
      </c>
      <c r="HP14" s="8">
        <f t="shared" si="3"/>
        <v>219</v>
      </c>
      <c r="HQ14" s="8">
        <f t="shared" si="3"/>
        <v>220</v>
      </c>
      <c r="HR14" s="8">
        <f t="shared" si="3"/>
        <v>221</v>
      </c>
      <c r="HS14" s="8">
        <f t="shared" si="3"/>
        <v>222</v>
      </c>
      <c r="HT14" s="8">
        <f t="shared" si="3"/>
        <v>223</v>
      </c>
      <c r="HU14" s="8">
        <f t="shared" si="3"/>
        <v>224</v>
      </c>
      <c r="HV14" s="8">
        <f t="shared" si="3"/>
        <v>225</v>
      </c>
      <c r="HW14" s="8">
        <f t="shared" si="3"/>
        <v>226</v>
      </c>
      <c r="HX14" s="8">
        <f t="shared" si="3"/>
        <v>227</v>
      </c>
      <c r="HY14" s="8">
        <f t="shared" si="3"/>
        <v>228</v>
      </c>
      <c r="HZ14" s="8">
        <f t="shared" si="3"/>
        <v>229</v>
      </c>
      <c r="IA14" s="8">
        <f t="shared" si="3"/>
        <v>230</v>
      </c>
      <c r="IB14" s="8">
        <f t="shared" si="3"/>
        <v>231</v>
      </c>
      <c r="IC14" s="8">
        <f t="shared" si="3"/>
        <v>232</v>
      </c>
      <c r="ID14" s="8">
        <f t="shared" si="3"/>
        <v>233</v>
      </c>
      <c r="IE14" s="8">
        <f t="shared" si="3"/>
        <v>234</v>
      </c>
      <c r="IF14" s="8">
        <f t="shared" si="3"/>
        <v>235</v>
      </c>
      <c r="IG14" s="8">
        <f t="shared" si="3"/>
        <v>236</v>
      </c>
      <c r="IH14" s="8">
        <f t="shared" si="3"/>
        <v>237</v>
      </c>
      <c r="II14" s="8">
        <f t="shared" si="3"/>
        <v>238</v>
      </c>
      <c r="IJ14" s="8">
        <f t="shared" si="3"/>
        <v>239</v>
      </c>
      <c r="IK14" s="8">
        <f t="shared" si="3"/>
        <v>240</v>
      </c>
      <c r="IL14" s="8">
        <f t="shared" si="3"/>
        <v>241</v>
      </c>
      <c r="IM14" s="8">
        <f t="shared" si="3"/>
        <v>242</v>
      </c>
      <c r="IN14" s="8">
        <f t="shared" si="3"/>
        <v>243</v>
      </c>
      <c r="IO14" s="8">
        <f t="shared" si="3"/>
        <v>244</v>
      </c>
      <c r="IP14" s="8">
        <f t="shared" si="3"/>
        <v>245</v>
      </c>
      <c r="IQ14" s="8">
        <f t="shared" si="3"/>
        <v>246</v>
      </c>
      <c r="IR14" s="8">
        <f t="shared" si="3"/>
        <v>247</v>
      </c>
      <c r="IS14" s="8">
        <f t="shared" si="3"/>
        <v>248</v>
      </c>
      <c r="IT14" s="8">
        <f t="shared" si="3"/>
        <v>249</v>
      </c>
      <c r="IU14" s="8">
        <f t="shared" si="3"/>
        <v>250</v>
      </c>
      <c r="IV14" s="8">
        <f t="shared" si="3"/>
        <v>251</v>
      </c>
      <c r="IW14" s="8">
        <f t="shared" si="3"/>
        <v>252</v>
      </c>
      <c r="IX14" s="8">
        <f t="shared" si="3"/>
        <v>253</v>
      </c>
      <c r="IY14" s="8">
        <f t="shared" si="3"/>
        <v>254</v>
      </c>
      <c r="IZ14" s="8">
        <f t="shared" si="3"/>
        <v>255</v>
      </c>
      <c r="JA14" s="8">
        <f t="shared" si="3"/>
        <v>256</v>
      </c>
      <c r="JB14" s="8">
        <f t="shared" si="3"/>
        <v>257</v>
      </c>
      <c r="JC14" s="8">
        <f t="shared" si="3"/>
        <v>258</v>
      </c>
      <c r="JD14" s="8">
        <f t="shared" ref="JD14:LO14" si="4">IF(JC14&lt;$H$6,JC14+1,"")</f>
        <v>259</v>
      </c>
      <c r="JE14" s="8">
        <f t="shared" si="4"/>
        <v>260</v>
      </c>
      <c r="JF14" s="8">
        <f t="shared" si="4"/>
        <v>261</v>
      </c>
      <c r="JG14" s="8">
        <f t="shared" si="4"/>
        <v>262</v>
      </c>
      <c r="JH14" s="8">
        <f t="shared" si="4"/>
        <v>263</v>
      </c>
      <c r="JI14" s="8">
        <f t="shared" si="4"/>
        <v>264</v>
      </c>
      <c r="JJ14" s="8">
        <f t="shared" si="4"/>
        <v>265</v>
      </c>
      <c r="JK14" s="8">
        <f t="shared" si="4"/>
        <v>266</v>
      </c>
      <c r="JL14" s="8">
        <f t="shared" si="4"/>
        <v>267</v>
      </c>
      <c r="JM14" s="8">
        <f t="shared" si="4"/>
        <v>268</v>
      </c>
      <c r="JN14" s="8">
        <f t="shared" si="4"/>
        <v>269</v>
      </c>
      <c r="JO14" s="8">
        <f t="shared" si="4"/>
        <v>270</v>
      </c>
      <c r="JP14" s="8">
        <f t="shared" si="4"/>
        <v>271</v>
      </c>
      <c r="JQ14" s="8">
        <f t="shared" si="4"/>
        <v>272</v>
      </c>
      <c r="JR14" s="8">
        <f t="shared" si="4"/>
        <v>273</v>
      </c>
      <c r="JS14" s="8">
        <f t="shared" si="4"/>
        <v>274</v>
      </c>
      <c r="JT14" s="8">
        <f t="shared" si="4"/>
        <v>275</v>
      </c>
      <c r="JU14" s="8">
        <f t="shared" si="4"/>
        <v>276</v>
      </c>
      <c r="JV14" s="8">
        <f t="shared" si="4"/>
        <v>277</v>
      </c>
      <c r="JW14" s="8">
        <f t="shared" si="4"/>
        <v>278</v>
      </c>
      <c r="JX14" s="8">
        <f t="shared" si="4"/>
        <v>279</v>
      </c>
      <c r="JY14" s="8">
        <f t="shared" si="4"/>
        <v>280</v>
      </c>
      <c r="JZ14" s="8">
        <f t="shared" si="4"/>
        <v>281</v>
      </c>
      <c r="KA14" s="8">
        <f t="shared" si="4"/>
        <v>282</v>
      </c>
      <c r="KB14" s="8">
        <f t="shared" si="4"/>
        <v>283</v>
      </c>
      <c r="KC14" s="8">
        <f t="shared" si="4"/>
        <v>284</v>
      </c>
      <c r="KD14" s="8">
        <f t="shared" si="4"/>
        <v>285</v>
      </c>
      <c r="KE14" s="8">
        <f t="shared" si="4"/>
        <v>286</v>
      </c>
      <c r="KF14" s="8">
        <f t="shared" si="4"/>
        <v>287</v>
      </c>
      <c r="KG14" s="8">
        <f t="shared" si="4"/>
        <v>288</v>
      </c>
      <c r="KH14" s="8">
        <f t="shared" si="4"/>
        <v>289</v>
      </c>
      <c r="KI14" s="8">
        <f t="shared" si="4"/>
        <v>290</v>
      </c>
      <c r="KJ14" s="8">
        <f t="shared" si="4"/>
        <v>291</v>
      </c>
      <c r="KK14" s="8">
        <f t="shared" si="4"/>
        <v>292</v>
      </c>
      <c r="KL14" s="8">
        <f t="shared" si="4"/>
        <v>293</v>
      </c>
      <c r="KM14" s="8">
        <f t="shared" si="4"/>
        <v>294</v>
      </c>
      <c r="KN14" s="8">
        <f t="shared" si="4"/>
        <v>295</v>
      </c>
      <c r="KO14" s="8">
        <f t="shared" si="4"/>
        <v>296</v>
      </c>
      <c r="KP14" s="8">
        <f t="shared" si="4"/>
        <v>297</v>
      </c>
      <c r="KQ14" s="8">
        <f t="shared" si="4"/>
        <v>298</v>
      </c>
      <c r="KR14" s="8">
        <f t="shared" si="4"/>
        <v>299</v>
      </c>
      <c r="KS14" s="8">
        <f t="shared" si="4"/>
        <v>300</v>
      </c>
      <c r="KT14" s="8" t="str">
        <f t="shared" si="4"/>
        <v/>
      </c>
      <c r="KU14" s="8" t="str">
        <f t="shared" si="4"/>
        <v/>
      </c>
      <c r="KV14" s="8" t="str">
        <f t="shared" si="4"/>
        <v/>
      </c>
      <c r="KW14" s="8" t="str">
        <f t="shared" si="4"/>
        <v/>
      </c>
      <c r="KX14" s="8" t="str">
        <f t="shared" si="4"/>
        <v/>
      </c>
      <c r="KY14" s="8" t="str">
        <f t="shared" si="4"/>
        <v/>
      </c>
      <c r="KZ14" s="8" t="str">
        <f t="shared" si="4"/>
        <v/>
      </c>
      <c r="LA14" s="8" t="str">
        <f t="shared" si="4"/>
        <v/>
      </c>
      <c r="LB14" s="8" t="str">
        <f t="shared" si="4"/>
        <v/>
      </c>
      <c r="LC14" s="8" t="str">
        <f t="shared" si="4"/>
        <v/>
      </c>
      <c r="LD14" s="8" t="str">
        <f t="shared" si="4"/>
        <v/>
      </c>
      <c r="LE14" s="8" t="str">
        <f t="shared" si="4"/>
        <v/>
      </c>
      <c r="LF14" s="8" t="str">
        <f t="shared" si="4"/>
        <v/>
      </c>
      <c r="LG14" s="8" t="str">
        <f t="shared" si="4"/>
        <v/>
      </c>
      <c r="LH14" s="8" t="str">
        <f t="shared" si="4"/>
        <v/>
      </c>
      <c r="LI14" s="8" t="str">
        <f t="shared" si="4"/>
        <v/>
      </c>
      <c r="LJ14" s="8" t="str">
        <f t="shared" si="4"/>
        <v/>
      </c>
      <c r="LK14" s="8" t="str">
        <f t="shared" si="4"/>
        <v/>
      </c>
      <c r="LL14" s="8" t="str">
        <f t="shared" si="4"/>
        <v/>
      </c>
      <c r="LM14" s="8" t="str">
        <f t="shared" si="4"/>
        <v/>
      </c>
      <c r="LN14" s="8" t="str">
        <f t="shared" si="4"/>
        <v/>
      </c>
      <c r="LO14" s="8" t="str">
        <f t="shared" si="4"/>
        <v/>
      </c>
      <c r="LP14" s="8" t="str">
        <f t="shared" ref="LP14:NA14" si="5">IF(LO14&lt;$H$6,LO14+1,"")</f>
        <v/>
      </c>
      <c r="LQ14" s="8" t="str">
        <f t="shared" si="5"/>
        <v/>
      </c>
      <c r="LR14" s="8" t="str">
        <f t="shared" si="5"/>
        <v/>
      </c>
      <c r="LS14" s="8" t="str">
        <f t="shared" si="5"/>
        <v/>
      </c>
      <c r="LT14" s="8" t="str">
        <f t="shared" si="5"/>
        <v/>
      </c>
      <c r="LU14" s="8" t="str">
        <f t="shared" si="5"/>
        <v/>
      </c>
      <c r="LV14" s="8" t="str">
        <f t="shared" si="5"/>
        <v/>
      </c>
      <c r="LW14" s="8" t="str">
        <f t="shared" si="5"/>
        <v/>
      </c>
      <c r="LX14" s="8" t="str">
        <f t="shared" si="5"/>
        <v/>
      </c>
      <c r="LY14" s="8" t="str">
        <f t="shared" si="5"/>
        <v/>
      </c>
      <c r="LZ14" s="8" t="str">
        <f t="shared" si="5"/>
        <v/>
      </c>
      <c r="MA14" s="8" t="str">
        <f t="shared" si="5"/>
        <v/>
      </c>
      <c r="MB14" s="8" t="str">
        <f t="shared" si="5"/>
        <v/>
      </c>
      <c r="MC14" s="8" t="str">
        <f t="shared" si="5"/>
        <v/>
      </c>
      <c r="MD14" s="8" t="str">
        <f t="shared" si="5"/>
        <v/>
      </c>
      <c r="ME14" s="8" t="str">
        <f t="shared" si="5"/>
        <v/>
      </c>
      <c r="MF14" s="8" t="str">
        <f t="shared" si="5"/>
        <v/>
      </c>
      <c r="MG14" s="8" t="str">
        <f t="shared" si="5"/>
        <v/>
      </c>
      <c r="MH14" s="8" t="str">
        <f t="shared" si="5"/>
        <v/>
      </c>
      <c r="MI14" s="8" t="str">
        <f t="shared" si="5"/>
        <v/>
      </c>
      <c r="MJ14" s="8" t="str">
        <f t="shared" si="5"/>
        <v/>
      </c>
      <c r="MK14" s="8" t="str">
        <f t="shared" si="5"/>
        <v/>
      </c>
      <c r="ML14" s="8" t="str">
        <f t="shared" si="5"/>
        <v/>
      </c>
      <c r="MM14" s="8" t="str">
        <f t="shared" si="5"/>
        <v/>
      </c>
      <c r="MN14" s="8" t="str">
        <f t="shared" si="5"/>
        <v/>
      </c>
      <c r="MO14" s="8" t="str">
        <f t="shared" si="5"/>
        <v/>
      </c>
      <c r="MP14" s="8" t="str">
        <f t="shared" si="5"/>
        <v/>
      </c>
      <c r="MQ14" s="8" t="str">
        <f t="shared" si="5"/>
        <v/>
      </c>
      <c r="MR14" s="8" t="str">
        <f t="shared" si="5"/>
        <v/>
      </c>
      <c r="MS14" s="8" t="str">
        <f t="shared" si="5"/>
        <v/>
      </c>
      <c r="MT14" s="8" t="str">
        <f t="shared" si="5"/>
        <v/>
      </c>
      <c r="MU14" s="8" t="str">
        <f t="shared" si="5"/>
        <v/>
      </c>
      <c r="MV14" s="8" t="str">
        <f t="shared" si="5"/>
        <v/>
      </c>
      <c r="MW14" s="8" t="str">
        <f t="shared" si="5"/>
        <v/>
      </c>
      <c r="MX14" s="8" t="str">
        <f t="shared" si="5"/>
        <v/>
      </c>
      <c r="MY14" s="8" t="str">
        <f t="shared" si="5"/>
        <v/>
      </c>
      <c r="MZ14" s="8" t="str">
        <f t="shared" si="5"/>
        <v/>
      </c>
      <c r="NA14" s="8" t="str">
        <f t="shared" si="5"/>
        <v/>
      </c>
    </row>
    <row r="15" spans="2:366" x14ac:dyDescent="0.15">
      <c r="B15" t="s">
        <v>87</v>
      </c>
      <c r="F15" s="37">
        <f>IF(AND(first_payment&lt;&gt;"",pay_schedule&lt;&gt;$J$9),first_payment,EDATE(first_payment,$K$9))</f>
        <v>46266</v>
      </c>
      <c r="G15" s="37">
        <f>IF(AND(first_payment&lt;&gt;"",G14&lt;&gt;""),EDATE(F$15,_xlfn.XLOOKUP($D$7,$J$5:$J$8,$K$5:$K$8)),"")</f>
        <v>46296</v>
      </c>
      <c r="H15" s="37">
        <f>IF(AND(first_payment&lt;&gt;"",H14&lt;&gt;""),EDATE(G$15,_xlfn.XLOOKUP($D$7,$J$5:$J$8,$K$5:$K$8)),"")</f>
        <v>46327</v>
      </c>
      <c r="I15" s="37">
        <f t="shared" ref="I15:BR15" si="6">IF(AND(first_payment&lt;&gt;"",I14&lt;&gt;""),EDATE(H$15,_xlfn.XLOOKUP($D$7,$J$5:$J$8,$K$5:$K$8)),"")</f>
        <v>46357</v>
      </c>
      <c r="J15" s="37">
        <f t="shared" si="6"/>
        <v>46388</v>
      </c>
      <c r="K15" s="37">
        <f t="shared" si="6"/>
        <v>46419</v>
      </c>
      <c r="L15" s="37">
        <f t="shared" si="6"/>
        <v>46447</v>
      </c>
      <c r="M15" s="37">
        <f t="shared" si="6"/>
        <v>46478</v>
      </c>
      <c r="N15" s="37">
        <f t="shared" si="6"/>
        <v>46508</v>
      </c>
      <c r="O15" s="37">
        <f t="shared" si="6"/>
        <v>46539</v>
      </c>
      <c r="P15" s="37">
        <f t="shared" si="6"/>
        <v>46569</v>
      </c>
      <c r="Q15" s="37">
        <f t="shared" si="6"/>
        <v>46600</v>
      </c>
      <c r="R15" s="37">
        <f t="shared" si="6"/>
        <v>46631</v>
      </c>
      <c r="S15" s="37">
        <f t="shared" si="6"/>
        <v>46661</v>
      </c>
      <c r="T15" s="37">
        <f t="shared" si="6"/>
        <v>46692</v>
      </c>
      <c r="U15" s="37">
        <f t="shared" si="6"/>
        <v>46722</v>
      </c>
      <c r="V15" s="37">
        <f t="shared" si="6"/>
        <v>46753</v>
      </c>
      <c r="W15" s="37">
        <f t="shared" si="6"/>
        <v>46784</v>
      </c>
      <c r="X15" s="37">
        <f t="shared" si="6"/>
        <v>46813</v>
      </c>
      <c r="Y15" s="37">
        <f t="shared" si="6"/>
        <v>46844</v>
      </c>
      <c r="Z15" s="37">
        <f t="shared" si="6"/>
        <v>46874</v>
      </c>
      <c r="AA15" s="37">
        <f t="shared" si="6"/>
        <v>46905</v>
      </c>
      <c r="AB15" s="37">
        <f t="shared" si="6"/>
        <v>46935</v>
      </c>
      <c r="AC15" s="37">
        <f t="shared" si="6"/>
        <v>46966</v>
      </c>
      <c r="AD15" s="37">
        <f t="shared" si="6"/>
        <v>46997</v>
      </c>
      <c r="AE15" s="37">
        <f t="shared" si="6"/>
        <v>47027</v>
      </c>
      <c r="AF15" s="37">
        <f t="shared" si="6"/>
        <v>47058</v>
      </c>
      <c r="AG15" s="37">
        <f t="shared" si="6"/>
        <v>47088</v>
      </c>
      <c r="AH15" s="37">
        <f t="shared" si="6"/>
        <v>47119</v>
      </c>
      <c r="AI15" s="37">
        <f t="shared" si="6"/>
        <v>47150</v>
      </c>
      <c r="AJ15" s="37">
        <f t="shared" si="6"/>
        <v>47178</v>
      </c>
      <c r="AK15" s="37">
        <f t="shared" si="6"/>
        <v>47209</v>
      </c>
      <c r="AL15" s="37">
        <f t="shared" si="6"/>
        <v>47239</v>
      </c>
      <c r="AM15" s="37">
        <f t="shared" si="6"/>
        <v>47270</v>
      </c>
      <c r="AN15" s="37">
        <f t="shared" si="6"/>
        <v>47300</v>
      </c>
      <c r="AO15" s="37">
        <f t="shared" si="6"/>
        <v>47331</v>
      </c>
      <c r="AP15" s="37">
        <f t="shared" si="6"/>
        <v>47362</v>
      </c>
      <c r="AQ15" s="37">
        <f t="shared" si="6"/>
        <v>47392</v>
      </c>
      <c r="AR15" s="37">
        <f t="shared" si="6"/>
        <v>47423</v>
      </c>
      <c r="AS15" s="37">
        <f t="shared" si="6"/>
        <v>47453</v>
      </c>
      <c r="AT15" s="37">
        <f t="shared" si="6"/>
        <v>47484</v>
      </c>
      <c r="AU15" s="37">
        <f t="shared" si="6"/>
        <v>47515</v>
      </c>
      <c r="AV15" s="37">
        <f t="shared" si="6"/>
        <v>47543</v>
      </c>
      <c r="AW15" s="37">
        <f t="shared" si="6"/>
        <v>47574</v>
      </c>
      <c r="AX15" s="37">
        <f t="shared" si="6"/>
        <v>47604</v>
      </c>
      <c r="AY15" s="37">
        <f t="shared" si="6"/>
        <v>47635</v>
      </c>
      <c r="AZ15" s="37">
        <f t="shared" si="6"/>
        <v>47665</v>
      </c>
      <c r="BA15" s="37">
        <f t="shared" si="6"/>
        <v>47696</v>
      </c>
      <c r="BB15" s="37">
        <f t="shared" si="6"/>
        <v>47727</v>
      </c>
      <c r="BC15" s="37">
        <f t="shared" si="6"/>
        <v>47757</v>
      </c>
      <c r="BD15" s="37">
        <f t="shared" si="6"/>
        <v>47788</v>
      </c>
      <c r="BE15" s="37">
        <f t="shared" si="6"/>
        <v>47818</v>
      </c>
      <c r="BF15" s="37">
        <f t="shared" si="6"/>
        <v>47849</v>
      </c>
      <c r="BG15" s="37">
        <f t="shared" si="6"/>
        <v>47880</v>
      </c>
      <c r="BH15" s="37">
        <f t="shared" si="6"/>
        <v>47908</v>
      </c>
      <c r="BI15" s="37">
        <f t="shared" si="6"/>
        <v>47939</v>
      </c>
      <c r="BJ15" s="37">
        <f t="shared" si="6"/>
        <v>47969</v>
      </c>
      <c r="BK15" s="37">
        <f t="shared" si="6"/>
        <v>48000</v>
      </c>
      <c r="BL15" s="37">
        <f t="shared" si="6"/>
        <v>48030</v>
      </c>
      <c r="BM15" s="37">
        <f t="shared" si="6"/>
        <v>48061</v>
      </c>
      <c r="BN15" s="37">
        <f t="shared" si="6"/>
        <v>48092</v>
      </c>
      <c r="BO15" s="37">
        <f t="shared" si="6"/>
        <v>48122</v>
      </c>
      <c r="BP15" s="37">
        <f t="shared" si="6"/>
        <v>48153</v>
      </c>
      <c r="BQ15" s="37">
        <f t="shared" si="6"/>
        <v>48183</v>
      </c>
      <c r="BR15" s="37">
        <f t="shared" si="6"/>
        <v>48214</v>
      </c>
      <c r="BS15" s="37">
        <f t="shared" ref="BS15:ED15" si="7">IF(AND(first_payment&lt;&gt;"",BS14&lt;&gt;""),EDATE(BR$15,_xlfn.XLOOKUP($D$7,$J$5:$J$8,$K$5:$K$8)),"")</f>
        <v>48245</v>
      </c>
      <c r="BT15" s="37">
        <f t="shared" si="7"/>
        <v>48274</v>
      </c>
      <c r="BU15" s="37">
        <f t="shared" si="7"/>
        <v>48305</v>
      </c>
      <c r="BV15" s="37">
        <f t="shared" si="7"/>
        <v>48335</v>
      </c>
      <c r="BW15" s="37">
        <f t="shared" si="7"/>
        <v>48366</v>
      </c>
      <c r="BX15" s="37">
        <f t="shared" si="7"/>
        <v>48396</v>
      </c>
      <c r="BY15" s="37">
        <f t="shared" si="7"/>
        <v>48427</v>
      </c>
      <c r="BZ15" s="37">
        <f t="shared" si="7"/>
        <v>48458</v>
      </c>
      <c r="CA15" s="37">
        <f t="shared" si="7"/>
        <v>48488</v>
      </c>
      <c r="CB15" s="37">
        <f t="shared" si="7"/>
        <v>48519</v>
      </c>
      <c r="CC15" s="37">
        <f t="shared" si="7"/>
        <v>48549</v>
      </c>
      <c r="CD15" s="37">
        <f t="shared" si="7"/>
        <v>48580</v>
      </c>
      <c r="CE15" s="37">
        <f t="shared" si="7"/>
        <v>48611</v>
      </c>
      <c r="CF15" s="37">
        <f t="shared" si="7"/>
        <v>48639</v>
      </c>
      <c r="CG15" s="37">
        <f t="shared" si="7"/>
        <v>48670</v>
      </c>
      <c r="CH15" s="37">
        <f t="shared" si="7"/>
        <v>48700</v>
      </c>
      <c r="CI15" s="37">
        <f t="shared" si="7"/>
        <v>48731</v>
      </c>
      <c r="CJ15" s="37">
        <f t="shared" si="7"/>
        <v>48761</v>
      </c>
      <c r="CK15" s="37">
        <f t="shared" si="7"/>
        <v>48792</v>
      </c>
      <c r="CL15" s="37">
        <f t="shared" si="7"/>
        <v>48823</v>
      </c>
      <c r="CM15" s="37">
        <f t="shared" si="7"/>
        <v>48853</v>
      </c>
      <c r="CN15" s="37">
        <f t="shared" si="7"/>
        <v>48884</v>
      </c>
      <c r="CO15" s="37">
        <f t="shared" si="7"/>
        <v>48914</v>
      </c>
      <c r="CP15" s="37">
        <f t="shared" si="7"/>
        <v>48945</v>
      </c>
      <c r="CQ15" s="37">
        <f t="shared" si="7"/>
        <v>48976</v>
      </c>
      <c r="CR15" s="37">
        <f t="shared" si="7"/>
        <v>49004</v>
      </c>
      <c r="CS15" s="37">
        <f t="shared" si="7"/>
        <v>49035</v>
      </c>
      <c r="CT15" s="37">
        <f t="shared" si="7"/>
        <v>49065</v>
      </c>
      <c r="CU15" s="37">
        <f t="shared" si="7"/>
        <v>49096</v>
      </c>
      <c r="CV15" s="37">
        <f t="shared" si="7"/>
        <v>49126</v>
      </c>
      <c r="CW15" s="37">
        <f t="shared" si="7"/>
        <v>49157</v>
      </c>
      <c r="CX15" s="37">
        <f t="shared" si="7"/>
        <v>49188</v>
      </c>
      <c r="CY15" s="37">
        <f t="shared" si="7"/>
        <v>49218</v>
      </c>
      <c r="CZ15" s="37">
        <f t="shared" si="7"/>
        <v>49249</v>
      </c>
      <c r="DA15" s="37">
        <f t="shared" si="7"/>
        <v>49279</v>
      </c>
      <c r="DB15" s="37">
        <f t="shared" si="7"/>
        <v>49310</v>
      </c>
      <c r="DC15" s="37">
        <f t="shared" si="7"/>
        <v>49341</v>
      </c>
      <c r="DD15" s="37">
        <f t="shared" si="7"/>
        <v>49369</v>
      </c>
      <c r="DE15" s="37">
        <f t="shared" si="7"/>
        <v>49400</v>
      </c>
      <c r="DF15" s="37">
        <f t="shared" si="7"/>
        <v>49430</v>
      </c>
      <c r="DG15" s="37">
        <f t="shared" si="7"/>
        <v>49461</v>
      </c>
      <c r="DH15" s="37">
        <f t="shared" si="7"/>
        <v>49491</v>
      </c>
      <c r="DI15" s="37">
        <f t="shared" si="7"/>
        <v>49522</v>
      </c>
      <c r="DJ15" s="37">
        <f t="shared" si="7"/>
        <v>49553</v>
      </c>
      <c r="DK15" s="37">
        <f t="shared" si="7"/>
        <v>49583</v>
      </c>
      <c r="DL15" s="37">
        <f t="shared" si="7"/>
        <v>49614</v>
      </c>
      <c r="DM15" s="37">
        <f t="shared" si="7"/>
        <v>49644</v>
      </c>
      <c r="DN15" s="37">
        <f t="shared" si="7"/>
        <v>49675</v>
      </c>
      <c r="DO15" s="37">
        <f t="shared" si="7"/>
        <v>49706</v>
      </c>
      <c r="DP15" s="37">
        <f t="shared" si="7"/>
        <v>49735</v>
      </c>
      <c r="DQ15" s="37">
        <f t="shared" si="7"/>
        <v>49766</v>
      </c>
      <c r="DR15" s="37">
        <f t="shared" si="7"/>
        <v>49796</v>
      </c>
      <c r="DS15" s="37">
        <f t="shared" si="7"/>
        <v>49827</v>
      </c>
      <c r="DT15" s="37">
        <f t="shared" si="7"/>
        <v>49857</v>
      </c>
      <c r="DU15" s="37">
        <f t="shared" si="7"/>
        <v>49888</v>
      </c>
      <c r="DV15" s="37">
        <f t="shared" si="7"/>
        <v>49919</v>
      </c>
      <c r="DW15" s="37">
        <f t="shared" si="7"/>
        <v>49949</v>
      </c>
      <c r="DX15" s="37">
        <f t="shared" si="7"/>
        <v>49980</v>
      </c>
      <c r="DY15" s="37">
        <f t="shared" si="7"/>
        <v>50010</v>
      </c>
      <c r="DZ15" s="37">
        <f t="shared" si="7"/>
        <v>50041</v>
      </c>
      <c r="EA15" s="37">
        <f t="shared" si="7"/>
        <v>50072</v>
      </c>
      <c r="EB15" s="37">
        <f t="shared" si="7"/>
        <v>50100</v>
      </c>
      <c r="EC15" s="37">
        <f t="shared" si="7"/>
        <v>50131</v>
      </c>
      <c r="ED15" s="37">
        <f t="shared" si="7"/>
        <v>50161</v>
      </c>
      <c r="EE15" s="37">
        <f t="shared" ref="EE15:GP15" si="8">IF(AND(first_payment&lt;&gt;"",EE14&lt;&gt;""),EDATE(ED$15,_xlfn.XLOOKUP($D$7,$J$5:$J$8,$K$5:$K$8)),"")</f>
        <v>50192</v>
      </c>
      <c r="EF15" s="37">
        <f t="shared" si="8"/>
        <v>50222</v>
      </c>
      <c r="EG15" s="37">
        <f t="shared" si="8"/>
        <v>50253</v>
      </c>
      <c r="EH15" s="37">
        <f t="shared" si="8"/>
        <v>50284</v>
      </c>
      <c r="EI15" s="37">
        <f t="shared" si="8"/>
        <v>50314</v>
      </c>
      <c r="EJ15" s="37">
        <f t="shared" si="8"/>
        <v>50345</v>
      </c>
      <c r="EK15" s="37">
        <f t="shared" si="8"/>
        <v>50375</v>
      </c>
      <c r="EL15" s="37">
        <f t="shared" si="8"/>
        <v>50406</v>
      </c>
      <c r="EM15" s="37">
        <f t="shared" si="8"/>
        <v>50437</v>
      </c>
      <c r="EN15" s="37">
        <f t="shared" si="8"/>
        <v>50465</v>
      </c>
      <c r="EO15" s="37">
        <f t="shared" si="8"/>
        <v>50496</v>
      </c>
      <c r="EP15" s="37">
        <f t="shared" si="8"/>
        <v>50526</v>
      </c>
      <c r="EQ15" s="37">
        <f t="shared" si="8"/>
        <v>50557</v>
      </c>
      <c r="ER15" s="37">
        <f t="shared" si="8"/>
        <v>50587</v>
      </c>
      <c r="ES15" s="37">
        <f t="shared" si="8"/>
        <v>50618</v>
      </c>
      <c r="ET15" s="37">
        <f t="shared" si="8"/>
        <v>50649</v>
      </c>
      <c r="EU15" s="37">
        <f t="shared" si="8"/>
        <v>50679</v>
      </c>
      <c r="EV15" s="37">
        <f t="shared" si="8"/>
        <v>50710</v>
      </c>
      <c r="EW15" s="37">
        <f t="shared" si="8"/>
        <v>50740</v>
      </c>
      <c r="EX15" s="37">
        <f t="shared" si="8"/>
        <v>50771</v>
      </c>
      <c r="EY15" s="37">
        <f t="shared" si="8"/>
        <v>50802</v>
      </c>
      <c r="EZ15" s="37">
        <f t="shared" si="8"/>
        <v>50830</v>
      </c>
      <c r="FA15" s="37">
        <f t="shared" si="8"/>
        <v>50861</v>
      </c>
      <c r="FB15" s="37">
        <f t="shared" si="8"/>
        <v>50891</v>
      </c>
      <c r="FC15" s="37">
        <f t="shared" si="8"/>
        <v>50922</v>
      </c>
      <c r="FD15" s="37">
        <f t="shared" si="8"/>
        <v>50952</v>
      </c>
      <c r="FE15" s="37">
        <f t="shared" si="8"/>
        <v>50983</v>
      </c>
      <c r="FF15" s="37">
        <f t="shared" si="8"/>
        <v>51014</v>
      </c>
      <c r="FG15" s="37">
        <f t="shared" si="8"/>
        <v>51044</v>
      </c>
      <c r="FH15" s="37">
        <f t="shared" si="8"/>
        <v>51075</v>
      </c>
      <c r="FI15" s="37">
        <f t="shared" si="8"/>
        <v>51105</v>
      </c>
      <c r="FJ15" s="37">
        <f t="shared" si="8"/>
        <v>51136</v>
      </c>
      <c r="FK15" s="37">
        <f t="shared" si="8"/>
        <v>51167</v>
      </c>
      <c r="FL15" s="37">
        <f t="shared" si="8"/>
        <v>51196</v>
      </c>
      <c r="FM15" s="37">
        <f t="shared" si="8"/>
        <v>51227</v>
      </c>
      <c r="FN15" s="37">
        <f t="shared" si="8"/>
        <v>51257</v>
      </c>
      <c r="FO15" s="37">
        <f t="shared" si="8"/>
        <v>51288</v>
      </c>
      <c r="FP15" s="37">
        <f t="shared" si="8"/>
        <v>51318</v>
      </c>
      <c r="FQ15" s="37">
        <f t="shared" si="8"/>
        <v>51349</v>
      </c>
      <c r="FR15" s="37">
        <f t="shared" si="8"/>
        <v>51380</v>
      </c>
      <c r="FS15" s="37">
        <f t="shared" si="8"/>
        <v>51410</v>
      </c>
      <c r="FT15" s="37">
        <f t="shared" si="8"/>
        <v>51441</v>
      </c>
      <c r="FU15" s="37">
        <f t="shared" si="8"/>
        <v>51471</v>
      </c>
      <c r="FV15" s="37">
        <f t="shared" si="8"/>
        <v>51502</v>
      </c>
      <c r="FW15" s="37">
        <f t="shared" si="8"/>
        <v>51533</v>
      </c>
      <c r="FX15" s="37">
        <f t="shared" si="8"/>
        <v>51561</v>
      </c>
      <c r="FY15" s="37">
        <f t="shared" si="8"/>
        <v>51592</v>
      </c>
      <c r="FZ15" s="37">
        <f t="shared" si="8"/>
        <v>51622</v>
      </c>
      <c r="GA15" s="37">
        <f t="shared" si="8"/>
        <v>51653</v>
      </c>
      <c r="GB15" s="37">
        <f t="shared" si="8"/>
        <v>51683</v>
      </c>
      <c r="GC15" s="37">
        <f t="shared" si="8"/>
        <v>51714</v>
      </c>
      <c r="GD15" s="37">
        <f t="shared" si="8"/>
        <v>51745</v>
      </c>
      <c r="GE15" s="37">
        <f t="shared" si="8"/>
        <v>51775</v>
      </c>
      <c r="GF15" s="37">
        <f t="shared" si="8"/>
        <v>51806</v>
      </c>
      <c r="GG15" s="37">
        <f t="shared" si="8"/>
        <v>51836</v>
      </c>
      <c r="GH15" s="37">
        <f t="shared" si="8"/>
        <v>51867</v>
      </c>
      <c r="GI15" s="37">
        <f t="shared" si="8"/>
        <v>51898</v>
      </c>
      <c r="GJ15" s="37">
        <f t="shared" si="8"/>
        <v>51926</v>
      </c>
      <c r="GK15" s="37">
        <f t="shared" si="8"/>
        <v>51957</v>
      </c>
      <c r="GL15" s="37">
        <f t="shared" si="8"/>
        <v>51987</v>
      </c>
      <c r="GM15" s="37">
        <f t="shared" si="8"/>
        <v>52018</v>
      </c>
      <c r="GN15" s="37">
        <f t="shared" si="8"/>
        <v>52048</v>
      </c>
      <c r="GO15" s="37">
        <f t="shared" si="8"/>
        <v>52079</v>
      </c>
      <c r="GP15" s="37">
        <f t="shared" si="8"/>
        <v>52110</v>
      </c>
      <c r="GQ15" s="37">
        <f t="shared" ref="GQ15:JB15" si="9">IF(AND(first_payment&lt;&gt;"",GQ14&lt;&gt;""),EDATE(GP$15,_xlfn.XLOOKUP($D$7,$J$5:$J$8,$K$5:$K$8)),"")</f>
        <v>52140</v>
      </c>
      <c r="GR15" s="37">
        <f t="shared" si="9"/>
        <v>52171</v>
      </c>
      <c r="GS15" s="37">
        <f t="shared" si="9"/>
        <v>52201</v>
      </c>
      <c r="GT15" s="37">
        <f t="shared" si="9"/>
        <v>52232</v>
      </c>
      <c r="GU15" s="37">
        <f t="shared" si="9"/>
        <v>52263</v>
      </c>
      <c r="GV15" s="37">
        <f t="shared" si="9"/>
        <v>52291</v>
      </c>
      <c r="GW15" s="37">
        <f t="shared" si="9"/>
        <v>52322</v>
      </c>
      <c r="GX15" s="37">
        <f t="shared" si="9"/>
        <v>52352</v>
      </c>
      <c r="GY15" s="37">
        <f t="shared" si="9"/>
        <v>52383</v>
      </c>
      <c r="GZ15" s="37">
        <f t="shared" si="9"/>
        <v>52413</v>
      </c>
      <c r="HA15" s="37">
        <f t="shared" si="9"/>
        <v>52444</v>
      </c>
      <c r="HB15" s="37">
        <f t="shared" si="9"/>
        <v>52475</v>
      </c>
      <c r="HC15" s="37">
        <f t="shared" si="9"/>
        <v>52505</v>
      </c>
      <c r="HD15" s="37">
        <f t="shared" si="9"/>
        <v>52536</v>
      </c>
      <c r="HE15" s="37">
        <f t="shared" si="9"/>
        <v>52566</v>
      </c>
      <c r="HF15" s="37">
        <f t="shared" si="9"/>
        <v>52597</v>
      </c>
      <c r="HG15" s="37">
        <f t="shared" si="9"/>
        <v>52628</v>
      </c>
      <c r="HH15" s="37">
        <f t="shared" si="9"/>
        <v>52657</v>
      </c>
      <c r="HI15" s="37">
        <f t="shared" si="9"/>
        <v>52688</v>
      </c>
      <c r="HJ15" s="37">
        <f t="shared" si="9"/>
        <v>52718</v>
      </c>
      <c r="HK15" s="37">
        <f t="shared" si="9"/>
        <v>52749</v>
      </c>
      <c r="HL15" s="37">
        <f t="shared" si="9"/>
        <v>52779</v>
      </c>
      <c r="HM15" s="37">
        <f t="shared" si="9"/>
        <v>52810</v>
      </c>
      <c r="HN15" s="37">
        <f t="shared" si="9"/>
        <v>52841</v>
      </c>
      <c r="HO15" s="37">
        <f t="shared" si="9"/>
        <v>52871</v>
      </c>
      <c r="HP15" s="37">
        <f t="shared" si="9"/>
        <v>52902</v>
      </c>
      <c r="HQ15" s="37">
        <f t="shared" si="9"/>
        <v>52932</v>
      </c>
      <c r="HR15" s="37">
        <f t="shared" si="9"/>
        <v>52963</v>
      </c>
      <c r="HS15" s="37">
        <f t="shared" si="9"/>
        <v>52994</v>
      </c>
      <c r="HT15" s="37">
        <f t="shared" si="9"/>
        <v>53022</v>
      </c>
      <c r="HU15" s="37">
        <f t="shared" si="9"/>
        <v>53053</v>
      </c>
      <c r="HV15" s="37">
        <f t="shared" si="9"/>
        <v>53083</v>
      </c>
      <c r="HW15" s="37">
        <f t="shared" si="9"/>
        <v>53114</v>
      </c>
      <c r="HX15" s="37">
        <f t="shared" si="9"/>
        <v>53144</v>
      </c>
      <c r="HY15" s="37">
        <f t="shared" si="9"/>
        <v>53175</v>
      </c>
      <c r="HZ15" s="37">
        <f t="shared" si="9"/>
        <v>53206</v>
      </c>
      <c r="IA15" s="37">
        <f t="shared" si="9"/>
        <v>53236</v>
      </c>
      <c r="IB15" s="37">
        <f t="shared" si="9"/>
        <v>53267</v>
      </c>
      <c r="IC15" s="37">
        <f t="shared" si="9"/>
        <v>53297</v>
      </c>
      <c r="ID15" s="37">
        <f t="shared" si="9"/>
        <v>53328</v>
      </c>
      <c r="IE15" s="37">
        <f t="shared" si="9"/>
        <v>53359</v>
      </c>
      <c r="IF15" s="37">
        <f t="shared" si="9"/>
        <v>53387</v>
      </c>
      <c r="IG15" s="37">
        <f t="shared" si="9"/>
        <v>53418</v>
      </c>
      <c r="IH15" s="37">
        <f t="shared" si="9"/>
        <v>53448</v>
      </c>
      <c r="II15" s="37">
        <f t="shared" si="9"/>
        <v>53479</v>
      </c>
      <c r="IJ15" s="37">
        <f t="shared" si="9"/>
        <v>53509</v>
      </c>
      <c r="IK15" s="37">
        <f t="shared" si="9"/>
        <v>53540</v>
      </c>
      <c r="IL15" s="37">
        <f t="shared" si="9"/>
        <v>53571</v>
      </c>
      <c r="IM15" s="37">
        <f t="shared" si="9"/>
        <v>53601</v>
      </c>
      <c r="IN15" s="37">
        <f t="shared" si="9"/>
        <v>53632</v>
      </c>
      <c r="IO15" s="37">
        <f t="shared" si="9"/>
        <v>53662</v>
      </c>
      <c r="IP15" s="37">
        <f t="shared" si="9"/>
        <v>53693</v>
      </c>
      <c r="IQ15" s="37">
        <f t="shared" si="9"/>
        <v>53724</v>
      </c>
      <c r="IR15" s="37">
        <f t="shared" si="9"/>
        <v>53752</v>
      </c>
      <c r="IS15" s="37">
        <f t="shared" si="9"/>
        <v>53783</v>
      </c>
      <c r="IT15" s="37">
        <f t="shared" si="9"/>
        <v>53813</v>
      </c>
      <c r="IU15" s="37">
        <f t="shared" si="9"/>
        <v>53844</v>
      </c>
      <c r="IV15" s="37">
        <f t="shared" si="9"/>
        <v>53874</v>
      </c>
      <c r="IW15" s="37">
        <f t="shared" si="9"/>
        <v>53905</v>
      </c>
      <c r="IX15" s="37">
        <f t="shared" si="9"/>
        <v>53936</v>
      </c>
      <c r="IY15" s="37">
        <f t="shared" si="9"/>
        <v>53966</v>
      </c>
      <c r="IZ15" s="37">
        <f t="shared" si="9"/>
        <v>53997</v>
      </c>
      <c r="JA15" s="37">
        <f t="shared" si="9"/>
        <v>54027</v>
      </c>
      <c r="JB15" s="37">
        <f t="shared" si="9"/>
        <v>54058</v>
      </c>
      <c r="JC15" s="37">
        <f t="shared" ref="JC15:LN15" si="10">IF(AND(first_payment&lt;&gt;"",JC14&lt;&gt;""),EDATE(JB$15,_xlfn.XLOOKUP($D$7,$J$5:$J$8,$K$5:$K$8)),"")</f>
        <v>54089</v>
      </c>
      <c r="JD15" s="37">
        <f t="shared" si="10"/>
        <v>54118</v>
      </c>
      <c r="JE15" s="37">
        <f t="shared" si="10"/>
        <v>54149</v>
      </c>
      <c r="JF15" s="37">
        <f t="shared" si="10"/>
        <v>54179</v>
      </c>
      <c r="JG15" s="37">
        <f t="shared" si="10"/>
        <v>54210</v>
      </c>
      <c r="JH15" s="37">
        <f t="shared" si="10"/>
        <v>54240</v>
      </c>
      <c r="JI15" s="37">
        <f t="shared" si="10"/>
        <v>54271</v>
      </c>
      <c r="JJ15" s="37">
        <f t="shared" si="10"/>
        <v>54302</v>
      </c>
      <c r="JK15" s="37">
        <f t="shared" si="10"/>
        <v>54332</v>
      </c>
      <c r="JL15" s="37">
        <f t="shared" si="10"/>
        <v>54363</v>
      </c>
      <c r="JM15" s="37">
        <f t="shared" si="10"/>
        <v>54393</v>
      </c>
      <c r="JN15" s="37">
        <f t="shared" si="10"/>
        <v>54424</v>
      </c>
      <c r="JO15" s="37">
        <f t="shared" si="10"/>
        <v>54455</v>
      </c>
      <c r="JP15" s="37">
        <f t="shared" si="10"/>
        <v>54483</v>
      </c>
      <c r="JQ15" s="37">
        <f t="shared" si="10"/>
        <v>54514</v>
      </c>
      <c r="JR15" s="37">
        <f t="shared" si="10"/>
        <v>54544</v>
      </c>
      <c r="JS15" s="37">
        <f t="shared" si="10"/>
        <v>54575</v>
      </c>
      <c r="JT15" s="37">
        <f t="shared" si="10"/>
        <v>54605</v>
      </c>
      <c r="JU15" s="37">
        <f t="shared" si="10"/>
        <v>54636</v>
      </c>
      <c r="JV15" s="37">
        <f t="shared" si="10"/>
        <v>54667</v>
      </c>
      <c r="JW15" s="37">
        <f t="shared" si="10"/>
        <v>54697</v>
      </c>
      <c r="JX15" s="37">
        <f t="shared" si="10"/>
        <v>54728</v>
      </c>
      <c r="JY15" s="37">
        <f t="shared" si="10"/>
        <v>54758</v>
      </c>
      <c r="JZ15" s="37">
        <f t="shared" si="10"/>
        <v>54789</v>
      </c>
      <c r="KA15" s="37">
        <f t="shared" si="10"/>
        <v>54820</v>
      </c>
      <c r="KB15" s="37">
        <f t="shared" si="10"/>
        <v>54848</v>
      </c>
      <c r="KC15" s="37">
        <f t="shared" si="10"/>
        <v>54879</v>
      </c>
      <c r="KD15" s="37">
        <f t="shared" si="10"/>
        <v>54909</v>
      </c>
      <c r="KE15" s="37">
        <f t="shared" si="10"/>
        <v>54940</v>
      </c>
      <c r="KF15" s="37">
        <f t="shared" si="10"/>
        <v>54970</v>
      </c>
      <c r="KG15" s="37">
        <f t="shared" si="10"/>
        <v>55001</v>
      </c>
      <c r="KH15" s="37">
        <f t="shared" si="10"/>
        <v>55032</v>
      </c>
      <c r="KI15" s="37">
        <f t="shared" si="10"/>
        <v>55062</v>
      </c>
      <c r="KJ15" s="37">
        <f t="shared" si="10"/>
        <v>55093</v>
      </c>
      <c r="KK15" s="37">
        <f t="shared" si="10"/>
        <v>55123</v>
      </c>
      <c r="KL15" s="37">
        <f t="shared" si="10"/>
        <v>55154</v>
      </c>
      <c r="KM15" s="37">
        <f t="shared" si="10"/>
        <v>55185</v>
      </c>
      <c r="KN15" s="37">
        <f t="shared" si="10"/>
        <v>55213</v>
      </c>
      <c r="KO15" s="37">
        <f t="shared" si="10"/>
        <v>55244</v>
      </c>
      <c r="KP15" s="37">
        <f t="shared" si="10"/>
        <v>55274</v>
      </c>
      <c r="KQ15" s="37">
        <f t="shared" si="10"/>
        <v>55305</v>
      </c>
      <c r="KR15" s="37">
        <f t="shared" si="10"/>
        <v>55335</v>
      </c>
      <c r="KS15" s="37">
        <f t="shared" si="10"/>
        <v>55366</v>
      </c>
      <c r="KT15" s="37" t="str">
        <f t="shared" si="10"/>
        <v/>
      </c>
      <c r="KU15" s="37" t="str">
        <f t="shared" si="10"/>
        <v/>
      </c>
      <c r="KV15" s="37" t="str">
        <f t="shared" si="10"/>
        <v/>
      </c>
      <c r="KW15" s="37" t="str">
        <f t="shared" si="10"/>
        <v/>
      </c>
      <c r="KX15" s="37" t="str">
        <f t="shared" si="10"/>
        <v/>
      </c>
      <c r="KY15" s="37" t="str">
        <f t="shared" si="10"/>
        <v/>
      </c>
      <c r="KZ15" s="37" t="str">
        <f t="shared" si="10"/>
        <v/>
      </c>
      <c r="LA15" s="37" t="str">
        <f t="shared" si="10"/>
        <v/>
      </c>
      <c r="LB15" s="37" t="str">
        <f t="shared" si="10"/>
        <v/>
      </c>
      <c r="LC15" s="37" t="str">
        <f t="shared" si="10"/>
        <v/>
      </c>
      <c r="LD15" s="37" t="str">
        <f t="shared" si="10"/>
        <v/>
      </c>
      <c r="LE15" s="37" t="str">
        <f t="shared" si="10"/>
        <v/>
      </c>
      <c r="LF15" s="37" t="str">
        <f t="shared" si="10"/>
        <v/>
      </c>
      <c r="LG15" s="37" t="str">
        <f t="shared" si="10"/>
        <v/>
      </c>
      <c r="LH15" s="37" t="str">
        <f t="shared" si="10"/>
        <v/>
      </c>
      <c r="LI15" s="37" t="str">
        <f t="shared" si="10"/>
        <v/>
      </c>
      <c r="LJ15" s="37" t="str">
        <f t="shared" si="10"/>
        <v/>
      </c>
      <c r="LK15" s="37" t="str">
        <f t="shared" si="10"/>
        <v/>
      </c>
      <c r="LL15" s="37" t="str">
        <f t="shared" si="10"/>
        <v/>
      </c>
      <c r="LM15" s="37" t="str">
        <f t="shared" si="10"/>
        <v/>
      </c>
      <c r="LN15" s="37" t="str">
        <f t="shared" si="10"/>
        <v/>
      </c>
      <c r="LO15" s="37" t="str">
        <f t="shared" ref="LO15:NA15" si="11">IF(AND(first_payment&lt;&gt;"",LO14&lt;&gt;""),EDATE(LN$15,_xlfn.XLOOKUP($D$7,$J$5:$J$8,$K$5:$K$8)),"")</f>
        <v/>
      </c>
      <c r="LP15" s="37" t="str">
        <f t="shared" si="11"/>
        <v/>
      </c>
      <c r="LQ15" s="37" t="str">
        <f t="shared" si="11"/>
        <v/>
      </c>
      <c r="LR15" s="37" t="str">
        <f t="shared" si="11"/>
        <v/>
      </c>
      <c r="LS15" s="37" t="str">
        <f t="shared" si="11"/>
        <v/>
      </c>
      <c r="LT15" s="37" t="str">
        <f t="shared" si="11"/>
        <v/>
      </c>
      <c r="LU15" s="37" t="str">
        <f t="shared" si="11"/>
        <v/>
      </c>
      <c r="LV15" s="37" t="str">
        <f t="shared" si="11"/>
        <v/>
      </c>
      <c r="LW15" s="37" t="str">
        <f t="shared" si="11"/>
        <v/>
      </c>
      <c r="LX15" s="37" t="str">
        <f t="shared" si="11"/>
        <v/>
      </c>
      <c r="LY15" s="37" t="str">
        <f t="shared" si="11"/>
        <v/>
      </c>
      <c r="LZ15" s="37" t="str">
        <f t="shared" si="11"/>
        <v/>
      </c>
      <c r="MA15" s="37" t="str">
        <f t="shared" si="11"/>
        <v/>
      </c>
      <c r="MB15" s="37" t="str">
        <f t="shared" si="11"/>
        <v/>
      </c>
      <c r="MC15" s="37" t="str">
        <f t="shared" si="11"/>
        <v/>
      </c>
      <c r="MD15" s="37" t="str">
        <f t="shared" si="11"/>
        <v/>
      </c>
      <c r="ME15" s="37" t="str">
        <f t="shared" si="11"/>
        <v/>
      </c>
      <c r="MF15" s="37" t="str">
        <f t="shared" si="11"/>
        <v/>
      </c>
      <c r="MG15" s="37" t="str">
        <f t="shared" si="11"/>
        <v/>
      </c>
      <c r="MH15" s="37" t="str">
        <f t="shared" si="11"/>
        <v/>
      </c>
      <c r="MI15" s="37" t="str">
        <f t="shared" si="11"/>
        <v/>
      </c>
      <c r="MJ15" s="37" t="str">
        <f t="shared" si="11"/>
        <v/>
      </c>
      <c r="MK15" s="37" t="str">
        <f t="shared" si="11"/>
        <v/>
      </c>
      <c r="ML15" s="37" t="str">
        <f t="shared" si="11"/>
        <v/>
      </c>
      <c r="MM15" s="37" t="str">
        <f t="shared" si="11"/>
        <v/>
      </c>
      <c r="MN15" s="37" t="str">
        <f t="shared" si="11"/>
        <v/>
      </c>
      <c r="MO15" s="37" t="str">
        <f t="shared" si="11"/>
        <v/>
      </c>
      <c r="MP15" s="37" t="str">
        <f t="shared" si="11"/>
        <v/>
      </c>
      <c r="MQ15" s="37" t="str">
        <f t="shared" si="11"/>
        <v/>
      </c>
      <c r="MR15" s="37" t="str">
        <f t="shared" si="11"/>
        <v/>
      </c>
      <c r="MS15" s="37" t="str">
        <f t="shared" si="11"/>
        <v/>
      </c>
      <c r="MT15" s="37" t="str">
        <f t="shared" si="11"/>
        <v/>
      </c>
      <c r="MU15" s="37" t="str">
        <f t="shared" si="11"/>
        <v/>
      </c>
      <c r="MV15" s="37" t="str">
        <f t="shared" si="11"/>
        <v/>
      </c>
      <c r="MW15" s="37" t="str">
        <f t="shared" si="11"/>
        <v/>
      </c>
      <c r="MX15" s="37" t="str">
        <f t="shared" si="11"/>
        <v/>
      </c>
      <c r="MY15" s="37" t="str">
        <f t="shared" si="11"/>
        <v/>
      </c>
      <c r="MZ15" s="37" t="str">
        <f t="shared" si="11"/>
        <v/>
      </c>
      <c r="NA15" s="37" t="str">
        <f t="shared" si="11"/>
        <v/>
      </c>
    </row>
    <row r="16" spans="2:366" x14ac:dyDescent="0.15">
      <c r="B16" t="s">
        <v>88</v>
      </c>
      <c r="F16" s="1">
        <f>principal</f>
        <v>4724400</v>
      </c>
      <c r="G16" s="1">
        <f>IF(G15="","",F16-F19)</f>
        <v>4717041.5505146543</v>
      </c>
      <c r="H16" s="1">
        <f t="shared" ref="H16:BS16" si="12">IF(H15="","",G16-G19)</f>
        <v>4709649.3748025009</v>
      </c>
      <c r="I16" s="1">
        <f t="shared" si="12"/>
        <v>4702223.3182849996</v>
      </c>
      <c r="J16" s="1">
        <f t="shared" si="12"/>
        <v>4694763.2256751265</v>
      </c>
      <c r="K16" s="1">
        <f t="shared" si="12"/>
        <v>4687268.9409741247</v>
      </c>
      <c r="L16" s="1">
        <f t="shared" si="12"/>
        <v>4679740.3074682439</v>
      </c>
      <c r="M16" s="1">
        <f t="shared" si="12"/>
        <v>4672177.1677254606</v>
      </c>
      <c r="N16" s="1">
        <f t="shared" si="12"/>
        <v>4664579.3635921897</v>
      </c>
      <c r="O16" s="1">
        <f t="shared" si="12"/>
        <v>4656946.7361899745</v>
      </c>
      <c r="P16" s="1">
        <f t="shared" si="12"/>
        <v>4649279.1259121662</v>
      </c>
      <c r="Q16" s="1">
        <f t="shared" si="12"/>
        <v>4641576.3724205848</v>
      </c>
      <c r="R16" s="1">
        <f t="shared" si="12"/>
        <v>4633838.3146421667</v>
      </c>
      <c r="S16" s="1">
        <f t="shared" si="12"/>
        <v>4626064.7907655975</v>
      </c>
      <c r="T16" s="1">
        <f t="shared" si="12"/>
        <v>4618255.6382379271</v>
      </c>
      <c r="U16" s="1">
        <f t="shared" si="12"/>
        <v>4610410.6937611718</v>
      </c>
      <c r="V16" s="1">
        <f t="shared" si="12"/>
        <v>4602529.7932888977</v>
      </c>
      <c r="W16" s="1">
        <f t="shared" si="12"/>
        <v>4594612.7720227931</v>
      </c>
      <c r="X16" s="1">
        <f t="shared" si="12"/>
        <v>4586659.4644092182</v>
      </c>
      <c r="Y16" s="1">
        <f t="shared" si="12"/>
        <v>4578669.7041357476</v>
      </c>
      <c r="Z16" s="1">
        <f t="shared" si="12"/>
        <v>4570643.3241276909</v>
      </c>
      <c r="AA16" s="1">
        <f t="shared" si="12"/>
        <v>4562580.1565445969</v>
      </c>
      <c r="AB16" s="1">
        <f t="shared" si="12"/>
        <v>4554480.0327767469</v>
      </c>
      <c r="AC16" s="1">
        <f t="shared" si="12"/>
        <v>4546342.7834416283</v>
      </c>
      <c r="AD16" s="1">
        <f t="shared" si="12"/>
        <v>4538168.2383803902</v>
      </c>
      <c r="AE16" s="1">
        <f t="shared" si="12"/>
        <v>4529956.2266542874</v>
      </c>
      <c r="AF16" s="1">
        <f t="shared" si="12"/>
        <v>4521706.5765411071</v>
      </c>
      <c r="AG16" s="1">
        <f t="shared" si="12"/>
        <v>4513419.1155315749</v>
      </c>
      <c r="AH16" s="1">
        <f t="shared" si="12"/>
        <v>4505093.6703257486</v>
      </c>
      <c r="AI16" s="1">
        <f t="shared" si="12"/>
        <v>4496730.0668293955</v>
      </c>
      <c r="AJ16" s="1">
        <f t="shared" si="12"/>
        <v>4488328.1301503507</v>
      </c>
      <c r="AK16" s="1">
        <f t="shared" si="12"/>
        <v>4479887.6845948603</v>
      </c>
      <c r="AL16" s="1">
        <f t="shared" si="12"/>
        <v>4471408.5536639076</v>
      </c>
      <c r="AM16" s="1">
        <f t="shared" si="12"/>
        <v>4462890.5600495217</v>
      </c>
      <c r="AN16" s="1">
        <f t="shared" si="12"/>
        <v>4454333.5256310692</v>
      </c>
      <c r="AO16" s="1">
        <f t="shared" si="12"/>
        <v>4445737.2714715321</v>
      </c>
      <c r="AP16" s="1">
        <f t="shared" si="12"/>
        <v>4437101.6178137641</v>
      </c>
      <c r="AQ16" s="1">
        <f t="shared" si="12"/>
        <v>4428426.3840767313</v>
      </c>
      <c r="AR16" s="1">
        <f t="shared" si="12"/>
        <v>4419711.3888517376</v>
      </c>
      <c r="AS16" s="1">
        <f t="shared" si="12"/>
        <v>4410956.4498986285</v>
      </c>
      <c r="AT16" s="1">
        <f t="shared" si="12"/>
        <v>4402161.3841419844</v>
      </c>
      <c r="AU16" s="1">
        <f t="shared" si="12"/>
        <v>4393326.0076672891</v>
      </c>
      <c r="AV16" s="1">
        <f t="shared" si="12"/>
        <v>4384450.1357170846</v>
      </c>
      <c r="AW16" s="1">
        <f t="shared" si="12"/>
        <v>4375533.5826871088</v>
      </c>
      <c r="AX16" s="1">
        <f t="shared" si="12"/>
        <v>4366576.1621224126</v>
      </c>
      <c r="AY16" s="1">
        <f t="shared" si="12"/>
        <v>4357577.6867134608</v>
      </c>
      <c r="AZ16" s="1">
        <f t="shared" si="12"/>
        <v>4348537.9682922186</v>
      </c>
      <c r="BA16" s="1">
        <f t="shared" si="12"/>
        <v>4339456.8178282119</v>
      </c>
      <c r="BB16" s="1">
        <f t="shared" si="12"/>
        <v>4330334.0454245787</v>
      </c>
      <c r="BC16" s="1">
        <f t="shared" si="12"/>
        <v>4321169.460314096</v>
      </c>
      <c r="BD16" s="1">
        <f t="shared" si="12"/>
        <v>4311962.8708551899</v>
      </c>
      <c r="BE16" s="1">
        <f t="shared" si="12"/>
        <v>4302714.0845279302</v>
      </c>
      <c r="BF16" s="1">
        <f t="shared" si="12"/>
        <v>4293422.9079300044</v>
      </c>
      <c r="BG16" s="1">
        <f t="shared" si="12"/>
        <v>4284089.1467726715</v>
      </c>
      <c r="BH16" s="1">
        <f t="shared" si="12"/>
        <v>4274712.6058767</v>
      </c>
      <c r="BI16" s="1">
        <f t="shared" si="12"/>
        <v>4265293.0891682887</v>
      </c>
      <c r="BJ16" s="1">
        <f t="shared" si="12"/>
        <v>4255830.3996749641</v>
      </c>
      <c r="BK16" s="1">
        <f t="shared" si="12"/>
        <v>4246324.3395214621</v>
      </c>
      <c r="BL16" s="1">
        <f t="shared" si="12"/>
        <v>4236774.7099255901</v>
      </c>
      <c r="BM16" s="1">
        <f t="shared" si="12"/>
        <v>4227181.3111940697</v>
      </c>
      <c r="BN16" s="1">
        <f t="shared" si="12"/>
        <v>4217543.9427183634</v>
      </c>
      <c r="BO16" s="1">
        <f t="shared" si="12"/>
        <v>4207862.402970477</v>
      </c>
      <c r="BP16" s="1">
        <f t="shared" si="12"/>
        <v>4198136.4894987457</v>
      </c>
      <c r="BQ16" s="1">
        <f t="shared" si="12"/>
        <v>4188365.9989236025</v>
      </c>
      <c r="BR16" s="1">
        <f t="shared" si="12"/>
        <v>4178550.7269333233</v>
      </c>
      <c r="BS16" s="1">
        <f t="shared" si="12"/>
        <v>4168690.4682797552</v>
      </c>
      <c r="BT16" s="1">
        <f t="shared" ref="BT16:EE16" si="13">IF(BT15="","",BS16-BS19)</f>
        <v>4158785.0167740248</v>
      </c>
      <c r="BU16" s="1">
        <f t="shared" si="13"/>
        <v>4148834.1652822266</v>
      </c>
      <c r="BV16" s="1">
        <f t="shared" si="13"/>
        <v>4138837.705721091</v>
      </c>
      <c r="BW16" s="1">
        <f t="shared" si="13"/>
        <v>4128795.4290536335</v>
      </c>
      <c r="BX16" s="1">
        <f t="shared" si="13"/>
        <v>4118707.1252847835</v>
      </c>
      <c r="BY16" s="1">
        <f t="shared" si="13"/>
        <v>4108572.5834569931</v>
      </c>
      <c r="BZ16" s="1">
        <f t="shared" si="13"/>
        <v>4098391.5916458252</v>
      </c>
      <c r="CA16" s="1">
        <f t="shared" si="13"/>
        <v>4088163.9369555227</v>
      </c>
      <c r="CB16" s="1">
        <f t="shared" si="13"/>
        <v>4077889.4055145564</v>
      </c>
      <c r="CC16" s="1">
        <f t="shared" si="13"/>
        <v>4067567.7824711525</v>
      </c>
      <c r="CD16" s="1">
        <f t="shared" si="13"/>
        <v>4057198.8519887994</v>
      </c>
      <c r="CE16" s="1">
        <f t="shared" si="13"/>
        <v>4046782.3972417358</v>
      </c>
      <c r="CF16" s="1">
        <f t="shared" si="13"/>
        <v>4036318.2004104145</v>
      </c>
      <c r="CG16" s="1">
        <f t="shared" si="13"/>
        <v>4025806.0426769499</v>
      </c>
      <c r="CH16" s="1">
        <f t="shared" si="13"/>
        <v>4015245.7042205399</v>
      </c>
      <c r="CI16" s="1">
        <f t="shared" si="13"/>
        <v>4004636.9642128716</v>
      </c>
      <c r="CJ16" s="1">
        <f t="shared" si="13"/>
        <v>3993979.6008135015</v>
      </c>
      <c r="CK16" s="1">
        <f t="shared" si="13"/>
        <v>3983273.3911652174</v>
      </c>
      <c r="CL16" s="1">
        <f t="shared" si="13"/>
        <v>3972518.111389379</v>
      </c>
      <c r="CM16" s="1">
        <f t="shared" si="13"/>
        <v>3961713.5365812345</v>
      </c>
      <c r="CN16" s="1">
        <f t="shared" si="13"/>
        <v>3950859.4408052196</v>
      </c>
      <c r="CO16" s="1">
        <f t="shared" si="13"/>
        <v>3939955.5970902313</v>
      </c>
      <c r="CP16" s="1">
        <f t="shared" si="13"/>
        <v>3929001.7774248822</v>
      </c>
      <c r="CQ16" s="1">
        <f t="shared" si="13"/>
        <v>3917997.7527527339</v>
      </c>
      <c r="CR16" s="1">
        <f t="shared" si="13"/>
        <v>3906943.2929675048</v>
      </c>
      <c r="CS16" s="1">
        <f t="shared" si="13"/>
        <v>3895838.16690826</v>
      </c>
      <c r="CT16" s="1">
        <f t="shared" si="13"/>
        <v>3884682.1423545768</v>
      </c>
      <c r="CU16" s="1">
        <f t="shared" si="13"/>
        <v>3873474.9860216896</v>
      </c>
      <c r="CV16" s="1">
        <f t="shared" si="13"/>
        <v>3862216.4635556098</v>
      </c>
      <c r="CW16" s="1">
        <f t="shared" si="13"/>
        <v>3850906.3395282272</v>
      </c>
      <c r="CX16" s="1">
        <f t="shared" si="13"/>
        <v>3839544.3774323859</v>
      </c>
      <c r="CY16" s="1">
        <f t="shared" si="13"/>
        <v>3828130.3396769385</v>
      </c>
      <c r="CZ16" s="1">
        <f t="shared" si="13"/>
        <v>3816663.9875817788</v>
      </c>
      <c r="DA16" s="1">
        <f t="shared" si="13"/>
        <v>3805145.0813728496</v>
      </c>
      <c r="DB16" s="1">
        <f t="shared" si="13"/>
        <v>3793573.3801771295</v>
      </c>
      <c r="DC16" s="1">
        <f t="shared" si="13"/>
        <v>3781948.6420175955</v>
      </c>
      <c r="DD16" s="1">
        <f t="shared" si="13"/>
        <v>3770270.6238081637</v>
      </c>
      <c r="DE16" s="1">
        <f t="shared" si="13"/>
        <v>3758539.0813486055</v>
      </c>
      <c r="DF16" s="1">
        <f t="shared" si="13"/>
        <v>3746753.7693194407</v>
      </c>
      <c r="DG16" s="1">
        <f t="shared" si="13"/>
        <v>3734914.4412768092</v>
      </c>
      <c r="DH16" s="1">
        <f t="shared" si="13"/>
        <v>3723020.8496473157</v>
      </c>
      <c r="DI16" s="1">
        <f t="shared" si="13"/>
        <v>3711072.7457228536</v>
      </c>
      <c r="DJ16" s="1">
        <f t="shared" si="13"/>
        <v>3699069.879655404</v>
      </c>
      <c r="DK16" s="1">
        <f t="shared" si="13"/>
        <v>3687012.0004518121</v>
      </c>
      <c r="DL16" s="1">
        <f t="shared" si="13"/>
        <v>3674898.8559685373</v>
      </c>
      <c r="DM16" s="1">
        <f t="shared" si="13"/>
        <v>3662730.1929063806</v>
      </c>
      <c r="DN16" s="1">
        <f t="shared" si="13"/>
        <v>3650505.756805189</v>
      </c>
      <c r="DO16" s="1">
        <f t="shared" si="13"/>
        <v>3638225.2920385338</v>
      </c>
      <c r="DP16" s="1">
        <f t="shared" si="13"/>
        <v>3625888.5418083644</v>
      </c>
      <c r="DQ16" s="1">
        <f t="shared" si="13"/>
        <v>3613495.2481396403</v>
      </c>
      <c r="DR16" s="1">
        <f t="shared" si="13"/>
        <v>3601045.1518749343</v>
      </c>
      <c r="DS16" s="1">
        <f t="shared" si="13"/>
        <v>3588537.9926690152</v>
      </c>
      <c r="DT16" s="1">
        <f t="shared" si="13"/>
        <v>3575973.5089834025</v>
      </c>
      <c r="DU16" s="1">
        <f t="shared" si="13"/>
        <v>3563351.4380808976</v>
      </c>
      <c r="DV16" s="1">
        <f t="shared" si="13"/>
        <v>3550671.5160200894</v>
      </c>
      <c r="DW16" s="1">
        <f t="shared" si="13"/>
        <v>3537933.4776498359</v>
      </c>
      <c r="DX16" s="1">
        <f t="shared" si="13"/>
        <v>3525137.0566037185</v>
      </c>
      <c r="DY16" s="1">
        <f t="shared" si="13"/>
        <v>3512281.9852944734</v>
      </c>
      <c r="DZ16" s="1">
        <f t="shared" si="13"/>
        <v>3499367.9949083938</v>
      </c>
      <c r="EA16" s="1">
        <f t="shared" si="13"/>
        <v>3486394.8153997115</v>
      </c>
      <c r="EB16" s="1">
        <f t="shared" si="13"/>
        <v>3473362.1754849479</v>
      </c>
      <c r="EC16" s="1">
        <f t="shared" si="13"/>
        <v>3460269.8026372413</v>
      </c>
      <c r="ED16" s="1">
        <f t="shared" si="13"/>
        <v>3447117.4230806497</v>
      </c>
      <c r="EE16" s="1">
        <f t="shared" si="13"/>
        <v>3433904.7617844236</v>
      </c>
      <c r="EF16" s="1">
        <f t="shared" ref="EF16:GQ16" si="14">IF(EF15="","",EE16-EE19)</f>
        <v>3420631.5424572565</v>
      </c>
      <c r="EG16" s="1">
        <f t="shared" si="14"/>
        <v>3407297.4875415065</v>
      </c>
      <c r="EH16" s="1">
        <f t="shared" si="14"/>
        <v>3393902.3182073925</v>
      </c>
      <c r="EI16" s="1">
        <f t="shared" si="14"/>
        <v>3380445.7543471637</v>
      </c>
      <c r="EJ16" s="1">
        <f t="shared" si="14"/>
        <v>3366927.5145692425</v>
      </c>
      <c r="EK16" s="1">
        <f t="shared" si="14"/>
        <v>3353347.3161923392</v>
      </c>
      <c r="EL16" s="1">
        <f t="shared" si="14"/>
        <v>3339704.8752395418</v>
      </c>
      <c r="EM16" s="1">
        <f t="shared" si="14"/>
        <v>3325999.9064323772</v>
      </c>
      <c r="EN16" s="1">
        <f t="shared" si="14"/>
        <v>3312232.1231848462</v>
      </c>
      <c r="EO16" s="1">
        <f t="shared" si="14"/>
        <v>3298401.2375974311</v>
      </c>
      <c r="EP16" s="1">
        <f t="shared" si="14"/>
        <v>3284506.9604510735</v>
      </c>
      <c r="EQ16" s="1">
        <f t="shared" si="14"/>
        <v>3270549.0012011286</v>
      </c>
      <c r="ER16" s="1">
        <f t="shared" si="14"/>
        <v>3256527.0679712878</v>
      </c>
      <c r="ES16" s="1">
        <f t="shared" si="14"/>
        <v>3242440.8675474771</v>
      </c>
      <c r="ET16" s="1">
        <f t="shared" si="14"/>
        <v>3228290.1053717239</v>
      </c>
      <c r="EU16" s="1">
        <f t="shared" si="14"/>
        <v>3214074.4855359984</v>
      </c>
      <c r="EV16" s="1">
        <f t="shared" si="14"/>
        <v>3199793.7107760259</v>
      </c>
      <c r="EW16" s="1">
        <f t="shared" si="14"/>
        <v>3185447.4824650702</v>
      </c>
      <c r="EX16" s="1">
        <f t="shared" si="14"/>
        <v>3171035.5006076894</v>
      </c>
      <c r="EY16" s="1">
        <f t="shared" si="14"/>
        <v>3156557.463833462</v>
      </c>
      <c r="EZ16" s="1">
        <f t="shared" si="14"/>
        <v>3142013.0693906862</v>
      </c>
      <c r="FA16" s="1">
        <f t="shared" si="14"/>
        <v>3127402.0131400479</v>
      </c>
      <c r="FB16" s="1">
        <f t="shared" si="14"/>
        <v>3112723.9895482608</v>
      </c>
      <c r="FC16" s="1">
        <f t="shared" si="14"/>
        <v>3097978.6916816779</v>
      </c>
      <c r="FD16" s="1">
        <f t="shared" si="14"/>
        <v>3083165.8111998732</v>
      </c>
      <c r="FE16" s="1">
        <f t="shared" si="14"/>
        <v>3068285.0383491935</v>
      </c>
      <c r="FF16" s="1">
        <f t="shared" si="14"/>
        <v>3053336.0619562818</v>
      </c>
      <c r="FG16" s="1">
        <f t="shared" si="14"/>
        <v>3038318.5694215689</v>
      </c>
      <c r="FH16" s="1">
        <f t="shared" si="14"/>
        <v>3023232.2467127386</v>
      </c>
      <c r="FI16" s="1">
        <f t="shared" si="14"/>
        <v>3008076.7783581596</v>
      </c>
      <c r="FJ16" s="1">
        <f t="shared" si="14"/>
        <v>2992851.8474402889</v>
      </c>
      <c r="FK16" s="1">
        <f t="shared" si="14"/>
        <v>2977557.1355890445</v>
      </c>
      <c r="FL16" s="1">
        <f t="shared" si="14"/>
        <v>2962192.3229751484</v>
      </c>
      <c r="FM16" s="1">
        <f t="shared" si="14"/>
        <v>2946757.0883034389</v>
      </c>
      <c r="FN16" s="1">
        <f t="shared" si="14"/>
        <v>2931251.1088061505</v>
      </c>
      <c r="FO16" s="1">
        <f t="shared" si="14"/>
        <v>2915674.0602361662</v>
      </c>
      <c r="FP16" s="1">
        <f t="shared" si="14"/>
        <v>2900025.616860236</v>
      </c>
      <c r="FQ16" s="1">
        <f t="shared" si="14"/>
        <v>2884305.4514521663</v>
      </c>
      <c r="FR16" s="1">
        <f t="shared" si="14"/>
        <v>2868513.2352859764</v>
      </c>
      <c r="FS16" s="1">
        <f t="shared" si="14"/>
        <v>2852648.6381290248</v>
      </c>
      <c r="FT16" s="1">
        <f t="shared" si="14"/>
        <v>2836711.3282351037</v>
      </c>
      <c r="FU16" s="1">
        <f t="shared" si="14"/>
        <v>2820700.9723375021</v>
      </c>
      <c r="FV16" s="1">
        <f t="shared" si="14"/>
        <v>2804617.2356420364</v>
      </c>
      <c r="FW16" s="1">
        <f t="shared" si="14"/>
        <v>2788459.78182005</v>
      </c>
      <c r="FX16" s="1">
        <f t="shared" si="14"/>
        <v>2772228.2730013793</v>
      </c>
      <c r="FY16" s="1">
        <f t="shared" si="14"/>
        <v>2755922.3697672901</v>
      </c>
      <c r="FZ16" s="1">
        <f t="shared" si="14"/>
        <v>2739541.7311433777</v>
      </c>
      <c r="GA16" s="1">
        <f t="shared" si="14"/>
        <v>2723086.0145924389</v>
      </c>
      <c r="GB16" s="1">
        <f t="shared" si="14"/>
        <v>2706554.8760073087</v>
      </c>
      <c r="GC16" s="1">
        <f t="shared" si="14"/>
        <v>2689947.9697036631</v>
      </c>
      <c r="GD16" s="1">
        <f t="shared" si="14"/>
        <v>2673264.9484127923</v>
      </c>
      <c r="GE16" s="1">
        <f t="shared" si="14"/>
        <v>2656505.4632743383</v>
      </c>
      <c r="GF16" s="1">
        <f t="shared" si="14"/>
        <v>2639669.1638289997</v>
      </c>
      <c r="GG16" s="1">
        <f t="shared" si="14"/>
        <v>2622755.6980112037</v>
      </c>
      <c r="GH16" s="1">
        <f t="shared" si="14"/>
        <v>2605764.7121417425</v>
      </c>
      <c r="GI16" s="1">
        <f t="shared" si="14"/>
        <v>2588695.8509203796</v>
      </c>
      <c r="GJ16" s="1">
        <f t="shared" si="14"/>
        <v>2571548.7574184188</v>
      </c>
      <c r="GK16" s="1">
        <f t="shared" si="14"/>
        <v>2554323.0730712409</v>
      </c>
      <c r="GL16" s="1">
        <f t="shared" si="14"/>
        <v>2537018.437670805</v>
      </c>
      <c r="GM16" s="1">
        <f t="shared" si="14"/>
        <v>2519634.4893581169</v>
      </c>
      <c r="GN16" s="1">
        <f t="shared" si="14"/>
        <v>2502170.8646156625</v>
      </c>
      <c r="GO16" s="1">
        <f t="shared" si="14"/>
        <v>2484627.1982598053</v>
      </c>
      <c r="GP16" s="1">
        <f t="shared" si="14"/>
        <v>2467003.1234331504</v>
      </c>
      <c r="GQ16" s="1">
        <f t="shared" si="14"/>
        <v>2449298.2715968732</v>
      </c>
      <c r="GR16" s="1">
        <f t="shared" ref="GR16:JC16" si="15">IF(GR15="","",GQ16-GQ19)</f>
        <v>2431512.2725230129</v>
      </c>
      <c r="GS16" s="1">
        <f t="shared" si="15"/>
        <v>2413644.7542867311</v>
      </c>
      <c r="GT16" s="1">
        <f t="shared" si="15"/>
        <v>2395695.3432585327</v>
      </c>
      <c r="GU16" s="1">
        <f t="shared" si="15"/>
        <v>2377663.6640964551</v>
      </c>
      <c r="GV16" s="1">
        <f t="shared" si="15"/>
        <v>2359549.3397382181</v>
      </c>
      <c r="GW16" s="1">
        <f t="shared" si="15"/>
        <v>2341351.9913933394</v>
      </c>
      <c r="GX16" s="1">
        <f t="shared" si="15"/>
        <v>2323071.2385352128</v>
      </c>
      <c r="GY16" s="1">
        <f t="shared" si="15"/>
        <v>2304706.6988931536</v>
      </c>
      <c r="GZ16" s="1">
        <f t="shared" si="15"/>
        <v>2286257.9884444014</v>
      </c>
      <c r="HA16" s="1">
        <f t="shared" si="15"/>
        <v>2267724.7214060924</v>
      </c>
      <c r="HB16" s="1">
        <f t="shared" si="15"/>
        <v>2249106.5102271913</v>
      </c>
      <c r="HC16" s="1">
        <f t="shared" si="15"/>
        <v>2230402.9655803866</v>
      </c>
      <c r="HD16" s="1">
        <f t="shared" si="15"/>
        <v>2211613.696353951</v>
      </c>
      <c r="HE16" s="1">
        <f t="shared" si="15"/>
        <v>2192738.309643561</v>
      </c>
      <c r="HF16" s="1">
        <f t="shared" si="15"/>
        <v>2173776.4107440817</v>
      </c>
      <c r="HG16" s="1">
        <f t="shared" si="15"/>
        <v>2154727.603141313</v>
      </c>
      <c r="HH16" s="1">
        <f t="shared" si="15"/>
        <v>2135591.4885036983</v>
      </c>
      <c r="HI16" s="1">
        <f t="shared" si="15"/>
        <v>2116367.6666739946</v>
      </c>
      <c r="HJ16" s="1">
        <f t="shared" si="15"/>
        <v>2097055.7356609046</v>
      </c>
      <c r="HK16" s="1">
        <f t="shared" si="15"/>
        <v>2077655.2916306714</v>
      </c>
      <c r="HL16" s="1">
        <f t="shared" si="15"/>
        <v>2058165.9288986328</v>
      </c>
      <c r="HM16" s="1">
        <f t="shared" si="15"/>
        <v>2038587.2399207391</v>
      </c>
      <c r="HN16" s="1">
        <f t="shared" si="15"/>
        <v>2018918.8152850301</v>
      </c>
      <c r="HO16" s="1">
        <f t="shared" si="15"/>
        <v>1999160.2437030741</v>
      </c>
      <c r="HP16" s="1">
        <f t="shared" si="15"/>
        <v>1979311.1120013674</v>
      </c>
      <c r="HQ16" s="1">
        <f t="shared" si="15"/>
        <v>1959371.0051126946</v>
      </c>
      <c r="HR16" s="1">
        <f t="shared" si="15"/>
        <v>1939339.5060674488</v>
      </c>
      <c r="HS16" s="1">
        <f t="shared" si="15"/>
        <v>1919216.1959849121</v>
      </c>
      <c r="HT16" s="1">
        <f t="shared" si="15"/>
        <v>1899000.6540644972</v>
      </c>
      <c r="HU16" s="1">
        <f t="shared" si="15"/>
        <v>1878692.4575769471</v>
      </c>
      <c r="HV16" s="1">
        <f t="shared" si="15"/>
        <v>1858291.1818554956</v>
      </c>
      <c r="HW16" s="1">
        <f t="shared" si="15"/>
        <v>1837796.4002869874</v>
      </c>
      <c r="HX16" s="1">
        <f t="shared" si="15"/>
        <v>1817207.684302957</v>
      </c>
      <c r="HY16" s="1">
        <f t="shared" si="15"/>
        <v>1796524.6033706665</v>
      </c>
      <c r="HZ16" s="1">
        <f t="shared" si="15"/>
        <v>1775746.7249841029</v>
      </c>
      <c r="IA16" s="1">
        <f t="shared" si="15"/>
        <v>1754873.6146549343</v>
      </c>
      <c r="IB16" s="1">
        <f t="shared" si="15"/>
        <v>1733904.8359034236</v>
      </c>
      <c r="IC16" s="1">
        <f t="shared" si="15"/>
        <v>1712839.9502493017</v>
      </c>
      <c r="ID16" s="1">
        <f t="shared" si="15"/>
        <v>1691678.5172025985</v>
      </c>
      <c r="IE16" s="1">
        <f t="shared" si="15"/>
        <v>1670420.0942544313</v>
      </c>
      <c r="IF16" s="1">
        <f t="shared" si="15"/>
        <v>1649064.2368677517</v>
      </c>
      <c r="IG16" s="1">
        <f t="shared" si="15"/>
        <v>1627610.4984680498</v>
      </c>
      <c r="IH16" s="1">
        <f t="shared" si="15"/>
        <v>1606058.4304340158</v>
      </c>
      <c r="II16" s="1">
        <f t="shared" si="15"/>
        <v>1584407.5820881592</v>
      </c>
      <c r="IJ16" s="1">
        <f t="shared" si="15"/>
        <v>1562657.500687384</v>
      </c>
      <c r="IK16" s="1">
        <f t="shared" si="15"/>
        <v>1540807.731413522</v>
      </c>
      <c r="IL16" s="1">
        <f t="shared" si="15"/>
        <v>1518857.8173638217</v>
      </c>
      <c r="IM16" s="1">
        <f t="shared" si="15"/>
        <v>1496807.2995413933</v>
      </c>
      <c r="IN16" s="1">
        <f t="shared" si="15"/>
        <v>1474655.7168456123</v>
      </c>
      <c r="IO16" s="1">
        <f t="shared" si="15"/>
        <v>1452402.6060624756</v>
      </c>
      <c r="IP16" s="1">
        <f t="shared" si="15"/>
        <v>1430047.5018549161</v>
      </c>
      <c r="IQ16" s="1">
        <f t="shared" si="15"/>
        <v>1407589.9367530721</v>
      </c>
      <c r="IR16" s="1">
        <f t="shared" si="15"/>
        <v>1385029.4411445111</v>
      </c>
      <c r="IS16" s="1">
        <f t="shared" si="15"/>
        <v>1362365.5432644109</v>
      </c>
      <c r="IT16" s="1">
        <f t="shared" si="15"/>
        <v>1339597.7691856937</v>
      </c>
      <c r="IU16" s="1">
        <f t="shared" si="15"/>
        <v>1316725.6428091156</v>
      </c>
      <c r="IV16" s="1">
        <f t="shared" si="15"/>
        <v>1293748.6858533116</v>
      </c>
      <c r="IW16" s="1">
        <f t="shared" si="15"/>
        <v>1270666.4178447935</v>
      </c>
      <c r="IX16" s="1">
        <f t="shared" si="15"/>
        <v>1247478.3561079029</v>
      </c>
      <c r="IY16" s="1">
        <f t="shared" si="15"/>
        <v>1224184.0157547183</v>
      </c>
      <c r="IZ16" s="1">
        <f t="shared" si="15"/>
        <v>1200782.909674915</v>
      </c>
      <c r="JA16" s="1">
        <f t="shared" si="15"/>
        <v>1177274.5485255793</v>
      </c>
      <c r="JB16" s="1">
        <f t="shared" si="15"/>
        <v>1153658.4407209756</v>
      </c>
      <c r="JC16" s="1">
        <f t="shared" si="15"/>
        <v>1129934.0924222677</v>
      </c>
      <c r="JD16" s="1">
        <f t="shared" ref="JD16:LO16" si="16">IF(JD15="","",JC16-JC19)</f>
        <v>1106101.0075271905</v>
      </c>
      <c r="JE16" s="1">
        <f t="shared" si="16"/>
        <v>1082158.6876596776</v>
      </c>
      <c r="JF16" s="1">
        <f t="shared" si="16"/>
        <v>1058106.6321594387</v>
      </c>
      <c r="JG16" s="1">
        <f t="shared" si="16"/>
        <v>1033944.3380714903</v>
      </c>
      <c r="JH16" s="1">
        <f t="shared" si="16"/>
        <v>1009671.3001356388</v>
      </c>
      <c r="JI16" s="1">
        <f t="shared" si="16"/>
        <v>985287.01077591465</v>
      </c>
      <c r="JJ16" s="1">
        <f t="shared" si="16"/>
        <v>960790.96008995851</v>
      </c>
      <c r="JK16" s="1">
        <f t="shared" si="16"/>
        <v>936182.63583835831</v>
      </c>
      <c r="JL16" s="1">
        <f t="shared" si="16"/>
        <v>911461.52343393839</v>
      </c>
      <c r="JM16" s="1">
        <f t="shared" si="16"/>
        <v>886627.10593099811</v>
      </c>
      <c r="JN16" s="1">
        <f t="shared" si="16"/>
        <v>861678.86401450273</v>
      </c>
      <c r="JO16" s="1">
        <f t="shared" si="16"/>
        <v>836616.27598922339</v>
      </c>
      <c r="JP16" s="1">
        <f t="shared" si="16"/>
        <v>811438.81776882824</v>
      </c>
      <c r="JQ16" s="1">
        <f t="shared" si="16"/>
        <v>786145.96286492294</v>
      </c>
      <c r="JR16" s="1">
        <f t="shared" si="16"/>
        <v>760737.18237604143</v>
      </c>
      <c r="JS16" s="1">
        <f t="shared" si="16"/>
        <v>735211.9449765858</v>
      </c>
      <c r="JT16" s="1">
        <f t="shared" si="16"/>
        <v>709569.71690571599</v>
      </c>
      <c r="JU16" s="1">
        <f t="shared" si="16"/>
        <v>683809.96195618808</v>
      </c>
      <c r="JV16" s="1">
        <f t="shared" si="16"/>
        <v>657932.14146314154</v>
      </c>
      <c r="JW16" s="1">
        <f t="shared" si="16"/>
        <v>631935.71429283521</v>
      </c>
      <c r="JX16" s="1">
        <f t="shared" si="16"/>
        <v>605820.13683133165</v>
      </c>
      <c r="JY16" s="1">
        <f t="shared" si="16"/>
        <v>579584.86297312949</v>
      </c>
      <c r="JZ16" s="1">
        <f t="shared" si="16"/>
        <v>553229.34410974383</v>
      </c>
      <c r="KA16" s="1">
        <f t="shared" si="16"/>
        <v>526753.02911823441</v>
      </c>
      <c r="KB16" s="1">
        <f t="shared" si="16"/>
        <v>500155.36434968055</v>
      </c>
      <c r="KC16" s="1">
        <f t="shared" si="16"/>
        <v>473435.79361760413</v>
      </c>
      <c r="KD16" s="1">
        <f t="shared" si="16"/>
        <v>446593.75818633905</v>
      </c>
      <c r="KE16" s="1">
        <f t="shared" si="16"/>
        <v>419628.69675934734</v>
      </c>
      <c r="KF16" s="1">
        <f t="shared" si="16"/>
        <v>392540.04546748189</v>
      </c>
      <c r="KG16" s="1">
        <f t="shared" si="16"/>
        <v>365327.23785719543</v>
      </c>
      <c r="KH16" s="1">
        <f t="shared" si="16"/>
        <v>337989.70487869513</v>
      </c>
      <c r="KI16" s="1">
        <f t="shared" si="16"/>
        <v>310526.87487404339</v>
      </c>
      <c r="KJ16" s="1">
        <f t="shared" si="16"/>
        <v>282938.17356520367</v>
      </c>
      <c r="KK16" s="1">
        <f t="shared" si="16"/>
        <v>255223.02404203173</v>
      </c>
      <c r="KL16" s="1">
        <f t="shared" si="16"/>
        <v>227380.84675021193</v>
      </c>
      <c r="KM16" s="1">
        <f t="shared" si="16"/>
        <v>199411.05947913794</v>
      </c>
      <c r="KN16" s="1">
        <f t="shared" si="16"/>
        <v>171313.07734973822</v>
      </c>
      <c r="KO16" s="1">
        <f t="shared" si="16"/>
        <v>143086.3128022454</v>
      </c>
      <c r="KP16" s="1">
        <f t="shared" si="16"/>
        <v>114730.17558390992</v>
      </c>
      <c r="KQ16" s="1">
        <f t="shared" si="16"/>
        <v>86244.072736657065</v>
      </c>
      <c r="KR16" s="1">
        <f t="shared" si="16"/>
        <v>57627.408584687626</v>
      </c>
      <c r="KS16" s="1">
        <f t="shared" si="16"/>
        <v>28879.584722021664</v>
      </c>
      <c r="KT16" s="1" t="str">
        <f t="shared" si="16"/>
        <v/>
      </c>
      <c r="KU16" s="1" t="str">
        <f t="shared" si="16"/>
        <v/>
      </c>
      <c r="KV16" s="1" t="str">
        <f t="shared" si="16"/>
        <v/>
      </c>
      <c r="KW16" s="1" t="str">
        <f t="shared" si="16"/>
        <v/>
      </c>
      <c r="KX16" s="1" t="str">
        <f t="shared" si="16"/>
        <v/>
      </c>
      <c r="KY16" s="1" t="str">
        <f t="shared" si="16"/>
        <v/>
      </c>
      <c r="KZ16" s="1" t="str">
        <f t="shared" si="16"/>
        <v/>
      </c>
      <c r="LA16" s="1" t="str">
        <f t="shared" si="16"/>
        <v/>
      </c>
      <c r="LB16" s="1" t="str">
        <f t="shared" si="16"/>
        <v/>
      </c>
      <c r="LC16" s="1" t="str">
        <f t="shared" si="16"/>
        <v/>
      </c>
      <c r="LD16" s="1" t="str">
        <f t="shared" si="16"/>
        <v/>
      </c>
      <c r="LE16" s="1" t="str">
        <f t="shared" si="16"/>
        <v/>
      </c>
      <c r="LF16" s="1" t="str">
        <f t="shared" si="16"/>
        <v/>
      </c>
      <c r="LG16" s="1" t="str">
        <f t="shared" si="16"/>
        <v/>
      </c>
      <c r="LH16" s="1" t="str">
        <f t="shared" si="16"/>
        <v/>
      </c>
      <c r="LI16" s="1" t="str">
        <f t="shared" si="16"/>
        <v/>
      </c>
      <c r="LJ16" s="1" t="str">
        <f t="shared" si="16"/>
        <v/>
      </c>
      <c r="LK16" s="1" t="str">
        <f t="shared" si="16"/>
        <v/>
      </c>
      <c r="LL16" s="1" t="str">
        <f t="shared" si="16"/>
        <v/>
      </c>
      <c r="LM16" s="1" t="str">
        <f t="shared" si="16"/>
        <v/>
      </c>
      <c r="LN16" s="1" t="str">
        <f t="shared" si="16"/>
        <v/>
      </c>
      <c r="LO16" s="1" t="str">
        <f t="shared" si="16"/>
        <v/>
      </c>
      <c r="LP16" s="1" t="str">
        <f t="shared" ref="LP16:NA16" si="17">IF(LP15="","",LO16-LO19)</f>
        <v/>
      </c>
      <c r="LQ16" s="1" t="str">
        <f t="shared" si="17"/>
        <v/>
      </c>
      <c r="LR16" s="1" t="str">
        <f t="shared" si="17"/>
        <v/>
      </c>
      <c r="LS16" s="1" t="str">
        <f t="shared" si="17"/>
        <v/>
      </c>
      <c r="LT16" s="1" t="str">
        <f t="shared" si="17"/>
        <v/>
      </c>
      <c r="LU16" s="1" t="str">
        <f t="shared" si="17"/>
        <v/>
      </c>
      <c r="LV16" s="1" t="str">
        <f t="shared" si="17"/>
        <v/>
      </c>
      <c r="LW16" s="1" t="str">
        <f t="shared" si="17"/>
        <v/>
      </c>
      <c r="LX16" s="1" t="str">
        <f t="shared" si="17"/>
        <v/>
      </c>
      <c r="LY16" s="1" t="str">
        <f t="shared" si="17"/>
        <v/>
      </c>
      <c r="LZ16" s="1" t="str">
        <f t="shared" si="17"/>
        <v/>
      </c>
      <c r="MA16" s="1" t="str">
        <f t="shared" si="17"/>
        <v/>
      </c>
      <c r="MB16" s="1" t="str">
        <f t="shared" si="17"/>
        <v/>
      </c>
      <c r="MC16" s="1" t="str">
        <f t="shared" si="17"/>
        <v/>
      </c>
      <c r="MD16" s="1" t="str">
        <f t="shared" si="17"/>
        <v/>
      </c>
      <c r="ME16" s="1" t="str">
        <f t="shared" si="17"/>
        <v/>
      </c>
      <c r="MF16" s="1" t="str">
        <f t="shared" si="17"/>
        <v/>
      </c>
      <c r="MG16" s="1" t="str">
        <f t="shared" si="17"/>
        <v/>
      </c>
      <c r="MH16" s="1" t="str">
        <f t="shared" si="17"/>
        <v/>
      </c>
      <c r="MI16" s="1" t="str">
        <f t="shared" si="17"/>
        <v/>
      </c>
      <c r="MJ16" s="1" t="str">
        <f t="shared" si="17"/>
        <v/>
      </c>
      <c r="MK16" s="1" t="str">
        <f t="shared" si="17"/>
        <v/>
      </c>
      <c r="ML16" s="1" t="str">
        <f t="shared" si="17"/>
        <v/>
      </c>
      <c r="MM16" s="1" t="str">
        <f t="shared" si="17"/>
        <v/>
      </c>
      <c r="MN16" s="1" t="str">
        <f t="shared" si="17"/>
        <v/>
      </c>
      <c r="MO16" s="1" t="str">
        <f t="shared" si="17"/>
        <v/>
      </c>
      <c r="MP16" s="1" t="str">
        <f t="shared" si="17"/>
        <v/>
      </c>
      <c r="MQ16" s="1" t="str">
        <f t="shared" si="17"/>
        <v/>
      </c>
      <c r="MR16" s="1" t="str">
        <f t="shared" si="17"/>
        <v/>
      </c>
      <c r="MS16" s="1" t="str">
        <f t="shared" si="17"/>
        <v/>
      </c>
      <c r="MT16" s="1" t="str">
        <f t="shared" si="17"/>
        <v/>
      </c>
      <c r="MU16" s="1" t="str">
        <f t="shared" si="17"/>
        <v/>
      </c>
      <c r="MV16" s="1" t="str">
        <f t="shared" si="17"/>
        <v/>
      </c>
      <c r="MW16" s="1" t="str">
        <f t="shared" si="17"/>
        <v/>
      </c>
      <c r="MX16" s="1" t="str">
        <f t="shared" si="17"/>
        <v/>
      </c>
      <c r="MY16" s="1" t="str">
        <f t="shared" si="17"/>
        <v/>
      </c>
      <c r="MZ16" s="1" t="str">
        <f t="shared" si="17"/>
        <v/>
      </c>
      <c r="NA16" s="1" t="str">
        <f t="shared" si="17"/>
        <v/>
      </c>
      <c r="NB16" s="1"/>
    </row>
    <row r="17" spans="1:365" s="1" customFormat="1" x14ac:dyDescent="0.15">
      <c r="A17"/>
      <c r="B17" t="s">
        <v>89</v>
      </c>
      <c r="C17"/>
      <c r="D17"/>
      <c r="E17"/>
      <c r="F17" s="40">
        <f>period_payment</f>
        <v>29011.94948534578</v>
      </c>
      <c r="G17" s="1">
        <f>IF(G15="","",period_payment)</f>
        <v>29011.94948534578</v>
      </c>
      <c r="H17" s="1">
        <f t="shared" ref="H17:BR17" si="18">IF(H15="","",period_payment)</f>
        <v>29011.94948534578</v>
      </c>
      <c r="I17" s="1">
        <f t="shared" si="18"/>
        <v>29011.94948534578</v>
      </c>
      <c r="J17" s="1">
        <f t="shared" si="18"/>
        <v>29011.94948534578</v>
      </c>
      <c r="K17" s="1">
        <f t="shared" si="18"/>
        <v>29011.94948534578</v>
      </c>
      <c r="L17" s="1">
        <f t="shared" si="18"/>
        <v>29011.94948534578</v>
      </c>
      <c r="M17" s="1">
        <f t="shared" si="18"/>
        <v>29011.94948534578</v>
      </c>
      <c r="N17" s="1">
        <f t="shared" si="18"/>
        <v>29011.94948534578</v>
      </c>
      <c r="O17" s="1">
        <f t="shared" si="18"/>
        <v>29011.94948534578</v>
      </c>
      <c r="P17" s="1">
        <f t="shared" si="18"/>
        <v>29011.94948534578</v>
      </c>
      <c r="Q17" s="1">
        <f t="shared" si="18"/>
        <v>29011.94948534578</v>
      </c>
      <c r="R17" s="1">
        <f t="shared" si="18"/>
        <v>29011.94948534578</v>
      </c>
      <c r="S17" s="1">
        <f t="shared" si="18"/>
        <v>29011.94948534578</v>
      </c>
      <c r="T17" s="1">
        <f t="shared" si="18"/>
        <v>29011.94948534578</v>
      </c>
      <c r="U17" s="1">
        <f t="shared" si="18"/>
        <v>29011.94948534578</v>
      </c>
      <c r="V17" s="1">
        <f t="shared" si="18"/>
        <v>29011.94948534578</v>
      </c>
      <c r="W17" s="1">
        <f t="shared" si="18"/>
        <v>29011.94948534578</v>
      </c>
      <c r="X17" s="1">
        <f t="shared" si="18"/>
        <v>29011.94948534578</v>
      </c>
      <c r="Y17" s="1">
        <f t="shared" si="18"/>
        <v>29011.94948534578</v>
      </c>
      <c r="Z17" s="1">
        <f t="shared" si="18"/>
        <v>29011.94948534578</v>
      </c>
      <c r="AA17" s="1">
        <f t="shared" si="18"/>
        <v>29011.94948534578</v>
      </c>
      <c r="AB17" s="1">
        <f t="shared" si="18"/>
        <v>29011.94948534578</v>
      </c>
      <c r="AC17" s="1">
        <f t="shared" si="18"/>
        <v>29011.94948534578</v>
      </c>
      <c r="AD17" s="1">
        <f t="shared" si="18"/>
        <v>29011.94948534578</v>
      </c>
      <c r="AE17" s="1">
        <f t="shared" si="18"/>
        <v>29011.94948534578</v>
      </c>
      <c r="AF17" s="1">
        <f t="shared" si="18"/>
        <v>29011.94948534578</v>
      </c>
      <c r="AG17" s="1">
        <f t="shared" si="18"/>
        <v>29011.94948534578</v>
      </c>
      <c r="AH17" s="1">
        <f t="shared" si="18"/>
        <v>29011.94948534578</v>
      </c>
      <c r="AI17" s="1">
        <f t="shared" si="18"/>
        <v>29011.94948534578</v>
      </c>
      <c r="AJ17" s="1">
        <f t="shared" si="18"/>
        <v>29011.94948534578</v>
      </c>
      <c r="AK17" s="1">
        <f t="shared" si="18"/>
        <v>29011.94948534578</v>
      </c>
      <c r="AL17" s="1">
        <f t="shared" si="18"/>
        <v>29011.94948534578</v>
      </c>
      <c r="AM17" s="1">
        <f t="shared" si="18"/>
        <v>29011.94948534578</v>
      </c>
      <c r="AN17" s="1">
        <f t="shared" si="18"/>
        <v>29011.94948534578</v>
      </c>
      <c r="AO17" s="1">
        <f t="shared" si="18"/>
        <v>29011.94948534578</v>
      </c>
      <c r="AP17" s="1">
        <f t="shared" si="18"/>
        <v>29011.94948534578</v>
      </c>
      <c r="AQ17" s="1">
        <f t="shared" si="18"/>
        <v>29011.94948534578</v>
      </c>
      <c r="AR17" s="1">
        <f t="shared" si="18"/>
        <v>29011.94948534578</v>
      </c>
      <c r="AS17" s="1">
        <f t="shared" si="18"/>
        <v>29011.94948534578</v>
      </c>
      <c r="AT17" s="1">
        <f t="shared" si="18"/>
        <v>29011.94948534578</v>
      </c>
      <c r="AU17" s="1">
        <f t="shared" si="18"/>
        <v>29011.94948534578</v>
      </c>
      <c r="AV17" s="1">
        <f t="shared" si="18"/>
        <v>29011.94948534578</v>
      </c>
      <c r="AW17" s="1">
        <f t="shared" si="18"/>
        <v>29011.94948534578</v>
      </c>
      <c r="AX17" s="1">
        <f t="shared" si="18"/>
        <v>29011.94948534578</v>
      </c>
      <c r="AY17" s="1">
        <f t="shared" si="18"/>
        <v>29011.94948534578</v>
      </c>
      <c r="AZ17" s="1">
        <f t="shared" si="18"/>
        <v>29011.94948534578</v>
      </c>
      <c r="BA17" s="1">
        <f t="shared" si="18"/>
        <v>29011.94948534578</v>
      </c>
      <c r="BB17" s="1">
        <f t="shared" si="18"/>
        <v>29011.94948534578</v>
      </c>
      <c r="BC17" s="1">
        <f t="shared" si="18"/>
        <v>29011.94948534578</v>
      </c>
      <c r="BD17" s="1">
        <f t="shared" si="18"/>
        <v>29011.94948534578</v>
      </c>
      <c r="BE17" s="1">
        <f t="shared" si="18"/>
        <v>29011.94948534578</v>
      </c>
      <c r="BF17" s="1">
        <f t="shared" si="18"/>
        <v>29011.94948534578</v>
      </c>
      <c r="BG17" s="1">
        <f t="shared" si="18"/>
        <v>29011.94948534578</v>
      </c>
      <c r="BH17" s="1">
        <f t="shared" si="18"/>
        <v>29011.94948534578</v>
      </c>
      <c r="BI17" s="1">
        <f t="shared" si="18"/>
        <v>29011.94948534578</v>
      </c>
      <c r="BJ17" s="1">
        <f t="shared" si="18"/>
        <v>29011.94948534578</v>
      </c>
      <c r="BK17" s="1">
        <f t="shared" si="18"/>
        <v>29011.94948534578</v>
      </c>
      <c r="BL17" s="1">
        <f t="shared" si="18"/>
        <v>29011.94948534578</v>
      </c>
      <c r="BM17" s="1">
        <f t="shared" si="18"/>
        <v>29011.94948534578</v>
      </c>
      <c r="BN17" s="1">
        <f t="shared" si="18"/>
        <v>29011.94948534578</v>
      </c>
      <c r="BO17" s="1">
        <f t="shared" si="18"/>
        <v>29011.94948534578</v>
      </c>
      <c r="BP17" s="1">
        <f t="shared" si="18"/>
        <v>29011.94948534578</v>
      </c>
      <c r="BQ17" s="1">
        <f t="shared" si="18"/>
        <v>29011.94948534578</v>
      </c>
      <c r="BR17" s="1">
        <f t="shared" si="18"/>
        <v>29011.94948534578</v>
      </c>
      <c r="BS17" s="1">
        <f t="shared" ref="BS17:ED17" si="19">IF(BS15="","",period_payment)</f>
        <v>29011.94948534578</v>
      </c>
      <c r="BT17" s="1">
        <f t="shared" si="19"/>
        <v>29011.94948534578</v>
      </c>
      <c r="BU17" s="1">
        <f t="shared" si="19"/>
        <v>29011.94948534578</v>
      </c>
      <c r="BV17" s="1">
        <f t="shared" si="19"/>
        <v>29011.94948534578</v>
      </c>
      <c r="BW17" s="1">
        <f t="shared" si="19"/>
        <v>29011.94948534578</v>
      </c>
      <c r="BX17" s="1">
        <f t="shared" si="19"/>
        <v>29011.94948534578</v>
      </c>
      <c r="BY17" s="1">
        <f t="shared" si="19"/>
        <v>29011.94948534578</v>
      </c>
      <c r="BZ17" s="1">
        <f t="shared" si="19"/>
        <v>29011.94948534578</v>
      </c>
      <c r="CA17" s="1">
        <f t="shared" si="19"/>
        <v>29011.94948534578</v>
      </c>
      <c r="CB17" s="1">
        <f t="shared" si="19"/>
        <v>29011.94948534578</v>
      </c>
      <c r="CC17" s="1">
        <f t="shared" si="19"/>
        <v>29011.94948534578</v>
      </c>
      <c r="CD17" s="1">
        <f t="shared" si="19"/>
        <v>29011.94948534578</v>
      </c>
      <c r="CE17" s="1">
        <f t="shared" si="19"/>
        <v>29011.94948534578</v>
      </c>
      <c r="CF17" s="1">
        <f t="shared" si="19"/>
        <v>29011.94948534578</v>
      </c>
      <c r="CG17" s="1">
        <f t="shared" si="19"/>
        <v>29011.94948534578</v>
      </c>
      <c r="CH17" s="1">
        <f t="shared" si="19"/>
        <v>29011.94948534578</v>
      </c>
      <c r="CI17" s="1">
        <f t="shared" si="19"/>
        <v>29011.94948534578</v>
      </c>
      <c r="CJ17" s="1">
        <f t="shared" si="19"/>
        <v>29011.94948534578</v>
      </c>
      <c r="CK17" s="1">
        <f t="shared" si="19"/>
        <v>29011.94948534578</v>
      </c>
      <c r="CL17" s="1">
        <f t="shared" si="19"/>
        <v>29011.94948534578</v>
      </c>
      <c r="CM17" s="1">
        <f t="shared" si="19"/>
        <v>29011.94948534578</v>
      </c>
      <c r="CN17" s="1">
        <f t="shared" si="19"/>
        <v>29011.94948534578</v>
      </c>
      <c r="CO17" s="1">
        <f t="shared" si="19"/>
        <v>29011.94948534578</v>
      </c>
      <c r="CP17" s="1">
        <f t="shared" si="19"/>
        <v>29011.94948534578</v>
      </c>
      <c r="CQ17" s="1">
        <f t="shared" si="19"/>
        <v>29011.94948534578</v>
      </c>
      <c r="CR17" s="1">
        <f t="shared" si="19"/>
        <v>29011.94948534578</v>
      </c>
      <c r="CS17" s="1">
        <f t="shared" si="19"/>
        <v>29011.94948534578</v>
      </c>
      <c r="CT17" s="1">
        <f t="shared" si="19"/>
        <v>29011.94948534578</v>
      </c>
      <c r="CU17" s="1">
        <f t="shared" si="19"/>
        <v>29011.94948534578</v>
      </c>
      <c r="CV17" s="1">
        <f t="shared" si="19"/>
        <v>29011.94948534578</v>
      </c>
      <c r="CW17" s="1">
        <f t="shared" si="19"/>
        <v>29011.94948534578</v>
      </c>
      <c r="CX17" s="1">
        <f t="shared" si="19"/>
        <v>29011.94948534578</v>
      </c>
      <c r="CY17" s="1">
        <f t="shared" si="19"/>
        <v>29011.94948534578</v>
      </c>
      <c r="CZ17" s="1">
        <f t="shared" si="19"/>
        <v>29011.94948534578</v>
      </c>
      <c r="DA17" s="1">
        <f t="shared" si="19"/>
        <v>29011.94948534578</v>
      </c>
      <c r="DB17" s="1">
        <f t="shared" si="19"/>
        <v>29011.94948534578</v>
      </c>
      <c r="DC17" s="1">
        <f t="shared" si="19"/>
        <v>29011.94948534578</v>
      </c>
      <c r="DD17" s="1">
        <f t="shared" si="19"/>
        <v>29011.94948534578</v>
      </c>
      <c r="DE17" s="1">
        <f t="shared" si="19"/>
        <v>29011.94948534578</v>
      </c>
      <c r="DF17" s="1">
        <f t="shared" si="19"/>
        <v>29011.94948534578</v>
      </c>
      <c r="DG17" s="1">
        <f t="shared" si="19"/>
        <v>29011.94948534578</v>
      </c>
      <c r="DH17" s="1">
        <f t="shared" si="19"/>
        <v>29011.94948534578</v>
      </c>
      <c r="DI17" s="1">
        <f t="shared" si="19"/>
        <v>29011.94948534578</v>
      </c>
      <c r="DJ17" s="1">
        <f t="shared" si="19"/>
        <v>29011.94948534578</v>
      </c>
      <c r="DK17" s="1">
        <f t="shared" si="19"/>
        <v>29011.94948534578</v>
      </c>
      <c r="DL17" s="1">
        <f t="shared" si="19"/>
        <v>29011.94948534578</v>
      </c>
      <c r="DM17" s="1">
        <f t="shared" si="19"/>
        <v>29011.94948534578</v>
      </c>
      <c r="DN17" s="1">
        <f t="shared" si="19"/>
        <v>29011.94948534578</v>
      </c>
      <c r="DO17" s="1">
        <f t="shared" si="19"/>
        <v>29011.94948534578</v>
      </c>
      <c r="DP17" s="1">
        <f t="shared" si="19"/>
        <v>29011.94948534578</v>
      </c>
      <c r="DQ17" s="1">
        <f t="shared" si="19"/>
        <v>29011.94948534578</v>
      </c>
      <c r="DR17" s="1">
        <f t="shared" si="19"/>
        <v>29011.94948534578</v>
      </c>
      <c r="DS17" s="1">
        <f t="shared" si="19"/>
        <v>29011.94948534578</v>
      </c>
      <c r="DT17" s="1">
        <f t="shared" si="19"/>
        <v>29011.94948534578</v>
      </c>
      <c r="DU17" s="1">
        <f t="shared" si="19"/>
        <v>29011.94948534578</v>
      </c>
      <c r="DV17" s="1">
        <f t="shared" si="19"/>
        <v>29011.94948534578</v>
      </c>
      <c r="DW17" s="1">
        <f t="shared" si="19"/>
        <v>29011.94948534578</v>
      </c>
      <c r="DX17" s="1">
        <f t="shared" si="19"/>
        <v>29011.94948534578</v>
      </c>
      <c r="DY17" s="1">
        <f t="shared" si="19"/>
        <v>29011.94948534578</v>
      </c>
      <c r="DZ17" s="1">
        <f t="shared" si="19"/>
        <v>29011.94948534578</v>
      </c>
      <c r="EA17" s="1">
        <f t="shared" si="19"/>
        <v>29011.94948534578</v>
      </c>
      <c r="EB17" s="1">
        <f t="shared" si="19"/>
        <v>29011.94948534578</v>
      </c>
      <c r="EC17" s="1">
        <f t="shared" si="19"/>
        <v>29011.94948534578</v>
      </c>
      <c r="ED17" s="1">
        <f t="shared" si="19"/>
        <v>29011.94948534578</v>
      </c>
      <c r="EE17" s="1">
        <f t="shared" ref="EE17:GP17" si="20">IF(EE15="","",period_payment)</f>
        <v>29011.94948534578</v>
      </c>
      <c r="EF17" s="1">
        <f t="shared" si="20"/>
        <v>29011.94948534578</v>
      </c>
      <c r="EG17" s="1">
        <f t="shared" si="20"/>
        <v>29011.94948534578</v>
      </c>
      <c r="EH17" s="1">
        <f t="shared" si="20"/>
        <v>29011.94948534578</v>
      </c>
      <c r="EI17" s="1">
        <f t="shared" si="20"/>
        <v>29011.94948534578</v>
      </c>
      <c r="EJ17" s="1">
        <f t="shared" si="20"/>
        <v>29011.94948534578</v>
      </c>
      <c r="EK17" s="1">
        <f t="shared" si="20"/>
        <v>29011.94948534578</v>
      </c>
      <c r="EL17" s="1">
        <f t="shared" si="20"/>
        <v>29011.94948534578</v>
      </c>
      <c r="EM17" s="1">
        <f t="shared" si="20"/>
        <v>29011.94948534578</v>
      </c>
      <c r="EN17" s="1">
        <f t="shared" si="20"/>
        <v>29011.94948534578</v>
      </c>
      <c r="EO17" s="1">
        <f t="shared" si="20"/>
        <v>29011.94948534578</v>
      </c>
      <c r="EP17" s="1">
        <f t="shared" si="20"/>
        <v>29011.94948534578</v>
      </c>
      <c r="EQ17" s="1">
        <f t="shared" si="20"/>
        <v>29011.94948534578</v>
      </c>
      <c r="ER17" s="1">
        <f t="shared" si="20"/>
        <v>29011.94948534578</v>
      </c>
      <c r="ES17" s="1">
        <f t="shared" si="20"/>
        <v>29011.94948534578</v>
      </c>
      <c r="ET17" s="1">
        <f t="shared" si="20"/>
        <v>29011.94948534578</v>
      </c>
      <c r="EU17" s="1">
        <f t="shared" si="20"/>
        <v>29011.94948534578</v>
      </c>
      <c r="EV17" s="1">
        <f t="shared" si="20"/>
        <v>29011.94948534578</v>
      </c>
      <c r="EW17" s="1">
        <f t="shared" si="20"/>
        <v>29011.94948534578</v>
      </c>
      <c r="EX17" s="1">
        <f t="shared" si="20"/>
        <v>29011.94948534578</v>
      </c>
      <c r="EY17" s="1">
        <f t="shared" si="20"/>
        <v>29011.94948534578</v>
      </c>
      <c r="EZ17" s="1">
        <f t="shared" si="20"/>
        <v>29011.94948534578</v>
      </c>
      <c r="FA17" s="1">
        <f t="shared" si="20"/>
        <v>29011.94948534578</v>
      </c>
      <c r="FB17" s="1">
        <f t="shared" si="20"/>
        <v>29011.94948534578</v>
      </c>
      <c r="FC17" s="1">
        <f t="shared" si="20"/>
        <v>29011.94948534578</v>
      </c>
      <c r="FD17" s="1">
        <f t="shared" si="20"/>
        <v>29011.94948534578</v>
      </c>
      <c r="FE17" s="1">
        <f t="shared" si="20"/>
        <v>29011.94948534578</v>
      </c>
      <c r="FF17" s="1">
        <f t="shared" si="20"/>
        <v>29011.94948534578</v>
      </c>
      <c r="FG17" s="1">
        <f t="shared" si="20"/>
        <v>29011.94948534578</v>
      </c>
      <c r="FH17" s="1">
        <f t="shared" si="20"/>
        <v>29011.94948534578</v>
      </c>
      <c r="FI17" s="1">
        <f t="shared" si="20"/>
        <v>29011.94948534578</v>
      </c>
      <c r="FJ17" s="1">
        <f t="shared" si="20"/>
        <v>29011.94948534578</v>
      </c>
      <c r="FK17" s="1">
        <f t="shared" si="20"/>
        <v>29011.94948534578</v>
      </c>
      <c r="FL17" s="1">
        <f t="shared" si="20"/>
        <v>29011.94948534578</v>
      </c>
      <c r="FM17" s="1">
        <f t="shared" si="20"/>
        <v>29011.94948534578</v>
      </c>
      <c r="FN17" s="1">
        <f t="shared" si="20"/>
        <v>29011.94948534578</v>
      </c>
      <c r="FO17" s="1">
        <f t="shared" si="20"/>
        <v>29011.94948534578</v>
      </c>
      <c r="FP17" s="1">
        <f t="shared" si="20"/>
        <v>29011.94948534578</v>
      </c>
      <c r="FQ17" s="1">
        <f t="shared" si="20"/>
        <v>29011.94948534578</v>
      </c>
      <c r="FR17" s="1">
        <f t="shared" si="20"/>
        <v>29011.94948534578</v>
      </c>
      <c r="FS17" s="1">
        <f t="shared" si="20"/>
        <v>29011.94948534578</v>
      </c>
      <c r="FT17" s="1">
        <f t="shared" si="20"/>
        <v>29011.94948534578</v>
      </c>
      <c r="FU17" s="1">
        <f t="shared" si="20"/>
        <v>29011.94948534578</v>
      </c>
      <c r="FV17" s="1">
        <f t="shared" si="20"/>
        <v>29011.94948534578</v>
      </c>
      <c r="FW17" s="1">
        <f t="shared" si="20"/>
        <v>29011.94948534578</v>
      </c>
      <c r="FX17" s="1">
        <f t="shared" si="20"/>
        <v>29011.94948534578</v>
      </c>
      <c r="FY17" s="1">
        <f t="shared" si="20"/>
        <v>29011.94948534578</v>
      </c>
      <c r="FZ17" s="1">
        <f t="shared" si="20"/>
        <v>29011.94948534578</v>
      </c>
      <c r="GA17" s="1">
        <f t="shared" si="20"/>
        <v>29011.94948534578</v>
      </c>
      <c r="GB17" s="1">
        <f t="shared" si="20"/>
        <v>29011.94948534578</v>
      </c>
      <c r="GC17" s="1">
        <f t="shared" si="20"/>
        <v>29011.94948534578</v>
      </c>
      <c r="GD17" s="1">
        <f t="shared" si="20"/>
        <v>29011.94948534578</v>
      </c>
      <c r="GE17" s="1">
        <f t="shared" si="20"/>
        <v>29011.94948534578</v>
      </c>
      <c r="GF17" s="1">
        <f t="shared" si="20"/>
        <v>29011.94948534578</v>
      </c>
      <c r="GG17" s="1">
        <f t="shared" si="20"/>
        <v>29011.94948534578</v>
      </c>
      <c r="GH17" s="1">
        <f t="shared" si="20"/>
        <v>29011.94948534578</v>
      </c>
      <c r="GI17" s="1">
        <f t="shared" si="20"/>
        <v>29011.94948534578</v>
      </c>
      <c r="GJ17" s="1">
        <f t="shared" si="20"/>
        <v>29011.94948534578</v>
      </c>
      <c r="GK17" s="1">
        <f t="shared" si="20"/>
        <v>29011.94948534578</v>
      </c>
      <c r="GL17" s="1">
        <f t="shared" si="20"/>
        <v>29011.94948534578</v>
      </c>
      <c r="GM17" s="1">
        <f t="shared" si="20"/>
        <v>29011.94948534578</v>
      </c>
      <c r="GN17" s="1">
        <f t="shared" si="20"/>
        <v>29011.94948534578</v>
      </c>
      <c r="GO17" s="1">
        <f t="shared" si="20"/>
        <v>29011.94948534578</v>
      </c>
      <c r="GP17" s="1">
        <f t="shared" si="20"/>
        <v>29011.94948534578</v>
      </c>
      <c r="GQ17" s="1">
        <f t="shared" ref="GQ17:JB17" si="21">IF(GQ15="","",period_payment)</f>
        <v>29011.94948534578</v>
      </c>
      <c r="GR17" s="1">
        <f t="shared" si="21"/>
        <v>29011.94948534578</v>
      </c>
      <c r="GS17" s="1">
        <f t="shared" si="21"/>
        <v>29011.94948534578</v>
      </c>
      <c r="GT17" s="1">
        <f t="shared" si="21"/>
        <v>29011.94948534578</v>
      </c>
      <c r="GU17" s="1">
        <f t="shared" si="21"/>
        <v>29011.94948534578</v>
      </c>
      <c r="GV17" s="1">
        <f t="shared" si="21"/>
        <v>29011.94948534578</v>
      </c>
      <c r="GW17" s="1">
        <f t="shared" si="21"/>
        <v>29011.94948534578</v>
      </c>
      <c r="GX17" s="1">
        <f t="shared" si="21"/>
        <v>29011.94948534578</v>
      </c>
      <c r="GY17" s="1">
        <f t="shared" si="21"/>
        <v>29011.94948534578</v>
      </c>
      <c r="GZ17" s="1">
        <f t="shared" si="21"/>
        <v>29011.94948534578</v>
      </c>
      <c r="HA17" s="1">
        <f t="shared" si="21"/>
        <v>29011.94948534578</v>
      </c>
      <c r="HB17" s="1">
        <f t="shared" si="21"/>
        <v>29011.94948534578</v>
      </c>
      <c r="HC17" s="1">
        <f t="shared" si="21"/>
        <v>29011.94948534578</v>
      </c>
      <c r="HD17" s="1">
        <f t="shared" si="21"/>
        <v>29011.94948534578</v>
      </c>
      <c r="HE17" s="1">
        <f t="shared" si="21"/>
        <v>29011.94948534578</v>
      </c>
      <c r="HF17" s="1">
        <f t="shared" si="21"/>
        <v>29011.94948534578</v>
      </c>
      <c r="HG17" s="1">
        <f t="shared" si="21"/>
        <v>29011.94948534578</v>
      </c>
      <c r="HH17" s="1">
        <f t="shared" si="21"/>
        <v>29011.94948534578</v>
      </c>
      <c r="HI17" s="1">
        <f t="shared" si="21"/>
        <v>29011.94948534578</v>
      </c>
      <c r="HJ17" s="1">
        <f t="shared" si="21"/>
        <v>29011.94948534578</v>
      </c>
      <c r="HK17" s="1">
        <f t="shared" si="21"/>
        <v>29011.94948534578</v>
      </c>
      <c r="HL17" s="1">
        <f t="shared" si="21"/>
        <v>29011.94948534578</v>
      </c>
      <c r="HM17" s="1">
        <f t="shared" si="21"/>
        <v>29011.94948534578</v>
      </c>
      <c r="HN17" s="1">
        <f t="shared" si="21"/>
        <v>29011.94948534578</v>
      </c>
      <c r="HO17" s="1">
        <f t="shared" si="21"/>
        <v>29011.94948534578</v>
      </c>
      <c r="HP17" s="1">
        <f t="shared" si="21"/>
        <v>29011.94948534578</v>
      </c>
      <c r="HQ17" s="1">
        <f t="shared" si="21"/>
        <v>29011.94948534578</v>
      </c>
      <c r="HR17" s="1">
        <f t="shared" si="21"/>
        <v>29011.94948534578</v>
      </c>
      <c r="HS17" s="1">
        <f t="shared" si="21"/>
        <v>29011.94948534578</v>
      </c>
      <c r="HT17" s="1">
        <f t="shared" si="21"/>
        <v>29011.94948534578</v>
      </c>
      <c r="HU17" s="1">
        <f t="shared" si="21"/>
        <v>29011.94948534578</v>
      </c>
      <c r="HV17" s="1">
        <f t="shared" si="21"/>
        <v>29011.94948534578</v>
      </c>
      <c r="HW17" s="1">
        <f t="shared" si="21"/>
        <v>29011.94948534578</v>
      </c>
      <c r="HX17" s="1">
        <f t="shared" si="21"/>
        <v>29011.94948534578</v>
      </c>
      <c r="HY17" s="1">
        <f t="shared" si="21"/>
        <v>29011.94948534578</v>
      </c>
      <c r="HZ17" s="1">
        <f t="shared" si="21"/>
        <v>29011.94948534578</v>
      </c>
      <c r="IA17" s="1">
        <f t="shared" si="21"/>
        <v>29011.94948534578</v>
      </c>
      <c r="IB17" s="1">
        <f t="shared" si="21"/>
        <v>29011.94948534578</v>
      </c>
      <c r="IC17" s="1">
        <f t="shared" si="21"/>
        <v>29011.94948534578</v>
      </c>
      <c r="ID17" s="1">
        <f t="shared" si="21"/>
        <v>29011.94948534578</v>
      </c>
      <c r="IE17" s="1">
        <f t="shared" si="21"/>
        <v>29011.94948534578</v>
      </c>
      <c r="IF17" s="1">
        <f t="shared" si="21"/>
        <v>29011.94948534578</v>
      </c>
      <c r="IG17" s="1">
        <f t="shared" si="21"/>
        <v>29011.94948534578</v>
      </c>
      <c r="IH17" s="1">
        <f t="shared" si="21"/>
        <v>29011.94948534578</v>
      </c>
      <c r="II17" s="1">
        <f t="shared" si="21"/>
        <v>29011.94948534578</v>
      </c>
      <c r="IJ17" s="1">
        <f t="shared" si="21"/>
        <v>29011.94948534578</v>
      </c>
      <c r="IK17" s="1">
        <f t="shared" si="21"/>
        <v>29011.94948534578</v>
      </c>
      <c r="IL17" s="1">
        <f t="shared" si="21"/>
        <v>29011.94948534578</v>
      </c>
      <c r="IM17" s="1">
        <f t="shared" si="21"/>
        <v>29011.94948534578</v>
      </c>
      <c r="IN17" s="1">
        <f t="shared" si="21"/>
        <v>29011.94948534578</v>
      </c>
      <c r="IO17" s="1">
        <f t="shared" si="21"/>
        <v>29011.94948534578</v>
      </c>
      <c r="IP17" s="1">
        <f t="shared" si="21"/>
        <v>29011.94948534578</v>
      </c>
      <c r="IQ17" s="1">
        <f t="shared" si="21"/>
        <v>29011.94948534578</v>
      </c>
      <c r="IR17" s="1">
        <f t="shared" si="21"/>
        <v>29011.94948534578</v>
      </c>
      <c r="IS17" s="1">
        <f t="shared" si="21"/>
        <v>29011.94948534578</v>
      </c>
      <c r="IT17" s="1">
        <f t="shared" si="21"/>
        <v>29011.94948534578</v>
      </c>
      <c r="IU17" s="1">
        <f t="shared" si="21"/>
        <v>29011.94948534578</v>
      </c>
      <c r="IV17" s="1">
        <f t="shared" si="21"/>
        <v>29011.94948534578</v>
      </c>
      <c r="IW17" s="1">
        <f t="shared" si="21"/>
        <v>29011.94948534578</v>
      </c>
      <c r="IX17" s="1">
        <f t="shared" si="21"/>
        <v>29011.94948534578</v>
      </c>
      <c r="IY17" s="1">
        <f t="shared" si="21"/>
        <v>29011.94948534578</v>
      </c>
      <c r="IZ17" s="1">
        <f t="shared" si="21"/>
        <v>29011.94948534578</v>
      </c>
      <c r="JA17" s="1">
        <f t="shared" si="21"/>
        <v>29011.94948534578</v>
      </c>
      <c r="JB17" s="1">
        <f t="shared" si="21"/>
        <v>29011.94948534578</v>
      </c>
      <c r="JC17" s="1">
        <f t="shared" ref="JC17:LN17" si="22">IF(JC15="","",period_payment)</f>
        <v>29011.94948534578</v>
      </c>
      <c r="JD17" s="1">
        <f t="shared" si="22"/>
        <v>29011.94948534578</v>
      </c>
      <c r="JE17" s="1">
        <f t="shared" si="22"/>
        <v>29011.94948534578</v>
      </c>
      <c r="JF17" s="1">
        <f t="shared" si="22"/>
        <v>29011.94948534578</v>
      </c>
      <c r="JG17" s="1">
        <f t="shared" si="22"/>
        <v>29011.94948534578</v>
      </c>
      <c r="JH17" s="1">
        <f t="shared" si="22"/>
        <v>29011.94948534578</v>
      </c>
      <c r="JI17" s="1">
        <f t="shared" si="22"/>
        <v>29011.94948534578</v>
      </c>
      <c r="JJ17" s="1">
        <f t="shared" si="22"/>
        <v>29011.94948534578</v>
      </c>
      <c r="JK17" s="1">
        <f t="shared" si="22"/>
        <v>29011.94948534578</v>
      </c>
      <c r="JL17" s="1">
        <f t="shared" si="22"/>
        <v>29011.94948534578</v>
      </c>
      <c r="JM17" s="1">
        <f t="shared" si="22"/>
        <v>29011.94948534578</v>
      </c>
      <c r="JN17" s="1">
        <f t="shared" si="22"/>
        <v>29011.94948534578</v>
      </c>
      <c r="JO17" s="1">
        <f t="shared" si="22"/>
        <v>29011.94948534578</v>
      </c>
      <c r="JP17" s="1">
        <f t="shared" si="22"/>
        <v>29011.94948534578</v>
      </c>
      <c r="JQ17" s="1">
        <f t="shared" si="22"/>
        <v>29011.94948534578</v>
      </c>
      <c r="JR17" s="1">
        <f t="shared" si="22"/>
        <v>29011.94948534578</v>
      </c>
      <c r="JS17" s="1">
        <f t="shared" si="22"/>
        <v>29011.94948534578</v>
      </c>
      <c r="JT17" s="1">
        <f t="shared" si="22"/>
        <v>29011.94948534578</v>
      </c>
      <c r="JU17" s="1">
        <f t="shared" si="22"/>
        <v>29011.94948534578</v>
      </c>
      <c r="JV17" s="1">
        <f t="shared" si="22"/>
        <v>29011.94948534578</v>
      </c>
      <c r="JW17" s="1">
        <f t="shared" si="22"/>
        <v>29011.94948534578</v>
      </c>
      <c r="JX17" s="1">
        <f t="shared" si="22"/>
        <v>29011.94948534578</v>
      </c>
      <c r="JY17" s="1">
        <f t="shared" si="22"/>
        <v>29011.94948534578</v>
      </c>
      <c r="JZ17" s="1">
        <f t="shared" si="22"/>
        <v>29011.94948534578</v>
      </c>
      <c r="KA17" s="1">
        <f t="shared" si="22"/>
        <v>29011.94948534578</v>
      </c>
      <c r="KB17" s="1">
        <f t="shared" si="22"/>
        <v>29011.94948534578</v>
      </c>
      <c r="KC17" s="1">
        <f t="shared" si="22"/>
        <v>29011.94948534578</v>
      </c>
      <c r="KD17" s="1">
        <f t="shared" si="22"/>
        <v>29011.94948534578</v>
      </c>
      <c r="KE17" s="1">
        <f t="shared" si="22"/>
        <v>29011.94948534578</v>
      </c>
      <c r="KF17" s="1">
        <f t="shared" si="22"/>
        <v>29011.94948534578</v>
      </c>
      <c r="KG17" s="1">
        <f t="shared" si="22"/>
        <v>29011.94948534578</v>
      </c>
      <c r="KH17" s="1">
        <f t="shared" si="22"/>
        <v>29011.94948534578</v>
      </c>
      <c r="KI17" s="1">
        <f t="shared" si="22"/>
        <v>29011.94948534578</v>
      </c>
      <c r="KJ17" s="1">
        <f t="shared" si="22"/>
        <v>29011.94948534578</v>
      </c>
      <c r="KK17" s="1">
        <f t="shared" si="22"/>
        <v>29011.94948534578</v>
      </c>
      <c r="KL17" s="1">
        <f t="shared" si="22"/>
        <v>29011.94948534578</v>
      </c>
      <c r="KM17" s="1">
        <f t="shared" si="22"/>
        <v>29011.94948534578</v>
      </c>
      <c r="KN17" s="1">
        <f t="shared" si="22"/>
        <v>29011.94948534578</v>
      </c>
      <c r="KO17" s="1">
        <f t="shared" si="22"/>
        <v>29011.94948534578</v>
      </c>
      <c r="KP17" s="1">
        <f t="shared" si="22"/>
        <v>29011.94948534578</v>
      </c>
      <c r="KQ17" s="1">
        <f t="shared" si="22"/>
        <v>29011.94948534578</v>
      </c>
      <c r="KR17" s="1">
        <f t="shared" si="22"/>
        <v>29011.94948534578</v>
      </c>
      <c r="KS17" s="1">
        <f t="shared" si="22"/>
        <v>29011.94948534578</v>
      </c>
      <c r="KT17" s="1" t="str">
        <f t="shared" si="22"/>
        <v/>
      </c>
      <c r="KU17" s="1" t="str">
        <f t="shared" si="22"/>
        <v/>
      </c>
      <c r="KV17" s="1" t="str">
        <f t="shared" si="22"/>
        <v/>
      </c>
      <c r="KW17" s="1" t="str">
        <f t="shared" si="22"/>
        <v/>
      </c>
      <c r="KX17" s="1" t="str">
        <f t="shared" si="22"/>
        <v/>
      </c>
      <c r="KY17" s="1" t="str">
        <f t="shared" si="22"/>
        <v/>
      </c>
      <c r="KZ17" s="1" t="str">
        <f t="shared" si="22"/>
        <v/>
      </c>
      <c r="LA17" s="1" t="str">
        <f t="shared" si="22"/>
        <v/>
      </c>
      <c r="LB17" s="1" t="str">
        <f t="shared" si="22"/>
        <v/>
      </c>
      <c r="LC17" s="1" t="str">
        <f t="shared" si="22"/>
        <v/>
      </c>
      <c r="LD17" s="1" t="str">
        <f t="shared" si="22"/>
        <v/>
      </c>
      <c r="LE17" s="1" t="str">
        <f t="shared" si="22"/>
        <v/>
      </c>
      <c r="LF17" s="1" t="str">
        <f t="shared" si="22"/>
        <v/>
      </c>
      <c r="LG17" s="1" t="str">
        <f t="shared" si="22"/>
        <v/>
      </c>
      <c r="LH17" s="1" t="str">
        <f t="shared" si="22"/>
        <v/>
      </c>
      <c r="LI17" s="1" t="str">
        <f t="shared" si="22"/>
        <v/>
      </c>
      <c r="LJ17" s="1" t="str">
        <f t="shared" si="22"/>
        <v/>
      </c>
      <c r="LK17" s="1" t="str">
        <f t="shared" si="22"/>
        <v/>
      </c>
      <c r="LL17" s="1" t="str">
        <f t="shared" si="22"/>
        <v/>
      </c>
      <c r="LM17" s="1" t="str">
        <f t="shared" si="22"/>
        <v/>
      </c>
      <c r="LN17" s="1" t="str">
        <f t="shared" si="22"/>
        <v/>
      </c>
      <c r="LO17" s="1" t="str">
        <f t="shared" ref="LO17:NA17" si="23">IF(LO15="","",period_payment)</f>
        <v/>
      </c>
      <c r="LP17" s="1" t="str">
        <f t="shared" si="23"/>
        <v/>
      </c>
      <c r="LQ17" s="1" t="str">
        <f t="shared" si="23"/>
        <v/>
      </c>
      <c r="LR17" s="1" t="str">
        <f t="shared" si="23"/>
        <v/>
      </c>
      <c r="LS17" s="1" t="str">
        <f t="shared" si="23"/>
        <v/>
      </c>
      <c r="LT17" s="1" t="str">
        <f t="shared" si="23"/>
        <v/>
      </c>
      <c r="LU17" s="1" t="str">
        <f t="shared" si="23"/>
        <v/>
      </c>
      <c r="LV17" s="1" t="str">
        <f t="shared" si="23"/>
        <v/>
      </c>
      <c r="LW17" s="1" t="str">
        <f t="shared" si="23"/>
        <v/>
      </c>
      <c r="LX17" s="1" t="str">
        <f t="shared" si="23"/>
        <v/>
      </c>
      <c r="LY17" s="1" t="str">
        <f t="shared" si="23"/>
        <v/>
      </c>
      <c r="LZ17" s="1" t="str">
        <f t="shared" si="23"/>
        <v/>
      </c>
      <c r="MA17" s="1" t="str">
        <f t="shared" si="23"/>
        <v/>
      </c>
      <c r="MB17" s="1" t="str">
        <f t="shared" si="23"/>
        <v/>
      </c>
      <c r="MC17" s="1" t="str">
        <f t="shared" si="23"/>
        <v/>
      </c>
      <c r="MD17" s="1" t="str">
        <f t="shared" si="23"/>
        <v/>
      </c>
      <c r="ME17" s="1" t="str">
        <f t="shared" si="23"/>
        <v/>
      </c>
      <c r="MF17" s="1" t="str">
        <f t="shared" si="23"/>
        <v/>
      </c>
      <c r="MG17" s="1" t="str">
        <f t="shared" si="23"/>
        <v/>
      </c>
      <c r="MH17" s="1" t="str">
        <f t="shared" si="23"/>
        <v/>
      </c>
      <c r="MI17" s="1" t="str">
        <f t="shared" si="23"/>
        <v/>
      </c>
      <c r="MJ17" s="1" t="str">
        <f t="shared" si="23"/>
        <v/>
      </c>
      <c r="MK17" s="1" t="str">
        <f t="shared" si="23"/>
        <v/>
      </c>
      <c r="ML17" s="1" t="str">
        <f t="shared" si="23"/>
        <v/>
      </c>
      <c r="MM17" s="1" t="str">
        <f t="shared" si="23"/>
        <v/>
      </c>
      <c r="MN17" s="1" t="str">
        <f t="shared" si="23"/>
        <v/>
      </c>
      <c r="MO17" s="1" t="str">
        <f t="shared" si="23"/>
        <v/>
      </c>
      <c r="MP17" s="1" t="str">
        <f t="shared" si="23"/>
        <v/>
      </c>
      <c r="MQ17" s="1" t="str">
        <f t="shared" si="23"/>
        <v/>
      </c>
      <c r="MR17" s="1" t="str">
        <f t="shared" si="23"/>
        <v/>
      </c>
      <c r="MS17" s="1" t="str">
        <f t="shared" si="23"/>
        <v/>
      </c>
      <c r="MT17" s="1" t="str">
        <f t="shared" si="23"/>
        <v/>
      </c>
      <c r="MU17" s="1" t="str">
        <f t="shared" si="23"/>
        <v/>
      </c>
      <c r="MV17" s="1" t="str">
        <f t="shared" si="23"/>
        <v/>
      </c>
      <c r="MW17" s="1" t="str">
        <f t="shared" si="23"/>
        <v/>
      </c>
      <c r="MX17" s="1" t="str">
        <f t="shared" si="23"/>
        <v/>
      </c>
      <c r="MY17" s="1" t="str">
        <f t="shared" si="23"/>
        <v/>
      </c>
      <c r="MZ17" s="1" t="str">
        <f t="shared" si="23"/>
        <v/>
      </c>
      <c r="NA17" s="1" t="str">
        <f t="shared" si="23"/>
        <v/>
      </c>
    </row>
    <row r="18" spans="1:365" x14ac:dyDescent="0.15">
      <c r="B18" t="s">
        <v>90</v>
      </c>
      <c r="F18" s="1">
        <f>F$16*$H$5</f>
        <v>21653.5</v>
      </c>
      <c r="G18" s="1">
        <f>IF(G$16="","",G$16*$H$5)</f>
        <v>21619.773773192166</v>
      </c>
      <c r="H18" s="1">
        <f t="shared" ref="H18:BS18" si="24">IF(H$16="","",H$16*$H$5)</f>
        <v>21585.892967844797</v>
      </c>
      <c r="I18" s="1">
        <f t="shared" si="24"/>
        <v>21551.856875472913</v>
      </c>
      <c r="J18" s="1">
        <f t="shared" si="24"/>
        <v>21517.664784344332</v>
      </c>
      <c r="K18" s="1">
        <f t="shared" si="24"/>
        <v>21483.31597946474</v>
      </c>
      <c r="L18" s="1">
        <f t="shared" si="24"/>
        <v>21448.809742562786</v>
      </c>
      <c r="M18" s="1">
        <f t="shared" si="24"/>
        <v>21414.145352075029</v>
      </c>
      <c r="N18" s="1">
        <f t="shared" si="24"/>
        <v>21379.322083130868</v>
      </c>
      <c r="O18" s="1">
        <f t="shared" si="24"/>
        <v>21344.339207537381</v>
      </c>
      <c r="P18" s="1">
        <f t="shared" si="24"/>
        <v>21309.195993764097</v>
      </c>
      <c r="Q18" s="1">
        <f t="shared" si="24"/>
        <v>21273.891706927679</v>
      </c>
      <c r="R18" s="1">
        <f t="shared" si="24"/>
        <v>21238.425608776597</v>
      </c>
      <c r="S18" s="1">
        <f t="shared" si="24"/>
        <v>21202.796957675655</v>
      </c>
      <c r="T18" s="1">
        <f t="shared" si="24"/>
        <v>21167.005008590499</v>
      </c>
      <c r="U18" s="1">
        <f t="shared" si="24"/>
        <v>21131.049013072039</v>
      </c>
      <c r="V18" s="1">
        <f t="shared" si="24"/>
        <v>21094.928219240781</v>
      </c>
      <c r="W18" s="1">
        <f t="shared" si="24"/>
        <v>21058.641871771135</v>
      </c>
      <c r="X18" s="1">
        <f t="shared" si="24"/>
        <v>21022.189211875582</v>
      </c>
      <c r="Y18" s="1">
        <f t="shared" si="24"/>
        <v>20985.569477288842</v>
      </c>
      <c r="Z18" s="1">
        <f t="shared" si="24"/>
        <v>20948.781902251918</v>
      </c>
      <c r="AA18" s="1">
        <f t="shared" si="24"/>
        <v>20911.825717496071</v>
      </c>
      <c r="AB18" s="1">
        <f t="shared" si="24"/>
        <v>20874.700150226756</v>
      </c>
      <c r="AC18" s="1">
        <f t="shared" si="24"/>
        <v>20837.404424107463</v>
      </c>
      <c r="AD18" s="1">
        <f t="shared" si="24"/>
        <v>20799.937759243454</v>
      </c>
      <c r="AE18" s="1">
        <f t="shared" si="24"/>
        <v>20762.299372165486</v>
      </c>
      <c r="AF18" s="1">
        <f t="shared" si="24"/>
        <v>20724.488475813407</v>
      </c>
      <c r="AG18" s="1">
        <f t="shared" si="24"/>
        <v>20686.504279519719</v>
      </c>
      <c r="AH18" s="1">
        <f t="shared" si="24"/>
        <v>20648.345988993016</v>
      </c>
      <c r="AI18" s="1">
        <f t="shared" si="24"/>
        <v>20610.012806301394</v>
      </c>
      <c r="AJ18" s="1">
        <f t="shared" si="24"/>
        <v>20571.503929855775</v>
      </c>
      <c r="AK18" s="1">
        <f t="shared" si="24"/>
        <v>20532.81855439311</v>
      </c>
      <c r="AL18" s="1">
        <f t="shared" si="24"/>
        <v>20493.955870959577</v>
      </c>
      <c r="AM18" s="1">
        <f t="shared" si="24"/>
        <v>20454.915066893642</v>
      </c>
      <c r="AN18" s="1">
        <f t="shared" si="24"/>
        <v>20415.695325809069</v>
      </c>
      <c r="AO18" s="1">
        <f t="shared" si="24"/>
        <v>20376.295827577855</v>
      </c>
      <c r="AP18" s="1">
        <f t="shared" si="24"/>
        <v>20336.715748313087</v>
      </c>
      <c r="AQ18" s="1">
        <f t="shared" si="24"/>
        <v>20296.954260351686</v>
      </c>
      <c r="AR18" s="1">
        <f t="shared" si="24"/>
        <v>20257.010532237131</v>
      </c>
      <c r="AS18" s="1">
        <f t="shared" si="24"/>
        <v>20216.883728702047</v>
      </c>
      <c r="AT18" s="1">
        <f t="shared" si="24"/>
        <v>20176.573010650762</v>
      </c>
      <c r="AU18" s="1">
        <f t="shared" si="24"/>
        <v>20136.077535141743</v>
      </c>
      <c r="AV18" s="1">
        <f t="shared" si="24"/>
        <v>20095.39645536997</v>
      </c>
      <c r="AW18" s="1">
        <f t="shared" si="24"/>
        <v>20054.528920649249</v>
      </c>
      <c r="AX18" s="1">
        <f t="shared" si="24"/>
        <v>20013.474076394392</v>
      </c>
      <c r="AY18" s="1">
        <f t="shared" si="24"/>
        <v>19972.231064103362</v>
      </c>
      <c r="AZ18" s="1">
        <f t="shared" si="24"/>
        <v>19930.799021339335</v>
      </c>
      <c r="BA18" s="1">
        <f t="shared" si="24"/>
        <v>19889.177081712638</v>
      </c>
      <c r="BB18" s="1">
        <f t="shared" si="24"/>
        <v>19847.364374862653</v>
      </c>
      <c r="BC18" s="1">
        <f t="shared" si="24"/>
        <v>19805.360026439608</v>
      </c>
      <c r="BD18" s="1">
        <f t="shared" si="24"/>
        <v>19763.163158086289</v>
      </c>
      <c r="BE18" s="1">
        <f t="shared" si="24"/>
        <v>19720.77288741968</v>
      </c>
      <c r="BF18" s="1">
        <f t="shared" si="24"/>
        <v>19678.188328012522</v>
      </c>
      <c r="BG18" s="1">
        <f t="shared" si="24"/>
        <v>19635.408589374743</v>
      </c>
      <c r="BH18" s="1">
        <f t="shared" si="24"/>
        <v>19592.432776934875</v>
      </c>
      <c r="BI18" s="1">
        <f t="shared" si="24"/>
        <v>19549.259992021325</v>
      </c>
      <c r="BJ18" s="1">
        <f t="shared" si="24"/>
        <v>19505.889331843584</v>
      </c>
      <c r="BK18" s="1">
        <f t="shared" si="24"/>
        <v>19462.319889473369</v>
      </c>
      <c r="BL18" s="1">
        <f t="shared" si="24"/>
        <v>19418.550753825621</v>
      </c>
      <c r="BM18" s="1">
        <f t="shared" si="24"/>
        <v>19374.581009639485</v>
      </c>
      <c r="BN18" s="1">
        <f t="shared" si="24"/>
        <v>19330.409737459166</v>
      </c>
      <c r="BO18" s="1">
        <f t="shared" si="24"/>
        <v>19286.036013614685</v>
      </c>
      <c r="BP18" s="1">
        <f t="shared" si="24"/>
        <v>19241.458910202586</v>
      </c>
      <c r="BQ18" s="1">
        <f t="shared" si="24"/>
        <v>19196.677495066513</v>
      </c>
      <c r="BR18" s="1">
        <f t="shared" si="24"/>
        <v>19151.690831777731</v>
      </c>
      <c r="BS18" s="1">
        <f t="shared" si="24"/>
        <v>19106.497979615546</v>
      </c>
      <c r="BT18" s="1">
        <f t="shared" ref="BT18:EE18" si="25">IF(BT$16="","",BT$16*$H$5)</f>
        <v>19061.097993547613</v>
      </c>
      <c r="BU18" s="1">
        <f t="shared" si="25"/>
        <v>19015.489924210204</v>
      </c>
      <c r="BV18" s="1">
        <f t="shared" si="25"/>
        <v>18969.672817888335</v>
      </c>
      <c r="BW18" s="1">
        <f t="shared" si="25"/>
        <v>18923.645716495819</v>
      </c>
      <c r="BX18" s="1">
        <f t="shared" si="25"/>
        <v>18877.407657555257</v>
      </c>
      <c r="BY18" s="1">
        <f t="shared" si="25"/>
        <v>18830.957674177884</v>
      </c>
      <c r="BZ18" s="1">
        <f t="shared" si="25"/>
        <v>18784.294795043366</v>
      </c>
      <c r="CA18" s="1">
        <f t="shared" si="25"/>
        <v>18737.418044379479</v>
      </c>
      <c r="CB18" s="1">
        <f t="shared" si="25"/>
        <v>18690.326441941717</v>
      </c>
      <c r="CC18" s="1">
        <f t="shared" si="25"/>
        <v>18643.019002992783</v>
      </c>
      <c r="CD18" s="1">
        <f t="shared" si="25"/>
        <v>18595.494738281999</v>
      </c>
      <c r="CE18" s="1">
        <f t="shared" si="25"/>
        <v>18547.752654024622</v>
      </c>
      <c r="CF18" s="1">
        <f t="shared" si="25"/>
        <v>18499.791751881068</v>
      </c>
      <c r="CG18" s="1">
        <f t="shared" si="25"/>
        <v>18451.611028936019</v>
      </c>
      <c r="CH18" s="1">
        <f t="shared" si="25"/>
        <v>18403.209477677476</v>
      </c>
      <c r="CI18" s="1">
        <f t="shared" si="25"/>
        <v>18354.586085975661</v>
      </c>
      <c r="CJ18" s="1">
        <f t="shared" si="25"/>
        <v>18305.739837061883</v>
      </c>
      <c r="CK18" s="1">
        <f t="shared" si="25"/>
        <v>18256.669709507245</v>
      </c>
      <c r="CL18" s="1">
        <f t="shared" si="25"/>
        <v>18207.374677201322</v>
      </c>
      <c r="CM18" s="1">
        <f t="shared" si="25"/>
        <v>18157.853709330659</v>
      </c>
      <c r="CN18" s="1">
        <f t="shared" si="25"/>
        <v>18108.105770357255</v>
      </c>
      <c r="CO18" s="1">
        <f t="shared" si="25"/>
        <v>18058.129819996895</v>
      </c>
      <c r="CP18" s="1">
        <f t="shared" si="25"/>
        <v>18007.924813197376</v>
      </c>
      <c r="CQ18" s="1">
        <f t="shared" si="25"/>
        <v>17957.489700116697</v>
      </c>
      <c r="CR18" s="1">
        <f t="shared" si="25"/>
        <v>17906.823426101062</v>
      </c>
      <c r="CS18" s="1">
        <f t="shared" si="25"/>
        <v>17855.924931662859</v>
      </c>
      <c r="CT18" s="1">
        <f t="shared" si="25"/>
        <v>17804.793152458478</v>
      </c>
      <c r="CU18" s="1">
        <f t="shared" si="25"/>
        <v>17753.427019266077</v>
      </c>
      <c r="CV18" s="1">
        <f t="shared" si="25"/>
        <v>17701.825457963212</v>
      </c>
      <c r="CW18" s="1">
        <f t="shared" si="25"/>
        <v>17649.987389504375</v>
      </c>
      <c r="CX18" s="1">
        <f t="shared" si="25"/>
        <v>17597.911729898435</v>
      </c>
      <c r="CY18" s="1">
        <f t="shared" si="25"/>
        <v>17545.597390185969</v>
      </c>
      <c r="CZ18" s="1">
        <f t="shared" si="25"/>
        <v>17493.043276416487</v>
      </c>
      <c r="DA18" s="1">
        <f t="shared" si="25"/>
        <v>17440.248289625561</v>
      </c>
      <c r="DB18" s="1">
        <f t="shared" si="25"/>
        <v>17387.211325811844</v>
      </c>
      <c r="DC18" s="1">
        <f t="shared" si="25"/>
        <v>17333.931275913979</v>
      </c>
      <c r="DD18" s="1">
        <f t="shared" si="25"/>
        <v>17280.407025787415</v>
      </c>
      <c r="DE18" s="1">
        <f t="shared" si="25"/>
        <v>17226.63745618111</v>
      </c>
      <c r="DF18" s="1">
        <f t="shared" si="25"/>
        <v>17172.621442714102</v>
      </c>
      <c r="DG18" s="1">
        <f t="shared" si="25"/>
        <v>17118.357855852042</v>
      </c>
      <c r="DH18" s="1">
        <f t="shared" si="25"/>
        <v>17063.845560883532</v>
      </c>
      <c r="DI18" s="1">
        <f t="shared" si="25"/>
        <v>17009.083417896411</v>
      </c>
      <c r="DJ18" s="1">
        <f t="shared" si="25"/>
        <v>16954.070281753935</v>
      </c>
      <c r="DK18" s="1">
        <f t="shared" si="25"/>
        <v>16898.805002070807</v>
      </c>
      <c r="DL18" s="1">
        <f t="shared" si="25"/>
        <v>16843.286423189129</v>
      </c>
      <c r="DM18" s="1">
        <f t="shared" si="25"/>
        <v>16787.513384154245</v>
      </c>
      <c r="DN18" s="1">
        <f t="shared" si="25"/>
        <v>16731.484718690448</v>
      </c>
      <c r="DO18" s="1">
        <f t="shared" si="25"/>
        <v>16675.199255176612</v>
      </c>
      <c r="DP18" s="1">
        <f t="shared" si="25"/>
        <v>16618.655816621671</v>
      </c>
      <c r="DQ18" s="1">
        <f t="shared" si="25"/>
        <v>16561.85322064002</v>
      </c>
      <c r="DR18" s="1">
        <f t="shared" si="25"/>
        <v>16504.790279426783</v>
      </c>
      <c r="DS18" s="1">
        <f t="shared" si="25"/>
        <v>16447.465799732985</v>
      </c>
      <c r="DT18" s="1">
        <f t="shared" si="25"/>
        <v>16389.878582840596</v>
      </c>
      <c r="DU18" s="1">
        <f t="shared" si="25"/>
        <v>16332.027424537448</v>
      </c>
      <c r="DV18" s="1">
        <f t="shared" si="25"/>
        <v>16273.911115092076</v>
      </c>
      <c r="DW18" s="1">
        <f t="shared" si="25"/>
        <v>16215.528439228414</v>
      </c>
      <c r="DX18" s="1">
        <f t="shared" si="25"/>
        <v>16156.878176100377</v>
      </c>
      <c r="DY18" s="1">
        <f t="shared" si="25"/>
        <v>16097.959099266336</v>
      </c>
      <c r="DZ18" s="1">
        <f t="shared" si="25"/>
        <v>16038.769976663472</v>
      </c>
      <c r="EA18" s="1">
        <f t="shared" si="25"/>
        <v>15979.309570582011</v>
      </c>
      <c r="EB18" s="1">
        <f t="shared" si="25"/>
        <v>15919.576637639344</v>
      </c>
      <c r="EC18" s="1">
        <f t="shared" si="25"/>
        <v>15859.569928754023</v>
      </c>
      <c r="ED18" s="1">
        <f t="shared" si="25"/>
        <v>15799.288189119645</v>
      </c>
      <c r="EE18" s="1">
        <f t="shared" si="25"/>
        <v>15738.730158178609</v>
      </c>
      <c r="EF18" s="1">
        <f t="shared" ref="EF18:GQ18" si="26">IF(EF$16="","",EF$16*$H$5)</f>
        <v>15677.894569595759</v>
      </c>
      <c r="EG18" s="1">
        <f t="shared" si="26"/>
        <v>15616.780151231906</v>
      </c>
      <c r="EH18" s="1">
        <f t="shared" si="26"/>
        <v>15555.385625117215</v>
      </c>
      <c r="EI18" s="1">
        <f t="shared" si="26"/>
        <v>15493.709707424501</v>
      </c>
      <c r="EJ18" s="1">
        <f t="shared" si="26"/>
        <v>15431.751108442362</v>
      </c>
      <c r="EK18" s="1">
        <f t="shared" si="26"/>
        <v>15369.508532548221</v>
      </c>
      <c r="EL18" s="1">
        <f t="shared" si="26"/>
        <v>15306.980678181233</v>
      </c>
      <c r="EM18" s="1">
        <f t="shared" si="26"/>
        <v>15244.166237815061</v>
      </c>
      <c r="EN18" s="1">
        <f t="shared" si="26"/>
        <v>15181.063897930546</v>
      </c>
      <c r="EO18" s="1">
        <f t="shared" si="26"/>
        <v>15117.672338988226</v>
      </c>
      <c r="EP18" s="1">
        <f t="shared" si="26"/>
        <v>15053.990235400754</v>
      </c>
      <c r="EQ18" s="1">
        <f t="shared" si="26"/>
        <v>14990.016255505172</v>
      </c>
      <c r="ER18" s="1">
        <f t="shared" si="26"/>
        <v>14925.749061535069</v>
      </c>
      <c r="ES18" s="1">
        <f t="shared" si="26"/>
        <v>14861.187309592604</v>
      </c>
      <c r="ET18" s="1">
        <f t="shared" si="26"/>
        <v>14796.329649620402</v>
      </c>
      <c r="EU18" s="1">
        <f t="shared" si="26"/>
        <v>14731.174725373327</v>
      </c>
      <c r="EV18" s="1">
        <f t="shared" si="26"/>
        <v>14665.721174390119</v>
      </c>
      <c r="EW18" s="1">
        <f t="shared" si="26"/>
        <v>14599.967627964905</v>
      </c>
      <c r="EX18" s="1">
        <f t="shared" si="26"/>
        <v>14533.912711118577</v>
      </c>
      <c r="EY18" s="1">
        <f t="shared" si="26"/>
        <v>14467.555042570035</v>
      </c>
      <c r="EZ18" s="1">
        <f t="shared" si="26"/>
        <v>14400.893234707311</v>
      </c>
      <c r="FA18" s="1">
        <f t="shared" si="26"/>
        <v>14333.925893558553</v>
      </c>
      <c r="FB18" s="1">
        <f t="shared" si="26"/>
        <v>14266.651618762862</v>
      </c>
      <c r="FC18" s="1">
        <f t="shared" si="26"/>
        <v>14199.069003541024</v>
      </c>
      <c r="FD18" s="1">
        <f t="shared" si="26"/>
        <v>14131.176634666086</v>
      </c>
      <c r="FE18" s="1">
        <f t="shared" si="26"/>
        <v>14062.973092433804</v>
      </c>
      <c r="FF18" s="1">
        <f t="shared" si="26"/>
        <v>13994.456950632959</v>
      </c>
      <c r="FG18" s="1">
        <f t="shared" si="26"/>
        <v>13925.626776515524</v>
      </c>
      <c r="FH18" s="1">
        <f t="shared" si="26"/>
        <v>13856.481130766719</v>
      </c>
      <c r="FI18" s="1">
        <f t="shared" si="26"/>
        <v>13787.018567474897</v>
      </c>
      <c r="FJ18" s="1">
        <f t="shared" si="26"/>
        <v>13717.237634101324</v>
      </c>
      <c r="FK18" s="1">
        <f t="shared" si="26"/>
        <v>13647.136871449788</v>
      </c>
      <c r="FL18" s="1">
        <f t="shared" si="26"/>
        <v>13576.714813636097</v>
      </c>
      <c r="FM18" s="1">
        <f t="shared" si="26"/>
        <v>13505.969988057428</v>
      </c>
      <c r="FN18" s="1">
        <f t="shared" si="26"/>
        <v>13434.900915361522</v>
      </c>
      <c r="FO18" s="1">
        <f t="shared" si="26"/>
        <v>13363.506109415763</v>
      </c>
      <c r="FP18" s="1">
        <f t="shared" si="26"/>
        <v>13291.784077276083</v>
      </c>
      <c r="FQ18" s="1">
        <f t="shared" si="26"/>
        <v>13219.733319155763</v>
      </c>
      <c r="FR18" s="1">
        <f t="shared" si="26"/>
        <v>13147.352328394059</v>
      </c>
      <c r="FS18" s="1">
        <f t="shared" si="26"/>
        <v>13074.639591424697</v>
      </c>
      <c r="FT18" s="1">
        <f t="shared" si="26"/>
        <v>13001.593587744226</v>
      </c>
      <c r="FU18" s="1">
        <f t="shared" si="26"/>
        <v>12928.212789880217</v>
      </c>
      <c r="FV18" s="1">
        <f t="shared" si="26"/>
        <v>12854.495663359334</v>
      </c>
      <c r="FW18" s="1">
        <f t="shared" si="26"/>
        <v>12780.440666675229</v>
      </c>
      <c r="FX18" s="1">
        <f t="shared" si="26"/>
        <v>12706.046251256323</v>
      </c>
      <c r="FY18" s="1">
        <f t="shared" si="26"/>
        <v>12631.310861433412</v>
      </c>
      <c r="FZ18" s="1">
        <f t="shared" si="26"/>
        <v>12556.232934407148</v>
      </c>
      <c r="GA18" s="1">
        <f t="shared" si="26"/>
        <v>12480.810900215345</v>
      </c>
      <c r="GB18" s="1">
        <f t="shared" si="26"/>
        <v>12405.043181700164</v>
      </c>
      <c r="GC18" s="1">
        <f t="shared" si="26"/>
        <v>12328.928194475122</v>
      </c>
      <c r="GD18" s="1">
        <f t="shared" si="26"/>
        <v>12252.464346891964</v>
      </c>
      <c r="GE18" s="1">
        <f t="shared" si="26"/>
        <v>12175.650040007384</v>
      </c>
      <c r="GF18" s="1">
        <f t="shared" si="26"/>
        <v>12098.483667549583</v>
      </c>
      <c r="GG18" s="1">
        <f t="shared" si="26"/>
        <v>12020.963615884684</v>
      </c>
      <c r="GH18" s="1">
        <f t="shared" si="26"/>
        <v>11943.088263982987</v>
      </c>
      <c r="GI18" s="1">
        <f t="shared" si="26"/>
        <v>11864.855983385074</v>
      </c>
      <c r="GJ18" s="1">
        <f t="shared" si="26"/>
        <v>11786.265138167753</v>
      </c>
      <c r="GK18" s="1">
        <f t="shared" si="26"/>
        <v>11707.314084909855</v>
      </c>
      <c r="GL18" s="1">
        <f t="shared" si="26"/>
        <v>11628.001172657856</v>
      </c>
      <c r="GM18" s="1">
        <f t="shared" si="26"/>
        <v>11548.324742891369</v>
      </c>
      <c r="GN18" s="1">
        <f t="shared" si="26"/>
        <v>11468.283129488453</v>
      </c>
      <c r="GO18" s="1">
        <f t="shared" si="26"/>
        <v>11387.874658690775</v>
      </c>
      <c r="GP18" s="1">
        <f t="shared" si="26"/>
        <v>11307.097649068606</v>
      </c>
      <c r="GQ18" s="1">
        <f t="shared" si="26"/>
        <v>11225.950411485668</v>
      </c>
      <c r="GR18" s="1">
        <f t="shared" ref="GR18:JC18" si="27">IF(GR$16="","",GR$16*$H$5)</f>
        <v>11144.431249063809</v>
      </c>
      <c r="GS18" s="1">
        <f t="shared" si="27"/>
        <v>11062.538457147517</v>
      </c>
      <c r="GT18" s="1">
        <f t="shared" si="27"/>
        <v>10980.270323268274</v>
      </c>
      <c r="GU18" s="1">
        <f t="shared" si="27"/>
        <v>10897.625127108753</v>
      </c>
      <c r="GV18" s="1">
        <f t="shared" si="27"/>
        <v>10814.601140466833</v>
      </c>
      <c r="GW18" s="1">
        <f t="shared" si="27"/>
        <v>10731.196627219471</v>
      </c>
      <c r="GX18" s="1">
        <f t="shared" si="27"/>
        <v>10647.409843286392</v>
      </c>
      <c r="GY18" s="1">
        <f t="shared" si="27"/>
        <v>10563.239036593621</v>
      </c>
      <c r="GZ18" s="1">
        <f t="shared" si="27"/>
        <v>10478.682447036839</v>
      </c>
      <c r="HA18" s="1">
        <f t="shared" si="27"/>
        <v>10393.738306444589</v>
      </c>
      <c r="HB18" s="1">
        <f t="shared" si="27"/>
        <v>10308.404838541293</v>
      </c>
      <c r="HC18" s="1">
        <f t="shared" si="27"/>
        <v>10222.680258910104</v>
      </c>
      <c r="HD18" s="1">
        <f t="shared" si="27"/>
        <v>10136.56277495561</v>
      </c>
      <c r="HE18" s="1">
        <f t="shared" si="27"/>
        <v>10050.050585866322</v>
      </c>
      <c r="HF18" s="1">
        <f t="shared" si="27"/>
        <v>9963.1418825770415</v>
      </c>
      <c r="HG18" s="1">
        <f t="shared" si="27"/>
        <v>9875.8348477310174</v>
      </c>
      <c r="HH18" s="1">
        <f t="shared" si="27"/>
        <v>9788.1276556419507</v>
      </c>
      <c r="HI18" s="1">
        <f t="shared" si="27"/>
        <v>9700.0184722558079</v>
      </c>
      <c r="HJ18" s="1">
        <f t="shared" si="27"/>
        <v>9611.5054551124795</v>
      </c>
      <c r="HK18" s="1">
        <f t="shared" si="27"/>
        <v>9522.5867533072433</v>
      </c>
      <c r="HL18" s="1">
        <f t="shared" si="27"/>
        <v>9433.260507452067</v>
      </c>
      <c r="HM18" s="1">
        <f t="shared" si="27"/>
        <v>9343.5248496367203</v>
      </c>
      <c r="HN18" s="1">
        <f t="shared" si="27"/>
        <v>9253.3779033897208</v>
      </c>
      <c r="HO18" s="1">
        <f t="shared" si="27"/>
        <v>9162.8177836390896</v>
      </c>
      <c r="HP18" s="1">
        <f t="shared" si="27"/>
        <v>9071.8425966729337</v>
      </c>
      <c r="HQ18" s="1">
        <f t="shared" si="27"/>
        <v>8980.4504400998503</v>
      </c>
      <c r="HR18" s="1">
        <f t="shared" si="27"/>
        <v>8888.6394028091399</v>
      </c>
      <c r="HS18" s="1">
        <f t="shared" si="27"/>
        <v>8796.407564930847</v>
      </c>
      <c r="HT18" s="1">
        <f t="shared" si="27"/>
        <v>8703.7529977956128</v>
      </c>
      <c r="HU18" s="1">
        <f t="shared" si="27"/>
        <v>8610.6737638943414</v>
      </c>
      <c r="HV18" s="1">
        <f t="shared" si="27"/>
        <v>8517.1679168376886</v>
      </c>
      <c r="HW18" s="1">
        <f t="shared" si="27"/>
        <v>8423.2335013153588</v>
      </c>
      <c r="HX18" s="1">
        <f t="shared" si="27"/>
        <v>8328.8685530552193</v>
      </c>
      <c r="HY18" s="1">
        <f t="shared" si="27"/>
        <v>8234.0710987822222</v>
      </c>
      <c r="HZ18" s="1">
        <f t="shared" si="27"/>
        <v>8138.8391561771386</v>
      </c>
      <c r="IA18" s="1">
        <f t="shared" si="27"/>
        <v>8043.1707338351152</v>
      </c>
      <c r="IB18" s="1">
        <f t="shared" si="27"/>
        <v>7947.0638312240253</v>
      </c>
      <c r="IC18" s="1">
        <f t="shared" si="27"/>
        <v>7850.5164386426331</v>
      </c>
      <c r="ID18" s="1">
        <f t="shared" si="27"/>
        <v>7753.5265371785763</v>
      </c>
      <c r="IE18" s="1">
        <f t="shared" si="27"/>
        <v>7656.092098666144</v>
      </c>
      <c r="IF18" s="1">
        <f t="shared" si="27"/>
        <v>7558.2110856438621</v>
      </c>
      <c r="IG18" s="1">
        <f t="shared" si="27"/>
        <v>7459.881451311895</v>
      </c>
      <c r="IH18" s="1">
        <f t="shared" si="27"/>
        <v>7361.1011394892394</v>
      </c>
      <c r="II18" s="1">
        <f t="shared" si="27"/>
        <v>7261.8680845707295</v>
      </c>
      <c r="IJ18" s="1">
        <f t="shared" si="27"/>
        <v>7162.1802114838438</v>
      </c>
      <c r="IK18" s="1">
        <f t="shared" si="27"/>
        <v>7062.035435645309</v>
      </c>
      <c r="IL18" s="1">
        <f t="shared" si="27"/>
        <v>6961.4316629175164</v>
      </c>
      <c r="IM18" s="1">
        <f t="shared" si="27"/>
        <v>6860.3667895647195</v>
      </c>
      <c r="IN18" s="1">
        <f t="shared" si="27"/>
        <v>6758.8387022090565</v>
      </c>
      <c r="IO18" s="1">
        <f t="shared" si="27"/>
        <v>6656.8452777863467</v>
      </c>
      <c r="IP18" s="1">
        <f t="shared" si="27"/>
        <v>6554.3843835016987</v>
      </c>
      <c r="IQ18" s="1">
        <f t="shared" si="27"/>
        <v>6451.4538767849135</v>
      </c>
      <c r="IR18" s="1">
        <f t="shared" si="27"/>
        <v>6348.051605245676</v>
      </c>
      <c r="IS18" s="1">
        <f t="shared" si="27"/>
        <v>6244.1754066285503</v>
      </c>
      <c r="IT18" s="1">
        <f t="shared" si="27"/>
        <v>6139.8231087677632</v>
      </c>
      <c r="IU18" s="1">
        <f t="shared" si="27"/>
        <v>6034.9925295417797</v>
      </c>
      <c r="IV18" s="1">
        <f t="shared" si="27"/>
        <v>5929.6814768276781</v>
      </c>
      <c r="IW18" s="1">
        <f t="shared" si="27"/>
        <v>5823.8877484553041</v>
      </c>
      <c r="IX18" s="1">
        <f t="shared" si="27"/>
        <v>5717.6091321612221</v>
      </c>
      <c r="IY18" s="1">
        <f t="shared" si="27"/>
        <v>5610.8434055424586</v>
      </c>
      <c r="IZ18" s="1">
        <f t="shared" si="27"/>
        <v>5503.588336010027</v>
      </c>
      <c r="JA18" s="1">
        <f t="shared" si="27"/>
        <v>5395.8416807422382</v>
      </c>
      <c r="JB18" s="1">
        <f t="shared" si="27"/>
        <v>5287.6011866378049</v>
      </c>
      <c r="JC18" s="1">
        <f t="shared" si="27"/>
        <v>5178.8645902687267</v>
      </c>
      <c r="JD18" s="1">
        <f t="shared" ref="JD18:LO18" si="28">IF(JD$16="","",JD$16*$H$5)</f>
        <v>5069.6296178329567</v>
      </c>
      <c r="JE18" s="1">
        <f t="shared" si="28"/>
        <v>4959.8939851068553</v>
      </c>
      <c r="JF18" s="1">
        <f t="shared" si="28"/>
        <v>4849.6553973974269</v>
      </c>
      <c r="JG18" s="1">
        <f t="shared" si="28"/>
        <v>4738.9115494943308</v>
      </c>
      <c r="JH18" s="1">
        <f t="shared" si="28"/>
        <v>4627.6601256216782</v>
      </c>
      <c r="JI18" s="1">
        <f t="shared" si="28"/>
        <v>4515.8987993896089</v>
      </c>
      <c r="JJ18" s="1">
        <f t="shared" si="28"/>
        <v>4403.6252337456435</v>
      </c>
      <c r="JK18" s="1">
        <f t="shared" si="28"/>
        <v>4290.8370809258086</v>
      </c>
      <c r="JL18" s="1">
        <f t="shared" si="28"/>
        <v>4177.5319824055514</v>
      </c>
      <c r="JM18" s="1">
        <f t="shared" si="28"/>
        <v>4063.7075688504078</v>
      </c>
      <c r="JN18" s="1">
        <f t="shared" si="28"/>
        <v>3949.361460066471</v>
      </c>
      <c r="JO18" s="1">
        <f t="shared" si="28"/>
        <v>3834.4912649506073</v>
      </c>
      <c r="JP18" s="1">
        <f t="shared" si="28"/>
        <v>3719.0945814404627</v>
      </c>
      <c r="JQ18" s="1">
        <f t="shared" si="28"/>
        <v>3603.1689964642301</v>
      </c>
      <c r="JR18" s="1">
        <f t="shared" si="28"/>
        <v>3486.7120858901899</v>
      </c>
      <c r="JS18" s="1">
        <f t="shared" si="28"/>
        <v>3369.7214144760183</v>
      </c>
      <c r="JT18" s="1">
        <f t="shared" si="28"/>
        <v>3252.194535817865</v>
      </c>
      <c r="JU18" s="1">
        <f t="shared" si="28"/>
        <v>3134.1289922991955</v>
      </c>
      <c r="JV18" s="1">
        <f t="shared" si="28"/>
        <v>3015.5223150393986</v>
      </c>
      <c r="JW18" s="1">
        <f t="shared" si="28"/>
        <v>2896.3720238421615</v>
      </c>
      <c r="JX18" s="1">
        <f t="shared" si="28"/>
        <v>2776.6756271436034</v>
      </c>
      <c r="JY18" s="1">
        <f t="shared" si="28"/>
        <v>2656.4306219601767</v>
      </c>
      <c r="JZ18" s="1">
        <f t="shared" si="28"/>
        <v>2535.6344938363259</v>
      </c>
      <c r="KA18" s="1">
        <f t="shared" si="28"/>
        <v>2414.2847167919076</v>
      </c>
      <c r="KB18" s="1">
        <f t="shared" si="28"/>
        <v>2292.3787532693691</v>
      </c>
      <c r="KC18" s="1">
        <f t="shared" si="28"/>
        <v>2169.9140540806857</v>
      </c>
      <c r="KD18" s="1">
        <f t="shared" si="28"/>
        <v>2046.888058354054</v>
      </c>
      <c r="KE18" s="1">
        <f t="shared" si="28"/>
        <v>1923.298193480342</v>
      </c>
      <c r="KF18" s="1">
        <f t="shared" si="28"/>
        <v>1799.141875059292</v>
      </c>
      <c r="KG18" s="1">
        <f t="shared" si="28"/>
        <v>1674.416506845479</v>
      </c>
      <c r="KH18" s="1">
        <f t="shared" si="28"/>
        <v>1549.1194806940193</v>
      </c>
      <c r="KI18" s="1">
        <f t="shared" si="28"/>
        <v>1423.2481765060322</v>
      </c>
      <c r="KJ18" s="1">
        <f t="shared" si="28"/>
        <v>1296.7999621738502</v>
      </c>
      <c r="KK18" s="1">
        <f t="shared" si="28"/>
        <v>1169.7721935259788</v>
      </c>
      <c r="KL18" s="1">
        <f t="shared" si="28"/>
        <v>1042.1622142718047</v>
      </c>
      <c r="KM18" s="1">
        <f t="shared" si="28"/>
        <v>913.96735594604888</v>
      </c>
      <c r="KN18" s="1">
        <f t="shared" si="28"/>
        <v>785.18493785296687</v>
      </c>
      <c r="KO18" s="1">
        <f t="shared" si="28"/>
        <v>655.81226701029141</v>
      </c>
      <c r="KP18" s="1">
        <f t="shared" si="28"/>
        <v>525.84663809292044</v>
      </c>
      <c r="KQ18" s="1">
        <f t="shared" si="28"/>
        <v>395.28533337634491</v>
      </c>
      <c r="KR18" s="1">
        <f t="shared" si="28"/>
        <v>264.12562267981826</v>
      </c>
      <c r="KS18" s="1">
        <f t="shared" si="28"/>
        <v>132.36476330926595</v>
      </c>
      <c r="KT18" s="1" t="str">
        <f t="shared" si="28"/>
        <v/>
      </c>
      <c r="KU18" s="1" t="str">
        <f t="shared" si="28"/>
        <v/>
      </c>
      <c r="KV18" s="1" t="str">
        <f t="shared" si="28"/>
        <v/>
      </c>
      <c r="KW18" s="1" t="str">
        <f t="shared" si="28"/>
        <v/>
      </c>
      <c r="KX18" s="1" t="str">
        <f t="shared" si="28"/>
        <v/>
      </c>
      <c r="KY18" s="1" t="str">
        <f t="shared" si="28"/>
        <v/>
      </c>
      <c r="KZ18" s="1" t="str">
        <f t="shared" si="28"/>
        <v/>
      </c>
      <c r="LA18" s="1" t="str">
        <f t="shared" si="28"/>
        <v/>
      </c>
      <c r="LB18" s="1" t="str">
        <f t="shared" si="28"/>
        <v/>
      </c>
      <c r="LC18" s="1" t="str">
        <f t="shared" si="28"/>
        <v/>
      </c>
      <c r="LD18" s="1" t="str">
        <f t="shared" si="28"/>
        <v/>
      </c>
      <c r="LE18" s="1" t="str">
        <f t="shared" si="28"/>
        <v/>
      </c>
      <c r="LF18" s="1" t="str">
        <f t="shared" si="28"/>
        <v/>
      </c>
      <c r="LG18" s="1" t="str">
        <f t="shared" si="28"/>
        <v/>
      </c>
      <c r="LH18" s="1" t="str">
        <f t="shared" si="28"/>
        <v/>
      </c>
      <c r="LI18" s="1" t="str">
        <f t="shared" si="28"/>
        <v/>
      </c>
      <c r="LJ18" s="1" t="str">
        <f t="shared" si="28"/>
        <v/>
      </c>
      <c r="LK18" s="1" t="str">
        <f t="shared" si="28"/>
        <v/>
      </c>
      <c r="LL18" s="1" t="str">
        <f t="shared" si="28"/>
        <v/>
      </c>
      <c r="LM18" s="1" t="str">
        <f t="shared" si="28"/>
        <v/>
      </c>
      <c r="LN18" s="1" t="str">
        <f t="shared" si="28"/>
        <v/>
      </c>
      <c r="LO18" s="1" t="str">
        <f t="shared" si="28"/>
        <v/>
      </c>
      <c r="LP18" s="1" t="str">
        <f t="shared" ref="LP18:NA18" si="29">IF(LP$16="","",LP$16*$H$5)</f>
        <v/>
      </c>
      <c r="LQ18" s="1" t="str">
        <f t="shared" si="29"/>
        <v/>
      </c>
      <c r="LR18" s="1" t="str">
        <f t="shared" si="29"/>
        <v/>
      </c>
      <c r="LS18" s="1" t="str">
        <f t="shared" si="29"/>
        <v/>
      </c>
      <c r="LT18" s="1" t="str">
        <f t="shared" si="29"/>
        <v/>
      </c>
      <c r="LU18" s="1" t="str">
        <f t="shared" si="29"/>
        <v/>
      </c>
      <c r="LV18" s="1" t="str">
        <f t="shared" si="29"/>
        <v/>
      </c>
      <c r="LW18" s="1" t="str">
        <f t="shared" si="29"/>
        <v/>
      </c>
      <c r="LX18" s="1" t="str">
        <f t="shared" si="29"/>
        <v/>
      </c>
      <c r="LY18" s="1" t="str">
        <f t="shared" si="29"/>
        <v/>
      </c>
      <c r="LZ18" s="1" t="str">
        <f t="shared" si="29"/>
        <v/>
      </c>
      <c r="MA18" s="1" t="str">
        <f t="shared" si="29"/>
        <v/>
      </c>
      <c r="MB18" s="1" t="str">
        <f t="shared" si="29"/>
        <v/>
      </c>
      <c r="MC18" s="1" t="str">
        <f t="shared" si="29"/>
        <v/>
      </c>
      <c r="MD18" s="1" t="str">
        <f t="shared" si="29"/>
        <v/>
      </c>
      <c r="ME18" s="1" t="str">
        <f t="shared" si="29"/>
        <v/>
      </c>
      <c r="MF18" s="1" t="str">
        <f t="shared" si="29"/>
        <v/>
      </c>
      <c r="MG18" s="1" t="str">
        <f t="shared" si="29"/>
        <v/>
      </c>
      <c r="MH18" s="1" t="str">
        <f t="shared" si="29"/>
        <v/>
      </c>
      <c r="MI18" s="1" t="str">
        <f t="shared" si="29"/>
        <v/>
      </c>
      <c r="MJ18" s="1" t="str">
        <f t="shared" si="29"/>
        <v/>
      </c>
      <c r="MK18" s="1" t="str">
        <f t="shared" si="29"/>
        <v/>
      </c>
      <c r="ML18" s="1" t="str">
        <f t="shared" si="29"/>
        <v/>
      </c>
      <c r="MM18" s="1" t="str">
        <f t="shared" si="29"/>
        <v/>
      </c>
      <c r="MN18" s="1" t="str">
        <f t="shared" si="29"/>
        <v/>
      </c>
      <c r="MO18" s="1" t="str">
        <f t="shared" si="29"/>
        <v/>
      </c>
      <c r="MP18" s="1" t="str">
        <f t="shared" si="29"/>
        <v/>
      </c>
      <c r="MQ18" s="1" t="str">
        <f t="shared" si="29"/>
        <v/>
      </c>
      <c r="MR18" s="1" t="str">
        <f t="shared" si="29"/>
        <v/>
      </c>
      <c r="MS18" s="1" t="str">
        <f t="shared" si="29"/>
        <v/>
      </c>
      <c r="MT18" s="1" t="str">
        <f t="shared" si="29"/>
        <v/>
      </c>
      <c r="MU18" s="1" t="str">
        <f t="shared" si="29"/>
        <v/>
      </c>
      <c r="MV18" s="1" t="str">
        <f t="shared" si="29"/>
        <v/>
      </c>
      <c r="MW18" s="1" t="str">
        <f t="shared" si="29"/>
        <v/>
      </c>
      <c r="MX18" s="1" t="str">
        <f t="shared" si="29"/>
        <v/>
      </c>
      <c r="MY18" s="1" t="str">
        <f t="shared" si="29"/>
        <v/>
      </c>
      <c r="MZ18" s="1" t="str">
        <f t="shared" si="29"/>
        <v/>
      </c>
      <c r="NA18" s="1" t="str">
        <f t="shared" si="29"/>
        <v/>
      </c>
    </row>
    <row r="19" spans="1:365" x14ac:dyDescent="0.15">
      <c r="B19" t="s">
        <v>68</v>
      </c>
      <c r="F19" s="40">
        <f>IF(AND($D$9,F$14&lt;=$H$6),F17-F18,IF($D$9,principal,F17-F18))</f>
        <v>7358.44948534578</v>
      </c>
      <c r="G19" s="40">
        <f t="shared" ref="G19:BR19" si="30">IF(AND($D$9,G$14=$H$6),IF(G$16="","",principal),IF(AND(G$16="",$D$9),IF(R$16="","",principal),IF(G$16="","",G17-G18)))</f>
        <v>7392.1757121536139</v>
      </c>
      <c r="H19" s="40">
        <f t="shared" si="30"/>
        <v>7426.0565175009833</v>
      </c>
      <c r="I19" s="40">
        <f t="shared" si="30"/>
        <v>7460.0926098728669</v>
      </c>
      <c r="J19" s="40">
        <f t="shared" si="30"/>
        <v>7494.2847010014484</v>
      </c>
      <c r="K19" s="40">
        <f t="shared" si="30"/>
        <v>7528.63350588104</v>
      </c>
      <c r="L19" s="40">
        <f t="shared" si="30"/>
        <v>7563.1397427829943</v>
      </c>
      <c r="M19" s="40">
        <f t="shared" si="30"/>
        <v>7597.8041332707508</v>
      </c>
      <c r="N19" s="40">
        <f t="shared" si="30"/>
        <v>7632.6274022149119</v>
      </c>
      <c r="O19" s="40">
        <f t="shared" si="30"/>
        <v>7667.6102778083987</v>
      </c>
      <c r="P19" s="40">
        <f t="shared" si="30"/>
        <v>7702.7534915816832</v>
      </c>
      <c r="Q19" s="40">
        <f t="shared" si="30"/>
        <v>7738.0577784181005</v>
      </c>
      <c r="R19" s="40">
        <f t="shared" si="30"/>
        <v>7773.5238765691829</v>
      </c>
      <c r="S19" s="40">
        <f t="shared" si="30"/>
        <v>7809.152527670125</v>
      </c>
      <c r="T19" s="40">
        <f t="shared" si="30"/>
        <v>7844.9444767552814</v>
      </c>
      <c r="U19" s="40">
        <f t="shared" si="30"/>
        <v>7880.9004722737409</v>
      </c>
      <c r="V19" s="40">
        <f t="shared" si="30"/>
        <v>7917.0212661049991</v>
      </c>
      <c r="W19" s="40">
        <f t="shared" si="30"/>
        <v>7953.3076135746451</v>
      </c>
      <c r="X19" s="40">
        <f t="shared" si="30"/>
        <v>7989.7602734701977</v>
      </c>
      <c r="Y19" s="40">
        <f t="shared" si="30"/>
        <v>8026.3800080569381</v>
      </c>
      <c r="Z19" s="40">
        <f t="shared" si="30"/>
        <v>8063.167583093862</v>
      </c>
      <c r="AA19" s="40">
        <f t="shared" si="30"/>
        <v>8100.1237678497091</v>
      </c>
      <c r="AB19" s="40">
        <f t="shared" si="30"/>
        <v>8137.2493351190242</v>
      </c>
      <c r="AC19" s="40">
        <f t="shared" si="30"/>
        <v>8174.5450612383174</v>
      </c>
      <c r="AD19" s="40">
        <f t="shared" si="30"/>
        <v>8212.0117261023261</v>
      </c>
      <c r="AE19" s="40">
        <f t="shared" si="30"/>
        <v>8249.6501131802943</v>
      </c>
      <c r="AF19" s="40">
        <f t="shared" si="30"/>
        <v>8287.4610095323733</v>
      </c>
      <c r="AG19" s="40">
        <f t="shared" si="30"/>
        <v>8325.4452058260613</v>
      </c>
      <c r="AH19" s="40">
        <f t="shared" si="30"/>
        <v>8363.6034963527636</v>
      </c>
      <c r="AI19" s="40">
        <f t="shared" si="30"/>
        <v>8401.9366790443855</v>
      </c>
      <c r="AJ19" s="40">
        <f t="shared" si="30"/>
        <v>8440.4455554900051</v>
      </c>
      <c r="AK19" s="40">
        <f t="shared" si="30"/>
        <v>8479.1309309526696</v>
      </c>
      <c r="AL19" s="40">
        <f t="shared" si="30"/>
        <v>8517.9936143862033</v>
      </c>
      <c r="AM19" s="40">
        <f t="shared" si="30"/>
        <v>8557.0344184521382</v>
      </c>
      <c r="AN19" s="40">
        <f t="shared" si="30"/>
        <v>8596.2541595367111</v>
      </c>
      <c r="AO19" s="40">
        <f t="shared" si="30"/>
        <v>8635.6536577679253</v>
      </c>
      <c r="AP19" s="40">
        <f t="shared" si="30"/>
        <v>8675.2337370326932</v>
      </c>
      <c r="AQ19" s="40">
        <f t="shared" si="30"/>
        <v>8714.9952249940943</v>
      </c>
      <c r="AR19" s="40">
        <f t="shared" si="30"/>
        <v>8754.938953108649</v>
      </c>
      <c r="AS19" s="40">
        <f t="shared" si="30"/>
        <v>8795.065756643733</v>
      </c>
      <c r="AT19" s="40">
        <f t="shared" si="30"/>
        <v>8835.3764746950183</v>
      </c>
      <c r="AU19" s="40">
        <f t="shared" si="30"/>
        <v>8875.8719502040367</v>
      </c>
      <c r="AV19" s="40">
        <f t="shared" si="30"/>
        <v>8916.5530299758102</v>
      </c>
      <c r="AW19" s="40">
        <f t="shared" si="30"/>
        <v>8957.4205646965311</v>
      </c>
      <c r="AX19" s="40">
        <f t="shared" si="30"/>
        <v>8998.4754089513881</v>
      </c>
      <c r="AY19" s="40">
        <f t="shared" si="30"/>
        <v>9039.7184212424181</v>
      </c>
      <c r="AZ19" s="40">
        <f t="shared" si="30"/>
        <v>9081.150464006445</v>
      </c>
      <c r="BA19" s="40">
        <f t="shared" si="30"/>
        <v>9122.7724036331419</v>
      </c>
      <c r="BB19" s="40">
        <f t="shared" si="30"/>
        <v>9164.5851104831272</v>
      </c>
      <c r="BC19" s="40">
        <f t="shared" si="30"/>
        <v>9206.5894589061718</v>
      </c>
      <c r="BD19" s="40">
        <f t="shared" si="30"/>
        <v>9248.7863272594914</v>
      </c>
      <c r="BE19" s="40">
        <f t="shared" si="30"/>
        <v>9291.1765979260999</v>
      </c>
      <c r="BF19" s="40">
        <f t="shared" si="30"/>
        <v>9333.7611573332579</v>
      </c>
      <c r="BG19" s="40">
        <f t="shared" si="30"/>
        <v>9376.5408959710367</v>
      </c>
      <c r="BH19" s="40">
        <f t="shared" si="30"/>
        <v>9419.5167084109053</v>
      </c>
      <c r="BI19" s="40">
        <f t="shared" si="30"/>
        <v>9462.6894933244548</v>
      </c>
      <c r="BJ19" s="40">
        <f t="shared" si="30"/>
        <v>9506.060153502196</v>
      </c>
      <c r="BK19" s="40">
        <f t="shared" si="30"/>
        <v>9549.6295958724113</v>
      </c>
      <c r="BL19" s="40">
        <f t="shared" si="30"/>
        <v>9593.3987315201593</v>
      </c>
      <c r="BM19" s="40">
        <f t="shared" si="30"/>
        <v>9637.3684757062947</v>
      </c>
      <c r="BN19" s="40">
        <f t="shared" si="30"/>
        <v>9681.5397478866144</v>
      </c>
      <c r="BO19" s="40">
        <f t="shared" si="30"/>
        <v>9725.9134717310953</v>
      </c>
      <c r="BP19" s="40">
        <f t="shared" si="30"/>
        <v>9770.4905751431943</v>
      </c>
      <c r="BQ19" s="40">
        <f t="shared" si="30"/>
        <v>9815.2719902792669</v>
      </c>
      <c r="BR19" s="40">
        <f t="shared" si="30"/>
        <v>9860.2586535680493</v>
      </c>
      <c r="BS19" s="40">
        <f t="shared" ref="BS19:ED19" si="31">IF(AND($D$9,BS$14=$H$6),IF(BS$16="","",principal),IF(AND(BS$16="",$D$9),IF(CD$16="","",principal),IF(BS$16="","",BS17-BS18)))</f>
        <v>9905.4515057302342</v>
      </c>
      <c r="BT19" s="40">
        <f t="shared" si="31"/>
        <v>9950.8514917981665</v>
      </c>
      <c r="BU19" s="40">
        <f t="shared" si="31"/>
        <v>9996.4595611355762</v>
      </c>
      <c r="BV19" s="40">
        <f t="shared" si="31"/>
        <v>10042.276667457445</v>
      </c>
      <c r="BW19" s="40">
        <f t="shared" si="31"/>
        <v>10088.303768849961</v>
      </c>
      <c r="BX19" s="40">
        <f t="shared" si="31"/>
        <v>10134.541827790523</v>
      </c>
      <c r="BY19" s="40">
        <f t="shared" si="31"/>
        <v>10180.991811167896</v>
      </c>
      <c r="BZ19" s="40">
        <f t="shared" si="31"/>
        <v>10227.654690302414</v>
      </c>
      <c r="CA19" s="40">
        <f t="shared" si="31"/>
        <v>10274.531440966301</v>
      </c>
      <c r="CB19" s="40">
        <f t="shared" si="31"/>
        <v>10321.623043404063</v>
      </c>
      <c r="CC19" s="40">
        <f t="shared" si="31"/>
        <v>10368.930482352996</v>
      </c>
      <c r="CD19" s="40">
        <f t="shared" si="31"/>
        <v>10416.454747063781</v>
      </c>
      <c r="CE19" s="40">
        <f t="shared" si="31"/>
        <v>10464.196831321158</v>
      </c>
      <c r="CF19" s="40">
        <f t="shared" si="31"/>
        <v>10512.157733464712</v>
      </c>
      <c r="CG19" s="40">
        <f t="shared" si="31"/>
        <v>10560.338456409761</v>
      </c>
      <c r="CH19" s="40">
        <f t="shared" si="31"/>
        <v>10608.740007668304</v>
      </c>
      <c r="CI19" s="40">
        <f t="shared" si="31"/>
        <v>10657.363399370119</v>
      </c>
      <c r="CJ19" s="40">
        <f t="shared" si="31"/>
        <v>10706.209648283897</v>
      </c>
      <c r="CK19" s="40">
        <f t="shared" si="31"/>
        <v>10755.279775838535</v>
      </c>
      <c r="CL19" s="40">
        <f t="shared" si="31"/>
        <v>10804.574808144458</v>
      </c>
      <c r="CM19" s="40">
        <f t="shared" si="31"/>
        <v>10854.095776015121</v>
      </c>
      <c r="CN19" s="40">
        <f t="shared" si="31"/>
        <v>10903.843714988525</v>
      </c>
      <c r="CO19" s="40">
        <f t="shared" si="31"/>
        <v>10953.819665348885</v>
      </c>
      <c r="CP19" s="40">
        <f t="shared" si="31"/>
        <v>11004.024672148404</v>
      </c>
      <c r="CQ19" s="40">
        <f t="shared" si="31"/>
        <v>11054.459785229083</v>
      </c>
      <c r="CR19" s="40">
        <f t="shared" si="31"/>
        <v>11105.126059244718</v>
      </c>
      <c r="CS19" s="40">
        <f t="shared" si="31"/>
        <v>11156.024553682921</v>
      </c>
      <c r="CT19" s="40">
        <f t="shared" si="31"/>
        <v>11207.156332887302</v>
      </c>
      <c r="CU19" s="40">
        <f t="shared" si="31"/>
        <v>11258.522466079703</v>
      </c>
      <c r="CV19" s="40">
        <f t="shared" si="31"/>
        <v>11310.124027382568</v>
      </c>
      <c r="CW19" s="40">
        <f t="shared" si="31"/>
        <v>11361.962095841405</v>
      </c>
      <c r="CX19" s="40">
        <f t="shared" si="31"/>
        <v>11414.037755447345</v>
      </c>
      <c r="CY19" s="40">
        <f t="shared" si="31"/>
        <v>11466.352095159811</v>
      </c>
      <c r="CZ19" s="40">
        <f t="shared" si="31"/>
        <v>11518.906208929293</v>
      </c>
      <c r="DA19" s="40">
        <f t="shared" si="31"/>
        <v>11571.701195720219</v>
      </c>
      <c r="DB19" s="40">
        <f t="shared" si="31"/>
        <v>11624.738159533936</v>
      </c>
      <c r="DC19" s="40">
        <f t="shared" si="31"/>
        <v>11678.018209431801</v>
      </c>
      <c r="DD19" s="40">
        <f t="shared" si="31"/>
        <v>11731.542459558364</v>
      </c>
      <c r="DE19" s="40">
        <f t="shared" si="31"/>
        <v>11785.31202916467</v>
      </c>
      <c r="DF19" s="40">
        <f t="shared" si="31"/>
        <v>11839.328042631678</v>
      </c>
      <c r="DG19" s="40">
        <f t="shared" si="31"/>
        <v>11893.591629493738</v>
      </c>
      <c r="DH19" s="40">
        <f t="shared" si="31"/>
        <v>11948.103924462248</v>
      </c>
      <c r="DI19" s="40">
        <f t="shared" si="31"/>
        <v>12002.866067449369</v>
      </c>
      <c r="DJ19" s="40">
        <f t="shared" si="31"/>
        <v>12057.879203591845</v>
      </c>
      <c r="DK19" s="40">
        <f t="shared" si="31"/>
        <v>12113.144483274973</v>
      </c>
      <c r="DL19" s="40">
        <f t="shared" si="31"/>
        <v>12168.663062156651</v>
      </c>
      <c r="DM19" s="40">
        <f t="shared" si="31"/>
        <v>12224.436101191535</v>
      </c>
      <c r="DN19" s="40">
        <f t="shared" si="31"/>
        <v>12280.464766655332</v>
      </c>
      <c r="DO19" s="40">
        <f t="shared" si="31"/>
        <v>12336.750230169167</v>
      </c>
      <c r="DP19" s="40">
        <f t="shared" si="31"/>
        <v>12393.293668724109</v>
      </c>
      <c r="DQ19" s="40">
        <f t="shared" si="31"/>
        <v>12450.09626470576</v>
      </c>
      <c r="DR19" s="40">
        <f t="shared" si="31"/>
        <v>12507.159205918997</v>
      </c>
      <c r="DS19" s="40">
        <f t="shared" si="31"/>
        <v>12564.483685612795</v>
      </c>
      <c r="DT19" s="40">
        <f t="shared" si="31"/>
        <v>12622.070902505184</v>
      </c>
      <c r="DU19" s="40">
        <f t="shared" si="31"/>
        <v>12679.922060808332</v>
      </c>
      <c r="DV19" s="40">
        <f t="shared" si="31"/>
        <v>12738.038370253704</v>
      </c>
      <c r="DW19" s="40">
        <f t="shared" si="31"/>
        <v>12796.421046117366</v>
      </c>
      <c r="DX19" s="40">
        <f t="shared" si="31"/>
        <v>12855.071309245403</v>
      </c>
      <c r="DY19" s="40">
        <f t="shared" si="31"/>
        <v>12913.990386079444</v>
      </c>
      <c r="DZ19" s="40">
        <f t="shared" si="31"/>
        <v>12973.179508682308</v>
      </c>
      <c r="EA19" s="40">
        <f t="shared" si="31"/>
        <v>13032.639914763769</v>
      </c>
      <c r="EB19" s="40">
        <f t="shared" si="31"/>
        <v>13092.372847706436</v>
      </c>
      <c r="EC19" s="40">
        <f t="shared" si="31"/>
        <v>13152.379556591757</v>
      </c>
      <c r="ED19" s="40">
        <f t="shared" si="31"/>
        <v>13212.661296226135</v>
      </c>
      <c r="EE19" s="40">
        <f t="shared" ref="EE19:GP19" si="32">IF(AND($D$9,EE$14=$H$6),IF(EE$16="","",principal),IF(AND(EE$16="",$D$9),IF(EP$16="","",principal),IF(EE$16="","",EE17-EE18)))</f>
        <v>13273.219327167171</v>
      </c>
      <c r="EF19" s="40">
        <f t="shared" si="32"/>
        <v>13334.054915750021</v>
      </c>
      <c r="EG19" s="40">
        <f t="shared" si="32"/>
        <v>13395.169334113874</v>
      </c>
      <c r="EH19" s="40">
        <f t="shared" si="32"/>
        <v>13456.563860228565</v>
      </c>
      <c r="EI19" s="40">
        <f t="shared" si="32"/>
        <v>13518.239777921279</v>
      </c>
      <c r="EJ19" s="40">
        <f t="shared" si="32"/>
        <v>13580.198376903418</v>
      </c>
      <c r="EK19" s="40">
        <f t="shared" si="32"/>
        <v>13642.440952797559</v>
      </c>
      <c r="EL19" s="40">
        <f t="shared" si="32"/>
        <v>13704.968807164547</v>
      </c>
      <c r="EM19" s="40">
        <f t="shared" si="32"/>
        <v>13767.783247530719</v>
      </c>
      <c r="EN19" s="40">
        <f t="shared" si="32"/>
        <v>13830.885587415234</v>
      </c>
      <c r="EO19" s="40">
        <f t="shared" si="32"/>
        <v>13894.277146357554</v>
      </c>
      <c r="EP19" s="40">
        <f t="shared" si="32"/>
        <v>13957.959249945026</v>
      </c>
      <c r="EQ19" s="40">
        <f t="shared" si="32"/>
        <v>14021.933229840608</v>
      </c>
      <c r="ER19" s="40">
        <f t="shared" si="32"/>
        <v>14086.200423810711</v>
      </c>
      <c r="ES19" s="40">
        <f t="shared" si="32"/>
        <v>14150.762175753176</v>
      </c>
      <c r="ET19" s="40">
        <f t="shared" si="32"/>
        <v>14215.619835725378</v>
      </c>
      <c r="EU19" s="40">
        <f t="shared" si="32"/>
        <v>14280.774759972453</v>
      </c>
      <c r="EV19" s="40">
        <f t="shared" si="32"/>
        <v>14346.228310955661</v>
      </c>
      <c r="EW19" s="40">
        <f t="shared" si="32"/>
        <v>14411.981857380875</v>
      </c>
      <c r="EX19" s="40">
        <f t="shared" si="32"/>
        <v>14478.036774227203</v>
      </c>
      <c r="EY19" s="40">
        <f t="shared" si="32"/>
        <v>14544.394442775745</v>
      </c>
      <c r="EZ19" s="40">
        <f t="shared" si="32"/>
        <v>14611.056250638469</v>
      </c>
      <c r="FA19" s="40">
        <f t="shared" si="32"/>
        <v>14678.023591787227</v>
      </c>
      <c r="FB19" s="40">
        <f t="shared" si="32"/>
        <v>14745.297866582918</v>
      </c>
      <c r="FC19" s="40">
        <f t="shared" si="32"/>
        <v>14812.880481804756</v>
      </c>
      <c r="FD19" s="40">
        <f t="shared" si="32"/>
        <v>14880.772850679694</v>
      </c>
      <c r="FE19" s="40">
        <f t="shared" si="32"/>
        <v>14948.976392911976</v>
      </c>
      <c r="FF19" s="40">
        <f t="shared" si="32"/>
        <v>15017.492534712821</v>
      </c>
      <c r="FG19" s="40">
        <f t="shared" si="32"/>
        <v>15086.322708830256</v>
      </c>
      <c r="FH19" s="40">
        <f t="shared" si="32"/>
        <v>15155.468354579061</v>
      </c>
      <c r="FI19" s="40">
        <f t="shared" si="32"/>
        <v>15224.930917870883</v>
      </c>
      <c r="FJ19" s="40">
        <f t="shared" si="32"/>
        <v>15294.711851244456</v>
      </c>
      <c r="FK19" s="40">
        <f t="shared" si="32"/>
        <v>15364.812613895992</v>
      </c>
      <c r="FL19" s="40">
        <f t="shared" si="32"/>
        <v>15435.234671709683</v>
      </c>
      <c r="FM19" s="40">
        <f t="shared" si="32"/>
        <v>15505.979497288352</v>
      </c>
      <c r="FN19" s="40">
        <f t="shared" si="32"/>
        <v>15577.048569984257</v>
      </c>
      <c r="FO19" s="40">
        <f t="shared" si="32"/>
        <v>15648.443375930017</v>
      </c>
      <c r="FP19" s="40">
        <f t="shared" si="32"/>
        <v>15720.165408069697</v>
      </c>
      <c r="FQ19" s="40">
        <f t="shared" si="32"/>
        <v>15792.216166190017</v>
      </c>
      <c r="FR19" s="40">
        <f t="shared" si="32"/>
        <v>15864.597156951721</v>
      </c>
      <c r="FS19" s="40">
        <f t="shared" si="32"/>
        <v>15937.309893921083</v>
      </c>
      <c r="FT19" s="40">
        <f t="shared" si="32"/>
        <v>16010.355897601554</v>
      </c>
      <c r="FU19" s="40">
        <f t="shared" si="32"/>
        <v>16083.736695465563</v>
      </c>
      <c r="FV19" s="40">
        <f t="shared" si="32"/>
        <v>16157.453821986446</v>
      </c>
      <c r="FW19" s="40">
        <f t="shared" si="32"/>
        <v>16231.508818670551</v>
      </c>
      <c r="FX19" s="40">
        <f t="shared" si="32"/>
        <v>16305.903234089457</v>
      </c>
      <c r="FY19" s="40">
        <f t="shared" si="32"/>
        <v>16380.638623912368</v>
      </c>
      <c r="FZ19" s="40">
        <f t="shared" si="32"/>
        <v>16455.716550938632</v>
      </c>
      <c r="GA19" s="40">
        <f t="shared" si="32"/>
        <v>16531.138585130437</v>
      </c>
      <c r="GB19" s="40">
        <f t="shared" si="32"/>
        <v>16606.906303645614</v>
      </c>
      <c r="GC19" s="40">
        <f t="shared" si="32"/>
        <v>16683.02129087066</v>
      </c>
      <c r="GD19" s="40">
        <f t="shared" si="32"/>
        <v>16759.485138453816</v>
      </c>
      <c r="GE19" s="40">
        <f t="shared" si="32"/>
        <v>16836.299445338394</v>
      </c>
      <c r="GF19" s="40">
        <f t="shared" si="32"/>
        <v>16913.465817796197</v>
      </c>
      <c r="GG19" s="40">
        <f t="shared" si="32"/>
        <v>16990.985869461096</v>
      </c>
      <c r="GH19" s="40">
        <f t="shared" si="32"/>
        <v>17068.861221362793</v>
      </c>
      <c r="GI19" s="40">
        <f t="shared" si="32"/>
        <v>17147.093501960706</v>
      </c>
      <c r="GJ19" s="40">
        <f t="shared" si="32"/>
        <v>17225.684347178027</v>
      </c>
      <c r="GK19" s="40">
        <f t="shared" si="32"/>
        <v>17304.635400435924</v>
      </c>
      <c r="GL19" s="40">
        <f t="shared" si="32"/>
        <v>17383.948312687924</v>
      </c>
      <c r="GM19" s="40">
        <f t="shared" si="32"/>
        <v>17463.624742454413</v>
      </c>
      <c r="GN19" s="40">
        <f t="shared" si="32"/>
        <v>17543.666355857327</v>
      </c>
      <c r="GO19" s="40">
        <f t="shared" si="32"/>
        <v>17624.074826655007</v>
      </c>
      <c r="GP19" s="40">
        <f t="shared" si="32"/>
        <v>17704.851836277172</v>
      </c>
      <c r="GQ19" s="40">
        <f t="shared" ref="GQ19:JB19" si="33">IF(AND($D$9,GQ$14=$H$6),IF(GQ$16="","",principal),IF(AND(GQ$16="",$D$9),IF(HB$16="","",principal),IF(GQ$16="","",GQ17-GQ18)))</f>
        <v>17785.999073860112</v>
      </c>
      <c r="GR19" s="40">
        <f t="shared" si="33"/>
        <v>17867.518236281969</v>
      </c>
      <c r="GS19" s="40">
        <f t="shared" si="33"/>
        <v>17949.411028198265</v>
      </c>
      <c r="GT19" s="40">
        <f t="shared" si="33"/>
        <v>18031.679162077504</v>
      </c>
      <c r="GU19" s="40">
        <f t="shared" si="33"/>
        <v>18114.324358237027</v>
      </c>
      <c r="GV19" s="40">
        <f t="shared" si="33"/>
        <v>18197.348344878948</v>
      </c>
      <c r="GW19" s="40">
        <f t="shared" si="33"/>
        <v>18280.75285812631</v>
      </c>
      <c r="GX19" s="40">
        <f t="shared" si="33"/>
        <v>18364.53964205939</v>
      </c>
      <c r="GY19" s="40">
        <f t="shared" si="33"/>
        <v>18448.710448752157</v>
      </c>
      <c r="GZ19" s="40">
        <f t="shared" si="33"/>
        <v>18533.267038308943</v>
      </c>
      <c r="HA19" s="40">
        <f t="shared" si="33"/>
        <v>18618.211178901191</v>
      </c>
      <c r="HB19" s="40">
        <f t="shared" si="33"/>
        <v>18703.544646804487</v>
      </c>
      <c r="HC19" s="40">
        <f t="shared" si="33"/>
        <v>18789.269226435674</v>
      </c>
      <c r="HD19" s="40">
        <f t="shared" si="33"/>
        <v>18875.386710390172</v>
      </c>
      <c r="HE19" s="40">
        <f t="shared" si="33"/>
        <v>18961.898899479456</v>
      </c>
      <c r="HF19" s="40">
        <f t="shared" si="33"/>
        <v>19048.807602768738</v>
      </c>
      <c r="HG19" s="40">
        <f t="shared" si="33"/>
        <v>19136.114637614763</v>
      </c>
      <c r="HH19" s="40">
        <f t="shared" si="33"/>
        <v>19223.821829703829</v>
      </c>
      <c r="HI19" s="40">
        <f t="shared" si="33"/>
        <v>19311.931013089972</v>
      </c>
      <c r="HJ19" s="40">
        <f t="shared" si="33"/>
        <v>19400.444030233302</v>
      </c>
      <c r="HK19" s="40">
        <f t="shared" si="33"/>
        <v>19489.362732038535</v>
      </c>
      <c r="HL19" s="40">
        <f t="shared" si="33"/>
        <v>19578.688977893711</v>
      </c>
      <c r="HM19" s="40">
        <f t="shared" si="33"/>
        <v>19668.42463570906</v>
      </c>
      <c r="HN19" s="40">
        <f t="shared" si="33"/>
        <v>19758.571581956057</v>
      </c>
      <c r="HO19" s="40">
        <f t="shared" si="33"/>
        <v>19849.13170170669</v>
      </c>
      <c r="HP19" s="40">
        <f t="shared" si="33"/>
        <v>19940.106888672846</v>
      </c>
      <c r="HQ19" s="40">
        <f t="shared" si="33"/>
        <v>20031.499045245931</v>
      </c>
      <c r="HR19" s="40">
        <f t="shared" si="33"/>
        <v>20123.310082536642</v>
      </c>
      <c r="HS19" s="40">
        <f t="shared" si="33"/>
        <v>20215.541920414933</v>
      </c>
      <c r="HT19" s="40">
        <f t="shared" si="33"/>
        <v>20308.196487550165</v>
      </c>
      <c r="HU19" s="40">
        <f t="shared" si="33"/>
        <v>20401.275721451439</v>
      </c>
      <c r="HV19" s="40">
        <f t="shared" si="33"/>
        <v>20494.781568508093</v>
      </c>
      <c r="HW19" s="40">
        <f t="shared" si="33"/>
        <v>20588.715984030423</v>
      </c>
      <c r="HX19" s="40">
        <f t="shared" si="33"/>
        <v>20683.080932290562</v>
      </c>
      <c r="HY19" s="40">
        <f t="shared" si="33"/>
        <v>20777.878386563556</v>
      </c>
      <c r="HZ19" s="40">
        <f t="shared" si="33"/>
        <v>20873.110329168641</v>
      </c>
      <c r="IA19" s="40">
        <f t="shared" si="33"/>
        <v>20968.778751510665</v>
      </c>
      <c r="IB19" s="40">
        <f t="shared" si="33"/>
        <v>21064.885654121754</v>
      </c>
      <c r="IC19" s="40">
        <f t="shared" si="33"/>
        <v>21161.433046703147</v>
      </c>
      <c r="ID19" s="40">
        <f t="shared" si="33"/>
        <v>21258.422948167205</v>
      </c>
      <c r="IE19" s="40">
        <f t="shared" si="33"/>
        <v>21355.857386679636</v>
      </c>
      <c r="IF19" s="40">
        <f t="shared" si="33"/>
        <v>21453.738399701917</v>
      </c>
      <c r="IG19" s="40">
        <f t="shared" si="33"/>
        <v>21552.068034033884</v>
      </c>
      <c r="IH19" s="40">
        <f t="shared" si="33"/>
        <v>21650.848345856539</v>
      </c>
      <c r="II19" s="40">
        <f t="shared" si="33"/>
        <v>21750.081400775052</v>
      </c>
      <c r="IJ19" s="40">
        <f t="shared" si="33"/>
        <v>21849.769273861937</v>
      </c>
      <c r="IK19" s="40">
        <f t="shared" si="33"/>
        <v>21949.91404970047</v>
      </c>
      <c r="IL19" s="40">
        <f t="shared" si="33"/>
        <v>22050.517822428264</v>
      </c>
      <c r="IM19" s="40">
        <f t="shared" si="33"/>
        <v>22151.58269578106</v>
      </c>
      <c r="IN19" s="40">
        <f t="shared" si="33"/>
        <v>22253.110783136723</v>
      </c>
      <c r="IO19" s="40">
        <f t="shared" si="33"/>
        <v>22355.104207559434</v>
      </c>
      <c r="IP19" s="40">
        <f t="shared" si="33"/>
        <v>22457.56510184408</v>
      </c>
      <c r="IQ19" s="40">
        <f t="shared" si="33"/>
        <v>22560.495608560865</v>
      </c>
      <c r="IR19" s="40">
        <f t="shared" si="33"/>
        <v>22663.897880100103</v>
      </c>
      <c r="IS19" s="40">
        <f t="shared" si="33"/>
        <v>22767.77407871723</v>
      </c>
      <c r="IT19" s="40">
        <f t="shared" si="33"/>
        <v>22872.126376578017</v>
      </c>
      <c r="IU19" s="40">
        <f t="shared" si="33"/>
        <v>22976.956955804002</v>
      </c>
      <c r="IV19" s="40">
        <f t="shared" si="33"/>
        <v>23082.268008518102</v>
      </c>
      <c r="IW19" s="40">
        <f t="shared" si="33"/>
        <v>23188.061736890475</v>
      </c>
      <c r="IX19" s="40">
        <f t="shared" si="33"/>
        <v>23294.340353184558</v>
      </c>
      <c r="IY19" s="40">
        <f t="shared" si="33"/>
        <v>23401.106079803321</v>
      </c>
      <c r="IZ19" s="40">
        <f t="shared" si="33"/>
        <v>23508.361149335753</v>
      </c>
      <c r="JA19" s="40">
        <f t="shared" si="33"/>
        <v>23616.10780460354</v>
      </c>
      <c r="JB19" s="40">
        <f t="shared" si="33"/>
        <v>23724.348298707977</v>
      </c>
      <c r="JC19" s="40">
        <f t="shared" ref="JC19:LN19" si="34">IF(AND($D$9,JC$14=$H$6),IF(JC$16="","",principal),IF(AND(JC$16="",$D$9),IF(JN$16="","",principal),IF(JC$16="","",JC17-JC18)))</f>
        <v>23833.084895077052</v>
      </c>
      <c r="JD19" s="40">
        <f t="shared" si="34"/>
        <v>23942.319867512822</v>
      </c>
      <c r="JE19" s="40">
        <f t="shared" si="34"/>
        <v>24052.055500238923</v>
      </c>
      <c r="JF19" s="40">
        <f t="shared" si="34"/>
        <v>24162.294087948354</v>
      </c>
      <c r="JG19" s="40">
        <f t="shared" si="34"/>
        <v>24273.037935851447</v>
      </c>
      <c r="JH19" s="40">
        <f t="shared" si="34"/>
        <v>24384.289359724102</v>
      </c>
      <c r="JI19" s="40">
        <f t="shared" si="34"/>
        <v>24496.050685956172</v>
      </c>
      <c r="JJ19" s="40">
        <f t="shared" si="34"/>
        <v>24608.324251600137</v>
      </c>
      <c r="JK19" s="40">
        <f t="shared" si="34"/>
        <v>24721.112404419971</v>
      </c>
      <c r="JL19" s="40">
        <f t="shared" si="34"/>
        <v>24834.417502940229</v>
      </c>
      <c r="JM19" s="40">
        <f t="shared" si="34"/>
        <v>24948.241916495372</v>
      </c>
      <c r="JN19" s="40">
        <f t="shared" si="34"/>
        <v>25062.58802527931</v>
      </c>
      <c r="JO19" s="40">
        <f t="shared" si="34"/>
        <v>25177.458220395172</v>
      </c>
      <c r="JP19" s="40">
        <f t="shared" si="34"/>
        <v>25292.854903905318</v>
      </c>
      <c r="JQ19" s="40">
        <f t="shared" si="34"/>
        <v>25408.780488881552</v>
      </c>
      <c r="JR19" s="40">
        <f t="shared" si="34"/>
        <v>25525.237399455589</v>
      </c>
      <c r="JS19" s="40">
        <f t="shared" si="34"/>
        <v>25642.228070869762</v>
      </c>
      <c r="JT19" s="40">
        <f t="shared" si="34"/>
        <v>25759.754949527916</v>
      </c>
      <c r="JU19" s="40">
        <f t="shared" si="34"/>
        <v>25877.820493046584</v>
      </c>
      <c r="JV19" s="40">
        <f t="shared" si="34"/>
        <v>25996.427170306382</v>
      </c>
      <c r="JW19" s="40">
        <f t="shared" si="34"/>
        <v>26115.577461503617</v>
      </c>
      <c r="JX19" s="40">
        <f t="shared" si="34"/>
        <v>26235.273858202178</v>
      </c>
      <c r="JY19" s="40">
        <f t="shared" si="34"/>
        <v>26355.518863385601</v>
      </c>
      <c r="JZ19" s="40">
        <f t="shared" si="34"/>
        <v>26476.314991509455</v>
      </c>
      <c r="KA19" s="40">
        <f t="shared" si="34"/>
        <v>26597.664768553874</v>
      </c>
      <c r="KB19" s="40">
        <f t="shared" si="34"/>
        <v>26719.570732076412</v>
      </c>
      <c r="KC19" s="40">
        <f t="shared" si="34"/>
        <v>26842.035431265096</v>
      </c>
      <c r="KD19" s="40">
        <f t="shared" si="34"/>
        <v>26965.061426991728</v>
      </c>
      <c r="KE19" s="40">
        <f t="shared" si="34"/>
        <v>27088.651291865437</v>
      </c>
      <c r="KF19" s="40">
        <f t="shared" si="34"/>
        <v>27212.807610286487</v>
      </c>
      <c r="KG19" s="40">
        <f t="shared" si="34"/>
        <v>27337.532978500301</v>
      </c>
      <c r="KH19" s="40">
        <f t="shared" si="34"/>
        <v>27462.830004651762</v>
      </c>
      <c r="KI19" s="40">
        <f t="shared" si="34"/>
        <v>27588.701308839747</v>
      </c>
      <c r="KJ19" s="40">
        <f t="shared" si="34"/>
        <v>27715.149523171931</v>
      </c>
      <c r="KK19" s="40">
        <f t="shared" si="34"/>
        <v>27842.1772918198</v>
      </c>
      <c r="KL19" s="40">
        <f t="shared" si="34"/>
        <v>27969.787271073976</v>
      </c>
      <c r="KM19" s="40">
        <f t="shared" si="34"/>
        <v>28097.98212939973</v>
      </c>
      <c r="KN19" s="40">
        <f t="shared" si="34"/>
        <v>28226.764547492814</v>
      </c>
      <c r="KO19" s="40">
        <f t="shared" si="34"/>
        <v>28356.137218335487</v>
      </c>
      <c r="KP19" s="40">
        <f t="shared" si="34"/>
        <v>28486.10284725286</v>
      </c>
      <c r="KQ19" s="40">
        <f t="shared" si="34"/>
        <v>28616.664151969435</v>
      </c>
      <c r="KR19" s="40">
        <f t="shared" si="34"/>
        <v>28747.823862665962</v>
      </c>
      <c r="KS19" s="40">
        <f t="shared" si="34"/>
        <v>28879.584722036514</v>
      </c>
      <c r="KT19" s="40" t="str">
        <f t="shared" si="34"/>
        <v/>
      </c>
      <c r="KU19" s="40" t="str">
        <f t="shared" si="34"/>
        <v/>
      </c>
      <c r="KV19" s="40" t="str">
        <f t="shared" si="34"/>
        <v/>
      </c>
      <c r="KW19" s="40" t="str">
        <f t="shared" si="34"/>
        <v/>
      </c>
      <c r="KX19" s="40" t="str">
        <f t="shared" si="34"/>
        <v/>
      </c>
      <c r="KY19" s="40" t="str">
        <f t="shared" si="34"/>
        <v/>
      </c>
      <c r="KZ19" s="40" t="str">
        <f t="shared" si="34"/>
        <v/>
      </c>
      <c r="LA19" s="40" t="str">
        <f t="shared" si="34"/>
        <v/>
      </c>
      <c r="LB19" s="40" t="str">
        <f t="shared" si="34"/>
        <v/>
      </c>
      <c r="LC19" s="40" t="str">
        <f t="shared" si="34"/>
        <v/>
      </c>
      <c r="LD19" s="40" t="str">
        <f t="shared" si="34"/>
        <v/>
      </c>
      <c r="LE19" s="40" t="str">
        <f t="shared" si="34"/>
        <v/>
      </c>
      <c r="LF19" s="40" t="str">
        <f t="shared" si="34"/>
        <v/>
      </c>
      <c r="LG19" s="40" t="str">
        <f t="shared" si="34"/>
        <v/>
      </c>
      <c r="LH19" s="40" t="str">
        <f t="shared" si="34"/>
        <v/>
      </c>
      <c r="LI19" s="40" t="str">
        <f t="shared" si="34"/>
        <v/>
      </c>
      <c r="LJ19" s="40" t="str">
        <f t="shared" si="34"/>
        <v/>
      </c>
      <c r="LK19" s="40" t="str">
        <f t="shared" si="34"/>
        <v/>
      </c>
      <c r="LL19" s="40" t="str">
        <f t="shared" si="34"/>
        <v/>
      </c>
      <c r="LM19" s="40" t="str">
        <f t="shared" si="34"/>
        <v/>
      </c>
      <c r="LN19" s="40" t="str">
        <f t="shared" si="34"/>
        <v/>
      </c>
      <c r="LO19" s="40" t="str">
        <f t="shared" ref="LO19:MQ19" si="35">IF(AND($D$9,LO$14=$H$6),IF(LO$16="","",principal),IF(AND(LO$16="",$D$9),IF(LZ$16="","",principal),IF(LO$16="","",LO17-LO18)))</f>
        <v/>
      </c>
      <c r="LP19" s="40" t="str">
        <f t="shared" si="35"/>
        <v/>
      </c>
      <c r="LQ19" s="40" t="str">
        <f t="shared" si="35"/>
        <v/>
      </c>
      <c r="LR19" s="40" t="str">
        <f t="shared" si="35"/>
        <v/>
      </c>
      <c r="LS19" s="40" t="str">
        <f t="shared" si="35"/>
        <v/>
      </c>
      <c r="LT19" s="40" t="str">
        <f t="shared" si="35"/>
        <v/>
      </c>
      <c r="LU19" s="40" t="str">
        <f t="shared" si="35"/>
        <v/>
      </c>
      <c r="LV19" s="40" t="str">
        <f t="shared" si="35"/>
        <v/>
      </c>
      <c r="LW19" s="40" t="str">
        <f t="shared" si="35"/>
        <v/>
      </c>
      <c r="LX19" s="40" t="str">
        <f t="shared" si="35"/>
        <v/>
      </c>
      <c r="LY19" s="40" t="str">
        <f t="shared" si="35"/>
        <v/>
      </c>
      <c r="LZ19" s="40" t="str">
        <f t="shared" si="35"/>
        <v/>
      </c>
      <c r="MA19" s="40" t="str">
        <f t="shared" si="35"/>
        <v/>
      </c>
      <c r="MB19" s="40" t="str">
        <f t="shared" si="35"/>
        <v/>
      </c>
      <c r="MC19" s="40" t="str">
        <f t="shared" si="35"/>
        <v/>
      </c>
      <c r="MD19" s="40" t="str">
        <f t="shared" si="35"/>
        <v/>
      </c>
      <c r="ME19" s="40" t="str">
        <f t="shared" si="35"/>
        <v/>
      </c>
      <c r="MF19" s="40" t="str">
        <f t="shared" si="35"/>
        <v/>
      </c>
      <c r="MG19" s="40" t="str">
        <f t="shared" si="35"/>
        <v/>
      </c>
      <c r="MH19" s="40" t="str">
        <f t="shared" si="35"/>
        <v/>
      </c>
      <c r="MI19" s="40" t="str">
        <f t="shared" si="35"/>
        <v/>
      </c>
      <c r="MJ19" s="40" t="str">
        <f t="shared" si="35"/>
        <v/>
      </c>
      <c r="MK19" s="40" t="str">
        <f t="shared" si="35"/>
        <v/>
      </c>
      <c r="ML19" s="40" t="str">
        <f t="shared" si="35"/>
        <v/>
      </c>
      <c r="MM19" s="40" t="str">
        <f t="shared" si="35"/>
        <v/>
      </c>
      <c r="MN19" s="40" t="str">
        <f t="shared" si="35"/>
        <v/>
      </c>
      <c r="MO19" s="40" t="str">
        <f t="shared" si="35"/>
        <v/>
      </c>
      <c r="MP19" s="40" t="str">
        <f t="shared" si="35"/>
        <v/>
      </c>
      <c r="MQ19" s="40" t="str">
        <f t="shared" si="35"/>
        <v/>
      </c>
      <c r="MR19" s="40" t="str">
        <f>IF(AND($D$9,MR$14=$H$6),IF(MR$16="","",principal),IF(AND(MR$16="",$D$9),IF(#REF!="","",principal),IF(MR$16="","",MR17-MR18)))</f>
        <v/>
      </c>
      <c r="MS19" s="40" t="str">
        <f>IF(AND($D$9,MS$14=$H$6),IF(MS$16="","",principal),IF(AND(MS$16="",$D$9),IF(#REF!="","",principal),IF(MS$16="","",MS17-MS18)))</f>
        <v/>
      </c>
      <c r="MT19" s="40" t="str">
        <f>IF(AND($D$9,MT$14=$H$6),IF(MT$16="","",principal),IF(AND(MT$16="",$D$9),IF(#REF!="","",principal),IF(MT$16="","",MT17-MT18)))</f>
        <v/>
      </c>
      <c r="MU19" s="40" t="str">
        <f>IF(AND($D$9,MU$14=$H$6),IF(MU$16="","",principal),IF(AND(MU$16="",$D$9),IF(#REF!="","",principal),IF(MU$16="","",MU17-MU18)))</f>
        <v/>
      </c>
      <c r="MV19" s="40" t="str">
        <f>IF(AND($D$9,MV$14=$H$6),IF(MV$16="","",principal),IF(AND(MV$16="",$D$9),IF(#REF!="","",principal),IF(MV$16="","",MV17-MV18)))</f>
        <v/>
      </c>
      <c r="MW19" s="40" t="str">
        <f>IF(AND($D$9,MW$14=$H$6),IF(MW$16="","",principal),IF(AND(MW$16="",$D$9),IF(#REF!="","",principal),IF(MW$16="","",MW17-MW18)))</f>
        <v/>
      </c>
      <c r="MX19" s="40" t="str">
        <f>IF(AND($D$9,MX$14=$H$6),IF(MX$16="","",principal),IF(AND(MX$16="",$D$9),IF(#REF!="","",principal),IF(MX$16="","",MX17-MX18)))</f>
        <v/>
      </c>
      <c r="MY19" s="40" t="str">
        <f>IF(AND($D$9,MY$14=$H$6),IF(MY$16="","",principal),IF(AND(MY$16="",$D$9),IF(#REF!="","",principal),IF(MY$16="","",MY17-MY18)))</f>
        <v/>
      </c>
      <c r="MZ19" s="40" t="str">
        <f>IF(AND($D$9,MZ$14=$H$6),IF(MZ$16="","",principal),IF(AND(MZ$16="",$D$9),IF(#REF!="","",principal),IF(MZ$16="","",MZ17-MZ18)))</f>
        <v/>
      </c>
      <c r="NA19" s="40" t="str">
        <f>IF(AND($D$9,NA$14=$H$6),IF(NA$16="","",principal),IF(AND(NA$16="",$D$9),IF(#REF!="","",principal),IF(NA$16="","",NA17-NA18)))</f>
        <v/>
      </c>
    </row>
    <row r="22" spans="1:365" x14ac:dyDescent="0.15">
      <c r="B22" s="43"/>
      <c r="C22" s="43"/>
      <c r="D22" s="44"/>
      <c r="E22" s="44"/>
      <c r="F22" s="44"/>
      <c r="G22" s="44"/>
      <c r="H22" s="44"/>
      <c r="I22" s="44"/>
      <c r="J22" s="45"/>
      <c r="K22" s="45"/>
      <c r="L22" s="45"/>
      <c r="M22" s="45"/>
    </row>
    <row r="23" spans="1:365" x14ac:dyDescent="0.15">
      <c r="B23" s="43"/>
      <c r="C23" s="43"/>
      <c r="D23" s="44"/>
      <c r="E23" s="44"/>
      <c r="F23" s="44"/>
      <c r="G23" s="44"/>
      <c r="H23" s="44"/>
      <c r="I23" s="44"/>
      <c r="J23" s="45"/>
      <c r="K23" s="45"/>
      <c r="L23" s="45"/>
      <c r="M23" s="45"/>
    </row>
    <row r="24" spans="1:365" x14ac:dyDescent="0.15">
      <c r="B24" s="43"/>
      <c r="C24" s="43"/>
      <c r="D24" s="45"/>
      <c r="E24" s="45"/>
      <c r="F24" s="45"/>
      <c r="G24" s="45"/>
      <c r="H24" s="45"/>
      <c r="I24" s="45"/>
      <c r="J24" s="45"/>
      <c r="K24" s="45"/>
      <c r="L24" s="45"/>
      <c r="M24" s="45"/>
    </row>
    <row r="25" spans="1:365" x14ac:dyDescent="0.15">
      <c r="B25" s="43"/>
      <c r="C25" s="43"/>
      <c r="D25" s="45"/>
      <c r="E25" s="45"/>
      <c r="F25" s="45"/>
      <c r="G25" s="45"/>
      <c r="H25" s="45"/>
      <c r="I25" s="45"/>
      <c r="J25" s="45"/>
      <c r="K25" s="45"/>
      <c r="L25" s="45"/>
      <c r="M25" s="45"/>
    </row>
    <row r="26" spans="1:365" x14ac:dyDescent="0.15">
      <c r="B26" s="43"/>
      <c r="C26" s="43"/>
      <c r="D26" s="45"/>
      <c r="E26" s="45"/>
      <c r="F26" s="45"/>
      <c r="G26" s="45"/>
      <c r="H26" s="45"/>
      <c r="I26" s="45"/>
      <c r="J26" s="45"/>
      <c r="K26" s="45"/>
      <c r="L26" s="45"/>
      <c r="M26" s="45"/>
    </row>
    <row r="27" spans="1:365" x14ac:dyDescent="0.15">
      <c r="B27" s="43"/>
      <c r="C27" s="43"/>
      <c r="D27" s="45"/>
      <c r="E27" s="45"/>
      <c r="F27" s="45"/>
      <c r="G27" s="45"/>
      <c r="H27" s="45"/>
      <c r="I27" s="45"/>
      <c r="J27" s="45"/>
      <c r="K27" s="45"/>
      <c r="L27" s="45"/>
      <c r="M27" s="45"/>
      <c r="N27" s="45"/>
    </row>
    <row r="28" spans="1:365" x14ac:dyDescent="0.15">
      <c r="B28" s="43"/>
      <c r="C28" s="43"/>
      <c r="D28" s="46"/>
      <c r="E28" s="46"/>
      <c r="F28" s="46"/>
      <c r="G28" s="46"/>
      <c r="H28" s="47"/>
      <c r="I28" s="46"/>
      <c r="J28" s="45"/>
      <c r="K28" s="45"/>
      <c r="L28" s="45"/>
      <c r="M28" s="45"/>
    </row>
    <row r="29" spans="1:365" x14ac:dyDescent="0.15">
      <c r="B29" s="43"/>
      <c r="C29" s="43"/>
      <c r="D29" s="46"/>
      <c r="E29" s="46"/>
      <c r="F29" s="46"/>
      <c r="G29" s="46"/>
      <c r="H29" s="46"/>
      <c r="I29" s="46"/>
      <c r="J29" s="45"/>
      <c r="K29" s="45"/>
      <c r="L29" s="45"/>
      <c r="M29" s="45"/>
    </row>
    <row r="30" spans="1:365" x14ac:dyDescent="0.15">
      <c r="B30" s="45"/>
      <c r="C30" s="45"/>
      <c r="D30" s="45"/>
      <c r="E30" s="45"/>
      <c r="F30" s="45"/>
      <c r="G30" s="45"/>
      <c r="H30" s="45"/>
      <c r="I30" s="45"/>
      <c r="J30" s="45"/>
      <c r="K30" s="45"/>
      <c r="L30" s="45"/>
      <c r="M30" s="45"/>
    </row>
    <row r="31" spans="1:365" x14ac:dyDescent="0.15">
      <c r="B31" s="45"/>
      <c r="C31" s="45"/>
      <c r="D31" s="45"/>
      <c r="E31" s="45"/>
      <c r="F31" s="45"/>
      <c r="G31" s="45"/>
      <c r="H31" s="45"/>
      <c r="I31" s="45"/>
      <c r="J31" s="45"/>
      <c r="K31" s="45"/>
      <c r="L31" s="45"/>
      <c r="M31" s="45"/>
    </row>
    <row r="32" spans="1:365" x14ac:dyDescent="0.15">
      <c r="B32" s="45"/>
      <c r="C32" s="45"/>
      <c r="D32" s="45"/>
      <c r="E32" s="45"/>
      <c r="F32" s="45"/>
      <c r="G32" s="45"/>
      <c r="H32" s="45"/>
      <c r="I32" s="45"/>
      <c r="J32" s="45"/>
      <c r="K32" s="45"/>
      <c r="L32" s="45"/>
      <c r="M32" s="45"/>
    </row>
    <row r="33" spans="2:20" x14ac:dyDescent="0.15">
      <c r="B33" s="45"/>
      <c r="C33" s="45"/>
      <c r="D33" s="45"/>
      <c r="E33" s="45"/>
      <c r="F33" s="45"/>
      <c r="G33" s="45"/>
      <c r="H33" s="45"/>
      <c r="K33" s="45"/>
      <c r="M33" s="45"/>
      <c r="N33" s="45"/>
    </row>
    <row r="34" spans="2:20" x14ac:dyDescent="0.15">
      <c r="B34" s="45"/>
      <c r="C34" s="45"/>
      <c r="D34" s="45"/>
      <c r="E34" s="45"/>
      <c r="F34" s="45"/>
      <c r="G34" s="45"/>
      <c r="H34" s="45"/>
      <c r="K34" s="45"/>
      <c r="M34" s="45"/>
      <c r="N34" s="45"/>
    </row>
    <row r="35" spans="2:20" x14ac:dyDescent="0.15">
      <c r="B35" s="45"/>
      <c r="C35" s="45"/>
      <c r="D35" s="45"/>
      <c r="E35" s="45"/>
      <c r="F35" s="45"/>
      <c r="G35" s="45"/>
      <c r="H35" s="45"/>
      <c r="K35" s="45"/>
      <c r="L35" s="45"/>
      <c r="M35" s="45"/>
    </row>
    <row r="36" spans="2:20" x14ac:dyDescent="0.15">
      <c r="I36" s="45"/>
      <c r="J36" s="45"/>
    </row>
    <row r="37" spans="2:20" x14ac:dyDescent="0.15">
      <c r="I37" s="45"/>
      <c r="J37" s="45"/>
    </row>
    <row r="38" spans="2:20" x14ac:dyDescent="0.15">
      <c r="I38" s="45"/>
      <c r="J38" s="45"/>
    </row>
    <row r="39" spans="2:20" x14ac:dyDescent="0.15">
      <c r="I39" s="45"/>
    </row>
    <row r="45" spans="2:20" x14ac:dyDescent="0.15">
      <c r="I45" s="4"/>
      <c r="O45" s="4"/>
      <c r="T45" s="4"/>
    </row>
    <row r="47" spans="2:20" x14ac:dyDescent="0.15">
      <c r="L47" s="4"/>
      <c r="M47" s="48"/>
      <c r="R47" s="48"/>
    </row>
    <row r="48" spans="2:20" x14ac:dyDescent="0.15">
      <c r="L48" s="4"/>
      <c r="M48" s="48"/>
    </row>
    <row r="49" spans="9:19" x14ac:dyDescent="0.15">
      <c r="I49" s="19"/>
      <c r="J49" s="19"/>
    </row>
    <row r="50" spans="9:19" x14ac:dyDescent="0.15">
      <c r="I50" s="19"/>
      <c r="J50" s="19"/>
    </row>
    <row r="51" spans="9:19" x14ac:dyDescent="0.15">
      <c r="I51" s="4"/>
      <c r="J51" s="4"/>
      <c r="K51" s="4"/>
      <c r="L51" s="4"/>
    </row>
    <row r="54" spans="9:19" x14ac:dyDescent="0.15">
      <c r="R54" s="4"/>
      <c r="S54" s="4"/>
    </row>
    <row r="55" spans="9:19" x14ac:dyDescent="0.15">
      <c r="R55" s="4"/>
      <c r="S55" s="4"/>
    </row>
    <row r="56" spans="9:19" x14ac:dyDescent="0.15">
      <c r="I56" s="4"/>
      <c r="J56" s="4"/>
      <c r="K56" s="4"/>
      <c r="L56" s="4"/>
    </row>
  </sheetData>
  <dataValidations count="2">
    <dataValidation type="list" allowBlank="1" showInputMessage="1" showErrorMessage="1" sqref="G9:G10" xr:uid="{317B531B-A10A-9348-A121-FB9CAC4DA37C}">
      <formula1>"""Monthly"", ""Quarterly"", ""Annually"""</formula1>
    </dataValidation>
    <dataValidation type="list" allowBlank="1" showInputMessage="1" showErrorMessage="1" sqref="D7" xr:uid="{38286CAD-B844-9F43-9C52-CF1549392C40}">
      <formula1>$J$5:$J$9</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12</vt:i4>
      </vt:variant>
      <vt:variant>
        <vt:lpstr>Named Ranges</vt:lpstr>
      </vt:variant>
      <vt:variant>
        <vt:i4>31</vt:i4>
      </vt:variant>
    </vt:vector>
  </HeadingPairs>
  <TitlesOfParts>
    <vt:vector size="43" baseType="lpstr">
      <vt:lpstr>Rent Roll</vt:lpstr>
      <vt:lpstr>Financials</vt:lpstr>
      <vt:lpstr>Main Assumptions</vt:lpstr>
      <vt:lpstr>Investors Breakdown</vt:lpstr>
      <vt:lpstr>Deal Summary</vt:lpstr>
      <vt:lpstr>Graphs</vt:lpstr>
      <vt:lpstr>Annual P&amp;L</vt:lpstr>
      <vt:lpstr>Monthly P&amp;L</vt:lpstr>
      <vt:lpstr>Model Assumptions</vt:lpstr>
      <vt:lpstr>Investor Annual</vt:lpstr>
      <vt:lpstr>Investor Monthly</vt:lpstr>
      <vt:lpstr>Debt Amort</vt:lpstr>
      <vt:lpstr>annual_rate</vt:lpstr>
      <vt:lpstr>capex</vt:lpstr>
      <vt:lpstr>closing_costs</vt:lpstr>
      <vt:lpstr>cost_sale</vt:lpstr>
      <vt:lpstr>debt</vt:lpstr>
      <vt:lpstr>discount_rate</vt:lpstr>
      <vt:lpstr>effective_rate</vt:lpstr>
      <vt:lpstr>equity_invested</vt:lpstr>
      <vt:lpstr>exit_cap_rate</vt:lpstr>
      <vt:lpstr>exit_renovation</vt:lpstr>
      <vt:lpstr>first_payment</vt:lpstr>
      <vt:lpstr>hold_length</vt:lpstr>
      <vt:lpstr>inflation</vt:lpstr>
      <vt:lpstr>initial_renovations</vt:lpstr>
      <vt:lpstr>insurance</vt:lpstr>
      <vt:lpstr>interest_rate</vt:lpstr>
      <vt:lpstr>management_fee</vt:lpstr>
      <vt:lpstr>pay_schedule</vt:lpstr>
      <vt:lpstr>period_payment</vt:lpstr>
      <vt:lpstr>Pref</vt:lpstr>
      <vt:lpstr>principal</vt:lpstr>
      <vt:lpstr>purchase_date</vt:lpstr>
      <vt:lpstr>purchase_price</vt:lpstr>
      <vt:lpstr>renovation_time</vt:lpstr>
      <vt:lpstr>rental_growth_rate</vt:lpstr>
      <vt:lpstr>repair_allowance</vt:lpstr>
      <vt:lpstr>sale_price</vt:lpstr>
      <vt:lpstr>tax_growth_rate</vt:lpstr>
      <vt:lpstr>taxes</vt:lpstr>
      <vt:lpstr>Total_Investment</vt:lpstr>
      <vt:lpstr>vacancy_allowance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Punnakorn Chaiphanichapun</dc:creator>
  <cp:lastModifiedBy>Punnakorn Chaiphanichapun</cp:lastModifiedBy>
  <dcterms:created xsi:type="dcterms:W3CDTF">2026-08-03T17:29:23Z</dcterms:created>
  <dcterms:modified xsi:type="dcterms:W3CDTF">2026-09-04T16:56:21Z</dcterms:modified>
</cp:coreProperties>
</file>